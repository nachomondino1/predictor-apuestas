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  <sheet state="visible" name="&lt; 25724" sheetId="2" r:id="rId5"/>
    <sheet state="visible" name="Hoja 2" sheetId="3" r:id="rId6"/>
  </sheets>
  <definedNames>
    <definedName hidden="1" localSheetId="0" name="_xlnm._FilterDatabase">'Hoja 1'!$A$1:$AC$8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5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E6">
      <text>
        <t xml:space="preserve">Probar sin cups porque aca tienen banda de peso.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U1">
      <text>
        <t xml:space="preserve">el m a utilizar cuando apuesto</t>
      </text>
    </comment>
    <comment authorId="0" ref="V1">
      <text>
        <t xml:space="preserve">Idealmente -0.5 para que vaya por el rdo predicho (por que tal vez a la gente no le paso el resultado a apostar)</t>
      </text>
    </comment>
    <comment authorId="0" ref="Y1">
      <text>
        <t xml:space="preserve">solo en las competiciones que estan en comp_to_select</t>
      </text>
    </comment>
    <comment authorId="0" ref="AA1">
      <text>
        <t xml:space="preserve">usando un m=15</t>
      </text>
    </comment>
    <comment authorId="0" ref="AB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B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</commentList>
</comments>
</file>

<file path=xl/sharedStrings.xml><?xml version="1.0" encoding="utf-8"?>
<sst xmlns="http://schemas.openxmlformats.org/spreadsheetml/2006/main" count="174" uniqueCount="80">
  <si>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</si>
  <si>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</si>
  <si>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</si>
  <si>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</si>
  <si>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</si>
  <si>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</si>
  <si>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</si>
  <si>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</si>
  <si>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</si>
  <si>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</si>
  <si>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</si>
  <si>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</si>
  <si>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</si>
  <si>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</si>
  <si>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</si>
  <si>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</si>
  <si>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</si>
  <si>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</si>
  <si>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promedio top 10 modelos </t>
  </si>
  <si>
    <t xml:space="preserve">ROI pp en partido 50 promedio top 10 modelos </t>
  </si>
  <si>
    <t xml:space="preserve">ROI pp en partido 100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</si>
  <si>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</si>
  <si>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</si>
  <si>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</si>
  <si>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</si>
  <si>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</si>
  <si>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</si>
  <si>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</si>
  <si>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</si>
  <si>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france</t>
  </si>
  <si>
    <t>0.8</t>
  </si>
  <si>
    <t>0.2</t>
  </si>
  <si>
    <t>[551, 552, 553, 554]</t>
  </si>
  <si>
    <t>SVC</t>
  </si>
  <si>
    <t>-0.15</t>
  </si>
  <si>
    <t>spain</t>
  </si>
  <si>
    <t>0.1</t>
  </si>
  <si>
    <t>[1481, 1483, 1484]</t>
  </si>
  <si>
    <t>ml</t>
  </si>
  <si>
    <t>LogisticRegression</t>
  </si>
  <si>
    <t>-0.2</t>
  </si>
  <si>
    <t>Todos los modelos de SPA tienen sesgo debido a una mala integracion. Tengo que mejorar la integracion urgentemente
Excluyo el modelo que mejor rinde porque claramente es demasiado outlier.</t>
  </si>
  <si>
    <t>usa</t>
  </si>
  <si>
    <t>0.9</t>
  </si>
  <si>
    <t>[1671, 1672]</t>
  </si>
  <si>
    <t>-0.5</t>
  </si>
  <si>
    <t>21/7 - Paso del modelo 219 al 27 que es igual salvo que is_localia = True. Me parece correcto. A ver si este nuevo modelo tiene menos volatilidad que el 219.</t>
  </si>
  <si>
    <t>argentina</t>
  </si>
  <si>
    <t>[61, 62, 64, 65, 66, 67]</t>
  </si>
  <si>
    <t>under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</si>
  <si>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</si>
  <si>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england</t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</si>
  <si>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</si>
  <si>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</si>
  <si>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</si>
  <si>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[771, 772, 773, 774]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</si>
  <si>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</t>
  </si>
  <si>
    <t>germany</t>
  </si>
  <si>
    <t>[591, 592, 593, 594]</t>
  </si>
  <si>
    <t>[481, 482, 483, 484]</t>
  </si>
  <si>
    <t>0.7</t>
  </si>
  <si>
    <t>[771, 772, 773]</t>
  </si>
  <si>
    <t>-0.1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</si>
  <si>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</si>
  <si>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[591, 593, 594]</t>
  </si>
  <si>
    <t xml:space="preserve">Para evitar reentrenar modelos (tarda 1/2 dias), elimine 81 partidos jugados desde 1/3/24 al 5/5/24 de Bundesliga de df_match y de df_integrated. </t>
  </si>
  <si>
    <t>Parametros para apostar</t>
  </si>
  <si>
    <t>ROI asses --&gt; ROI realidad</t>
  </si>
  <si>
    <t>max m</t>
  </si>
  <si>
    <t xml:space="preserve">Promedio ROI pp top 10 modelos </t>
  </si>
  <si>
    <t>max roi pp</t>
  </si>
  <si>
    <t>131.25</t>
  </si>
  <si>
    <t>81.22</t>
  </si>
  <si>
    <t>65.88</t>
  </si>
  <si>
    <t>65.55</t>
  </si>
  <si>
    <t>52.71</t>
  </si>
  <si>
    <t>16.39</t>
  </si>
  <si>
    <t>15.93</t>
  </si>
  <si>
    <t>13.89</t>
  </si>
  <si>
    <t>5.26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</si>
</sst>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#,##0.0"/>
    <numFmt numFmtId="166" formatCode="d/MM/yyyy"/>
    <numFmt numFmtId="167" formatCode="yyyy-mm-dd"/>
    <numFmt numFmtId="168" formatCode="dd.mm"/>
  </numFmts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color rgb="FF000000"/>
      <name val="Arial"/>
    </font>
    <font>
      <b/>
      <color theme="1"/>
      <name val="Arial"/>
      <scheme val="minor"/>
    </font>
    <font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3" fillId="0" fontId="3" numFmtId="164" xfId="0" applyAlignment="1" applyBorder="1" applyFont="1" applyNumberFormat="1">
      <alignment horizontal="center" readingOrder="0" vertical="center"/>
    </xf>
    <xf borderId="3" fillId="2" fontId="3" numFmtId="165" xfId="0" applyAlignment="1" applyBorder="1" applyFont="1" applyNumberForma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Border="1" applyFont="1"/>
    <xf borderId="3" fillId="2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 shrinkToFit="0" vertical="bottom" wrapText="1"/>
    </xf>
    <xf borderId="3" fillId="3" fontId="3" numFmtId="3" xfId="0" applyAlignment="1" applyBorder="1" applyFill="1" applyFont="1" applyNumberFormat="1">
      <alignment horizontal="center" vertical="center"/>
    </xf>
    <xf borderId="4" fillId="3" fontId="3" numFmtId="0" xfId="0" applyAlignment="1" applyBorder="1" applyFont="1">
      <alignment horizontal="center" vertical="center"/>
    </xf>
    <xf borderId="3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3" fillId="0" fontId="3" numFmtId="10" xfId="0" applyAlignment="1" applyBorder="1" applyFont="1" applyNumberFormat="1">
      <alignment horizontal="center" readingOrder="0" vertical="center"/>
    </xf>
    <xf borderId="0" fillId="0" fontId="2" numFmtId="4" xfId="0" applyAlignment="1" applyFont="1" applyNumberFormat="1">
      <alignment readingOrder="0"/>
    </xf>
    <xf borderId="3" fillId="3" fontId="3" numFmtId="3" xfId="0" applyAlignment="1" applyBorder="1" applyFont="1" applyNumberFormat="1">
      <alignment horizontal="center" readingOrder="0" vertical="center"/>
    </xf>
    <xf borderId="3" fillId="3" fontId="3" numFmtId="164" xfId="0" applyAlignment="1" applyBorder="1" applyFont="1" applyNumberFormat="1">
      <alignment horizontal="center" readingOrder="0" vertical="center"/>
    </xf>
    <xf borderId="3" fillId="2" fontId="3" numFmtId="0" xfId="0" applyAlignment="1" applyBorder="1" applyFont="1">
      <alignment horizontal="left" readingOrder="0" shrinkToFit="0" vertical="center" wrapText="0"/>
    </xf>
    <xf borderId="0" fillId="0" fontId="2" numFmtId="4" xfId="0" applyFont="1" applyNumberFormat="1"/>
    <xf borderId="0" fillId="0" fontId="2" numFmtId="166" xfId="0" applyAlignment="1" applyFont="1" applyNumberFormat="1">
      <alignment readingOrder="0"/>
    </xf>
    <xf borderId="0" fillId="4" fontId="4" numFmtId="167" xfId="0" applyAlignment="1" applyFill="1" applyFont="1" applyNumberFormat="1">
      <alignment horizontal="center" readingOrder="0"/>
    </xf>
    <xf borderId="0" fillId="0" fontId="2" numFmtId="9" xfId="0" applyFont="1" applyNumberFormat="1"/>
    <xf borderId="0" fillId="0" fontId="2" numFmtId="3" xfId="0" applyFont="1" applyNumberFormat="1"/>
    <xf borderId="0" fillId="0" fontId="2" numFmtId="10" xfId="0" applyFont="1" applyNumberFormat="1"/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horizontal="center" readingOrder="0" shrinkToFit="0" wrapText="1"/>
    </xf>
    <xf borderId="2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readingOrder="0" shrinkToFit="0" vertical="bottom" wrapText="1"/>
    </xf>
    <xf borderId="3" fillId="2" fontId="3" numFmtId="4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shrinkToFit="0" wrapText="1"/>
    </xf>
    <xf borderId="3" fillId="2" fontId="3" numFmtId="165" xfId="0" applyAlignment="1" applyBorder="1" applyFont="1" applyNumberFormat="1">
      <alignment horizontal="center" vertical="center"/>
    </xf>
    <xf borderId="3" fillId="0" fontId="3" numFmtId="9" xfId="0" applyAlignment="1" applyBorder="1" applyFont="1" applyNumberFormat="1">
      <alignment horizontal="center" vertical="center"/>
    </xf>
    <xf borderId="0" fillId="0" fontId="5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9" xfId="0" applyAlignment="1" applyFont="1" applyNumberFormat="1">
      <alignment readingOrder="0"/>
    </xf>
    <xf borderId="0" fillId="0" fontId="2" numFmtId="165" xfId="0" applyFont="1" applyNumberFormat="1"/>
    <xf borderId="0" fillId="0" fontId="2" numFmtId="0" xfId="0" applyAlignment="1" applyFont="1">
      <alignment horizontal="center" readingOrder="0" vertical="center"/>
    </xf>
    <xf borderId="5" fillId="5" fontId="6" numFmtId="0" xfId="0" applyAlignment="1" applyBorder="1" applyFill="1" applyFont="1">
      <alignment horizontal="right" readingOrder="0" shrinkToFit="0" vertical="bottom" wrapText="0"/>
    </xf>
    <xf borderId="5" fillId="6" fontId="6" numFmtId="0" xfId="0" applyAlignment="1" applyBorder="1" applyFill="1" applyFont="1">
      <alignment horizontal="right" readingOrder="0" shrinkToFit="0" vertical="bottom" wrapText="0"/>
    </xf>
    <xf borderId="5" fillId="6" fontId="6" numFmtId="168" xfId="0" applyAlignment="1" applyBorder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5" t="s">
        <v>21</v>
      </c>
      <c r="W1" s="1" t="s">
        <v>22</v>
      </c>
      <c r="X1" s="5" t="s">
        <v>23</v>
      </c>
      <c r="Y1" s="5" t="s">
        <v>24</v>
      </c>
      <c r="Z1" s="1" t="s">
        <v>25</v>
      </c>
      <c r="AA1" s="1" t="s">
        <v>26</v>
      </c>
      <c r="AB1" s="5" t="s">
        <v>27</v>
      </c>
      <c r="AC1" s="1" t="s">
        <v>28</v>
      </c>
      <c r="AD1" s="6"/>
      <c r="AE1" s="6"/>
      <c r="AF1" s="6"/>
      <c r="AG1" s="6"/>
      <c r="AH1" s="6"/>
    </row>
    <row r="2">
      <c r="A2" s="7">
        <v>55.0</v>
      </c>
      <c r="B2" s="8" t="s">
        <v>29</v>
      </c>
      <c r="C2" s="9">
        <v>45419.0</v>
      </c>
      <c r="D2" s="10">
        <v>2304.0</v>
      </c>
      <c r="E2" s="10"/>
      <c r="F2" s="11">
        <v>91.0</v>
      </c>
      <c r="G2" s="12">
        <v>30.0</v>
      </c>
      <c r="H2" s="13">
        <v>3.0</v>
      </c>
      <c r="I2" s="13" t="b">
        <v>1</v>
      </c>
      <c r="J2" s="12" t="s">
        <v>30</v>
      </c>
      <c r="K2" s="12" t="s">
        <v>31</v>
      </c>
      <c r="L2" s="12">
        <v>5.0</v>
      </c>
      <c r="M2" s="13" t="s">
        <v>32</v>
      </c>
      <c r="N2" s="13"/>
      <c r="O2" s="13"/>
      <c r="P2" s="14" t="s">
        <v>33</v>
      </c>
      <c r="Q2" s="15">
        <v>18.0</v>
      </c>
      <c r="R2" s="16">
        <v>45465.0</v>
      </c>
      <c r="S2" s="17">
        <v>341.17</v>
      </c>
      <c r="T2" s="17">
        <v>228.32</v>
      </c>
      <c r="U2" s="17">
        <f>T2*0.3</f>
        <v>68.496</v>
      </c>
      <c r="V2" s="7">
        <f>U2*'Hoja 2'!$B$3/'Hoja 2'!$B$4</f>
        <v>30</v>
      </c>
      <c r="W2" s="11" t="s">
        <v>34</v>
      </c>
      <c r="X2" s="18">
        <v>15.0684194244387</v>
      </c>
      <c r="Y2" s="18">
        <v>445.1980482158149</v>
      </c>
      <c r="Z2" s="12">
        <v>56.0</v>
      </c>
      <c r="AA2" s="18">
        <f t="shared" ref="AA2:AA8" si="1">Y2/Z2</f>
        <v>7.949965147</v>
      </c>
      <c r="AB2" s="18">
        <f>'Hoja 2'!$B$2*AA2</f>
        <v>1.192494772</v>
      </c>
      <c r="AC2" s="19"/>
    </row>
    <row r="3">
      <c r="A3" s="7">
        <v>148.0</v>
      </c>
      <c r="B3" s="8" t="s">
        <v>35</v>
      </c>
      <c r="C3" s="9">
        <v>45418.0</v>
      </c>
      <c r="D3" s="10">
        <v>768.0</v>
      </c>
      <c r="E3" s="20"/>
      <c r="F3" s="11">
        <v>547.0</v>
      </c>
      <c r="G3" s="21">
        <v>60.0</v>
      </c>
      <c r="H3" s="22">
        <v>3.0</v>
      </c>
      <c r="I3" s="21" t="b">
        <v>1</v>
      </c>
      <c r="J3" s="21" t="s">
        <v>30</v>
      </c>
      <c r="K3" s="22" t="s">
        <v>36</v>
      </c>
      <c r="L3" s="13"/>
      <c r="M3" s="13" t="s">
        <v>37</v>
      </c>
      <c r="N3" s="12" t="s">
        <v>38</v>
      </c>
      <c r="O3" s="13"/>
      <c r="P3" s="23" t="s">
        <v>39</v>
      </c>
      <c r="Q3" s="15">
        <v>25.0</v>
      </c>
      <c r="R3" s="9">
        <v>45440.0</v>
      </c>
      <c r="S3" s="17">
        <v>47.49</v>
      </c>
      <c r="T3" s="17">
        <v>182.82</v>
      </c>
      <c r="U3" s="17">
        <v>46.72</v>
      </c>
      <c r="V3" s="7">
        <f>U3*'Hoja 2'!$B$3/'Hoja 2'!$B$4</f>
        <v>20.46250876</v>
      </c>
      <c r="W3" s="11" t="s">
        <v>40</v>
      </c>
      <c r="X3" s="18">
        <v>36.8495516929146</v>
      </c>
      <c r="Y3" s="18">
        <v>1016.9271280401779</v>
      </c>
      <c r="Z3" s="12">
        <v>91.0</v>
      </c>
      <c r="AA3" s="18">
        <f t="shared" si="1"/>
        <v>11.17502339</v>
      </c>
      <c r="AB3" s="18">
        <f>'Hoja 2'!$B$2*AA3</f>
        <v>1.676253508</v>
      </c>
      <c r="AC3" s="24" t="s">
        <v>41</v>
      </c>
    </row>
    <row r="4" ht="41.25" customHeight="1">
      <c r="A4" s="25">
        <v>167.0</v>
      </c>
      <c r="B4" s="26" t="s">
        <v>42</v>
      </c>
      <c r="C4" s="16">
        <v>45467.0</v>
      </c>
      <c r="D4" s="10">
        <v>768.0</v>
      </c>
      <c r="E4" s="20"/>
      <c r="F4" s="11">
        <v>27.0</v>
      </c>
      <c r="G4" s="12">
        <v>30.0</v>
      </c>
      <c r="H4" s="13">
        <v>3.0</v>
      </c>
      <c r="I4" s="13" t="b">
        <v>1</v>
      </c>
      <c r="J4" s="12" t="s">
        <v>43</v>
      </c>
      <c r="K4" s="12" t="s">
        <v>31</v>
      </c>
      <c r="L4" s="27">
        <v>3.0</v>
      </c>
      <c r="M4" s="13" t="s">
        <v>44</v>
      </c>
      <c r="N4" s="12" t="s">
        <v>38</v>
      </c>
      <c r="O4" s="12"/>
      <c r="P4" s="28" t="s">
        <v>39</v>
      </c>
      <c r="Q4" s="15">
        <v>20.0</v>
      </c>
      <c r="R4" s="16">
        <v>45494.0</v>
      </c>
      <c r="S4" s="17">
        <v>17.23</v>
      </c>
      <c r="T4" s="17">
        <v>3.59</v>
      </c>
      <c r="U4" s="17"/>
      <c r="V4" s="7">
        <f>U4*'Hoja 2'!$B$3/'Hoja 2'!$B$4</f>
        <v>0</v>
      </c>
      <c r="W4" s="11" t="s">
        <v>45</v>
      </c>
      <c r="X4" s="18">
        <v>0.0825</v>
      </c>
      <c r="Y4" s="18">
        <v>45.07</v>
      </c>
      <c r="Z4" s="12">
        <v>139.0</v>
      </c>
      <c r="AA4" s="18">
        <f t="shared" si="1"/>
        <v>0.3242446043</v>
      </c>
      <c r="AB4" s="18">
        <f>'Hoja 2'!$B$2*AA4</f>
        <v>0.04863669065</v>
      </c>
      <c r="AC4" s="29" t="s">
        <v>46</v>
      </c>
    </row>
    <row r="5" ht="31.5" customHeight="1">
      <c r="A5" s="7">
        <v>6.0</v>
      </c>
      <c r="B5" s="8" t="s">
        <v>47</v>
      </c>
      <c r="C5" s="9">
        <v>45419.0</v>
      </c>
      <c r="D5" s="10">
        <v>2304.0</v>
      </c>
      <c r="E5" s="20"/>
      <c r="F5" s="11">
        <v>779.0</v>
      </c>
      <c r="G5" s="13">
        <v>30.0</v>
      </c>
      <c r="H5" s="13">
        <v>3.0</v>
      </c>
      <c r="I5" s="13" t="b">
        <v>0</v>
      </c>
      <c r="J5" s="13"/>
      <c r="K5" s="12" t="s">
        <v>31</v>
      </c>
      <c r="L5" s="12">
        <v>10.0</v>
      </c>
      <c r="M5" s="12" t="s">
        <v>48</v>
      </c>
      <c r="N5" s="13" t="s">
        <v>38</v>
      </c>
      <c r="O5" s="13" t="s">
        <v>49</v>
      </c>
      <c r="P5" s="14" t="s">
        <v>39</v>
      </c>
      <c r="Q5" s="15">
        <v>21.0</v>
      </c>
      <c r="R5" s="16">
        <v>45488.0</v>
      </c>
      <c r="S5" s="17">
        <v>8.402</v>
      </c>
      <c r="T5" s="17">
        <v>3.56</v>
      </c>
      <c r="U5" s="17">
        <v>8.4</v>
      </c>
      <c r="V5" s="7">
        <f>U5*'Hoja 2'!$B$3/'Hoja 2'!$B$4</f>
        <v>3.679046952</v>
      </c>
      <c r="W5" s="7" t="s">
        <v>45</v>
      </c>
      <c r="X5" s="30">
        <v>-6.0E-4</v>
      </c>
      <c r="Y5" s="18">
        <v>8.39</v>
      </c>
      <c r="Z5" s="12">
        <v>92.0</v>
      </c>
      <c r="AA5" s="18">
        <f t="shared" si="1"/>
        <v>0.09119565217</v>
      </c>
      <c r="AB5" s="18">
        <f>'Hoja 2'!$B$2*AA5</f>
        <v>0.01367934783</v>
      </c>
      <c r="AC5" s="29" t="s">
        <v>50</v>
      </c>
      <c r="AG5" s="31"/>
    </row>
    <row r="6" ht="41.25" customHeight="1">
      <c r="A6" s="32">
        <v>48.0</v>
      </c>
      <c r="B6" s="26" t="s">
        <v>51</v>
      </c>
      <c r="C6" s="33">
        <v>45502.0</v>
      </c>
      <c r="D6" s="10">
        <v>1728.0</v>
      </c>
      <c r="E6" s="34" t="s">
        <v>52</v>
      </c>
      <c r="F6" s="11"/>
      <c r="G6" s="12"/>
      <c r="H6" s="13"/>
      <c r="I6" s="13"/>
      <c r="J6" s="13"/>
      <c r="K6" s="13"/>
      <c r="L6" s="12"/>
      <c r="M6" s="13"/>
      <c r="N6" s="12"/>
      <c r="O6" s="13"/>
      <c r="P6" s="28"/>
      <c r="Q6" s="15"/>
      <c r="R6" s="16"/>
      <c r="S6" s="17"/>
      <c r="T6" s="17"/>
      <c r="U6" s="17"/>
      <c r="V6" s="7">
        <f>U6*'Hoja 2'!$B$3/'Hoja 2'!$B$4</f>
        <v>0</v>
      </c>
      <c r="W6" s="7"/>
      <c r="X6" s="18"/>
      <c r="Y6" s="18"/>
      <c r="Z6" s="13"/>
      <c r="AA6" s="18" t="str">
        <f t="shared" si="1"/>
        <v>#DIV/0!</v>
      </c>
      <c r="AB6" s="18" t="str">
        <f>'Hoja 2'!$B$2*AA6</f>
        <v>#DIV/0!</v>
      </c>
      <c r="AC6" s="19"/>
      <c r="AG6" s="35"/>
    </row>
    <row r="7" ht="40.5" customHeight="1">
      <c r="A7" s="7">
        <v>77.0</v>
      </c>
      <c r="B7" s="8" t="s">
        <v>53</v>
      </c>
      <c r="C7" s="16">
        <v>45498.0</v>
      </c>
      <c r="D7" s="10">
        <v>1152.0</v>
      </c>
      <c r="E7" s="34" t="s">
        <v>54</v>
      </c>
      <c r="F7" s="11">
        <v>174.0</v>
      </c>
      <c r="G7" s="12">
        <v>30.0</v>
      </c>
      <c r="H7" s="12">
        <v>3.0</v>
      </c>
      <c r="I7" s="12" t="b">
        <v>1</v>
      </c>
      <c r="J7" s="12" t="s">
        <v>43</v>
      </c>
      <c r="K7" s="12" t="s">
        <v>36</v>
      </c>
      <c r="L7" s="12">
        <v>5.0</v>
      </c>
      <c r="M7" s="12" t="s">
        <v>55</v>
      </c>
      <c r="N7" s="13"/>
      <c r="O7" s="13" t="s">
        <v>49</v>
      </c>
      <c r="P7" s="14" t="s">
        <v>33</v>
      </c>
      <c r="Q7" s="15">
        <v>35.0</v>
      </c>
      <c r="R7" s="16">
        <v>45498.0</v>
      </c>
      <c r="S7" s="17">
        <v>15.41</v>
      </c>
      <c r="T7" s="17">
        <v>1.42</v>
      </c>
      <c r="U7" s="17">
        <v>15.41</v>
      </c>
      <c r="V7" s="7">
        <f>U7*'Hoja 2'!$B$3/'Hoja 2'!$B$4</f>
        <v>6.749299229</v>
      </c>
      <c r="W7" s="7" t="s">
        <v>45</v>
      </c>
      <c r="X7" s="30">
        <v>0.047</v>
      </c>
      <c r="Y7" s="18">
        <v>22.1969</v>
      </c>
      <c r="Z7" s="12">
        <v>100.0</v>
      </c>
      <c r="AA7" s="18">
        <f t="shared" si="1"/>
        <v>0.221969</v>
      </c>
      <c r="AB7" s="18">
        <f>'Hoja 2'!$B$2*AA7</f>
        <v>0.03329535</v>
      </c>
      <c r="AC7" s="29" t="s">
        <v>56</v>
      </c>
      <c r="AG7" s="35"/>
    </row>
    <row r="8" ht="39.0" customHeight="1">
      <c r="A8" s="7">
        <v>59.0</v>
      </c>
      <c r="B8" s="8" t="s">
        <v>57</v>
      </c>
      <c r="C8" s="16">
        <v>45498.0</v>
      </c>
      <c r="D8" s="10">
        <v>1152.0</v>
      </c>
      <c r="E8" s="34" t="s">
        <v>54</v>
      </c>
      <c r="F8" s="11">
        <v>287.0</v>
      </c>
      <c r="G8" s="12">
        <v>30.0</v>
      </c>
      <c r="H8" s="12">
        <v>3.0</v>
      </c>
      <c r="I8" s="12" t="b">
        <v>1</v>
      </c>
      <c r="J8" s="13"/>
      <c r="K8" s="13"/>
      <c r="L8" s="13"/>
      <c r="M8" s="12" t="s">
        <v>58</v>
      </c>
      <c r="N8" s="12" t="s">
        <v>38</v>
      </c>
      <c r="O8" s="13"/>
      <c r="P8" s="28" t="s">
        <v>39</v>
      </c>
      <c r="Q8" s="15">
        <v>47.0</v>
      </c>
      <c r="R8" s="16">
        <v>45498.0</v>
      </c>
      <c r="S8" s="17">
        <v>6.51</v>
      </c>
      <c r="T8" s="17">
        <v>21.87</v>
      </c>
      <c r="U8" s="17">
        <v>8.63</v>
      </c>
      <c r="V8" s="7">
        <f>U8*'Hoja 2'!$B$3/'Hoja 2'!$B$4</f>
        <v>3.779782761</v>
      </c>
      <c r="W8" s="11" t="s">
        <v>34</v>
      </c>
      <c r="X8" s="30">
        <v>0.3172</v>
      </c>
      <c r="Y8" s="18">
        <v>16.6877</v>
      </c>
      <c r="Z8" s="12">
        <v>120.0</v>
      </c>
      <c r="AA8" s="18">
        <f t="shared" si="1"/>
        <v>0.1390641667</v>
      </c>
      <c r="AB8" s="18">
        <f>'Hoja 2'!$B$2*AA8</f>
        <v>0.020859625</v>
      </c>
      <c r="AC8" s="29"/>
      <c r="AG8" s="35"/>
    </row>
    <row r="9">
      <c r="AG9" s="35"/>
    </row>
    <row r="10">
      <c r="C10" s="36"/>
      <c r="D10" s="36"/>
      <c r="E10" s="36"/>
      <c r="F10" s="36"/>
      <c r="H10" s="37"/>
      <c r="AB10" s="38"/>
      <c r="AG10" s="35"/>
    </row>
    <row r="11">
      <c r="C11" s="36"/>
      <c r="D11" s="36"/>
      <c r="E11" s="36"/>
      <c r="F11" s="36"/>
      <c r="S11" s="39"/>
      <c r="T11" s="39"/>
      <c r="U11" s="39"/>
      <c r="V11" s="39"/>
      <c r="AG11" s="35"/>
    </row>
    <row r="12">
      <c r="C12" s="36"/>
      <c r="D12" s="36"/>
      <c r="E12" s="36"/>
      <c r="F12" s="36"/>
      <c r="S12" s="31"/>
      <c r="T12" s="40"/>
      <c r="U12" s="40"/>
      <c r="AG12" s="35"/>
    </row>
    <row r="13">
      <c r="C13" s="36"/>
      <c r="D13" s="36"/>
      <c r="E13" s="36"/>
      <c r="F13" s="36"/>
      <c r="T13" s="40"/>
      <c r="U13" s="40"/>
      <c r="AB13" s="39"/>
      <c r="AG13" s="35"/>
    </row>
    <row r="14">
      <c r="T14" s="39"/>
      <c r="U14" s="39"/>
      <c r="AG14" s="35"/>
    </row>
    <row r="17">
      <c r="J17" s="37"/>
    </row>
  </sheetData>
  <autoFilter ref="$A$1:$AC$8">
    <sortState ref="A1:AC8">
      <sortCondition descending="1" ref="T1:T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5" max="5" width="21.38"/>
    <col customWidth="1" min="28" max="28" width="79.88"/>
  </cols>
  <sheetData>
    <row r="1">
      <c r="A1" s="41" t="s">
        <v>0</v>
      </c>
      <c r="B1" s="42" t="s">
        <v>1</v>
      </c>
      <c r="C1" s="41" t="s">
        <v>2</v>
      </c>
      <c r="D1" s="43" t="s">
        <v>3</v>
      </c>
      <c r="E1" s="43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s="44" t="s">
        <v>16</v>
      </c>
      <c r="R1" s="41" t="s">
        <v>17</v>
      </c>
      <c r="S1" s="43" t="s">
        <v>18</v>
      </c>
      <c r="T1" s="43" t="s">
        <v>19</v>
      </c>
      <c r="U1" s="45" t="s">
        <v>21</v>
      </c>
      <c r="V1" s="41" t="s">
        <v>22</v>
      </c>
      <c r="W1" s="45" t="s">
        <v>23</v>
      </c>
      <c r="X1" s="45" t="s">
        <v>24</v>
      </c>
      <c r="Y1" s="41" t="s">
        <v>25</v>
      </c>
      <c r="Z1" s="41" t="s">
        <v>26</v>
      </c>
      <c r="AA1" s="45" t="s">
        <v>27</v>
      </c>
      <c r="AB1" s="41" t="s">
        <v>28</v>
      </c>
      <c r="AC1" s="46"/>
      <c r="AD1" s="46"/>
      <c r="AE1" s="46"/>
    </row>
    <row r="2">
      <c r="A2" s="7">
        <v>55.0</v>
      </c>
      <c r="B2" s="8" t="s">
        <v>29</v>
      </c>
      <c r="C2" s="9">
        <v>45419.0</v>
      </c>
      <c r="D2" s="10">
        <v>2304.0</v>
      </c>
      <c r="E2" s="10"/>
      <c r="F2" s="11">
        <v>91.0</v>
      </c>
      <c r="G2" s="12">
        <v>30.0</v>
      </c>
      <c r="H2" s="13">
        <v>3.0</v>
      </c>
      <c r="I2" s="13" t="b">
        <v>1</v>
      </c>
      <c r="J2" s="12" t="s">
        <v>30</v>
      </c>
      <c r="K2" s="12" t="s">
        <v>31</v>
      </c>
      <c r="L2" s="12">
        <v>5.0</v>
      </c>
      <c r="M2" s="13" t="s">
        <v>32</v>
      </c>
      <c r="N2" s="13"/>
      <c r="O2" s="13"/>
      <c r="P2" s="14" t="s">
        <v>33</v>
      </c>
      <c r="Q2" s="15">
        <v>18.0</v>
      </c>
      <c r="R2" s="16">
        <v>45465.0</v>
      </c>
      <c r="S2" s="17">
        <v>341.17</v>
      </c>
      <c r="T2" s="17">
        <v>228.32</v>
      </c>
      <c r="U2" s="7">
        <f>T2*'Hoja 2'!$B$3/'Hoja 2'!$B$4</f>
        <v>100</v>
      </c>
      <c r="V2" s="11" t="s">
        <v>34</v>
      </c>
      <c r="W2" s="18">
        <v>15.0684194244387</v>
      </c>
      <c r="X2" s="18">
        <v>445.1980482158149</v>
      </c>
      <c r="Y2" s="12">
        <v>56.0</v>
      </c>
      <c r="Z2" s="18">
        <f t="shared" ref="Z2:Z8" si="1">X2/Y2</f>
        <v>7.949965147</v>
      </c>
      <c r="AA2" s="18">
        <f>'Hoja 2'!$B$2*Z2</f>
        <v>1.192494772</v>
      </c>
      <c r="AB2" s="19"/>
      <c r="AC2" s="47"/>
      <c r="AD2" s="47"/>
      <c r="AE2" s="47"/>
    </row>
    <row r="3">
      <c r="A3" s="7">
        <v>148.0</v>
      </c>
      <c r="B3" s="8" t="s">
        <v>35</v>
      </c>
      <c r="C3" s="9">
        <v>45418.0</v>
      </c>
      <c r="D3" s="10">
        <v>768.0</v>
      </c>
      <c r="E3" s="20"/>
      <c r="F3" s="11">
        <v>547.0</v>
      </c>
      <c r="G3" s="21">
        <v>60.0</v>
      </c>
      <c r="H3" s="22">
        <v>3.0</v>
      </c>
      <c r="I3" s="21" t="b">
        <v>1</v>
      </c>
      <c r="J3" s="21" t="s">
        <v>30</v>
      </c>
      <c r="K3" s="22" t="s">
        <v>36</v>
      </c>
      <c r="L3" s="13"/>
      <c r="M3" s="13" t="s">
        <v>37</v>
      </c>
      <c r="N3" s="12" t="s">
        <v>38</v>
      </c>
      <c r="O3" s="13"/>
      <c r="P3" s="23" t="s">
        <v>39</v>
      </c>
      <c r="Q3" s="15">
        <v>25.0</v>
      </c>
      <c r="R3" s="9">
        <v>45440.0</v>
      </c>
      <c r="S3" s="17">
        <v>47.49</v>
      </c>
      <c r="T3" s="17">
        <v>182.82</v>
      </c>
      <c r="U3" s="7">
        <f>T3*'Hoja 2'!$B$3/'Hoja 2'!$B$4</f>
        <v>80.07182901</v>
      </c>
      <c r="V3" s="11" t="s">
        <v>40</v>
      </c>
      <c r="W3" s="18">
        <v>36.8495516929146</v>
      </c>
      <c r="X3" s="18">
        <v>1016.9271280401779</v>
      </c>
      <c r="Y3" s="12">
        <v>91.0</v>
      </c>
      <c r="Z3" s="18">
        <f t="shared" si="1"/>
        <v>11.17502339</v>
      </c>
      <c r="AA3" s="18">
        <f>'Hoja 2'!$B$2*Z3</f>
        <v>1.676253508</v>
      </c>
      <c r="AB3" s="24" t="s">
        <v>41</v>
      </c>
      <c r="AC3" s="48"/>
      <c r="AD3" s="48"/>
      <c r="AE3" s="48"/>
    </row>
    <row r="4">
      <c r="A4" s="25">
        <v>48.0</v>
      </c>
      <c r="B4" s="26" t="s">
        <v>51</v>
      </c>
      <c r="C4" s="9">
        <v>45419.0</v>
      </c>
      <c r="D4" s="10">
        <v>1536.0</v>
      </c>
      <c r="E4" s="20"/>
      <c r="F4" s="11">
        <v>808.0</v>
      </c>
      <c r="G4" s="12">
        <v>60.0</v>
      </c>
      <c r="H4" s="13">
        <v>3.0</v>
      </c>
      <c r="I4" s="13" t="b">
        <v>1</v>
      </c>
      <c r="J4" s="13"/>
      <c r="K4" s="13" t="s">
        <v>31</v>
      </c>
      <c r="L4" s="27">
        <v>3.0</v>
      </c>
      <c r="M4" s="13" t="s">
        <v>59</v>
      </c>
      <c r="N4" s="12" t="s">
        <v>38</v>
      </c>
      <c r="O4" s="13" t="s">
        <v>49</v>
      </c>
      <c r="P4" s="28" t="s">
        <v>33</v>
      </c>
      <c r="Q4" s="15">
        <v>34.0</v>
      </c>
      <c r="R4" s="16">
        <v>45465.0</v>
      </c>
      <c r="S4" s="17">
        <v>55.29</v>
      </c>
      <c r="T4" s="17">
        <v>17.63</v>
      </c>
      <c r="U4" s="7">
        <f>T4*'Hoja 2'!$B$3/'Hoja 2'!$B$4</f>
        <v>7.721618781</v>
      </c>
      <c r="V4" s="7" t="s">
        <v>45</v>
      </c>
      <c r="W4" s="18">
        <v>0.52</v>
      </c>
      <c r="X4" s="18">
        <v>526.3246948871299</v>
      </c>
      <c r="Y4" s="13">
        <v>122.0</v>
      </c>
      <c r="Z4" s="18">
        <f t="shared" si="1"/>
        <v>4.314136843</v>
      </c>
      <c r="AA4" s="18">
        <f>'Hoja 2'!$B$2*Z4</f>
        <v>0.6471205265</v>
      </c>
      <c r="AB4" s="19"/>
      <c r="AC4" s="47"/>
      <c r="AD4" s="47"/>
      <c r="AE4" s="47"/>
    </row>
    <row r="5" ht="24.0" customHeight="1">
      <c r="A5" s="25">
        <v>77.0</v>
      </c>
      <c r="B5" s="26" t="s">
        <v>53</v>
      </c>
      <c r="C5" s="33">
        <v>45498.0</v>
      </c>
      <c r="D5" s="10">
        <v>1152.0</v>
      </c>
      <c r="E5" s="20" t="s">
        <v>54</v>
      </c>
      <c r="F5" s="11">
        <v>194.0</v>
      </c>
      <c r="G5" s="12">
        <v>30.0</v>
      </c>
      <c r="H5" s="13">
        <v>3.0</v>
      </c>
      <c r="I5" s="12" t="b">
        <v>1</v>
      </c>
      <c r="J5" s="12" t="s">
        <v>60</v>
      </c>
      <c r="K5" s="12" t="s">
        <v>31</v>
      </c>
      <c r="L5" s="12">
        <v>10.0</v>
      </c>
      <c r="M5" s="13" t="s">
        <v>61</v>
      </c>
      <c r="N5" s="13"/>
      <c r="O5" s="13" t="s">
        <v>49</v>
      </c>
      <c r="P5" s="14" t="s">
        <v>33</v>
      </c>
      <c r="Q5" s="15">
        <v>11.0</v>
      </c>
      <c r="R5" s="16">
        <v>45465.0</v>
      </c>
      <c r="S5" s="49">
        <v>15.508000000000001</v>
      </c>
      <c r="T5" s="10">
        <v>3.97</v>
      </c>
      <c r="U5" s="7">
        <f>T5*'Hoja 2'!$B$3/'Hoja 2'!$B$4</f>
        <v>1.738787666</v>
      </c>
      <c r="V5" s="11" t="s">
        <v>62</v>
      </c>
      <c r="W5" s="30">
        <v>0.1452</v>
      </c>
      <c r="X5" s="18">
        <v>48.05</v>
      </c>
      <c r="Y5" s="12">
        <v>100.0</v>
      </c>
      <c r="Z5" s="18">
        <f t="shared" si="1"/>
        <v>0.4805</v>
      </c>
      <c r="AA5" s="18">
        <f>'Hoja 2'!$B$2*Z5</f>
        <v>0.072075</v>
      </c>
      <c r="AB5" s="29" t="s">
        <v>56</v>
      </c>
      <c r="AC5" s="50"/>
      <c r="AD5" s="50"/>
      <c r="AE5" s="50"/>
    </row>
    <row r="6">
      <c r="A6" s="25">
        <v>167.0</v>
      </c>
      <c r="B6" s="26" t="s">
        <v>42</v>
      </c>
      <c r="C6" s="16">
        <v>45467.0</v>
      </c>
      <c r="D6" s="10">
        <v>768.0</v>
      </c>
      <c r="E6" s="20"/>
      <c r="F6" s="11">
        <v>27.0</v>
      </c>
      <c r="G6" s="12">
        <v>30.0</v>
      </c>
      <c r="H6" s="13">
        <v>3.0</v>
      </c>
      <c r="I6" s="13" t="b">
        <v>1</v>
      </c>
      <c r="J6" s="12" t="s">
        <v>43</v>
      </c>
      <c r="K6" s="12" t="s">
        <v>31</v>
      </c>
      <c r="L6" s="27">
        <v>3.0</v>
      </c>
      <c r="M6" s="13" t="s">
        <v>44</v>
      </c>
      <c r="N6" s="12" t="s">
        <v>38</v>
      </c>
      <c r="O6" s="12"/>
      <c r="P6" s="28" t="s">
        <v>39</v>
      </c>
      <c r="Q6" s="15">
        <v>20.0</v>
      </c>
      <c r="R6" s="16">
        <v>45494.0</v>
      </c>
      <c r="S6" s="17">
        <v>17.23</v>
      </c>
      <c r="T6" s="17">
        <v>3.59</v>
      </c>
      <c r="U6" s="7">
        <f>T6*'Hoja 2'!$B$3/'Hoja 2'!$B$4</f>
        <v>1.57235459</v>
      </c>
      <c r="V6" s="11" t="s">
        <v>45</v>
      </c>
      <c r="W6" s="18">
        <v>0.0825</v>
      </c>
      <c r="X6" s="18">
        <v>45.07</v>
      </c>
      <c r="Y6" s="12">
        <v>139.0</v>
      </c>
      <c r="Z6" s="18">
        <f t="shared" si="1"/>
        <v>0.3242446043</v>
      </c>
      <c r="AA6" s="18">
        <f>'Hoja 2'!$B$2*Z6</f>
        <v>0.04863669065</v>
      </c>
      <c r="AB6" s="29" t="s">
        <v>46</v>
      </c>
      <c r="AC6" s="50"/>
      <c r="AD6" s="50"/>
      <c r="AE6" s="50"/>
    </row>
    <row r="7" ht="49.5" customHeight="1">
      <c r="A7" s="7">
        <v>6.0</v>
      </c>
      <c r="B7" s="8" t="s">
        <v>47</v>
      </c>
      <c r="C7" s="9">
        <v>45419.0</v>
      </c>
      <c r="D7" s="10">
        <v>2304.0</v>
      </c>
      <c r="E7" s="20"/>
      <c r="F7" s="11">
        <v>779.0</v>
      </c>
      <c r="G7" s="13">
        <v>30.0</v>
      </c>
      <c r="H7" s="13">
        <v>3.0</v>
      </c>
      <c r="I7" s="13" t="b">
        <v>0</v>
      </c>
      <c r="J7" s="13"/>
      <c r="K7" s="12" t="s">
        <v>31</v>
      </c>
      <c r="L7" s="12">
        <v>10.0</v>
      </c>
      <c r="M7" s="12" t="s">
        <v>48</v>
      </c>
      <c r="N7" s="13" t="s">
        <v>38</v>
      </c>
      <c r="O7" s="13" t="s">
        <v>49</v>
      </c>
      <c r="P7" s="14" t="s">
        <v>39</v>
      </c>
      <c r="Q7" s="15">
        <v>21.0</v>
      </c>
      <c r="R7" s="16">
        <v>45488.0</v>
      </c>
      <c r="S7" s="17">
        <v>8.402</v>
      </c>
      <c r="T7" s="17">
        <v>3.56</v>
      </c>
      <c r="U7" s="7">
        <f>T7*'Hoja 2'!$B$3/'Hoja 2'!$B$4</f>
        <v>1.559215137</v>
      </c>
      <c r="V7" s="7" t="s">
        <v>45</v>
      </c>
      <c r="W7" s="30">
        <v>-6.0E-4</v>
      </c>
      <c r="X7" s="18">
        <v>8.39</v>
      </c>
      <c r="Y7" s="12">
        <v>92.0</v>
      </c>
      <c r="Z7" s="18">
        <f t="shared" si="1"/>
        <v>0.09119565217</v>
      </c>
      <c r="AA7" s="18">
        <f>'Hoja 2'!$B$2*Z7</f>
        <v>0.01367934783</v>
      </c>
      <c r="AB7" s="29" t="s">
        <v>63</v>
      </c>
      <c r="AC7" s="50"/>
      <c r="AD7" s="50"/>
      <c r="AE7" s="50"/>
    </row>
    <row r="8" ht="63.75" customHeight="1">
      <c r="A8" s="25">
        <v>59.0</v>
      </c>
      <c r="B8" s="26" t="s">
        <v>57</v>
      </c>
      <c r="C8" s="33">
        <v>45498.0</v>
      </c>
      <c r="D8" s="10">
        <v>1152.0</v>
      </c>
      <c r="E8" s="20" t="s">
        <v>54</v>
      </c>
      <c r="F8" s="7">
        <v>1757.0</v>
      </c>
      <c r="G8" s="13">
        <v>60.0</v>
      </c>
      <c r="H8" s="13">
        <v>3.0</v>
      </c>
      <c r="I8" s="13" t="b">
        <v>0</v>
      </c>
      <c r="J8" s="13" t="s">
        <v>30</v>
      </c>
      <c r="K8" s="13" t="s">
        <v>36</v>
      </c>
      <c r="L8" s="13">
        <v>3.0</v>
      </c>
      <c r="M8" s="13" t="s">
        <v>64</v>
      </c>
      <c r="N8" s="13" t="s">
        <v>38</v>
      </c>
      <c r="O8" s="13" t="s">
        <v>49</v>
      </c>
      <c r="P8" s="14" t="s">
        <v>33</v>
      </c>
      <c r="Q8" s="15">
        <v>32.0</v>
      </c>
      <c r="R8" s="16">
        <v>45465.0</v>
      </c>
      <c r="S8" s="51"/>
      <c r="T8" s="51"/>
      <c r="U8" s="7">
        <f>T8*'Hoja 2'!$B$3/'Hoja 2'!$B$4</f>
        <v>0</v>
      </c>
      <c r="V8" s="7" t="s">
        <v>45</v>
      </c>
      <c r="W8" s="52"/>
      <c r="X8" s="18">
        <v>4.0</v>
      </c>
      <c r="Y8" s="12">
        <v>20.0</v>
      </c>
      <c r="Z8" s="18">
        <f t="shared" si="1"/>
        <v>0.2</v>
      </c>
      <c r="AA8" s="18">
        <f>'Hoja 2'!$B$2*Z8</f>
        <v>0.03</v>
      </c>
      <c r="AB8" s="29" t="s">
        <v>65</v>
      </c>
      <c r="AC8" s="50"/>
      <c r="AD8" s="50"/>
      <c r="AE8" s="50"/>
    </row>
  </sheetData>
  <conditionalFormatting sqref="Y2:Y8">
    <cfRule type="colorScale" priority="1">
      <colorScale>
        <cfvo type="min"/>
        <cfvo type="max"/>
        <color rgb="FFFFFFFF"/>
        <color rgb="FFFFD666"/>
      </colorScale>
    </cfRule>
  </conditionalFormatting>
  <conditionalFormatting sqref="Z2:AA8">
    <cfRule type="colorScale" priority="2">
      <colorScale>
        <cfvo type="min"/>
        <cfvo type="max"/>
        <color rgb="FFFFFFFF"/>
        <color rgb="FF57BB8A"/>
      </colorScale>
    </cfRule>
  </conditionalFormatting>
  <conditionalFormatting sqref="X2:X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66</v>
      </c>
    </row>
    <row r="2">
      <c r="A2" s="54" t="s">
        <v>67</v>
      </c>
      <c r="B2" s="55">
        <v>0.15</v>
      </c>
    </row>
    <row r="3">
      <c r="A3" s="53" t="s">
        <v>68</v>
      </c>
      <c r="B3" s="54">
        <v>30.0</v>
      </c>
      <c r="E3" s="54" t="s">
        <v>69</v>
      </c>
    </row>
    <row r="4">
      <c r="A4" s="53" t="s">
        <v>70</v>
      </c>
      <c r="B4" s="56">
        <f>MAX('Hoja 1'!U2:U8)</f>
        <v>68.496</v>
      </c>
      <c r="F4" s="35">
        <f>AVERAGE(F7:F16)</f>
        <v>46.717</v>
      </c>
    </row>
    <row r="7">
      <c r="A7" s="57">
        <v>30.0</v>
      </c>
      <c r="B7" s="57">
        <v>1118.0</v>
      </c>
      <c r="E7" s="58" t="s">
        <v>71</v>
      </c>
      <c r="F7" s="35">
        <f t="shared" ref="F7:F16" si="1">REPLACE(E7,FIND(".",E7),1,",")*1</f>
        <v>131.25</v>
      </c>
    </row>
    <row r="8">
      <c r="E8" s="59" t="s">
        <v>72</v>
      </c>
      <c r="F8" s="35">
        <f t="shared" si="1"/>
        <v>81.22</v>
      </c>
    </row>
    <row r="9">
      <c r="E9" s="58" t="s">
        <v>73</v>
      </c>
      <c r="F9" s="35">
        <f t="shared" si="1"/>
        <v>65.88</v>
      </c>
    </row>
    <row r="10">
      <c r="E10" s="59" t="s">
        <v>74</v>
      </c>
      <c r="F10" s="35">
        <f t="shared" si="1"/>
        <v>65.55</v>
      </c>
    </row>
    <row r="11">
      <c r="E11" s="58" t="s">
        <v>75</v>
      </c>
      <c r="F11" s="35">
        <f t="shared" si="1"/>
        <v>52.71</v>
      </c>
    </row>
    <row r="12">
      <c r="E12" s="60">
        <v>45554.0</v>
      </c>
      <c r="F12" s="35">
        <f t="shared" si="1"/>
        <v>19.09</v>
      </c>
    </row>
    <row r="13">
      <c r="E13" s="58" t="s">
        <v>76</v>
      </c>
      <c r="F13" s="35">
        <f t="shared" si="1"/>
        <v>16.39</v>
      </c>
    </row>
    <row r="14">
      <c r="E14" s="59" t="s">
        <v>77</v>
      </c>
      <c r="F14" s="35">
        <f t="shared" si="1"/>
        <v>15.93</v>
      </c>
    </row>
    <row r="15">
      <c r="E15" s="58" t="s">
        <v>78</v>
      </c>
      <c r="F15" s="35">
        <f t="shared" si="1"/>
        <v>13.89</v>
      </c>
    </row>
    <row r="16">
      <c r="E16" s="59" t="s">
        <v>79</v>
      </c>
      <c r="F16" s="35">
        <f t="shared" si="1"/>
        <v>5.26</v>
      </c>
    </row>
  </sheetData>
  <drawing r:id="rId1"/>
</worksheet>
</file>