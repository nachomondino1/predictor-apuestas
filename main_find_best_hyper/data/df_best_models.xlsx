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ja 1" sheetId="1" r:id="rId4"/>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O1">
      <text>
        <t xml:space="preserve">Fecha de evaluacion de modelos ya entrenados con partidos missing ("en produccion").</t>
      </text>
    </comment>
    <comment authorId="0" ref="P1">
      <text>
        <t xml:space="preserve">Idealmente -0.5 para que vaya por el rdo predicho (por que tal vez a la gente no le paso el resultado a apostar)</t>
      </text>
    </comment>
    <comment authorId="0" ref="S1">
      <text>
        <t xml:space="preserve">solo en las competiciones que estan en comp_to_select</t>
      </text>
    </comment>
    <comment authorId="0" ref="T1">
      <text>
        <t xml:space="preserve">A veces elimina muchos paritdos en la preparacion por NaN values. sobretodo en España.
Tuve que implementar el relleneado de datos no disponibles en assess para evitar borrar muchos partidos.</t>
      </text>
    </comment>
    <comment authorId="0" ref="U1">
      <text>
        <t xml:space="preserve">el m a utilizar cuando apuesto</t>
      </text>
    </comment>
    <comment authorId="0" ref="V2">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5">
      <text>
        <t xml:space="preserve">Antes de rellenar datos, 47 partidos de 52</t>
      </text>
    </comment>
    <comment authorId="0" ref="T6">
      <text>
        <t xml:space="preserve">Antes de rellenar datos, 116 partidos de 122</t>
      </text>
    </comment>
    <comment authorId="0" ref="T7">
      <text>
        <t xml:space="preserve">Antes de rellenar datos, 18 partidos de 18</t>
      </text>
    </comment>
  </commentList>
</comments>
</file>

<file path=xl/sharedStrings.xml><?xml version="1.0" encoding="utf-8"?>
<sst xmlns="http://schemas.openxmlformats.org/spreadsheetml/2006/main" count="77" uniqueCount="57">
  <si>
    <t>id_country</t>
  </si>
  <si>
    <t>country</t>
  </si>
  <si>
    <t>iteration_date</t>
  </si>
  <si>
    <t>n_model</t>
  </si>
  <si>
    <t>Model</t>
  </si>
  <si>
    <t>n_dias_ult_part</t>
  </si>
  <si>
    <t>n_anios_hist</t>
  </si>
  <si>
    <t>segun_localia</t>
  </si>
  <si>
    <t>thr_corr</t>
  </si>
  <si>
    <t>thr_fs</t>
  </si>
  <si>
    <t>n_years_to_select</t>
  </si>
  <si>
    <t>comp_to_select</t>
  </si>
  <si>
    <t>fill_na</t>
  </si>
  <si>
    <t>bal_type</t>
  </si>
  <si>
    <t>fecha_assess_model</t>
  </si>
  <si>
    <t>thr_prob_min_best</t>
  </si>
  <si>
    <t>roi partido 50</t>
  </si>
  <si>
    <t>roi_por_partido</t>
  </si>
  <si>
    <t>Cantidad de partidos missing</t>
  </si>
  <si>
    <t>shape_df_missing tras preparacion</t>
  </si>
  <si>
    <t>m</t>
  </si>
  <si>
    <t>Observaciones</t>
  </si>
  <si>
    <t>spain</t>
  </si>
  <si>
    <t>LogisticRegression</t>
  </si>
  <si>
    <t>0.8</t>
  </si>
  <si>
    <t>0.1</t>
  </si>
  <si>
    <t>[1481, 1483, 1484]</t>
  </si>
  <si>
    <t>ml</t>
  </si>
  <si>
    <t>-0.2</t>
  </si>
  <si>
    <t>(91, 25)</t>
  </si>
  <si>
    <t>Todos los modelos de SPA tienen sesgo debido a una mala integracion. Tengo que mejorar la integracion urgentemente</t>
  </si>
  <si>
    <t>italy</t>
  </si>
  <si>
    <t>SVC</t>
  </si>
  <si>
    <t>[771, 772, 773]</t>
  </si>
  <si>
    <t>under</t>
  </si>
  <si>
    <t>-0.15</t>
  </si>
  <si>
    <t>(81, 36)</t>
  </si>
  <si>
    <t>argentina</t>
  </si>
  <si>
    <t>0.2</t>
  </si>
  <si>
    <t>[61, 62, 64, 65, 66, 67]</t>
  </si>
  <si>
    <t>-0.5</t>
  </si>
  <si>
    <t>(107, 25)</t>
  </si>
  <si>
    <t>No puede predecir rdos de partidos de Riestra ni de Independiente Rivadacia (los recien ascendidos, porque no estan en el fifa 24)
Es logico que ande mal porque los partidos de Copa Argentina son en estadio neutral. Sofifa no le da mucha bola a los equipos de sudamerica.</t>
  </si>
  <si>
    <t>france</t>
  </si>
  <si>
    <t>[551, 552, 553, 554]</t>
  </si>
  <si>
    <t>(56, 18)</t>
  </si>
  <si>
    <t>england</t>
  </si>
  <si>
    <t>[481, 482, 483, 484]</t>
  </si>
  <si>
    <t>(122, 34)</t>
  </si>
  <si>
    <t>germany</t>
  </si>
  <si>
    <t>[591, 593, 594]</t>
  </si>
  <si>
    <t>(20, 32)</t>
  </si>
  <si>
    <t>usa</t>
  </si>
  <si>
    <t>0.7</t>
  </si>
  <si>
    <t>[1671, 1672]</t>
  </si>
  <si>
    <t>-0.05</t>
  </si>
  <si>
    <t>(44, 24)</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</si>
</sst>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quot;-&quot;mm&quot;-&quot;dd"/>
    <numFmt numFmtId="165" formatCode="d/MM/yyyy"/>
    <numFmt numFmtId="166" formatCode="yyyy-mm-dd"/>
  </numFmts>
  <fonts count="5">
    <font>
      <sz val="10.0"/>
      <color rgb="FF000000"/>
      <name val="Arial"/>
      <scheme val="minor"/>
    </font>
    <font>
      <b/>
      <color theme="1"/>
      <name val="Arial"/>
    </font>
    <font>
      <color theme="1"/>
      <name val="Arial"/>
    </font>
    <font>
      <color theme="1"/>
      <name val="Arial"/>
      <scheme val="minor"/>
    </font>
    <font>
      <color rgb="FF000000"/>
      <name val="Arial"/>
    </font>
  </fonts>
  <fills count="4">
    <fill>
      <patternFill patternType="none"/>
    </fill>
    <fill>
      <patternFill patternType="lightGray"/>
    </fill>
    <fill>
      <patternFill patternType="solid">
        <fgColor rgb="FFFFFF00"/>
        <bgColor rgb="FFFFFF00"/>
      </patternFill>
    </fill>
    <fill>
      <patternFill patternType="solid">
        <fgColor rgb="FFFFFFFF"/>
        <bgColor rgb="FFFFFFFF"/>
      </patternFill>
    </fill>
  </fills>
  <borders count="5">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s>
  <cellStyleXfs count="1">
    <xf borderId="0" fillId="0" fontId="0" numFmtId="0" applyAlignment="1" applyFont="1"/>
  </cellStyleXfs>
  <cellXfs count="25">
    <xf borderId="0" fillId="0" fontId="0" numFmtId="0" xfId="0" applyAlignment="1" applyFont="1">
      <alignment readingOrder="0" shrinkToFit="0" vertical="bottom" wrapText="0"/>
    </xf>
    <xf borderId="1" fillId="0" fontId="1" numFmtId="0" xfId="0" applyAlignment="1" applyBorder="1" applyFont="1">
      <alignment horizontal="center" shrinkToFit="0" wrapText="1"/>
    </xf>
    <xf borderId="2" fillId="0" fontId="1" numFmtId="0" xfId="0" applyAlignment="1" applyBorder="1" applyFont="1">
      <alignment horizontal="center" shrinkToFit="0" wrapText="1"/>
    </xf>
    <xf borderId="3" fillId="0" fontId="2" numFmtId="3" xfId="0" applyAlignment="1" applyBorder="1" applyFont="1" applyNumberFormat="1">
      <alignment horizontal="center" vertical="center"/>
    </xf>
    <xf borderId="4" fillId="0" fontId="2" numFmtId="0" xfId="0" applyAlignment="1" applyBorder="1" applyFont="1">
      <alignment horizontal="center" vertical="center"/>
    </xf>
    <xf borderId="3" fillId="0" fontId="2" numFmtId="164" xfId="0" applyAlignment="1" applyBorder="1" applyFont="1" applyNumberFormat="1">
      <alignment horizontal="center" vertical="center"/>
    </xf>
    <xf borderId="3" fillId="0" fontId="2" numFmtId="3" xfId="0" applyAlignment="1" applyBorder="1" applyFont="1" applyNumberFormat="1">
      <alignment horizontal="center" readingOrder="0" vertical="center"/>
    </xf>
    <xf borderId="3" fillId="0" fontId="2" numFmtId="0" xfId="0" applyAlignment="1" applyBorder="1" applyFont="1">
      <alignment horizontal="center" shrinkToFit="0" vertical="center" wrapText="1"/>
    </xf>
    <xf borderId="3" fillId="0" fontId="2" numFmtId="0" xfId="0" applyAlignment="1" applyBorder="1" applyFont="1">
      <alignment horizontal="center" readingOrder="0" shrinkToFit="0" vertical="center" wrapText="1"/>
    </xf>
    <xf borderId="3" fillId="0" fontId="2" numFmtId="0" xfId="0" applyAlignment="1" applyBorder="1" applyFont="1">
      <alignment horizontal="center" vertical="center"/>
    </xf>
    <xf borderId="3" fillId="0" fontId="2" numFmtId="0" xfId="0" applyAlignment="1" applyBorder="1" applyFont="1">
      <alignment horizontal="center" readingOrder="0" vertical="center"/>
    </xf>
    <xf borderId="3" fillId="0" fontId="2" numFmtId="9" xfId="0" applyAlignment="1" applyBorder="1" applyFont="1" applyNumberFormat="1">
      <alignment horizontal="center" readingOrder="0" vertical="center"/>
    </xf>
    <xf borderId="4" fillId="0" fontId="2" numFmtId="0" xfId="0" applyAlignment="1" applyBorder="1" applyFont="1">
      <alignment horizontal="center" readingOrder="0" vertical="center"/>
    </xf>
    <xf borderId="3" fillId="0" fontId="2" numFmtId="0" xfId="0" applyAlignment="1" applyBorder="1" applyFont="1">
      <alignment readingOrder="0" shrinkToFit="0" vertical="bottom" wrapText="1"/>
    </xf>
    <xf borderId="3" fillId="0" fontId="2" numFmtId="164" xfId="0" applyAlignment="1" applyBorder="1" applyFont="1" applyNumberFormat="1">
      <alignment horizontal="center" readingOrder="0" vertical="center"/>
    </xf>
    <xf borderId="3" fillId="0" fontId="2" numFmtId="0" xfId="0" applyAlignment="1" applyBorder="1" applyFont="1">
      <alignment shrinkToFit="0" wrapText="1"/>
    </xf>
    <xf borderId="3" fillId="0" fontId="2" numFmtId="10" xfId="0" applyAlignment="1" applyBorder="1" applyFont="1" applyNumberFormat="1">
      <alignment horizontal="center" readingOrder="0" vertical="center"/>
    </xf>
    <xf borderId="3" fillId="0" fontId="2" numFmtId="0" xfId="0" applyAlignment="1" applyBorder="1" applyFont="1">
      <alignment readingOrder="0" shrinkToFit="0" wrapText="1"/>
    </xf>
    <xf borderId="3" fillId="0" fontId="2" numFmtId="0" xfId="0" applyBorder="1" applyFont="1"/>
    <xf borderId="3" fillId="0" fontId="2" numFmtId="9" xfId="0" applyAlignment="1" applyBorder="1" applyFont="1" applyNumberFormat="1">
      <alignment horizontal="center" vertical="center"/>
    </xf>
    <xf borderId="3" fillId="2" fontId="2" numFmtId="3" xfId="0" applyAlignment="1" applyBorder="1" applyFill="1" applyFont="1" applyNumberFormat="1">
      <alignment horizontal="center" vertical="center"/>
    </xf>
    <xf borderId="4" fillId="2" fontId="2" numFmtId="0" xfId="0" applyAlignment="1" applyBorder="1" applyFont="1">
      <alignment horizontal="center" vertical="center"/>
    </xf>
    <xf borderId="3" fillId="0" fontId="2" numFmtId="0" xfId="0" applyAlignment="1" applyBorder="1" applyFont="1">
      <alignment readingOrder="0"/>
    </xf>
    <xf borderId="0" fillId="0" fontId="3" numFmtId="165" xfId="0" applyAlignment="1" applyFont="1" applyNumberFormat="1">
      <alignment readingOrder="0"/>
    </xf>
    <xf borderId="0" fillId="3" fontId="4" numFmtId="166" xfId="0" applyAlignment="1" applyFill="1" applyFont="1" applyNumberFormat="1">
      <alignment horizontal="center"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15.13"/>
    <col customWidth="1" min="12" max="12" width="20.5"/>
    <col customWidth="1" min="22" max="22" width="65.13"/>
  </cols>
  <sheetData>
    <row r="1">
      <c r="A1" s="1" t="s">
        <v>0</v>
      </c>
      <c r="B1" s="2" t="s">
        <v>1</v>
      </c>
      <c r="C1" s="1" t="s">
        <v>2</v>
      </c>
      <c r="D1" s="1" t="s">
        <v>3</v>
      </c>
      <c r="E1" s="1" t="s">
        <v>4</v>
      </c>
      <c r="F1" s="1" t="s">
        <v>5</v>
      </c>
      <c r="G1" s="1" t="s">
        <v>6</v>
      </c>
      <c r="H1" s="1" t="s">
        <v>7</v>
      </c>
      <c r="I1" s="1" t="s">
        <v>8</v>
      </c>
      <c r="J1" s="1" t="s">
        <v>9</v>
      </c>
      <c r="K1" s="1" t="s">
        <v>10</v>
      </c>
      <c r="L1" s="1" t="s">
        <v>11</v>
      </c>
      <c r="M1" s="1" t="s">
        <v>12</v>
      </c>
      <c r="N1" s="2" t="s">
        <v>13</v>
      </c>
      <c r="O1" s="1" t="s">
        <v>14</v>
      </c>
      <c r="P1" s="1" t="s">
        <v>15</v>
      </c>
      <c r="Q1" s="1" t="s">
        <v>16</v>
      </c>
      <c r="R1" s="1" t="s">
        <v>17</v>
      </c>
      <c r="S1" s="1" t="s">
        <v>18</v>
      </c>
      <c r="T1" s="2" t="s">
        <v>19</v>
      </c>
      <c r="U1" s="1" t="s">
        <v>20</v>
      </c>
      <c r="V1" s="1" t="s">
        <v>21</v>
      </c>
    </row>
    <row r="2">
      <c r="A2" s="3">
        <v>148.0</v>
      </c>
      <c r="B2" s="4" t="s">
        <v>22</v>
      </c>
      <c r="C2" s="5">
        <v>45418.0</v>
      </c>
      <c r="D2" s="6">
        <v>547.0</v>
      </c>
      <c r="E2" s="7" t="s">
        <v>23</v>
      </c>
      <c r="F2" s="8">
        <v>60.0</v>
      </c>
      <c r="G2" s="7">
        <v>3.0</v>
      </c>
      <c r="H2" s="8" t="b">
        <v>1</v>
      </c>
      <c r="I2" s="8" t="s">
        <v>24</v>
      </c>
      <c r="J2" s="7" t="s">
        <v>25</v>
      </c>
      <c r="K2" s="9"/>
      <c r="L2" s="9" t="s">
        <v>26</v>
      </c>
      <c r="M2" s="10" t="s">
        <v>27</v>
      </c>
      <c r="N2" s="4"/>
      <c r="O2" s="5">
        <v>45440.0</v>
      </c>
      <c r="P2" s="6" t="s">
        <v>28</v>
      </c>
      <c r="Q2" s="11">
        <v>36.8495516929146</v>
      </c>
      <c r="R2" s="11">
        <v>11.1750233850569</v>
      </c>
      <c r="S2" s="10">
        <v>91.0</v>
      </c>
      <c r="T2" s="12" t="s">
        <v>29</v>
      </c>
      <c r="U2" s="3">
        <v>40.0</v>
      </c>
      <c r="V2" s="13" t="s">
        <v>30</v>
      </c>
    </row>
    <row r="3">
      <c r="A3" s="3">
        <v>77.0</v>
      </c>
      <c r="B3" s="4" t="s">
        <v>31</v>
      </c>
      <c r="C3" s="5">
        <v>45418.0</v>
      </c>
      <c r="D3" s="6">
        <v>358.0</v>
      </c>
      <c r="E3" s="9" t="s">
        <v>32</v>
      </c>
      <c r="F3" s="10">
        <v>30.0</v>
      </c>
      <c r="G3" s="9">
        <v>3.0</v>
      </c>
      <c r="H3" s="10" t="b">
        <v>0</v>
      </c>
      <c r="I3" s="10" t="s">
        <v>24</v>
      </c>
      <c r="J3" s="9"/>
      <c r="K3" s="9"/>
      <c r="L3" s="9" t="s">
        <v>33</v>
      </c>
      <c r="M3" s="9"/>
      <c r="N3" s="4" t="s">
        <v>34</v>
      </c>
      <c r="O3" s="14">
        <v>45465.0</v>
      </c>
      <c r="P3" s="6" t="s">
        <v>35</v>
      </c>
      <c r="Q3" s="11">
        <v>0.0598</v>
      </c>
      <c r="R3" s="11">
        <v>0.747445629288458</v>
      </c>
      <c r="S3" s="10">
        <v>81.0</v>
      </c>
      <c r="T3" s="12" t="s">
        <v>36</v>
      </c>
      <c r="U3" s="3">
        <f t="shared" ref="U3:U4" si="1">Q3*$U$5/$Q$5</f>
        <v>0.1587425949</v>
      </c>
      <c r="V3" s="15"/>
    </row>
    <row r="4">
      <c r="A4" s="3">
        <v>6.0</v>
      </c>
      <c r="B4" s="4" t="s">
        <v>37</v>
      </c>
      <c r="C4" s="5">
        <v>45419.0</v>
      </c>
      <c r="D4" s="6">
        <v>631.0</v>
      </c>
      <c r="E4" s="9" t="s">
        <v>23</v>
      </c>
      <c r="F4" s="9">
        <v>30.0</v>
      </c>
      <c r="G4" s="9">
        <v>3.0</v>
      </c>
      <c r="H4" s="9" t="b">
        <v>0</v>
      </c>
      <c r="I4" s="9"/>
      <c r="J4" s="10" t="s">
        <v>38</v>
      </c>
      <c r="K4" s="10">
        <v>3.0</v>
      </c>
      <c r="L4" s="10" t="s">
        <v>39</v>
      </c>
      <c r="M4" s="9"/>
      <c r="N4" s="4"/>
      <c r="O4" s="14">
        <v>45465.0</v>
      </c>
      <c r="P4" s="3" t="s">
        <v>40</v>
      </c>
      <c r="Q4" s="16">
        <v>0.0148224109336046</v>
      </c>
      <c r="R4" s="11">
        <v>0.152</v>
      </c>
      <c r="S4" s="10">
        <v>107.0</v>
      </c>
      <c r="T4" s="12" t="s">
        <v>41</v>
      </c>
      <c r="U4" s="3">
        <f t="shared" si="1"/>
        <v>0.03934695608</v>
      </c>
      <c r="V4" s="17" t="s">
        <v>42</v>
      </c>
    </row>
    <row r="5">
      <c r="A5" s="3">
        <v>55.0</v>
      </c>
      <c r="B5" s="4" t="s">
        <v>43</v>
      </c>
      <c r="C5" s="5">
        <v>45419.0</v>
      </c>
      <c r="D5" s="6">
        <v>91.0</v>
      </c>
      <c r="E5" s="9" t="s">
        <v>32</v>
      </c>
      <c r="F5" s="10">
        <v>30.0</v>
      </c>
      <c r="G5" s="9">
        <v>3.0</v>
      </c>
      <c r="H5" s="9" t="b">
        <v>1</v>
      </c>
      <c r="I5" s="10" t="s">
        <v>24</v>
      </c>
      <c r="J5" s="10" t="s">
        <v>38</v>
      </c>
      <c r="K5" s="10">
        <v>5.0</v>
      </c>
      <c r="L5" s="9" t="s">
        <v>44</v>
      </c>
      <c r="M5" s="9"/>
      <c r="N5" s="4"/>
      <c r="O5" s="14">
        <v>45465.0</v>
      </c>
      <c r="P5" s="6" t="s">
        <v>35</v>
      </c>
      <c r="Q5" s="11">
        <v>15.0684194244387</v>
      </c>
      <c r="R5" s="11">
        <v>7.94996514671098</v>
      </c>
      <c r="S5" s="10">
        <v>56.0</v>
      </c>
      <c r="T5" s="12" t="s">
        <v>45</v>
      </c>
      <c r="U5" s="3">
        <v>40.0</v>
      </c>
      <c r="V5" s="18"/>
    </row>
    <row r="6">
      <c r="A6" s="3">
        <v>48.0</v>
      </c>
      <c r="B6" s="4" t="s">
        <v>46</v>
      </c>
      <c r="C6" s="5">
        <v>45419.0</v>
      </c>
      <c r="D6" s="6">
        <v>808.0</v>
      </c>
      <c r="E6" s="10" t="s">
        <v>32</v>
      </c>
      <c r="F6" s="10">
        <v>60.0</v>
      </c>
      <c r="G6" s="9">
        <v>3.0</v>
      </c>
      <c r="H6" s="9" t="b">
        <v>1</v>
      </c>
      <c r="I6" s="9"/>
      <c r="J6" s="9" t="s">
        <v>38</v>
      </c>
      <c r="K6" s="10">
        <v>3.0</v>
      </c>
      <c r="L6" s="9" t="s">
        <v>47</v>
      </c>
      <c r="M6" s="10" t="s">
        <v>27</v>
      </c>
      <c r="N6" s="4" t="s">
        <v>34</v>
      </c>
      <c r="O6" s="14">
        <v>45465.0</v>
      </c>
      <c r="P6" s="3" t="s">
        <v>40</v>
      </c>
      <c r="Q6" s="11">
        <v>0.52</v>
      </c>
      <c r="R6" s="11">
        <v>4.31413684333713</v>
      </c>
      <c r="S6" s="9">
        <v>122.0</v>
      </c>
      <c r="T6" s="12" t="s">
        <v>48</v>
      </c>
      <c r="U6" s="3">
        <f t="shared" ref="U6:U8" si="2">Q6*$U$5/$Q$5</f>
        <v>1.38037039</v>
      </c>
      <c r="V6" s="18"/>
    </row>
    <row r="7">
      <c r="A7" s="3">
        <v>59.0</v>
      </c>
      <c r="B7" s="4" t="s">
        <v>49</v>
      </c>
      <c r="C7" s="5">
        <v>45421.0</v>
      </c>
      <c r="D7" s="3">
        <v>1757.0</v>
      </c>
      <c r="E7" s="9" t="s">
        <v>32</v>
      </c>
      <c r="F7" s="9">
        <v>60.0</v>
      </c>
      <c r="G7" s="9">
        <v>3.0</v>
      </c>
      <c r="H7" s="9" t="b">
        <v>0</v>
      </c>
      <c r="I7" s="9" t="s">
        <v>24</v>
      </c>
      <c r="J7" s="9" t="s">
        <v>25</v>
      </c>
      <c r="K7" s="9">
        <v>3.0</v>
      </c>
      <c r="L7" s="9" t="s">
        <v>50</v>
      </c>
      <c r="M7" s="9" t="s">
        <v>27</v>
      </c>
      <c r="N7" s="4" t="s">
        <v>34</v>
      </c>
      <c r="O7" s="14">
        <v>45465.0</v>
      </c>
      <c r="P7" s="3" t="s">
        <v>40</v>
      </c>
      <c r="Q7" s="19"/>
      <c r="R7" s="11">
        <v>0.2</v>
      </c>
      <c r="S7" s="10">
        <v>20.0</v>
      </c>
      <c r="T7" s="12" t="s">
        <v>51</v>
      </c>
      <c r="U7" s="3">
        <f t="shared" si="2"/>
        <v>0</v>
      </c>
      <c r="V7" s="18"/>
    </row>
    <row r="8">
      <c r="A8" s="20">
        <v>167.0</v>
      </c>
      <c r="B8" s="21" t="s">
        <v>52</v>
      </c>
      <c r="C8" s="14">
        <v>45461.0</v>
      </c>
      <c r="D8" s="6">
        <v>386.0</v>
      </c>
      <c r="E8" s="10" t="s">
        <v>23</v>
      </c>
      <c r="F8" s="10">
        <v>60.0</v>
      </c>
      <c r="G8" s="9">
        <v>3.0</v>
      </c>
      <c r="H8" s="10" t="b">
        <v>1</v>
      </c>
      <c r="I8" s="10" t="s">
        <v>53</v>
      </c>
      <c r="J8" s="10" t="s">
        <v>38</v>
      </c>
      <c r="K8" s="10">
        <v>3.0</v>
      </c>
      <c r="L8" s="9" t="s">
        <v>54</v>
      </c>
      <c r="M8" s="10"/>
      <c r="N8" s="12" t="s">
        <v>34</v>
      </c>
      <c r="O8" s="14">
        <v>45465.0</v>
      </c>
      <c r="P8" s="6" t="s">
        <v>55</v>
      </c>
      <c r="Q8" s="19">
        <f>50*R8/S8</f>
        <v>1.575568182</v>
      </c>
      <c r="R8" s="11">
        <v>1.3865</v>
      </c>
      <c r="S8" s="10">
        <v>44.0</v>
      </c>
      <c r="T8" s="12" t="s">
        <v>56</v>
      </c>
      <c r="U8" s="3">
        <f t="shared" si="2"/>
        <v>4.182437819</v>
      </c>
      <c r="V8" s="22"/>
    </row>
    <row r="11">
      <c r="C11" s="23"/>
      <c r="D11" s="23"/>
      <c r="G11" s="24"/>
    </row>
    <row r="12">
      <c r="C12" s="23"/>
      <c r="D12" s="23"/>
    </row>
    <row r="13">
      <c r="C13" s="23"/>
      <c r="D13" s="23"/>
    </row>
    <row r="14">
      <c r="C14" s="23"/>
      <c r="D14" s="23"/>
    </row>
    <row r="18">
      <c r="I18" s="24"/>
    </row>
  </sheetData>
  <conditionalFormatting sqref="S2:S8">
    <cfRule type="colorScale" priority="1">
      <colorScale>
        <cfvo type="min"/>
        <cfvo type="max"/>
        <color rgb="FFFFFFFF"/>
        <color rgb="FFFFD666"/>
      </colorScale>
    </cfRule>
  </conditionalFormatting>
  <conditionalFormatting sqref="R2:R8">
    <cfRule type="colorScale" priority="2">
      <colorScale>
        <cfvo type="min"/>
        <cfvo type="max"/>
        <color rgb="FFFFFFFF"/>
        <color rgb="FF57BB8A"/>
      </colorScale>
    </cfRule>
  </conditionalFormatting>
  <drawing r:id="rId2"/>
  <legacyDrawing r:id="rId3"/>
</worksheet>
</file>