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s actuales" sheetId="1" r:id="rId4"/>
    <sheet state="visible" name="Historial de entrenamientos" sheetId="2" r:id="rId5"/>
    <sheet state="visible" name="Data preparation" sheetId="3" r:id="rId6"/>
  </sheets>
  <definedNames>
    <definedName hidden="1" localSheetId="0" name="_xlnm._FilterDatabase">'Modelos actuales'!$A$1:$AC$8</definedName>
    <definedName hidden="1" localSheetId="1" name="_xlnm._FilterDatabase">'Historial de entrenamientos'!$A$2:$K$998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Fecha de entrenamiento de modelos</t>
      </text>
    </comment>
    <comment authorId="0" ref="R1">
      <text>
        <t xml:space="preserve">Fecha de evaluacion de modelos ya entrenados con partidos missing ("en produccion").</t>
      </text>
    </comment>
    <comment authorId="0" ref="S1">
      <text>
        <t xml:space="preserve">Muchas veces hay modelos outlier...
que despues terminan cayendo y ajustandose </t>
      </text>
    </comment>
    <comment authorId="0" ref="V1">
      <text>
        <t xml:space="preserve">el m a utilizar cuando apuesto</t>
      </text>
    </comment>
    <comment authorId="0" ref="W1">
      <text>
        <t xml:space="preserve">Idealmente -0.5 para que vaya por el rdo predicho (por que tal vez a la gente no le paso el resultado a apostar)</t>
      </text>
    </comment>
    <comment authorId="0" ref="Z1">
      <text>
        <t xml:space="preserve">solo en las competiciones que estan en comp_to_select</t>
      </text>
    </comment>
    <comment authorId="0" ref="AB1">
      <text>
        <t xml:space="preserve">usando un m=15</t>
      </text>
    </comment>
    <comment authorId="0" ref="AC3">
      <text>
        <t xml:space="preserve">REVISAR DF_INTEGRATED Y VER CUAL ES LA COLUMNA QUE ES NAN Y HACE ELIMINAR PARTIDOS EN TREAT_NAN(). al sacar el fill_formaciones seguramente tenga menos registros missing. Habría que ver si rellenar con 0 “dif_val_sup” o esas que creo que son las que joden…</t>
      </text>
    </comment>
    <comment authorId="0" ref="AC8">
      <text>
        <t xml:space="preserve">Si bien no es el que mas roi_pp tiene, es el primero con under y n_years_to_select &gt;= 10.
n_years            Average of roi_por_partido
3                       0,06
5                       0,01
10                     0,17
None                 0,14
Grand Total       0,09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Muchas veces hay modelos outlier...
que despues terminan cayendo y ajustandose </t>
      </text>
    </comment>
    <comment authorId="0" ref="D10">
      <text>
        <t xml:space="preserve">El entrenamiento de modelos tardo de 2 a 3 dias</t>
      </text>
    </comment>
    <comment authorId="0" ref="E10">
      <text>
        <t xml:space="preserve">Probar sin cups porque aca tienen banda de peso.</t>
      </text>
    </comment>
  </commentList>
</comments>
</file>

<file path=xl/sharedStrings.xml><?xml version="1.0" encoding="utf-8"?>
<sst xmlns="http://schemas.openxmlformats.org/spreadsheetml/2006/main" count="132" uniqueCount="89">
  <si>
    <t>id_country</t>
  </si>
  <si>
    <t>country</t>
  </si>
  <si>
    <t>iteration_date</t>
  </si>
  <si>
    <t># modelos entrenados</t>
  </si>
  <si>
    <t>Hiperparametros probados</t>
  </si>
  <si>
    <t>n_model</t>
  </si>
  <si>
    <t>n_dias_ult_part</t>
  </si>
  <si>
    <t>n_anios_hist</t>
  </si>
  <si>
    <t>segun_localia</t>
  </si>
  <si>
    <t>thr_corr</t>
  </si>
  <si>
    <t>thr_fs</t>
  </si>
  <si>
    <t>n_years_to_select</t>
  </si>
  <si>
    <t>comp_to_select</t>
  </si>
  <si>
    <t>fill_na</t>
  </si>
  <si>
    <t>bal_type</t>
  </si>
  <si>
    <t>Model</t>
  </si>
  <si>
    <t>Cantidad de variables</t>
  </si>
  <si>
    <t>fecha_assess_model</t>
  </si>
  <si>
    <t xml:space="preserve">ROI pp promedio top 10 modelos </t>
  </si>
  <si>
    <t xml:space="preserve">ROI pp en partido 50 promedio top 10 modelos </t>
  </si>
  <si>
    <t xml:space="preserve">ROI pp en partido 100 promedio top 10 modelos </t>
  </si>
  <si>
    <t>m_to_use</t>
  </si>
  <si>
    <t>thr_prob_min_best</t>
  </si>
  <si>
    <t>roi_por_partido en partido 50</t>
  </si>
  <si>
    <t>ROI</t>
  </si>
  <si>
    <t>Cantidad de partidos missing</t>
  </si>
  <si>
    <t>roi_por_partido</t>
  </si>
  <si>
    <t>ROI_por_partido realidad</t>
  </si>
  <si>
    <t>Observaciones</t>
  </si>
  <si>
    <t>france</t>
  </si>
  <si>
    <t>0.8</t>
  </si>
  <si>
    <t>0.2</t>
  </si>
  <si>
    <t>[551, 552, 553, 554]</t>
  </si>
  <si>
    <t>SVC</t>
  </si>
  <si>
    <t>-0.15</t>
  </si>
  <si>
    <t>spain</t>
  </si>
  <si>
    <t>0.7</t>
  </si>
  <si>
    <t>[1481, 1483, 1484]</t>
  </si>
  <si>
    <t>ml</t>
  </si>
  <si>
    <t>under</t>
  </si>
  <si>
    <t>LogisticRegression</t>
  </si>
  <si>
    <t>-0.5</t>
  </si>
  <si>
    <t>Todos los modelos de SPA tienen sesgo debido a una mala integracion. Tengo que mejorar la integracion urgentemente
Excluyo el modelo que mejor rinde (547) porque claramente es demasiado outlier.</t>
  </si>
  <si>
    <t>usa</t>
  </si>
  <si>
    <t>0.9</t>
  </si>
  <si>
    <t>[1671, 1672]</t>
  </si>
  <si>
    <t>21/7 - Paso del modelo 219 al 27 que es igual salvo que is_localia = True. Me parece correcto. A ver si este nuevo modelo tiene menos volatilidad que el 219.</t>
  </si>
  <si>
    <t>england</t>
  </si>
  <si>
    <t>[481, 482, 483, 484]</t>
  </si>
  <si>
    <t>italy</t>
  </si>
  <si>
    <t xml:space="preserve">    l_modelos = [LogisticRegression(), SVC()]  
    d_params = {
        'construct': {
            'n_dias_ult_part': [30, 60],
            'n_years_h2h': [3],
            'segun_localia': [True, False]
        },
        'clean_data_2': {
            'competencies_to_select': [d_comps['comp_sin_b'], d_comps['all_comp']],
            'n_years_to_select': [5, 10, None],
        },
        'select': {
            'thr_corr': [0.7, 0.8, 0.9, None],
            'thr_fs': [0.2, 0.1, None], 
        },
        'treat_nan': {
            'fill_na': [None, 'ml'],
        },
        'modeling': {
            'val_size': [0.125],
            'test_size': [0.125], 
            'bal_type': [None, 'under'],
            'k': [10] 
        }
    }</t>
  </si>
  <si>
    <t>0.1</t>
  </si>
  <si>
    <t>[771, 772, 773, 774]</t>
  </si>
  <si>
    <t>Antes de incluir Serie B, los promedios en los top 10 modelos eran al menos tres veces mejores y en menos partidos (81 en vez de 100). Claramente la integracion tiene un gran impacto en los resultados.
- ROI pp promedio top 10 modelos: 31,4
- ROI pp partido 50 promedio top 10 modelos: 17,3
Pero ahora si tengo la prediccion de partidos jugados por los equipos recien ascendidos como Como, Venezia y Parma.</t>
  </si>
  <si>
    <t>germany</t>
  </si>
  <si>
    <t>[591, 592, 593, 594]</t>
  </si>
  <si>
    <t>argentina</t>
  </si>
  <si>
    <t>[61, 62, 64, 65, 66, 67]</t>
  </si>
  <si>
    <r>
      <rPr>
        <rFont val="Arial"/>
        <color theme="1"/>
      </rPr>
      <t xml:space="preserve">- No puede predecir rdos de partidos de Riestra ni de Independiente Rivadavia (los recien ascendidos, porque no estan en el fifa 24)
- Es logico que ande mal porque los partidos de Copa Argentina son en estadio neutral. Sofifa no le da mucha bola a los equipos de sudamerica.
</t>
    </r>
    <r>
      <rPr>
        <rFont val="Arial"/>
        <b/>
        <color theme="1"/>
      </rPr>
      <t>No apostaria en ARG:</t>
    </r>
    <r>
      <rPr>
        <rFont val="Arial"/>
        <color theme="1"/>
      </rPr>
      <t xml:space="preserve">
Todos los modelos de ARG son bastante pedorros. Solo 800 modelos de 2300, tienen rentabilidad al menos 0 o mas de rentabilidad. Ademas, se juega todos los dias y para un apostador te mata. </t>
    </r>
  </si>
  <si>
    <t>Entrenamiento</t>
  </si>
  <si>
    <t>Evaluacion de modelos entrenados</t>
  </si>
  <si>
    <t>Pais</t>
  </si>
  <si>
    <t>Fecha</t>
  </si>
  <si>
    <t>Motivo de corrida</t>
  </si>
  <si>
    <t>Tiempo de entrenamiento</t>
  </si>
  <si>
    <t>En uso?</t>
  </si>
  <si>
    <t>Motivo de descarte</t>
  </si>
  <si>
    <t>Si</t>
  </si>
  <si>
    <t>- Mala integracion de jugadores. Habia jugadores duplicados en df_player de Sofifa
- Falla la prediccion de equipos recién ascendidos (Venezia, Parma y Como)</t>
  </si>
  <si>
    <t>- elimino paritdos de df_match para aumentar df_missing de 20 a 100 partidos y asi ganar robustez en la seleccion de modelos en assess.</t>
  </si>
  <si>
    <r>
      <rPr>
        <rFont val="Arial"/>
        <b/>
        <color theme="1"/>
      </rPr>
      <t>Cambio hiperparametros probados respecto a anterior entrenamiento (2024-05-07):</t>
    </r>
    <r>
      <rPr>
        <rFont val="Arial"/>
        <color theme="1"/>
      </rPr>
      <t xml:space="preserve">
- Probar sin</t>
    </r>
    <r>
      <rPr>
        <rFont val="Arial"/>
        <b/>
        <color theme="1"/>
      </rPr>
      <t xml:space="preserve"> n_years_to_select</t>
    </r>
    <r>
      <rPr>
        <rFont val="Arial"/>
        <color theme="1"/>
      </rPr>
      <t xml:space="preserve">=3 (no me gusta que use tan pocos years por la volatilidad?) 
- </t>
    </r>
    <r>
      <rPr>
        <rFont val="Arial"/>
        <b/>
        <color theme="1"/>
      </rPr>
      <t>comp_to_select</t>
    </r>
    <r>
      <rPr>
        <rFont val="Arial"/>
        <color theme="1"/>
      </rPr>
      <t>: agregar comps_sin_cup porque en Inglaterra hay muchos partidos de copa.</t>
    </r>
  </si>
  <si>
    <t>l_modelos = [LogisticRegression(), SVC()]  
    d_params = {
        'construct': {
            'n_dias_ult_part': [30, 60],
            'n_years_h2h': [3],
            'segun_localia': [True, False]
        },
        'clean_data_2': {
            'competencies_to_select': [d_comps['comp_sin_b'], d_comps['comp_sin_cups'],d_comps['all_comp']],
            'n_years_to_select': [5, 10, None],
        },
        'select': {
            'thr_corr': [0.7, 0.8, 0.9, None],
            'thr_fs': [0.2, 0.1, None], 
        },
        'treat_nan': {
            'fill_na': [None, 'ml'],
        },
        'modeling': {
            'val_size': [0.125],
            'test_size': [0.125], 
            'bal_type': [None, 'under'],
            'k': [10] 
        }
    }</t>
  </si>
  <si>
    <t>2 a 3 dias</t>
  </si>
  <si>
    <t>No</t>
  </si>
  <si>
    <t>Malos resultados respecto del entrenamiento anterior.
Resultados de entrenamiento vs entrenamiento anterior (2024-05-07):
- ROI pp promedio top 10 modelos: 8,9 vs 12,73
- ROI pp en partido 50 promedio top 10 modelos: 11,2 vs 11,21    
- ROI pp en partido 100 promedio top 10 modelos: 5,5 vs 16,21</t>
  </si>
  <si>
    <t>Parametros para apostar</t>
  </si>
  <si>
    <t>ROI asses --&gt; ROI realidad</t>
  </si>
  <si>
    <t>max roi pp</t>
  </si>
  <si>
    <t xml:space="preserve">Promedio ROI pp top 10 modelos </t>
  </si>
  <si>
    <t>max m</t>
  </si>
  <si>
    <t>38.29</t>
  </si>
  <si>
    <t>3.65</t>
  </si>
  <si>
    <t>35.69</t>
  </si>
  <si>
    <t>13.39</t>
  </si>
  <si>
    <t>12.74</t>
  </si>
  <si>
    <t>15.48</t>
  </si>
  <si>
    <t>10.33</t>
  </si>
  <si>
    <t>16.23</t>
  </si>
  <si>
    <t>3.22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</si>
</sst>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#,##0.0"/>
    <numFmt numFmtId="166" formatCode="d/MM/yyyy"/>
    <numFmt numFmtId="167" formatCode="yyyy-mm-dd"/>
    <numFmt numFmtId="168" formatCode="dd.m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color rgb="FFFFFFFF"/>
      <name val="Arial"/>
    </font>
    <font/>
    <font>
      <b/>
      <color rgb="FF000000"/>
      <name val="Arial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0">
    <border/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3" fillId="0" fontId="3" numFmtId="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3" fillId="0" fontId="3" numFmtId="3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2" fontId="3" numFmtId="165" xfId="0" applyAlignment="1" applyBorder="1" applyFont="1" applyNumberFormat="1">
      <alignment horizontal="center" readingOrder="0" vertical="center"/>
    </xf>
    <xf borderId="3" fillId="0" fontId="3" numFmtId="9" xfId="0" applyAlignment="1" applyBorder="1" applyFont="1" applyNumberFormat="1">
      <alignment horizontal="center" readingOrder="0" vertical="center"/>
    </xf>
    <xf borderId="3" fillId="0" fontId="3" numFmtId="0" xfId="0" applyBorder="1" applyFont="1"/>
    <xf borderId="3" fillId="2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shrinkToFit="0" wrapText="1"/>
    </xf>
    <xf borderId="3" fillId="2" fontId="3" numFmtId="0" xfId="0" applyAlignment="1" applyBorder="1" applyFont="1">
      <alignment horizontal="left" readingOrder="0" shrinkToFit="0" vertical="center" wrapText="0"/>
    </xf>
    <xf borderId="0" fillId="0" fontId="2" numFmtId="4" xfId="0" applyAlignment="1" applyFont="1" applyNumberFormat="1">
      <alignment readingOrder="0"/>
    </xf>
    <xf borderId="3" fillId="0" fontId="3" numFmtId="10" xfId="0" applyAlignment="1" applyBorder="1" applyFont="1" applyNumberFormat="1">
      <alignment horizontal="center" readingOrder="0" vertical="center"/>
    </xf>
    <xf borderId="0" fillId="0" fontId="2" numFmtId="4" xfId="0" applyFont="1" applyNumberFormat="1"/>
    <xf borderId="0" fillId="0" fontId="2" numFmtId="166" xfId="0" applyAlignment="1" applyFont="1" applyNumberFormat="1">
      <alignment readingOrder="0"/>
    </xf>
    <xf borderId="0" fillId="3" fontId="4" numFmtId="167" xfId="0" applyAlignment="1" applyFill="1" applyFont="1" applyNumberFormat="1">
      <alignment horizontal="center" readingOrder="0"/>
    </xf>
    <xf borderId="0" fillId="0" fontId="2" numFmtId="9" xfId="0" applyFont="1" applyNumberFormat="1"/>
    <xf borderId="0" fillId="3" fontId="4" numFmtId="0" xfId="0" applyAlignment="1" applyFont="1">
      <alignment horizontal="left" readingOrder="0"/>
    </xf>
    <xf borderId="0" fillId="0" fontId="2" numFmtId="3" xfId="0" applyFont="1" applyNumberFormat="1"/>
    <xf borderId="0" fillId="0" fontId="2" numFmtId="10" xfId="0" applyFont="1" applyNumberFormat="1"/>
    <xf borderId="0" fillId="0" fontId="5" numFmtId="0" xfId="0" applyAlignment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0" fillId="5" fontId="1" numFmtId="0" xfId="0" applyAlignment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2" fillId="7" fontId="1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2" numFmtId="0" xfId="0" applyBorder="1" applyFont="1"/>
    <xf borderId="7" fillId="8" fontId="3" numFmtId="0" xfId="0" applyAlignment="1" applyBorder="1" applyFill="1" applyFont="1">
      <alignment horizontal="center" readingOrder="0" vertical="center"/>
    </xf>
    <xf borderId="1" fillId="8" fontId="2" numFmtId="0" xfId="0" applyBorder="1" applyFont="1"/>
    <xf borderId="2" fillId="8" fontId="2" numFmtId="0" xfId="0" applyBorder="1" applyFont="1"/>
    <xf borderId="1" fillId="9" fontId="2" numFmtId="0" xfId="0" applyBorder="1" applyFill="1" applyFont="1"/>
    <xf borderId="2" fillId="9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9" fontId="3" numFmtId="165" xfId="0" applyAlignment="1" applyBorder="1" applyFont="1" applyNumberFormat="1">
      <alignment horizontal="center" readingOrder="0" vertical="center"/>
    </xf>
    <xf borderId="2" fillId="9" fontId="3" numFmtId="165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9" fontId="2" numFmtId="3" xfId="0" applyBorder="1" applyFont="1" applyNumberFormat="1"/>
    <xf borderId="1" fillId="0" fontId="3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8" fontId="3" numFmtId="0" xfId="0" applyAlignment="1" applyBorder="1" applyFont="1">
      <alignment horizontal="left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6" fillId="0" fontId="2" numFmtId="10" xfId="0" applyBorder="1" applyFont="1" applyNumberFormat="1"/>
    <xf borderId="6" fillId="0" fontId="2" numFmtId="3" xfId="0" applyBorder="1" applyFont="1" applyNumberForma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center" readingOrder="0" vertical="center"/>
    </xf>
    <xf borderId="9" fillId="10" fontId="9" numFmtId="0" xfId="0" applyAlignment="1" applyBorder="1" applyFill="1" applyFont="1">
      <alignment horizontal="right" readingOrder="0" shrinkToFit="0" vertical="bottom" wrapText="0"/>
    </xf>
    <xf borderId="9" fillId="11" fontId="9" numFmtId="0" xfId="0" applyAlignment="1" applyBorder="1" applyFill="1" applyFont="1">
      <alignment horizontal="right" readingOrder="0" shrinkToFit="0" vertical="bottom" wrapText="0"/>
    </xf>
    <xf borderId="9" fillId="10" fontId="9" numFmtId="168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5" max="5" width="20.75"/>
    <col customWidth="1" min="13" max="13" width="20.5"/>
    <col customWidth="1" min="16" max="16" width="15.13"/>
    <col customWidth="1" min="29" max="29" width="65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1" t="s">
        <v>22</v>
      </c>
      <c r="X1" s="5" t="s">
        <v>23</v>
      </c>
      <c r="Y1" s="5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6"/>
      <c r="AE1" s="6"/>
      <c r="AF1" s="6"/>
      <c r="AG1" s="6"/>
      <c r="AH1" s="6"/>
    </row>
    <row r="2">
      <c r="A2" s="7">
        <v>55.0</v>
      </c>
      <c r="B2" s="8" t="s">
        <v>29</v>
      </c>
      <c r="C2" s="9">
        <v>45419.0</v>
      </c>
      <c r="D2" s="10">
        <v>2304.0</v>
      </c>
      <c r="E2" s="10"/>
      <c r="F2" s="11">
        <v>91.0</v>
      </c>
      <c r="G2" s="12">
        <v>30.0</v>
      </c>
      <c r="H2" s="13">
        <v>3.0</v>
      </c>
      <c r="I2" s="13" t="b">
        <v>1</v>
      </c>
      <c r="J2" s="12" t="s">
        <v>30</v>
      </c>
      <c r="K2" s="12" t="s">
        <v>31</v>
      </c>
      <c r="L2" s="12">
        <v>5.0</v>
      </c>
      <c r="M2" s="13" t="s">
        <v>32</v>
      </c>
      <c r="N2" s="13"/>
      <c r="O2" s="13"/>
      <c r="P2" s="14" t="s">
        <v>33</v>
      </c>
      <c r="Q2" s="15">
        <v>18.0</v>
      </c>
      <c r="R2" s="16">
        <v>45465.0</v>
      </c>
      <c r="S2" s="17">
        <v>341.17</v>
      </c>
      <c r="T2" s="17">
        <v>228.32</v>
      </c>
      <c r="U2" s="17">
        <f>T2*0.3</f>
        <v>68.496</v>
      </c>
      <c r="V2" s="7">
        <f>U2*'Data preparation'!$B$4/'Data preparation'!$B$3</f>
        <v>30</v>
      </c>
      <c r="W2" s="11" t="s">
        <v>34</v>
      </c>
      <c r="X2" s="18">
        <v>15.0684194244387</v>
      </c>
      <c r="Y2" s="18">
        <v>445.1980482158149</v>
      </c>
      <c r="Z2" s="12">
        <v>56.0</v>
      </c>
      <c r="AA2" s="18">
        <f t="shared" ref="AA2:AA8" si="1">Y2/Z2</f>
        <v>7.949965147</v>
      </c>
      <c r="AB2" s="18">
        <f>'Data preparation'!$B$2*AA2</f>
        <v>1.192494772</v>
      </c>
      <c r="AC2" s="19"/>
    </row>
    <row r="3">
      <c r="A3" s="7">
        <v>148.0</v>
      </c>
      <c r="B3" s="8" t="s">
        <v>35</v>
      </c>
      <c r="C3" s="9">
        <v>45418.0</v>
      </c>
      <c r="D3" s="10">
        <v>768.0</v>
      </c>
      <c r="E3" s="20"/>
      <c r="F3" s="11">
        <v>300.0</v>
      </c>
      <c r="G3" s="21">
        <v>30.0</v>
      </c>
      <c r="H3" s="22">
        <v>3.0</v>
      </c>
      <c r="I3" s="13" t="b">
        <v>0</v>
      </c>
      <c r="J3" s="21" t="s">
        <v>36</v>
      </c>
      <c r="K3" s="22"/>
      <c r="L3" s="12">
        <v>10.0</v>
      </c>
      <c r="M3" s="13" t="s">
        <v>37</v>
      </c>
      <c r="N3" s="12" t="s">
        <v>38</v>
      </c>
      <c r="O3" s="12" t="s">
        <v>39</v>
      </c>
      <c r="P3" s="23" t="s">
        <v>40</v>
      </c>
      <c r="Q3" s="15">
        <v>32.0</v>
      </c>
      <c r="R3" s="9">
        <v>45440.0</v>
      </c>
      <c r="S3" s="17">
        <v>47.49</v>
      </c>
      <c r="T3" s="17">
        <v>182.82</v>
      </c>
      <c r="U3" s="17">
        <v>46.72</v>
      </c>
      <c r="V3" s="7">
        <f>U3*'Data preparation'!$B$4/'Data preparation'!$B$3</f>
        <v>20.46250876</v>
      </c>
      <c r="W3" s="11" t="s">
        <v>41</v>
      </c>
      <c r="X3" s="18">
        <v>1.0888</v>
      </c>
      <c r="Y3" s="18">
        <v>119.43</v>
      </c>
      <c r="Z3" s="12">
        <v>91.0</v>
      </c>
      <c r="AA3" s="18">
        <f t="shared" si="1"/>
        <v>1.312417582</v>
      </c>
      <c r="AB3" s="18">
        <f>'Data preparation'!$B$2*AA3</f>
        <v>0.1968626374</v>
      </c>
      <c r="AC3" s="24" t="s">
        <v>42</v>
      </c>
    </row>
    <row r="4" ht="41.25" customHeight="1">
      <c r="A4" s="7">
        <v>167.0</v>
      </c>
      <c r="B4" s="8" t="s">
        <v>43</v>
      </c>
      <c r="C4" s="16">
        <v>45467.0</v>
      </c>
      <c r="D4" s="10">
        <v>768.0</v>
      </c>
      <c r="E4" s="20"/>
      <c r="F4" s="11">
        <v>27.0</v>
      </c>
      <c r="G4" s="12">
        <v>30.0</v>
      </c>
      <c r="H4" s="13">
        <v>3.0</v>
      </c>
      <c r="I4" s="13" t="b">
        <v>1</v>
      </c>
      <c r="J4" s="12" t="s">
        <v>44</v>
      </c>
      <c r="K4" s="12" t="s">
        <v>31</v>
      </c>
      <c r="L4" s="12">
        <v>3.0</v>
      </c>
      <c r="M4" s="13" t="s">
        <v>45</v>
      </c>
      <c r="N4" s="12" t="s">
        <v>38</v>
      </c>
      <c r="O4" s="12"/>
      <c r="P4" s="25" t="s">
        <v>40</v>
      </c>
      <c r="Q4" s="15">
        <v>20.0</v>
      </c>
      <c r="R4" s="16">
        <v>45494.0</v>
      </c>
      <c r="S4" s="17">
        <v>17.23</v>
      </c>
      <c r="T4" s="17">
        <v>3.59</v>
      </c>
      <c r="U4" s="17">
        <v>38.66</v>
      </c>
      <c r="V4" s="7">
        <f>U4*'Data preparation'!$B$4/'Data preparation'!$B$3</f>
        <v>16.93237561</v>
      </c>
      <c r="W4" s="11" t="s">
        <v>41</v>
      </c>
      <c r="X4" s="18">
        <v>0.0825</v>
      </c>
      <c r="Y4" s="18">
        <v>45.07</v>
      </c>
      <c r="Z4" s="12">
        <v>139.0</v>
      </c>
      <c r="AA4" s="18">
        <f t="shared" si="1"/>
        <v>0.3242446043</v>
      </c>
      <c r="AB4" s="18">
        <f>'Data preparation'!$B$2*AA4</f>
        <v>0.04863669065</v>
      </c>
      <c r="AC4" s="26" t="s">
        <v>46</v>
      </c>
    </row>
    <row r="5" ht="31.5" customHeight="1">
      <c r="A5" s="11">
        <v>48.0</v>
      </c>
      <c r="B5" s="8" t="s">
        <v>47</v>
      </c>
      <c r="C5" s="9">
        <v>45419.0</v>
      </c>
      <c r="D5" s="10">
        <v>1536.0</v>
      </c>
      <c r="E5" s="27"/>
      <c r="F5" s="11">
        <v>808.0</v>
      </c>
      <c r="G5" s="12">
        <v>60.0</v>
      </c>
      <c r="H5" s="13">
        <v>3.0</v>
      </c>
      <c r="I5" s="13" t="b">
        <v>1</v>
      </c>
      <c r="J5" s="13"/>
      <c r="K5" s="13" t="s">
        <v>31</v>
      </c>
      <c r="L5" s="12">
        <v>3.0</v>
      </c>
      <c r="M5" s="13" t="s">
        <v>48</v>
      </c>
      <c r="N5" s="12" t="s">
        <v>38</v>
      </c>
      <c r="O5" s="13" t="s">
        <v>39</v>
      </c>
      <c r="P5" s="25" t="s">
        <v>33</v>
      </c>
      <c r="Q5" s="15">
        <v>34.0</v>
      </c>
      <c r="R5" s="16">
        <v>45465.0</v>
      </c>
      <c r="S5" s="17">
        <v>12.73</v>
      </c>
      <c r="T5" s="17">
        <v>11.21</v>
      </c>
      <c r="U5" s="17">
        <v>16.21</v>
      </c>
      <c r="V5" s="7">
        <f>U5*'Data preparation'!$B$4/'Data preparation'!$B$3</f>
        <v>7.099684653</v>
      </c>
      <c r="W5" s="7" t="s">
        <v>41</v>
      </c>
      <c r="X5" s="18">
        <v>0.7596</v>
      </c>
      <c r="Y5" s="18">
        <v>526.32</v>
      </c>
      <c r="Z5" s="12">
        <v>119.0</v>
      </c>
      <c r="AA5" s="18">
        <f t="shared" si="1"/>
        <v>4.422857143</v>
      </c>
      <c r="AB5" s="18">
        <f>'Data preparation'!$B$2*AA5</f>
        <v>0.6634285714</v>
      </c>
      <c r="AC5" s="19"/>
      <c r="AG5" s="28"/>
    </row>
    <row r="6" ht="41.25" customHeight="1">
      <c r="A6" s="7">
        <v>77.0</v>
      </c>
      <c r="B6" s="8" t="s">
        <v>49</v>
      </c>
      <c r="C6" s="16">
        <v>45498.0</v>
      </c>
      <c r="D6" s="10">
        <v>1152.0</v>
      </c>
      <c r="E6" s="27" t="s">
        <v>50</v>
      </c>
      <c r="F6" s="11">
        <v>174.0</v>
      </c>
      <c r="G6" s="12">
        <v>30.0</v>
      </c>
      <c r="H6" s="12">
        <v>3.0</v>
      </c>
      <c r="I6" s="12" t="b">
        <v>1</v>
      </c>
      <c r="J6" s="12" t="s">
        <v>44</v>
      </c>
      <c r="K6" s="12" t="s">
        <v>51</v>
      </c>
      <c r="L6" s="12">
        <v>5.0</v>
      </c>
      <c r="M6" s="12" t="s">
        <v>52</v>
      </c>
      <c r="N6" s="13"/>
      <c r="O6" s="13" t="s">
        <v>39</v>
      </c>
      <c r="P6" s="14" t="s">
        <v>33</v>
      </c>
      <c r="Q6" s="15">
        <v>35.0</v>
      </c>
      <c r="R6" s="16">
        <v>45498.0</v>
      </c>
      <c r="S6" s="17">
        <v>15.41</v>
      </c>
      <c r="T6" s="17">
        <v>1.42</v>
      </c>
      <c r="U6" s="17">
        <v>15.41</v>
      </c>
      <c r="V6" s="7">
        <f>U6*'Data preparation'!$B$4/'Data preparation'!$B$3</f>
        <v>6.749299229</v>
      </c>
      <c r="W6" s="7" t="s">
        <v>41</v>
      </c>
      <c r="X6" s="29">
        <v>0.047</v>
      </c>
      <c r="Y6" s="18">
        <v>22.1969</v>
      </c>
      <c r="Z6" s="12">
        <v>100.0</v>
      </c>
      <c r="AA6" s="18">
        <f t="shared" si="1"/>
        <v>0.221969</v>
      </c>
      <c r="AB6" s="18">
        <f>'Data preparation'!$B$2*AA6</f>
        <v>0.03329535</v>
      </c>
      <c r="AC6" s="26" t="s">
        <v>53</v>
      </c>
      <c r="AG6" s="30"/>
    </row>
    <row r="7" ht="40.5" customHeight="1">
      <c r="A7" s="7">
        <v>59.0</v>
      </c>
      <c r="B7" s="8" t="s">
        <v>54</v>
      </c>
      <c r="C7" s="16">
        <v>45498.0</v>
      </c>
      <c r="D7" s="10">
        <v>1152.0</v>
      </c>
      <c r="E7" s="27" t="s">
        <v>50</v>
      </c>
      <c r="F7" s="11">
        <v>287.0</v>
      </c>
      <c r="G7" s="12">
        <v>30.0</v>
      </c>
      <c r="H7" s="12">
        <v>3.0</v>
      </c>
      <c r="I7" s="12" t="b">
        <v>1</v>
      </c>
      <c r="J7" s="13"/>
      <c r="K7" s="13"/>
      <c r="L7" s="13"/>
      <c r="M7" s="12" t="s">
        <v>55</v>
      </c>
      <c r="N7" s="12" t="s">
        <v>38</v>
      </c>
      <c r="O7" s="13"/>
      <c r="P7" s="25" t="s">
        <v>40</v>
      </c>
      <c r="Q7" s="15">
        <v>47.0</v>
      </c>
      <c r="R7" s="16">
        <v>45498.0</v>
      </c>
      <c r="S7" s="17">
        <v>6.51</v>
      </c>
      <c r="T7" s="17">
        <v>21.87</v>
      </c>
      <c r="U7" s="17">
        <v>8.63</v>
      </c>
      <c r="V7" s="7">
        <f>U7*'Data preparation'!$B$4/'Data preparation'!$B$3</f>
        <v>3.779782761</v>
      </c>
      <c r="W7" s="11" t="s">
        <v>34</v>
      </c>
      <c r="X7" s="29">
        <v>0.3172</v>
      </c>
      <c r="Y7" s="18">
        <v>16.6877</v>
      </c>
      <c r="Z7" s="12">
        <v>120.0</v>
      </c>
      <c r="AA7" s="18">
        <f t="shared" si="1"/>
        <v>0.1390641667</v>
      </c>
      <c r="AB7" s="18">
        <f>'Data preparation'!$B$2*AA7</f>
        <v>0.020859625</v>
      </c>
      <c r="AC7" s="26"/>
      <c r="AG7" s="30"/>
    </row>
    <row r="8" ht="39.0" customHeight="1">
      <c r="A8" s="7">
        <v>6.0</v>
      </c>
      <c r="B8" s="8" t="s">
        <v>56</v>
      </c>
      <c r="C8" s="9">
        <v>45419.0</v>
      </c>
      <c r="D8" s="10">
        <v>2304.0</v>
      </c>
      <c r="E8" s="20"/>
      <c r="F8" s="11">
        <v>779.0</v>
      </c>
      <c r="G8" s="13">
        <v>30.0</v>
      </c>
      <c r="H8" s="13">
        <v>3.0</v>
      </c>
      <c r="I8" s="13" t="b">
        <v>0</v>
      </c>
      <c r="J8" s="13"/>
      <c r="K8" s="12" t="s">
        <v>31</v>
      </c>
      <c r="L8" s="12">
        <v>10.0</v>
      </c>
      <c r="M8" s="12" t="s">
        <v>57</v>
      </c>
      <c r="N8" s="13" t="s">
        <v>38</v>
      </c>
      <c r="O8" s="13" t="s">
        <v>39</v>
      </c>
      <c r="P8" s="14" t="s">
        <v>40</v>
      </c>
      <c r="Q8" s="15">
        <v>21.0</v>
      </c>
      <c r="R8" s="16">
        <v>45488.0</v>
      </c>
      <c r="S8" s="17">
        <v>8.402</v>
      </c>
      <c r="T8" s="17">
        <v>3.56</v>
      </c>
      <c r="U8" s="17">
        <v>8.4</v>
      </c>
      <c r="V8" s="7">
        <f>U8*'Data preparation'!$B$4/'Data preparation'!$B$3</f>
        <v>3.679046952</v>
      </c>
      <c r="W8" s="7" t="s">
        <v>41</v>
      </c>
      <c r="X8" s="29">
        <v>-6.0E-4</v>
      </c>
      <c r="Y8" s="18">
        <v>8.39</v>
      </c>
      <c r="Z8" s="12">
        <v>92.0</v>
      </c>
      <c r="AA8" s="18">
        <f t="shared" si="1"/>
        <v>0.09119565217</v>
      </c>
      <c r="AB8" s="18">
        <f>'Data preparation'!$B$2*AA8</f>
        <v>0.01367934783</v>
      </c>
      <c r="AC8" s="26" t="s">
        <v>58</v>
      </c>
      <c r="AG8" s="30"/>
    </row>
    <row r="9">
      <c r="AG9" s="30"/>
    </row>
    <row r="10">
      <c r="C10" s="31"/>
      <c r="D10" s="31"/>
      <c r="E10" s="31"/>
      <c r="F10" s="31"/>
      <c r="H10" s="32"/>
      <c r="AB10" s="33"/>
      <c r="AG10" s="30"/>
    </row>
    <row r="11">
      <c r="C11" s="31"/>
      <c r="D11" s="31"/>
      <c r="E11" s="31"/>
      <c r="F11" s="31"/>
      <c r="R11" s="34"/>
      <c r="S11" s="35"/>
      <c r="T11" s="35"/>
      <c r="U11" s="35"/>
      <c r="V11" s="35"/>
      <c r="AG11" s="30"/>
    </row>
    <row r="12">
      <c r="C12" s="31"/>
      <c r="D12" s="31"/>
      <c r="E12" s="31"/>
      <c r="F12" s="31"/>
      <c r="S12" s="28"/>
      <c r="T12" s="36"/>
      <c r="U12" s="36"/>
      <c r="AG12" s="30"/>
    </row>
    <row r="13">
      <c r="C13" s="31"/>
      <c r="D13" s="31"/>
      <c r="E13" s="31"/>
      <c r="F13" s="31"/>
      <c r="T13" s="36"/>
      <c r="U13" s="36"/>
      <c r="AB13" s="35"/>
      <c r="AG13" s="30"/>
    </row>
    <row r="14">
      <c r="T14" s="35"/>
      <c r="U14" s="35"/>
      <c r="AG14" s="30"/>
    </row>
    <row r="17">
      <c r="J17" s="32"/>
    </row>
  </sheetData>
  <autoFilter ref="$A$1:$AC$8">
    <sortState ref="A1:AC8">
      <sortCondition descending="1" ref="U1:U8"/>
      <sortCondition descending="1" ref="T1:T8"/>
      <sortCondition descending="1" ref="AA1:AA8"/>
    </sortState>
  </autoFilter>
  <conditionalFormatting sqref="Z2:Z8">
    <cfRule type="colorScale" priority="1">
      <colorScale>
        <cfvo type="min"/>
        <cfvo type="max"/>
        <color rgb="FFFFFFFF"/>
        <color rgb="FFFFD666"/>
      </colorScale>
    </cfRule>
  </conditionalFormatting>
  <conditionalFormatting sqref="AA2:AB8">
    <cfRule type="colorScale" priority="2">
      <colorScale>
        <cfvo type="min"/>
        <cfvo type="max"/>
        <color rgb="FFFFFFFF"/>
        <color rgb="FF57BB8A"/>
      </colorScale>
    </cfRule>
  </conditionalFormatting>
  <conditionalFormatting sqref="Y2:Y8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65.38"/>
    <col customWidth="1" min="8" max="9" width="65.38"/>
    <col customWidth="1" min="10" max="10" width="10.13"/>
    <col customWidth="1" min="11" max="11" width="65.38"/>
  </cols>
  <sheetData>
    <row r="1">
      <c r="A1" s="37"/>
      <c r="B1" s="37"/>
      <c r="C1" s="37"/>
      <c r="D1" s="38" t="s">
        <v>59</v>
      </c>
      <c r="F1" s="39"/>
      <c r="G1" s="40" t="s">
        <v>60</v>
      </c>
      <c r="J1" s="37"/>
      <c r="K1" s="37"/>
    </row>
    <row r="2">
      <c r="A2" s="41" t="s">
        <v>61</v>
      </c>
      <c r="B2" s="41" t="s">
        <v>62</v>
      </c>
      <c r="C2" s="41" t="s">
        <v>63</v>
      </c>
      <c r="D2" s="42" t="s">
        <v>3</v>
      </c>
      <c r="E2" s="43" t="s">
        <v>4</v>
      </c>
      <c r="F2" s="44" t="s">
        <v>64</v>
      </c>
      <c r="G2" s="45" t="s">
        <v>18</v>
      </c>
      <c r="H2" s="45" t="s">
        <v>19</v>
      </c>
      <c r="I2" s="46" t="s">
        <v>20</v>
      </c>
      <c r="J2" s="41" t="s">
        <v>65</v>
      </c>
      <c r="K2" s="41" t="s">
        <v>66</v>
      </c>
    </row>
    <row r="3" ht="108.0" customHeight="1">
      <c r="A3" s="14" t="s">
        <v>35</v>
      </c>
      <c r="B3" s="47">
        <v>45418.0</v>
      </c>
      <c r="C3" s="48"/>
      <c r="D3" s="49">
        <v>768.0</v>
      </c>
      <c r="E3" s="50"/>
      <c r="F3" s="51"/>
      <c r="G3" s="52"/>
      <c r="H3" s="52"/>
      <c r="I3" s="53"/>
      <c r="J3" s="54" t="s">
        <v>67</v>
      </c>
      <c r="K3" s="48"/>
    </row>
    <row r="4" ht="42.0" customHeight="1">
      <c r="A4" s="55" t="s">
        <v>47</v>
      </c>
      <c r="B4" s="47">
        <v>45419.0</v>
      </c>
      <c r="C4" s="48"/>
      <c r="D4" s="49">
        <v>1536.0</v>
      </c>
      <c r="E4" s="50"/>
      <c r="F4" s="51"/>
      <c r="G4" s="56">
        <v>12.73</v>
      </c>
      <c r="H4" s="56">
        <v>11.21</v>
      </c>
      <c r="I4" s="57">
        <v>16.21</v>
      </c>
      <c r="J4" s="54" t="s">
        <v>67</v>
      </c>
      <c r="K4" s="48"/>
    </row>
    <row r="5" ht="52.5" customHeight="1">
      <c r="A5" s="58" t="s">
        <v>29</v>
      </c>
      <c r="B5" s="59">
        <v>45419.0</v>
      </c>
      <c r="C5" s="48"/>
      <c r="D5" s="49">
        <v>2304.0</v>
      </c>
      <c r="E5" s="50"/>
      <c r="F5" s="51"/>
      <c r="G5" s="52"/>
      <c r="H5" s="52"/>
      <c r="I5" s="53"/>
      <c r="J5" s="54" t="s">
        <v>67</v>
      </c>
      <c r="K5" s="48"/>
    </row>
    <row r="6">
      <c r="A6" s="14" t="s">
        <v>56</v>
      </c>
      <c r="B6" s="47">
        <v>45419.0</v>
      </c>
      <c r="C6" s="48"/>
      <c r="D6" s="60">
        <v>2304.0</v>
      </c>
      <c r="E6" s="50"/>
      <c r="F6" s="51"/>
      <c r="G6" s="61"/>
      <c r="H6" s="61"/>
      <c r="I6" s="61"/>
      <c r="J6" s="54" t="s">
        <v>67</v>
      </c>
      <c r="K6" s="48"/>
    </row>
    <row r="7">
      <c r="A7" s="14" t="s">
        <v>43</v>
      </c>
      <c r="B7" s="62">
        <v>45467.0</v>
      </c>
      <c r="C7" s="48"/>
      <c r="D7" s="60">
        <v>768.0</v>
      </c>
      <c r="E7" s="50"/>
      <c r="F7" s="51"/>
      <c r="G7" s="52"/>
      <c r="H7" s="52"/>
      <c r="I7" s="53"/>
      <c r="J7" s="54" t="s">
        <v>67</v>
      </c>
      <c r="K7" s="48"/>
    </row>
    <row r="8" ht="49.5" customHeight="1">
      <c r="A8" s="14" t="s">
        <v>49</v>
      </c>
      <c r="B8" s="62">
        <v>45498.0</v>
      </c>
      <c r="C8" s="63" t="s">
        <v>68</v>
      </c>
      <c r="D8" s="60">
        <v>1152.0</v>
      </c>
      <c r="E8" s="64" t="s">
        <v>50</v>
      </c>
      <c r="F8" s="65"/>
      <c r="G8" s="56">
        <v>15.41</v>
      </c>
      <c r="H8" s="56">
        <v>1.42</v>
      </c>
      <c r="I8" s="57">
        <v>15.41</v>
      </c>
      <c r="J8" s="54" t="s">
        <v>67</v>
      </c>
      <c r="K8" s="66"/>
    </row>
    <row r="9" ht="49.5" customHeight="1">
      <c r="A9" s="14" t="s">
        <v>54</v>
      </c>
      <c r="B9" s="62">
        <v>45498.0</v>
      </c>
      <c r="C9" s="63" t="s">
        <v>69</v>
      </c>
      <c r="D9" s="60">
        <v>1152.0</v>
      </c>
      <c r="E9" s="64" t="s">
        <v>50</v>
      </c>
      <c r="F9" s="65"/>
      <c r="G9" s="56">
        <v>6.51</v>
      </c>
      <c r="H9" s="56">
        <v>21.87</v>
      </c>
      <c r="I9" s="57">
        <v>8.63</v>
      </c>
      <c r="J9" s="55" t="s">
        <v>67</v>
      </c>
      <c r="K9" s="63"/>
    </row>
    <row r="10" ht="49.5" customHeight="1">
      <c r="A10" s="55" t="s">
        <v>47</v>
      </c>
      <c r="B10" s="67">
        <v>45502.0</v>
      </c>
      <c r="C10" s="63" t="s">
        <v>70</v>
      </c>
      <c r="D10" s="60">
        <v>1728.0</v>
      </c>
      <c r="E10" s="64" t="s">
        <v>71</v>
      </c>
      <c r="F10" s="65" t="s">
        <v>72</v>
      </c>
      <c r="G10" s="56">
        <v>8.9</v>
      </c>
      <c r="H10" s="56">
        <v>11.2</v>
      </c>
      <c r="I10" s="57">
        <v>5.5</v>
      </c>
      <c r="J10" s="55" t="s">
        <v>73</v>
      </c>
      <c r="K10" s="63" t="s">
        <v>74</v>
      </c>
    </row>
    <row r="11">
      <c r="D11" s="68"/>
      <c r="F11" s="69"/>
      <c r="G11" s="28"/>
      <c r="H11" s="36"/>
      <c r="I11" s="70"/>
      <c r="J11" s="6"/>
    </row>
    <row r="12">
      <c r="D12" s="68"/>
      <c r="F12" s="69"/>
      <c r="H12" s="36"/>
      <c r="I12" s="70"/>
      <c r="J12" s="6"/>
    </row>
    <row r="13">
      <c r="D13" s="68"/>
      <c r="F13" s="69"/>
      <c r="H13" s="35"/>
      <c r="I13" s="71"/>
      <c r="J13" s="6"/>
    </row>
    <row r="14">
      <c r="D14" s="68"/>
      <c r="F14" s="69"/>
      <c r="I14" s="69"/>
      <c r="J14" s="6"/>
    </row>
    <row r="15">
      <c r="D15" s="68"/>
      <c r="F15" s="69"/>
      <c r="I15" s="69"/>
      <c r="J15" s="6"/>
    </row>
    <row r="16">
      <c r="D16" s="68"/>
      <c r="F16" s="69"/>
      <c r="I16" s="69"/>
      <c r="J16" s="6"/>
    </row>
    <row r="17">
      <c r="D17" s="68"/>
      <c r="F17" s="69"/>
      <c r="I17" s="69"/>
      <c r="J17" s="6"/>
    </row>
    <row r="18">
      <c r="D18" s="68"/>
      <c r="F18" s="69"/>
      <c r="I18" s="69"/>
      <c r="J18" s="6"/>
    </row>
    <row r="19">
      <c r="D19" s="68"/>
      <c r="F19" s="69"/>
      <c r="I19" s="69"/>
      <c r="J19" s="6"/>
    </row>
    <row r="20">
      <c r="D20" s="68"/>
      <c r="F20" s="69"/>
      <c r="I20" s="69"/>
      <c r="J20" s="6"/>
    </row>
    <row r="21">
      <c r="D21" s="68"/>
      <c r="F21" s="69"/>
      <c r="I21" s="69"/>
      <c r="J21" s="6"/>
    </row>
    <row r="22">
      <c r="D22" s="68"/>
      <c r="F22" s="69"/>
      <c r="I22" s="69"/>
      <c r="J22" s="6"/>
    </row>
    <row r="23">
      <c r="D23" s="68"/>
      <c r="F23" s="69"/>
      <c r="I23" s="69"/>
      <c r="J23" s="6"/>
    </row>
    <row r="24">
      <c r="D24" s="68"/>
      <c r="F24" s="69"/>
      <c r="I24" s="69"/>
      <c r="J24" s="6"/>
    </row>
    <row r="25">
      <c r="D25" s="68"/>
      <c r="F25" s="69"/>
      <c r="I25" s="69"/>
      <c r="J25" s="6"/>
    </row>
    <row r="26">
      <c r="D26" s="68"/>
      <c r="F26" s="69"/>
      <c r="I26" s="69"/>
      <c r="J26" s="6"/>
    </row>
    <row r="27">
      <c r="D27" s="68"/>
      <c r="F27" s="69"/>
      <c r="I27" s="69"/>
      <c r="J27" s="6"/>
    </row>
    <row r="28">
      <c r="D28" s="68"/>
      <c r="F28" s="69"/>
      <c r="I28" s="69"/>
      <c r="J28" s="6"/>
    </row>
    <row r="29">
      <c r="D29" s="68"/>
      <c r="F29" s="69"/>
      <c r="I29" s="69"/>
      <c r="J29" s="6"/>
    </row>
    <row r="30">
      <c r="D30" s="68"/>
      <c r="F30" s="69"/>
      <c r="I30" s="69"/>
      <c r="J30" s="6"/>
    </row>
    <row r="31">
      <c r="D31" s="68"/>
      <c r="F31" s="69"/>
      <c r="I31" s="69"/>
      <c r="J31" s="6"/>
    </row>
    <row r="32">
      <c r="D32" s="68"/>
      <c r="F32" s="69"/>
      <c r="I32" s="69"/>
      <c r="J32" s="6"/>
    </row>
    <row r="33">
      <c r="D33" s="68"/>
      <c r="F33" s="69"/>
      <c r="I33" s="69"/>
      <c r="J33" s="6"/>
    </row>
    <row r="34">
      <c r="D34" s="68"/>
      <c r="F34" s="69"/>
      <c r="I34" s="69"/>
      <c r="J34" s="6"/>
    </row>
    <row r="35">
      <c r="D35" s="68"/>
      <c r="F35" s="69"/>
      <c r="I35" s="69"/>
      <c r="J35" s="6"/>
    </row>
    <row r="36">
      <c r="D36" s="68"/>
      <c r="F36" s="69"/>
      <c r="I36" s="69"/>
      <c r="J36" s="6"/>
    </row>
    <row r="37">
      <c r="D37" s="68"/>
      <c r="F37" s="69"/>
      <c r="I37" s="69"/>
      <c r="J37" s="6"/>
    </row>
    <row r="38">
      <c r="D38" s="68"/>
      <c r="F38" s="69"/>
      <c r="I38" s="69"/>
      <c r="J38" s="6"/>
    </row>
    <row r="39">
      <c r="D39" s="68"/>
      <c r="F39" s="69"/>
      <c r="I39" s="69"/>
      <c r="J39" s="6"/>
    </row>
    <row r="40">
      <c r="D40" s="68"/>
      <c r="F40" s="69"/>
      <c r="I40" s="69"/>
      <c r="J40" s="6"/>
    </row>
    <row r="41">
      <c r="D41" s="68"/>
      <c r="F41" s="69"/>
      <c r="I41" s="69"/>
      <c r="J41" s="6"/>
    </row>
    <row r="42">
      <c r="D42" s="68"/>
      <c r="F42" s="69"/>
      <c r="I42" s="69"/>
      <c r="J42" s="6"/>
    </row>
    <row r="43">
      <c r="D43" s="68"/>
      <c r="F43" s="69"/>
      <c r="I43" s="69"/>
      <c r="J43" s="6"/>
    </row>
    <row r="44">
      <c r="D44" s="68"/>
      <c r="F44" s="69"/>
      <c r="I44" s="69"/>
      <c r="J44" s="6"/>
    </row>
    <row r="45">
      <c r="D45" s="68"/>
      <c r="F45" s="69"/>
      <c r="I45" s="69"/>
      <c r="J45" s="6"/>
    </row>
    <row r="46">
      <c r="D46" s="68"/>
      <c r="F46" s="69"/>
      <c r="I46" s="69"/>
      <c r="J46" s="6"/>
    </row>
    <row r="47">
      <c r="D47" s="68"/>
      <c r="F47" s="69"/>
      <c r="I47" s="69"/>
      <c r="J47" s="6"/>
    </row>
    <row r="48">
      <c r="D48" s="68"/>
      <c r="F48" s="69"/>
      <c r="I48" s="69"/>
      <c r="J48" s="6"/>
    </row>
    <row r="49">
      <c r="D49" s="68"/>
      <c r="F49" s="69"/>
      <c r="I49" s="69"/>
      <c r="J49" s="6"/>
    </row>
    <row r="50">
      <c r="D50" s="68"/>
      <c r="F50" s="69"/>
      <c r="I50" s="69"/>
      <c r="J50" s="6"/>
    </row>
    <row r="51">
      <c r="D51" s="68"/>
      <c r="F51" s="69"/>
      <c r="I51" s="69"/>
      <c r="J51" s="6"/>
    </row>
    <row r="52">
      <c r="D52" s="68"/>
      <c r="F52" s="69"/>
      <c r="I52" s="69"/>
      <c r="J52" s="6"/>
    </row>
    <row r="53">
      <c r="D53" s="68"/>
      <c r="F53" s="69"/>
      <c r="I53" s="69"/>
      <c r="J53" s="6"/>
    </row>
    <row r="54">
      <c r="D54" s="68"/>
      <c r="F54" s="69"/>
      <c r="I54" s="69"/>
      <c r="J54" s="6"/>
    </row>
    <row r="55">
      <c r="D55" s="68"/>
      <c r="F55" s="69"/>
      <c r="I55" s="69"/>
      <c r="J55" s="6"/>
    </row>
    <row r="56">
      <c r="D56" s="68"/>
      <c r="F56" s="69"/>
      <c r="I56" s="69"/>
      <c r="J56" s="6"/>
    </row>
    <row r="57">
      <c r="D57" s="68"/>
      <c r="F57" s="69"/>
      <c r="I57" s="69"/>
      <c r="J57" s="6"/>
    </row>
    <row r="58">
      <c r="D58" s="68"/>
      <c r="F58" s="69"/>
      <c r="I58" s="69"/>
      <c r="J58" s="6"/>
    </row>
    <row r="59">
      <c r="D59" s="68"/>
      <c r="F59" s="69"/>
      <c r="I59" s="69"/>
      <c r="J59" s="6"/>
    </row>
    <row r="60">
      <c r="D60" s="68"/>
      <c r="F60" s="69"/>
      <c r="I60" s="69"/>
      <c r="J60" s="6"/>
    </row>
    <row r="61">
      <c r="D61" s="68"/>
      <c r="F61" s="69"/>
      <c r="I61" s="69"/>
      <c r="J61" s="6"/>
    </row>
    <row r="62">
      <c r="D62" s="68"/>
      <c r="F62" s="69"/>
      <c r="I62" s="69"/>
      <c r="J62" s="6"/>
    </row>
    <row r="63">
      <c r="D63" s="68"/>
      <c r="F63" s="69"/>
      <c r="I63" s="69"/>
      <c r="J63" s="6"/>
    </row>
    <row r="64">
      <c r="D64" s="68"/>
      <c r="F64" s="69"/>
      <c r="I64" s="69"/>
      <c r="J64" s="6"/>
    </row>
    <row r="65">
      <c r="D65" s="68"/>
      <c r="F65" s="69"/>
      <c r="I65" s="69"/>
      <c r="J65" s="6"/>
    </row>
    <row r="66">
      <c r="D66" s="68"/>
      <c r="F66" s="69"/>
      <c r="I66" s="69"/>
      <c r="J66" s="6"/>
    </row>
    <row r="67">
      <c r="D67" s="68"/>
      <c r="F67" s="69"/>
      <c r="I67" s="69"/>
      <c r="J67" s="6"/>
    </row>
    <row r="68">
      <c r="D68" s="68"/>
      <c r="F68" s="69"/>
      <c r="I68" s="69"/>
      <c r="J68" s="6"/>
    </row>
    <row r="69">
      <c r="D69" s="68"/>
      <c r="F69" s="69"/>
      <c r="I69" s="69"/>
      <c r="J69" s="6"/>
    </row>
    <row r="70">
      <c r="D70" s="68"/>
      <c r="F70" s="69"/>
      <c r="I70" s="69"/>
      <c r="J70" s="6"/>
    </row>
    <row r="71">
      <c r="D71" s="68"/>
      <c r="F71" s="69"/>
      <c r="I71" s="69"/>
      <c r="J71" s="6"/>
    </row>
    <row r="72">
      <c r="D72" s="68"/>
      <c r="F72" s="69"/>
      <c r="I72" s="69"/>
      <c r="J72" s="6"/>
    </row>
    <row r="73">
      <c r="D73" s="68"/>
      <c r="F73" s="69"/>
      <c r="I73" s="69"/>
      <c r="J73" s="6"/>
    </row>
    <row r="74">
      <c r="D74" s="68"/>
      <c r="F74" s="69"/>
      <c r="I74" s="69"/>
      <c r="J74" s="6"/>
    </row>
    <row r="75">
      <c r="D75" s="68"/>
      <c r="F75" s="69"/>
      <c r="I75" s="69"/>
      <c r="J75" s="6"/>
    </row>
    <row r="76">
      <c r="D76" s="68"/>
      <c r="F76" s="69"/>
      <c r="I76" s="69"/>
      <c r="J76" s="6"/>
    </row>
    <row r="77">
      <c r="D77" s="68"/>
      <c r="F77" s="69"/>
      <c r="I77" s="69"/>
      <c r="J77" s="6"/>
    </row>
    <row r="78">
      <c r="D78" s="68"/>
      <c r="F78" s="69"/>
      <c r="I78" s="69"/>
      <c r="J78" s="6"/>
    </row>
    <row r="79">
      <c r="D79" s="68"/>
      <c r="F79" s="69"/>
      <c r="I79" s="69"/>
      <c r="J79" s="6"/>
    </row>
    <row r="80">
      <c r="D80" s="68"/>
      <c r="F80" s="69"/>
      <c r="I80" s="69"/>
      <c r="J80" s="6"/>
    </row>
    <row r="81">
      <c r="D81" s="68"/>
      <c r="F81" s="69"/>
      <c r="I81" s="69"/>
      <c r="J81" s="6"/>
    </row>
    <row r="82">
      <c r="D82" s="68"/>
      <c r="F82" s="69"/>
      <c r="I82" s="69"/>
      <c r="J82" s="6"/>
    </row>
    <row r="83">
      <c r="D83" s="68"/>
      <c r="F83" s="69"/>
      <c r="I83" s="69"/>
      <c r="J83" s="6"/>
    </row>
    <row r="84">
      <c r="D84" s="68"/>
      <c r="F84" s="69"/>
      <c r="I84" s="69"/>
      <c r="J84" s="6"/>
    </row>
    <row r="85">
      <c r="D85" s="68"/>
      <c r="F85" s="69"/>
      <c r="I85" s="69"/>
      <c r="J85" s="6"/>
    </row>
    <row r="86">
      <c r="D86" s="68"/>
      <c r="F86" s="69"/>
      <c r="I86" s="69"/>
      <c r="J86" s="6"/>
    </row>
    <row r="87">
      <c r="D87" s="68"/>
      <c r="F87" s="69"/>
      <c r="I87" s="69"/>
      <c r="J87" s="6"/>
    </row>
    <row r="88">
      <c r="D88" s="68"/>
      <c r="F88" s="69"/>
      <c r="I88" s="69"/>
      <c r="J88" s="6"/>
    </row>
    <row r="89">
      <c r="D89" s="68"/>
      <c r="F89" s="69"/>
      <c r="I89" s="69"/>
      <c r="J89" s="6"/>
    </row>
    <row r="90">
      <c r="D90" s="68"/>
      <c r="F90" s="69"/>
      <c r="I90" s="69"/>
      <c r="J90" s="6"/>
    </row>
    <row r="91">
      <c r="D91" s="68"/>
      <c r="F91" s="69"/>
      <c r="I91" s="69"/>
      <c r="J91" s="6"/>
    </row>
    <row r="92">
      <c r="D92" s="68"/>
      <c r="F92" s="69"/>
      <c r="I92" s="69"/>
      <c r="J92" s="6"/>
    </row>
    <row r="93">
      <c r="D93" s="68"/>
      <c r="F93" s="69"/>
      <c r="I93" s="69"/>
      <c r="J93" s="6"/>
    </row>
    <row r="94">
      <c r="D94" s="68"/>
      <c r="F94" s="69"/>
      <c r="I94" s="69"/>
      <c r="J94" s="6"/>
    </row>
    <row r="95">
      <c r="D95" s="68"/>
      <c r="F95" s="69"/>
      <c r="I95" s="69"/>
      <c r="J95" s="6"/>
    </row>
    <row r="96">
      <c r="D96" s="68"/>
      <c r="F96" s="69"/>
      <c r="I96" s="69"/>
      <c r="J96" s="6"/>
    </row>
    <row r="97">
      <c r="D97" s="68"/>
      <c r="F97" s="69"/>
      <c r="I97" s="69"/>
      <c r="J97" s="6"/>
    </row>
    <row r="98">
      <c r="D98" s="68"/>
      <c r="F98" s="69"/>
      <c r="I98" s="69"/>
      <c r="J98" s="6"/>
    </row>
    <row r="99">
      <c r="D99" s="68"/>
      <c r="F99" s="69"/>
      <c r="I99" s="69"/>
      <c r="J99" s="6"/>
    </row>
    <row r="100">
      <c r="D100" s="68"/>
      <c r="F100" s="69"/>
      <c r="I100" s="69"/>
      <c r="J100" s="6"/>
    </row>
    <row r="101">
      <c r="D101" s="68"/>
      <c r="F101" s="69"/>
      <c r="I101" s="69"/>
      <c r="J101" s="6"/>
    </row>
    <row r="102">
      <c r="D102" s="68"/>
      <c r="F102" s="69"/>
      <c r="I102" s="69"/>
      <c r="J102" s="6"/>
    </row>
    <row r="103">
      <c r="D103" s="68"/>
      <c r="F103" s="69"/>
      <c r="I103" s="69"/>
      <c r="J103" s="6"/>
    </row>
    <row r="104">
      <c r="D104" s="68"/>
      <c r="F104" s="69"/>
      <c r="I104" s="69"/>
      <c r="J104" s="6"/>
    </row>
    <row r="105">
      <c r="D105" s="68"/>
      <c r="F105" s="69"/>
      <c r="I105" s="69"/>
      <c r="J105" s="6"/>
    </row>
    <row r="106">
      <c r="D106" s="68"/>
      <c r="F106" s="69"/>
      <c r="I106" s="69"/>
      <c r="J106" s="6"/>
    </row>
    <row r="107">
      <c r="D107" s="68"/>
      <c r="F107" s="69"/>
      <c r="I107" s="69"/>
      <c r="J107" s="6"/>
    </row>
    <row r="108">
      <c r="D108" s="68"/>
      <c r="F108" s="69"/>
      <c r="I108" s="69"/>
      <c r="J108" s="6"/>
    </row>
    <row r="109">
      <c r="D109" s="68"/>
      <c r="F109" s="69"/>
      <c r="I109" s="69"/>
      <c r="J109" s="6"/>
    </row>
    <row r="110">
      <c r="D110" s="68"/>
      <c r="F110" s="69"/>
      <c r="I110" s="69"/>
      <c r="J110" s="6"/>
    </row>
    <row r="111">
      <c r="D111" s="68"/>
      <c r="F111" s="69"/>
      <c r="I111" s="69"/>
      <c r="J111" s="6"/>
    </row>
    <row r="112">
      <c r="D112" s="68"/>
      <c r="F112" s="69"/>
      <c r="I112" s="69"/>
      <c r="J112" s="6"/>
    </row>
    <row r="113">
      <c r="D113" s="68"/>
      <c r="F113" s="69"/>
      <c r="I113" s="69"/>
      <c r="J113" s="6"/>
    </row>
    <row r="114">
      <c r="D114" s="68"/>
      <c r="F114" s="69"/>
      <c r="I114" s="69"/>
      <c r="J114" s="6"/>
    </row>
    <row r="115">
      <c r="D115" s="68"/>
      <c r="F115" s="69"/>
      <c r="I115" s="69"/>
      <c r="J115" s="6"/>
    </row>
    <row r="116">
      <c r="D116" s="68"/>
      <c r="F116" s="69"/>
      <c r="I116" s="69"/>
      <c r="J116" s="6"/>
    </row>
    <row r="117">
      <c r="D117" s="68"/>
      <c r="F117" s="69"/>
      <c r="I117" s="69"/>
      <c r="J117" s="6"/>
    </row>
    <row r="118">
      <c r="D118" s="68"/>
      <c r="F118" s="69"/>
      <c r="I118" s="69"/>
      <c r="J118" s="6"/>
    </row>
    <row r="119">
      <c r="D119" s="68"/>
      <c r="F119" s="69"/>
      <c r="I119" s="69"/>
      <c r="J119" s="6"/>
    </row>
    <row r="120">
      <c r="D120" s="68"/>
      <c r="F120" s="69"/>
      <c r="I120" s="69"/>
      <c r="J120" s="6"/>
    </row>
    <row r="121">
      <c r="D121" s="68"/>
      <c r="F121" s="69"/>
      <c r="I121" s="69"/>
      <c r="J121" s="6"/>
    </row>
    <row r="122">
      <c r="D122" s="68"/>
      <c r="F122" s="69"/>
      <c r="I122" s="69"/>
      <c r="J122" s="6"/>
    </row>
    <row r="123">
      <c r="D123" s="68"/>
      <c r="F123" s="69"/>
      <c r="I123" s="69"/>
      <c r="J123" s="6"/>
    </row>
    <row r="124">
      <c r="D124" s="68"/>
      <c r="F124" s="69"/>
      <c r="I124" s="69"/>
      <c r="J124" s="6"/>
    </row>
    <row r="125">
      <c r="D125" s="68"/>
      <c r="F125" s="69"/>
      <c r="I125" s="69"/>
      <c r="J125" s="6"/>
    </row>
    <row r="126">
      <c r="D126" s="68"/>
      <c r="F126" s="69"/>
      <c r="I126" s="69"/>
      <c r="J126" s="6"/>
    </row>
    <row r="127">
      <c r="D127" s="68"/>
      <c r="F127" s="69"/>
      <c r="I127" s="69"/>
      <c r="J127" s="6"/>
    </row>
    <row r="128">
      <c r="D128" s="68"/>
      <c r="F128" s="69"/>
      <c r="I128" s="69"/>
      <c r="J128" s="6"/>
    </row>
    <row r="129">
      <c r="D129" s="68"/>
      <c r="F129" s="69"/>
      <c r="I129" s="69"/>
      <c r="J129" s="6"/>
    </row>
    <row r="130">
      <c r="D130" s="68"/>
      <c r="F130" s="69"/>
      <c r="I130" s="69"/>
      <c r="J130" s="6"/>
    </row>
    <row r="131">
      <c r="D131" s="68"/>
      <c r="F131" s="69"/>
      <c r="I131" s="69"/>
      <c r="J131" s="6"/>
    </row>
    <row r="132">
      <c r="D132" s="68"/>
      <c r="F132" s="69"/>
      <c r="I132" s="69"/>
      <c r="J132" s="6"/>
    </row>
    <row r="133">
      <c r="D133" s="68"/>
      <c r="F133" s="69"/>
      <c r="I133" s="69"/>
      <c r="J133" s="6"/>
    </row>
    <row r="134">
      <c r="D134" s="68"/>
      <c r="F134" s="69"/>
      <c r="I134" s="69"/>
      <c r="J134" s="6"/>
    </row>
    <row r="135">
      <c r="D135" s="68"/>
      <c r="F135" s="69"/>
      <c r="I135" s="69"/>
      <c r="J135" s="6"/>
    </row>
    <row r="136">
      <c r="D136" s="68"/>
      <c r="F136" s="69"/>
      <c r="I136" s="69"/>
      <c r="J136" s="6"/>
    </row>
    <row r="137">
      <c r="D137" s="68"/>
      <c r="F137" s="69"/>
      <c r="I137" s="69"/>
      <c r="J137" s="6"/>
    </row>
    <row r="138">
      <c r="D138" s="68"/>
      <c r="F138" s="69"/>
      <c r="I138" s="69"/>
      <c r="J138" s="6"/>
    </row>
    <row r="139">
      <c r="D139" s="68"/>
      <c r="F139" s="69"/>
      <c r="I139" s="69"/>
      <c r="J139" s="6"/>
    </row>
    <row r="140">
      <c r="D140" s="68"/>
      <c r="F140" s="69"/>
      <c r="I140" s="69"/>
      <c r="J140" s="6"/>
    </row>
    <row r="141">
      <c r="D141" s="68"/>
      <c r="F141" s="69"/>
      <c r="I141" s="69"/>
      <c r="J141" s="6"/>
    </row>
    <row r="142">
      <c r="D142" s="68"/>
      <c r="F142" s="69"/>
      <c r="I142" s="69"/>
      <c r="J142" s="6"/>
    </row>
    <row r="143">
      <c r="D143" s="68"/>
      <c r="F143" s="69"/>
      <c r="I143" s="69"/>
      <c r="J143" s="6"/>
    </row>
    <row r="144">
      <c r="D144" s="68"/>
      <c r="F144" s="69"/>
      <c r="I144" s="69"/>
      <c r="J144" s="6"/>
    </row>
    <row r="145">
      <c r="D145" s="68"/>
      <c r="F145" s="69"/>
      <c r="I145" s="69"/>
      <c r="J145" s="6"/>
    </row>
    <row r="146">
      <c r="D146" s="68"/>
      <c r="F146" s="69"/>
      <c r="I146" s="69"/>
      <c r="J146" s="6"/>
    </row>
    <row r="147">
      <c r="D147" s="68"/>
      <c r="F147" s="69"/>
      <c r="I147" s="69"/>
      <c r="J147" s="6"/>
    </row>
    <row r="148">
      <c r="D148" s="68"/>
      <c r="F148" s="69"/>
      <c r="I148" s="69"/>
      <c r="J148" s="6"/>
    </row>
    <row r="149">
      <c r="D149" s="68"/>
      <c r="F149" s="69"/>
      <c r="I149" s="69"/>
      <c r="J149" s="6"/>
    </row>
    <row r="150">
      <c r="D150" s="68"/>
      <c r="F150" s="69"/>
      <c r="I150" s="69"/>
      <c r="J150" s="6"/>
    </row>
    <row r="151">
      <c r="D151" s="68"/>
      <c r="F151" s="69"/>
      <c r="I151" s="69"/>
      <c r="J151" s="6"/>
    </row>
    <row r="152">
      <c r="D152" s="68"/>
      <c r="F152" s="69"/>
      <c r="I152" s="69"/>
      <c r="J152" s="6"/>
    </row>
    <row r="153">
      <c r="D153" s="68"/>
      <c r="F153" s="69"/>
      <c r="I153" s="69"/>
      <c r="J153" s="6"/>
    </row>
    <row r="154">
      <c r="D154" s="68"/>
      <c r="F154" s="69"/>
      <c r="I154" s="69"/>
      <c r="J154" s="6"/>
    </row>
    <row r="155">
      <c r="D155" s="68"/>
      <c r="F155" s="69"/>
      <c r="I155" s="69"/>
      <c r="J155" s="6"/>
    </row>
    <row r="156">
      <c r="D156" s="68"/>
      <c r="F156" s="69"/>
      <c r="I156" s="69"/>
      <c r="J156" s="6"/>
    </row>
    <row r="157">
      <c r="D157" s="68"/>
      <c r="F157" s="69"/>
      <c r="I157" s="69"/>
      <c r="J157" s="6"/>
    </row>
    <row r="158">
      <c r="D158" s="68"/>
      <c r="F158" s="69"/>
      <c r="I158" s="69"/>
      <c r="J158" s="6"/>
    </row>
    <row r="159">
      <c r="D159" s="68"/>
      <c r="F159" s="69"/>
      <c r="I159" s="69"/>
      <c r="J159" s="6"/>
    </row>
    <row r="160">
      <c r="D160" s="68"/>
      <c r="F160" s="69"/>
      <c r="I160" s="69"/>
      <c r="J160" s="6"/>
    </row>
    <row r="161">
      <c r="D161" s="68"/>
      <c r="F161" s="69"/>
      <c r="I161" s="69"/>
      <c r="J161" s="6"/>
    </row>
    <row r="162">
      <c r="D162" s="68"/>
      <c r="F162" s="69"/>
      <c r="I162" s="69"/>
      <c r="J162" s="6"/>
    </row>
    <row r="163">
      <c r="D163" s="68"/>
      <c r="F163" s="69"/>
      <c r="I163" s="69"/>
      <c r="J163" s="6"/>
    </row>
    <row r="164">
      <c r="D164" s="68"/>
      <c r="F164" s="69"/>
      <c r="I164" s="69"/>
      <c r="J164" s="6"/>
    </row>
    <row r="165">
      <c r="D165" s="68"/>
      <c r="F165" s="69"/>
      <c r="I165" s="69"/>
      <c r="J165" s="6"/>
    </row>
    <row r="166">
      <c r="D166" s="68"/>
      <c r="F166" s="69"/>
      <c r="I166" s="69"/>
      <c r="J166" s="6"/>
    </row>
    <row r="167">
      <c r="D167" s="68"/>
      <c r="F167" s="69"/>
      <c r="I167" s="69"/>
      <c r="J167" s="6"/>
    </row>
    <row r="168">
      <c r="D168" s="68"/>
      <c r="F168" s="69"/>
      <c r="I168" s="69"/>
      <c r="J168" s="6"/>
    </row>
    <row r="169">
      <c r="D169" s="68"/>
      <c r="F169" s="69"/>
      <c r="I169" s="69"/>
      <c r="J169" s="6"/>
    </row>
    <row r="170">
      <c r="D170" s="68"/>
      <c r="F170" s="69"/>
      <c r="I170" s="69"/>
      <c r="J170" s="6"/>
    </row>
    <row r="171">
      <c r="D171" s="68"/>
      <c r="F171" s="69"/>
      <c r="I171" s="69"/>
      <c r="J171" s="6"/>
    </row>
    <row r="172">
      <c r="D172" s="68"/>
      <c r="F172" s="69"/>
      <c r="I172" s="69"/>
      <c r="J172" s="6"/>
    </row>
    <row r="173">
      <c r="D173" s="68"/>
      <c r="F173" s="69"/>
      <c r="I173" s="69"/>
      <c r="J173" s="6"/>
    </row>
    <row r="174">
      <c r="D174" s="68"/>
      <c r="F174" s="69"/>
      <c r="I174" s="69"/>
      <c r="J174" s="6"/>
    </row>
    <row r="175">
      <c r="D175" s="68"/>
      <c r="F175" s="69"/>
      <c r="I175" s="69"/>
      <c r="J175" s="6"/>
    </row>
    <row r="176">
      <c r="D176" s="68"/>
      <c r="F176" s="69"/>
      <c r="I176" s="69"/>
      <c r="J176" s="6"/>
    </row>
    <row r="177">
      <c r="D177" s="68"/>
      <c r="F177" s="69"/>
      <c r="I177" s="69"/>
      <c r="J177" s="6"/>
    </row>
    <row r="178">
      <c r="D178" s="68"/>
      <c r="F178" s="69"/>
      <c r="I178" s="69"/>
      <c r="J178" s="6"/>
    </row>
    <row r="179">
      <c r="D179" s="68"/>
      <c r="F179" s="69"/>
      <c r="I179" s="69"/>
      <c r="J179" s="6"/>
    </row>
    <row r="180">
      <c r="D180" s="68"/>
      <c r="F180" s="69"/>
      <c r="I180" s="69"/>
      <c r="J180" s="6"/>
    </row>
    <row r="181">
      <c r="D181" s="68"/>
      <c r="F181" s="69"/>
      <c r="I181" s="69"/>
      <c r="J181" s="6"/>
    </row>
    <row r="182">
      <c r="D182" s="68"/>
      <c r="F182" s="69"/>
      <c r="I182" s="69"/>
      <c r="J182" s="6"/>
    </row>
    <row r="183">
      <c r="D183" s="68"/>
      <c r="F183" s="69"/>
      <c r="I183" s="69"/>
      <c r="J183" s="6"/>
    </row>
    <row r="184">
      <c r="D184" s="68"/>
      <c r="F184" s="69"/>
      <c r="I184" s="69"/>
      <c r="J184" s="6"/>
    </row>
    <row r="185">
      <c r="D185" s="68"/>
      <c r="F185" s="69"/>
      <c r="I185" s="69"/>
      <c r="J185" s="6"/>
    </row>
    <row r="186">
      <c r="D186" s="68"/>
      <c r="F186" s="69"/>
      <c r="I186" s="69"/>
      <c r="J186" s="6"/>
    </row>
    <row r="187">
      <c r="D187" s="68"/>
      <c r="F187" s="69"/>
      <c r="I187" s="69"/>
      <c r="J187" s="6"/>
    </row>
    <row r="188">
      <c r="D188" s="68"/>
      <c r="F188" s="69"/>
      <c r="I188" s="69"/>
      <c r="J188" s="6"/>
    </row>
    <row r="189">
      <c r="D189" s="68"/>
      <c r="F189" s="69"/>
      <c r="I189" s="69"/>
      <c r="J189" s="6"/>
    </row>
    <row r="190">
      <c r="D190" s="68"/>
      <c r="F190" s="69"/>
      <c r="I190" s="69"/>
      <c r="J190" s="6"/>
    </row>
    <row r="191">
      <c r="D191" s="68"/>
      <c r="F191" s="69"/>
      <c r="I191" s="69"/>
      <c r="J191" s="6"/>
    </row>
    <row r="192">
      <c r="D192" s="68"/>
      <c r="F192" s="69"/>
      <c r="I192" s="69"/>
      <c r="J192" s="6"/>
    </row>
    <row r="193">
      <c r="D193" s="68"/>
      <c r="F193" s="69"/>
      <c r="I193" s="69"/>
      <c r="J193" s="6"/>
    </row>
    <row r="194">
      <c r="D194" s="68"/>
      <c r="F194" s="69"/>
      <c r="I194" s="69"/>
      <c r="J194" s="6"/>
    </row>
    <row r="195">
      <c r="D195" s="68"/>
      <c r="F195" s="69"/>
      <c r="I195" s="69"/>
      <c r="J195" s="6"/>
    </row>
    <row r="196">
      <c r="D196" s="68"/>
      <c r="F196" s="69"/>
      <c r="I196" s="69"/>
      <c r="J196" s="6"/>
    </row>
    <row r="197">
      <c r="D197" s="68"/>
      <c r="F197" s="69"/>
      <c r="I197" s="69"/>
      <c r="J197" s="6"/>
    </row>
    <row r="198">
      <c r="D198" s="68"/>
      <c r="F198" s="69"/>
      <c r="I198" s="69"/>
      <c r="J198" s="6"/>
    </row>
    <row r="199">
      <c r="D199" s="68"/>
      <c r="F199" s="69"/>
      <c r="I199" s="69"/>
      <c r="J199" s="6"/>
    </row>
    <row r="200">
      <c r="D200" s="68"/>
      <c r="F200" s="69"/>
      <c r="I200" s="69"/>
      <c r="J200" s="6"/>
    </row>
    <row r="201">
      <c r="D201" s="68"/>
      <c r="F201" s="69"/>
      <c r="I201" s="69"/>
      <c r="J201" s="6"/>
    </row>
    <row r="202">
      <c r="D202" s="68"/>
      <c r="F202" s="69"/>
      <c r="I202" s="69"/>
      <c r="J202" s="6"/>
    </row>
    <row r="203">
      <c r="D203" s="68"/>
      <c r="F203" s="69"/>
      <c r="I203" s="69"/>
      <c r="J203" s="6"/>
    </row>
    <row r="204">
      <c r="D204" s="68"/>
      <c r="F204" s="69"/>
      <c r="I204" s="69"/>
      <c r="J204" s="6"/>
    </row>
    <row r="205">
      <c r="D205" s="68"/>
      <c r="F205" s="69"/>
      <c r="I205" s="69"/>
      <c r="J205" s="6"/>
    </row>
    <row r="206">
      <c r="D206" s="68"/>
      <c r="F206" s="69"/>
      <c r="I206" s="69"/>
      <c r="J206" s="6"/>
    </row>
    <row r="207">
      <c r="D207" s="68"/>
      <c r="F207" s="69"/>
      <c r="I207" s="69"/>
      <c r="J207" s="6"/>
    </row>
    <row r="208">
      <c r="D208" s="68"/>
      <c r="F208" s="69"/>
      <c r="I208" s="69"/>
      <c r="J208" s="6"/>
    </row>
    <row r="209">
      <c r="D209" s="68"/>
      <c r="F209" s="69"/>
      <c r="I209" s="69"/>
      <c r="J209" s="6"/>
    </row>
    <row r="210">
      <c r="D210" s="68"/>
      <c r="F210" s="69"/>
      <c r="I210" s="69"/>
      <c r="J210" s="6"/>
    </row>
    <row r="211">
      <c r="D211" s="68"/>
      <c r="F211" s="69"/>
      <c r="I211" s="69"/>
      <c r="J211" s="6"/>
    </row>
    <row r="212">
      <c r="D212" s="68"/>
      <c r="F212" s="69"/>
      <c r="I212" s="69"/>
      <c r="J212" s="6"/>
    </row>
    <row r="213">
      <c r="D213" s="68"/>
      <c r="F213" s="69"/>
      <c r="I213" s="69"/>
      <c r="J213" s="6"/>
    </row>
    <row r="214">
      <c r="D214" s="68"/>
      <c r="F214" s="69"/>
      <c r="I214" s="69"/>
      <c r="J214" s="6"/>
    </row>
    <row r="215">
      <c r="D215" s="68"/>
      <c r="F215" s="69"/>
      <c r="I215" s="69"/>
      <c r="J215" s="6"/>
    </row>
    <row r="216">
      <c r="D216" s="68"/>
      <c r="F216" s="69"/>
      <c r="I216" s="69"/>
      <c r="J216" s="6"/>
    </row>
    <row r="217">
      <c r="D217" s="68"/>
      <c r="F217" s="69"/>
      <c r="I217" s="69"/>
      <c r="J217" s="6"/>
    </row>
    <row r="218">
      <c r="D218" s="68"/>
      <c r="F218" s="69"/>
      <c r="I218" s="69"/>
      <c r="J218" s="6"/>
    </row>
    <row r="219">
      <c r="D219" s="68"/>
      <c r="F219" s="69"/>
      <c r="I219" s="69"/>
      <c r="J219" s="6"/>
    </row>
    <row r="220">
      <c r="D220" s="68"/>
      <c r="F220" s="69"/>
      <c r="I220" s="69"/>
      <c r="J220" s="6"/>
    </row>
    <row r="221">
      <c r="D221" s="68"/>
      <c r="F221" s="69"/>
      <c r="I221" s="69"/>
      <c r="J221" s="6"/>
    </row>
    <row r="222">
      <c r="D222" s="68"/>
      <c r="F222" s="69"/>
      <c r="I222" s="69"/>
      <c r="J222" s="6"/>
    </row>
    <row r="223">
      <c r="D223" s="68"/>
      <c r="F223" s="69"/>
      <c r="I223" s="69"/>
      <c r="J223" s="6"/>
    </row>
    <row r="224">
      <c r="D224" s="68"/>
      <c r="F224" s="69"/>
      <c r="I224" s="69"/>
      <c r="J224" s="6"/>
    </row>
    <row r="225">
      <c r="D225" s="68"/>
      <c r="F225" s="69"/>
      <c r="I225" s="69"/>
      <c r="J225" s="6"/>
    </row>
    <row r="226">
      <c r="D226" s="68"/>
      <c r="F226" s="69"/>
      <c r="I226" s="69"/>
      <c r="J226" s="6"/>
    </row>
    <row r="227">
      <c r="D227" s="68"/>
      <c r="F227" s="69"/>
      <c r="I227" s="69"/>
      <c r="J227" s="6"/>
    </row>
    <row r="228">
      <c r="D228" s="68"/>
      <c r="F228" s="69"/>
      <c r="I228" s="69"/>
      <c r="J228" s="6"/>
    </row>
    <row r="229">
      <c r="D229" s="68"/>
      <c r="F229" s="69"/>
      <c r="I229" s="69"/>
      <c r="J229" s="6"/>
    </row>
    <row r="230">
      <c r="D230" s="68"/>
      <c r="F230" s="69"/>
      <c r="I230" s="69"/>
      <c r="J230" s="6"/>
    </row>
    <row r="231">
      <c r="D231" s="68"/>
      <c r="F231" s="69"/>
      <c r="I231" s="69"/>
      <c r="J231" s="6"/>
    </row>
    <row r="232">
      <c r="D232" s="68"/>
      <c r="F232" s="69"/>
      <c r="I232" s="69"/>
      <c r="J232" s="6"/>
    </row>
    <row r="233">
      <c r="D233" s="68"/>
      <c r="F233" s="69"/>
      <c r="I233" s="69"/>
      <c r="J233" s="6"/>
    </row>
    <row r="234">
      <c r="D234" s="68"/>
      <c r="F234" s="69"/>
      <c r="I234" s="69"/>
      <c r="J234" s="6"/>
    </row>
    <row r="235">
      <c r="D235" s="68"/>
      <c r="F235" s="69"/>
      <c r="I235" s="69"/>
      <c r="J235" s="6"/>
    </row>
    <row r="236">
      <c r="D236" s="68"/>
      <c r="F236" s="69"/>
      <c r="I236" s="69"/>
      <c r="J236" s="6"/>
    </row>
    <row r="237">
      <c r="D237" s="68"/>
      <c r="F237" s="69"/>
      <c r="I237" s="69"/>
      <c r="J237" s="6"/>
    </row>
    <row r="238">
      <c r="D238" s="68"/>
      <c r="F238" s="69"/>
      <c r="I238" s="69"/>
      <c r="J238" s="6"/>
    </row>
    <row r="239">
      <c r="D239" s="68"/>
      <c r="F239" s="69"/>
      <c r="I239" s="69"/>
      <c r="J239" s="6"/>
    </row>
    <row r="240">
      <c r="D240" s="68"/>
      <c r="F240" s="69"/>
      <c r="I240" s="69"/>
      <c r="J240" s="6"/>
    </row>
    <row r="241">
      <c r="D241" s="68"/>
      <c r="F241" s="69"/>
      <c r="I241" s="69"/>
      <c r="J241" s="6"/>
    </row>
    <row r="242">
      <c r="D242" s="68"/>
      <c r="F242" s="69"/>
      <c r="I242" s="69"/>
      <c r="J242" s="6"/>
    </row>
    <row r="243">
      <c r="D243" s="68"/>
      <c r="F243" s="69"/>
      <c r="I243" s="69"/>
      <c r="J243" s="6"/>
    </row>
    <row r="244">
      <c r="D244" s="68"/>
      <c r="F244" s="69"/>
      <c r="I244" s="69"/>
      <c r="J244" s="6"/>
    </row>
    <row r="245">
      <c r="D245" s="68"/>
      <c r="F245" s="69"/>
      <c r="I245" s="69"/>
      <c r="J245" s="6"/>
    </row>
    <row r="246">
      <c r="D246" s="68"/>
      <c r="F246" s="69"/>
      <c r="I246" s="69"/>
      <c r="J246" s="6"/>
    </row>
    <row r="247">
      <c r="D247" s="68"/>
      <c r="F247" s="69"/>
      <c r="I247" s="69"/>
      <c r="J247" s="6"/>
    </row>
    <row r="248">
      <c r="D248" s="68"/>
      <c r="F248" s="69"/>
      <c r="I248" s="69"/>
      <c r="J248" s="6"/>
    </row>
    <row r="249">
      <c r="D249" s="68"/>
      <c r="F249" s="69"/>
      <c r="I249" s="69"/>
      <c r="J249" s="6"/>
    </row>
    <row r="250">
      <c r="D250" s="68"/>
      <c r="F250" s="69"/>
      <c r="I250" s="69"/>
      <c r="J250" s="6"/>
    </row>
    <row r="251">
      <c r="D251" s="68"/>
      <c r="F251" s="69"/>
      <c r="I251" s="69"/>
      <c r="J251" s="6"/>
    </row>
    <row r="252">
      <c r="D252" s="68"/>
      <c r="F252" s="69"/>
      <c r="I252" s="69"/>
      <c r="J252" s="6"/>
    </row>
    <row r="253">
      <c r="D253" s="68"/>
      <c r="F253" s="69"/>
      <c r="I253" s="69"/>
      <c r="J253" s="6"/>
    </row>
    <row r="254">
      <c r="D254" s="68"/>
      <c r="F254" s="69"/>
      <c r="I254" s="69"/>
      <c r="J254" s="6"/>
    </row>
    <row r="255">
      <c r="D255" s="68"/>
      <c r="F255" s="69"/>
      <c r="I255" s="69"/>
      <c r="J255" s="6"/>
    </row>
    <row r="256">
      <c r="D256" s="68"/>
      <c r="F256" s="69"/>
      <c r="I256" s="69"/>
      <c r="J256" s="6"/>
    </row>
    <row r="257">
      <c r="D257" s="68"/>
      <c r="F257" s="69"/>
      <c r="I257" s="69"/>
      <c r="J257" s="6"/>
    </row>
    <row r="258">
      <c r="D258" s="68"/>
      <c r="F258" s="69"/>
      <c r="I258" s="69"/>
      <c r="J258" s="6"/>
    </row>
    <row r="259">
      <c r="D259" s="68"/>
      <c r="F259" s="69"/>
      <c r="I259" s="69"/>
      <c r="J259" s="6"/>
    </row>
    <row r="260">
      <c r="D260" s="68"/>
      <c r="F260" s="69"/>
      <c r="I260" s="69"/>
      <c r="J260" s="6"/>
    </row>
    <row r="261">
      <c r="D261" s="68"/>
      <c r="F261" s="69"/>
      <c r="I261" s="69"/>
      <c r="J261" s="6"/>
    </row>
    <row r="262">
      <c r="D262" s="68"/>
      <c r="F262" s="69"/>
      <c r="I262" s="69"/>
      <c r="J262" s="6"/>
    </row>
    <row r="263">
      <c r="D263" s="68"/>
      <c r="F263" s="69"/>
      <c r="I263" s="69"/>
      <c r="J263" s="6"/>
    </row>
    <row r="264">
      <c r="D264" s="68"/>
      <c r="F264" s="69"/>
      <c r="I264" s="69"/>
      <c r="J264" s="6"/>
    </row>
    <row r="265">
      <c r="D265" s="68"/>
      <c r="F265" s="69"/>
      <c r="I265" s="69"/>
      <c r="J265" s="6"/>
    </row>
    <row r="266">
      <c r="D266" s="68"/>
      <c r="F266" s="69"/>
      <c r="I266" s="69"/>
      <c r="J266" s="6"/>
    </row>
    <row r="267">
      <c r="D267" s="68"/>
      <c r="F267" s="69"/>
      <c r="I267" s="69"/>
      <c r="J267" s="6"/>
    </row>
    <row r="268">
      <c r="D268" s="68"/>
      <c r="F268" s="69"/>
      <c r="I268" s="69"/>
      <c r="J268" s="6"/>
    </row>
    <row r="269">
      <c r="D269" s="68"/>
      <c r="F269" s="69"/>
      <c r="I269" s="69"/>
      <c r="J269" s="6"/>
    </row>
    <row r="270">
      <c r="D270" s="68"/>
      <c r="F270" s="69"/>
      <c r="I270" s="69"/>
      <c r="J270" s="6"/>
    </row>
    <row r="271">
      <c r="D271" s="68"/>
      <c r="F271" s="69"/>
      <c r="I271" s="69"/>
      <c r="J271" s="6"/>
    </row>
    <row r="272">
      <c r="D272" s="68"/>
      <c r="F272" s="69"/>
      <c r="I272" s="69"/>
      <c r="J272" s="6"/>
    </row>
    <row r="273">
      <c r="D273" s="68"/>
      <c r="F273" s="69"/>
      <c r="I273" s="69"/>
      <c r="J273" s="6"/>
    </row>
    <row r="274">
      <c r="D274" s="68"/>
      <c r="F274" s="69"/>
      <c r="I274" s="69"/>
      <c r="J274" s="6"/>
    </row>
    <row r="275">
      <c r="D275" s="68"/>
      <c r="F275" s="69"/>
      <c r="I275" s="69"/>
      <c r="J275" s="6"/>
    </row>
    <row r="276">
      <c r="D276" s="68"/>
      <c r="F276" s="69"/>
      <c r="I276" s="69"/>
      <c r="J276" s="6"/>
    </row>
    <row r="277">
      <c r="D277" s="68"/>
      <c r="F277" s="69"/>
      <c r="I277" s="69"/>
      <c r="J277" s="6"/>
    </row>
    <row r="278">
      <c r="D278" s="68"/>
      <c r="F278" s="69"/>
      <c r="I278" s="69"/>
      <c r="J278" s="6"/>
    </row>
    <row r="279">
      <c r="D279" s="68"/>
      <c r="F279" s="69"/>
      <c r="I279" s="69"/>
      <c r="J279" s="6"/>
    </row>
    <row r="280">
      <c r="D280" s="68"/>
      <c r="F280" s="69"/>
      <c r="I280" s="69"/>
      <c r="J280" s="6"/>
    </row>
    <row r="281">
      <c r="D281" s="68"/>
      <c r="F281" s="69"/>
      <c r="I281" s="69"/>
      <c r="J281" s="6"/>
    </row>
    <row r="282">
      <c r="D282" s="68"/>
      <c r="F282" s="69"/>
      <c r="I282" s="69"/>
      <c r="J282" s="6"/>
    </row>
    <row r="283">
      <c r="D283" s="68"/>
      <c r="F283" s="69"/>
      <c r="I283" s="69"/>
      <c r="J283" s="6"/>
    </row>
    <row r="284">
      <c r="D284" s="68"/>
      <c r="F284" s="69"/>
      <c r="I284" s="69"/>
      <c r="J284" s="6"/>
    </row>
    <row r="285">
      <c r="D285" s="68"/>
      <c r="F285" s="69"/>
      <c r="I285" s="69"/>
      <c r="J285" s="6"/>
    </row>
    <row r="286">
      <c r="D286" s="68"/>
      <c r="F286" s="69"/>
      <c r="I286" s="69"/>
      <c r="J286" s="6"/>
    </row>
    <row r="287">
      <c r="D287" s="68"/>
      <c r="F287" s="69"/>
      <c r="I287" s="69"/>
      <c r="J287" s="6"/>
    </row>
    <row r="288">
      <c r="D288" s="68"/>
      <c r="F288" s="69"/>
      <c r="I288" s="69"/>
      <c r="J288" s="6"/>
    </row>
    <row r="289">
      <c r="D289" s="68"/>
      <c r="F289" s="69"/>
      <c r="I289" s="69"/>
      <c r="J289" s="6"/>
    </row>
    <row r="290">
      <c r="D290" s="68"/>
      <c r="F290" s="69"/>
      <c r="I290" s="69"/>
      <c r="J290" s="6"/>
    </row>
    <row r="291">
      <c r="D291" s="68"/>
      <c r="F291" s="69"/>
      <c r="I291" s="69"/>
      <c r="J291" s="6"/>
    </row>
    <row r="292">
      <c r="D292" s="68"/>
      <c r="F292" s="69"/>
      <c r="I292" s="69"/>
      <c r="J292" s="6"/>
    </row>
    <row r="293">
      <c r="D293" s="68"/>
      <c r="F293" s="69"/>
      <c r="I293" s="69"/>
      <c r="J293" s="6"/>
    </row>
    <row r="294">
      <c r="D294" s="68"/>
      <c r="F294" s="69"/>
      <c r="I294" s="69"/>
      <c r="J294" s="6"/>
    </row>
    <row r="295">
      <c r="D295" s="68"/>
      <c r="F295" s="69"/>
      <c r="I295" s="69"/>
      <c r="J295" s="6"/>
    </row>
    <row r="296">
      <c r="D296" s="68"/>
      <c r="F296" s="69"/>
      <c r="I296" s="69"/>
      <c r="J296" s="6"/>
    </row>
    <row r="297">
      <c r="D297" s="68"/>
      <c r="F297" s="69"/>
      <c r="I297" s="69"/>
      <c r="J297" s="6"/>
    </row>
    <row r="298">
      <c r="D298" s="68"/>
      <c r="F298" s="69"/>
      <c r="I298" s="69"/>
      <c r="J298" s="6"/>
    </row>
    <row r="299">
      <c r="D299" s="68"/>
      <c r="F299" s="69"/>
      <c r="I299" s="69"/>
      <c r="J299" s="6"/>
    </row>
    <row r="300">
      <c r="D300" s="68"/>
      <c r="F300" s="69"/>
      <c r="I300" s="69"/>
      <c r="J300" s="6"/>
    </row>
    <row r="301">
      <c r="D301" s="68"/>
      <c r="F301" s="69"/>
      <c r="I301" s="69"/>
      <c r="J301" s="6"/>
    </row>
    <row r="302">
      <c r="D302" s="68"/>
      <c r="F302" s="69"/>
      <c r="I302" s="69"/>
      <c r="J302" s="6"/>
    </row>
    <row r="303">
      <c r="D303" s="68"/>
      <c r="F303" s="69"/>
      <c r="I303" s="69"/>
      <c r="J303" s="6"/>
    </row>
    <row r="304">
      <c r="D304" s="68"/>
      <c r="F304" s="69"/>
      <c r="I304" s="69"/>
      <c r="J304" s="6"/>
    </row>
    <row r="305">
      <c r="D305" s="68"/>
      <c r="F305" s="69"/>
      <c r="I305" s="69"/>
      <c r="J305" s="6"/>
    </row>
    <row r="306">
      <c r="D306" s="68"/>
      <c r="F306" s="69"/>
      <c r="I306" s="69"/>
      <c r="J306" s="6"/>
    </row>
    <row r="307">
      <c r="D307" s="68"/>
      <c r="F307" s="69"/>
      <c r="I307" s="69"/>
      <c r="J307" s="6"/>
    </row>
    <row r="308">
      <c r="D308" s="68"/>
      <c r="F308" s="69"/>
      <c r="I308" s="69"/>
      <c r="J308" s="6"/>
    </row>
    <row r="309">
      <c r="D309" s="68"/>
      <c r="F309" s="69"/>
      <c r="I309" s="69"/>
      <c r="J309" s="6"/>
    </row>
    <row r="310">
      <c r="D310" s="68"/>
      <c r="F310" s="69"/>
      <c r="I310" s="69"/>
      <c r="J310" s="6"/>
    </row>
    <row r="311">
      <c r="D311" s="68"/>
      <c r="F311" s="69"/>
      <c r="I311" s="69"/>
      <c r="J311" s="6"/>
    </row>
    <row r="312">
      <c r="D312" s="68"/>
      <c r="F312" s="69"/>
      <c r="I312" s="69"/>
      <c r="J312" s="6"/>
    </row>
    <row r="313">
      <c r="D313" s="68"/>
      <c r="F313" s="69"/>
      <c r="I313" s="69"/>
      <c r="J313" s="6"/>
    </row>
    <row r="314">
      <c r="D314" s="68"/>
      <c r="F314" s="69"/>
      <c r="I314" s="69"/>
      <c r="J314" s="6"/>
    </row>
    <row r="315">
      <c r="D315" s="68"/>
      <c r="F315" s="69"/>
      <c r="I315" s="69"/>
      <c r="J315" s="6"/>
    </row>
    <row r="316">
      <c r="D316" s="68"/>
      <c r="F316" s="69"/>
      <c r="I316" s="69"/>
      <c r="J316" s="6"/>
    </row>
    <row r="317">
      <c r="D317" s="68"/>
      <c r="F317" s="69"/>
      <c r="I317" s="69"/>
      <c r="J317" s="6"/>
    </row>
    <row r="318">
      <c r="D318" s="68"/>
      <c r="F318" s="69"/>
      <c r="I318" s="69"/>
      <c r="J318" s="6"/>
    </row>
    <row r="319">
      <c r="D319" s="68"/>
      <c r="F319" s="69"/>
      <c r="I319" s="69"/>
      <c r="J319" s="6"/>
    </row>
    <row r="320">
      <c r="D320" s="68"/>
      <c r="F320" s="69"/>
      <c r="I320" s="69"/>
      <c r="J320" s="6"/>
    </row>
    <row r="321">
      <c r="D321" s="68"/>
      <c r="F321" s="69"/>
      <c r="I321" s="69"/>
      <c r="J321" s="6"/>
    </row>
    <row r="322">
      <c r="D322" s="68"/>
      <c r="F322" s="69"/>
      <c r="I322" s="69"/>
      <c r="J322" s="6"/>
    </row>
    <row r="323">
      <c r="D323" s="68"/>
      <c r="F323" s="69"/>
      <c r="I323" s="69"/>
      <c r="J323" s="6"/>
    </row>
    <row r="324">
      <c r="D324" s="68"/>
      <c r="F324" s="69"/>
      <c r="I324" s="69"/>
      <c r="J324" s="6"/>
    </row>
    <row r="325">
      <c r="D325" s="68"/>
      <c r="F325" s="69"/>
      <c r="I325" s="69"/>
      <c r="J325" s="6"/>
    </row>
    <row r="326">
      <c r="D326" s="68"/>
      <c r="F326" s="69"/>
      <c r="I326" s="69"/>
      <c r="J326" s="6"/>
    </row>
    <row r="327">
      <c r="D327" s="68"/>
      <c r="F327" s="69"/>
      <c r="I327" s="69"/>
      <c r="J327" s="6"/>
    </row>
    <row r="328">
      <c r="D328" s="68"/>
      <c r="F328" s="69"/>
      <c r="I328" s="69"/>
      <c r="J328" s="6"/>
    </row>
    <row r="329">
      <c r="D329" s="68"/>
      <c r="F329" s="69"/>
      <c r="I329" s="69"/>
      <c r="J329" s="6"/>
    </row>
    <row r="330">
      <c r="D330" s="68"/>
      <c r="F330" s="69"/>
      <c r="I330" s="69"/>
      <c r="J330" s="6"/>
    </row>
    <row r="331">
      <c r="D331" s="68"/>
      <c r="F331" s="69"/>
      <c r="I331" s="69"/>
      <c r="J331" s="6"/>
    </row>
    <row r="332">
      <c r="D332" s="68"/>
      <c r="F332" s="69"/>
      <c r="I332" s="69"/>
      <c r="J332" s="6"/>
    </row>
    <row r="333">
      <c r="D333" s="68"/>
      <c r="F333" s="69"/>
      <c r="I333" s="69"/>
      <c r="J333" s="6"/>
    </row>
    <row r="334">
      <c r="D334" s="68"/>
      <c r="F334" s="69"/>
      <c r="I334" s="69"/>
      <c r="J334" s="6"/>
    </row>
    <row r="335">
      <c r="D335" s="68"/>
      <c r="F335" s="69"/>
      <c r="I335" s="69"/>
      <c r="J335" s="6"/>
    </row>
    <row r="336">
      <c r="D336" s="68"/>
      <c r="F336" s="69"/>
      <c r="I336" s="69"/>
      <c r="J336" s="6"/>
    </row>
    <row r="337">
      <c r="D337" s="68"/>
      <c r="F337" s="69"/>
      <c r="I337" s="69"/>
      <c r="J337" s="6"/>
    </row>
    <row r="338">
      <c r="D338" s="68"/>
      <c r="F338" s="69"/>
      <c r="I338" s="69"/>
      <c r="J338" s="6"/>
    </row>
    <row r="339">
      <c r="D339" s="68"/>
      <c r="F339" s="69"/>
      <c r="I339" s="69"/>
      <c r="J339" s="6"/>
    </row>
    <row r="340">
      <c r="D340" s="68"/>
      <c r="F340" s="69"/>
      <c r="I340" s="69"/>
      <c r="J340" s="6"/>
    </row>
    <row r="341">
      <c r="D341" s="68"/>
      <c r="F341" s="69"/>
      <c r="I341" s="69"/>
      <c r="J341" s="6"/>
    </row>
    <row r="342">
      <c r="D342" s="68"/>
      <c r="F342" s="69"/>
      <c r="I342" s="69"/>
      <c r="J342" s="6"/>
    </row>
    <row r="343">
      <c r="D343" s="68"/>
      <c r="F343" s="69"/>
      <c r="I343" s="69"/>
      <c r="J343" s="6"/>
    </row>
    <row r="344">
      <c r="D344" s="68"/>
      <c r="F344" s="69"/>
      <c r="I344" s="69"/>
      <c r="J344" s="6"/>
    </row>
    <row r="345">
      <c r="D345" s="68"/>
      <c r="F345" s="69"/>
      <c r="I345" s="69"/>
      <c r="J345" s="6"/>
    </row>
    <row r="346">
      <c r="D346" s="68"/>
      <c r="F346" s="69"/>
      <c r="I346" s="69"/>
      <c r="J346" s="6"/>
    </row>
    <row r="347">
      <c r="D347" s="68"/>
      <c r="F347" s="69"/>
      <c r="I347" s="69"/>
      <c r="J347" s="6"/>
    </row>
    <row r="348">
      <c r="D348" s="68"/>
      <c r="F348" s="69"/>
      <c r="I348" s="69"/>
      <c r="J348" s="6"/>
    </row>
    <row r="349">
      <c r="D349" s="68"/>
      <c r="F349" s="69"/>
      <c r="I349" s="69"/>
      <c r="J349" s="6"/>
    </row>
    <row r="350">
      <c r="D350" s="68"/>
      <c r="F350" s="69"/>
      <c r="I350" s="69"/>
      <c r="J350" s="6"/>
    </row>
    <row r="351">
      <c r="D351" s="68"/>
      <c r="F351" s="69"/>
      <c r="I351" s="69"/>
      <c r="J351" s="6"/>
    </row>
    <row r="352">
      <c r="D352" s="68"/>
      <c r="F352" s="69"/>
      <c r="I352" s="69"/>
      <c r="J352" s="6"/>
    </row>
    <row r="353">
      <c r="D353" s="68"/>
      <c r="F353" s="69"/>
      <c r="I353" s="69"/>
      <c r="J353" s="6"/>
    </row>
    <row r="354">
      <c r="D354" s="68"/>
      <c r="F354" s="69"/>
      <c r="I354" s="69"/>
      <c r="J354" s="6"/>
    </row>
    <row r="355">
      <c r="D355" s="68"/>
      <c r="F355" s="69"/>
      <c r="I355" s="69"/>
      <c r="J355" s="6"/>
    </row>
    <row r="356">
      <c r="D356" s="68"/>
      <c r="F356" s="69"/>
      <c r="I356" s="69"/>
      <c r="J356" s="6"/>
    </row>
    <row r="357">
      <c r="D357" s="68"/>
      <c r="F357" s="69"/>
      <c r="I357" s="69"/>
      <c r="J357" s="6"/>
    </row>
    <row r="358">
      <c r="D358" s="68"/>
      <c r="F358" s="69"/>
      <c r="I358" s="69"/>
      <c r="J358" s="6"/>
    </row>
    <row r="359">
      <c r="D359" s="68"/>
      <c r="F359" s="69"/>
      <c r="I359" s="69"/>
      <c r="J359" s="6"/>
    </row>
    <row r="360">
      <c r="D360" s="68"/>
      <c r="F360" s="69"/>
      <c r="I360" s="69"/>
      <c r="J360" s="6"/>
    </row>
    <row r="361">
      <c r="D361" s="68"/>
      <c r="F361" s="69"/>
      <c r="I361" s="69"/>
      <c r="J361" s="6"/>
    </row>
    <row r="362">
      <c r="D362" s="68"/>
      <c r="F362" s="69"/>
      <c r="I362" s="69"/>
      <c r="J362" s="6"/>
    </row>
    <row r="363">
      <c r="D363" s="68"/>
      <c r="F363" s="69"/>
      <c r="I363" s="69"/>
      <c r="J363" s="6"/>
    </row>
    <row r="364">
      <c r="D364" s="68"/>
      <c r="F364" s="69"/>
      <c r="I364" s="69"/>
      <c r="J364" s="6"/>
    </row>
    <row r="365">
      <c r="D365" s="68"/>
      <c r="F365" s="69"/>
      <c r="I365" s="69"/>
      <c r="J365" s="6"/>
    </row>
    <row r="366">
      <c r="D366" s="68"/>
      <c r="F366" s="69"/>
      <c r="I366" s="69"/>
      <c r="J366" s="6"/>
    </row>
    <row r="367">
      <c r="D367" s="68"/>
      <c r="F367" s="69"/>
      <c r="I367" s="69"/>
      <c r="J367" s="6"/>
    </row>
    <row r="368">
      <c r="D368" s="68"/>
      <c r="F368" s="69"/>
      <c r="I368" s="69"/>
      <c r="J368" s="6"/>
    </row>
    <row r="369">
      <c r="D369" s="68"/>
      <c r="F369" s="69"/>
      <c r="I369" s="69"/>
      <c r="J369" s="6"/>
    </row>
    <row r="370">
      <c r="D370" s="68"/>
      <c r="F370" s="69"/>
      <c r="I370" s="69"/>
      <c r="J370" s="6"/>
    </row>
    <row r="371">
      <c r="D371" s="68"/>
      <c r="F371" s="69"/>
      <c r="I371" s="69"/>
      <c r="J371" s="6"/>
    </row>
    <row r="372">
      <c r="D372" s="68"/>
      <c r="F372" s="69"/>
      <c r="I372" s="69"/>
      <c r="J372" s="6"/>
    </row>
    <row r="373">
      <c r="D373" s="68"/>
      <c r="F373" s="69"/>
      <c r="I373" s="69"/>
      <c r="J373" s="6"/>
    </row>
    <row r="374">
      <c r="D374" s="68"/>
      <c r="F374" s="69"/>
      <c r="I374" s="69"/>
      <c r="J374" s="6"/>
    </row>
    <row r="375">
      <c r="D375" s="68"/>
      <c r="F375" s="69"/>
      <c r="I375" s="69"/>
      <c r="J375" s="6"/>
    </row>
    <row r="376">
      <c r="D376" s="68"/>
      <c r="F376" s="69"/>
      <c r="I376" s="69"/>
      <c r="J376" s="6"/>
    </row>
    <row r="377">
      <c r="D377" s="68"/>
      <c r="F377" s="69"/>
      <c r="I377" s="69"/>
      <c r="J377" s="6"/>
    </row>
    <row r="378">
      <c r="D378" s="68"/>
      <c r="F378" s="69"/>
      <c r="I378" s="69"/>
      <c r="J378" s="6"/>
    </row>
    <row r="379">
      <c r="D379" s="68"/>
      <c r="F379" s="69"/>
      <c r="I379" s="69"/>
      <c r="J379" s="6"/>
    </row>
    <row r="380">
      <c r="D380" s="68"/>
      <c r="F380" s="69"/>
      <c r="I380" s="69"/>
      <c r="J380" s="6"/>
    </row>
    <row r="381">
      <c r="D381" s="68"/>
      <c r="F381" s="69"/>
      <c r="I381" s="69"/>
      <c r="J381" s="6"/>
    </row>
    <row r="382">
      <c r="D382" s="68"/>
      <c r="F382" s="69"/>
      <c r="I382" s="69"/>
      <c r="J382" s="6"/>
    </row>
    <row r="383">
      <c r="D383" s="68"/>
      <c r="F383" s="69"/>
      <c r="I383" s="69"/>
      <c r="J383" s="6"/>
    </row>
    <row r="384">
      <c r="D384" s="68"/>
      <c r="F384" s="69"/>
      <c r="I384" s="69"/>
      <c r="J384" s="6"/>
    </row>
    <row r="385">
      <c r="D385" s="68"/>
      <c r="F385" s="69"/>
      <c r="I385" s="69"/>
      <c r="J385" s="6"/>
    </row>
    <row r="386">
      <c r="D386" s="68"/>
      <c r="F386" s="69"/>
      <c r="I386" s="69"/>
      <c r="J386" s="6"/>
    </row>
    <row r="387">
      <c r="D387" s="68"/>
      <c r="F387" s="69"/>
      <c r="I387" s="69"/>
      <c r="J387" s="6"/>
    </row>
    <row r="388">
      <c r="D388" s="68"/>
      <c r="F388" s="69"/>
      <c r="I388" s="69"/>
      <c r="J388" s="6"/>
    </row>
    <row r="389">
      <c r="D389" s="68"/>
      <c r="F389" s="69"/>
      <c r="I389" s="69"/>
      <c r="J389" s="6"/>
    </row>
    <row r="390">
      <c r="D390" s="68"/>
      <c r="F390" s="69"/>
      <c r="I390" s="69"/>
      <c r="J390" s="6"/>
    </row>
    <row r="391">
      <c r="D391" s="68"/>
      <c r="F391" s="69"/>
      <c r="I391" s="69"/>
      <c r="J391" s="6"/>
    </row>
    <row r="392">
      <c r="D392" s="68"/>
      <c r="F392" s="69"/>
      <c r="I392" s="69"/>
      <c r="J392" s="6"/>
    </row>
    <row r="393">
      <c r="D393" s="68"/>
      <c r="F393" s="69"/>
      <c r="I393" s="69"/>
      <c r="J393" s="6"/>
    </row>
    <row r="394">
      <c r="D394" s="68"/>
      <c r="F394" s="69"/>
      <c r="I394" s="69"/>
      <c r="J394" s="6"/>
    </row>
    <row r="395">
      <c r="D395" s="68"/>
      <c r="F395" s="69"/>
      <c r="I395" s="69"/>
      <c r="J395" s="6"/>
    </row>
    <row r="396">
      <c r="D396" s="68"/>
      <c r="F396" s="69"/>
      <c r="I396" s="69"/>
      <c r="J396" s="6"/>
    </row>
    <row r="397">
      <c r="D397" s="68"/>
      <c r="F397" s="69"/>
      <c r="I397" s="69"/>
      <c r="J397" s="6"/>
    </row>
    <row r="398">
      <c r="D398" s="68"/>
      <c r="F398" s="69"/>
      <c r="I398" s="69"/>
      <c r="J398" s="6"/>
    </row>
    <row r="399">
      <c r="D399" s="68"/>
      <c r="F399" s="69"/>
      <c r="I399" s="69"/>
      <c r="J399" s="6"/>
    </row>
    <row r="400">
      <c r="D400" s="68"/>
      <c r="F400" s="69"/>
      <c r="I400" s="69"/>
      <c r="J400" s="6"/>
    </row>
    <row r="401">
      <c r="D401" s="68"/>
      <c r="F401" s="69"/>
      <c r="I401" s="69"/>
      <c r="J401" s="6"/>
    </row>
    <row r="402">
      <c r="D402" s="68"/>
      <c r="F402" s="69"/>
      <c r="I402" s="69"/>
      <c r="J402" s="6"/>
    </row>
    <row r="403">
      <c r="D403" s="68"/>
      <c r="F403" s="69"/>
      <c r="I403" s="69"/>
      <c r="J403" s="6"/>
    </row>
    <row r="404">
      <c r="D404" s="68"/>
      <c r="F404" s="69"/>
      <c r="I404" s="69"/>
      <c r="J404" s="6"/>
    </row>
    <row r="405">
      <c r="D405" s="68"/>
      <c r="F405" s="69"/>
      <c r="I405" s="69"/>
      <c r="J405" s="6"/>
    </row>
    <row r="406">
      <c r="D406" s="68"/>
      <c r="F406" s="69"/>
      <c r="I406" s="69"/>
      <c r="J406" s="6"/>
    </row>
    <row r="407">
      <c r="D407" s="68"/>
      <c r="F407" s="69"/>
      <c r="I407" s="69"/>
      <c r="J407" s="6"/>
    </row>
    <row r="408">
      <c r="D408" s="68"/>
      <c r="F408" s="69"/>
      <c r="I408" s="69"/>
      <c r="J408" s="6"/>
    </row>
    <row r="409">
      <c r="D409" s="68"/>
      <c r="F409" s="69"/>
      <c r="I409" s="69"/>
      <c r="J409" s="6"/>
    </row>
    <row r="410">
      <c r="D410" s="68"/>
      <c r="F410" s="69"/>
      <c r="I410" s="69"/>
      <c r="J410" s="6"/>
    </row>
    <row r="411">
      <c r="D411" s="68"/>
      <c r="F411" s="69"/>
      <c r="I411" s="69"/>
      <c r="J411" s="6"/>
    </row>
    <row r="412">
      <c r="D412" s="68"/>
      <c r="F412" s="69"/>
      <c r="I412" s="69"/>
      <c r="J412" s="6"/>
    </row>
    <row r="413">
      <c r="D413" s="68"/>
      <c r="F413" s="69"/>
      <c r="I413" s="69"/>
      <c r="J413" s="6"/>
    </row>
    <row r="414">
      <c r="D414" s="68"/>
      <c r="F414" s="69"/>
      <c r="I414" s="69"/>
      <c r="J414" s="6"/>
    </row>
    <row r="415">
      <c r="D415" s="68"/>
      <c r="F415" s="69"/>
      <c r="I415" s="69"/>
      <c r="J415" s="6"/>
    </row>
    <row r="416">
      <c r="D416" s="68"/>
      <c r="F416" s="69"/>
      <c r="I416" s="69"/>
      <c r="J416" s="6"/>
    </row>
    <row r="417">
      <c r="D417" s="68"/>
      <c r="F417" s="69"/>
      <c r="I417" s="69"/>
      <c r="J417" s="6"/>
    </row>
    <row r="418">
      <c r="D418" s="68"/>
      <c r="F418" s="69"/>
      <c r="I418" s="69"/>
      <c r="J418" s="6"/>
    </row>
    <row r="419">
      <c r="D419" s="68"/>
      <c r="F419" s="69"/>
      <c r="I419" s="69"/>
      <c r="J419" s="6"/>
    </row>
    <row r="420">
      <c r="D420" s="68"/>
      <c r="F420" s="69"/>
      <c r="I420" s="69"/>
      <c r="J420" s="6"/>
    </row>
    <row r="421">
      <c r="D421" s="68"/>
      <c r="F421" s="69"/>
      <c r="I421" s="69"/>
      <c r="J421" s="6"/>
    </row>
    <row r="422">
      <c r="D422" s="68"/>
      <c r="F422" s="69"/>
      <c r="I422" s="69"/>
      <c r="J422" s="6"/>
    </row>
    <row r="423">
      <c r="D423" s="68"/>
      <c r="F423" s="69"/>
      <c r="I423" s="69"/>
      <c r="J423" s="6"/>
    </row>
    <row r="424">
      <c r="D424" s="68"/>
      <c r="F424" s="69"/>
      <c r="I424" s="69"/>
      <c r="J424" s="6"/>
    </row>
    <row r="425">
      <c r="D425" s="68"/>
      <c r="F425" s="69"/>
      <c r="I425" s="69"/>
      <c r="J425" s="6"/>
    </row>
    <row r="426">
      <c r="D426" s="68"/>
      <c r="F426" s="69"/>
      <c r="I426" s="69"/>
      <c r="J426" s="6"/>
    </row>
    <row r="427">
      <c r="D427" s="68"/>
      <c r="F427" s="69"/>
      <c r="I427" s="69"/>
      <c r="J427" s="6"/>
    </row>
    <row r="428">
      <c r="D428" s="68"/>
      <c r="F428" s="69"/>
      <c r="I428" s="69"/>
      <c r="J428" s="6"/>
    </row>
    <row r="429">
      <c r="D429" s="68"/>
      <c r="F429" s="69"/>
      <c r="I429" s="69"/>
      <c r="J429" s="6"/>
    </row>
    <row r="430">
      <c r="D430" s="68"/>
      <c r="F430" s="69"/>
      <c r="I430" s="69"/>
      <c r="J430" s="6"/>
    </row>
    <row r="431">
      <c r="D431" s="68"/>
      <c r="F431" s="69"/>
      <c r="I431" s="69"/>
      <c r="J431" s="6"/>
    </row>
    <row r="432">
      <c r="D432" s="68"/>
      <c r="F432" s="69"/>
      <c r="I432" s="69"/>
      <c r="J432" s="6"/>
    </row>
    <row r="433">
      <c r="D433" s="68"/>
      <c r="F433" s="69"/>
      <c r="I433" s="69"/>
      <c r="J433" s="6"/>
    </row>
    <row r="434">
      <c r="D434" s="68"/>
      <c r="F434" s="69"/>
      <c r="I434" s="69"/>
      <c r="J434" s="6"/>
    </row>
    <row r="435">
      <c r="D435" s="68"/>
      <c r="F435" s="69"/>
      <c r="I435" s="69"/>
      <c r="J435" s="6"/>
    </row>
    <row r="436">
      <c r="D436" s="68"/>
      <c r="F436" s="69"/>
      <c r="I436" s="69"/>
      <c r="J436" s="6"/>
    </row>
    <row r="437">
      <c r="D437" s="68"/>
      <c r="F437" s="69"/>
      <c r="I437" s="69"/>
      <c r="J437" s="6"/>
    </row>
    <row r="438">
      <c r="D438" s="68"/>
      <c r="F438" s="69"/>
      <c r="I438" s="69"/>
      <c r="J438" s="6"/>
    </row>
    <row r="439">
      <c r="D439" s="68"/>
      <c r="F439" s="69"/>
      <c r="I439" s="69"/>
      <c r="J439" s="6"/>
    </row>
    <row r="440">
      <c r="D440" s="68"/>
      <c r="F440" s="69"/>
      <c r="I440" s="69"/>
      <c r="J440" s="6"/>
    </row>
    <row r="441">
      <c r="D441" s="68"/>
      <c r="F441" s="69"/>
      <c r="I441" s="69"/>
      <c r="J441" s="6"/>
    </row>
    <row r="442">
      <c r="D442" s="68"/>
      <c r="F442" s="69"/>
      <c r="I442" s="69"/>
      <c r="J442" s="6"/>
    </row>
    <row r="443">
      <c r="D443" s="68"/>
      <c r="F443" s="69"/>
      <c r="I443" s="69"/>
      <c r="J443" s="6"/>
    </row>
    <row r="444">
      <c r="D444" s="68"/>
      <c r="F444" s="69"/>
      <c r="I444" s="69"/>
      <c r="J444" s="6"/>
    </row>
    <row r="445">
      <c r="D445" s="68"/>
      <c r="F445" s="69"/>
      <c r="I445" s="69"/>
      <c r="J445" s="6"/>
    </row>
    <row r="446">
      <c r="D446" s="68"/>
      <c r="F446" s="69"/>
      <c r="I446" s="69"/>
      <c r="J446" s="6"/>
    </row>
    <row r="447">
      <c r="D447" s="68"/>
      <c r="F447" s="69"/>
      <c r="I447" s="69"/>
      <c r="J447" s="6"/>
    </row>
    <row r="448">
      <c r="D448" s="68"/>
      <c r="F448" s="69"/>
      <c r="I448" s="69"/>
      <c r="J448" s="6"/>
    </row>
    <row r="449">
      <c r="D449" s="68"/>
      <c r="F449" s="69"/>
      <c r="I449" s="69"/>
      <c r="J449" s="6"/>
    </row>
    <row r="450">
      <c r="D450" s="68"/>
      <c r="F450" s="69"/>
      <c r="I450" s="69"/>
      <c r="J450" s="6"/>
    </row>
    <row r="451">
      <c r="D451" s="68"/>
      <c r="F451" s="69"/>
      <c r="I451" s="69"/>
      <c r="J451" s="6"/>
    </row>
    <row r="452">
      <c r="D452" s="68"/>
      <c r="F452" s="69"/>
      <c r="I452" s="69"/>
      <c r="J452" s="6"/>
    </row>
    <row r="453">
      <c r="D453" s="68"/>
      <c r="F453" s="69"/>
      <c r="I453" s="69"/>
      <c r="J453" s="6"/>
    </row>
    <row r="454">
      <c r="D454" s="68"/>
      <c r="F454" s="69"/>
      <c r="I454" s="69"/>
      <c r="J454" s="6"/>
    </row>
    <row r="455">
      <c r="D455" s="68"/>
      <c r="F455" s="69"/>
      <c r="I455" s="69"/>
      <c r="J455" s="6"/>
    </row>
    <row r="456">
      <c r="D456" s="68"/>
      <c r="F456" s="69"/>
      <c r="I456" s="69"/>
      <c r="J456" s="6"/>
    </row>
    <row r="457">
      <c r="D457" s="68"/>
      <c r="F457" s="69"/>
      <c r="I457" s="69"/>
      <c r="J457" s="6"/>
    </row>
    <row r="458">
      <c r="D458" s="68"/>
      <c r="F458" s="69"/>
      <c r="I458" s="69"/>
      <c r="J458" s="6"/>
    </row>
    <row r="459">
      <c r="D459" s="68"/>
      <c r="F459" s="69"/>
      <c r="I459" s="69"/>
      <c r="J459" s="6"/>
    </row>
    <row r="460">
      <c r="D460" s="68"/>
      <c r="F460" s="69"/>
      <c r="I460" s="69"/>
      <c r="J460" s="6"/>
    </row>
    <row r="461">
      <c r="D461" s="68"/>
      <c r="F461" s="69"/>
      <c r="I461" s="69"/>
      <c r="J461" s="6"/>
    </row>
    <row r="462">
      <c r="D462" s="68"/>
      <c r="F462" s="69"/>
      <c r="I462" s="69"/>
      <c r="J462" s="6"/>
    </row>
    <row r="463">
      <c r="D463" s="68"/>
      <c r="F463" s="69"/>
      <c r="I463" s="69"/>
      <c r="J463" s="6"/>
    </row>
    <row r="464">
      <c r="D464" s="68"/>
      <c r="F464" s="69"/>
      <c r="I464" s="69"/>
      <c r="J464" s="6"/>
    </row>
    <row r="465">
      <c r="D465" s="68"/>
      <c r="F465" s="69"/>
      <c r="I465" s="69"/>
      <c r="J465" s="6"/>
    </row>
    <row r="466">
      <c r="D466" s="68"/>
      <c r="F466" s="69"/>
      <c r="I466" s="69"/>
      <c r="J466" s="6"/>
    </row>
    <row r="467">
      <c r="D467" s="68"/>
      <c r="F467" s="69"/>
      <c r="I467" s="69"/>
      <c r="J467" s="6"/>
    </row>
    <row r="468">
      <c r="D468" s="68"/>
      <c r="F468" s="69"/>
      <c r="I468" s="69"/>
      <c r="J468" s="6"/>
    </row>
    <row r="469">
      <c r="D469" s="68"/>
      <c r="F469" s="69"/>
      <c r="I469" s="69"/>
      <c r="J469" s="6"/>
    </row>
    <row r="470">
      <c r="D470" s="68"/>
      <c r="F470" s="69"/>
      <c r="I470" s="69"/>
      <c r="J470" s="6"/>
    </row>
    <row r="471">
      <c r="D471" s="68"/>
      <c r="F471" s="69"/>
      <c r="I471" s="69"/>
      <c r="J471" s="6"/>
    </row>
    <row r="472">
      <c r="D472" s="68"/>
      <c r="F472" s="69"/>
      <c r="I472" s="69"/>
      <c r="J472" s="6"/>
    </row>
    <row r="473">
      <c r="D473" s="68"/>
      <c r="F473" s="69"/>
      <c r="I473" s="69"/>
      <c r="J473" s="6"/>
    </row>
    <row r="474">
      <c r="D474" s="68"/>
      <c r="F474" s="69"/>
      <c r="I474" s="69"/>
      <c r="J474" s="6"/>
    </row>
    <row r="475">
      <c r="D475" s="68"/>
      <c r="F475" s="69"/>
      <c r="I475" s="69"/>
      <c r="J475" s="6"/>
    </row>
    <row r="476">
      <c r="D476" s="68"/>
      <c r="F476" s="69"/>
      <c r="I476" s="69"/>
      <c r="J476" s="6"/>
    </row>
    <row r="477">
      <c r="D477" s="68"/>
      <c r="F477" s="69"/>
      <c r="I477" s="69"/>
      <c r="J477" s="6"/>
    </row>
    <row r="478">
      <c r="D478" s="68"/>
      <c r="F478" s="69"/>
      <c r="I478" s="69"/>
      <c r="J478" s="6"/>
    </row>
    <row r="479">
      <c r="D479" s="68"/>
      <c r="F479" s="69"/>
      <c r="I479" s="69"/>
      <c r="J479" s="6"/>
    </row>
    <row r="480">
      <c r="D480" s="68"/>
      <c r="F480" s="69"/>
      <c r="I480" s="69"/>
      <c r="J480" s="6"/>
    </row>
    <row r="481">
      <c r="D481" s="68"/>
      <c r="F481" s="69"/>
      <c r="I481" s="69"/>
      <c r="J481" s="6"/>
    </row>
    <row r="482">
      <c r="D482" s="68"/>
      <c r="F482" s="69"/>
      <c r="I482" s="69"/>
      <c r="J482" s="6"/>
    </row>
    <row r="483">
      <c r="D483" s="68"/>
      <c r="F483" s="69"/>
      <c r="I483" s="69"/>
      <c r="J483" s="6"/>
    </row>
    <row r="484">
      <c r="D484" s="68"/>
      <c r="F484" s="69"/>
      <c r="I484" s="69"/>
      <c r="J484" s="6"/>
    </row>
    <row r="485">
      <c r="D485" s="68"/>
      <c r="F485" s="69"/>
      <c r="I485" s="69"/>
      <c r="J485" s="6"/>
    </row>
    <row r="486">
      <c r="D486" s="68"/>
      <c r="F486" s="69"/>
      <c r="I486" s="69"/>
      <c r="J486" s="6"/>
    </row>
    <row r="487">
      <c r="D487" s="68"/>
      <c r="F487" s="69"/>
      <c r="I487" s="69"/>
      <c r="J487" s="6"/>
    </row>
    <row r="488">
      <c r="D488" s="68"/>
      <c r="F488" s="69"/>
      <c r="I488" s="69"/>
      <c r="J488" s="6"/>
    </row>
    <row r="489">
      <c r="D489" s="68"/>
      <c r="F489" s="69"/>
      <c r="I489" s="69"/>
      <c r="J489" s="6"/>
    </row>
    <row r="490">
      <c r="D490" s="68"/>
      <c r="F490" s="69"/>
      <c r="I490" s="69"/>
      <c r="J490" s="6"/>
    </row>
    <row r="491">
      <c r="D491" s="68"/>
      <c r="F491" s="69"/>
      <c r="I491" s="69"/>
      <c r="J491" s="6"/>
    </row>
    <row r="492">
      <c r="D492" s="68"/>
      <c r="F492" s="69"/>
      <c r="I492" s="69"/>
      <c r="J492" s="6"/>
    </row>
    <row r="493">
      <c r="D493" s="68"/>
      <c r="F493" s="69"/>
      <c r="I493" s="69"/>
      <c r="J493" s="6"/>
    </row>
    <row r="494">
      <c r="D494" s="68"/>
      <c r="F494" s="69"/>
      <c r="I494" s="69"/>
      <c r="J494" s="6"/>
    </row>
    <row r="495">
      <c r="D495" s="68"/>
      <c r="F495" s="69"/>
      <c r="I495" s="69"/>
      <c r="J495" s="6"/>
    </row>
    <row r="496">
      <c r="D496" s="68"/>
      <c r="F496" s="69"/>
      <c r="I496" s="69"/>
      <c r="J496" s="6"/>
    </row>
    <row r="497">
      <c r="D497" s="68"/>
      <c r="F497" s="69"/>
      <c r="I497" s="69"/>
      <c r="J497" s="6"/>
    </row>
    <row r="498">
      <c r="D498" s="68"/>
      <c r="F498" s="69"/>
      <c r="I498" s="69"/>
      <c r="J498" s="6"/>
    </row>
    <row r="499">
      <c r="D499" s="68"/>
      <c r="F499" s="69"/>
      <c r="I499" s="69"/>
      <c r="J499" s="6"/>
    </row>
    <row r="500">
      <c r="D500" s="68"/>
      <c r="F500" s="69"/>
      <c r="I500" s="69"/>
      <c r="J500" s="6"/>
    </row>
    <row r="501">
      <c r="D501" s="68"/>
      <c r="F501" s="69"/>
      <c r="I501" s="69"/>
      <c r="J501" s="6"/>
    </row>
    <row r="502">
      <c r="D502" s="68"/>
      <c r="F502" s="69"/>
      <c r="I502" s="69"/>
      <c r="J502" s="6"/>
    </row>
    <row r="503">
      <c r="D503" s="68"/>
      <c r="F503" s="69"/>
      <c r="I503" s="69"/>
      <c r="J503" s="6"/>
    </row>
    <row r="504">
      <c r="D504" s="68"/>
      <c r="F504" s="69"/>
      <c r="I504" s="69"/>
      <c r="J504" s="6"/>
    </row>
    <row r="505">
      <c r="D505" s="68"/>
      <c r="F505" s="69"/>
      <c r="I505" s="69"/>
      <c r="J505" s="6"/>
    </row>
    <row r="506">
      <c r="D506" s="68"/>
      <c r="F506" s="69"/>
      <c r="I506" s="69"/>
      <c r="J506" s="6"/>
    </row>
    <row r="507">
      <c r="D507" s="68"/>
      <c r="F507" s="69"/>
      <c r="I507" s="69"/>
      <c r="J507" s="6"/>
    </row>
    <row r="508">
      <c r="D508" s="68"/>
      <c r="F508" s="69"/>
      <c r="I508" s="69"/>
      <c r="J508" s="6"/>
    </row>
    <row r="509">
      <c r="D509" s="68"/>
      <c r="F509" s="69"/>
      <c r="I509" s="69"/>
      <c r="J509" s="6"/>
    </row>
    <row r="510">
      <c r="D510" s="68"/>
      <c r="F510" s="69"/>
      <c r="I510" s="69"/>
      <c r="J510" s="6"/>
    </row>
    <row r="511">
      <c r="D511" s="68"/>
      <c r="F511" s="69"/>
      <c r="I511" s="69"/>
      <c r="J511" s="6"/>
    </row>
    <row r="512">
      <c r="D512" s="68"/>
      <c r="F512" s="69"/>
      <c r="I512" s="69"/>
      <c r="J512" s="6"/>
    </row>
    <row r="513">
      <c r="D513" s="68"/>
      <c r="F513" s="69"/>
      <c r="I513" s="69"/>
      <c r="J513" s="6"/>
    </row>
    <row r="514">
      <c r="D514" s="68"/>
      <c r="F514" s="69"/>
      <c r="I514" s="69"/>
      <c r="J514" s="6"/>
    </row>
    <row r="515">
      <c r="D515" s="68"/>
      <c r="F515" s="69"/>
      <c r="I515" s="69"/>
      <c r="J515" s="6"/>
    </row>
    <row r="516">
      <c r="D516" s="68"/>
      <c r="F516" s="69"/>
      <c r="I516" s="69"/>
      <c r="J516" s="6"/>
    </row>
    <row r="517">
      <c r="D517" s="68"/>
      <c r="F517" s="69"/>
      <c r="I517" s="69"/>
      <c r="J517" s="6"/>
    </row>
    <row r="518">
      <c r="D518" s="68"/>
      <c r="F518" s="69"/>
      <c r="I518" s="69"/>
      <c r="J518" s="6"/>
    </row>
    <row r="519">
      <c r="D519" s="68"/>
      <c r="F519" s="69"/>
      <c r="I519" s="69"/>
      <c r="J519" s="6"/>
    </row>
    <row r="520">
      <c r="D520" s="68"/>
      <c r="F520" s="69"/>
      <c r="I520" s="69"/>
      <c r="J520" s="6"/>
    </row>
    <row r="521">
      <c r="D521" s="68"/>
      <c r="F521" s="69"/>
      <c r="I521" s="69"/>
      <c r="J521" s="6"/>
    </row>
    <row r="522">
      <c r="D522" s="68"/>
      <c r="F522" s="69"/>
      <c r="I522" s="69"/>
      <c r="J522" s="6"/>
    </row>
    <row r="523">
      <c r="D523" s="68"/>
      <c r="F523" s="69"/>
      <c r="I523" s="69"/>
      <c r="J523" s="6"/>
    </row>
    <row r="524">
      <c r="D524" s="68"/>
      <c r="F524" s="69"/>
      <c r="I524" s="69"/>
      <c r="J524" s="6"/>
    </row>
    <row r="525">
      <c r="D525" s="68"/>
      <c r="F525" s="69"/>
      <c r="I525" s="69"/>
      <c r="J525" s="6"/>
    </row>
    <row r="526">
      <c r="D526" s="68"/>
      <c r="F526" s="69"/>
      <c r="I526" s="69"/>
      <c r="J526" s="6"/>
    </row>
    <row r="527">
      <c r="D527" s="68"/>
      <c r="F527" s="69"/>
      <c r="I527" s="69"/>
      <c r="J527" s="6"/>
    </row>
    <row r="528">
      <c r="D528" s="68"/>
      <c r="F528" s="69"/>
      <c r="I528" s="69"/>
      <c r="J528" s="6"/>
    </row>
    <row r="529">
      <c r="D529" s="68"/>
      <c r="F529" s="69"/>
      <c r="I529" s="69"/>
      <c r="J529" s="6"/>
    </row>
    <row r="530">
      <c r="D530" s="68"/>
      <c r="F530" s="69"/>
      <c r="I530" s="69"/>
      <c r="J530" s="6"/>
    </row>
    <row r="531">
      <c r="D531" s="68"/>
      <c r="F531" s="69"/>
      <c r="I531" s="69"/>
      <c r="J531" s="6"/>
    </row>
    <row r="532">
      <c r="D532" s="68"/>
      <c r="F532" s="69"/>
      <c r="I532" s="69"/>
      <c r="J532" s="6"/>
    </row>
    <row r="533">
      <c r="D533" s="68"/>
      <c r="F533" s="69"/>
      <c r="I533" s="69"/>
      <c r="J533" s="6"/>
    </row>
    <row r="534">
      <c r="D534" s="68"/>
      <c r="F534" s="69"/>
      <c r="I534" s="69"/>
      <c r="J534" s="6"/>
    </row>
    <row r="535">
      <c r="D535" s="68"/>
      <c r="F535" s="69"/>
      <c r="I535" s="69"/>
      <c r="J535" s="6"/>
    </row>
    <row r="536">
      <c r="D536" s="68"/>
      <c r="F536" s="69"/>
      <c r="I536" s="69"/>
      <c r="J536" s="6"/>
    </row>
    <row r="537">
      <c r="D537" s="68"/>
      <c r="F537" s="69"/>
      <c r="I537" s="69"/>
      <c r="J537" s="6"/>
    </row>
    <row r="538">
      <c r="D538" s="68"/>
      <c r="F538" s="69"/>
      <c r="I538" s="69"/>
      <c r="J538" s="6"/>
    </row>
    <row r="539">
      <c r="D539" s="68"/>
      <c r="F539" s="69"/>
      <c r="I539" s="69"/>
      <c r="J539" s="6"/>
    </row>
    <row r="540">
      <c r="D540" s="68"/>
      <c r="F540" s="69"/>
      <c r="I540" s="69"/>
      <c r="J540" s="6"/>
    </row>
    <row r="541">
      <c r="D541" s="68"/>
      <c r="F541" s="69"/>
      <c r="I541" s="69"/>
      <c r="J541" s="6"/>
    </row>
    <row r="542">
      <c r="D542" s="68"/>
      <c r="F542" s="69"/>
      <c r="I542" s="69"/>
      <c r="J542" s="6"/>
    </row>
    <row r="543">
      <c r="D543" s="68"/>
      <c r="F543" s="69"/>
      <c r="I543" s="69"/>
      <c r="J543" s="6"/>
    </row>
    <row r="544">
      <c r="D544" s="68"/>
      <c r="F544" s="69"/>
      <c r="I544" s="69"/>
      <c r="J544" s="6"/>
    </row>
    <row r="545">
      <c r="D545" s="68"/>
      <c r="F545" s="69"/>
      <c r="I545" s="69"/>
      <c r="J545" s="6"/>
    </row>
    <row r="546">
      <c r="D546" s="68"/>
      <c r="F546" s="69"/>
      <c r="I546" s="69"/>
      <c r="J546" s="6"/>
    </row>
    <row r="547">
      <c r="D547" s="68"/>
      <c r="F547" s="69"/>
      <c r="I547" s="69"/>
      <c r="J547" s="6"/>
    </row>
    <row r="548">
      <c r="D548" s="68"/>
      <c r="F548" s="69"/>
      <c r="I548" s="69"/>
      <c r="J548" s="6"/>
    </row>
    <row r="549">
      <c r="D549" s="68"/>
      <c r="F549" s="69"/>
      <c r="I549" s="69"/>
      <c r="J549" s="6"/>
    </row>
    <row r="550">
      <c r="D550" s="68"/>
      <c r="F550" s="69"/>
      <c r="I550" s="69"/>
      <c r="J550" s="6"/>
    </row>
    <row r="551">
      <c r="D551" s="68"/>
      <c r="F551" s="69"/>
      <c r="I551" s="69"/>
      <c r="J551" s="6"/>
    </row>
    <row r="552">
      <c r="D552" s="68"/>
      <c r="F552" s="69"/>
      <c r="I552" s="69"/>
      <c r="J552" s="6"/>
    </row>
    <row r="553">
      <c r="D553" s="68"/>
      <c r="F553" s="69"/>
      <c r="I553" s="69"/>
      <c r="J553" s="6"/>
    </row>
    <row r="554">
      <c r="D554" s="68"/>
      <c r="F554" s="69"/>
      <c r="I554" s="69"/>
      <c r="J554" s="6"/>
    </row>
    <row r="555">
      <c r="D555" s="68"/>
      <c r="F555" s="69"/>
      <c r="I555" s="69"/>
      <c r="J555" s="6"/>
    </row>
    <row r="556">
      <c r="D556" s="68"/>
      <c r="F556" s="69"/>
      <c r="I556" s="69"/>
      <c r="J556" s="6"/>
    </row>
    <row r="557">
      <c r="D557" s="68"/>
      <c r="F557" s="69"/>
      <c r="I557" s="69"/>
      <c r="J557" s="6"/>
    </row>
    <row r="558">
      <c r="D558" s="68"/>
      <c r="F558" s="69"/>
      <c r="I558" s="69"/>
      <c r="J558" s="6"/>
    </row>
    <row r="559">
      <c r="D559" s="68"/>
      <c r="F559" s="69"/>
      <c r="I559" s="69"/>
      <c r="J559" s="6"/>
    </row>
    <row r="560">
      <c r="D560" s="68"/>
      <c r="F560" s="69"/>
      <c r="I560" s="69"/>
      <c r="J560" s="6"/>
    </row>
    <row r="561">
      <c r="D561" s="68"/>
      <c r="F561" s="69"/>
      <c r="I561" s="69"/>
      <c r="J561" s="6"/>
    </row>
    <row r="562">
      <c r="D562" s="68"/>
      <c r="F562" s="69"/>
      <c r="I562" s="69"/>
      <c r="J562" s="6"/>
    </row>
    <row r="563">
      <c r="D563" s="68"/>
      <c r="F563" s="69"/>
      <c r="I563" s="69"/>
      <c r="J563" s="6"/>
    </row>
    <row r="564">
      <c r="D564" s="68"/>
      <c r="F564" s="69"/>
      <c r="I564" s="69"/>
      <c r="J564" s="6"/>
    </row>
    <row r="565">
      <c r="D565" s="68"/>
      <c r="F565" s="69"/>
      <c r="I565" s="69"/>
      <c r="J565" s="6"/>
    </row>
    <row r="566">
      <c r="D566" s="68"/>
      <c r="F566" s="69"/>
      <c r="I566" s="69"/>
      <c r="J566" s="6"/>
    </row>
    <row r="567">
      <c r="D567" s="68"/>
      <c r="F567" s="69"/>
      <c r="I567" s="69"/>
      <c r="J567" s="6"/>
    </row>
    <row r="568">
      <c r="D568" s="68"/>
      <c r="F568" s="69"/>
      <c r="I568" s="69"/>
      <c r="J568" s="6"/>
    </row>
    <row r="569">
      <c r="D569" s="68"/>
      <c r="F569" s="69"/>
      <c r="I569" s="69"/>
      <c r="J569" s="6"/>
    </row>
    <row r="570">
      <c r="D570" s="68"/>
      <c r="F570" s="69"/>
      <c r="I570" s="69"/>
      <c r="J570" s="6"/>
    </row>
    <row r="571">
      <c r="D571" s="68"/>
      <c r="F571" s="69"/>
      <c r="I571" s="69"/>
      <c r="J571" s="6"/>
    </row>
    <row r="572">
      <c r="D572" s="68"/>
      <c r="F572" s="69"/>
      <c r="I572" s="69"/>
      <c r="J572" s="6"/>
    </row>
    <row r="573">
      <c r="D573" s="68"/>
      <c r="F573" s="69"/>
      <c r="I573" s="69"/>
      <c r="J573" s="6"/>
    </row>
    <row r="574">
      <c r="D574" s="68"/>
      <c r="F574" s="69"/>
      <c r="I574" s="69"/>
      <c r="J574" s="6"/>
    </row>
    <row r="575">
      <c r="D575" s="68"/>
      <c r="F575" s="69"/>
      <c r="I575" s="69"/>
      <c r="J575" s="6"/>
    </row>
    <row r="576">
      <c r="D576" s="68"/>
      <c r="F576" s="69"/>
      <c r="I576" s="69"/>
      <c r="J576" s="6"/>
    </row>
    <row r="577">
      <c r="D577" s="68"/>
      <c r="F577" s="69"/>
      <c r="I577" s="69"/>
      <c r="J577" s="6"/>
    </row>
    <row r="578">
      <c r="D578" s="68"/>
      <c r="F578" s="69"/>
      <c r="I578" s="69"/>
      <c r="J578" s="6"/>
    </row>
    <row r="579">
      <c r="D579" s="68"/>
      <c r="F579" s="69"/>
      <c r="I579" s="69"/>
      <c r="J579" s="6"/>
    </row>
    <row r="580">
      <c r="D580" s="68"/>
      <c r="F580" s="69"/>
      <c r="I580" s="69"/>
      <c r="J580" s="6"/>
    </row>
    <row r="581">
      <c r="D581" s="68"/>
      <c r="F581" s="69"/>
      <c r="I581" s="69"/>
      <c r="J581" s="6"/>
    </row>
    <row r="582">
      <c r="D582" s="68"/>
      <c r="F582" s="69"/>
      <c r="I582" s="69"/>
      <c r="J582" s="6"/>
    </row>
    <row r="583">
      <c r="D583" s="68"/>
      <c r="F583" s="69"/>
      <c r="I583" s="69"/>
      <c r="J583" s="6"/>
    </row>
    <row r="584">
      <c r="D584" s="68"/>
      <c r="F584" s="69"/>
      <c r="I584" s="69"/>
      <c r="J584" s="6"/>
    </row>
    <row r="585">
      <c r="D585" s="68"/>
      <c r="F585" s="69"/>
      <c r="I585" s="69"/>
      <c r="J585" s="6"/>
    </row>
    <row r="586">
      <c r="D586" s="68"/>
      <c r="F586" s="69"/>
      <c r="I586" s="69"/>
      <c r="J586" s="6"/>
    </row>
    <row r="587">
      <c r="D587" s="68"/>
      <c r="F587" s="69"/>
      <c r="I587" s="69"/>
      <c r="J587" s="6"/>
    </row>
    <row r="588">
      <c r="D588" s="68"/>
      <c r="F588" s="69"/>
      <c r="I588" s="69"/>
      <c r="J588" s="6"/>
    </row>
    <row r="589">
      <c r="D589" s="68"/>
      <c r="F589" s="69"/>
      <c r="I589" s="69"/>
      <c r="J589" s="6"/>
    </row>
    <row r="590">
      <c r="D590" s="68"/>
      <c r="F590" s="69"/>
      <c r="I590" s="69"/>
      <c r="J590" s="6"/>
    </row>
    <row r="591">
      <c r="D591" s="68"/>
      <c r="F591" s="69"/>
      <c r="I591" s="69"/>
      <c r="J591" s="6"/>
    </row>
    <row r="592">
      <c r="D592" s="68"/>
      <c r="F592" s="69"/>
      <c r="I592" s="69"/>
      <c r="J592" s="6"/>
    </row>
    <row r="593">
      <c r="D593" s="68"/>
      <c r="F593" s="69"/>
      <c r="I593" s="69"/>
      <c r="J593" s="6"/>
    </row>
    <row r="594">
      <c r="D594" s="68"/>
      <c r="F594" s="69"/>
      <c r="I594" s="69"/>
      <c r="J594" s="6"/>
    </row>
    <row r="595">
      <c r="D595" s="68"/>
      <c r="F595" s="69"/>
      <c r="I595" s="69"/>
      <c r="J595" s="6"/>
    </row>
    <row r="596">
      <c r="D596" s="68"/>
      <c r="F596" s="69"/>
      <c r="I596" s="69"/>
      <c r="J596" s="6"/>
    </row>
    <row r="597">
      <c r="D597" s="68"/>
      <c r="F597" s="69"/>
      <c r="I597" s="69"/>
      <c r="J597" s="6"/>
    </row>
    <row r="598">
      <c r="D598" s="68"/>
      <c r="F598" s="69"/>
      <c r="I598" s="69"/>
      <c r="J598" s="6"/>
    </row>
    <row r="599">
      <c r="D599" s="68"/>
      <c r="F599" s="69"/>
      <c r="I599" s="69"/>
      <c r="J599" s="6"/>
    </row>
    <row r="600">
      <c r="D600" s="68"/>
      <c r="F600" s="69"/>
      <c r="I600" s="69"/>
      <c r="J600" s="6"/>
    </row>
    <row r="601">
      <c r="D601" s="68"/>
      <c r="F601" s="69"/>
      <c r="I601" s="69"/>
      <c r="J601" s="6"/>
    </row>
    <row r="602">
      <c r="D602" s="68"/>
      <c r="F602" s="69"/>
      <c r="I602" s="69"/>
      <c r="J602" s="6"/>
    </row>
    <row r="603">
      <c r="D603" s="68"/>
      <c r="F603" s="69"/>
      <c r="I603" s="69"/>
      <c r="J603" s="6"/>
    </row>
    <row r="604">
      <c r="D604" s="68"/>
      <c r="F604" s="69"/>
      <c r="I604" s="69"/>
      <c r="J604" s="6"/>
    </row>
    <row r="605">
      <c r="D605" s="68"/>
      <c r="F605" s="69"/>
      <c r="I605" s="69"/>
      <c r="J605" s="6"/>
    </row>
    <row r="606">
      <c r="D606" s="68"/>
      <c r="F606" s="69"/>
      <c r="I606" s="69"/>
      <c r="J606" s="6"/>
    </row>
    <row r="607">
      <c r="D607" s="68"/>
      <c r="F607" s="69"/>
      <c r="I607" s="69"/>
      <c r="J607" s="6"/>
    </row>
    <row r="608">
      <c r="D608" s="68"/>
      <c r="F608" s="69"/>
      <c r="I608" s="69"/>
      <c r="J608" s="6"/>
    </row>
    <row r="609">
      <c r="D609" s="68"/>
      <c r="F609" s="69"/>
      <c r="I609" s="69"/>
      <c r="J609" s="6"/>
    </row>
    <row r="610">
      <c r="D610" s="68"/>
      <c r="F610" s="69"/>
      <c r="I610" s="69"/>
      <c r="J610" s="6"/>
    </row>
    <row r="611">
      <c r="D611" s="68"/>
      <c r="F611" s="69"/>
      <c r="I611" s="69"/>
      <c r="J611" s="6"/>
    </row>
    <row r="612">
      <c r="D612" s="68"/>
      <c r="F612" s="69"/>
      <c r="I612" s="69"/>
      <c r="J612" s="6"/>
    </row>
    <row r="613">
      <c r="D613" s="68"/>
      <c r="F613" s="69"/>
      <c r="I613" s="69"/>
      <c r="J613" s="6"/>
    </row>
    <row r="614">
      <c r="D614" s="68"/>
      <c r="F614" s="69"/>
      <c r="I614" s="69"/>
      <c r="J614" s="6"/>
    </row>
    <row r="615">
      <c r="D615" s="68"/>
      <c r="F615" s="69"/>
      <c r="I615" s="69"/>
      <c r="J615" s="6"/>
    </row>
    <row r="616">
      <c r="D616" s="68"/>
      <c r="F616" s="69"/>
      <c r="I616" s="69"/>
      <c r="J616" s="6"/>
    </row>
    <row r="617">
      <c r="D617" s="68"/>
      <c r="F617" s="69"/>
      <c r="I617" s="69"/>
      <c r="J617" s="6"/>
    </row>
    <row r="618">
      <c r="D618" s="68"/>
      <c r="F618" s="69"/>
      <c r="I618" s="69"/>
      <c r="J618" s="6"/>
    </row>
    <row r="619">
      <c r="D619" s="68"/>
      <c r="F619" s="69"/>
      <c r="I619" s="69"/>
      <c r="J619" s="6"/>
    </row>
    <row r="620">
      <c r="D620" s="68"/>
      <c r="F620" s="69"/>
      <c r="I620" s="69"/>
      <c r="J620" s="6"/>
    </row>
    <row r="621">
      <c r="D621" s="68"/>
      <c r="F621" s="69"/>
      <c r="I621" s="69"/>
      <c r="J621" s="6"/>
    </row>
    <row r="622">
      <c r="D622" s="68"/>
      <c r="F622" s="69"/>
      <c r="I622" s="69"/>
      <c r="J622" s="6"/>
    </row>
    <row r="623">
      <c r="D623" s="68"/>
      <c r="F623" s="69"/>
      <c r="I623" s="69"/>
      <c r="J623" s="6"/>
    </row>
    <row r="624">
      <c r="D624" s="68"/>
      <c r="F624" s="69"/>
      <c r="I624" s="69"/>
      <c r="J624" s="6"/>
    </row>
    <row r="625">
      <c r="D625" s="68"/>
      <c r="F625" s="69"/>
      <c r="I625" s="69"/>
      <c r="J625" s="6"/>
    </row>
    <row r="626">
      <c r="D626" s="68"/>
      <c r="F626" s="69"/>
      <c r="I626" s="69"/>
      <c r="J626" s="6"/>
    </row>
    <row r="627">
      <c r="D627" s="68"/>
      <c r="F627" s="69"/>
      <c r="I627" s="69"/>
      <c r="J627" s="6"/>
    </row>
    <row r="628">
      <c r="D628" s="68"/>
      <c r="F628" s="69"/>
      <c r="I628" s="69"/>
      <c r="J628" s="6"/>
    </row>
    <row r="629">
      <c r="D629" s="68"/>
      <c r="F629" s="69"/>
      <c r="I629" s="69"/>
      <c r="J629" s="6"/>
    </row>
    <row r="630">
      <c r="D630" s="68"/>
      <c r="F630" s="69"/>
      <c r="I630" s="69"/>
      <c r="J630" s="6"/>
    </row>
    <row r="631">
      <c r="D631" s="68"/>
      <c r="F631" s="69"/>
      <c r="I631" s="69"/>
      <c r="J631" s="6"/>
    </row>
    <row r="632">
      <c r="D632" s="68"/>
      <c r="F632" s="69"/>
      <c r="I632" s="69"/>
      <c r="J632" s="6"/>
    </row>
    <row r="633">
      <c r="D633" s="68"/>
      <c r="F633" s="69"/>
      <c r="I633" s="69"/>
      <c r="J633" s="6"/>
    </row>
    <row r="634">
      <c r="D634" s="68"/>
      <c r="F634" s="69"/>
      <c r="I634" s="69"/>
      <c r="J634" s="6"/>
    </row>
    <row r="635">
      <c r="D635" s="68"/>
      <c r="F635" s="69"/>
      <c r="I635" s="69"/>
      <c r="J635" s="6"/>
    </row>
    <row r="636">
      <c r="D636" s="68"/>
      <c r="F636" s="69"/>
      <c r="I636" s="69"/>
      <c r="J636" s="6"/>
    </row>
    <row r="637">
      <c r="D637" s="68"/>
      <c r="F637" s="69"/>
      <c r="I637" s="69"/>
      <c r="J637" s="6"/>
    </row>
    <row r="638">
      <c r="D638" s="68"/>
      <c r="F638" s="69"/>
      <c r="I638" s="69"/>
      <c r="J638" s="6"/>
    </row>
    <row r="639">
      <c r="D639" s="68"/>
      <c r="F639" s="69"/>
      <c r="I639" s="69"/>
      <c r="J639" s="6"/>
    </row>
    <row r="640">
      <c r="D640" s="68"/>
      <c r="F640" s="69"/>
      <c r="I640" s="69"/>
      <c r="J640" s="6"/>
    </row>
    <row r="641">
      <c r="D641" s="68"/>
      <c r="F641" s="69"/>
      <c r="I641" s="69"/>
      <c r="J641" s="6"/>
    </row>
    <row r="642">
      <c r="D642" s="68"/>
      <c r="F642" s="69"/>
      <c r="I642" s="69"/>
      <c r="J642" s="6"/>
    </row>
    <row r="643">
      <c r="D643" s="68"/>
      <c r="F643" s="69"/>
      <c r="I643" s="69"/>
      <c r="J643" s="6"/>
    </row>
    <row r="644">
      <c r="D644" s="68"/>
      <c r="F644" s="69"/>
      <c r="I644" s="69"/>
      <c r="J644" s="6"/>
    </row>
    <row r="645">
      <c r="D645" s="68"/>
      <c r="F645" s="69"/>
      <c r="I645" s="69"/>
      <c r="J645" s="6"/>
    </row>
    <row r="646">
      <c r="D646" s="68"/>
      <c r="F646" s="69"/>
      <c r="I646" s="69"/>
      <c r="J646" s="6"/>
    </row>
    <row r="647">
      <c r="D647" s="68"/>
      <c r="F647" s="69"/>
      <c r="I647" s="69"/>
      <c r="J647" s="6"/>
    </row>
    <row r="648">
      <c r="D648" s="68"/>
      <c r="F648" s="69"/>
      <c r="I648" s="69"/>
      <c r="J648" s="6"/>
    </row>
    <row r="649">
      <c r="D649" s="68"/>
      <c r="F649" s="69"/>
      <c r="I649" s="69"/>
      <c r="J649" s="6"/>
    </row>
    <row r="650">
      <c r="D650" s="68"/>
      <c r="F650" s="69"/>
      <c r="I650" s="69"/>
      <c r="J650" s="6"/>
    </row>
    <row r="651">
      <c r="D651" s="68"/>
      <c r="F651" s="69"/>
      <c r="I651" s="69"/>
      <c r="J651" s="6"/>
    </row>
    <row r="652">
      <c r="D652" s="68"/>
      <c r="F652" s="69"/>
      <c r="I652" s="69"/>
      <c r="J652" s="6"/>
    </row>
    <row r="653">
      <c r="D653" s="68"/>
      <c r="F653" s="69"/>
      <c r="I653" s="69"/>
      <c r="J653" s="6"/>
    </row>
    <row r="654">
      <c r="D654" s="68"/>
      <c r="F654" s="69"/>
      <c r="I654" s="69"/>
      <c r="J654" s="6"/>
    </row>
    <row r="655">
      <c r="D655" s="68"/>
      <c r="F655" s="69"/>
      <c r="I655" s="69"/>
      <c r="J655" s="6"/>
    </row>
    <row r="656">
      <c r="D656" s="68"/>
      <c r="F656" s="69"/>
      <c r="I656" s="69"/>
      <c r="J656" s="6"/>
    </row>
    <row r="657">
      <c r="D657" s="68"/>
      <c r="F657" s="69"/>
      <c r="I657" s="69"/>
      <c r="J657" s="6"/>
    </row>
    <row r="658">
      <c r="D658" s="68"/>
      <c r="F658" s="69"/>
      <c r="I658" s="69"/>
      <c r="J658" s="6"/>
    </row>
    <row r="659">
      <c r="D659" s="68"/>
      <c r="F659" s="69"/>
      <c r="I659" s="69"/>
      <c r="J659" s="6"/>
    </row>
    <row r="660">
      <c r="D660" s="68"/>
      <c r="F660" s="69"/>
      <c r="I660" s="69"/>
      <c r="J660" s="6"/>
    </row>
    <row r="661">
      <c r="D661" s="68"/>
      <c r="F661" s="69"/>
      <c r="I661" s="69"/>
      <c r="J661" s="6"/>
    </row>
    <row r="662">
      <c r="D662" s="68"/>
      <c r="F662" s="69"/>
      <c r="I662" s="69"/>
      <c r="J662" s="6"/>
    </row>
    <row r="663">
      <c r="D663" s="68"/>
      <c r="F663" s="69"/>
      <c r="I663" s="69"/>
      <c r="J663" s="6"/>
    </row>
    <row r="664">
      <c r="D664" s="68"/>
      <c r="F664" s="69"/>
      <c r="I664" s="69"/>
      <c r="J664" s="6"/>
    </row>
    <row r="665">
      <c r="D665" s="68"/>
      <c r="F665" s="69"/>
      <c r="I665" s="69"/>
      <c r="J665" s="6"/>
    </row>
    <row r="666">
      <c r="D666" s="68"/>
      <c r="F666" s="69"/>
      <c r="I666" s="69"/>
      <c r="J666" s="6"/>
    </row>
    <row r="667">
      <c r="D667" s="68"/>
      <c r="F667" s="69"/>
      <c r="I667" s="69"/>
      <c r="J667" s="6"/>
    </row>
    <row r="668">
      <c r="D668" s="68"/>
      <c r="F668" s="69"/>
      <c r="I668" s="69"/>
      <c r="J668" s="6"/>
    </row>
    <row r="669">
      <c r="D669" s="68"/>
      <c r="F669" s="69"/>
      <c r="I669" s="69"/>
      <c r="J669" s="6"/>
    </row>
    <row r="670">
      <c r="D670" s="68"/>
      <c r="F670" s="69"/>
      <c r="I670" s="69"/>
      <c r="J670" s="6"/>
    </row>
    <row r="671">
      <c r="D671" s="68"/>
      <c r="F671" s="69"/>
      <c r="I671" s="69"/>
      <c r="J671" s="6"/>
    </row>
    <row r="672">
      <c r="D672" s="68"/>
      <c r="F672" s="69"/>
      <c r="I672" s="69"/>
      <c r="J672" s="6"/>
    </row>
    <row r="673">
      <c r="D673" s="68"/>
      <c r="F673" s="69"/>
      <c r="I673" s="69"/>
      <c r="J673" s="6"/>
    </row>
    <row r="674">
      <c r="D674" s="68"/>
      <c r="F674" s="69"/>
      <c r="I674" s="69"/>
      <c r="J674" s="6"/>
    </row>
    <row r="675">
      <c r="D675" s="68"/>
      <c r="F675" s="69"/>
      <c r="I675" s="69"/>
      <c r="J675" s="6"/>
    </row>
    <row r="676">
      <c r="D676" s="68"/>
      <c r="F676" s="69"/>
      <c r="I676" s="69"/>
      <c r="J676" s="6"/>
    </row>
    <row r="677">
      <c r="D677" s="68"/>
      <c r="F677" s="69"/>
      <c r="I677" s="69"/>
      <c r="J677" s="6"/>
    </row>
    <row r="678">
      <c r="D678" s="68"/>
      <c r="F678" s="69"/>
      <c r="I678" s="69"/>
      <c r="J678" s="6"/>
    </row>
    <row r="679">
      <c r="D679" s="68"/>
      <c r="F679" s="69"/>
      <c r="I679" s="69"/>
      <c r="J679" s="6"/>
    </row>
    <row r="680">
      <c r="D680" s="68"/>
      <c r="F680" s="69"/>
      <c r="I680" s="69"/>
      <c r="J680" s="6"/>
    </row>
    <row r="681">
      <c r="D681" s="68"/>
      <c r="F681" s="69"/>
      <c r="I681" s="69"/>
      <c r="J681" s="6"/>
    </row>
    <row r="682">
      <c r="D682" s="68"/>
      <c r="F682" s="69"/>
      <c r="I682" s="69"/>
      <c r="J682" s="6"/>
    </row>
    <row r="683">
      <c r="D683" s="68"/>
      <c r="F683" s="69"/>
      <c r="I683" s="69"/>
      <c r="J683" s="6"/>
    </row>
    <row r="684">
      <c r="D684" s="68"/>
      <c r="F684" s="69"/>
      <c r="I684" s="69"/>
      <c r="J684" s="6"/>
    </row>
    <row r="685">
      <c r="D685" s="68"/>
      <c r="F685" s="69"/>
      <c r="I685" s="69"/>
      <c r="J685" s="6"/>
    </row>
    <row r="686">
      <c r="D686" s="68"/>
      <c r="F686" s="69"/>
      <c r="I686" s="69"/>
      <c r="J686" s="6"/>
    </row>
    <row r="687">
      <c r="D687" s="68"/>
      <c r="F687" s="69"/>
      <c r="I687" s="69"/>
      <c r="J687" s="6"/>
    </row>
    <row r="688">
      <c r="D688" s="68"/>
      <c r="F688" s="69"/>
      <c r="I688" s="69"/>
      <c r="J688" s="6"/>
    </row>
    <row r="689">
      <c r="D689" s="68"/>
      <c r="F689" s="69"/>
      <c r="I689" s="69"/>
      <c r="J689" s="6"/>
    </row>
    <row r="690">
      <c r="D690" s="68"/>
      <c r="F690" s="69"/>
      <c r="I690" s="69"/>
      <c r="J690" s="6"/>
    </row>
    <row r="691">
      <c r="D691" s="68"/>
      <c r="F691" s="69"/>
      <c r="I691" s="69"/>
      <c r="J691" s="6"/>
    </row>
    <row r="692">
      <c r="D692" s="68"/>
      <c r="F692" s="69"/>
      <c r="I692" s="69"/>
      <c r="J692" s="6"/>
    </row>
    <row r="693">
      <c r="D693" s="68"/>
      <c r="F693" s="69"/>
      <c r="I693" s="69"/>
      <c r="J693" s="6"/>
    </row>
    <row r="694">
      <c r="D694" s="68"/>
      <c r="F694" s="69"/>
      <c r="I694" s="69"/>
      <c r="J694" s="6"/>
    </row>
    <row r="695">
      <c r="D695" s="68"/>
      <c r="F695" s="69"/>
      <c r="I695" s="69"/>
      <c r="J695" s="6"/>
    </row>
    <row r="696">
      <c r="D696" s="68"/>
      <c r="F696" s="69"/>
      <c r="I696" s="69"/>
      <c r="J696" s="6"/>
    </row>
    <row r="697">
      <c r="D697" s="68"/>
      <c r="F697" s="69"/>
      <c r="I697" s="69"/>
      <c r="J697" s="6"/>
    </row>
    <row r="698">
      <c r="D698" s="68"/>
      <c r="F698" s="69"/>
      <c r="I698" s="69"/>
      <c r="J698" s="6"/>
    </row>
    <row r="699">
      <c r="D699" s="68"/>
      <c r="F699" s="69"/>
      <c r="I699" s="69"/>
      <c r="J699" s="6"/>
    </row>
    <row r="700">
      <c r="D700" s="68"/>
      <c r="F700" s="69"/>
      <c r="I700" s="69"/>
      <c r="J700" s="6"/>
    </row>
    <row r="701">
      <c r="D701" s="68"/>
      <c r="F701" s="69"/>
      <c r="I701" s="69"/>
      <c r="J701" s="6"/>
    </row>
    <row r="702">
      <c r="D702" s="68"/>
      <c r="F702" s="69"/>
      <c r="I702" s="69"/>
      <c r="J702" s="6"/>
    </row>
    <row r="703">
      <c r="D703" s="68"/>
      <c r="F703" s="69"/>
      <c r="I703" s="69"/>
      <c r="J703" s="6"/>
    </row>
    <row r="704">
      <c r="D704" s="68"/>
      <c r="F704" s="69"/>
      <c r="I704" s="69"/>
      <c r="J704" s="6"/>
    </row>
    <row r="705">
      <c r="D705" s="68"/>
      <c r="F705" s="69"/>
      <c r="I705" s="69"/>
      <c r="J705" s="6"/>
    </row>
    <row r="706">
      <c r="D706" s="68"/>
      <c r="F706" s="69"/>
      <c r="I706" s="69"/>
      <c r="J706" s="6"/>
    </row>
    <row r="707">
      <c r="D707" s="68"/>
      <c r="F707" s="69"/>
      <c r="I707" s="69"/>
      <c r="J707" s="6"/>
    </row>
    <row r="708">
      <c r="D708" s="68"/>
      <c r="F708" s="69"/>
      <c r="I708" s="69"/>
      <c r="J708" s="6"/>
    </row>
    <row r="709">
      <c r="D709" s="68"/>
      <c r="F709" s="69"/>
      <c r="I709" s="69"/>
      <c r="J709" s="6"/>
    </row>
    <row r="710">
      <c r="D710" s="68"/>
      <c r="F710" s="69"/>
      <c r="I710" s="69"/>
      <c r="J710" s="6"/>
    </row>
    <row r="711">
      <c r="D711" s="68"/>
      <c r="F711" s="69"/>
      <c r="I711" s="69"/>
      <c r="J711" s="6"/>
    </row>
    <row r="712">
      <c r="D712" s="68"/>
      <c r="F712" s="69"/>
      <c r="I712" s="69"/>
      <c r="J712" s="6"/>
    </row>
    <row r="713">
      <c r="D713" s="68"/>
      <c r="F713" s="69"/>
      <c r="I713" s="69"/>
      <c r="J713" s="6"/>
    </row>
    <row r="714">
      <c r="D714" s="68"/>
      <c r="F714" s="69"/>
      <c r="I714" s="69"/>
      <c r="J714" s="6"/>
    </row>
    <row r="715">
      <c r="D715" s="68"/>
      <c r="F715" s="69"/>
      <c r="I715" s="69"/>
      <c r="J715" s="6"/>
    </row>
    <row r="716">
      <c r="D716" s="68"/>
      <c r="F716" s="69"/>
      <c r="I716" s="69"/>
      <c r="J716" s="6"/>
    </row>
    <row r="717">
      <c r="D717" s="68"/>
      <c r="F717" s="69"/>
      <c r="I717" s="69"/>
      <c r="J717" s="6"/>
    </row>
    <row r="718">
      <c r="D718" s="68"/>
      <c r="F718" s="69"/>
      <c r="I718" s="69"/>
      <c r="J718" s="6"/>
    </row>
    <row r="719">
      <c r="D719" s="68"/>
      <c r="F719" s="69"/>
      <c r="I719" s="69"/>
      <c r="J719" s="6"/>
    </row>
    <row r="720">
      <c r="D720" s="68"/>
      <c r="F720" s="69"/>
      <c r="I720" s="69"/>
      <c r="J720" s="6"/>
    </row>
    <row r="721">
      <c r="D721" s="68"/>
      <c r="F721" s="69"/>
      <c r="I721" s="69"/>
      <c r="J721" s="6"/>
    </row>
    <row r="722">
      <c r="D722" s="68"/>
      <c r="F722" s="69"/>
      <c r="I722" s="69"/>
      <c r="J722" s="6"/>
    </row>
    <row r="723">
      <c r="D723" s="68"/>
      <c r="F723" s="69"/>
      <c r="I723" s="69"/>
      <c r="J723" s="6"/>
    </row>
    <row r="724">
      <c r="D724" s="68"/>
      <c r="F724" s="69"/>
      <c r="I724" s="69"/>
      <c r="J724" s="6"/>
    </row>
    <row r="725">
      <c r="D725" s="68"/>
      <c r="F725" s="69"/>
      <c r="I725" s="69"/>
      <c r="J725" s="6"/>
    </row>
    <row r="726">
      <c r="D726" s="68"/>
      <c r="F726" s="69"/>
      <c r="I726" s="69"/>
      <c r="J726" s="6"/>
    </row>
    <row r="727">
      <c r="D727" s="68"/>
      <c r="F727" s="69"/>
      <c r="I727" s="69"/>
      <c r="J727" s="6"/>
    </row>
    <row r="728">
      <c r="D728" s="68"/>
      <c r="F728" s="69"/>
      <c r="I728" s="69"/>
      <c r="J728" s="6"/>
    </row>
    <row r="729">
      <c r="D729" s="68"/>
      <c r="F729" s="69"/>
      <c r="I729" s="69"/>
      <c r="J729" s="6"/>
    </row>
    <row r="730">
      <c r="D730" s="68"/>
      <c r="F730" s="69"/>
      <c r="I730" s="69"/>
      <c r="J730" s="6"/>
    </row>
    <row r="731">
      <c r="D731" s="68"/>
      <c r="F731" s="69"/>
      <c r="I731" s="69"/>
      <c r="J731" s="6"/>
    </row>
    <row r="732">
      <c r="D732" s="68"/>
      <c r="F732" s="69"/>
      <c r="I732" s="69"/>
      <c r="J732" s="6"/>
    </row>
    <row r="733">
      <c r="D733" s="68"/>
      <c r="F733" s="69"/>
      <c r="I733" s="69"/>
      <c r="J733" s="6"/>
    </row>
    <row r="734">
      <c r="D734" s="68"/>
      <c r="F734" s="69"/>
      <c r="I734" s="69"/>
      <c r="J734" s="6"/>
    </row>
    <row r="735">
      <c r="D735" s="68"/>
      <c r="F735" s="69"/>
      <c r="I735" s="69"/>
      <c r="J735" s="6"/>
    </row>
    <row r="736">
      <c r="D736" s="68"/>
      <c r="F736" s="69"/>
      <c r="I736" s="69"/>
      <c r="J736" s="6"/>
    </row>
    <row r="737">
      <c r="D737" s="68"/>
      <c r="F737" s="69"/>
      <c r="I737" s="69"/>
      <c r="J737" s="6"/>
    </row>
    <row r="738">
      <c r="D738" s="68"/>
      <c r="F738" s="69"/>
      <c r="I738" s="69"/>
      <c r="J738" s="6"/>
    </row>
    <row r="739">
      <c r="D739" s="68"/>
      <c r="F739" s="69"/>
      <c r="I739" s="69"/>
      <c r="J739" s="6"/>
    </row>
    <row r="740">
      <c r="D740" s="68"/>
      <c r="F740" s="69"/>
      <c r="I740" s="69"/>
      <c r="J740" s="6"/>
    </row>
    <row r="741">
      <c r="D741" s="68"/>
      <c r="F741" s="69"/>
      <c r="I741" s="69"/>
      <c r="J741" s="6"/>
    </row>
    <row r="742">
      <c r="D742" s="68"/>
      <c r="F742" s="69"/>
      <c r="I742" s="69"/>
      <c r="J742" s="6"/>
    </row>
    <row r="743">
      <c r="D743" s="68"/>
      <c r="F743" s="69"/>
      <c r="I743" s="69"/>
      <c r="J743" s="6"/>
    </row>
    <row r="744">
      <c r="D744" s="68"/>
      <c r="F744" s="69"/>
      <c r="I744" s="69"/>
      <c r="J744" s="6"/>
    </row>
    <row r="745">
      <c r="D745" s="68"/>
      <c r="F745" s="69"/>
      <c r="I745" s="69"/>
      <c r="J745" s="6"/>
    </row>
    <row r="746">
      <c r="D746" s="68"/>
      <c r="F746" s="69"/>
      <c r="I746" s="69"/>
      <c r="J746" s="6"/>
    </row>
    <row r="747">
      <c r="D747" s="68"/>
      <c r="F747" s="69"/>
      <c r="I747" s="69"/>
      <c r="J747" s="6"/>
    </row>
    <row r="748">
      <c r="D748" s="68"/>
      <c r="F748" s="69"/>
      <c r="I748" s="69"/>
      <c r="J748" s="6"/>
    </row>
    <row r="749">
      <c r="D749" s="68"/>
      <c r="F749" s="69"/>
      <c r="I749" s="69"/>
      <c r="J749" s="6"/>
    </row>
    <row r="750">
      <c r="D750" s="68"/>
      <c r="F750" s="69"/>
      <c r="I750" s="69"/>
      <c r="J750" s="6"/>
    </row>
    <row r="751">
      <c r="D751" s="68"/>
      <c r="F751" s="69"/>
      <c r="I751" s="69"/>
      <c r="J751" s="6"/>
    </row>
    <row r="752">
      <c r="D752" s="68"/>
      <c r="F752" s="69"/>
      <c r="I752" s="69"/>
      <c r="J752" s="6"/>
    </row>
    <row r="753">
      <c r="D753" s="68"/>
      <c r="F753" s="69"/>
      <c r="I753" s="69"/>
      <c r="J753" s="6"/>
    </row>
    <row r="754">
      <c r="D754" s="68"/>
      <c r="F754" s="69"/>
      <c r="I754" s="69"/>
      <c r="J754" s="6"/>
    </row>
    <row r="755">
      <c r="D755" s="68"/>
      <c r="F755" s="69"/>
      <c r="I755" s="69"/>
      <c r="J755" s="6"/>
    </row>
    <row r="756">
      <c r="D756" s="68"/>
      <c r="F756" s="69"/>
      <c r="I756" s="69"/>
      <c r="J756" s="6"/>
    </row>
    <row r="757">
      <c r="D757" s="68"/>
      <c r="F757" s="69"/>
      <c r="I757" s="69"/>
      <c r="J757" s="6"/>
    </row>
    <row r="758">
      <c r="D758" s="68"/>
      <c r="F758" s="69"/>
      <c r="I758" s="69"/>
      <c r="J758" s="6"/>
    </row>
    <row r="759">
      <c r="D759" s="68"/>
      <c r="F759" s="69"/>
      <c r="I759" s="69"/>
      <c r="J759" s="6"/>
    </row>
    <row r="760">
      <c r="D760" s="68"/>
      <c r="F760" s="69"/>
      <c r="I760" s="69"/>
      <c r="J760" s="6"/>
    </row>
    <row r="761">
      <c r="D761" s="68"/>
      <c r="F761" s="69"/>
      <c r="I761" s="69"/>
      <c r="J761" s="6"/>
    </row>
    <row r="762">
      <c r="D762" s="68"/>
      <c r="F762" s="69"/>
      <c r="I762" s="69"/>
      <c r="J762" s="6"/>
    </row>
    <row r="763">
      <c r="D763" s="68"/>
      <c r="F763" s="69"/>
      <c r="I763" s="69"/>
      <c r="J763" s="6"/>
    </row>
    <row r="764">
      <c r="D764" s="68"/>
      <c r="F764" s="69"/>
      <c r="I764" s="69"/>
      <c r="J764" s="6"/>
    </row>
    <row r="765">
      <c r="D765" s="68"/>
      <c r="F765" s="69"/>
      <c r="I765" s="69"/>
      <c r="J765" s="6"/>
    </row>
    <row r="766">
      <c r="D766" s="68"/>
      <c r="F766" s="69"/>
      <c r="I766" s="69"/>
      <c r="J766" s="6"/>
    </row>
    <row r="767">
      <c r="D767" s="68"/>
      <c r="F767" s="69"/>
      <c r="I767" s="69"/>
      <c r="J767" s="6"/>
    </row>
    <row r="768">
      <c r="D768" s="68"/>
      <c r="F768" s="69"/>
      <c r="I768" s="69"/>
      <c r="J768" s="6"/>
    </row>
    <row r="769">
      <c r="D769" s="68"/>
      <c r="F769" s="69"/>
      <c r="I769" s="69"/>
      <c r="J769" s="6"/>
    </row>
    <row r="770">
      <c r="D770" s="68"/>
      <c r="F770" s="69"/>
      <c r="I770" s="69"/>
      <c r="J770" s="6"/>
    </row>
    <row r="771">
      <c r="D771" s="68"/>
      <c r="F771" s="69"/>
      <c r="I771" s="69"/>
      <c r="J771" s="6"/>
    </row>
    <row r="772">
      <c r="D772" s="68"/>
      <c r="F772" s="69"/>
      <c r="I772" s="69"/>
      <c r="J772" s="6"/>
    </row>
    <row r="773">
      <c r="D773" s="68"/>
      <c r="F773" s="69"/>
      <c r="I773" s="69"/>
      <c r="J773" s="6"/>
    </row>
    <row r="774">
      <c r="D774" s="68"/>
      <c r="F774" s="69"/>
      <c r="I774" s="69"/>
      <c r="J774" s="6"/>
    </row>
    <row r="775">
      <c r="D775" s="68"/>
      <c r="F775" s="69"/>
      <c r="I775" s="69"/>
      <c r="J775" s="6"/>
    </row>
    <row r="776">
      <c r="D776" s="68"/>
      <c r="F776" s="69"/>
      <c r="I776" s="69"/>
      <c r="J776" s="6"/>
    </row>
    <row r="777">
      <c r="D777" s="68"/>
      <c r="F777" s="69"/>
      <c r="I777" s="69"/>
      <c r="J777" s="6"/>
    </row>
    <row r="778">
      <c r="D778" s="68"/>
      <c r="F778" s="69"/>
      <c r="I778" s="69"/>
      <c r="J778" s="6"/>
    </row>
    <row r="779">
      <c r="D779" s="68"/>
      <c r="F779" s="69"/>
      <c r="I779" s="69"/>
      <c r="J779" s="6"/>
    </row>
    <row r="780">
      <c r="D780" s="68"/>
      <c r="F780" s="69"/>
      <c r="I780" s="69"/>
      <c r="J780" s="6"/>
    </row>
    <row r="781">
      <c r="D781" s="68"/>
      <c r="F781" s="69"/>
      <c r="I781" s="69"/>
      <c r="J781" s="6"/>
    </row>
    <row r="782">
      <c r="D782" s="68"/>
      <c r="F782" s="69"/>
      <c r="I782" s="69"/>
      <c r="J782" s="6"/>
    </row>
    <row r="783">
      <c r="D783" s="68"/>
      <c r="F783" s="69"/>
      <c r="I783" s="69"/>
      <c r="J783" s="6"/>
    </row>
    <row r="784">
      <c r="D784" s="68"/>
      <c r="F784" s="69"/>
      <c r="I784" s="69"/>
      <c r="J784" s="6"/>
    </row>
    <row r="785">
      <c r="D785" s="68"/>
      <c r="F785" s="69"/>
      <c r="I785" s="69"/>
      <c r="J785" s="6"/>
    </row>
    <row r="786">
      <c r="D786" s="68"/>
      <c r="F786" s="69"/>
      <c r="I786" s="69"/>
      <c r="J786" s="6"/>
    </row>
    <row r="787">
      <c r="D787" s="68"/>
      <c r="F787" s="69"/>
      <c r="I787" s="69"/>
      <c r="J787" s="6"/>
    </row>
    <row r="788">
      <c r="D788" s="68"/>
      <c r="F788" s="69"/>
      <c r="I788" s="69"/>
      <c r="J788" s="6"/>
    </row>
    <row r="789">
      <c r="D789" s="68"/>
      <c r="F789" s="69"/>
      <c r="I789" s="69"/>
      <c r="J789" s="6"/>
    </row>
    <row r="790">
      <c r="D790" s="68"/>
      <c r="F790" s="69"/>
      <c r="I790" s="69"/>
      <c r="J790" s="6"/>
    </row>
    <row r="791">
      <c r="D791" s="68"/>
      <c r="F791" s="69"/>
      <c r="I791" s="69"/>
      <c r="J791" s="6"/>
    </row>
    <row r="792">
      <c r="D792" s="68"/>
      <c r="F792" s="69"/>
      <c r="I792" s="69"/>
      <c r="J792" s="6"/>
    </row>
    <row r="793">
      <c r="D793" s="68"/>
      <c r="F793" s="69"/>
      <c r="I793" s="69"/>
      <c r="J793" s="6"/>
    </row>
    <row r="794">
      <c r="D794" s="68"/>
      <c r="F794" s="69"/>
      <c r="I794" s="69"/>
      <c r="J794" s="6"/>
    </row>
    <row r="795">
      <c r="D795" s="68"/>
      <c r="F795" s="69"/>
      <c r="I795" s="69"/>
      <c r="J795" s="6"/>
    </row>
    <row r="796">
      <c r="D796" s="68"/>
      <c r="F796" s="69"/>
      <c r="I796" s="69"/>
      <c r="J796" s="6"/>
    </row>
    <row r="797">
      <c r="D797" s="68"/>
      <c r="F797" s="69"/>
      <c r="I797" s="69"/>
      <c r="J797" s="6"/>
    </row>
    <row r="798">
      <c r="D798" s="68"/>
      <c r="F798" s="69"/>
      <c r="I798" s="69"/>
      <c r="J798" s="6"/>
    </row>
    <row r="799">
      <c r="D799" s="68"/>
      <c r="F799" s="69"/>
      <c r="I799" s="69"/>
      <c r="J799" s="6"/>
    </row>
    <row r="800">
      <c r="D800" s="68"/>
      <c r="F800" s="69"/>
      <c r="I800" s="69"/>
      <c r="J800" s="6"/>
    </row>
    <row r="801">
      <c r="D801" s="68"/>
      <c r="F801" s="69"/>
      <c r="I801" s="69"/>
      <c r="J801" s="6"/>
    </row>
    <row r="802">
      <c r="D802" s="68"/>
      <c r="F802" s="69"/>
      <c r="I802" s="69"/>
      <c r="J802" s="6"/>
    </row>
    <row r="803">
      <c r="D803" s="68"/>
      <c r="F803" s="69"/>
      <c r="I803" s="69"/>
      <c r="J803" s="6"/>
    </row>
    <row r="804">
      <c r="D804" s="68"/>
      <c r="F804" s="69"/>
      <c r="I804" s="69"/>
      <c r="J804" s="6"/>
    </row>
    <row r="805">
      <c r="D805" s="68"/>
      <c r="F805" s="69"/>
      <c r="I805" s="69"/>
      <c r="J805" s="6"/>
    </row>
    <row r="806">
      <c r="D806" s="68"/>
      <c r="F806" s="69"/>
      <c r="I806" s="69"/>
      <c r="J806" s="6"/>
    </row>
    <row r="807">
      <c r="D807" s="68"/>
      <c r="F807" s="69"/>
      <c r="I807" s="69"/>
      <c r="J807" s="6"/>
    </row>
    <row r="808">
      <c r="D808" s="68"/>
      <c r="F808" s="69"/>
      <c r="I808" s="69"/>
      <c r="J808" s="6"/>
    </row>
    <row r="809">
      <c r="D809" s="68"/>
      <c r="F809" s="69"/>
      <c r="I809" s="69"/>
      <c r="J809" s="6"/>
    </row>
    <row r="810">
      <c r="D810" s="68"/>
      <c r="F810" s="69"/>
      <c r="I810" s="69"/>
      <c r="J810" s="6"/>
    </row>
    <row r="811">
      <c r="D811" s="68"/>
      <c r="F811" s="69"/>
      <c r="I811" s="69"/>
      <c r="J811" s="6"/>
    </row>
    <row r="812">
      <c r="D812" s="68"/>
      <c r="F812" s="69"/>
      <c r="I812" s="69"/>
      <c r="J812" s="6"/>
    </row>
    <row r="813">
      <c r="D813" s="68"/>
      <c r="F813" s="69"/>
      <c r="I813" s="69"/>
      <c r="J813" s="6"/>
    </row>
    <row r="814">
      <c r="D814" s="68"/>
      <c r="F814" s="69"/>
      <c r="I814" s="69"/>
      <c r="J814" s="6"/>
    </row>
    <row r="815">
      <c r="D815" s="68"/>
      <c r="F815" s="69"/>
      <c r="I815" s="69"/>
      <c r="J815" s="6"/>
    </row>
    <row r="816">
      <c r="D816" s="68"/>
      <c r="F816" s="69"/>
      <c r="I816" s="69"/>
      <c r="J816" s="6"/>
    </row>
    <row r="817">
      <c r="D817" s="68"/>
      <c r="F817" s="69"/>
      <c r="I817" s="69"/>
      <c r="J817" s="6"/>
    </row>
    <row r="818">
      <c r="D818" s="68"/>
      <c r="F818" s="69"/>
      <c r="I818" s="69"/>
      <c r="J818" s="6"/>
    </row>
    <row r="819">
      <c r="D819" s="68"/>
      <c r="F819" s="69"/>
      <c r="I819" s="69"/>
      <c r="J819" s="6"/>
    </row>
    <row r="820">
      <c r="D820" s="68"/>
      <c r="F820" s="69"/>
      <c r="I820" s="69"/>
      <c r="J820" s="6"/>
    </row>
    <row r="821">
      <c r="D821" s="68"/>
      <c r="F821" s="69"/>
      <c r="I821" s="69"/>
      <c r="J821" s="6"/>
    </row>
    <row r="822">
      <c r="D822" s="68"/>
      <c r="F822" s="69"/>
      <c r="I822" s="69"/>
      <c r="J822" s="6"/>
    </row>
    <row r="823">
      <c r="D823" s="68"/>
      <c r="F823" s="69"/>
      <c r="I823" s="69"/>
      <c r="J823" s="6"/>
    </row>
    <row r="824">
      <c r="D824" s="68"/>
      <c r="F824" s="69"/>
      <c r="I824" s="69"/>
      <c r="J824" s="6"/>
    </row>
    <row r="825">
      <c r="D825" s="68"/>
      <c r="F825" s="69"/>
      <c r="I825" s="69"/>
      <c r="J825" s="6"/>
    </row>
    <row r="826">
      <c r="D826" s="68"/>
      <c r="F826" s="69"/>
      <c r="I826" s="69"/>
      <c r="J826" s="6"/>
    </row>
    <row r="827">
      <c r="D827" s="68"/>
      <c r="F827" s="69"/>
      <c r="I827" s="69"/>
      <c r="J827" s="6"/>
    </row>
    <row r="828">
      <c r="D828" s="68"/>
      <c r="F828" s="69"/>
      <c r="I828" s="69"/>
      <c r="J828" s="6"/>
    </row>
    <row r="829">
      <c r="D829" s="68"/>
      <c r="F829" s="69"/>
      <c r="I829" s="69"/>
      <c r="J829" s="6"/>
    </row>
    <row r="830">
      <c r="D830" s="68"/>
      <c r="F830" s="69"/>
      <c r="I830" s="69"/>
      <c r="J830" s="6"/>
    </row>
    <row r="831">
      <c r="D831" s="68"/>
      <c r="F831" s="69"/>
      <c r="I831" s="69"/>
      <c r="J831" s="6"/>
    </row>
    <row r="832">
      <c r="D832" s="68"/>
      <c r="F832" s="69"/>
      <c r="I832" s="69"/>
      <c r="J832" s="6"/>
    </row>
    <row r="833">
      <c r="D833" s="68"/>
      <c r="F833" s="69"/>
      <c r="I833" s="69"/>
      <c r="J833" s="6"/>
    </row>
    <row r="834">
      <c r="D834" s="68"/>
      <c r="F834" s="69"/>
      <c r="I834" s="69"/>
      <c r="J834" s="6"/>
    </row>
    <row r="835">
      <c r="D835" s="68"/>
      <c r="F835" s="69"/>
      <c r="I835" s="69"/>
      <c r="J835" s="6"/>
    </row>
    <row r="836">
      <c r="D836" s="68"/>
      <c r="F836" s="69"/>
      <c r="I836" s="69"/>
      <c r="J836" s="6"/>
    </row>
    <row r="837">
      <c r="D837" s="68"/>
      <c r="F837" s="69"/>
      <c r="I837" s="69"/>
      <c r="J837" s="6"/>
    </row>
    <row r="838">
      <c r="D838" s="68"/>
      <c r="F838" s="69"/>
      <c r="I838" s="69"/>
      <c r="J838" s="6"/>
    </row>
    <row r="839">
      <c r="D839" s="68"/>
      <c r="F839" s="69"/>
      <c r="I839" s="69"/>
      <c r="J839" s="6"/>
    </row>
    <row r="840">
      <c r="D840" s="68"/>
      <c r="F840" s="69"/>
      <c r="I840" s="69"/>
      <c r="J840" s="6"/>
    </row>
    <row r="841">
      <c r="D841" s="68"/>
      <c r="F841" s="69"/>
      <c r="I841" s="69"/>
      <c r="J841" s="6"/>
    </row>
    <row r="842">
      <c r="D842" s="68"/>
      <c r="F842" s="69"/>
      <c r="I842" s="69"/>
      <c r="J842" s="6"/>
    </row>
    <row r="843">
      <c r="D843" s="68"/>
      <c r="F843" s="69"/>
      <c r="I843" s="69"/>
      <c r="J843" s="6"/>
    </row>
    <row r="844">
      <c r="D844" s="68"/>
      <c r="F844" s="69"/>
      <c r="I844" s="69"/>
      <c r="J844" s="6"/>
    </row>
    <row r="845">
      <c r="D845" s="68"/>
      <c r="F845" s="69"/>
      <c r="I845" s="69"/>
      <c r="J845" s="6"/>
    </row>
    <row r="846">
      <c r="D846" s="68"/>
      <c r="F846" s="69"/>
      <c r="I846" s="69"/>
      <c r="J846" s="6"/>
    </row>
    <row r="847">
      <c r="D847" s="68"/>
      <c r="F847" s="69"/>
      <c r="I847" s="69"/>
      <c r="J847" s="6"/>
    </row>
    <row r="848">
      <c r="D848" s="68"/>
      <c r="F848" s="69"/>
      <c r="I848" s="69"/>
      <c r="J848" s="6"/>
    </row>
    <row r="849">
      <c r="D849" s="68"/>
      <c r="F849" s="69"/>
      <c r="I849" s="69"/>
      <c r="J849" s="6"/>
    </row>
    <row r="850">
      <c r="D850" s="68"/>
      <c r="F850" s="69"/>
      <c r="I850" s="69"/>
      <c r="J850" s="6"/>
    </row>
    <row r="851">
      <c r="D851" s="68"/>
      <c r="F851" s="69"/>
      <c r="I851" s="69"/>
      <c r="J851" s="6"/>
    </row>
    <row r="852">
      <c r="D852" s="68"/>
      <c r="F852" s="69"/>
      <c r="I852" s="69"/>
      <c r="J852" s="6"/>
    </row>
    <row r="853">
      <c r="D853" s="68"/>
      <c r="F853" s="69"/>
      <c r="I853" s="69"/>
      <c r="J853" s="6"/>
    </row>
    <row r="854">
      <c r="D854" s="68"/>
      <c r="F854" s="69"/>
      <c r="I854" s="69"/>
      <c r="J854" s="6"/>
    </row>
    <row r="855">
      <c r="D855" s="68"/>
      <c r="F855" s="69"/>
      <c r="I855" s="69"/>
      <c r="J855" s="6"/>
    </row>
    <row r="856">
      <c r="D856" s="68"/>
      <c r="F856" s="69"/>
      <c r="I856" s="69"/>
      <c r="J856" s="6"/>
    </row>
    <row r="857">
      <c r="D857" s="68"/>
      <c r="F857" s="69"/>
      <c r="I857" s="69"/>
      <c r="J857" s="6"/>
    </row>
    <row r="858">
      <c r="D858" s="68"/>
      <c r="F858" s="69"/>
      <c r="I858" s="69"/>
      <c r="J858" s="6"/>
    </row>
    <row r="859">
      <c r="D859" s="68"/>
      <c r="F859" s="69"/>
      <c r="I859" s="69"/>
      <c r="J859" s="6"/>
    </row>
    <row r="860">
      <c r="D860" s="68"/>
      <c r="F860" s="69"/>
      <c r="I860" s="69"/>
      <c r="J860" s="6"/>
    </row>
    <row r="861">
      <c r="D861" s="68"/>
      <c r="F861" s="69"/>
      <c r="I861" s="69"/>
      <c r="J861" s="6"/>
    </row>
    <row r="862">
      <c r="D862" s="68"/>
      <c r="F862" s="69"/>
      <c r="I862" s="69"/>
      <c r="J862" s="6"/>
    </row>
    <row r="863">
      <c r="D863" s="68"/>
      <c r="F863" s="69"/>
      <c r="I863" s="69"/>
      <c r="J863" s="6"/>
    </row>
    <row r="864">
      <c r="D864" s="68"/>
      <c r="F864" s="69"/>
      <c r="I864" s="69"/>
      <c r="J864" s="6"/>
    </row>
    <row r="865">
      <c r="D865" s="68"/>
      <c r="F865" s="69"/>
      <c r="I865" s="69"/>
      <c r="J865" s="6"/>
    </row>
    <row r="866">
      <c r="D866" s="68"/>
      <c r="F866" s="69"/>
      <c r="I866" s="69"/>
      <c r="J866" s="6"/>
    </row>
    <row r="867">
      <c r="D867" s="68"/>
      <c r="F867" s="69"/>
      <c r="I867" s="69"/>
      <c r="J867" s="6"/>
    </row>
    <row r="868">
      <c r="D868" s="68"/>
      <c r="F868" s="69"/>
      <c r="I868" s="69"/>
      <c r="J868" s="6"/>
    </row>
    <row r="869">
      <c r="D869" s="68"/>
      <c r="F869" s="69"/>
      <c r="I869" s="69"/>
      <c r="J869" s="6"/>
    </row>
    <row r="870">
      <c r="D870" s="68"/>
      <c r="F870" s="69"/>
      <c r="I870" s="69"/>
      <c r="J870" s="6"/>
    </row>
    <row r="871">
      <c r="D871" s="68"/>
      <c r="F871" s="69"/>
      <c r="I871" s="69"/>
      <c r="J871" s="6"/>
    </row>
    <row r="872">
      <c r="D872" s="68"/>
      <c r="F872" s="69"/>
      <c r="I872" s="69"/>
      <c r="J872" s="6"/>
    </row>
    <row r="873">
      <c r="D873" s="68"/>
      <c r="F873" s="69"/>
      <c r="I873" s="69"/>
      <c r="J873" s="6"/>
    </row>
    <row r="874">
      <c r="D874" s="68"/>
      <c r="F874" s="69"/>
      <c r="I874" s="69"/>
      <c r="J874" s="6"/>
    </row>
    <row r="875">
      <c r="D875" s="68"/>
      <c r="F875" s="69"/>
      <c r="I875" s="69"/>
      <c r="J875" s="6"/>
    </row>
    <row r="876">
      <c r="D876" s="68"/>
      <c r="F876" s="69"/>
      <c r="I876" s="69"/>
      <c r="J876" s="6"/>
    </row>
    <row r="877">
      <c r="D877" s="68"/>
      <c r="F877" s="69"/>
      <c r="I877" s="69"/>
      <c r="J877" s="6"/>
    </row>
    <row r="878">
      <c r="D878" s="68"/>
      <c r="F878" s="69"/>
      <c r="I878" s="69"/>
      <c r="J878" s="6"/>
    </row>
    <row r="879">
      <c r="D879" s="68"/>
      <c r="F879" s="69"/>
      <c r="I879" s="69"/>
      <c r="J879" s="6"/>
    </row>
    <row r="880">
      <c r="D880" s="68"/>
      <c r="F880" s="69"/>
      <c r="I880" s="69"/>
      <c r="J880" s="6"/>
    </row>
    <row r="881">
      <c r="D881" s="68"/>
      <c r="F881" s="69"/>
      <c r="I881" s="69"/>
      <c r="J881" s="6"/>
    </row>
    <row r="882">
      <c r="D882" s="68"/>
      <c r="F882" s="69"/>
      <c r="I882" s="69"/>
      <c r="J882" s="6"/>
    </row>
    <row r="883">
      <c r="D883" s="68"/>
      <c r="F883" s="69"/>
      <c r="I883" s="69"/>
      <c r="J883" s="6"/>
    </row>
    <row r="884">
      <c r="D884" s="68"/>
      <c r="F884" s="69"/>
      <c r="I884" s="69"/>
      <c r="J884" s="6"/>
    </row>
    <row r="885">
      <c r="D885" s="68"/>
      <c r="F885" s="69"/>
      <c r="I885" s="69"/>
      <c r="J885" s="6"/>
    </row>
    <row r="886">
      <c r="D886" s="68"/>
      <c r="F886" s="69"/>
      <c r="I886" s="69"/>
      <c r="J886" s="6"/>
    </row>
    <row r="887">
      <c r="D887" s="68"/>
      <c r="F887" s="69"/>
      <c r="I887" s="69"/>
      <c r="J887" s="6"/>
    </row>
    <row r="888">
      <c r="D888" s="68"/>
      <c r="F888" s="69"/>
      <c r="I888" s="69"/>
      <c r="J888" s="6"/>
    </row>
    <row r="889">
      <c r="D889" s="68"/>
      <c r="F889" s="69"/>
      <c r="I889" s="69"/>
      <c r="J889" s="6"/>
    </row>
    <row r="890">
      <c r="D890" s="68"/>
      <c r="F890" s="69"/>
      <c r="I890" s="69"/>
      <c r="J890" s="6"/>
    </row>
    <row r="891">
      <c r="D891" s="68"/>
      <c r="F891" s="69"/>
      <c r="I891" s="69"/>
      <c r="J891" s="6"/>
    </row>
    <row r="892">
      <c r="D892" s="68"/>
      <c r="F892" s="69"/>
      <c r="I892" s="69"/>
      <c r="J892" s="6"/>
    </row>
    <row r="893">
      <c r="D893" s="68"/>
      <c r="F893" s="69"/>
      <c r="I893" s="69"/>
      <c r="J893" s="6"/>
    </row>
    <row r="894">
      <c r="D894" s="68"/>
      <c r="F894" s="69"/>
      <c r="I894" s="69"/>
      <c r="J894" s="6"/>
    </row>
    <row r="895">
      <c r="D895" s="68"/>
      <c r="F895" s="69"/>
      <c r="I895" s="69"/>
      <c r="J895" s="6"/>
    </row>
    <row r="896">
      <c r="D896" s="68"/>
      <c r="F896" s="69"/>
      <c r="I896" s="69"/>
      <c r="J896" s="6"/>
    </row>
    <row r="897">
      <c r="D897" s="68"/>
      <c r="F897" s="69"/>
      <c r="I897" s="69"/>
      <c r="J897" s="6"/>
    </row>
    <row r="898">
      <c r="D898" s="68"/>
      <c r="F898" s="69"/>
      <c r="I898" s="69"/>
      <c r="J898" s="6"/>
    </row>
    <row r="899">
      <c r="D899" s="68"/>
      <c r="F899" s="69"/>
      <c r="I899" s="69"/>
      <c r="J899" s="6"/>
    </row>
    <row r="900">
      <c r="D900" s="68"/>
      <c r="F900" s="69"/>
      <c r="I900" s="69"/>
      <c r="J900" s="6"/>
    </row>
    <row r="901">
      <c r="D901" s="68"/>
      <c r="F901" s="69"/>
      <c r="I901" s="69"/>
      <c r="J901" s="6"/>
    </row>
    <row r="902">
      <c r="D902" s="68"/>
      <c r="F902" s="69"/>
      <c r="I902" s="69"/>
      <c r="J902" s="6"/>
    </row>
    <row r="903">
      <c r="D903" s="68"/>
      <c r="F903" s="69"/>
      <c r="I903" s="69"/>
      <c r="J903" s="6"/>
    </row>
    <row r="904">
      <c r="D904" s="68"/>
      <c r="F904" s="69"/>
      <c r="I904" s="69"/>
      <c r="J904" s="6"/>
    </row>
    <row r="905">
      <c r="D905" s="68"/>
      <c r="F905" s="69"/>
      <c r="I905" s="69"/>
      <c r="J905" s="6"/>
    </row>
    <row r="906">
      <c r="D906" s="68"/>
      <c r="F906" s="69"/>
      <c r="I906" s="69"/>
      <c r="J906" s="6"/>
    </row>
    <row r="907">
      <c r="D907" s="68"/>
      <c r="F907" s="69"/>
      <c r="I907" s="69"/>
      <c r="J907" s="6"/>
    </row>
    <row r="908">
      <c r="D908" s="68"/>
      <c r="F908" s="69"/>
      <c r="I908" s="69"/>
      <c r="J908" s="6"/>
    </row>
    <row r="909">
      <c r="D909" s="68"/>
      <c r="F909" s="69"/>
      <c r="I909" s="69"/>
      <c r="J909" s="6"/>
    </row>
    <row r="910">
      <c r="D910" s="68"/>
      <c r="F910" s="69"/>
      <c r="I910" s="69"/>
      <c r="J910" s="6"/>
    </row>
    <row r="911">
      <c r="D911" s="68"/>
      <c r="F911" s="69"/>
      <c r="I911" s="69"/>
      <c r="J911" s="6"/>
    </row>
    <row r="912">
      <c r="D912" s="68"/>
      <c r="F912" s="69"/>
      <c r="I912" s="69"/>
      <c r="J912" s="6"/>
    </row>
    <row r="913">
      <c r="D913" s="68"/>
      <c r="F913" s="69"/>
      <c r="I913" s="69"/>
      <c r="J913" s="6"/>
    </row>
    <row r="914">
      <c r="D914" s="68"/>
      <c r="F914" s="69"/>
      <c r="I914" s="69"/>
      <c r="J914" s="6"/>
    </row>
    <row r="915">
      <c r="D915" s="68"/>
      <c r="F915" s="69"/>
      <c r="I915" s="69"/>
      <c r="J915" s="6"/>
    </row>
    <row r="916">
      <c r="D916" s="68"/>
      <c r="F916" s="69"/>
      <c r="I916" s="69"/>
      <c r="J916" s="6"/>
    </row>
    <row r="917">
      <c r="D917" s="68"/>
      <c r="F917" s="69"/>
      <c r="I917" s="69"/>
      <c r="J917" s="6"/>
    </row>
    <row r="918">
      <c r="D918" s="68"/>
      <c r="F918" s="69"/>
      <c r="I918" s="69"/>
      <c r="J918" s="6"/>
    </row>
    <row r="919">
      <c r="D919" s="68"/>
      <c r="F919" s="69"/>
      <c r="I919" s="69"/>
      <c r="J919" s="6"/>
    </row>
    <row r="920">
      <c r="D920" s="68"/>
      <c r="F920" s="69"/>
      <c r="I920" s="69"/>
      <c r="J920" s="6"/>
    </row>
    <row r="921">
      <c r="D921" s="68"/>
      <c r="F921" s="69"/>
      <c r="I921" s="69"/>
      <c r="J921" s="6"/>
    </row>
    <row r="922">
      <c r="D922" s="68"/>
      <c r="F922" s="69"/>
      <c r="I922" s="69"/>
      <c r="J922" s="6"/>
    </row>
    <row r="923">
      <c r="D923" s="68"/>
      <c r="F923" s="69"/>
      <c r="I923" s="69"/>
      <c r="J923" s="6"/>
    </row>
    <row r="924">
      <c r="D924" s="68"/>
      <c r="F924" s="69"/>
      <c r="I924" s="69"/>
      <c r="J924" s="6"/>
    </row>
    <row r="925">
      <c r="D925" s="68"/>
      <c r="F925" s="69"/>
      <c r="I925" s="69"/>
      <c r="J925" s="6"/>
    </row>
    <row r="926">
      <c r="D926" s="68"/>
      <c r="F926" s="69"/>
      <c r="I926" s="69"/>
      <c r="J926" s="6"/>
    </row>
    <row r="927">
      <c r="D927" s="68"/>
      <c r="F927" s="69"/>
      <c r="I927" s="69"/>
      <c r="J927" s="6"/>
    </row>
    <row r="928">
      <c r="D928" s="68"/>
      <c r="F928" s="69"/>
      <c r="I928" s="69"/>
      <c r="J928" s="6"/>
    </row>
    <row r="929">
      <c r="D929" s="68"/>
      <c r="F929" s="69"/>
      <c r="I929" s="69"/>
      <c r="J929" s="6"/>
    </row>
    <row r="930">
      <c r="D930" s="68"/>
      <c r="F930" s="69"/>
      <c r="I930" s="69"/>
      <c r="J930" s="6"/>
    </row>
    <row r="931">
      <c r="D931" s="68"/>
      <c r="F931" s="69"/>
      <c r="I931" s="69"/>
      <c r="J931" s="6"/>
    </row>
    <row r="932">
      <c r="D932" s="68"/>
      <c r="F932" s="69"/>
      <c r="I932" s="69"/>
      <c r="J932" s="6"/>
    </row>
    <row r="933">
      <c r="D933" s="68"/>
      <c r="F933" s="69"/>
      <c r="I933" s="69"/>
      <c r="J933" s="6"/>
    </row>
    <row r="934">
      <c r="D934" s="68"/>
      <c r="F934" s="69"/>
      <c r="I934" s="69"/>
      <c r="J934" s="6"/>
    </row>
    <row r="935">
      <c r="D935" s="68"/>
      <c r="F935" s="69"/>
      <c r="I935" s="69"/>
      <c r="J935" s="6"/>
    </row>
    <row r="936">
      <c r="D936" s="68"/>
      <c r="F936" s="69"/>
      <c r="I936" s="69"/>
      <c r="J936" s="6"/>
    </row>
    <row r="937">
      <c r="D937" s="68"/>
      <c r="F937" s="69"/>
      <c r="I937" s="69"/>
      <c r="J937" s="6"/>
    </row>
    <row r="938">
      <c r="D938" s="68"/>
      <c r="F938" s="69"/>
      <c r="I938" s="69"/>
      <c r="J938" s="6"/>
    </row>
    <row r="939">
      <c r="D939" s="68"/>
      <c r="F939" s="69"/>
      <c r="I939" s="69"/>
      <c r="J939" s="6"/>
    </row>
    <row r="940">
      <c r="D940" s="68"/>
      <c r="F940" s="69"/>
      <c r="I940" s="69"/>
      <c r="J940" s="6"/>
    </row>
    <row r="941">
      <c r="D941" s="68"/>
      <c r="F941" s="69"/>
      <c r="I941" s="69"/>
      <c r="J941" s="6"/>
    </row>
    <row r="942">
      <c r="D942" s="68"/>
      <c r="F942" s="69"/>
      <c r="I942" s="69"/>
      <c r="J942" s="6"/>
    </row>
    <row r="943">
      <c r="D943" s="68"/>
      <c r="F943" s="69"/>
      <c r="I943" s="69"/>
      <c r="J943" s="6"/>
    </row>
    <row r="944">
      <c r="D944" s="68"/>
      <c r="F944" s="69"/>
      <c r="I944" s="69"/>
      <c r="J944" s="6"/>
    </row>
    <row r="945">
      <c r="D945" s="68"/>
      <c r="F945" s="69"/>
      <c r="I945" s="69"/>
      <c r="J945" s="6"/>
    </row>
    <row r="946">
      <c r="D946" s="68"/>
      <c r="F946" s="69"/>
      <c r="I946" s="69"/>
      <c r="J946" s="6"/>
    </row>
    <row r="947">
      <c r="D947" s="68"/>
      <c r="F947" s="69"/>
      <c r="I947" s="69"/>
      <c r="J947" s="6"/>
    </row>
    <row r="948">
      <c r="D948" s="68"/>
      <c r="F948" s="69"/>
      <c r="I948" s="69"/>
      <c r="J948" s="6"/>
    </row>
    <row r="949">
      <c r="D949" s="68"/>
      <c r="F949" s="69"/>
      <c r="I949" s="69"/>
      <c r="J949" s="6"/>
    </row>
    <row r="950">
      <c r="D950" s="68"/>
      <c r="F950" s="69"/>
      <c r="I950" s="69"/>
      <c r="J950" s="6"/>
    </row>
    <row r="951">
      <c r="D951" s="68"/>
      <c r="F951" s="69"/>
      <c r="I951" s="69"/>
      <c r="J951" s="6"/>
    </row>
    <row r="952">
      <c r="D952" s="68"/>
      <c r="F952" s="69"/>
      <c r="I952" s="69"/>
      <c r="J952" s="6"/>
    </row>
    <row r="953">
      <c r="D953" s="68"/>
      <c r="F953" s="69"/>
      <c r="I953" s="69"/>
      <c r="J953" s="6"/>
    </row>
    <row r="954">
      <c r="D954" s="68"/>
      <c r="F954" s="69"/>
      <c r="I954" s="69"/>
      <c r="J954" s="6"/>
    </row>
    <row r="955">
      <c r="D955" s="68"/>
      <c r="F955" s="69"/>
      <c r="I955" s="69"/>
      <c r="J955" s="6"/>
    </row>
    <row r="956">
      <c r="D956" s="68"/>
      <c r="F956" s="69"/>
      <c r="I956" s="69"/>
      <c r="J956" s="6"/>
    </row>
    <row r="957">
      <c r="D957" s="68"/>
      <c r="F957" s="69"/>
      <c r="I957" s="69"/>
      <c r="J957" s="6"/>
    </row>
    <row r="958">
      <c r="D958" s="68"/>
      <c r="F958" s="69"/>
      <c r="I958" s="69"/>
      <c r="J958" s="6"/>
    </row>
    <row r="959">
      <c r="D959" s="68"/>
      <c r="F959" s="69"/>
      <c r="I959" s="69"/>
      <c r="J959" s="6"/>
    </row>
    <row r="960">
      <c r="D960" s="68"/>
      <c r="F960" s="69"/>
      <c r="I960" s="69"/>
      <c r="J960" s="6"/>
    </row>
    <row r="961">
      <c r="D961" s="68"/>
      <c r="F961" s="69"/>
      <c r="I961" s="69"/>
      <c r="J961" s="6"/>
    </row>
    <row r="962">
      <c r="D962" s="68"/>
      <c r="F962" s="69"/>
      <c r="I962" s="69"/>
      <c r="J962" s="6"/>
    </row>
    <row r="963">
      <c r="D963" s="68"/>
      <c r="F963" s="69"/>
      <c r="I963" s="69"/>
      <c r="J963" s="6"/>
    </row>
    <row r="964">
      <c r="D964" s="68"/>
      <c r="F964" s="69"/>
      <c r="I964" s="69"/>
      <c r="J964" s="6"/>
    </row>
    <row r="965">
      <c r="D965" s="68"/>
      <c r="F965" s="69"/>
      <c r="I965" s="69"/>
      <c r="J965" s="6"/>
    </row>
    <row r="966">
      <c r="D966" s="68"/>
      <c r="F966" s="69"/>
      <c r="I966" s="69"/>
      <c r="J966" s="6"/>
    </row>
    <row r="967">
      <c r="D967" s="68"/>
      <c r="F967" s="69"/>
      <c r="I967" s="69"/>
      <c r="J967" s="6"/>
    </row>
    <row r="968">
      <c r="D968" s="68"/>
      <c r="F968" s="69"/>
      <c r="I968" s="69"/>
      <c r="J968" s="6"/>
    </row>
    <row r="969">
      <c r="D969" s="68"/>
      <c r="F969" s="69"/>
      <c r="I969" s="69"/>
      <c r="J969" s="6"/>
    </row>
    <row r="970">
      <c r="D970" s="68"/>
      <c r="F970" s="69"/>
      <c r="I970" s="69"/>
      <c r="J970" s="6"/>
    </row>
    <row r="971">
      <c r="D971" s="68"/>
      <c r="F971" s="69"/>
      <c r="I971" s="69"/>
      <c r="J971" s="6"/>
    </row>
    <row r="972">
      <c r="D972" s="68"/>
      <c r="F972" s="69"/>
      <c r="I972" s="69"/>
      <c r="J972" s="6"/>
    </row>
    <row r="973">
      <c r="D973" s="68"/>
      <c r="F973" s="69"/>
      <c r="I973" s="69"/>
      <c r="J973" s="6"/>
    </row>
    <row r="974">
      <c r="D974" s="68"/>
      <c r="F974" s="69"/>
      <c r="I974" s="69"/>
      <c r="J974" s="6"/>
    </row>
    <row r="975">
      <c r="D975" s="68"/>
      <c r="F975" s="69"/>
      <c r="I975" s="69"/>
      <c r="J975" s="6"/>
    </row>
    <row r="976">
      <c r="D976" s="68"/>
      <c r="F976" s="69"/>
      <c r="I976" s="69"/>
      <c r="J976" s="6"/>
    </row>
    <row r="977">
      <c r="D977" s="68"/>
      <c r="F977" s="69"/>
      <c r="I977" s="69"/>
      <c r="J977" s="6"/>
    </row>
    <row r="978">
      <c r="D978" s="68"/>
      <c r="F978" s="69"/>
      <c r="I978" s="69"/>
      <c r="J978" s="6"/>
    </row>
    <row r="979">
      <c r="D979" s="68"/>
      <c r="F979" s="69"/>
      <c r="I979" s="69"/>
      <c r="J979" s="6"/>
    </row>
    <row r="980">
      <c r="D980" s="68"/>
      <c r="F980" s="69"/>
      <c r="I980" s="69"/>
      <c r="J980" s="6"/>
    </row>
    <row r="981">
      <c r="D981" s="68"/>
      <c r="F981" s="69"/>
      <c r="I981" s="69"/>
      <c r="J981" s="6"/>
    </row>
    <row r="982">
      <c r="D982" s="68"/>
      <c r="F982" s="69"/>
      <c r="I982" s="69"/>
      <c r="J982" s="6"/>
    </row>
    <row r="983">
      <c r="D983" s="68"/>
      <c r="F983" s="69"/>
      <c r="I983" s="69"/>
      <c r="J983" s="6"/>
    </row>
    <row r="984">
      <c r="D984" s="68"/>
      <c r="F984" s="69"/>
      <c r="I984" s="69"/>
      <c r="J984" s="6"/>
    </row>
    <row r="985">
      <c r="D985" s="68"/>
      <c r="F985" s="69"/>
      <c r="I985" s="69"/>
      <c r="J985" s="6"/>
    </row>
    <row r="986">
      <c r="D986" s="68"/>
      <c r="F986" s="69"/>
      <c r="I986" s="69"/>
      <c r="J986" s="6"/>
    </row>
    <row r="987">
      <c r="D987" s="68"/>
      <c r="F987" s="69"/>
      <c r="I987" s="69"/>
      <c r="J987" s="6"/>
    </row>
    <row r="988">
      <c r="D988" s="68"/>
      <c r="F988" s="69"/>
      <c r="I988" s="69"/>
      <c r="J988" s="6"/>
    </row>
    <row r="989">
      <c r="D989" s="68"/>
      <c r="F989" s="69"/>
      <c r="I989" s="69"/>
      <c r="J989" s="6"/>
    </row>
    <row r="990">
      <c r="D990" s="68"/>
      <c r="F990" s="69"/>
      <c r="I990" s="69"/>
      <c r="J990" s="6"/>
    </row>
    <row r="991">
      <c r="D991" s="68"/>
      <c r="F991" s="69"/>
      <c r="I991" s="69"/>
      <c r="J991" s="6"/>
    </row>
    <row r="992">
      <c r="D992" s="68"/>
      <c r="F992" s="69"/>
      <c r="I992" s="69"/>
      <c r="J992" s="6"/>
    </row>
    <row r="993">
      <c r="D993" s="68"/>
      <c r="F993" s="69"/>
      <c r="I993" s="69"/>
      <c r="J993" s="6"/>
    </row>
    <row r="994">
      <c r="D994" s="68"/>
      <c r="F994" s="69"/>
      <c r="I994" s="69"/>
      <c r="J994" s="6"/>
    </row>
    <row r="995">
      <c r="D995" s="68"/>
      <c r="F995" s="69"/>
      <c r="I995" s="69"/>
      <c r="J995" s="6"/>
    </row>
    <row r="996">
      <c r="D996" s="68"/>
      <c r="F996" s="69"/>
      <c r="I996" s="69"/>
      <c r="J996" s="6"/>
    </row>
    <row r="997">
      <c r="D997" s="68"/>
      <c r="F997" s="69"/>
      <c r="I997" s="69"/>
      <c r="J997" s="6"/>
    </row>
    <row r="998">
      <c r="D998" s="68"/>
      <c r="F998" s="69"/>
      <c r="I998" s="69"/>
      <c r="J998" s="6"/>
    </row>
    <row r="999">
      <c r="D999" s="68"/>
      <c r="F999" s="69"/>
      <c r="I999" s="69"/>
      <c r="J999" s="6"/>
    </row>
  </sheetData>
  <autoFilter ref="$A$2:$K$998">
    <sortState ref="A2:K998">
      <sortCondition ref="B2:B998"/>
    </sortState>
  </autoFilter>
  <mergeCells count="2">
    <mergeCell ref="G1:I1"/>
    <mergeCell ref="D1:F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75"/>
    <col customWidth="1" min="13" max="13" width="48.25"/>
    <col customWidth="1" min="14" max="14" width="44.75"/>
  </cols>
  <sheetData>
    <row r="1">
      <c r="A1" s="72" t="s">
        <v>75</v>
      </c>
    </row>
    <row r="2">
      <c r="A2" s="73" t="s">
        <v>76</v>
      </c>
      <c r="B2" s="74">
        <v>0.15</v>
      </c>
      <c r="I2" s="72"/>
    </row>
    <row r="3">
      <c r="A3" s="72" t="s">
        <v>77</v>
      </c>
      <c r="B3" s="75">
        <f>MAX('Modelos actuales'!U2:U8)</f>
        <v>68.496</v>
      </c>
      <c r="E3" s="73" t="s">
        <v>78</v>
      </c>
    </row>
    <row r="4">
      <c r="A4" s="72" t="s">
        <v>79</v>
      </c>
      <c r="B4" s="73">
        <v>30.0</v>
      </c>
      <c r="F4" s="30">
        <f>AVERAGE(F7:F16)</f>
        <v>16.21</v>
      </c>
    </row>
    <row r="7">
      <c r="A7" s="76"/>
      <c r="B7" s="76"/>
      <c r="E7" s="77" t="s">
        <v>80</v>
      </c>
      <c r="F7" s="30">
        <f t="shared" ref="F7:F16" si="1">REPLACE(E7,FIND(".",E7),1,",")*1</f>
        <v>38.29</v>
      </c>
    </row>
    <row r="8">
      <c r="E8" s="78" t="s">
        <v>81</v>
      </c>
      <c r="F8" s="30">
        <f t="shared" si="1"/>
        <v>3.65</v>
      </c>
    </row>
    <row r="9">
      <c r="E9" s="79">
        <v>45517.0</v>
      </c>
      <c r="F9" s="30">
        <f t="shared" si="1"/>
        <v>13.08</v>
      </c>
    </row>
    <row r="10">
      <c r="E10" s="78" t="s">
        <v>82</v>
      </c>
      <c r="F10" s="30">
        <f t="shared" si="1"/>
        <v>35.69</v>
      </c>
    </row>
    <row r="11">
      <c r="E11" s="77" t="s">
        <v>83</v>
      </c>
      <c r="F11" s="30">
        <f t="shared" si="1"/>
        <v>13.39</v>
      </c>
    </row>
    <row r="12">
      <c r="E12" s="78" t="s">
        <v>84</v>
      </c>
      <c r="F12" s="30">
        <f t="shared" si="1"/>
        <v>12.74</v>
      </c>
    </row>
    <row r="13">
      <c r="E13" s="77" t="s">
        <v>85</v>
      </c>
      <c r="F13" s="30">
        <f t="shared" si="1"/>
        <v>15.48</v>
      </c>
    </row>
    <row r="14">
      <c r="E14" s="78" t="s">
        <v>86</v>
      </c>
      <c r="F14" s="30">
        <f t="shared" si="1"/>
        <v>10.33</v>
      </c>
    </row>
    <row r="15">
      <c r="E15" s="77" t="s">
        <v>87</v>
      </c>
      <c r="F15" s="30">
        <f t="shared" si="1"/>
        <v>16.23</v>
      </c>
    </row>
    <row r="16">
      <c r="E16" s="78" t="s">
        <v>88</v>
      </c>
      <c r="F16" s="30">
        <f t="shared" si="1"/>
        <v>3.22</v>
      </c>
    </row>
  </sheetData>
  <drawing r:id="rId1"/>
</worksheet>
</file>