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4"/>
  </sheets>
  <definedNames>
    <definedName hidden="1" localSheetId="0" name="_xlnm._FilterDatabase">'Hoja 1'!$A$1:$X$8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P1">
      <text>
        <t xml:space="preserve">Fecha de evaluacion de modelos ya entrenados con partidos missing ("en produccion").</t>
      </text>
    </comment>
    <comment authorId="0" ref="Q1">
      <text>
        <t xml:space="preserve">Idealmente -0.5 para que vaya por el rdo predicho (por que tal vez a la gente no le paso el resultado a apostar)</t>
      </text>
    </comment>
    <comment authorId="0" ref="T1">
      <text>
        <t xml:space="preserve">solo en las competiciones que estan en comp_to_select</t>
      </text>
    </comment>
    <comment authorId="0" ref="V1">
      <text>
        <t xml:space="preserve">usando un m=15</t>
      </text>
    </comment>
    <comment authorId="0" ref="W1">
      <text>
        <t xml:space="preserve">el m a utilizar cuando apuesto</t>
      </text>
    </comment>
    <comment authorId="0" ref="X2">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List>
</comments>
</file>

<file path=xl/sharedStrings.xml><?xml version="1.0" encoding="utf-8"?>
<sst xmlns="http://schemas.openxmlformats.org/spreadsheetml/2006/main" count="78" uniqueCount="57">
  <si>
    <t>id_country</t>
  </si>
  <si>
    <t>country</t>
  </si>
  <si>
    <t>iteration_date</t>
  </si>
  <si>
    <t>n_model</t>
  </si>
  <si>
    <t>n_dias_ult_part</t>
  </si>
  <si>
    <t>n_anios_hist</t>
  </si>
  <si>
    <t>segun_localia</t>
  </si>
  <si>
    <t>thr_corr</t>
  </si>
  <si>
    <t>thr_fs</t>
  </si>
  <si>
    <t>n_years_to_select</t>
  </si>
  <si>
    <t>comp_to_select</t>
  </si>
  <si>
    <t>fill_na</t>
  </si>
  <si>
    <t>bal_type</t>
  </si>
  <si>
    <t>Model</t>
  </si>
  <si>
    <t>Cantidad de variables</t>
  </si>
  <si>
    <t>fecha_assess_model</t>
  </si>
  <si>
    <t>thr_prob_min_best</t>
  </si>
  <si>
    <t>roi_por_partido en partido 50</t>
  </si>
  <si>
    <t>ROI</t>
  </si>
  <si>
    <t>Cantidad de partidos missing</t>
  </si>
  <si>
    <t>roi_por_partido</t>
  </si>
  <si>
    <t>ROI_por_partido realidad</t>
  </si>
  <si>
    <t>"m" a usar</t>
  </si>
  <si>
    <t>Observaciones</t>
  </si>
  <si>
    <t>Parametros para apostar</t>
  </si>
  <si>
    <t>spain</t>
  </si>
  <si>
    <t>0.8</t>
  </si>
  <si>
    <t>0.1</t>
  </si>
  <si>
    <t>[1481, 1483, 1484]</t>
  </si>
  <si>
    <t>ml</t>
  </si>
  <si>
    <t>LogisticRegression</t>
  </si>
  <si>
    <t>-0.2</t>
  </si>
  <si>
    <t>Todos los modelos de SPA tienen sesgo debido a una mala integracion. Tengo que mejorar la integracion urgentemente</t>
  </si>
  <si>
    <t>ROI asses --&gt; ROI realidad</t>
  </si>
  <si>
    <t>france</t>
  </si>
  <si>
    <t>0.2</t>
  </si>
  <si>
    <t>[551, 552, 553, 554]</t>
  </si>
  <si>
    <t>SVC</t>
  </si>
  <si>
    <t>-0.15</t>
  </si>
  <si>
    <t>max m</t>
  </si>
  <si>
    <t>england</t>
  </si>
  <si>
    <t>[481, 482, 483, 484]</t>
  </si>
  <si>
    <t>under</t>
  </si>
  <si>
    <t>-0.5</t>
  </si>
  <si>
    <t>max roi pp</t>
  </si>
  <si>
    <t>usa</t>
  </si>
  <si>
    <t>0.9</t>
  </si>
  <si>
    <t>[1671, 1672]</t>
  </si>
  <si>
    <t>italy</t>
  </si>
  <si>
    <t>[771, 772, 773]</t>
  </si>
  <si>
    <t>germany</t>
  </si>
  <si>
    <t>[591, 593, 594]</t>
  </si>
  <si>
    <t>argentina</t>
  </si>
  <si>
    <t>[61, 62, 64, 65, 66, 67]</t>
  </si>
  <si>
    <t>No puede predecir rdos de partidos de Riestra ni de Independiente Rivadacia (los recien ascendidos, porque no estan en el fifa 24)
Es logico que ande mal porque los partidos de Copa Argentina son en estadio neutral. Sofifa no le da mucha bola a los equipos de sudamerica.</t>
  </si>
  <si>
    <t>x</t>
  </si>
  <si>
    <t>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</si>
</sst>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quot;-&quot;mm&quot;-&quot;dd"/>
    <numFmt numFmtId="165" formatCode="d/MM/yyyy"/>
    <numFmt numFmtId="166" formatCode="yyyy-mm-dd"/>
  </numFmts>
  <fonts count="6">
    <font>
      <sz val="10.0"/>
      <color rgb="FF000000"/>
      <name val="Arial"/>
      <scheme val="minor"/>
    </font>
    <font>
      <b/>
      <color theme="1"/>
      <name val="Arial"/>
    </font>
    <font>
      <b/>
      <color theme="1"/>
      <name val="Arial"/>
      <scheme val="minor"/>
    </font>
    <font>
      <color theme="1"/>
      <name val="Arial"/>
    </font>
    <font>
      <color theme="1"/>
      <name val="Arial"/>
      <scheme val="minor"/>
    </font>
    <font>
      <color rgb="FF000000"/>
      <name val="Arial"/>
    </font>
  </fonts>
  <fills count="3">
    <fill>
      <patternFill patternType="none"/>
    </fill>
    <fill>
      <patternFill patternType="lightGray"/>
    </fill>
    <fill>
      <patternFill patternType="solid">
        <fgColor rgb="FFFFFFFF"/>
        <bgColor rgb="FFFFFFFF"/>
      </patternFill>
    </fill>
  </fills>
  <borders count="5">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1" fillId="0" fontId="1" numFmtId="0" xfId="0" applyAlignment="1" applyBorder="1" applyFont="1">
      <alignment horizontal="center" shrinkToFit="0" wrapText="1"/>
    </xf>
    <xf borderId="2" fillId="0" fontId="1" numFmtId="0" xfId="0" applyAlignment="1" applyBorder="1" applyFont="1">
      <alignment horizontal="center" shrinkToFit="0" wrapText="1"/>
    </xf>
    <xf borderId="2" fillId="0" fontId="1" numFmtId="0" xfId="0" applyAlignment="1" applyBorder="1" applyFont="1">
      <alignment horizontal="center" readingOrder="0" shrinkToFit="0" wrapText="1"/>
    </xf>
    <xf borderId="1" fillId="0" fontId="1" numFmtId="0" xfId="0" applyAlignment="1" applyBorder="1" applyFont="1">
      <alignment horizontal="center" readingOrder="0" shrinkToFit="0" wrapText="1"/>
    </xf>
    <xf borderId="0" fillId="0" fontId="2" numFmtId="0" xfId="0" applyAlignment="1" applyFont="1">
      <alignment readingOrder="0"/>
    </xf>
    <xf borderId="3" fillId="0" fontId="3" numFmtId="3" xfId="0" applyAlignment="1" applyBorder="1" applyFont="1" applyNumberFormat="1">
      <alignment horizontal="center" vertical="center"/>
    </xf>
    <xf borderId="4" fillId="0" fontId="3" numFmtId="0" xfId="0" applyAlignment="1" applyBorder="1" applyFont="1">
      <alignment horizontal="center" vertical="center"/>
    </xf>
    <xf borderId="3" fillId="0" fontId="3" numFmtId="164" xfId="0" applyAlignment="1" applyBorder="1" applyFont="1" applyNumberFormat="1">
      <alignment horizontal="center" vertical="center"/>
    </xf>
    <xf borderId="3" fillId="0" fontId="3" numFmtId="3" xfId="0" applyAlignment="1" applyBorder="1" applyFont="1" applyNumberFormat="1">
      <alignment horizontal="center" readingOrder="0" vertical="center"/>
    </xf>
    <xf borderId="3" fillId="0" fontId="3" numFmtId="0" xfId="0" applyAlignment="1" applyBorder="1" applyFont="1">
      <alignment horizontal="center" readingOrder="0" shrinkToFit="0" vertical="center" wrapText="1"/>
    </xf>
    <xf borderId="3" fillId="0" fontId="3" numFmtId="0" xfId="0" applyAlignment="1" applyBorder="1" applyFont="1">
      <alignment horizontal="center" shrinkToFit="0" vertical="center" wrapText="1"/>
    </xf>
    <xf borderId="3" fillId="0" fontId="3" numFmtId="0" xfId="0" applyAlignment="1" applyBorder="1" applyFont="1">
      <alignment horizontal="center" vertical="center"/>
    </xf>
    <xf borderId="3" fillId="0" fontId="3" numFmtId="0" xfId="0" applyAlignment="1" applyBorder="1" applyFont="1">
      <alignment horizontal="center" readingOrder="0" vertical="center"/>
    </xf>
    <xf borderId="1" fillId="0" fontId="3" numFmtId="0" xfId="0" applyAlignment="1" applyBorder="1" applyFont="1">
      <alignment horizontal="center" shrinkToFit="0" vertical="center" wrapText="1"/>
    </xf>
    <xf borderId="4" fillId="0" fontId="3" numFmtId="0" xfId="0" applyAlignment="1" applyBorder="1" applyFont="1">
      <alignment horizontal="center" readingOrder="0" vertical="center"/>
    </xf>
    <xf borderId="3" fillId="0" fontId="3" numFmtId="9" xfId="0" applyAlignment="1" applyBorder="1" applyFont="1" applyNumberFormat="1">
      <alignment horizontal="center" readingOrder="0" vertical="center"/>
    </xf>
    <xf borderId="3" fillId="0" fontId="3" numFmtId="0" xfId="0" applyAlignment="1" applyBorder="1" applyFont="1">
      <alignment readingOrder="0" shrinkToFit="0" vertical="bottom" wrapText="1"/>
    </xf>
    <xf borderId="0" fillId="0" fontId="4" numFmtId="0" xfId="0" applyAlignment="1" applyFont="1">
      <alignment readingOrder="0"/>
    </xf>
    <xf borderId="0" fillId="0" fontId="4" numFmtId="9" xfId="0" applyAlignment="1" applyFont="1" applyNumberFormat="1">
      <alignment readingOrder="0"/>
    </xf>
    <xf borderId="1" fillId="0" fontId="3" numFmtId="0" xfId="0" applyAlignment="1" applyBorder="1" applyFont="1">
      <alignment horizontal="center" vertical="center"/>
    </xf>
    <xf borderId="3" fillId="0" fontId="3" numFmtId="164" xfId="0" applyAlignment="1" applyBorder="1" applyFont="1" applyNumberFormat="1">
      <alignment horizontal="center" readingOrder="0" vertical="center"/>
    </xf>
    <xf borderId="3" fillId="0" fontId="3" numFmtId="0" xfId="0" applyBorder="1" applyFont="1"/>
    <xf borderId="1" fillId="0" fontId="3" numFmtId="0" xfId="0" applyAlignment="1" applyBorder="1" applyFont="1">
      <alignment horizontal="center" readingOrder="0" vertical="center"/>
    </xf>
    <xf borderId="0" fillId="0" fontId="4" numFmtId="9" xfId="0" applyFont="1" applyNumberFormat="1"/>
    <xf borderId="3" fillId="0" fontId="3" numFmtId="0" xfId="0" applyAlignment="1" applyBorder="1" applyFont="1">
      <alignment readingOrder="0"/>
    </xf>
    <xf borderId="3" fillId="0" fontId="3" numFmtId="0" xfId="0" applyAlignment="1" applyBorder="1" applyFont="1">
      <alignment shrinkToFit="0" wrapText="1"/>
    </xf>
    <xf borderId="3" fillId="0" fontId="3" numFmtId="9" xfId="0" applyAlignment="1" applyBorder="1" applyFont="1" applyNumberFormat="1">
      <alignment horizontal="center" vertical="center"/>
    </xf>
    <xf borderId="0" fillId="0" fontId="4" numFmtId="0" xfId="0" applyAlignment="1" applyFont="1">
      <alignment horizontal="center" readingOrder="0" vertical="center"/>
    </xf>
    <xf borderId="3" fillId="0" fontId="3" numFmtId="10" xfId="0" applyAlignment="1" applyBorder="1" applyFont="1" applyNumberFormat="1">
      <alignment horizontal="center" readingOrder="0" vertical="center"/>
    </xf>
    <xf borderId="3" fillId="0" fontId="3" numFmtId="0" xfId="0" applyAlignment="1" applyBorder="1" applyFont="1">
      <alignment readingOrder="0" shrinkToFit="0" wrapText="1"/>
    </xf>
    <xf borderId="0" fillId="0" fontId="4" numFmtId="165" xfId="0" applyAlignment="1" applyFont="1" applyNumberFormat="1">
      <alignment readingOrder="0"/>
    </xf>
    <xf borderId="0" fillId="2" fontId="5" numFmtId="166" xfId="0" applyAlignment="1" applyFill="1" applyFont="1" applyNumberFormat="1">
      <alignment horizontal="center" readingOrder="0"/>
    </xf>
    <xf borderId="0" fillId="0" fontId="4" numFmtId="3"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1" max="11" width="20.5"/>
    <col customWidth="1" min="14" max="14" width="15.13"/>
    <col customWidth="1" min="24" max="24" width="65.13"/>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3" t="s">
        <v>14</v>
      </c>
      <c r="P1" s="1" t="s">
        <v>15</v>
      </c>
      <c r="Q1" s="1" t="s">
        <v>16</v>
      </c>
      <c r="R1" s="4" t="s">
        <v>17</v>
      </c>
      <c r="S1" s="4" t="s">
        <v>18</v>
      </c>
      <c r="T1" s="1" t="s">
        <v>19</v>
      </c>
      <c r="U1" s="1" t="s">
        <v>20</v>
      </c>
      <c r="V1" s="4" t="s">
        <v>21</v>
      </c>
      <c r="W1" s="4" t="s">
        <v>22</v>
      </c>
      <c r="X1" s="1" t="s">
        <v>23</v>
      </c>
      <c r="Z1" s="5" t="s">
        <v>24</v>
      </c>
    </row>
    <row r="2">
      <c r="A2" s="6">
        <v>148.0</v>
      </c>
      <c r="B2" s="7" t="s">
        <v>25</v>
      </c>
      <c r="C2" s="8">
        <v>45418.0</v>
      </c>
      <c r="D2" s="9">
        <v>547.0</v>
      </c>
      <c r="E2" s="10">
        <v>60.0</v>
      </c>
      <c r="F2" s="11">
        <v>3.0</v>
      </c>
      <c r="G2" s="10" t="b">
        <v>1</v>
      </c>
      <c r="H2" s="10" t="s">
        <v>26</v>
      </c>
      <c r="I2" s="11" t="s">
        <v>27</v>
      </c>
      <c r="J2" s="12"/>
      <c r="K2" s="12" t="s">
        <v>28</v>
      </c>
      <c r="L2" s="13" t="s">
        <v>29</v>
      </c>
      <c r="M2" s="12"/>
      <c r="N2" s="14" t="s">
        <v>30</v>
      </c>
      <c r="O2" s="15">
        <v>25.0</v>
      </c>
      <c r="P2" s="8">
        <v>45440.0</v>
      </c>
      <c r="Q2" s="9" t="s">
        <v>31</v>
      </c>
      <c r="R2" s="16">
        <v>36.8495516929146</v>
      </c>
      <c r="S2" s="16">
        <v>1016.9271280401779</v>
      </c>
      <c r="T2" s="13">
        <v>91.0</v>
      </c>
      <c r="U2" s="16">
        <f t="shared" ref="U2:U8" si="1">S2/T2</f>
        <v>11.17502339</v>
      </c>
      <c r="V2" s="16">
        <f t="shared" ref="V2:V8" si="2">$AA$2*U2</f>
        <v>1.676253508</v>
      </c>
      <c r="W2" s="6">
        <f t="shared" ref="W2:W8" si="3">U2*$AA$3/$AA$4</f>
        <v>30</v>
      </c>
      <c r="X2" s="17" t="s">
        <v>32</v>
      </c>
      <c r="Z2" s="18" t="s">
        <v>33</v>
      </c>
      <c r="AA2" s="19">
        <v>0.15</v>
      </c>
    </row>
    <row r="3">
      <c r="A3" s="6">
        <v>55.0</v>
      </c>
      <c r="B3" s="7" t="s">
        <v>34</v>
      </c>
      <c r="C3" s="8">
        <v>45419.0</v>
      </c>
      <c r="D3" s="9">
        <v>91.0</v>
      </c>
      <c r="E3" s="13">
        <v>30.0</v>
      </c>
      <c r="F3" s="12">
        <v>3.0</v>
      </c>
      <c r="G3" s="12" t="b">
        <v>1</v>
      </c>
      <c r="H3" s="13" t="s">
        <v>26</v>
      </c>
      <c r="I3" s="13" t="s">
        <v>35</v>
      </c>
      <c r="J3" s="13">
        <v>5.0</v>
      </c>
      <c r="K3" s="12" t="s">
        <v>36</v>
      </c>
      <c r="L3" s="12"/>
      <c r="M3" s="12"/>
      <c r="N3" s="20" t="s">
        <v>37</v>
      </c>
      <c r="O3" s="15">
        <v>18.0</v>
      </c>
      <c r="P3" s="21">
        <v>45465.0</v>
      </c>
      <c r="Q3" s="9" t="s">
        <v>38</v>
      </c>
      <c r="R3" s="16">
        <v>15.0684194244387</v>
      </c>
      <c r="S3" s="16">
        <v>445.1980482158149</v>
      </c>
      <c r="T3" s="13">
        <v>56.0</v>
      </c>
      <c r="U3" s="16">
        <f t="shared" si="1"/>
        <v>7.949965147</v>
      </c>
      <c r="V3" s="16">
        <f t="shared" si="2"/>
        <v>1.192494772</v>
      </c>
      <c r="W3" s="6">
        <f t="shared" si="3"/>
        <v>21.34214365</v>
      </c>
      <c r="X3" s="22"/>
      <c r="Z3" s="5" t="s">
        <v>39</v>
      </c>
      <c r="AA3" s="18">
        <v>30.0</v>
      </c>
    </row>
    <row r="4">
      <c r="A4" s="6">
        <v>48.0</v>
      </c>
      <c r="B4" s="7" t="s">
        <v>40</v>
      </c>
      <c r="C4" s="8">
        <v>45419.0</v>
      </c>
      <c r="D4" s="9">
        <v>808.0</v>
      </c>
      <c r="E4" s="13">
        <v>60.0</v>
      </c>
      <c r="F4" s="12">
        <v>3.0</v>
      </c>
      <c r="G4" s="12" t="b">
        <v>1</v>
      </c>
      <c r="H4" s="12"/>
      <c r="I4" s="12" t="s">
        <v>35</v>
      </c>
      <c r="J4" s="13">
        <v>3.0</v>
      </c>
      <c r="K4" s="12" t="s">
        <v>41</v>
      </c>
      <c r="L4" s="13" t="s">
        <v>29</v>
      </c>
      <c r="M4" s="12" t="s">
        <v>42</v>
      </c>
      <c r="N4" s="23" t="s">
        <v>37</v>
      </c>
      <c r="O4" s="15">
        <v>34.0</v>
      </c>
      <c r="P4" s="21">
        <v>45465.0</v>
      </c>
      <c r="Q4" s="6" t="s">
        <v>43</v>
      </c>
      <c r="R4" s="16">
        <v>0.52</v>
      </c>
      <c r="S4" s="16">
        <v>526.3246948871299</v>
      </c>
      <c r="T4" s="12">
        <v>122.0</v>
      </c>
      <c r="U4" s="16">
        <f t="shared" si="1"/>
        <v>4.314136843</v>
      </c>
      <c r="V4" s="16">
        <f t="shared" si="2"/>
        <v>0.6471205265</v>
      </c>
      <c r="W4" s="6">
        <f t="shared" si="3"/>
        <v>11.58155118</v>
      </c>
      <c r="X4" s="22"/>
      <c r="Z4" s="5" t="s">
        <v>44</v>
      </c>
      <c r="AA4" s="24">
        <f>MAX(U2:U8)</f>
        <v>11.17502339</v>
      </c>
    </row>
    <row r="5">
      <c r="A5" s="6">
        <v>167.0</v>
      </c>
      <c r="B5" s="7" t="s">
        <v>45</v>
      </c>
      <c r="C5" s="21">
        <v>45467.0</v>
      </c>
      <c r="D5" s="9">
        <v>219.0</v>
      </c>
      <c r="E5" s="13">
        <v>30.0</v>
      </c>
      <c r="F5" s="12">
        <v>3.0</v>
      </c>
      <c r="G5" s="13" t="b">
        <v>0</v>
      </c>
      <c r="H5" s="13" t="s">
        <v>46</v>
      </c>
      <c r="I5" s="13" t="s">
        <v>35</v>
      </c>
      <c r="J5" s="13">
        <v>3.0</v>
      </c>
      <c r="K5" s="12" t="s">
        <v>47</v>
      </c>
      <c r="L5" s="13" t="s">
        <v>29</v>
      </c>
      <c r="M5" s="13"/>
      <c r="N5" s="23" t="s">
        <v>30</v>
      </c>
      <c r="O5" s="15">
        <v>30.0</v>
      </c>
      <c r="P5" s="21">
        <v>45487.0</v>
      </c>
      <c r="Q5" s="9" t="s">
        <v>43</v>
      </c>
      <c r="R5" s="16">
        <v>0.066468</v>
      </c>
      <c r="S5" s="16">
        <v>196.45</v>
      </c>
      <c r="T5" s="13">
        <v>111.0</v>
      </c>
      <c r="U5" s="16">
        <f t="shared" si="1"/>
        <v>1.76981982</v>
      </c>
      <c r="V5" s="16">
        <f t="shared" si="2"/>
        <v>0.265472973</v>
      </c>
      <c r="W5" s="6">
        <f t="shared" si="3"/>
        <v>4.751184205</v>
      </c>
      <c r="X5" s="25"/>
    </row>
    <row r="6">
      <c r="A6" s="6">
        <v>77.0</v>
      </c>
      <c r="B6" s="7" t="s">
        <v>48</v>
      </c>
      <c r="C6" s="8">
        <v>45418.0</v>
      </c>
      <c r="D6" s="9">
        <v>358.0</v>
      </c>
      <c r="E6" s="13">
        <v>30.0</v>
      </c>
      <c r="F6" s="12">
        <v>3.0</v>
      </c>
      <c r="G6" s="13" t="b">
        <v>0</v>
      </c>
      <c r="H6" s="13" t="s">
        <v>26</v>
      </c>
      <c r="I6" s="12"/>
      <c r="J6" s="12"/>
      <c r="K6" s="12" t="s">
        <v>49</v>
      </c>
      <c r="L6" s="12"/>
      <c r="M6" s="12" t="s">
        <v>42</v>
      </c>
      <c r="N6" s="20" t="s">
        <v>37</v>
      </c>
      <c r="O6" s="15">
        <v>36.0</v>
      </c>
      <c r="P6" s="21">
        <v>45465.0</v>
      </c>
      <c r="Q6" s="9" t="s">
        <v>38</v>
      </c>
      <c r="R6" s="16">
        <v>0.0598</v>
      </c>
      <c r="S6" s="16">
        <v>60.5430959723651</v>
      </c>
      <c r="T6" s="13">
        <v>81.0</v>
      </c>
      <c r="U6" s="16">
        <f t="shared" si="1"/>
        <v>0.7474456293</v>
      </c>
      <c r="V6" s="16">
        <f t="shared" si="2"/>
        <v>0.1121168444</v>
      </c>
      <c r="W6" s="6">
        <f t="shared" si="3"/>
        <v>2.006561249</v>
      </c>
      <c r="X6" s="26"/>
    </row>
    <row r="7">
      <c r="A7" s="6">
        <v>59.0</v>
      </c>
      <c r="B7" s="7" t="s">
        <v>50</v>
      </c>
      <c r="C7" s="8">
        <v>45421.0</v>
      </c>
      <c r="D7" s="6">
        <v>1757.0</v>
      </c>
      <c r="E7" s="12">
        <v>60.0</v>
      </c>
      <c r="F7" s="12">
        <v>3.0</v>
      </c>
      <c r="G7" s="12" t="b">
        <v>0</v>
      </c>
      <c r="H7" s="12" t="s">
        <v>26</v>
      </c>
      <c r="I7" s="12" t="s">
        <v>27</v>
      </c>
      <c r="J7" s="12">
        <v>3.0</v>
      </c>
      <c r="K7" s="12" t="s">
        <v>51</v>
      </c>
      <c r="L7" s="12" t="s">
        <v>29</v>
      </c>
      <c r="M7" s="12" t="s">
        <v>42</v>
      </c>
      <c r="N7" s="20" t="s">
        <v>37</v>
      </c>
      <c r="O7" s="15">
        <v>32.0</v>
      </c>
      <c r="P7" s="21">
        <v>45465.0</v>
      </c>
      <c r="Q7" s="6" t="s">
        <v>43</v>
      </c>
      <c r="R7" s="27"/>
      <c r="S7" s="16">
        <v>4.0</v>
      </c>
      <c r="T7" s="13">
        <v>20.0</v>
      </c>
      <c r="U7" s="16">
        <f t="shared" si="1"/>
        <v>0.2</v>
      </c>
      <c r="V7" s="16">
        <f t="shared" si="2"/>
        <v>0.03</v>
      </c>
      <c r="W7" s="6">
        <f t="shared" si="3"/>
        <v>0.5369116281</v>
      </c>
      <c r="X7" s="22"/>
      <c r="Z7" s="28">
        <v>30.0</v>
      </c>
      <c r="AA7" s="28">
        <v>1118.0</v>
      </c>
    </row>
    <row r="8">
      <c r="A8" s="6">
        <v>6.0</v>
      </c>
      <c r="B8" s="7" t="s">
        <v>52</v>
      </c>
      <c r="C8" s="8">
        <v>45419.0</v>
      </c>
      <c r="D8" s="9">
        <v>631.0</v>
      </c>
      <c r="E8" s="12">
        <v>30.0</v>
      </c>
      <c r="F8" s="12">
        <v>3.0</v>
      </c>
      <c r="G8" s="12" t="b">
        <v>0</v>
      </c>
      <c r="H8" s="12"/>
      <c r="I8" s="13" t="s">
        <v>35</v>
      </c>
      <c r="J8" s="13">
        <v>3.0</v>
      </c>
      <c r="K8" s="13" t="s">
        <v>53</v>
      </c>
      <c r="L8" s="12"/>
      <c r="M8" s="12"/>
      <c r="N8" s="20" t="s">
        <v>30</v>
      </c>
      <c r="O8" s="15">
        <v>25.0</v>
      </c>
      <c r="P8" s="21">
        <v>45465.0</v>
      </c>
      <c r="Q8" s="6" t="s">
        <v>43</v>
      </c>
      <c r="R8" s="29">
        <v>0.0148224109336046</v>
      </c>
      <c r="S8" s="16">
        <v>16.264</v>
      </c>
      <c r="T8" s="13">
        <v>107.0</v>
      </c>
      <c r="U8" s="16">
        <f t="shared" si="1"/>
        <v>0.152</v>
      </c>
      <c r="V8" s="16">
        <f t="shared" si="2"/>
        <v>0.0228</v>
      </c>
      <c r="W8" s="6">
        <f t="shared" si="3"/>
        <v>0.4080528374</v>
      </c>
      <c r="X8" s="30" t="s">
        <v>54</v>
      </c>
      <c r="Z8" s="28" t="s">
        <v>55</v>
      </c>
      <c r="AA8" s="28" t="s">
        <v>56</v>
      </c>
    </row>
    <row r="10">
      <c r="C10" s="31"/>
      <c r="D10" s="31"/>
      <c r="F10" s="32"/>
    </row>
    <row r="11">
      <c r="C11" s="31"/>
      <c r="D11" s="31"/>
      <c r="W11" s="33"/>
    </row>
    <row r="12">
      <c r="C12" s="31"/>
      <c r="D12" s="31"/>
    </row>
    <row r="13">
      <c r="C13" s="31"/>
      <c r="D13" s="31"/>
    </row>
    <row r="17">
      <c r="H17" s="32"/>
    </row>
  </sheetData>
  <autoFilter ref="$A$1:$X$8">
    <sortState ref="A1:X8">
      <sortCondition descending="1" ref="U1:U8"/>
    </sortState>
  </autoFilter>
  <conditionalFormatting sqref="T2:T8">
    <cfRule type="colorScale" priority="1">
      <colorScale>
        <cfvo type="min"/>
        <cfvo type="max"/>
        <color rgb="FFFFFFFF"/>
        <color rgb="FFFFD666"/>
      </colorScale>
    </cfRule>
  </conditionalFormatting>
  <conditionalFormatting sqref="U2:V8">
    <cfRule type="colorScale" priority="2">
      <colorScale>
        <cfvo type="min"/>
        <cfvo type="max"/>
        <color rgb="FFFFFFFF"/>
        <color rgb="FF57BB8A"/>
      </colorScale>
    </cfRule>
  </conditionalFormatting>
  <conditionalFormatting sqref="S2:S8">
    <cfRule type="colorScale" priority="3">
      <colorScale>
        <cfvo type="min"/>
        <cfvo type="max"/>
        <color rgb="FFFFFFFF"/>
        <color rgb="FF57BB8A"/>
      </colorScale>
    </cfRule>
  </conditionalFormatting>
  <drawing r:id="rId2"/>
  <legacyDrawing r:id="rId3"/>
</worksheet>
</file>