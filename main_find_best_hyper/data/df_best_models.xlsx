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4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O1">
      <text>
        <t xml:space="preserve">Fecha de evaluacion de modelos ya entrenados con partidos missing ("en produccion").</t>
      </text>
    </comment>
    <comment authorId="0" ref="P1">
      <text>
        <t xml:space="preserve">Idealmente -0.5 para que vaya por el rdo predicho (por que tal vez a la gente no le paso el resultado a apostar)</t>
      </text>
    </comment>
    <comment authorId="0" ref="S1">
      <text>
        <t xml:space="preserve">solo en las competiciones que estan en comp_to_select</t>
      </text>
    </comment>
    <comment authorId="0" ref="T1">
      <text>
        <t xml:space="preserve">A veces elimina muchos paritdos en la preparacion por NaN values. sobretodo en España.
Tuve que implementar el relleneado de datos no disponibles en assess para evitar borrar muchos partidos.</t>
      </text>
    </comment>
    <comment authorId="0" ref="U1">
      <text>
        <t xml:space="preserve">el m a utilizar cuando apuesto</t>
      </text>
    </comment>
    <comment authorId="0" ref="V2">
      <text>
        <t xml:space="preserve">REVISAR DF_INTEGRATED Y VER CUAL ES LA COLUMNA QUE ES NAN Y HACE ELIMINAR PARTIDOS EN TREAT_NAN(). al sacar el fill_formaciones seguramente tenga menos registros missing. Habría que ver si rellenar con 0 “dif_val_sup” o esas que creo que son las que joden…</t>
      </text>
    </comment>
    <comment authorId="0" ref="T5">
      <text>
        <t xml:space="preserve">Antes de rellenar datos, 47 partidos de 52</t>
      </text>
    </comment>
    <comment authorId="0" ref="T6">
      <text>
        <t xml:space="preserve">Antes de rellenar datos, 116 partidos de 122</t>
      </text>
    </comment>
    <comment authorId="0" ref="T7">
      <text>
        <t xml:space="preserve">Antes de rellenar datos, 18 partidos de 18</t>
      </text>
    </comment>
  </commentList>
</comments>
</file>

<file path=xl/sharedStrings.xml><?xml version="1.0" encoding="utf-8"?>
<sst xmlns="http://schemas.openxmlformats.org/spreadsheetml/2006/main" count="80" uniqueCount="59">
  <si>
    <t>id_country</t>
  </si>
  <si>
    <t>country</t>
  </si>
  <si>
    <t>iteration_date</t>
  </si>
  <si>
    <t>n_model</t>
  </si>
  <si>
    <t>Model</t>
  </si>
  <si>
    <t>n_dias_ult_part</t>
  </si>
  <si>
    <t>n_anios_hist</t>
  </si>
  <si>
    <t>segun_localia</t>
  </si>
  <si>
    <t>thr_corr</t>
  </si>
  <si>
    <t>thr_fs</t>
  </si>
  <si>
    <t>n_years_to_select</t>
  </si>
  <si>
    <t>comp_to_select</t>
  </si>
  <si>
    <t>fill_na</t>
  </si>
  <si>
    <t>bal_type</t>
  </si>
  <si>
    <t>fecha_assess_model</t>
  </si>
  <si>
    <t>thr_prob_min_best</t>
  </si>
  <si>
    <t>roi partido 50</t>
  </si>
  <si>
    <t>roi_por_partido</t>
  </si>
  <si>
    <t>Cantidad de partidos missing</t>
  </si>
  <si>
    <t>shape_df_missing tras preparacion</t>
  </si>
  <si>
    <t>m</t>
  </si>
  <si>
    <t>Observaciones</t>
  </si>
  <si>
    <t>spain</t>
  </si>
  <si>
    <t>LogisticRegression</t>
  </si>
  <si>
    <t>0.9</t>
  </si>
  <si>
    <t>0.1</t>
  </si>
  <si>
    <t>[1481, 1483, 1484]</t>
  </si>
  <si>
    <t>-0.15</t>
  </si>
  <si>
    <t>(91, 26)</t>
  </si>
  <si>
    <t>Todos los modelos de SPA tienen sesgo debido a una mala integracion. Tengo que mejorar la integracion urgentemente.
Agregue 10 partidos a los 81 que ya habia (un 12% mas)
Cuando hace -1 y la dif_prob es muy cercana al -0.15 casi siempre voy por el 1 igual. En cambio, cuando hace -1 y la dif_prob es muy grande, voy por empate (generalmente se da el empate cuando el 1 es muy fav y mi modelo dice que no).</t>
  </si>
  <si>
    <t>italy</t>
  </si>
  <si>
    <t>SVC</t>
  </si>
  <si>
    <t>0.2</t>
  </si>
  <si>
    <t>[771, 772, 773]</t>
  </si>
  <si>
    <t>ml</t>
  </si>
  <si>
    <t>under</t>
  </si>
  <si>
    <t>(80, 19)</t>
  </si>
  <si>
    <t>Agregue 20 partidos a los 60 que ya habia (un 33% mas)</t>
  </si>
  <si>
    <t>argentina</t>
  </si>
  <si>
    <t>[61, 62, 63, 64, 65, 66, 67]</t>
  </si>
  <si>
    <t>over</t>
  </si>
  <si>
    <t>-0.5</t>
  </si>
  <si>
    <t>(81, 43)</t>
  </si>
  <si>
    <t>No puede predecir rdos de partidos de Riestra ni de Independiente Rivadacia (los recien ascendidos, porque no estan en el fifa 24)</t>
  </si>
  <si>
    <t>france</t>
  </si>
  <si>
    <t>[551, 552, 553, 554]</t>
  </si>
  <si>
    <t>-0.1</t>
  </si>
  <si>
    <t>(47, 42)</t>
  </si>
  <si>
    <t>england</t>
  </si>
  <si>
    <t>[481, 482, 483, 484]</t>
  </si>
  <si>
    <t>(116, 21)</t>
  </si>
  <si>
    <t>germany</t>
  </si>
  <si>
    <t>0.8</t>
  </si>
  <si>
    <t>[591, 593, 594]</t>
  </si>
  <si>
    <t>(18, 32)</t>
  </si>
  <si>
    <t>usa</t>
  </si>
  <si>
    <t>[1671, 1672]</t>
  </si>
  <si>
    <t>(31, 37)</t>
  </si>
  <si>
    <t>el mejor modelo segun el roi es el 219 pero es n_years=3, por lo que, entreno y se testeo con pocos partidos lo cual significa menos confiabilidad en sus rdos.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</si>
</sst>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&quot;-&quot;mm&quot;-&quot;dd"/>
  </numFmts>
  <fonts count="3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FCE5CD"/>
        <bgColor rgb="FFFCE5CD"/>
      </patternFill>
    </fill>
  </fills>
  <borders count="5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wrapText="1"/>
    </xf>
    <xf borderId="2" fillId="0" fontId="1" numFmtId="0" xfId="0" applyAlignment="1" applyBorder="1" applyFont="1">
      <alignment horizontal="center" shrinkToFit="0" wrapText="1"/>
    </xf>
    <xf borderId="3" fillId="0" fontId="2" numFmtId="3" xfId="0" applyAlignment="1" applyBorder="1" applyFont="1" applyNumberFormat="1">
      <alignment horizontal="center"/>
    </xf>
    <xf borderId="4" fillId="0" fontId="2" numFmtId="0" xfId="0" applyAlignment="1" applyBorder="1" applyFont="1">
      <alignment horizontal="center"/>
    </xf>
    <xf borderId="3" fillId="0" fontId="2" numFmtId="164" xfId="0" applyAlignment="1" applyBorder="1" applyFont="1" applyNumberFormat="1">
      <alignment horizontal="center"/>
    </xf>
    <xf borderId="3" fillId="0" fontId="2" numFmtId="0" xfId="0" applyAlignment="1" applyBorder="1" applyFont="1">
      <alignment horizontal="center" shrinkToFit="0" wrapText="1"/>
    </xf>
    <xf borderId="3" fillId="0" fontId="2" numFmtId="0" xfId="0" applyAlignment="1" applyBorder="1" applyFont="1">
      <alignment horizontal="center"/>
    </xf>
    <xf borderId="3" fillId="0" fontId="2" numFmtId="0" xfId="0" applyBorder="1" applyFont="1"/>
    <xf borderId="4" fillId="0" fontId="2" numFmtId="0" xfId="0" applyBorder="1" applyFont="1"/>
    <xf borderId="3" fillId="0" fontId="2" numFmtId="9" xfId="0" applyAlignment="1" applyBorder="1" applyFont="1" applyNumberFormat="1">
      <alignment horizontal="center"/>
    </xf>
    <xf borderId="3" fillId="0" fontId="2" numFmtId="0" xfId="0" applyAlignment="1" applyBorder="1" applyFont="1">
      <alignment shrinkToFit="0" vertical="bottom" wrapText="1"/>
    </xf>
    <xf borderId="3" fillId="0" fontId="2" numFmtId="0" xfId="0" applyAlignment="1" applyBorder="1" applyFont="1">
      <alignment shrinkToFit="0" wrapText="1"/>
    </xf>
    <xf borderId="3" fillId="2" fontId="2" numFmtId="9" xfId="0" applyAlignment="1" applyBorder="1" applyFill="1" applyFont="1" applyNumberFormat="1">
      <alignment horizontal="center"/>
    </xf>
    <xf borderId="3" fillId="0" fontId="2" numFmtId="164" xfId="0" applyAlignment="1" applyBorder="1" applyFont="1" applyNumberFormat="1">
      <alignment horizontal="center" readingOrder="0"/>
    </xf>
    <xf borderId="3" fillId="0" fontId="2" numFmtId="3" xfId="0" applyAlignment="1" applyBorder="1" applyFont="1" applyNumberFormat="1">
      <alignment horizontal="center" readingOrder="0"/>
    </xf>
    <xf borderId="3" fillId="0" fontId="2" numFmtId="0" xfId="0" applyAlignment="1" applyBorder="1" applyFont="1">
      <alignment horizontal="center" readingOrder="0"/>
    </xf>
    <xf borderId="4" fillId="0" fontId="2" numFmtId="0" xfId="0" applyAlignment="1" applyBorder="1" applyFont="1">
      <alignment horizontal="center" readingOrder="0"/>
    </xf>
    <xf borderId="3" fillId="0" fontId="2" numFmtId="9" xfId="0" applyAlignment="1" applyBorder="1" applyFont="1" applyNumberFormat="1">
      <alignment horizontal="center" readingOrder="0"/>
    </xf>
    <xf borderId="3" fillId="0" fontId="2" numFmtId="0" xfId="0" applyAlignment="1" applyBorder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15.13"/>
    <col customWidth="1" min="22" max="22" width="65.13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2" t="s">
        <v>19</v>
      </c>
      <c r="U1" s="1" t="s">
        <v>20</v>
      </c>
      <c r="V1" s="1" t="s">
        <v>21</v>
      </c>
    </row>
    <row r="2">
      <c r="A2" s="3">
        <v>148.0</v>
      </c>
      <c r="B2" s="4" t="s">
        <v>22</v>
      </c>
      <c r="C2" s="5">
        <v>45418.0</v>
      </c>
      <c r="D2" s="3">
        <v>365.0</v>
      </c>
      <c r="E2" s="6" t="s">
        <v>23</v>
      </c>
      <c r="F2" s="6">
        <v>30.0</v>
      </c>
      <c r="G2" s="6">
        <v>3.0</v>
      </c>
      <c r="H2" s="6" t="b">
        <v>0</v>
      </c>
      <c r="I2" s="6" t="s">
        <v>24</v>
      </c>
      <c r="J2" s="6" t="s">
        <v>25</v>
      </c>
      <c r="K2" s="7">
        <v>10.0</v>
      </c>
      <c r="L2" s="7" t="s">
        <v>26</v>
      </c>
      <c r="M2" s="8"/>
      <c r="N2" s="9"/>
      <c r="O2" s="5">
        <v>45440.0</v>
      </c>
      <c r="P2" s="3" t="s">
        <v>27</v>
      </c>
      <c r="Q2" s="10">
        <v>10.9504494555667</v>
      </c>
      <c r="R2" s="10">
        <v>4.28944567529248</v>
      </c>
      <c r="S2" s="8"/>
      <c r="T2" s="4" t="s">
        <v>28</v>
      </c>
      <c r="U2" s="3">
        <v>40.0</v>
      </c>
      <c r="V2" s="11" t="s">
        <v>29</v>
      </c>
    </row>
    <row r="3">
      <c r="A3" s="3">
        <v>77.0</v>
      </c>
      <c r="B3" s="4" t="s">
        <v>30</v>
      </c>
      <c r="C3" s="5">
        <v>45418.0</v>
      </c>
      <c r="D3" s="3">
        <v>520.0</v>
      </c>
      <c r="E3" s="7" t="s">
        <v>31</v>
      </c>
      <c r="F3" s="7">
        <v>60.0</v>
      </c>
      <c r="G3" s="7">
        <v>3.0</v>
      </c>
      <c r="H3" s="7" t="b">
        <v>1</v>
      </c>
      <c r="I3" s="8"/>
      <c r="J3" s="7" t="s">
        <v>32</v>
      </c>
      <c r="K3" s="7">
        <v>10.0</v>
      </c>
      <c r="L3" s="7" t="s">
        <v>33</v>
      </c>
      <c r="M3" s="7" t="s">
        <v>34</v>
      </c>
      <c r="N3" s="4" t="s">
        <v>35</v>
      </c>
      <c r="O3" s="5">
        <v>45440.0</v>
      </c>
      <c r="P3" s="3">
        <v>0.0</v>
      </c>
      <c r="Q3" s="10">
        <v>1.5</v>
      </c>
      <c r="R3" s="10">
        <v>0.624947833518396</v>
      </c>
      <c r="S3" s="8"/>
      <c r="T3" s="4" t="s">
        <v>36</v>
      </c>
      <c r="U3" s="3">
        <f t="shared" ref="U3:U4" si="1">Q3*$U$5/$Q$5</f>
        <v>5.423076923</v>
      </c>
      <c r="V3" s="12" t="s">
        <v>37</v>
      </c>
    </row>
    <row r="4">
      <c r="A4" s="3">
        <v>6.0</v>
      </c>
      <c r="B4" s="4" t="s">
        <v>38</v>
      </c>
      <c r="C4" s="5">
        <v>45419.0</v>
      </c>
      <c r="D4" s="3">
        <v>1062.0</v>
      </c>
      <c r="E4" s="7" t="s">
        <v>23</v>
      </c>
      <c r="F4" s="7">
        <v>30.0</v>
      </c>
      <c r="G4" s="7">
        <v>3.0</v>
      </c>
      <c r="H4" s="7" t="b">
        <v>0</v>
      </c>
      <c r="I4" s="7" t="s">
        <v>24</v>
      </c>
      <c r="J4" s="8"/>
      <c r="K4" s="7">
        <v>10.0</v>
      </c>
      <c r="L4" s="7" t="s">
        <v>39</v>
      </c>
      <c r="M4" s="7" t="s">
        <v>34</v>
      </c>
      <c r="N4" s="4" t="s">
        <v>40</v>
      </c>
      <c r="O4" s="5">
        <v>45440.0</v>
      </c>
      <c r="P4" s="3" t="s">
        <v>41</v>
      </c>
      <c r="Q4" s="10">
        <v>0.0953658225050433</v>
      </c>
      <c r="R4" s="10">
        <v>0.3307</v>
      </c>
      <c r="S4" s="8"/>
      <c r="T4" s="4" t="s">
        <v>42</v>
      </c>
      <c r="U4" s="3">
        <f t="shared" si="1"/>
        <v>0.3447841275</v>
      </c>
      <c r="V4" s="12" t="s">
        <v>43</v>
      </c>
    </row>
    <row r="5">
      <c r="A5" s="3">
        <v>55.0</v>
      </c>
      <c r="B5" s="4" t="s">
        <v>44</v>
      </c>
      <c r="C5" s="5">
        <v>45419.0</v>
      </c>
      <c r="D5" s="3">
        <v>1348.0</v>
      </c>
      <c r="E5" s="7" t="s">
        <v>31</v>
      </c>
      <c r="F5" s="7">
        <v>60.0</v>
      </c>
      <c r="G5" s="7">
        <v>3.0</v>
      </c>
      <c r="H5" s="7" t="b">
        <v>1</v>
      </c>
      <c r="I5" s="7" t="s">
        <v>24</v>
      </c>
      <c r="J5" s="8"/>
      <c r="K5" s="7">
        <v>10.0</v>
      </c>
      <c r="L5" s="7" t="s">
        <v>45</v>
      </c>
      <c r="M5" s="7" t="s">
        <v>34</v>
      </c>
      <c r="N5" s="9"/>
      <c r="O5" s="5">
        <v>45431.0</v>
      </c>
      <c r="P5" s="3" t="s">
        <v>46</v>
      </c>
      <c r="Q5" s="13">
        <f>50*R5/47</f>
        <v>11.06382979</v>
      </c>
      <c r="R5" s="10">
        <v>10.4</v>
      </c>
      <c r="S5" s="7">
        <v>52.0</v>
      </c>
      <c r="T5" s="4" t="s">
        <v>47</v>
      </c>
      <c r="U5" s="3">
        <v>40.0</v>
      </c>
      <c r="V5" s="8"/>
    </row>
    <row r="6">
      <c r="A6" s="3">
        <v>48.0</v>
      </c>
      <c r="B6" s="4" t="s">
        <v>48</v>
      </c>
      <c r="C6" s="5">
        <v>45419.0</v>
      </c>
      <c r="D6" s="3">
        <v>74.0</v>
      </c>
      <c r="E6" s="7" t="s">
        <v>23</v>
      </c>
      <c r="F6" s="7">
        <v>30.0</v>
      </c>
      <c r="G6" s="7">
        <v>3.0</v>
      </c>
      <c r="H6" s="7" t="b">
        <v>1</v>
      </c>
      <c r="I6" s="7" t="s">
        <v>24</v>
      </c>
      <c r="J6" s="7" t="s">
        <v>32</v>
      </c>
      <c r="K6" s="7">
        <v>5.0</v>
      </c>
      <c r="L6" s="7" t="s">
        <v>49</v>
      </c>
      <c r="M6" s="8"/>
      <c r="N6" s="4" t="s">
        <v>35</v>
      </c>
      <c r="O6" s="5">
        <v>45431.0</v>
      </c>
      <c r="P6" s="3" t="s">
        <v>41</v>
      </c>
      <c r="Q6" s="10">
        <v>0.0815</v>
      </c>
      <c r="R6" s="10">
        <v>0.5371</v>
      </c>
      <c r="S6" s="7">
        <v>122.0</v>
      </c>
      <c r="T6" s="4" t="s">
        <v>50</v>
      </c>
      <c r="U6" s="3">
        <f t="shared" ref="U6:U8" si="2">Q6*$U$5/$Q$5</f>
        <v>0.2946538462</v>
      </c>
      <c r="V6" s="8"/>
    </row>
    <row r="7">
      <c r="A7" s="3">
        <v>59.0</v>
      </c>
      <c r="B7" s="4" t="s">
        <v>51</v>
      </c>
      <c r="C7" s="5">
        <v>45421.0</v>
      </c>
      <c r="D7" s="3">
        <v>1757.0</v>
      </c>
      <c r="E7" s="7" t="s">
        <v>31</v>
      </c>
      <c r="F7" s="7">
        <v>60.0</v>
      </c>
      <c r="G7" s="7">
        <v>3.0</v>
      </c>
      <c r="H7" s="7" t="b">
        <v>0</v>
      </c>
      <c r="I7" s="7" t="s">
        <v>52</v>
      </c>
      <c r="J7" s="7" t="s">
        <v>25</v>
      </c>
      <c r="K7" s="7">
        <v>3.0</v>
      </c>
      <c r="L7" s="7" t="s">
        <v>53</v>
      </c>
      <c r="M7" s="7" t="s">
        <v>34</v>
      </c>
      <c r="N7" s="4" t="s">
        <v>35</v>
      </c>
      <c r="O7" s="5">
        <v>45431.0</v>
      </c>
      <c r="P7" s="3" t="s">
        <v>41</v>
      </c>
      <c r="Q7" s="13">
        <f t="shared" ref="Q7:Q8" si="3">50*R7/S7</f>
        <v>0.6944444444</v>
      </c>
      <c r="R7" s="10">
        <v>0.25</v>
      </c>
      <c r="S7" s="7">
        <v>18.0</v>
      </c>
      <c r="T7" s="4" t="s">
        <v>54</v>
      </c>
      <c r="U7" s="3">
        <f t="shared" si="2"/>
        <v>2.510683761</v>
      </c>
      <c r="V7" s="8"/>
    </row>
    <row r="8">
      <c r="A8" s="3">
        <v>167.0</v>
      </c>
      <c r="B8" s="4" t="s">
        <v>55</v>
      </c>
      <c r="C8" s="14">
        <v>45461.0</v>
      </c>
      <c r="D8" s="15">
        <v>690.0</v>
      </c>
      <c r="E8" s="7" t="s">
        <v>23</v>
      </c>
      <c r="F8" s="16">
        <v>60.0</v>
      </c>
      <c r="G8" s="7">
        <v>3.0</v>
      </c>
      <c r="H8" s="7" t="b">
        <v>0</v>
      </c>
      <c r="I8" s="16" t="s">
        <v>52</v>
      </c>
      <c r="J8" s="16" t="s">
        <v>25</v>
      </c>
      <c r="K8" s="16">
        <v>10.0</v>
      </c>
      <c r="L8" s="7" t="s">
        <v>56</v>
      </c>
      <c r="M8" s="7"/>
      <c r="N8" s="17" t="s">
        <v>35</v>
      </c>
      <c r="O8" s="5">
        <v>45461.0</v>
      </c>
      <c r="P8" s="15" t="s">
        <v>46</v>
      </c>
      <c r="Q8" s="10">
        <f t="shared" si="3"/>
        <v>1.288548387</v>
      </c>
      <c r="R8" s="18">
        <v>0.7989</v>
      </c>
      <c r="S8" s="7">
        <v>31.0</v>
      </c>
      <c r="T8" s="17" t="s">
        <v>57</v>
      </c>
      <c r="U8" s="3">
        <f t="shared" si="2"/>
        <v>4.658598015</v>
      </c>
      <c r="V8" s="19" t="s">
        <v>58</v>
      </c>
    </row>
  </sheetData>
  <drawing r:id="rId2"/>
  <legacyDrawing r:id="rId3"/>
</worksheet>
</file>