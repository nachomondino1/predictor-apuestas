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nachomondino/Desktop/"/>
    </mc:Choice>
  </mc:AlternateContent>
  <xr:revisionPtr revIDLastSave="0" documentId="13_ncr:1_{CB5F652D-8B94-A448-83B9-765DC03EF019}" xr6:coauthVersionLast="47" xr6:coauthVersionMax="47" xr10:uidLastSave="{00000000-0000-0000-0000-000000000000}"/>
  <bookViews>
    <workbookView xWindow="0" yWindow="500" windowWidth="28800" windowHeight="15800" xr2:uid="{7E04431C-C58B-6A45-9218-66EB9A490B3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8" i="1" l="1"/>
  <c r="A37" i="1"/>
  <c r="A36" i="1"/>
  <c r="A35" i="1"/>
  <c r="A34" i="1"/>
  <c r="A33" i="1"/>
  <c r="A32" i="1"/>
  <c r="A31" i="1"/>
  <c r="A30" i="1"/>
  <c r="A29" i="1"/>
  <c r="A28" i="1"/>
  <c r="A27" i="1"/>
  <c r="A26" i="1"/>
  <c r="A25" i="1"/>
  <c r="A24" i="1"/>
  <c r="A23" i="1"/>
  <c r="A22" i="1"/>
  <c r="A21" i="1"/>
  <c r="A20" i="1"/>
  <c r="A19" i="1"/>
  <c r="A18" i="1"/>
  <c r="A17" i="1"/>
  <c r="A16" i="1"/>
  <c r="A15" i="1"/>
  <c r="A14" i="1"/>
  <c r="A13" i="1"/>
  <c r="A12" i="1"/>
  <c r="A11" i="1"/>
  <c r="A10" i="1"/>
  <c r="A9" i="1"/>
  <c r="A8" i="1"/>
  <c r="A7" i="1"/>
  <c r="A6" i="1"/>
  <c r="A5" i="1"/>
  <c r="A4" i="1"/>
  <c r="A3" i="1"/>
  <c r="A2" i="1"/>
</calcChain>
</file>

<file path=xl/sharedStrings.xml><?xml version="1.0" encoding="utf-8"?>
<sst xmlns="http://schemas.openxmlformats.org/spreadsheetml/2006/main" count="115" uniqueCount="48">
  <si>
    <t>id_competicion</t>
  </si>
  <si>
    <t>nombre</t>
  </si>
  <si>
    <t>categoria</t>
  </si>
  <si>
    <t>pais</t>
  </si>
  <si>
    <t>Argentina</t>
  </si>
  <si>
    <t>Liga Profesional</t>
  </si>
  <si>
    <t>Copa de la Liga Profesional</t>
  </si>
  <si>
    <t>Copa Argentina</t>
  </si>
  <si>
    <t>Copa de la Superliga</t>
  </si>
  <si>
    <t>Supercopa</t>
  </si>
  <si>
    <t>Supercopa Internacional</t>
  </si>
  <si>
    <t>Trofeo de Campeones</t>
  </si>
  <si>
    <t>Chile</t>
  </si>
  <si>
    <t>Bolivia</t>
  </si>
  <si>
    <t>Liga</t>
  </si>
  <si>
    <t>Copa</t>
  </si>
  <si>
    <t>League Cup</t>
  </si>
  <si>
    <t>Brasileirao Serie A</t>
  </si>
  <si>
    <t>Brasil</t>
  </si>
  <si>
    <t>Copa do Brasil</t>
  </si>
  <si>
    <t>Supercopa do Brasil</t>
  </si>
  <si>
    <t>Primera División</t>
  </si>
  <si>
    <t>Copa Chile</t>
  </si>
  <si>
    <t>Colombia</t>
  </si>
  <si>
    <t>Primera A</t>
  </si>
  <si>
    <t>Copa Colombia</t>
  </si>
  <si>
    <t>Superliga</t>
  </si>
  <si>
    <t>Ecuador</t>
  </si>
  <si>
    <t>Liga Pro</t>
  </si>
  <si>
    <t>Copa Ecuador</t>
  </si>
  <si>
    <t>Paraguay</t>
  </si>
  <si>
    <t>Copa Paraguay</t>
  </si>
  <si>
    <t>Perú</t>
  </si>
  <si>
    <t>Liga 1</t>
  </si>
  <si>
    <t>Copa Bicentenario</t>
  </si>
  <si>
    <t>Supercopa Peruana</t>
  </si>
  <si>
    <t>Uruguay</t>
  </si>
  <si>
    <t>Copa AUF Uruguay</t>
  </si>
  <si>
    <t>Venezuela</t>
  </si>
  <si>
    <t>Liga FUTVE</t>
  </si>
  <si>
    <t>Copa Venezuela</t>
  </si>
  <si>
    <t>Copa Bicentenaria</t>
  </si>
  <si>
    <t>Copa Libertadores</t>
  </si>
  <si>
    <t>Copa Sudamericana</t>
  </si>
  <si>
    <t>Recopa Sudamericana</t>
  </si>
  <si>
    <t>Sudamerica</t>
  </si>
  <si>
    <t>Division Profesional</t>
  </si>
  <si>
    <t>Copa Peru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</si>
</sst>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70E4A9-1B7C-CD4C-90F1-ACEB6414EE21}">
  <dimension ref="A1:D38"/>
  <sheetViews>
    <sheetView tabSelected="1" topLeftCell="A24" zoomScale="150" workbookViewId="0">
      <selection activeCell="B29" sqref="B29"/>
    </sheetView>
  </sheetViews>
  <sheetFormatPr baseColWidth="10" defaultRowHeight="16" x14ac:dyDescent="0.2"/>
  <cols>
    <col min="1" max="1" width="13.6640625" bestFit="1" customWidth="1"/>
    <col min="2" max="2" width="23.5" bestFit="1" customWidth="1"/>
    <col min="3" max="3" width="8.83203125" bestFit="1" customWidth="1"/>
  </cols>
  <sheetData>
    <row r="1" spans="1:4" x14ac:dyDescent="0.2">
      <c r="A1" t="s">
        <v>0</v>
      </c>
      <c r="B1" t="s">
        <v>1</v>
      </c>
      <c r="C1" t="s">
        <v>2</v>
      </c>
      <c r="D1" t="s">
        <v>3</v>
      </c>
    </row>
    <row r="2" spans="1:4" x14ac:dyDescent="0.2">
      <c r="A2" t="str">
        <f>1&amp;LEFT(B2,3)&amp;LEFT(D2,3)</f>
        <v>1LigArg</v>
      </c>
      <c r="B2" t="s">
        <v>5</v>
      </c>
      <c r="C2" t="s">
        <v>14</v>
      </c>
      <c r="D2" t="s">
        <v>4</v>
      </c>
    </row>
    <row r="3" spans="1:4" x14ac:dyDescent="0.2">
      <c r="A3" t="str">
        <f>2&amp;LEFT(B3,3)&amp;LEFT(D3,3)</f>
        <v>2CopArg</v>
      </c>
      <c r="B3" t="s">
        <v>6</v>
      </c>
      <c r="C3" t="s">
        <v>14</v>
      </c>
      <c r="D3" t="s">
        <v>4</v>
      </c>
    </row>
    <row r="4" spans="1:4" x14ac:dyDescent="0.2">
      <c r="A4" t="str">
        <f>3&amp;LEFT(B4,3)&amp;LEFT(D4,3)</f>
        <v>3CopArg</v>
      </c>
      <c r="B4" t="s">
        <v>7</v>
      </c>
      <c r="C4" t="s">
        <v>15</v>
      </c>
      <c r="D4" t="s">
        <v>4</v>
      </c>
    </row>
    <row r="5" spans="1:4" x14ac:dyDescent="0.2">
      <c r="A5" t="str">
        <f>4&amp;LEFT(B5,3)&amp;LEFT(D5,3)</f>
        <v>4CopArg</v>
      </c>
      <c r="B5" t="s">
        <v>8</v>
      </c>
      <c r="C5" t="s">
        <v>14</v>
      </c>
      <c r="D5" t="s">
        <v>4</v>
      </c>
    </row>
    <row r="6" spans="1:4" x14ac:dyDescent="0.2">
      <c r="A6" t="str">
        <f>5&amp;LEFT(B6,3)&amp;LEFT(D6,3)</f>
        <v>5SupArg</v>
      </c>
      <c r="B6" t="s">
        <v>9</v>
      </c>
      <c r="C6" t="s">
        <v>15</v>
      </c>
      <c r="D6" t="s">
        <v>4</v>
      </c>
    </row>
    <row r="7" spans="1:4" x14ac:dyDescent="0.2">
      <c r="A7" t="str">
        <f>6&amp;LEFT(B7,3)&amp;LEFT(D7,3)</f>
        <v>6SupArg</v>
      </c>
      <c r="B7" t="s">
        <v>10</v>
      </c>
      <c r="C7" t="s">
        <v>15</v>
      </c>
      <c r="D7" t="s">
        <v>4</v>
      </c>
    </row>
    <row r="8" spans="1:4" x14ac:dyDescent="0.2">
      <c r="A8" t="str">
        <f>7&amp;LEFT(B8,3)&amp;LEFT(D8,3)</f>
        <v>7TroArg</v>
      </c>
      <c r="B8" t="s">
        <v>11</v>
      </c>
      <c r="C8" t="s">
        <v>15</v>
      </c>
      <c r="D8" t="s">
        <v>4</v>
      </c>
    </row>
    <row r="9" spans="1:4" x14ac:dyDescent="0.2">
      <c r="A9" t="str">
        <f>8&amp;LEFT(B9,3)&amp;LEFT(D9,3)</f>
        <v>8DivBol</v>
      </c>
      <c r="B9" t="s">
        <v>46</v>
      </c>
      <c r="C9" t="s">
        <v>14</v>
      </c>
      <c r="D9" t="s">
        <v>13</v>
      </c>
    </row>
    <row r="10" spans="1:4" x14ac:dyDescent="0.2">
      <c r="A10" t="str">
        <f>9&amp;LEFT(B10,3)&amp;LEFT(D10,3)</f>
        <v>9LeaBol</v>
      </c>
      <c r="B10" t="s">
        <v>16</v>
      </c>
      <c r="C10" t="s">
        <v>15</v>
      </c>
      <c r="D10" t="s">
        <v>13</v>
      </c>
    </row>
    <row r="11" spans="1:4" x14ac:dyDescent="0.2">
      <c r="A11" t="str">
        <f>10&amp;LEFT(B11,3)&amp;LEFT(D11,3)</f>
        <v>10BraBra</v>
      </c>
      <c r="B11" t="s">
        <v>17</v>
      </c>
      <c r="C11" t="s">
        <v>14</v>
      </c>
      <c r="D11" t="s">
        <v>18</v>
      </c>
    </row>
    <row r="12" spans="1:4" x14ac:dyDescent="0.2">
      <c r="A12" t="str">
        <f>11&amp;LEFT(B12,3)&amp;LEFT(D12,3)</f>
        <v>11CopBra</v>
      </c>
      <c r="B12" t="s">
        <v>19</v>
      </c>
      <c r="C12" t="s">
        <v>15</v>
      </c>
      <c r="D12" t="s">
        <v>18</v>
      </c>
    </row>
    <row r="13" spans="1:4" x14ac:dyDescent="0.2">
      <c r="A13" t="str">
        <f>12&amp;LEFT(B13,3)&amp;LEFT(D13,3)</f>
        <v>12SupBra</v>
      </c>
      <c r="B13" t="s">
        <v>20</v>
      </c>
      <c r="C13" t="s">
        <v>15</v>
      </c>
      <c r="D13" t="s">
        <v>18</v>
      </c>
    </row>
    <row r="14" spans="1:4" x14ac:dyDescent="0.2">
      <c r="A14" t="str">
        <f>13&amp;LEFT(B14,3)&amp;LEFT(D14,3)</f>
        <v>13PriChi</v>
      </c>
      <c r="B14" t="s">
        <v>21</v>
      </c>
      <c r="C14" t="s">
        <v>14</v>
      </c>
      <c r="D14" t="s">
        <v>12</v>
      </c>
    </row>
    <row r="15" spans="1:4" x14ac:dyDescent="0.2">
      <c r="A15" t="str">
        <f>14&amp;LEFT(B15,3)&amp;LEFT(D15,3)</f>
        <v>14CopChi</v>
      </c>
      <c r="B15" t="s">
        <v>22</v>
      </c>
      <c r="C15" t="s">
        <v>15</v>
      </c>
      <c r="D15" t="s">
        <v>12</v>
      </c>
    </row>
    <row r="16" spans="1:4" x14ac:dyDescent="0.2">
      <c r="A16" t="str">
        <f>15&amp;LEFT(B16,3)&amp;LEFT(D16,3)</f>
        <v>15SupChi</v>
      </c>
      <c r="B16" t="s">
        <v>9</v>
      </c>
      <c r="C16" t="s">
        <v>15</v>
      </c>
      <c r="D16" t="s">
        <v>12</v>
      </c>
    </row>
    <row r="17" spans="1:4" x14ac:dyDescent="0.2">
      <c r="A17" t="str">
        <f>16&amp;LEFT(B17,3)&amp;LEFT(D17,3)</f>
        <v>16PriCol</v>
      </c>
      <c r="B17" t="s">
        <v>24</v>
      </c>
      <c r="C17" t="s">
        <v>14</v>
      </c>
      <c r="D17" t="s">
        <v>23</v>
      </c>
    </row>
    <row r="18" spans="1:4" x14ac:dyDescent="0.2">
      <c r="A18" t="str">
        <f>17&amp;LEFT(B18,3)&amp;LEFT(D18,3)</f>
        <v>17CopCol</v>
      </c>
      <c r="B18" t="s">
        <v>25</v>
      </c>
      <c r="C18" t="s">
        <v>15</v>
      </c>
      <c r="D18" t="s">
        <v>23</v>
      </c>
    </row>
    <row r="19" spans="1:4" x14ac:dyDescent="0.2">
      <c r="A19" t="str">
        <f>18&amp;LEFT(B19,3)&amp;LEFT(D19,3)</f>
        <v>18SupCol</v>
      </c>
      <c r="B19" t="s">
        <v>26</v>
      </c>
      <c r="C19" t="s">
        <v>15</v>
      </c>
      <c r="D19" t="s">
        <v>23</v>
      </c>
    </row>
    <row r="20" spans="1:4" x14ac:dyDescent="0.2">
      <c r="A20" t="str">
        <f>19&amp;LEFT(B20,3)&amp;LEFT(D20,3)</f>
        <v>19LigEcu</v>
      </c>
      <c r="B20" t="s">
        <v>28</v>
      </c>
      <c r="C20" t="s">
        <v>14</v>
      </c>
      <c r="D20" t="s">
        <v>27</v>
      </c>
    </row>
    <row r="21" spans="1:4" x14ac:dyDescent="0.2">
      <c r="A21" t="str">
        <f>20&amp;LEFT(B21,3)&amp;LEFT(D21,3)</f>
        <v>20CopEcu</v>
      </c>
      <c r="B21" t="s">
        <v>29</v>
      </c>
      <c r="C21" t="s">
        <v>15</v>
      </c>
      <c r="D21" t="s">
        <v>27</v>
      </c>
    </row>
    <row r="22" spans="1:4" x14ac:dyDescent="0.2">
      <c r="A22" t="str">
        <f>21&amp;LEFT(B22,3)&amp;LEFT(D22,3)</f>
        <v>21SupEcu</v>
      </c>
      <c r="B22" t="s">
        <v>9</v>
      </c>
      <c r="C22" t="s">
        <v>15</v>
      </c>
      <c r="D22" t="s">
        <v>27</v>
      </c>
    </row>
    <row r="23" spans="1:4" ht="17" x14ac:dyDescent="0.2">
      <c r="A23" t="str">
        <f>22&amp;LEFT(B23,3)&amp;LEFT(D23,3)</f>
        <v>22PriPar</v>
      </c>
      <c r="B23" t="s">
        <v>21</v>
      </c>
      <c r="C23" t="s">
        <v>14</v>
      </c>
      <c r="D23" s="1" t="s">
        <v>30</v>
      </c>
    </row>
    <row r="24" spans="1:4" ht="17" x14ac:dyDescent="0.2">
      <c r="A24" t="str">
        <f>23&amp;LEFT(B24,3)&amp;LEFT(D24,3)</f>
        <v>23CopPar</v>
      </c>
      <c r="B24" t="s">
        <v>31</v>
      </c>
      <c r="C24" t="s">
        <v>15</v>
      </c>
      <c r="D24" s="1" t="s">
        <v>30</v>
      </c>
    </row>
    <row r="25" spans="1:4" ht="17" x14ac:dyDescent="0.2">
      <c r="A25" t="str">
        <f>24&amp;LEFT(B25,3)&amp;LEFT(D25,3)</f>
        <v>24SupPar</v>
      </c>
      <c r="B25" t="s">
        <v>9</v>
      </c>
      <c r="C25" t="s">
        <v>15</v>
      </c>
      <c r="D25" s="1" t="s">
        <v>30</v>
      </c>
    </row>
    <row r="26" spans="1:4" ht="17" x14ac:dyDescent="0.2">
      <c r="A26" t="str">
        <f>25&amp;LEFT(B26,3)&amp;LEFT(D26,3)</f>
        <v>25LigPer</v>
      </c>
      <c r="B26" s="1" t="s">
        <v>33</v>
      </c>
      <c r="C26" t="s">
        <v>14</v>
      </c>
      <c r="D26" t="s">
        <v>32</v>
      </c>
    </row>
    <row r="27" spans="1:4" x14ac:dyDescent="0.2">
      <c r="A27" t="str">
        <f>26&amp;LEFT(B27,3)&amp;LEFT(D27,3)</f>
        <v>26CopPer</v>
      </c>
      <c r="B27" t="s">
        <v>34</v>
      </c>
      <c r="C27" t="s">
        <v>15</v>
      </c>
      <c r="D27" t="s">
        <v>32</v>
      </c>
    </row>
    <row r="28" spans="1:4" x14ac:dyDescent="0.2">
      <c r="A28" t="str">
        <f>27&amp;LEFT(B28,3)&amp;LEFT(D28,3)</f>
        <v>27CopPer</v>
      </c>
      <c r="B28" t="s">
        <v>47</v>
      </c>
      <c r="C28" t="s">
        <v>15</v>
      </c>
      <c r="D28" t="s">
        <v>32</v>
      </c>
    </row>
    <row r="29" spans="1:4" x14ac:dyDescent="0.2">
      <c r="A29" t="str">
        <f>28&amp;LEFT(B29,3)&amp;LEFT(D29,3)</f>
        <v>28SupPer</v>
      </c>
      <c r="B29" t="s">
        <v>35</v>
      </c>
      <c r="C29" t="s">
        <v>15</v>
      </c>
      <c r="D29" t="s">
        <v>32</v>
      </c>
    </row>
    <row r="30" spans="1:4" x14ac:dyDescent="0.2">
      <c r="A30" t="str">
        <f>29&amp;LEFT(B30,3)&amp;LEFT(D30,3)</f>
        <v>29PriUru</v>
      </c>
      <c r="B30" t="s">
        <v>21</v>
      </c>
      <c r="C30" t="s">
        <v>14</v>
      </c>
      <c r="D30" t="s">
        <v>36</v>
      </c>
    </row>
    <row r="31" spans="1:4" ht="17" x14ac:dyDescent="0.2">
      <c r="A31" t="str">
        <f>30&amp;LEFT(B31,3)&amp;LEFT(D31,3)</f>
        <v>30CopUru</v>
      </c>
      <c r="B31" s="1" t="s">
        <v>37</v>
      </c>
      <c r="C31" t="s">
        <v>15</v>
      </c>
      <c r="D31" t="s">
        <v>36</v>
      </c>
    </row>
    <row r="32" spans="1:4" x14ac:dyDescent="0.2">
      <c r="A32" t="str">
        <f>31&amp;LEFT(B32,3)&amp;LEFT(D32,3)</f>
        <v>31SupUru</v>
      </c>
      <c r="B32" t="s">
        <v>9</v>
      </c>
      <c r="C32" t="s">
        <v>15</v>
      </c>
      <c r="D32" t="s">
        <v>36</v>
      </c>
    </row>
    <row r="33" spans="1:4" x14ac:dyDescent="0.2">
      <c r="A33" t="str">
        <f>32&amp;LEFT(B33,3)&amp;LEFT(D33,3)</f>
        <v>32LigVen</v>
      </c>
      <c r="B33" t="s">
        <v>39</v>
      </c>
      <c r="C33" t="s">
        <v>14</v>
      </c>
      <c r="D33" t="s">
        <v>38</v>
      </c>
    </row>
    <row r="34" spans="1:4" x14ac:dyDescent="0.2">
      <c r="A34" t="str">
        <f>33&amp;LEFT(B34,3)&amp;LEFT(D34,3)</f>
        <v>33CopVen</v>
      </c>
      <c r="B34" t="s">
        <v>40</v>
      </c>
      <c r="C34" t="s">
        <v>15</v>
      </c>
      <c r="D34" t="s">
        <v>38</v>
      </c>
    </row>
    <row r="35" spans="1:4" x14ac:dyDescent="0.2">
      <c r="A35" t="str">
        <f>34&amp;LEFT(B35,3)&amp;LEFT(D35,3)</f>
        <v>34CopVen</v>
      </c>
      <c r="B35" t="s">
        <v>41</v>
      </c>
      <c r="C35" t="s">
        <v>15</v>
      </c>
      <c r="D35" t="s">
        <v>38</v>
      </c>
    </row>
    <row r="36" spans="1:4" x14ac:dyDescent="0.2">
      <c r="A36" t="str">
        <f>35&amp;LEFT(B36,3)&amp;LEFT(D36,3)</f>
        <v>35CopSud</v>
      </c>
      <c r="B36" t="s">
        <v>42</v>
      </c>
      <c r="C36" t="s">
        <v>15</v>
      </c>
      <c r="D36" t="s">
        <v>45</v>
      </c>
    </row>
    <row r="37" spans="1:4" x14ac:dyDescent="0.2">
      <c r="A37" t="str">
        <f>36&amp;LEFT(B37,3)&amp;LEFT(D37,3)</f>
        <v>36CopSud</v>
      </c>
      <c r="B37" t="s">
        <v>43</v>
      </c>
      <c r="C37" t="s">
        <v>15</v>
      </c>
      <c r="D37" t="s">
        <v>45</v>
      </c>
    </row>
    <row r="38" spans="1:4" x14ac:dyDescent="0.2">
      <c r="A38" t="str">
        <f>37&amp;LEFT(B38,3)&amp;LEFT(D38,3)</f>
        <v>37RecSud</v>
      </c>
      <c r="B38" t="s">
        <v>44</v>
      </c>
      <c r="C38" t="s">
        <v>15</v>
      </c>
      <c r="D38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2023-05-08T21:34:42Z</dcterms:created>
  <dcterms:modified xsi:type="dcterms:W3CDTF">2023-05-14T09:07:49Z</dcterms:modified>
</cp:coreProperties>
</file>