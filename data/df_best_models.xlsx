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H5">
      <text>
        <t xml:space="preserve">200</t>
      </text>
    </comment>
    <comment authorId="0" ref="G7">
      <text>
        <t xml:space="preserve">era 110, lo baje a 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<sst xmlns="http://schemas.openxmlformats.org/spreadsheetml/2006/main" count="629" uniqueCount="340">
  <si>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</si>
  <si>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</si>
  <si>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</si>
  <si>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</si>
  <si>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</si>
  <si>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</si>
  <si>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</si>
  <si>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</si>
  <si>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</si>
  <si>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</si>
  <si>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</si>
  <si>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</si>
  <si>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</si>
  <si>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</si>
  <si>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</si>
  <si>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</si>
  <si>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</si>
  <si>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</si>
  <si>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</si>
  <si>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</si>
  <si>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</si>
  <si>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</si>
  <si>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</si>
  <si>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</si>
  <si>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</si>
  <si>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</si>
  <si>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</si>
  <si>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</si>
  <si>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</si>
  <si>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</si>
  <si>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</si>
  <si>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</si>
  <si>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</si>
  <si>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</si>
  <si>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</si>
  <si>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</si>
  <si>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</si>
  <si>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</si>
  <si>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</si>
  <si>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</si>
  <si>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</si>
  <si>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</si>
  <si>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</si>
  <si>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</si>
  <si>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</si>
  <si>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</si>
  <si>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</si>
  <si>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</si>
  <si>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</si>
  <si>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</si>
  <si>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</si>
  <si>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</si>
  <si>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</si>
  <si>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</si>
  <si>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</si>
  <si>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</si>
  <si>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</si>
  <si>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</si>
  <si>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</si>
  <si>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</si>
  <si>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</si>
  <si>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</si>
  <si>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</si>
  <si>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</si>
  <si>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</si>
  <si>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</si>
  <si>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</si>
  <si>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</si>
  <si>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</si>
  <si>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</si>
  <si>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</si>
  <si>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</si>
  <si>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</si>
  <si>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</si>
  <si>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</si>
  <si>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</si>
  <si>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</si>
  <si>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</si>
  <si>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</si>
  <si>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</si>
  <si>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</si>
  <si>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</si>
  <si>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</si>
  <si>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</si>
  <si>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</si>
  <si>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</si>
  <si>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</si>
  <si>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</si>
  <si>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</si>
  <si>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</si>
  <si>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</si>
  <si>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</si>
  <si>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</si>
  <si>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</si>
  <si>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</si>
  <si>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</si>
  <si>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</si>
  <si>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</si>
  <si>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</si>
  <si>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</si>
  <si>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</si>
  <si>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</si>
  <si>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</si>
  <si>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</si>
  <si>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</si>
  <si>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</si>
  <si>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</si>
  <si>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</si>
  <si>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</si>
  <si>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</si>
  <si>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</si>
  <si>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</si>
  <si>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</si>
  <si>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</si>
  <si>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</si>
  <si>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</si>
  <si>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</si>
  <si>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</si>
  <si>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</si>
  <si>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</si>
  <si>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</si>
  <si>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</si>
  <si>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</si>
  <si>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</si>
  <si>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</si>
  <si>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</si>
  <si>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</si>
  <si>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</si>
  <si>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</si>
  <si>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</si>
  <si>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</si>
  <si>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</si>
  <si>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</si>
  <si>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</si>
  <si>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</si>
  <si>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</si>
  <si>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</si>
  <si>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</si>
  <si>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</si>
  <si>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</si>
  <si>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</si>
  <si>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</si>
  <si>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</si>
  <si>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</si>
  <si>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</si>
  <si>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</si>
  <si>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</si>
  <si>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</si>
  <si>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</si>
  <si>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</si>
  <si>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</si>
  <si>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</si>
  <si>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</si>
  <si>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</si>
  <si>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</si>
  <si>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</si>
  <si>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</si>
  <si>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</si>
  <si>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</si>
  <si>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</si>
  <si>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</si>
  <si>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</si>
  <si>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</si>
  <si>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</si>
  <si>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</si>
  <si>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</si>
  <si>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</si>
  <si>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</si>
  <si>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</si>
  <si>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</si>
  <si>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</si>
  <si>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</si>
  <si>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</si>
  <si>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</si>
  <si>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</si>
  <si>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0.06</t>
  </si>
  <si>
    <t>0.38</t>
  </si>
  <si>
    <t>0.26</t>
  </si>
  <si>
    <t>5.17</t>
  </si>
  <si>
    <t>4.25</t>
  </si>
  <si>
    <t>4.13</t>
  </si>
  <si>
    <t>4.80</t>
  </si>
  <si>
    <t>5.57</t>
  </si>
  <si>
    <t>Country</t>
  </si>
  <si>
    <t>Correl ROI y Expected ROI</t>
  </si>
  <si>
    <t>1.71</t>
  </si>
  <si>
    <t>2.23</t>
  </si>
  <si>
    <t>mean</t>
  </si>
  <si>
    <t>4.14</t>
  </si>
  <si>
    <t>median</t>
  </si>
  <si>
    <t>1.03</t>
  </si>
  <si>
    <t>p25</t>
  </si>
  <si>
    <t>6.23</t>
  </si>
  <si>
    <t>p75</t>
  </si>
  <si>
    <t>1.05</t>
  </si>
  <si>
    <t>0.99</t>
  </si>
  <si>
    <t>0.07</t>
  </si>
  <si>
    <t>0.55</t>
  </si>
  <si>
    <t>5.65</t>
  </si>
  <si>
    <t>5.60</t>
  </si>
  <si>
    <t>Gracias a las nuevas métricas de G/P sin bank en test, me di cuenta de que:</t>
  </si>
  <si>
    <t>5.74</t>
  </si>
  <si>
    <t>La rentabilidad en ITA está en el visitante y no en el empate como creía.</t>
  </si>
  <si>
    <t>5.66</t>
  </si>
  <si>
    <t>La rentabilidad en ENG y GER está en el empate tal como creía.</t>
  </si>
  <si>
    <t>5.16</t>
  </si>
  <si>
    <t>En SPA esta repartido aunque Empate saca una ventaja.</t>
  </si>
  <si>
    <t>9.57</t>
  </si>
  <si>
    <t>En FRA, depende el modelo. A veces local, a veces, empate.</t>
  </si>
  <si>
    <t>3.41</t>
  </si>
  <si>
    <t>Si en FRA empate no rinde, no tiene sentido exigirle una buena distrib en empate… → Tiene sentido pero al parecer si importa el empate puesto que el modelo que gana se basa en empate.</t>
  </si>
  <si>
    <t>5.99</t>
  </si>
  <si>
    <t>4.88</t>
  </si>
  <si>
    <t>1.27</t>
  </si>
  <si>
    <t>2.92</t>
  </si>
  <si>
    <t>3.13</t>
  </si>
  <si>
    <t>2.22</t>
  </si>
  <si>
    <t>0.90</t>
  </si>
  <si>
    <t>0.54</t>
  </si>
  <si>
    <t>2.83</t>
  </si>
  <si>
    <t>0.39</t>
  </si>
  <si>
    <t>3.85</t>
  </si>
  <si>
    <t>7.31</t>
  </si>
  <si>
    <t>7.60</t>
  </si>
  <si>
    <t>6.51</t>
  </si>
  <si>
    <t>2.50</t>
  </si>
  <si>
    <t>2.72</t>
  </si>
  <si>
    <t>2.62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</si>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</sst>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4754.0</v>
      </c>
      <c r="E4" s="13" t="s">
        <v>13</v>
      </c>
      <c r="F4" s="14"/>
      <c r="G4" s="15">
        <v>10.0</v>
      </c>
      <c r="H4" s="15">
        <v>140.0</v>
      </c>
      <c r="I4" s="15">
        <v>95.0</v>
      </c>
      <c r="J4" s="17">
        <f t="shared" ref="J4:J8" si="1">IFERROR(AVERAGE(G4:I4),"")</f>
        <v>81.66666667</v>
      </c>
      <c r="K4" s="24">
        <f>F4*'Data preparation'!$C$2</f>
        <v>0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1940.0</v>
      </c>
      <c r="E5" s="13" t="s">
        <v>13</v>
      </c>
      <c r="F5" s="14"/>
      <c r="G5" s="15">
        <v>10.0</v>
      </c>
      <c r="H5" s="15">
        <v>200.0</v>
      </c>
      <c r="I5" s="15">
        <v>110.0</v>
      </c>
      <c r="J5" s="17">
        <f t="shared" si="1"/>
        <v>106.6666667</v>
      </c>
      <c r="K5" s="24">
        <f>F5*'Data preparation'!$C$2</f>
        <v>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4944.0</v>
      </c>
      <c r="E6" s="13" t="s">
        <v>13</v>
      </c>
      <c r="F6" s="14"/>
      <c r="G6" s="15">
        <v>10.0</v>
      </c>
      <c r="H6" s="15">
        <v>110.0</v>
      </c>
      <c r="I6" s="15">
        <v>140.0</v>
      </c>
      <c r="J6" s="17">
        <f t="shared" si="1"/>
        <v>86.66666667</v>
      </c>
      <c r="K6" s="24">
        <f>F6*'Data preparation'!$C$2</f>
        <v>0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2406.0</v>
      </c>
      <c r="E7" s="13" t="s">
        <v>13</v>
      </c>
      <c r="F7" s="14"/>
      <c r="G7" s="15">
        <v>80.0</v>
      </c>
      <c r="H7" s="15">
        <v>50.0</v>
      </c>
      <c r="I7" s="15">
        <v>10.0</v>
      </c>
      <c r="J7" s="17">
        <f t="shared" si="1"/>
        <v>46.66666667</v>
      </c>
      <c r="K7" s="24">
        <f>F7*'Data preparation'!$C$2</f>
        <v>0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2232.0</v>
      </c>
      <c r="E8" s="13" t="s">
        <v>13</v>
      </c>
      <c r="F8" s="14"/>
      <c r="G8" s="15">
        <v>80.0</v>
      </c>
      <c r="H8" s="15">
        <v>170.0</v>
      </c>
      <c r="I8" s="15">
        <v>50.0</v>
      </c>
      <c r="J8" s="17">
        <f t="shared" si="1"/>
        <v>100</v>
      </c>
      <c r="K8" s="24">
        <f>F8*'Data preparation'!$C$2</f>
        <v>0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0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3.436428571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0.06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0.38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0.26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5.17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4.25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4.13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4.8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5.57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1.71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2.23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4.14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190</v>
      </c>
      <c r="D50" s="102">
        <f t="shared" si="17"/>
        <v>1.03</v>
      </c>
      <c r="G50" s="116" t="s">
        <v>28</v>
      </c>
      <c r="H50" s="117">
        <v>0.497437843674554</v>
      </c>
      <c r="J50" s="26" t="s">
        <v>191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192</v>
      </c>
      <c r="D51" s="102">
        <f t="shared" si="17"/>
        <v>6.23</v>
      </c>
      <c r="G51" s="116" t="s">
        <v>24</v>
      </c>
      <c r="H51" s="117">
        <v>0.247446036291655</v>
      </c>
      <c r="J51" s="26" t="s">
        <v>193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137</v>
      </c>
      <c r="D52" s="102">
        <f t="shared" si="17"/>
        <v>2.74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194</v>
      </c>
      <c r="D53" s="102">
        <f t="shared" si="17"/>
        <v>1.05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195</v>
      </c>
      <c r="D54" s="102">
        <f t="shared" si="17"/>
        <v>0.99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196</v>
      </c>
      <c r="D55" s="102">
        <f t="shared" si="17"/>
        <v>0.07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197</v>
      </c>
      <c r="D56" s="102">
        <f t="shared" si="17"/>
        <v>0.55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198</v>
      </c>
      <c r="D57" s="102">
        <f t="shared" si="17"/>
        <v>5.65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199</v>
      </c>
      <c r="D58" s="102">
        <f t="shared" si="17"/>
        <v>5.6</v>
      </c>
      <c r="G58" s="118" t="s">
        <v>200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201</v>
      </c>
      <c r="D59" s="102">
        <f t="shared" si="17"/>
        <v>5.74</v>
      </c>
      <c r="G59" s="119"/>
      <c r="H59" s="120" t="s">
        <v>202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203</v>
      </c>
      <c r="D60" s="102">
        <f t="shared" si="17"/>
        <v>5.66</v>
      </c>
      <c r="G60" s="119"/>
      <c r="H60" s="120" t="s">
        <v>204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205</v>
      </c>
      <c r="D61" s="102">
        <f t="shared" si="17"/>
        <v>5.16</v>
      </c>
      <c r="G61" s="119"/>
      <c r="H61" s="120" t="s">
        <v>206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207</v>
      </c>
      <c r="D62" s="102">
        <f t="shared" si="17"/>
        <v>9.57</v>
      </c>
      <c r="G62" s="119"/>
      <c r="H62" s="120" t="s">
        <v>208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209</v>
      </c>
      <c r="D63" s="102">
        <f t="shared" si="17"/>
        <v>3.41</v>
      </c>
      <c r="G63" s="119"/>
      <c r="H63" s="120" t="s">
        <v>210</v>
      </c>
      <c r="P63" s="100">
        <v>0.0</v>
      </c>
      <c r="AE63" s="26">
        <v>43.45</v>
      </c>
      <c r="AF63" s="26">
        <v>-44.18</v>
      </c>
    </row>
    <row r="64">
      <c r="C64" s="114" t="s">
        <v>211</v>
      </c>
      <c r="D64" s="102">
        <f t="shared" si="17"/>
        <v>5.99</v>
      </c>
      <c r="P64" s="100">
        <v>1.0</v>
      </c>
      <c r="AE64" s="26">
        <v>43.36</v>
      </c>
      <c r="AF64" s="26">
        <v>-27.6</v>
      </c>
    </row>
    <row r="65">
      <c r="C65" s="114" t="s">
        <v>212</v>
      </c>
      <c r="D65" s="102">
        <f t="shared" si="17"/>
        <v>4.88</v>
      </c>
      <c r="P65" s="100">
        <v>2.0</v>
      </c>
      <c r="AE65" s="26">
        <v>42.74</v>
      </c>
      <c r="AF65" s="26">
        <v>-59.18</v>
      </c>
    </row>
    <row r="66">
      <c r="C66" s="114" t="s">
        <v>213</v>
      </c>
      <c r="D66" s="102">
        <f t="shared" si="17"/>
        <v>1.27</v>
      </c>
      <c r="P66" s="100">
        <v>0.0</v>
      </c>
      <c r="AE66" s="26">
        <v>42.18</v>
      </c>
      <c r="AF66" s="26">
        <v>-37.16</v>
      </c>
    </row>
    <row r="67">
      <c r="C67" s="114" t="s">
        <v>214</v>
      </c>
      <c r="D67" s="102">
        <f t="shared" si="17"/>
        <v>2.92</v>
      </c>
      <c r="P67" s="100">
        <v>0.0</v>
      </c>
      <c r="AE67" s="26">
        <v>40.68</v>
      </c>
      <c r="AF67" s="26">
        <v>223.42</v>
      </c>
    </row>
    <row r="68">
      <c r="C68" s="114" t="s">
        <v>215</v>
      </c>
      <c r="D68" s="102">
        <f t="shared" si="17"/>
        <v>3.13</v>
      </c>
      <c r="P68" s="100">
        <v>1.0</v>
      </c>
      <c r="AE68" s="26">
        <v>39.22</v>
      </c>
      <c r="AF68" s="26">
        <v>-20.09</v>
      </c>
    </row>
    <row r="69">
      <c r="C69" s="114" t="s">
        <v>216</v>
      </c>
      <c r="D69" s="102">
        <f t="shared" si="17"/>
        <v>2.22</v>
      </c>
      <c r="P69" s="100">
        <v>2.0</v>
      </c>
      <c r="AE69" s="26">
        <v>38.29</v>
      </c>
      <c r="AF69" s="26">
        <v>-64.28</v>
      </c>
    </row>
    <row r="70">
      <c r="C70" s="114" t="s">
        <v>217</v>
      </c>
      <c r="D70" s="102">
        <f t="shared" si="17"/>
        <v>0.9</v>
      </c>
      <c r="P70" s="100">
        <v>1.0</v>
      </c>
      <c r="AE70" s="26">
        <v>37.04</v>
      </c>
      <c r="AF70" s="26">
        <v>-46.65</v>
      </c>
    </row>
    <row r="71">
      <c r="C71" s="114" t="s">
        <v>218</v>
      </c>
      <c r="D71" s="102">
        <f t="shared" si="17"/>
        <v>0.54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219</v>
      </c>
      <c r="D72" s="102">
        <f t="shared" si="17"/>
        <v>2.83</v>
      </c>
      <c r="P72" s="100">
        <v>0.0</v>
      </c>
      <c r="AE72" s="26">
        <v>34.32</v>
      </c>
      <c r="AF72" s="26">
        <v>-73.73</v>
      </c>
    </row>
    <row r="73">
      <c r="C73" s="114" t="s">
        <v>220</v>
      </c>
      <c r="D73" s="102">
        <f t="shared" si="17"/>
        <v>0.39</v>
      </c>
      <c r="P73" s="100">
        <v>1.0</v>
      </c>
      <c r="AE73" s="26">
        <v>34.22</v>
      </c>
      <c r="AF73" s="26">
        <v>-18.66</v>
      </c>
    </row>
    <row r="74">
      <c r="C74" s="114" t="s">
        <v>221</v>
      </c>
      <c r="D74" s="102">
        <f t="shared" si="17"/>
        <v>3.85</v>
      </c>
      <c r="P74" s="100">
        <v>0.0</v>
      </c>
      <c r="AE74" s="26">
        <v>33.52</v>
      </c>
      <c r="AF74" s="26">
        <v>-40.62</v>
      </c>
    </row>
    <row r="75">
      <c r="C75" s="114" t="s">
        <v>222</v>
      </c>
      <c r="D75" s="102">
        <f t="shared" si="17"/>
        <v>7.31</v>
      </c>
      <c r="P75" s="100">
        <v>1.0</v>
      </c>
      <c r="AE75" s="26">
        <v>33.35</v>
      </c>
      <c r="AF75" s="26">
        <v>-47.6</v>
      </c>
    </row>
    <row r="76">
      <c r="C76" s="114" t="s">
        <v>223</v>
      </c>
      <c r="D76" s="102">
        <f t="shared" si="17"/>
        <v>7.6</v>
      </c>
      <c r="P76" s="100">
        <v>0.0</v>
      </c>
      <c r="AE76" s="26">
        <v>32.76</v>
      </c>
      <c r="AF76" s="26">
        <v>-24.49</v>
      </c>
    </row>
    <row r="77">
      <c r="C77" s="114" t="s">
        <v>224</v>
      </c>
      <c r="D77" s="102">
        <f t="shared" si="17"/>
        <v>6.51</v>
      </c>
      <c r="P77" s="100">
        <v>0.0</v>
      </c>
      <c r="AE77" s="26">
        <v>31.4</v>
      </c>
      <c r="AF77" s="26">
        <v>-35.28</v>
      </c>
    </row>
    <row r="78">
      <c r="C78" s="114" t="s">
        <v>225</v>
      </c>
      <c r="D78" s="102">
        <f t="shared" si="17"/>
        <v>2.5</v>
      </c>
      <c r="P78" s="100">
        <v>1.0</v>
      </c>
      <c r="AE78" s="26">
        <v>30.17</v>
      </c>
      <c r="AF78" s="26">
        <v>-70.08</v>
      </c>
    </row>
    <row r="79">
      <c r="C79" s="114" t="s">
        <v>226</v>
      </c>
      <c r="D79" s="102">
        <f t="shared" si="17"/>
        <v>2.72</v>
      </c>
      <c r="P79" s="100">
        <v>2.0</v>
      </c>
      <c r="AE79" s="26">
        <v>29.4</v>
      </c>
      <c r="AF79" s="26">
        <v>-10.36</v>
      </c>
    </row>
    <row r="80">
      <c r="C80" s="114" t="s">
        <v>227</v>
      </c>
      <c r="D80" s="102">
        <f t="shared" si="17"/>
        <v>2.62</v>
      </c>
      <c r="P80" s="100">
        <v>1.0</v>
      </c>
      <c r="AE80" s="26">
        <v>28.21</v>
      </c>
      <c r="AF80" s="26">
        <v>-31.91</v>
      </c>
    </row>
    <row r="81">
      <c r="C81" s="114"/>
      <c r="D81" s="102" t="str">
        <f t="shared" si="17"/>
        <v/>
      </c>
      <c r="P81" s="100">
        <v>2.0</v>
      </c>
      <c r="AE81" s="26">
        <v>26.36</v>
      </c>
      <c r="AF81" s="26">
        <v>-55.82</v>
      </c>
    </row>
    <row r="82">
      <c r="C82" s="114"/>
      <c r="D82" s="102" t="str">
        <f t="shared" si="17"/>
        <v/>
      </c>
      <c r="P82" s="100">
        <v>1.0</v>
      </c>
      <c r="AE82" s="26">
        <v>25.78</v>
      </c>
      <c r="AF82" s="26">
        <v>9.54</v>
      </c>
    </row>
    <row r="83">
      <c r="C83" s="114"/>
      <c r="D83" s="102" t="str">
        <f t="shared" si="17"/>
        <v/>
      </c>
      <c r="P83" s="100">
        <v>0.0</v>
      </c>
      <c r="AE83" s="26">
        <v>23.92</v>
      </c>
      <c r="AF83" s="26">
        <v>40.59</v>
      </c>
    </row>
    <row r="84">
      <c r="C84" s="114"/>
      <c r="D84" s="102" t="str">
        <f t="shared" si="17"/>
        <v/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228</v>
      </c>
      <c r="C1" s="128"/>
      <c r="D1" s="128"/>
      <c r="E1" s="128"/>
      <c r="F1" s="128"/>
      <c r="G1" s="129" t="s">
        <v>229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230</v>
      </c>
      <c r="C2" s="132" t="s">
        <v>231</v>
      </c>
      <c r="D2" s="132" t="s">
        <v>171</v>
      </c>
      <c r="E2" s="132" t="s">
        <v>232</v>
      </c>
      <c r="F2" s="133" t="s">
        <v>233</v>
      </c>
      <c r="G2" s="131">
        <v>1.0</v>
      </c>
      <c r="H2" s="132" t="s">
        <v>123</v>
      </c>
      <c r="I2" s="132">
        <v>2.0</v>
      </c>
      <c r="J2" s="132" t="s">
        <v>234</v>
      </c>
      <c r="K2" s="134" t="s">
        <v>235</v>
      </c>
      <c r="L2" s="132" t="s">
        <v>236</v>
      </c>
      <c r="M2" s="135" t="s">
        <v>237</v>
      </c>
      <c r="N2" s="116" t="s">
        <v>238</v>
      </c>
      <c r="O2" s="116" t="s">
        <v>239</v>
      </c>
      <c r="P2" s="116" t="s">
        <v>240</v>
      </c>
      <c r="Q2" s="7"/>
      <c r="R2" s="7"/>
      <c r="S2" s="94" t="s">
        <v>241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242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243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244</v>
      </c>
      <c r="Z6" s="83"/>
      <c r="AD6" s="26" t="s">
        <v>245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246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247</v>
      </c>
      <c r="AA8" s="83"/>
      <c r="AD8" s="145" t="s">
        <v>248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249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250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251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252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253</v>
      </c>
      <c r="M29" s="94" t="s">
        <v>254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255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256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257</v>
      </c>
      <c r="W33" s="26" t="s">
        <v>258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259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259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260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261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262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263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263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263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263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263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264</v>
      </c>
      <c r="V62" s="26" t="s">
        <v>265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266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267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268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269</v>
      </c>
    </row>
    <row r="2">
      <c r="B2" s="7"/>
      <c r="C2" s="165" t="s">
        <v>270</v>
      </c>
      <c r="E2" s="166"/>
      <c r="F2" s="94" t="s">
        <v>271</v>
      </c>
      <c r="H2" s="166"/>
    </row>
    <row r="3">
      <c r="B3" s="115" t="s">
        <v>272</v>
      </c>
      <c r="C3" s="167" t="s">
        <v>273</v>
      </c>
      <c r="D3" s="115" t="s">
        <v>274</v>
      </c>
      <c r="E3" s="168" t="s">
        <v>97</v>
      </c>
      <c r="F3" s="115" t="s">
        <v>275</v>
      </c>
      <c r="G3" s="115" t="s">
        <v>276</v>
      </c>
      <c r="H3" s="115" t="s">
        <v>277</v>
      </c>
    </row>
    <row r="4">
      <c r="B4" s="169" t="s">
        <v>278</v>
      </c>
      <c r="C4" s="170" t="s">
        <v>279</v>
      </c>
      <c r="D4" s="116" t="s">
        <v>280</v>
      </c>
      <c r="E4" s="171" t="s">
        <v>281</v>
      </c>
      <c r="F4" s="172" t="s">
        <v>282</v>
      </c>
      <c r="G4" s="172" t="s">
        <v>283</v>
      </c>
      <c r="H4" s="116"/>
    </row>
    <row r="5">
      <c r="B5" s="169" t="s">
        <v>284</v>
      </c>
      <c r="C5" s="173" t="s">
        <v>285</v>
      </c>
      <c r="D5" s="126"/>
      <c r="E5" s="171" t="s">
        <v>281</v>
      </c>
      <c r="F5" s="174" t="s">
        <v>286</v>
      </c>
      <c r="G5" s="175" t="s">
        <v>287</v>
      </c>
      <c r="H5" s="116"/>
    </row>
    <row r="6">
      <c r="B6" s="169" t="s">
        <v>288</v>
      </c>
      <c r="C6" s="170" t="s">
        <v>279</v>
      </c>
      <c r="D6" s="116" t="s">
        <v>289</v>
      </c>
      <c r="E6" s="171" t="s">
        <v>281</v>
      </c>
      <c r="F6" s="116" t="s">
        <v>266</v>
      </c>
      <c r="G6" s="116"/>
      <c r="H6" s="116"/>
    </row>
    <row r="7">
      <c r="B7" s="116" t="s">
        <v>290</v>
      </c>
      <c r="C7" s="176" t="s">
        <v>291</v>
      </c>
      <c r="D7" s="116"/>
      <c r="E7" s="177" t="s">
        <v>292</v>
      </c>
      <c r="F7" s="170" t="s">
        <v>293</v>
      </c>
      <c r="G7" s="116"/>
      <c r="H7" s="116" t="s">
        <v>294</v>
      </c>
    </row>
    <row r="8">
      <c r="B8" s="178" t="s">
        <v>295</v>
      </c>
      <c r="C8" s="179" t="s">
        <v>296</v>
      </c>
      <c r="D8" s="180"/>
      <c r="E8" s="178" t="s">
        <v>297</v>
      </c>
      <c r="F8" s="181" t="s">
        <v>298</v>
      </c>
      <c r="G8" s="182" t="s">
        <v>299</v>
      </c>
      <c r="H8" s="180"/>
    </row>
    <row r="9">
      <c r="B9" s="19" t="s">
        <v>300</v>
      </c>
      <c r="C9" s="183" t="s">
        <v>296</v>
      </c>
      <c r="D9" s="74"/>
      <c r="E9" s="74"/>
      <c r="F9" s="146"/>
      <c r="G9" s="74"/>
      <c r="H9" s="74"/>
    </row>
    <row r="10">
      <c r="B10" s="19" t="s">
        <v>301</v>
      </c>
      <c r="C10" s="146"/>
      <c r="D10" s="74"/>
      <c r="E10" s="74"/>
      <c r="F10" s="146"/>
      <c r="G10" s="172" t="s">
        <v>283</v>
      </c>
      <c r="H10" s="74"/>
    </row>
    <row r="11">
      <c r="B11" s="19" t="s">
        <v>302</v>
      </c>
      <c r="C11" s="146"/>
      <c r="D11" s="74"/>
      <c r="E11" s="74"/>
      <c r="F11" s="146"/>
      <c r="G11" s="184" t="s">
        <v>303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304</v>
      </c>
      <c r="L1" s="8"/>
    </row>
    <row r="2">
      <c r="L2" s="8"/>
    </row>
    <row r="3">
      <c r="A3" s="26" t="s">
        <v>305</v>
      </c>
      <c r="L3" s="8"/>
    </row>
    <row r="4">
      <c r="B4" s="26" t="s">
        <v>306</v>
      </c>
      <c r="G4" s="26" t="s">
        <v>307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308</v>
      </c>
    </row>
    <row r="13">
      <c r="A13" s="34" t="s">
        <v>309</v>
      </c>
    </row>
    <row r="14">
      <c r="A14" s="26" t="s">
        <v>310</v>
      </c>
    </row>
    <row r="15">
      <c r="B15" s="185" t="s">
        <v>311</v>
      </c>
    </row>
    <row r="18">
      <c r="A18" s="34" t="s">
        <v>312</v>
      </c>
    </row>
    <row r="19">
      <c r="B19" s="26" t="s">
        <v>313</v>
      </c>
      <c r="F19" s="83"/>
    </row>
    <row r="20">
      <c r="B20" s="34" t="s">
        <v>314</v>
      </c>
      <c r="C20" s="36"/>
      <c r="D20" s="36"/>
      <c r="E20" s="36"/>
      <c r="F20" s="36"/>
      <c r="G20" s="34" t="s">
        <v>315</v>
      </c>
      <c r="H20" s="34" t="s">
        <v>316</v>
      </c>
      <c r="I20" s="34" t="s">
        <v>317</v>
      </c>
      <c r="J20" s="34" t="s">
        <v>318</v>
      </c>
      <c r="K20" s="34" t="s">
        <v>319</v>
      </c>
    </row>
    <row r="21">
      <c r="B21" s="34" t="s">
        <v>320</v>
      </c>
      <c r="G21" s="37">
        <v>2.575</v>
      </c>
    </row>
    <row r="23">
      <c r="K23" s="34" t="s">
        <v>321</v>
      </c>
    </row>
    <row r="24">
      <c r="A24" s="26" t="s">
        <v>322</v>
      </c>
      <c r="H24" s="26" t="s">
        <v>171</v>
      </c>
      <c r="I24" s="26" t="s">
        <v>323</v>
      </c>
      <c r="K24" s="26" t="s">
        <v>324</v>
      </c>
      <c r="L24" s="26" t="s">
        <v>325</v>
      </c>
      <c r="M24" s="26" t="s">
        <v>326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327</v>
      </c>
    </row>
    <row r="26">
      <c r="A26" s="26">
        <v>4.52</v>
      </c>
      <c r="B26" s="26">
        <v>1.19</v>
      </c>
      <c r="K26" s="26" t="s">
        <v>328</v>
      </c>
    </row>
    <row r="27">
      <c r="A27" s="26">
        <v>12.04</v>
      </c>
      <c r="B27" s="26">
        <v>2.19</v>
      </c>
      <c r="K27" s="26" t="s">
        <v>329</v>
      </c>
    </row>
    <row r="28">
      <c r="A28" s="26">
        <v>0.63</v>
      </c>
      <c r="B28" s="26">
        <v>0.05</v>
      </c>
      <c r="K28" s="26" t="s">
        <v>330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331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332</v>
      </c>
    </row>
    <row r="42">
      <c r="A42" s="26">
        <v>2.18</v>
      </c>
      <c r="B42" s="26">
        <v>0.69</v>
      </c>
      <c r="K42" s="26" t="s">
        <v>324</v>
      </c>
      <c r="L42" s="26" t="s">
        <v>325</v>
      </c>
      <c r="M42" s="26" t="s">
        <v>326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333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334</v>
      </c>
      <c r="M54" s="187"/>
      <c r="N54" s="79" t="s">
        <v>5</v>
      </c>
      <c r="O54" s="79" t="s">
        <v>335</v>
      </c>
      <c r="P54" s="79" t="s">
        <v>336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337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319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338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339</v>
      </c>
    </row>
    <row r="61">
      <c r="A61" s="26">
        <v>0.65</v>
      </c>
      <c r="B61" s="26">
        <v>0.02</v>
      </c>
      <c r="K61" s="19" t="s">
        <v>318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317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316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