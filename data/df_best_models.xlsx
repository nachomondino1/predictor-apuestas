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/>
  <mc:AlternateContent xmlns:mc="http://schemas.openxmlformats.org/markup-compatibility/2006">
    <mc:Choice Requires="x15">
      <x15ac:absPath xmlns:x15ac="http://schemas.microsoft.com/office/spreadsheetml/2010/11/ac" url="/Users/nachomondino/Downloads/"/>
    </mc:Choice>
  </mc:AlternateContent>
  <xr:revisionPtr revIDLastSave="0" documentId="13_ncr:1_{3B3CAADA-F364-2A47-BF31-FD6DB4EB4293}" xr6:coauthVersionLast="47" xr6:coauthVersionMax="47" xr10:uidLastSave="{00000000-0000-0000-0000-000000000000}"/>
  <bookViews>
    <workbookView xWindow="0" yWindow="880" windowWidth="36000" windowHeight="20740" xr2:uid="{00000000-000D-0000-FFFF-FFFF00000000}"/>
  </bookViews>
  <sheets>
    <sheet name="Modelos actuales" sheetId="1" r:id="rId1"/>
    <sheet name="Modelo semana 24" sheetId="3" state="hidden" r:id="rId2"/>
    <sheet name="Modelo semana 25" sheetId="4" state="hidden" r:id="rId3"/>
    <sheet name="Modelo semana 26" sheetId="5" state="hidden" r:id="rId4"/>
    <sheet name="Modelo semana 27" sheetId="6" state="hidden" r:id="rId5"/>
  </sheets>
  <definedNames>
    <definedName name="_xlnm._FilterDatabase" localSheetId="0" hidden="1">'Modelos actuales'!$A$1:$L$8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" i="6" l="1"/>
  <c r="D72" i="6"/>
  <c r="C72" i="6"/>
  <c r="E55" i="6"/>
  <c r="D55" i="6"/>
  <c r="C55" i="6"/>
  <c r="D38" i="6"/>
  <c r="E38" i="6" s="1"/>
  <c r="C38" i="6"/>
  <c r="D21" i="6"/>
  <c r="E21" i="6" s="1"/>
  <c r="C21" i="6"/>
  <c r="E5" i="6"/>
  <c r="D5" i="6"/>
  <c r="C5" i="6"/>
  <c r="D14" i="5"/>
  <c r="D13" i="5"/>
  <c r="D12" i="5"/>
  <c r="D11" i="5"/>
  <c r="D10" i="5"/>
  <c r="L39" i="4"/>
  <c r="M39" i="4" s="1"/>
  <c r="H39" i="4"/>
  <c r="O39" i="4" s="1"/>
  <c r="O38" i="4"/>
  <c r="L38" i="4"/>
  <c r="M38" i="4" s="1"/>
  <c r="H38" i="4"/>
  <c r="M37" i="4"/>
  <c r="L37" i="4"/>
  <c r="H37" i="4"/>
  <c r="O37" i="4" s="1"/>
  <c r="O36" i="4"/>
  <c r="M36" i="4"/>
  <c r="L36" i="4"/>
  <c r="H36" i="4"/>
  <c r="L35" i="4"/>
  <c r="M35" i="4" s="1"/>
  <c r="H35" i="4"/>
  <c r="O35" i="4" s="1"/>
  <c r="O33" i="4"/>
  <c r="H33" i="4"/>
  <c r="T103" i="3"/>
  <c r="U103" i="3" s="1"/>
  <c r="T102" i="3"/>
  <c r="U102" i="3" s="1"/>
  <c r="U101" i="3"/>
  <c r="T101" i="3"/>
  <c r="T100" i="3"/>
  <c r="U100" i="3" s="1"/>
  <c r="T99" i="3"/>
  <c r="U99" i="3" s="1"/>
  <c r="Q84" i="3"/>
  <c r="P84" i="3"/>
  <c r="R84" i="3" s="1"/>
  <c r="K84" i="3"/>
  <c r="R83" i="3"/>
  <c r="P83" i="3"/>
  <c r="K83" i="3"/>
  <c r="Q83" i="3" s="1"/>
  <c r="R82" i="3"/>
  <c r="Q82" i="3"/>
  <c r="P82" i="3"/>
  <c r="K82" i="3"/>
  <c r="P81" i="3"/>
  <c r="R81" i="3" s="1"/>
  <c r="K81" i="3"/>
  <c r="Q81" i="3" s="1"/>
  <c r="R80" i="3"/>
  <c r="P80" i="3"/>
  <c r="K80" i="3"/>
  <c r="Q80" i="3" s="1"/>
  <c r="N72" i="3"/>
  <c r="K72" i="3"/>
  <c r="M72" i="3" s="1"/>
  <c r="N71" i="3"/>
  <c r="K71" i="3"/>
  <c r="M71" i="3" s="1"/>
  <c r="L70" i="3"/>
  <c r="N70" i="3" s="1"/>
  <c r="K70" i="3"/>
  <c r="M70" i="3" s="1"/>
  <c r="N69" i="3"/>
  <c r="L69" i="3"/>
  <c r="K69" i="3"/>
  <c r="M69" i="3" s="1"/>
  <c r="N68" i="3"/>
  <c r="K68" i="3"/>
  <c r="M68" i="3" s="1"/>
  <c r="AO33" i="3"/>
  <c r="AN33" i="3"/>
  <c r="AM33" i="3"/>
  <c r="AL33" i="3"/>
  <c r="AK33" i="3"/>
  <c r="AJ33" i="3"/>
  <c r="AI33" i="3"/>
  <c r="AH33" i="3"/>
  <c r="AF33" i="3"/>
  <c r="AE33" i="3"/>
  <c r="AD33" i="3"/>
  <c r="AC33" i="3"/>
  <c r="AB33" i="3"/>
  <c r="AA33" i="3"/>
  <c r="Z33" i="3"/>
  <c r="W33" i="3"/>
  <c r="V33" i="3"/>
  <c r="U33" i="3"/>
  <c r="T33" i="3"/>
  <c r="S33" i="3"/>
  <c r="R33" i="3"/>
  <c r="Q33" i="3"/>
  <c r="O33" i="3"/>
  <c r="N33" i="3"/>
  <c r="M33" i="3"/>
  <c r="L33" i="3"/>
  <c r="J33" i="3"/>
  <c r="I33" i="3"/>
  <c r="H33" i="3"/>
  <c r="G33" i="3"/>
  <c r="F33" i="3"/>
  <c r="E33" i="3"/>
  <c r="D33" i="3"/>
  <c r="C33" i="3"/>
  <c r="M6" i="3"/>
  <c r="P6" i="3" s="1"/>
  <c r="M5" i="3"/>
  <c r="P5" i="3" s="1"/>
  <c r="L8" i="1"/>
  <c r="I8" i="1"/>
  <c r="L7" i="1"/>
  <c r="I7" i="1"/>
  <c r="L6" i="1"/>
  <c r="I6" i="1"/>
  <c r="L5" i="1"/>
  <c r="I5" i="1"/>
  <c r="L4" i="1"/>
  <c r="I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4000000}">
      <text>
        <r>
          <rPr>
            <sz val="10"/>
            <color rgb="FF000000"/>
            <rFont val="Arial"/>
            <scheme val="minor"/>
          </rPr>
          <t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  </r>
      </text>
    </comment>
    <comment ref="C1" authorId="0" shapeId="0" xr:uid="{00000000-0006-0000-0000-000001000000}">
      <text>
        <r>
          <rPr>
            <sz val="10"/>
            <color rgb="FF000000"/>
            <rFont val="Arial"/>
            <scheme val="minor"/>
          </rPr>
          <t>Fecha de entrenamiento de modelos</t>
        </r>
      </text>
    </comment>
    <comment ref="J1" authorId="0" shapeId="0" xr:uid="{00000000-0006-0000-0000-000005000000}">
      <text>
        <r>
          <rPr>
            <sz val="10"/>
            <color rgb="FF000000"/>
            <rFont val="Arial"/>
            <scheme val="minor"/>
          </rPr>
          <t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  </r>
      </text>
    </comment>
    <comment ref="K1" authorId="0" shapeId="0" xr:uid="{00000000-0006-0000-0000-000002000000}">
      <text>
        <r>
          <rPr>
            <sz val="10"/>
            <color rgb="FF000000"/>
            <rFont val="Arial"/>
            <scheme val="minor"/>
          </rPr>
          <t>ultima actualizacion: Sabado semana 33</t>
        </r>
      </text>
    </comment>
    <comment ref="L1" authorId="0" shapeId="0" xr:uid="{00000000-0006-0000-0000-000003000000}">
      <text>
        <r>
          <rPr>
            <sz val="10"/>
            <color rgb="FF000000"/>
            <rFont val="Arial"/>
            <scheme val="minor"/>
          </rPr>
          <t>Alarma si llega a 20%. En ese caso, podria ser conveniente reentrenar modellos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65" authorId="0" shapeId="0" xr:uid="{00000000-0006-0000-0200-000001000000}">
      <text>
        <r>
          <rPr>
            <sz val="10"/>
            <color rgb="FF000000"/>
            <rFont val="Arial"/>
            <scheme val="minor"/>
          </rPr>
          <t>Fecha de entrenamiento de modelos</t>
        </r>
      </text>
    </comment>
    <comment ref="M65" authorId="0" shapeId="0" xr:uid="{00000000-0006-0000-0200-000002000000}">
      <text>
        <r>
          <rPr>
            <sz val="10"/>
            <color rgb="FF000000"/>
            <rFont val="Arial"/>
            <scheme val="minor"/>
          </rPr>
          <t xml:space="preserve">los que mas valor tienen suelen tener un rdo mucho mas rentable que otro.
</t>
        </r>
      </text>
    </comment>
    <comment ref="M68" authorId="0" shapeId="0" xr:uid="{00000000-0006-0000-0200-000003000000}">
      <text>
        <r>
          <rPr>
            <sz val="10"/>
            <color rgb="FF000000"/>
            <rFont val="Arial"/>
            <scheme val="minor"/>
          </rPr>
          <t>el empate...</t>
        </r>
      </text>
    </comment>
    <comment ref="E77" authorId="0" shapeId="0" xr:uid="{00000000-0006-0000-0200-000004000000}">
      <text>
        <r>
          <rPr>
            <sz val="10"/>
            <color rgb="FF000000"/>
            <rFont val="Arial"/>
            <scheme val="minor"/>
          </rPr>
          <t>Fecha de entrenamiento de modelos</t>
        </r>
      </text>
    </comment>
    <comment ref="Q77" authorId="0" shapeId="0" xr:uid="{00000000-0006-0000-0200-000005000000}">
      <text>
        <r>
          <rPr>
            <sz val="10"/>
            <color rgb="FF000000"/>
            <rFont val="Arial"/>
            <scheme val="minor"/>
          </rPr>
          <t xml:space="preserve">los que mas valor tienen suelen tener un rdo mucho mas rentable que otro.
</t>
        </r>
      </text>
    </comment>
    <comment ref="Q80" authorId="0" shapeId="0" xr:uid="{00000000-0006-0000-0200-000006000000}">
      <text>
        <r>
          <rPr>
            <sz val="10"/>
            <color rgb="FF000000"/>
            <rFont val="Arial"/>
            <scheme val="minor"/>
          </rPr>
          <t>el empate...</t>
        </r>
      </text>
    </comment>
    <comment ref="E96" authorId="0" shapeId="0" xr:uid="{00000000-0006-0000-0200-000007000000}">
      <text>
        <r>
          <rPr>
            <sz val="10"/>
            <color rgb="FF000000"/>
            <rFont val="Arial"/>
            <scheme val="minor"/>
          </rPr>
          <t>Fecha de entrenamiento de modelos</t>
        </r>
      </text>
    </comment>
    <comment ref="P96" authorId="0" shapeId="0" xr:uid="{00000000-0006-0000-0200-000008000000}">
      <text>
        <r>
          <rPr>
            <sz val="10"/>
            <color rgb="FF000000"/>
            <rFont val="Arial"/>
            <scheme val="minor"/>
          </rPr>
          <t xml:space="preserve">los que mas valor tienen suelen tener un rdo mucho mas rentable que otro.
</t>
        </r>
      </text>
    </comment>
    <comment ref="P99" authorId="0" shapeId="0" xr:uid="{00000000-0006-0000-0200-000009000000}">
      <text>
        <r>
          <rPr>
            <sz val="10"/>
            <color rgb="FF000000"/>
            <rFont val="Arial"/>
            <scheme val="minor"/>
          </rPr>
          <t>el empate...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2" authorId="0" shapeId="0" xr:uid="{00000000-0006-0000-0300-000001000000}">
      <text>
        <r>
          <rPr>
            <sz val="10"/>
            <color rgb="FF000000"/>
            <rFont val="Arial"/>
            <scheme val="minor"/>
          </rPr>
          <t>Fecha de entrenamiento de modelos</t>
        </r>
      </text>
    </comment>
    <comment ref="O32" authorId="0" shapeId="0" xr:uid="{00000000-0006-0000-0300-000002000000}">
      <text>
        <r>
          <rPr>
            <sz val="10"/>
            <color rgb="FF000000"/>
            <rFont val="Arial"/>
            <scheme val="minor"/>
          </rPr>
          <t xml:space="preserve">los que mas valor tienen suelen tener un rdo mucho mas rentable que otro.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0" authorId="0" shapeId="0" xr:uid="{00000000-0006-0000-0400-000001000000}">
      <text>
        <r>
          <rPr>
            <sz val="10"/>
            <color rgb="FF000000"/>
            <rFont val="Arial"/>
            <scheme val="minor"/>
          </rPr>
          <t>no el mejor pero el de los menos golpeados</t>
        </r>
      </text>
    </comment>
    <comment ref="H18" authorId="0" shapeId="0" xr:uid="{00000000-0006-0000-0400-000002000000}">
      <text>
        <r>
          <rPr>
            <sz val="10"/>
            <color rgb="FF000000"/>
            <rFont val="Arial"/>
            <scheme val="minor"/>
          </rPr>
          <t xml:space="preserve">344
1,484
</t>
        </r>
      </text>
    </comment>
    <comment ref="I18" authorId="0" shapeId="0" xr:uid="{00000000-0006-0000-0400-000003000000}">
      <text>
        <r>
          <rPr>
            <sz val="10"/>
            <color rgb="FF000000"/>
            <rFont val="Arial"/>
            <scheme val="minor"/>
          </rPr>
          <t>no se.</t>
        </r>
      </text>
    </comment>
    <comment ref="H20" authorId="0" shapeId="0" xr:uid="{00000000-0006-0000-0400-000004000000}">
      <text>
        <r>
          <rPr>
            <sz val="10"/>
            <color rgb="FF000000"/>
            <rFont val="Arial"/>
            <scheme val="minor"/>
          </rPr>
          <t>a lo sumo 1082</t>
        </r>
      </text>
    </comment>
  </commentList>
</comments>
</file>

<file path=xl/sharedStrings.xml><?xml version="1.0" encoding="utf-8"?>
<sst xmlns="http://schemas.openxmlformats.org/spreadsheetml/2006/main" count="281" uniqueCount="115">
  <si>
    <t>id_country</t>
  </si>
  <si>
    <t>country</t>
  </si>
  <si>
    <t>iteration_date</t>
  </si>
  <si>
    <t>n_model</t>
  </si>
  <si>
    <t>model_name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</si>
  <si>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</si>
  <si>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</si>
  <si>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</si>
  <si>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</si>
  <si>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</si>
  <si>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</si>
  <si>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</si>
  <si>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</si>
  <si>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</si>
  <si>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</si>
  <si>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</si>
  <si>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RandomForestClassifier</t>
  </si>
  <si>
    <t>france</t>
  </si>
  <si>
    <t>XGBClassifier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</si>
  <si>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</si>
  <si>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</si>
  <si>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</si>
  <si>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</si>
  <si>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</si>
  <si>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</si>
  <si>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</si>
  <si>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</si>
  <si>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</si>
  <si>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</si>
  <si>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</si>
  <si>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</si>
  <si>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</si>
  <si>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</si>
  <si>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</si>
  <si>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</si>
  <si>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</si>
  <si>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</si>
  <si>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</si>
  <si>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</si>
  <si>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</si>
  <si>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</si>
  <si>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</si>
  <si>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</si>
  <si>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</si>
  <si>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</si>
  <si>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</si>
  <si>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</si>
  <si>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</si>
  <si>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</si>
  <si>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</si>
  <si>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</si>
  <si>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</si>
  <si>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</si>
  <si>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</si>
  <si>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</si>
  <si>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</si>
  <si>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b/>
        <sz val="10"/>
        <color theme="1"/>
        <rFont val="Arial"/>
        <family val="2"/>
      </rPr>
      <t xml:space="preserve">Tabla. </t>
    </r>
    <r>
      <rPr>
        <sz val="10"/>
        <color theme="1"/>
        <rFont val="Arial"/>
        <family val="2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</si>
  <si>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</si>
  <si>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</si>
  <si>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</si>
  <si>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</si>
  <si>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</si>
  <si>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</si>
  <si>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</si>
  <si>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</si>
  <si>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</si>
  <si>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</si>
  <si>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</si>
  <si>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</si>
  <si>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</si>
  <si>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</si>
  <si>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</si>
  <si>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</si>
  <si>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</si>
  <si>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</si>
  <si>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</si>
  <si>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</si>
  <si>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</si>
  <si>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</si>
  <si>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</si>
  <si>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</si>
  <si>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</si>
  <si>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</si>
  <si>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</si>
  <si>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b/>
        <sz val="10"/>
        <color theme="1"/>
        <rFont val="Arial"/>
        <family val="2"/>
      </rPr>
      <t>Por recall</t>
    </r>
    <r>
      <rPr>
        <sz val="10"/>
        <color theme="1"/>
        <rFont val="Arial"/>
        <family val="2"/>
      </rPr>
      <t>. No last matches. 
Por expected ROI? Hubiera seleccionado el 411.</t>
    </r>
  </si>
  <si>
    <t>1,216
1,016
1,015
1,270</t>
  </si>
  <si>
    <r>
      <rPr>
        <b/>
        <sz val="10"/>
        <color theme="1"/>
        <rFont val="Arial"/>
        <family val="2"/>
      </rPr>
      <t xml:space="preserve">Por recall en last 50. </t>
    </r>
    <r>
      <rPr>
        <sz val="10"/>
        <color theme="1"/>
        <rFont val="Arial"/>
        <family val="2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</si>
  <si>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</si>
  <si>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</si>
  <si>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</si>
  <si>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</si>
  <si>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</si>
  <si>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</si>
  <si>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</si>
  <si>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</si>
  <si>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</si>
  <si>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</si>
  <si>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</si>
  <si>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</si>
  <si>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</si>
  <si>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</si>
  <si>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b/>
        <sz val="10"/>
        <color theme="1"/>
        <rFont val="Arial"/>
        <family val="2"/>
      </rPr>
      <t>Cambio en seleccion:</t>
    </r>
    <r>
      <rPr>
        <sz val="10"/>
        <color theme="1"/>
        <rFont val="Arial"/>
        <family val="2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</si>
  <si>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</si>
  <si>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</si>
  <si>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b/>
        <sz val="10"/>
        <color theme="1"/>
        <rFont val="Arial"/>
        <family val="2"/>
      </rPr>
      <t>antes</t>
    </r>
    <r>
      <rPr>
        <sz val="10"/>
        <color theme="1"/>
        <rFont val="Arial"/>
        <family val="2"/>
      </rPr>
      <t xml:space="preserve">: seleccionando modelos por recall. </t>
    </r>
  </si>
  <si>
    <t>ROI</t>
  </si>
  <si>
    <r>
      <rPr>
        <b/>
        <sz val="10"/>
        <color theme="1"/>
        <rFont val="Arial"/>
        <family val="2"/>
      </rPr>
      <t>despues</t>
    </r>
    <r>
      <rPr>
        <sz val="10"/>
        <color theme="1"/>
        <rFont val="Arial"/>
        <family val="2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</si>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</sst>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yyyy&quot;-&quot;mm&quot;-&quot;dd"/>
    <numFmt numFmtId="165" formatCode="0.000"/>
    <numFmt numFmtId="166" formatCode="0.0"/>
  </numFmts>
  <fonts count="1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  <scheme val="minor"/>
    </font>
    <font>
      <b/>
      <sz val="9"/>
      <color rgb="FF000000"/>
      <name val="Arial"/>
      <family val="2"/>
    </font>
    <font>
      <b/>
      <sz val="9"/>
      <color theme="1"/>
      <name val="Arial"/>
      <family val="2"/>
    </font>
    <font>
      <b/>
      <sz val="9"/>
      <color theme="1"/>
      <name val="Arial"/>
      <family val="2"/>
      <scheme val="minor"/>
    </font>
    <font>
      <sz val="9"/>
      <color theme="1"/>
      <name val="Google Sans Mono"/>
    </font>
  </fonts>
  <fills count="17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7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dotted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3" fontId="5" fillId="0" borderId="5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5" fontId="3" fillId="5" borderId="3" xfId="0" applyNumberFormat="1" applyFont="1" applyFill="1" applyBorder="1" applyAlignment="1">
      <alignment horizontal="center" vertical="center" wrapText="1"/>
    </xf>
    <xf numFmtId="165" fontId="3" fillId="5" borderId="0" xfId="0" applyNumberFormat="1" applyFont="1" applyFill="1" applyAlignment="1">
      <alignment horizontal="center" vertical="center" wrapText="1"/>
    </xf>
    <xf numFmtId="10" fontId="3" fillId="0" borderId="4" xfId="0" applyNumberFormat="1" applyFont="1" applyBorder="1" applyAlignment="1">
      <alignment horizontal="center" vertical="center"/>
    </xf>
    <xf numFmtId="166" fontId="3" fillId="0" borderId="0" xfId="0" applyNumberFormat="1" applyFont="1"/>
    <xf numFmtId="2" fontId="3" fillId="0" borderId="0" xfId="0" applyNumberFormat="1" applyFont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3" fillId="6" borderId="0" xfId="0" applyFont="1" applyFill="1"/>
    <xf numFmtId="0" fontId="3" fillId="0" borderId="0" xfId="0" applyFont="1"/>
    <xf numFmtId="0" fontId="3" fillId="7" borderId="0" xfId="0" applyFont="1" applyFill="1"/>
    <xf numFmtId="0" fontId="3" fillId="8" borderId="0" xfId="0" applyFont="1" applyFill="1"/>
    <xf numFmtId="0" fontId="4" fillId="0" borderId="0" xfId="0" applyFont="1"/>
    <xf numFmtId="1" fontId="4" fillId="0" borderId="0" xfId="0" applyNumberFormat="1" applyFont="1"/>
    <xf numFmtId="3" fontId="3" fillId="0" borderId="0" xfId="0" applyNumberFormat="1" applyFont="1"/>
    <xf numFmtId="164" fontId="3" fillId="0" borderId="0" xfId="0" applyNumberFormat="1" applyFont="1"/>
    <xf numFmtId="1" fontId="3" fillId="0" borderId="0" xfId="0" applyNumberFormat="1" applyFont="1"/>
    <xf numFmtId="1" fontId="3" fillId="6" borderId="0" xfId="0" applyNumberFormat="1" applyFont="1" applyFill="1"/>
    <xf numFmtId="1" fontId="3" fillId="9" borderId="0" xfId="0" applyNumberFormat="1" applyFont="1" applyFill="1"/>
    <xf numFmtId="0" fontId="3" fillId="10" borderId="0" xfId="0" applyFont="1" applyFill="1"/>
    <xf numFmtId="3" fontId="3" fillId="7" borderId="0" xfId="0" applyNumberFormat="1" applyFont="1" applyFill="1"/>
    <xf numFmtId="0" fontId="3" fillId="11" borderId="0" xfId="0" applyFont="1" applyFill="1"/>
    <xf numFmtId="0" fontId="3" fillId="5" borderId="0" xfId="0" applyFont="1" applyFill="1"/>
    <xf numFmtId="0" fontId="6" fillId="0" borderId="0" xfId="0" applyFont="1"/>
    <xf numFmtId="0" fontId="4" fillId="10" borderId="0" xfId="0" applyFont="1" applyFill="1"/>
    <xf numFmtId="3" fontId="4" fillId="10" borderId="0" xfId="0" applyNumberFormat="1" applyFont="1" applyFill="1"/>
    <xf numFmtId="3" fontId="4" fillId="0" borderId="0" xfId="0" applyNumberFormat="1" applyFont="1"/>
    <xf numFmtId="0" fontId="4" fillId="11" borderId="0" xfId="0" applyFont="1" applyFill="1"/>
    <xf numFmtId="0" fontId="5" fillId="0" borderId="0" xfId="0" applyFont="1" applyAlignment="1">
      <alignment horizontal="right"/>
    </xf>
    <xf numFmtId="1" fontId="3" fillId="0" borderId="0" xfId="0" applyNumberFormat="1" applyFont="1" applyAlignment="1">
      <alignment horizontal="center" vertical="center" wrapText="1"/>
    </xf>
    <xf numFmtId="1" fontId="3" fillId="12" borderId="0" xfId="0" applyNumberFormat="1" applyFont="1" applyFill="1" applyAlignment="1">
      <alignment horizontal="center" vertical="center" wrapText="1"/>
    </xf>
    <xf numFmtId="0" fontId="3" fillId="12" borderId="0" xfId="0" applyFont="1" applyFill="1" applyAlignment="1">
      <alignment horizontal="center" vertical="center" wrapText="1"/>
    </xf>
    <xf numFmtId="164" fontId="5" fillId="4" borderId="5" xfId="0" applyNumberFormat="1" applyFont="1" applyFill="1" applyBorder="1" applyAlignment="1">
      <alignment horizontal="center" vertical="center"/>
    </xf>
    <xf numFmtId="1" fontId="3" fillId="13" borderId="0" xfId="0" applyNumberFormat="1" applyFont="1" applyFill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10" borderId="0" xfId="0" applyFont="1" applyFill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wrapText="1"/>
    </xf>
    <xf numFmtId="4" fontId="3" fillId="0" borderId="0" xfId="0" applyNumberFormat="1" applyFont="1"/>
    <xf numFmtId="0" fontId="3" fillId="0" borderId="4" xfId="0" applyFont="1" applyBorder="1" applyAlignment="1">
      <alignment horizontal="center" vertical="center" wrapText="1"/>
    </xf>
    <xf numFmtId="0" fontId="3" fillId="15" borderId="0" xfId="0" applyFont="1" applyFill="1" applyAlignment="1">
      <alignment horizontal="center" vertical="center" wrapText="1"/>
    </xf>
    <xf numFmtId="1" fontId="3" fillId="15" borderId="0" xfId="0" applyNumberFormat="1" applyFont="1" applyFill="1" applyAlignment="1">
      <alignment horizontal="center" vertical="center" wrapText="1"/>
    </xf>
    <xf numFmtId="1" fontId="3" fillId="0" borderId="4" xfId="0" applyNumberFormat="1" applyFont="1" applyBorder="1" applyAlignment="1">
      <alignment horizontal="center" vertical="center"/>
    </xf>
    <xf numFmtId="0" fontId="3" fillId="16" borderId="0" xfId="0" applyFont="1" applyFill="1" applyAlignment="1">
      <alignment horizontal="center" vertical="center"/>
    </xf>
    <xf numFmtId="1" fontId="3" fillId="16" borderId="0" xfId="0" applyNumberFormat="1" applyFont="1" applyFill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3" fontId="5" fillId="7" borderId="1" xfId="0" applyNumberFormat="1" applyFont="1" applyFill="1" applyBorder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9" fontId="3" fillId="0" borderId="0" xfId="0" applyNumberFormat="1" applyFont="1"/>
    <xf numFmtId="0" fontId="3" fillId="0" borderId="0" xfId="0" applyFont="1" applyAlignment="1">
      <alignment vertical="center"/>
    </xf>
    <xf numFmtId="0" fontId="3" fillId="9" borderId="0" xfId="0" applyFont="1" applyFill="1"/>
    <xf numFmtId="10" fontId="3" fillId="0" borderId="0" xfId="0" applyNumberFormat="1" applyFont="1"/>
  </cellXfs>
  <cellStyles count="1">
    <cellStyle name="Normal" xfId="0" builtinId="0"/>
  </cellStyles>
  <dxfs count="12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4">
    <tableStyle name="Metricas semana 35 - roi-style" pivot="0" count="3" xr9:uid="{00000000-0011-0000-FFFF-FFFF00000000}">
      <tableStyleElement type="headerRow" dxfId="11"/>
      <tableStyleElement type="firstRowStripe" dxfId="10"/>
      <tableStyleElement type="secondRowStripe" dxfId="9"/>
    </tableStyle>
    <tableStyle name="Metricas semana 35 - roi-style 2" pivot="0" count="3" xr9:uid="{00000000-0011-0000-FFFF-FFFF01000000}">
      <tableStyleElement type="headerRow" dxfId="8"/>
      <tableStyleElement type="firstRowStripe" dxfId="7"/>
      <tableStyleElement type="secondRowStripe" dxfId="6"/>
    </tableStyle>
    <tableStyle name="Metricas semana 35 - f1_score-style" pivot="0" count="3" xr9:uid="{00000000-0011-0000-FFFF-FFFF02000000}">
      <tableStyleElement type="headerRow" dxfId="5"/>
      <tableStyleElement type="firstRowStripe" dxfId="4"/>
      <tableStyleElement type="secondRowStripe" dxfId="3"/>
    </tableStyle>
    <tableStyle name="Metricas semana 35 - f1_score-style 2" pivot="0" count="3" xr9:uid="{00000000-0011-0000-FFFF-FFFF03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9"/>
  <sheetViews>
    <sheetView showGridLines="0" tabSelected="1" zoomScale="188" workbookViewId="0">
      <pane xSplit="2" ySplit="1" topLeftCell="C4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.75" customHeight="1"/>
  <cols>
    <col min="3" max="3" width="14.6640625" customWidth="1"/>
    <col min="5" max="5" width="18.83203125" customWidth="1"/>
    <col min="6" max="9" width="10.1640625" customWidth="1"/>
  </cols>
  <sheetData>
    <row r="1" spans="1:12" ht="28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6" t="s">
        <v>10</v>
      </c>
      <c r="L1" s="7" t="s">
        <v>11</v>
      </c>
    </row>
    <row r="2" spans="1:12" ht="39" hidden="1" customHeight="1">
      <c r="A2" s="8">
        <v>6</v>
      </c>
      <c r="B2" s="9" t="s">
        <v>12</v>
      </c>
      <c r="C2" s="10">
        <v>45694</v>
      </c>
      <c r="D2" s="11">
        <v>1</v>
      </c>
      <c r="E2" s="12" t="s">
        <v>13</v>
      </c>
      <c r="F2" s="13"/>
      <c r="G2" s="13"/>
      <c r="H2" s="13"/>
      <c r="I2" s="13"/>
      <c r="J2" s="14"/>
      <c r="L2" s="15"/>
    </row>
    <row r="3" spans="1:12" ht="13" hidden="1">
      <c r="A3" s="16">
        <v>167</v>
      </c>
      <c r="B3" s="16" t="s">
        <v>14</v>
      </c>
      <c r="C3" s="10"/>
      <c r="D3" s="10"/>
      <c r="E3" s="10"/>
      <c r="F3" s="17"/>
      <c r="G3" s="17"/>
      <c r="H3" s="17"/>
      <c r="I3" s="17"/>
      <c r="J3" s="14"/>
      <c r="L3" s="15"/>
    </row>
    <row r="4" spans="1:12" ht="13">
      <c r="A4" s="18">
        <v>48</v>
      </c>
      <c r="B4" s="19" t="s">
        <v>15</v>
      </c>
      <c r="C4" s="10">
        <v>45784</v>
      </c>
      <c r="D4" s="12">
        <v>93</v>
      </c>
      <c r="E4" s="12" t="s">
        <v>16</v>
      </c>
      <c r="I4" s="17" t="e">
        <f t="shared" ref="I4:I8" si="0">AVERAGE(F4:H4)</f>
        <v>#DIV/0!</v>
      </c>
      <c r="J4" s="20"/>
      <c r="K4" s="21"/>
      <c r="L4" s="22" t="e">
        <f t="shared" ref="L4:L8" si="1">(K4-J4)/J4</f>
        <v>#DIV/0!</v>
      </c>
    </row>
    <row r="5" spans="1:12" ht="13">
      <c r="A5" s="16">
        <v>55</v>
      </c>
      <c r="B5" s="19" t="s">
        <v>17</v>
      </c>
      <c r="C5" s="10">
        <v>45784</v>
      </c>
      <c r="D5" s="12">
        <v>73</v>
      </c>
      <c r="E5" s="12" t="s">
        <v>18</v>
      </c>
      <c r="F5" s="23"/>
      <c r="G5" s="23"/>
      <c r="I5" s="24" t="e">
        <f t="shared" si="0"/>
        <v>#DIV/0!</v>
      </c>
      <c r="J5" s="20"/>
      <c r="K5" s="21"/>
      <c r="L5" s="22" t="e">
        <f t="shared" si="1"/>
        <v>#DIV/0!</v>
      </c>
    </row>
    <row r="6" spans="1:12" ht="13">
      <c r="A6" s="16">
        <v>59</v>
      </c>
      <c r="B6" s="16" t="s">
        <v>19</v>
      </c>
      <c r="C6" s="10">
        <v>45785</v>
      </c>
      <c r="D6" s="12">
        <v>16</v>
      </c>
      <c r="E6" s="12" t="s">
        <v>16</v>
      </c>
      <c r="I6" s="17" t="e">
        <f t="shared" si="0"/>
        <v>#DIV/0!</v>
      </c>
      <c r="J6" s="20"/>
      <c r="K6" s="21"/>
      <c r="L6" s="22" t="e">
        <f t="shared" si="1"/>
        <v>#DIV/0!</v>
      </c>
    </row>
    <row r="7" spans="1:12" ht="13">
      <c r="A7" s="16">
        <v>77</v>
      </c>
      <c r="B7" s="16" t="s">
        <v>20</v>
      </c>
      <c r="C7" s="10">
        <v>45785</v>
      </c>
      <c r="D7" s="12">
        <v>45</v>
      </c>
      <c r="E7" s="12" t="s">
        <v>16</v>
      </c>
      <c r="I7" s="17" t="e">
        <f t="shared" si="0"/>
        <v>#DIV/0!</v>
      </c>
      <c r="J7" s="20"/>
      <c r="K7" s="21"/>
      <c r="L7" s="22" t="e">
        <f t="shared" si="1"/>
        <v>#DIV/0!</v>
      </c>
    </row>
    <row r="8" spans="1:12" ht="13">
      <c r="A8" s="16">
        <v>148</v>
      </c>
      <c r="B8" s="16" t="s">
        <v>21</v>
      </c>
      <c r="C8" s="10">
        <v>45784</v>
      </c>
      <c r="D8" s="25">
        <v>67</v>
      </c>
      <c r="E8" s="12" t="s">
        <v>16</v>
      </c>
      <c r="G8" s="23"/>
      <c r="I8" s="17" t="e">
        <f t="shared" si="0"/>
        <v>#DIV/0!</v>
      </c>
      <c r="J8" s="20"/>
      <c r="K8" s="21"/>
      <c r="L8" s="22" t="e">
        <f t="shared" si="1"/>
        <v>#DIV/0!</v>
      </c>
    </row>
    <row r="9" spans="1:12" ht="20.25" customHeight="1"/>
  </sheetData>
  <autoFilter ref="A1:L8" xr:uid="{00000000-0009-0000-0000-000000000000}"/>
  <conditionalFormatting sqref="I4:I8">
    <cfRule type="colorScale" priority="1">
      <colorScale>
        <cfvo type="min"/>
        <cfvo type="max"/>
        <color rgb="FFFFFFFF"/>
        <color rgb="FF57BB8A"/>
      </colorScale>
    </cfRule>
  </conditionalFormatting>
  <conditionalFormatting sqref="L4:L8">
    <cfRule type="colorScale" priority="2">
      <colorScale>
        <cfvo type="min"/>
        <cfvo type="formula" val="0.2"/>
        <color rgb="FFFFFFFF"/>
        <color rgb="FFE67C73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P103"/>
  <sheetViews>
    <sheetView workbookViewId="0"/>
  </sheetViews>
  <sheetFormatPr baseColWidth="10" defaultColWidth="12.6640625" defaultRowHeight="15.75" customHeight="1"/>
  <sheetData>
    <row r="1" spans="1:17" ht="15.75" customHeight="1">
      <c r="F1" s="30"/>
      <c r="G1" s="30"/>
      <c r="H1" s="30"/>
      <c r="I1" s="30"/>
      <c r="J1" s="30"/>
      <c r="K1" s="30"/>
      <c r="L1" s="30"/>
      <c r="M1" s="31"/>
      <c r="N1" s="30"/>
      <c r="O1" s="31"/>
      <c r="P1" s="31"/>
      <c r="Q1" s="30"/>
    </row>
    <row r="2" spans="1:17" ht="15.75" customHeight="1">
      <c r="A2" s="32">
        <v>48</v>
      </c>
      <c r="B2" s="27" t="s">
        <v>15</v>
      </c>
      <c r="C2" s="33">
        <v>45679</v>
      </c>
      <c r="D2" s="27">
        <v>395</v>
      </c>
      <c r="E2" s="27" t="s">
        <v>13</v>
      </c>
      <c r="F2" s="27">
        <v>57.999999999999901</v>
      </c>
      <c r="G2" s="34"/>
      <c r="H2" s="34"/>
      <c r="I2" s="34"/>
      <c r="J2" s="34"/>
      <c r="K2" s="34">
        <v>2</v>
      </c>
      <c r="L2" s="34">
        <v>153.69999999999999</v>
      </c>
      <c r="M2" s="35">
        <v>3507.81</v>
      </c>
      <c r="N2" s="27">
        <v>30</v>
      </c>
      <c r="O2" s="34"/>
      <c r="P2" s="34">
        <v>22.82244632400781</v>
      </c>
      <c r="Q2" s="27">
        <v>9</v>
      </c>
    </row>
    <row r="3" spans="1:17" ht="15.75" customHeight="1">
      <c r="A3" s="27">
        <v>55</v>
      </c>
      <c r="B3" s="27" t="s">
        <v>17</v>
      </c>
      <c r="C3" s="33">
        <v>45679</v>
      </c>
      <c r="D3" s="27">
        <v>724</v>
      </c>
      <c r="E3" s="27" t="s">
        <v>13</v>
      </c>
      <c r="F3" s="34">
        <v>61</v>
      </c>
      <c r="G3" s="34"/>
      <c r="H3" s="34"/>
      <c r="I3" s="34"/>
      <c r="J3" s="34"/>
      <c r="K3" s="34">
        <v>7</v>
      </c>
      <c r="L3" s="34">
        <v>174.21</v>
      </c>
      <c r="M3" s="34">
        <v>1825.8099999999997</v>
      </c>
      <c r="N3" s="34">
        <v>30</v>
      </c>
      <c r="O3" s="34"/>
      <c r="P3" s="34">
        <v>10.480512025716088</v>
      </c>
      <c r="Q3" s="27">
        <v>9</v>
      </c>
    </row>
    <row r="4" spans="1:17" ht="15.75" customHeight="1">
      <c r="A4" s="27">
        <v>59</v>
      </c>
      <c r="B4" s="27" t="s">
        <v>19</v>
      </c>
      <c r="C4" s="33">
        <v>45680</v>
      </c>
      <c r="D4" s="27">
        <v>1051</v>
      </c>
      <c r="E4" s="27" t="s">
        <v>13</v>
      </c>
      <c r="F4" s="34">
        <v>62</v>
      </c>
      <c r="G4" s="34"/>
      <c r="H4" s="34"/>
      <c r="I4" s="34"/>
      <c r="J4" s="34"/>
      <c r="K4" s="34">
        <v>3</v>
      </c>
      <c r="L4" s="34">
        <v>171.72</v>
      </c>
      <c r="M4" s="36">
        <v>5053.5599999999995</v>
      </c>
      <c r="N4" s="34">
        <v>25</v>
      </c>
      <c r="O4" s="34"/>
      <c r="P4" s="34">
        <v>29.429070580013974</v>
      </c>
      <c r="Q4" s="27">
        <v>7.5</v>
      </c>
    </row>
    <row r="5" spans="1:17" ht="15.75" customHeight="1">
      <c r="A5" s="16">
        <v>77</v>
      </c>
      <c r="B5" s="16" t="s">
        <v>20</v>
      </c>
      <c r="C5" s="10">
        <v>45677</v>
      </c>
      <c r="D5" s="12">
        <v>931</v>
      </c>
      <c r="E5" s="12" t="s">
        <v>13</v>
      </c>
      <c r="F5" s="27">
        <v>60</v>
      </c>
      <c r="G5" s="27"/>
      <c r="H5" s="27"/>
      <c r="I5" s="27"/>
      <c r="J5" s="27"/>
      <c r="K5" s="27">
        <v>11</v>
      </c>
      <c r="L5" s="27">
        <v>190.1</v>
      </c>
      <c r="M5" s="36">
        <f>2.59+
1339.47+
236.53</f>
        <v>1578.59</v>
      </c>
      <c r="N5" s="27">
        <v>40</v>
      </c>
      <c r="O5" s="34"/>
      <c r="P5" s="34">
        <f t="shared" ref="P5:P6" si="0">M5/L5</f>
        <v>8.3039978958442919</v>
      </c>
    </row>
    <row r="6" spans="1:17" ht="15.75" customHeight="1">
      <c r="A6" s="16">
        <v>148</v>
      </c>
      <c r="B6" s="16" t="s">
        <v>21</v>
      </c>
      <c r="C6" s="10">
        <v>45677</v>
      </c>
      <c r="D6" s="12">
        <v>112</v>
      </c>
      <c r="E6" s="12" t="s">
        <v>13</v>
      </c>
      <c r="L6" s="37">
        <v>127.26</v>
      </c>
      <c r="M6" s="35">
        <f>1920.79+
729.18+
-17.44</f>
        <v>2632.5299999999997</v>
      </c>
      <c r="N6" s="27">
        <v>40</v>
      </c>
      <c r="O6" s="34"/>
      <c r="P6" s="34">
        <f t="shared" si="0"/>
        <v>20.686232909005184</v>
      </c>
    </row>
    <row r="7" spans="1:17" ht="15.75" customHeight="1">
      <c r="M7" s="34"/>
      <c r="O7" s="34"/>
      <c r="P7" s="34"/>
    </row>
    <row r="8" spans="1:17" ht="15.75" customHeight="1">
      <c r="F8" s="32"/>
      <c r="G8" s="32"/>
      <c r="H8" s="32"/>
      <c r="I8" s="32"/>
      <c r="J8" s="32"/>
      <c r="K8" s="32"/>
      <c r="L8" s="32"/>
      <c r="M8" s="34"/>
      <c r="N8" s="32"/>
      <c r="O8" s="34"/>
      <c r="P8" s="34"/>
    </row>
    <row r="9" spans="1:17" ht="15.75" customHeight="1">
      <c r="F9" s="32"/>
      <c r="G9" s="32"/>
      <c r="H9" s="32"/>
      <c r="I9" s="32"/>
      <c r="J9" s="32"/>
      <c r="K9" s="32"/>
      <c r="L9" s="32"/>
      <c r="M9" s="34"/>
      <c r="N9" s="32"/>
      <c r="O9" s="34"/>
      <c r="P9" s="34"/>
    </row>
    <row r="10" spans="1:17" ht="15.75" customHeight="1">
      <c r="F10" s="32"/>
      <c r="G10" s="32"/>
      <c r="H10" s="32"/>
      <c r="I10" s="32"/>
      <c r="J10" s="32"/>
      <c r="K10" s="32"/>
      <c r="L10" s="32"/>
      <c r="M10" s="34"/>
      <c r="N10" s="32"/>
      <c r="O10" s="34"/>
      <c r="P10" s="34"/>
    </row>
    <row r="11" spans="1:17" ht="15.75" customHeight="1">
      <c r="E11" s="29" t="s">
        <v>22</v>
      </c>
      <c r="L11" s="27" t="s">
        <v>23</v>
      </c>
      <c r="M11" s="35" t="s">
        <v>24</v>
      </c>
      <c r="N11" s="26" t="s">
        <v>25</v>
      </c>
      <c r="O11" s="34"/>
      <c r="P11" s="34"/>
    </row>
    <row r="12" spans="1:17" ht="15.75" customHeight="1">
      <c r="E12" s="29" t="s">
        <v>26</v>
      </c>
      <c r="L12" s="27" t="s">
        <v>27</v>
      </c>
      <c r="M12" s="35" t="s">
        <v>28</v>
      </c>
      <c r="N12" s="26" t="s">
        <v>29</v>
      </c>
      <c r="O12" s="34"/>
      <c r="P12" s="34"/>
    </row>
    <row r="13" spans="1:17" ht="15.75" customHeight="1">
      <c r="M13" s="34"/>
      <c r="O13" s="34"/>
      <c r="P13" s="34"/>
    </row>
    <row r="14" spans="1:17" ht="15.75" customHeight="1">
      <c r="F14" s="32"/>
      <c r="G14" s="32"/>
      <c r="H14" s="32"/>
      <c r="I14" s="32"/>
      <c r="J14" s="32"/>
      <c r="K14" s="32"/>
      <c r="L14" s="32"/>
      <c r="M14" s="34"/>
      <c r="N14" s="32"/>
      <c r="O14" s="34"/>
      <c r="P14" s="34"/>
    </row>
    <row r="15" spans="1:17" ht="15.75" customHeight="1">
      <c r="F15" s="32"/>
      <c r="G15" s="32"/>
      <c r="H15" s="32"/>
      <c r="I15" s="32"/>
      <c r="J15" s="32"/>
      <c r="K15" s="32"/>
      <c r="L15" s="32"/>
      <c r="M15" s="34"/>
      <c r="N15" s="32"/>
      <c r="O15" s="34"/>
      <c r="P15" s="34"/>
    </row>
    <row r="16" spans="1:17" ht="15.75" customHeight="1">
      <c r="A16" s="38">
        <v>48</v>
      </c>
      <c r="B16" s="28" t="s">
        <v>15</v>
      </c>
      <c r="C16" s="33">
        <v>45679</v>
      </c>
      <c r="D16" s="28">
        <v>1363</v>
      </c>
      <c r="E16" s="27" t="s">
        <v>13</v>
      </c>
      <c r="F16" s="27">
        <v>57.521367521367502</v>
      </c>
      <c r="G16" s="34"/>
      <c r="H16" s="34"/>
      <c r="I16" s="34"/>
      <c r="J16" s="34"/>
      <c r="K16" s="34">
        <v>5.9999999999999902</v>
      </c>
      <c r="L16" s="34">
        <v>127.72</v>
      </c>
      <c r="M16" s="34">
        <v>958.71</v>
      </c>
      <c r="N16" s="27">
        <v>40</v>
      </c>
      <c r="O16" s="34"/>
      <c r="P16" s="34">
        <v>7.5063419981208899</v>
      </c>
      <c r="Q16" s="27">
        <v>12</v>
      </c>
    </row>
    <row r="17" spans="1:42" ht="15.75" customHeight="1">
      <c r="A17" s="27">
        <v>55</v>
      </c>
      <c r="B17" s="27" t="s">
        <v>17</v>
      </c>
      <c r="C17" s="33">
        <v>45679</v>
      </c>
      <c r="D17" s="27">
        <v>724</v>
      </c>
      <c r="E17" s="27" t="s">
        <v>13</v>
      </c>
      <c r="F17" s="34">
        <v>57.762697448982202</v>
      </c>
      <c r="G17" s="34"/>
      <c r="H17" s="34"/>
      <c r="I17" s="34"/>
      <c r="J17" s="34"/>
      <c r="K17" s="34">
        <v>7</v>
      </c>
      <c r="L17" s="34">
        <v>174.21</v>
      </c>
      <c r="M17" s="34">
        <v>1825.8099999999997</v>
      </c>
      <c r="N17" s="34">
        <v>30</v>
      </c>
      <c r="O17" s="34"/>
      <c r="P17" s="34">
        <v>10.480512025716088</v>
      </c>
      <c r="Q17" s="27">
        <v>9</v>
      </c>
    </row>
    <row r="18" spans="1:42" ht="15.75" customHeight="1">
      <c r="A18" s="27">
        <v>59</v>
      </c>
      <c r="B18" s="27" t="s">
        <v>19</v>
      </c>
      <c r="C18" s="33">
        <v>45680</v>
      </c>
      <c r="D18" s="27">
        <v>935</v>
      </c>
      <c r="E18" s="27" t="s">
        <v>13</v>
      </c>
      <c r="F18" s="34">
        <v>61.814766893442901</v>
      </c>
      <c r="G18" s="34"/>
      <c r="H18" s="34"/>
      <c r="I18" s="34"/>
      <c r="J18" s="34"/>
      <c r="K18" s="34">
        <v>5</v>
      </c>
      <c r="L18" s="34">
        <v>149.66</v>
      </c>
      <c r="M18" s="34">
        <v>8422.4</v>
      </c>
      <c r="N18" s="34"/>
      <c r="O18" s="34"/>
      <c r="P18" s="34">
        <v>56.276894293732461</v>
      </c>
      <c r="Q18" s="27">
        <v>0</v>
      </c>
    </row>
    <row r="19" spans="1:42" ht="15.75" customHeight="1">
      <c r="A19" s="28">
        <v>77</v>
      </c>
      <c r="B19" s="28" t="s">
        <v>20</v>
      </c>
      <c r="C19" s="33">
        <v>45677</v>
      </c>
      <c r="D19" s="28">
        <v>47</v>
      </c>
      <c r="E19" s="27" t="s">
        <v>13</v>
      </c>
      <c r="F19" s="34">
        <v>60.756365113759401</v>
      </c>
      <c r="G19" s="34"/>
      <c r="H19" s="34"/>
      <c r="I19" s="34"/>
      <c r="J19" s="34"/>
      <c r="K19" s="34">
        <v>12</v>
      </c>
      <c r="L19" s="34">
        <v>152.96</v>
      </c>
      <c r="M19" s="34">
        <v>2356.64</v>
      </c>
      <c r="N19" s="27">
        <v>60</v>
      </c>
      <c r="O19" s="34"/>
      <c r="P19" s="34">
        <v>15.406903765690375</v>
      </c>
      <c r="Q19" s="27">
        <v>18</v>
      </c>
    </row>
    <row r="20" spans="1:42" ht="15.75" customHeight="1">
      <c r="A20" s="27">
        <v>148</v>
      </c>
      <c r="B20" s="27" t="s">
        <v>21</v>
      </c>
      <c r="C20" s="33">
        <v>45677</v>
      </c>
      <c r="D20" s="27">
        <v>1475</v>
      </c>
      <c r="E20" s="27" t="s">
        <v>13</v>
      </c>
      <c r="F20" s="34">
        <v>56.417319636355501</v>
      </c>
      <c r="G20" s="34"/>
      <c r="H20" s="34"/>
      <c r="I20" s="34"/>
      <c r="J20" s="34"/>
      <c r="K20" s="34">
        <v>6.9999999999999902</v>
      </c>
      <c r="L20" s="34">
        <v>101.46</v>
      </c>
      <c r="M20" s="34">
        <v>795.72</v>
      </c>
      <c r="N20" s="27">
        <v>30</v>
      </c>
      <c r="O20" s="34"/>
      <c r="P20" s="34">
        <v>7.8426966292134841</v>
      </c>
      <c r="Q20" s="27">
        <v>9</v>
      </c>
    </row>
    <row r="21" spans="1:42" ht="15.75" customHeight="1">
      <c r="M21" s="34"/>
      <c r="O21" s="34"/>
      <c r="P21" s="34"/>
    </row>
    <row r="24" spans="1:42" ht="15.75" customHeight="1">
      <c r="C24" s="30" t="s">
        <v>30</v>
      </c>
    </row>
    <row r="25" spans="1:42" ht="15.75" customHeight="1">
      <c r="C25" s="37" t="s">
        <v>31</v>
      </c>
    </row>
    <row r="26" spans="1:42" ht="15.75" customHeight="1">
      <c r="C26" s="39" t="s">
        <v>32</v>
      </c>
    </row>
    <row r="27" spans="1:42" ht="15.75" customHeight="1">
      <c r="C27" s="40" t="s">
        <v>33</v>
      </c>
    </row>
    <row r="28" spans="1:42" ht="15.75" customHeight="1">
      <c r="C28" s="28" t="s">
        <v>34</v>
      </c>
    </row>
    <row r="30" spans="1:42" ht="15.75" customHeight="1">
      <c r="C30" s="41" t="s">
        <v>35</v>
      </c>
    </row>
    <row r="31" spans="1:42" ht="15.75" customHeight="1">
      <c r="C31" s="30" t="s">
        <v>36</v>
      </c>
      <c r="L31" s="30" t="s">
        <v>29</v>
      </c>
      <c r="Q31" s="30" t="s">
        <v>37</v>
      </c>
      <c r="Z31" s="30" t="s">
        <v>28</v>
      </c>
      <c r="AH31" s="30" t="s">
        <v>38</v>
      </c>
    </row>
    <row r="32" spans="1:42" ht="15.75" customHeight="1">
      <c r="C32" s="42">
        <v>1243</v>
      </c>
      <c r="D32" s="30">
        <v>52</v>
      </c>
      <c r="E32" s="30">
        <v>1146</v>
      </c>
      <c r="F32" s="30">
        <v>860</v>
      </c>
      <c r="G32" s="27">
        <v>1444</v>
      </c>
      <c r="H32" s="27">
        <v>1257</v>
      </c>
      <c r="I32" s="27">
        <v>408</v>
      </c>
      <c r="J32" s="27">
        <v>1146</v>
      </c>
      <c r="L32" s="43">
        <v>1494</v>
      </c>
      <c r="M32" s="44">
        <v>1339</v>
      </c>
      <c r="N32" s="44">
        <v>1338</v>
      </c>
      <c r="O32" s="27">
        <v>1359</v>
      </c>
      <c r="Q32" s="42">
        <v>916</v>
      </c>
      <c r="R32" s="30">
        <v>176</v>
      </c>
      <c r="S32" s="45">
        <v>364</v>
      </c>
      <c r="T32" s="30">
        <v>734</v>
      </c>
      <c r="U32" s="30">
        <v>807</v>
      </c>
      <c r="V32" s="30">
        <v>806</v>
      </c>
      <c r="W32" s="27">
        <v>1375</v>
      </c>
      <c r="X32" s="28">
        <v>808</v>
      </c>
      <c r="Z32" s="37">
        <v>565</v>
      </c>
      <c r="AA32" s="27">
        <v>44</v>
      </c>
      <c r="AB32" s="27">
        <v>56</v>
      </c>
      <c r="AC32" s="39">
        <v>728</v>
      </c>
      <c r="AD32" s="27">
        <v>795</v>
      </c>
      <c r="AE32" s="27">
        <v>59</v>
      </c>
      <c r="AF32" s="40">
        <v>1447</v>
      </c>
      <c r="AH32" s="42">
        <v>38</v>
      </c>
      <c r="AI32" s="30">
        <v>217</v>
      </c>
      <c r="AJ32" s="30">
        <v>229</v>
      </c>
      <c r="AK32" s="30">
        <v>245</v>
      </c>
      <c r="AL32" s="30">
        <v>930</v>
      </c>
      <c r="AM32" s="39">
        <v>447</v>
      </c>
      <c r="AN32" s="27">
        <v>561</v>
      </c>
      <c r="AO32" s="27">
        <v>44</v>
      </c>
      <c r="AP32" s="28">
        <v>194</v>
      </c>
    </row>
    <row r="33" spans="3:41" ht="15.75" customHeight="1">
      <c r="C33" s="37">
        <f t="shared" ref="C33:J33" si="1">SUM(C34:C47)</f>
        <v>2.2500000000000009</v>
      </c>
      <c r="D33" s="27">
        <f t="shared" si="1"/>
        <v>-12.370000000000001</v>
      </c>
      <c r="E33" s="27">
        <f t="shared" si="1"/>
        <v>-24.209999999999997</v>
      </c>
      <c r="F33" s="27">
        <f t="shared" si="1"/>
        <v>11.79</v>
      </c>
      <c r="G33" s="27">
        <f t="shared" si="1"/>
        <v>-15.52</v>
      </c>
      <c r="H33" s="27">
        <f t="shared" si="1"/>
        <v>-8.5300000000000029</v>
      </c>
      <c r="I33" s="27">
        <f t="shared" si="1"/>
        <v>-4.2300000000000004</v>
      </c>
      <c r="J33" s="27">
        <f t="shared" si="1"/>
        <v>-24.209999999999997</v>
      </c>
      <c r="L33" s="37">
        <f>SUM(L34:L51)</f>
        <v>-1.5</v>
      </c>
      <c r="M33" s="27">
        <f t="shared" ref="M33:O33" si="2">SUM(M34:M47)</f>
        <v>24.310000000000002</v>
      </c>
      <c r="N33" s="27">
        <f t="shared" si="2"/>
        <v>31.5</v>
      </c>
      <c r="O33" s="27">
        <f t="shared" si="2"/>
        <v>-5.84</v>
      </c>
      <c r="Q33" s="37">
        <f>SUM(Q34:Q51)</f>
        <v>-7.3100000000000005</v>
      </c>
      <c r="R33" s="27">
        <f t="shared" ref="R33:W33" si="3">SUM(R34:R47)</f>
        <v>-20.509999999999998</v>
      </c>
      <c r="S33" s="39">
        <f t="shared" si="3"/>
        <v>-10.260000000000002</v>
      </c>
      <c r="T33" s="27">
        <f t="shared" si="3"/>
        <v>7.3499999999999979</v>
      </c>
      <c r="U33" s="27">
        <f t="shared" si="3"/>
        <v>17.63</v>
      </c>
      <c r="V33" s="27">
        <f t="shared" si="3"/>
        <v>4.0100000000000025</v>
      </c>
      <c r="W33" s="27">
        <f t="shared" si="3"/>
        <v>-18.070000000000004</v>
      </c>
      <c r="X33" s="28"/>
      <c r="Z33" s="27">
        <f t="shared" ref="Z33:AF33" si="4">SUM(Z34:Z101)</f>
        <v>-14.05</v>
      </c>
      <c r="AA33" s="27">
        <f t="shared" si="4"/>
        <v>18.350000000000001</v>
      </c>
      <c r="AB33" s="27">
        <f t="shared" si="4"/>
        <v>17.990000000000002</v>
      </c>
      <c r="AC33" s="39">
        <f t="shared" si="4"/>
        <v>13.540000000000001</v>
      </c>
      <c r="AD33" s="27">
        <f t="shared" si="4"/>
        <v>-12.749999999999996</v>
      </c>
      <c r="AE33" s="27">
        <f t="shared" si="4"/>
        <v>1.9999999999999996</v>
      </c>
      <c r="AF33" s="40">
        <f t="shared" si="4"/>
        <v>22.179999999999993</v>
      </c>
      <c r="AH33" s="37">
        <f t="shared" ref="AH33:AO33" si="5">SUM(AH34:AH49)</f>
        <v>4</v>
      </c>
      <c r="AI33" s="27">
        <f t="shared" si="5"/>
        <v>-23.730000000000004</v>
      </c>
      <c r="AJ33" s="27">
        <f t="shared" si="5"/>
        <v>-49.239999999999995</v>
      </c>
      <c r="AK33" s="27">
        <f t="shared" si="5"/>
        <v>-59.849999999999994</v>
      </c>
      <c r="AL33" s="27">
        <f t="shared" si="5"/>
        <v>16.48</v>
      </c>
      <c r="AM33" s="39">
        <f t="shared" si="5"/>
        <v>1.4299999999999997</v>
      </c>
      <c r="AN33" s="27">
        <f t="shared" si="5"/>
        <v>-17.53</v>
      </c>
      <c r="AO33" s="40">
        <f t="shared" si="5"/>
        <v>-19.700000000000003</v>
      </c>
    </row>
    <row r="34" spans="3:41" ht="15.75" customHeight="1">
      <c r="C34" s="37">
        <v>5.0199999999999996</v>
      </c>
      <c r="D34" s="27">
        <v>-4.03</v>
      </c>
      <c r="E34" s="27">
        <v>-4.0999999999999996</v>
      </c>
      <c r="F34" s="27">
        <v>5.45</v>
      </c>
      <c r="G34" s="27">
        <v>4.25</v>
      </c>
      <c r="H34" s="27">
        <v>5.13</v>
      </c>
      <c r="I34" s="27">
        <v>5.13</v>
      </c>
      <c r="J34" s="27">
        <v>-4.0999999999999996</v>
      </c>
      <c r="L34" s="37">
        <v>-4.2</v>
      </c>
      <c r="M34" s="27">
        <v>-5.95</v>
      </c>
      <c r="N34" s="27">
        <v>-4.7699999999999996</v>
      </c>
      <c r="Q34" s="37">
        <v>-4.13</v>
      </c>
      <c r="R34" s="27">
        <v>-4.63</v>
      </c>
      <c r="S34" s="39">
        <v>-4.2300000000000004</v>
      </c>
      <c r="T34" s="27">
        <v>-3.89</v>
      </c>
      <c r="U34" s="27">
        <v>-3.73</v>
      </c>
      <c r="V34" s="27">
        <v>-4.1399999999999997</v>
      </c>
      <c r="W34" s="27">
        <v>-4.9400000000000004</v>
      </c>
      <c r="X34" s="28"/>
      <c r="Z34" s="37">
        <v>1.43</v>
      </c>
      <c r="AA34" s="27">
        <v>1.9</v>
      </c>
      <c r="AB34" s="27">
        <v>1.9</v>
      </c>
      <c r="AC34" s="39">
        <v>1.94</v>
      </c>
      <c r="AD34" s="27">
        <v>1.93</v>
      </c>
      <c r="AE34" s="27">
        <v>1.88</v>
      </c>
      <c r="AF34" s="40">
        <v>1.5</v>
      </c>
      <c r="AH34" s="37">
        <v>14.41</v>
      </c>
      <c r="AI34" s="27">
        <v>-6.68</v>
      </c>
      <c r="AJ34" s="27">
        <v>-6.12</v>
      </c>
      <c r="AK34" s="27">
        <v>-5.47</v>
      </c>
      <c r="AL34" s="27">
        <v>-3.91</v>
      </c>
      <c r="AM34" s="39">
        <v>4.8499999999999996</v>
      </c>
      <c r="AN34" s="27">
        <v>-6.38</v>
      </c>
      <c r="AO34" s="27">
        <v>-6.99</v>
      </c>
    </row>
    <row r="35" spans="3:41" ht="15.75" customHeight="1">
      <c r="C35" s="37">
        <v>-6.5</v>
      </c>
      <c r="D35" s="27">
        <v>-6.7</v>
      </c>
      <c r="E35" s="27">
        <v>-7.34</v>
      </c>
      <c r="F35" s="27">
        <v>-6.92</v>
      </c>
      <c r="G35" s="27">
        <v>-4.0999999999999996</v>
      </c>
      <c r="H35" s="27">
        <v>-6.16</v>
      </c>
      <c r="I35" s="27">
        <v>-6.38</v>
      </c>
      <c r="J35" s="27">
        <v>-7.34</v>
      </c>
      <c r="L35" s="37">
        <v>8.48</v>
      </c>
      <c r="M35" s="27">
        <v>-3.97</v>
      </c>
      <c r="N35" s="27">
        <v>-4.28</v>
      </c>
      <c r="Q35" s="37">
        <v>-3.67</v>
      </c>
      <c r="R35" s="27">
        <v>-3.81</v>
      </c>
      <c r="S35" s="39">
        <v>-3.51</v>
      </c>
      <c r="T35" s="27">
        <v>-4.6399999999999997</v>
      </c>
      <c r="U35" s="27">
        <v>-4</v>
      </c>
      <c r="V35" s="27">
        <v>-4.9400000000000004</v>
      </c>
      <c r="W35" s="27">
        <v>-4.28</v>
      </c>
      <c r="X35" s="28"/>
      <c r="Z35" s="37">
        <v>-4.37</v>
      </c>
      <c r="AA35" s="27">
        <v>-3.89</v>
      </c>
      <c r="AB35" s="27">
        <v>-4.13</v>
      </c>
      <c r="AC35" s="39">
        <v>2.84</v>
      </c>
      <c r="AD35" s="27">
        <v>-4.4800000000000004</v>
      </c>
      <c r="AE35" s="27">
        <v>-4.76</v>
      </c>
      <c r="AF35" s="40">
        <v>-4.74</v>
      </c>
      <c r="AH35" s="37">
        <v>3.22</v>
      </c>
      <c r="AI35" s="27">
        <v>2.86</v>
      </c>
      <c r="AJ35" s="27">
        <v>-4.16</v>
      </c>
      <c r="AK35" s="27">
        <v>-4.3499999999999996</v>
      </c>
      <c r="AL35" s="27">
        <v>3.8</v>
      </c>
      <c r="AM35" s="39">
        <v>-7.2</v>
      </c>
      <c r="AN35" s="27">
        <v>-7.06</v>
      </c>
      <c r="AO35" s="27">
        <v>-6.43</v>
      </c>
    </row>
    <row r="36" spans="3:41" ht="15.75" customHeight="1">
      <c r="C36" s="37">
        <v>-5</v>
      </c>
      <c r="D36" s="27">
        <v>-4.67</v>
      </c>
      <c r="E36" s="27">
        <v>-4.6100000000000003</v>
      </c>
      <c r="F36" s="27">
        <v>-4.7300000000000004</v>
      </c>
      <c r="G36" s="27">
        <v>-4.07</v>
      </c>
      <c r="H36" s="27">
        <v>-4.46</v>
      </c>
      <c r="I36" s="27">
        <v>-4.3600000000000003</v>
      </c>
      <c r="J36" s="27">
        <v>-4.6100000000000003</v>
      </c>
      <c r="L36" s="37">
        <v>-3.96</v>
      </c>
      <c r="M36" s="27">
        <v>-4.58</v>
      </c>
      <c r="N36" s="27">
        <v>-4.4000000000000004</v>
      </c>
      <c r="Q36" s="37">
        <v>5.18</v>
      </c>
      <c r="R36" s="27">
        <v>4.74</v>
      </c>
      <c r="S36" s="39">
        <v>4.49</v>
      </c>
      <c r="T36" s="27">
        <v>5.46</v>
      </c>
      <c r="U36" s="27">
        <v>4.72</v>
      </c>
      <c r="V36" s="27">
        <v>5.93</v>
      </c>
      <c r="W36" s="27">
        <v>5.81</v>
      </c>
      <c r="X36" s="28"/>
      <c r="Z36" s="37">
        <v>5.91</v>
      </c>
      <c r="AA36" s="27">
        <v>8.73</v>
      </c>
      <c r="AB36" s="27">
        <v>6.9</v>
      </c>
      <c r="AC36" s="39">
        <v>5.87</v>
      </c>
      <c r="AD36" s="27">
        <v>6.2</v>
      </c>
      <c r="AE36" s="27">
        <v>5.88</v>
      </c>
      <c r="AF36" s="40">
        <v>10.11</v>
      </c>
      <c r="AH36" s="37">
        <v>-4.2300000000000004</v>
      </c>
      <c r="AI36" s="27">
        <v>4.55</v>
      </c>
      <c r="AJ36" s="27">
        <v>-4.34</v>
      </c>
      <c r="AK36" s="27">
        <v>3.98</v>
      </c>
      <c r="AL36" s="27">
        <v>3.97</v>
      </c>
      <c r="AM36" s="39">
        <v>2.68</v>
      </c>
      <c r="AN36" s="27">
        <v>-5.26</v>
      </c>
      <c r="AO36" s="27">
        <v>-6.72</v>
      </c>
    </row>
    <row r="37" spans="3:41" ht="15.75" customHeight="1">
      <c r="C37" s="37">
        <v>-5.74</v>
      </c>
      <c r="D37" s="27">
        <v>-5.0999999999999996</v>
      </c>
      <c r="E37" s="27">
        <v>-6.56</v>
      </c>
      <c r="F37" s="27">
        <v>-7.33</v>
      </c>
      <c r="G37" s="27">
        <v>-3.92</v>
      </c>
      <c r="H37" s="27">
        <v>-5.48</v>
      </c>
      <c r="I37" s="27">
        <v>-6.06</v>
      </c>
      <c r="J37" s="27">
        <v>-6.56</v>
      </c>
      <c r="L37" s="37">
        <v>3.05</v>
      </c>
      <c r="M37" s="27">
        <v>3.72</v>
      </c>
      <c r="N37" s="27">
        <v>3.79</v>
      </c>
      <c r="Q37" s="37">
        <v>3.5</v>
      </c>
      <c r="R37" s="27">
        <v>3.67</v>
      </c>
      <c r="S37" s="39">
        <v>3.26</v>
      </c>
      <c r="T37" s="27">
        <v>3.77</v>
      </c>
      <c r="U37" s="27">
        <v>3.35</v>
      </c>
      <c r="V37" s="27">
        <v>3.61</v>
      </c>
      <c r="W37" s="27">
        <v>3.67</v>
      </c>
      <c r="X37" s="28"/>
      <c r="Z37" s="37">
        <v>-4.1900000000000004</v>
      </c>
      <c r="AA37" s="27">
        <v>-5.45</v>
      </c>
      <c r="AB37" s="27">
        <v>-4.8899999999999997</v>
      </c>
      <c r="AC37" s="39">
        <v>6.75</v>
      </c>
      <c r="AD37" s="27">
        <v>-3.99</v>
      </c>
      <c r="AE37" s="27">
        <v>-3.56</v>
      </c>
      <c r="AF37" s="40">
        <v>-5.75</v>
      </c>
      <c r="AH37" s="37">
        <v>5.93</v>
      </c>
      <c r="AI37" s="27">
        <v>-5.54</v>
      </c>
      <c r="AJ37" s="27">
        <v>-5.0599999999999996</v>
      </c>
      <c r="AK37" s="27">
        <v>-5.72</v>
      </c>
      <c r="AL37" s="27">
        <v>5.92</v>
      </c>
      <c r="AM37" s="39">
        <v>-4.57</v>
      </c>
      <c r="AN37" s="27">
        <v>-4.66</v>
      </c>
      <c r="AO37" s="27">
        <v>-4.28</v>
      </c>
    </row>
    <row r="38" spans="3:41" ht="15.75" customHeight="1">
      <c r="C38" s="37">
        <v>-3.53</v>
      </c>
      <c r="D38" s="27">
        <v>-5.53</v>
      </c>
      <c r="E38" s="27">
        <v>-4.42</v>
      </c>
      <c r="F38" s="27">
        <v>-4.3600000000000003</v>
      </c>
      <c r="G38" s="27">
        <v>-3.55</v>
      </c>
      <c r="H38" s="27">
        <v>-3.67</v>
      </c>
      <c r="I38" s="27">
        <v>-4.3600000000000003</v>
      </c>
      <c r="J38" s="27">
        <v>-4.42</v>
      </c>
      <c r="L38" s="37">
        <v>3.23</v>
      </c>
      <c r="M38" s="27">
        <v>4.0199999999999996</v>
      </c>
      <c r="N38" s="27">
        <v>4.04</v>
      </c>
      <c r="Q38" s="37">
        <v>-5.17</v>
      </c>
      <c r="R38" s="27">
        <v>-5.1100000000000003</v>
      </c>
      <c r="S38" s="39">
        <v>-4.67</v>
      </c>
      <c r="T38" s="27">
        <v>-5.46</v>
      </c>
      <c r="U38" s="27">
        <v>-4.6100000000000003</v>
      </c>
      <c r="V38" s="27">
        <v>-6.09</v>
      </c>
      <c r="W38" s="27">
        <v>-4.0599999999999996</v>
      </c>
      <c r="X38" s="28"/>
      <c r="Z38" s="37">
        <v>-5.4</v>
      </c>
      <c r="AA38" s="27">
        <v>-4.57</v>
      </c>
      <c r="AB38" s="27">
        <v>12.62</v>
      </c>
      <c r="AC38" s="39">
        <v>-5.27</v>
      </c>
      <c r="AD38" s="27">
        <v>-4.6500000000000004</v>
      </c>
      <c r="AE38" s="27">
        <v>-4.74</v>
      </c>
      <c r="AF38" s="40">
        <v>10.93</v>
      </c>
      <c r="AH38" s="37">
        <v>-4.97</v>
      </c>
      <c r="AI38" s="27">
        <v>-4.29</v>
      </c>
      <c r="AJ38" s="27">
        <v>-4.91</v>
      </c>
      <c r="AK38" s="27">
        <v>-4.51</v>
      </c>
      <c r="AL38" s="27">
        <v>-5.38</v>
      </c>
      <c r="AM38" s="39">
        <v>5.67</v>
      </c>
      <c r="AN38" s="27">
        <v>5.83</v>
      </c>
      <c r="AO38" s="27">
        <v>4.72</v>
      </c>
    </row>
    <row r="39" spans="3:41" ht="15.75" customHeight="1">
      <c r="C39" s="37">
        <v>2.94</v>
      </c>
      <c r="D39" s="27">
        <v>4.0999999999999996</v>
      </c>
      <c r="E39" s="27">
        <v>3.28</v>
      </c>
      <c r="F39" s="27">
        <v>3.1</v>
      </c>
      <c r="G39" s="27">
        <v>2.95</v>
      </c>
      <c r="H39" s="27">
        <v>2.94</v>
      </c>
      <c r="I39" s="27">
        <v>3.04</v>
      </c>
      <c r="J39" s="27">
        <v>3.28</v>
      </c>
      <c r="L39" s="37">
        <v>-5.0599999999999996</v>
      </c>
      <c r="M39" s="27">
        <v>-5.52</v>
      </c>
      <c r="N39" s="27">
        <v>-4.97</v>
      </c>
      <c r="Q39" s="37">
        <v>0.78</v>
      </c>
      <c r="R39" s="27">
        <v>0.65</v>
      </c>
      <c r="S39" s="39">
        <v>0.63</v>
      </c>
      <c r="T39" s="27">
        <v>0.59</v>
      </c>
      <c r="U39" s="27">
        <v>0.49</v>
      </c>
      <c r="V39" s="27">
        <v>0.68</v>
      </c>
      <c r="W39" s="27">
        <v>0.72</v>
      </c>
      <c r="X39" s="28"/>
      <c r="Z39" s="37">
        <v>0.88</v>
      </c>
      <c r="AA39" s="27">
        <v>0.99</v>
      </c>
      <c r="AB39" s="27">
        <v>1.05</v>
      </c>
      <c r="AC39" s="39">
        <v>1.01</v>
      </c>
      <c r="AD39" s="27">
        <v>1.1000000000000001</v>
      </c>
      <c r="AE39" s="27">
        <v>1.1000000000000001</v>
      </c>
      <c r="AF39" s="40">
        <v>1.26</v>
      </c>
      <c r="AH39" s="37">
        <v>1.62</v>
      </c>
      <c r="AI39" s="27">
        <v>1.68</v>
      </c>
      <c r="AJ39" s="27">
        <v>1.99</v>
      </c>
      <c r="AK39" s="27">
        <v>1.61</v>
      </c>
      <c r="AL39" s="27">
        <v>-5.49</v>
      </c>
      <c r="AM39" s="39"/>
    </row>
    <row r="40" spans="3:41" ht="15.75" customHeight="1">
      <c r="C40" s="37">
        <v>3.54</v>
      </c>
      <c r="D40" s="27">
        <v>-4.79</v>
      </c>
      <c r="E40" s="27">
        <v>-4.01</v>
      </c>
      <c r="F40" s="27">
        <v>3.51</v>
      </c>
      <c r="G40" s="27">
        <v>3.67</v>
      </c>
      <c r="H40" s="27">
        <v>3.51</v>
      </c>
      <c r="I40" s="27">
        <v>-3.97</v>
      </c>
      <c r="J40" s="27">
        <v>-4.01</v>
      </c>
      <c r="L40" s="37">
        <v>9.7100000000000009</v>
      </c>
      <c r="M40" s="27">
        <v>9.1999999999999993</v>
      </c>
      <c r="N40" s="27">
        <v>10.68</v>
      </c>
      <c r="O40" s="46">
        <v>-3.99</v>
      </c>
      <c r="Q40" s="37">
        <v>-4.3899999999999997</v>
      </c>
      <c r="R40" s="27">
        <v>-3.73</v>
      </c>
      <c r="S40" s="39">
        <v>-3.39</v>
      </c>
      <c r="T40" s="27">
        <v>10.35</v>
      </c>
      <c r="U40" s="27">
        <v>10.49</v>
      </c>
      <c r="V40" s="27">
        <v>11.22</v>
      </c>
      <c r="W40" s="27">
        <v>-5.09</v>
      </c>
      <c r="X40" s="28"/>
      <c r="Z40" s="37">
        <v>-5.16</v>
      </c>
      <c r="AA40" s="27">
        <v>-5.86</v>
      </c>
      <c r="AB40" s="27">
        <v>-6.14</v>
      </c>
      <c r="AC40" s="39">
        <v>-4.26</v>
      </c>
      <c r="AD40" s="27">
        <v>-4.3899999999999997</v>
      </c>
      <c r="AE40" s="27">
        <v>-4.49</v>
      </c>
      <c r="AF40" s="40">
        <v>-7.84</v>
      </c>
      <c r="AH40" s="37">
        <v>-3.82</v>
      </c>
      <c r="AI40" s="27">
        <v>-4.5599999999999996</v>
      </c>
      <c r="AJ40" s="27">
        <v>-4.58</v>
      </c>
      <c r="AK40" s="27">
        <v>-4.0999999999999996</v>
      </c>
      <c r="AL40" s="27">
        <v>5.23</v>
      </c>
      <c r="AM40" s="39"/>
    </row>
    <row r="41" spans="3:41" ht="15.75" customHeight="1">
      <c r="C41" s="37">
        <v>1.93</v>
      </c>
      <c r="D41" s="27">
        <v>1.56</v>
      </c>
      <c r="E41" s="27">
        <v>2.13</v>
      </c>
      <c r="F41" s="27">
        <v>2.12</v>
      </c>
      <c r="G41" s="27">
        <v>1.48</v>
      </c>
      <c r="H41" s="27">
        <v>1.79</v>
      </c>
      <c r="I41" s="27">
        <v>1.89</v>
      </c>
      <c r="J41" s="27">
        <v>2.13</v>
      </c>
      <c r="L41" s="37">
        <v>4.38</v>
      </c>
      <c r="M41" s="27">
        <v>5.3</v>
      </c>
      <c r="N41" s="27">
        <v>5.59</v>
      </c>
      <c r="O41" s="46">
        <v>-6.03</v>
      </c>
      <c r="Q41" s="37">
        <v>-3.63</v>
      </c>
      <c r="R41" s="27">
        <v>-3.58</v>
      </c>
      <c r="S41" s="39">
        <v>-3.52</v>
      </c>
      <c r="T41" s="27">
        <v>-3.79</v>
      </c>
      <c r="U41" s="27">
        <v>9.56</v>
      </c>
      <c r="V41" s="27">
        <v>-3.82</v>
      </c>
      <c r="W41" s="27">
        <v>10.73</v>
      </c>
      <c r="X41" s="28"/>
      <c r="Z41" s="37">
        <v>-4.28</v>
      </c>
      <c r="AA41" s="27">
        <v>-5.2</v>
      </c>
      <c r="AB41" s="27">
        <v>-6.18</v>
      </c>
      <c r="AC41" s="39">
        <v>-3.99</v>
      </c>
      <c r="AD41" s="27">
        <v>-4.22</v>
      </c>
      <c r="AE41" s="27">
        <v>-5.61</v>
      </c>
      <c r="AF41" s="40">
        <v>-6.46</v>
      </c>
      <c r="AH41" s="37">
        <v>1.72</v>
      </c>
      <c r="AI41" s="27">
        <v>1.78</v>
      </c>
      <c r="AJ41" s="27">
        <v>1.91</v>
      </c>
      <c r="AK41" s="27">
        <v>-3.61</v>
      </c>
      <c r="AL41" s="27">
        <v>2.0499999999999998</v>
      </c>
      <c r="AM41" s="39"/>
    </row>
    <row r="42" spans="3:41" ht="15.75" customHeight="1">
      <c r="C42" s="37">
        <v>-3.39</v>
      </c>
      <c r="D42" s="27">
        <v>-4.03</v>
      </c>
      <c r="E42" s="27">
        <v>-5.23</v>
      </c>
      <c r="F42" s="27">
        <v>8.14</v>
      </c>
      <c r="G42" s="27">
        <v>-3.5</v>
      </c>
      <c r="H42" s="27">
        <v>-3.55</v>
      </c>
      <c r="I42" s="27">
        <v>9.42</v>
      </c>
      <c r="J42" s="27">
        <v>-5.23</v>
      </c>
      <c r="L42" s="37">
        <v>-5.33</v>
      </c>
      <c r="M42" s="27">
        <v>-6.77</v>
      </c>
      <c r="N42" s="27">
        <v>-6.57</v>
      </c>
      <c r="O42" s="46">
        <v>4.88</v>
      </c>
      <c r="Q42" s="37">
        <v>3.14</v>
      </c>
      <c r="R42" s="27">
        <v>2.57</v>
      </c>
      <c r="S42" s="39">
        <v>2.5499999999999998</v>
      </c>
      <c r="T42" s="27">
        <v>2.59</v>
      </c>
      <c r="U42" s="27">
        <v>2.52</v>
      </c>
      <c r="V42" s="27">
        <v>3.38</v>
      </c>
      <c r="W42" s="27">
        <v>3.08</v>
      </c>
      <c r="X42" s="28"/>
      <c r="Z42" s="37">
        <v>-4.84</v>
      </c>
      <c r="AA42" s="27">
        <v>-7.4</v>
      </c>
      <c r="AB42" s="27">
        <v>-5.63</v>
      </c>
      <c r="AC42" s="39">
        <v>-5.25</v>
      </c>
      <c r="AD42" s="27">
        <v>-6.18</v>
      </c>
      <c r="AE42" s="27">
        <v>13.69</v>
      </c>
      <c r="AF42" s="40">
        <v>17.739999999999998</v>
      </c>
      <c r="AH42" s="37">
        <v>5.2</v>
      </c>
      <c r="AI42" s="27">
        <v>-4.43</v>
      </c>
      <c r="AJ42" s="27">
        <v>-4.42</v>
      </c>
      <c r="AK42" s="27">
        <v>-4.75</v>
      </c>
      <c r="AL42" s="27">
        <v>10.16</v>
      </c>
      <c r="AM42" s="39"/>
    </row>
    <row r="43" spans="3:41" ht="15.75" customHeight="1">
      <c r="C43" s="37">
        <v>8.0500000000000007</v>
      </c>
      <c r="D43" s="27">
        <v>11.24</v>
      </c>
      <c r="E43" s="27">
        <v>10.59</v>
      </c>
      <c r="F43" s="27">
        <v>7.92</v>
      </c>
      <c r="G43" s="27">
        <v>-3.75</v>
      </c>
      <c r="H43" s="27">
        <v>-3.7</v>
      </c>
      <c r="I43" s="27">
        <v>-3.75</v>
      </c>
      <c r="J43" s="27">
        <v>10.59</v>
      </c>
      <c r="L43" s="37">
        <v>1.83</v>
      </c>
      <c r="M43" s="27">
        <v>2.39</v>
      </c>
      <c r="N43" s="27">
        <v>2.23</v>
      </c>
      <c r="O43" s="46">
        <v>2.25</v>
      </c>
      <c r="Q43" s="37">
        <v>-3.73</v>
      </c>
      <c r="R43" s="27">
        <v>-3.69</v>
      </c>
      <c r="S43" s="39">
        <v>5.0199999999999996</v>
      </c>
      <c r="T43" s="27">
        <v>5.0599999999999996</v>
      </c>
      <c r="U43" s="27">
        <v>5.18</v>
      </c>
      <c r="V43" s="27">
        <v>5.2</v>
      </c>
      <c r="W43" s="27">
        <v>-4.6900000000000004</v>
      </c>
      <c r="X43" s="28"/>
      <c r="Z43" s="37">
        <v>0.67</v>
      </c>
      <c r="AA43" s="27">
        <v>0.68</v>
      </c>
      <c r="AB43" s="27">
        <v>0.74</v>
      </c>
      <c r="AC43" s="39">
        <v>0.83</v>
      </c>
      <c r="AD43" s="27">
        <v>0.78</v>
      </c>
      <c r="AE43" s="27">
        <v>0.79</v>
      </c>
      <c r="AF43" s="40">
        <v>0.98</v>
      </c>
      <c r="AH43" s="37">
        <v>3.92</v>
      </c>
      <c r="AI43" s="27">
        <v>-5.33</v>
      </c>
      <c r="AJ43" s="27">
        <v>-4.9000000000000004</v>
      </c>
      <c r="AK43" s="27">
        <v>-4.45</v>
      </c>
      <c r="AL43" s="27">
        <v>4.9000000000000004</v>
      </c>
      <c r="AM43" s="39"/>
    </row>
    <row r="44" spans="3:41" ht="15.75" customHeight="1">
      <c r="C44" s="37">
        <v>-3.52</v>
      </c>
      <c r="D44" s="27">
        <v>6.64</v>
      </c>
      <c r="E44" s="27">
        <v>-4.38</v>
      </c>
      <c r="F44" s="27">
        <v>6.48</v>
      </c>
      <c r="G44" s="27">
        <v>-3.57</v>
      </c>
      <c r="H44" s="27">
        <v>-3.64</v>
      </c>
      <c r="I44" s="27">
        <v>-3.58</v>
      </c>
      <c r="J44" s="27">
        <v>-4.38</v>
      </c>
      <c r="L44" s="37">
        <v>-4.78</v>
      </c>
      <c r="M44" s="27">
        <v>8.16</v>
      </c>
      <c r="N44" s="27">
        <v>8.84</v>
      </c>
      <c r="O44" s="46">
        <v>-3.65</v>
      </c>
      <c r="Q44" s="37">
        <v>5.26</v>
      </c>
      <c r="R44" s="27">
        <v>5.76</v>
      </c>
      <c r="S44" s="39">
        <v>5.61</v>
      </c>
      <c r="T44" s="27">
        <v>-4</v>
      </c>
      <c r="U44" s="27">
        <v>5.58</v>
      </c>
      <c r="V44" s="27">
        <v>6.28</v>
      </c>
      <c r="W44" s="27">
        <v>-4.41</v>
      </c>
      <c r="X44" s="28"/>
      <c r="Z44" s="37">
        <v>-4.3499999999999996</v>
      </c>
      <c r="AA44" s="27">
        <v>-4.0199999999999996</v>
      </c>
      <c r="AB44" s="27">
        <v>-5.39</v>
      </c>
      <c r="AC44" s="39">
        <v>-3.74</v>
      </c>
      <c r="AD44" s="27">
        <v>-4.05</v>
      </c>
      <c r="AE44" s="27">
        <v>-5.4</v>
      </c>
      <c r="AF44" s="40">
        <v>-6.54</v>
      </c>
      <c r="AH44" s="37">
        <v>1.71</v>
      </c>
      <c r="AI44" s="27">
        <v>1.65</v>
      </c>
      <c r="AJ44" s="27">
        <v>1.81</v>
      </c>
      <c r="AK44" s="27">
        <v>-4.4400000000000004</v>
      </c>
      <c r="AL44" s="27">
        <v>1.53</v>
      </c>
      <c r="AM44" s="39"/>
    </row>
    <row r="45" spans="3:41" ht="15.75" customHeight="1">
      <c r="C45" s="37">
        <v>-4.68</v>
      </c>
      <c r="D45" s="27">
        <v>-4.29</v>
      </c>
      <c r="E45" s="27">
        <v>-4.9800000000000004</v>
      </c>
      <c r="F45" s="27">
        <v>-4.8600000000000003</v>
      </c>
      <c r="G45" s="27">
        <v>-3.69</v>
      </c>
      <c r="H45" s="27">
        <v>-4.3899999999999997</v>
      </c>
      <c r="I45" s="27">
        <v>-4.84</v>
      </c>
      <c r="J45" s="27">
        <v>-4.9800000000000004</v>
      </c>
      <c r="L45" s="37">
        <v>2.0299999999999998</v>
      </c>
      <c r="M45" s="27">
        <v>2.19</v>
      </c>
      <c r="N45" s="27">
        <v>2.39</v>
      </c>
      <c r="O45" s="46">
        <v>2.19</v>
      </c>
      <c r="Q45" s="37">
        <v>-4.1900000000000004</v>
      </c>
      <c r="R45" s="27">
        <v>-3.73</v>
      </c>
      <c r="S45" s="39">
        <v>-3.54</v>
      </c>
      <c r="T45" s="27">
        <v>-3.7</v>
      </c>
      <c r="U45" s="27">
        <v>-3.48</v>
      </c>
      <c r="V45" s="27">
        <v>-3.58</v>
      </c>
      <c r="W45" s="27">
        <v>-4.24</v>
      </c>
      <c r="X45" s="28"/>
      <c r="Z45" s="37">
        <v>5.55</v>
      </c>
      <c r="AA45" s="27">
        <v>10.43</v>
      </c>
      <c r="AB45" s="27">
        <v>7.75</v>
      </c>
      <c r="AC45" s="39">
        <v>4.9400000000000004</v>
      </c>
      <c r="AD45" s="27">
        <v>5.57</v>
      </c>
      <c r="AE45" s="27">
        <v>5.31</v>
      </c>
      <c r="AF45" s="40">
        <v>8.27</v>
      </c>
      <c r="AH45" s="37">
        <v>-8.7200000000000006</v>
      </c>
      <c r="AI45" s="27">
        <v>-6.08</v>
      </c>
      <c r="AJ45" s="27">
        <v>-5.49</v>
      </c>
      <c r="AK45" s="27">
        <v>-5.37</v>
      </c>
      <c r="AL45" s="27">
        <v>-7.48</v>
      </c>
      <c r="AM45" s="39"/>
    </row>
    <row r="46" spans="3:41" ht="15.75" customHeight="1">
      <c r="C46" s="37">
        <v>6.43</v>
      </c>
      <c r="D46" s="27">
        <v>7.51</v>
      </c>
      <c r="E46" s="27">
        <v>9.0500000000000007</v>
      </c>
      <c r="F46" s="27">
        <v>6.82</v>
      </c>
      <c r="G46" s="27">
        <v>5.66</v>
      </c>
      <c r="H46" s="27">
        <v>6.39</v>
      </c>
      <c r="I46" s="27">
        <v>6.17</v>
      </c>
      <c r="J46" s="27">
        <v>9.0500000000000007</v>
      </c>
      <c r="L46" s="37">
        <v>-4.25</v>
      </c>
      <c r="M46" s="27">
        <v>-4.7699999999999996</v>
      </c>
      <c r="N46" s="27">
        <v>-4.88</v>
      </c>
      <c r="O46" s="46">
        <v>-3.81</v>
      </c>
      <c r="Q46" s="37">
        <v>-4.9800000000000004</v>
      </c>
      <c r="R46" s="27">
        <v>-4.2699999999999996</v>
      </c>
      <c r="S46" s="39">
        <v>-3.98</v>
      </c>
      <c r="T46" s="27">
        <v>10.26</v>
      </c>
      <c r="U46" s="27">
        <v>-3.65</v>
      </c>
      <c r="V46" s="27">
        <v>-3.67</v>
      </c>
      <c r="W46" s="27">
        <v>-6</v>
      </c>
      <c r="X46" s="28"/>
      <c r="Z46" s="37">
        <v>2.5099999999999998</v>
      </c>
      <c r="AA46" s="27">
        <v>3.07</v>
      </c>
      <c r="AB46" s="27">
        <v>2.94</v>
      </c>
      <c r="AC46" s="39">
        <v>2.5099999999999998</v>
      </c>
      <c r="AD46" s="27">
        <v>2.6</v>
      </c>
      <c r="AE46" s="27">
        <v>2.71</v>
      </c>
      <c r="AF46" s="40">
        <v>2.4</v>
      </c>
      <c r="AH46" s="37">
        <v>-7.43</v>
      </c>
      <c r="AI46" s="27">
        <v>-5.53</v>
      </c>
      <c r="AJ46" s="27">
        <v>-4.6500000000000004</v>
      </c>
      <c r="AK46" s="27">
        <v>-4.3600000000000003</v>
      </c>
      <c r="AL46" s="27">
        <v>-6.82</v>
      </c>
      <c r="AM46" s="39"/>
    </row>
    <row r="47" spans="3:41" ht="15.75" customHeight="1">
      <c r="C47" s="37">
        <v>6.7</v>
      </c>
      <c r="D47" s="27">
        <v>-4.28</v>
      </c>
      <c r="E47" s="27">
        <v>-3.63</v>
      </c>
      <c r="F47" s="27">
        <v>-3.55</v>
      </c>
      <c r="G47" s="27">
        <v>-3.38</v>
      </c>
      <c r="H47" s="27">
        <v>6.76</v>
      </c>
      <c r="I47" s="27">
        <v>7.42</v>
      </c>
      <c r="J47" s="27">
        <v>-3.63</v>
      </c>
      <c r="L47" s="37">
        <v>-5.54</v>
      </c>
      <c r="M47" s="27">
        <v>20.89</v>
      </c>
      <c r="N47" s="27">
        <v>23.81</v>
      </c>
      <c r="O47" s="46">
        <v>2.3199999999999998</v>
      </c>
      <c r="Q47" s="37">
        <v>8.7200000000000006</v>
      </c>
      <c r="R47" s="27">
        <v>-5.35</v>
      </c>
      <c r="S47" s="39">
        <v>-4.9800000000000004</v>
      </c>
      <c r="T47" s="27">
        <v>-5.25</v>
      </c>
      <c r="U47" s="27">
        <v>-4.79</v>
      </c>
      <c r="V47" s="27">
        <v>-6.05</v>
      </c>
      <c r="W47" s="27">
        <v>-4.37</v>
      </c>
      <c r="X47" s="28"/>
      <c r="Z47" s="37">
        <v>-5.0599999999999996</v>
      </c>
      <c r="AA47" s="27">
        <v>3.14</v>
      </c>
      <c r="AB47" s="27">
        <v>2.66</v>
      </c>
      <c r="AC47" s="39">
        <v>2.75</v>
      </c>
      <c r="AD47" s="27">
        <v>-4.8</v>
      </c>
      <c r="AE47" s="27">
        <v>-4.34</v>
      </c>
      <c r="AF47" s="40">
        <v>-5.32</v>
      </c>
      <c r="AH47" s="37">
        <v>-6.49</v>
      </c>
      <c r="AI47" s="27">
        <v>15.46</v>
      </c>
      <c r="AJ47" s="27">
        <v>-5.25</v>
      </c>
      <c r="AK47" s="27">
        <v>-5.19</v>
      </c>
      <c r="AL47" s="27">
        <v>-4.18</v>
      </c>
      <c r="AM47" s="39"/>
    </row>
    <row r="48" spans="3:41" ht="15.75" customHeight="1">
      <c r="C48" s="39"/>
      <c r="D48" s="40"/>
      <c r="L48" s="37">
        <v>-4.8899999999999997</v>
      </c>
      <c r="M48" s="27">
        <v>7.94</v>
      </c>
      <c r="N48" s="27">
        <v>-4.6500000000000004</v>
      </c>
      <c r="O48" s="46">
        <v>-5.39</v>
      </c>
      <c r="Q48" s="40"/>
      <c r="X48" s="28"/>
      <c r="Z48" s="37">
        <v>3.18</v>
      </c>
      <c r="AA48" s="27">
        <v>4.2</v>
      </c>
      <c r="AB48" s="27">
        <v>-4.34</v>
      </c>
      <c r="AC48" s="39">
        <v>3.35</v>
      </c>
      <c r="AD48" s="27">
        <v>3.22</v>
      </c>
      <c r="AE48" s="27">
        <v>-3.97</v>
      </c>
      <c r="AF48" s="40">
        <v>-6.72</v>
      </c>
      <c r="AH48" s="37">
        <v>-3.96</v>
      </c>
      <c r="AI48" s="27">
        <v>-5.19</v>
      </c>
      <c r="AJ48" s="27">
        <v>-4.4400000000000004</v>
      </c>
      <c r="AK48" s="27">
        <v>-4.54</v>
      </c>
      <c r="AL48" s="27">
        <v>8.14</v>
      </c>
      <c r="AM48" s="39"/>
    </row>
    <row r="49" spans="3:39" ht="15.75" customHeight="1">
      <c r="C49" s="28"/>
      <c r="L49" s="37">
        <v>-6.86</v>
      </c>
      <c r="M49" s="27">
        <v>-7.74</v>
      </c>
      <c r="N49" s="27">
        <v>-8.66</v>
      </c>
      <c r="O49" s="46">
        <v>-4.2300000000000004</v>
      </c>
      <c r="Z49" s="37">
        <v>-6.98</v>
      </c>
      <c r="AA49" s="27">
        <v>-8.4700000000000006</v>
      </c>
      <c r="AB49" s="27">
        <v>-8.7100000000000009</v>
      </c>
      <c r="AC49" s="39">
        <v>-6.48</v>
      </c>
      <c r="AD49" s="27">
        <v>-7.42</v>
      </c>
      <c r="AE49" s="27">
        <v>-6.5</v>
      </c>
      <c r="AF49" s="40">
        <v>-7.74</v>
      </c>
      <c r="AH49" s="37">
        <v>5.89</v>
      </c>
      <c r="AI49" s="27">
        <v>-4.08</v>
      </c>
      <c r="AJ49" s="27">
        <v>3.37</v>
      </c>
      <c r="AK49" s="27">
        <v>-4.58</v>
      </c>
      <c r="AL49" s="27">
        <v>4.04</v>
      </c>
      <c r="AM49" s="39"/>
    </row>
    <row r="50" spans="3:39" ht="15.75" customHeight="1">
      <c r="L50" s="37">
        <v>15.18</v>
      </c>
      <c r="M50" s="27">
        <v>17.39</v>
      </c>
      <c r="N50" s="27">
        <v>16.71</v>
      </c>
      <c r="O50" s="46">
        <v>-6.63</v>
      </c>
      <c r="Z50" s="27">
        <v>4.9400000000000004</v>
      </c>
      <c r="AA50" s="27">
        <v>5.45</v>
      </c>
      <c r="AB50" s="27">
        <v>5.13</v>
      </c>
      <c r="AC50" s="39">
        <v>4.29</v>
      </c>
      <c r="AD50" s="27">
        <v>4.33</v>
      </c>
      <c r="AE50" s="27">
        <v>5.64</v>
      </c>
      <c r="AF50" s="40">
        <v>6.05</v>
      </c>
      <c r="AH50" s="40"/>
    </row>
    <row r="51" spans="3:39" ht="15.75" customHeight="1">
      <c r="L51" s="37">
        <v>-4.5199999999999996</v>
      </c>
      <c r="M51" s="27">
        <v>11.12</v>
      </c>
      <c r="N51" s="27">
        <v>-4.8099999999999996</v>
      </c>
      <c r="O51" s="46">
        <v>-5.07</v>
      </c>
      <c r="Z51" s="27">
        <v>4.18</v>
      </c>
      <c r="AA51" s="27">
        <v>4.9000000000000004</v>
      </c>
      <c r="AB51" s="27">
        <v>4.8899999999999997</v>
      </c>
      <c r="AC51" s="39">
        <v>4.6500000000000004</v>
      </c>
      <c r="AD51" s="27">
        <v>4.0599999999999996</v>
      </c>
      <c r="AE51" s="27">
        <v>4.4400000000000004</v>
      </c>
      <c r="AF51" s="40">
        <v>6.06</v>
      </c>
    </row>
    <row r="52" spans="3:39" ht="15.75" customHeight="1">
      <c r="L52" s="39"/>
      <c r="Z52" s="27">
        <v>1.67</v>
      </c>
      <c r="AA52" s="27">
        <v>2.2000000000000002</v>
      </c>
      <c r="AB52" s="27">
        <v>2.38</v>
      </c>
      <c r="AC52" s="39">
        <v>-4.88</v>
      </c>
      <c r="AD52" s="27">
        <v>-5.65</v>
      </c>
      <c r="AE52" s="27">
        <v>2.29</v>
      </c>
      <c r="AF52" s="40">
        <v>2.88</v>
      </c>
    </row>
    <row r="53" spans="3:39" ht="15.75" customHeight="1">
      <c r="L53" s="40"/>
      <c r="Z53" s="27">
        <v>2.88</v>
      </c>
      <c r="AA53" s="27">
        <v>3.9</v>
      </c>
      <c r="AB53" s="27">
        <v>3.37</v>
      </c>
      <c r="AC53" s="39">
        <v>2.21</v>
      </c>
      <c r="AD53" s="27">
        <v>3</v>
      </c>
      <c r="AE53" s="27">
        <v>2.63</v>
      </c>
      <c r="AF53" s="40">
        <v>-5.58</v>
      </c>
    </row>
    <row r="54" spans="3:39" ht="15.75" customHeight="1">
      <c r="L54" s="28"/>
      <c r="Z54" s="27">
        <v>6.48</v>
      </c>
      <c r="AA54" s="27">
        <v>7.85</v>
      </c>
      <c r="AB54" s="27">
        <v>5.91</v>
      </c>
      <c r="AC54" s="39">
        <v>4.41</v>
      </c>
      <c r="AD54" s="27">
        <v>5.68</v>
      </c>
      <c r="AE54" s="27">
        <v>6.21</v>
      </c>
      <c r="AF54" s="40">
        <v>8.75</v>
      </c>
    </row>
    <row r="55" spans="3:39" ht="15.75" customHeight="1">
      <c r="C55" s="30"/>
      <c r="Z55" s="27">
        <v>-5.24</v>
      </c>
      <c r="AA55" s="27">
        <v>-4.54</v>
      </c>
      <c r="AB55" s="27">
        <v>-5.26</v>
      </c>
      <c r="AC55" s="39">
        <v>2.62</v>
      </c>
      <c r="AD55" s="27">
        <v>3.06</v>
      </c>
      <c r="AE55" s="27">
        <v>-4.8499999999999996</v>
      </c>
      <c r="AF55" s="40">
        <v>-6.63</v>
      </c>
    </row>
    <row r="56" spans="3:39" ht="15.75" customHeight="1">
      <c r="Z56" s="27">
        <v>-4.67</v>
      </c>
      <c r="AA56" s="27">
        <v>7.95</v>
      </c>
      <c r="AB56" s="27">
        <v>8.17</v>
      </c>
      <c r="AC56" s="39">
        <v>-3.5</v>
      </c>
      <c r="AD56" s="27">
        <v>-4.3899999999999997</v>
      </c>
      <c r="AE56" s="27">
        <v>-4.3600000000000003</v>
      </c>
      <c r="AF56" s="40">
        <v>8.84</v>
      </c>
    </row>
    <row r="57" spans="3:39" ht="15.75" customHeight="1">
      <c r="Z57" s="27">
        <v>-4.3099999999999996</v>
      </c>
      <c r="AA57" s="27">
        <v>-4.53</v>
      </c>
      <c r="AB57" s="27">
        <v>-4.57</v>
      </c>
      <c r="AC57" s="39">
        <v>-4.16</v>
      </c>
      <c r="AD57" s="27">
        <v>-4.5</v>
      </c>
      <c r="AE57" s="27">
        <v>-3.73</v>
      </c>
      <c r="AF57" s="40">
        <v>-6.24</v>
      </c>
    </row>
    <row r="58" spans="3:39" ht="15.75" customHeight="1">
      <c r="Z58" s="27">
        <v>4.5199999999999996</v>
      </c>
      <c r="AA58" s="27">
        <v>6.89</v>
      </c>
      <c r="AB58" s="27">
        <v>6.82</v>
      </c>
      <c r="AC58" s="39">
        <v>4.0999999999999996</v>
      </c>
      <c r="AD58" s="27">
        <v>4.4400000000000004</v>
      </c>
      <c r="AE58" s="27">
        <v>5.74</v>
      </c>
      <c r="AF58" s="40">
        <v>5.97</v>
      </c>
    </row>
    <row r="59" spans="3:39" ht="15.75" customHeight="1">
      <c r="AC59" s="28"/>
    </row>
    <row r="63" spans="3:39" ht="13">
      <c r="C63" s="30" t="s">
        <v>39</v>
      </c>
    </row>
    <row r="65" spans="3:18" ht="28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31</v>
      </c>
      <c r="I65" s="4" t="s">
        <v>40</v>
      </c>
      <c r="J65" s="4" t="s">
        <v>41</v>
      </c>
      <c r="K65" s="47" t="s">
        <v>42</v>
      </c>
      <c r="L65" s="4" t="s">
        <v>43</v>
      </c>
      <c r="M65" s="48" t="s">
        <v>44</v>
      </c>
      <c r="N65" s="49" t="s">
        <v>45</v>
      </c>
    </row>
    <row r="66" spans="3:18" ht="13">
      <c r="C66" s="8">
        <v>6</v>
      </c>
      <c r="D66" s="9" t="s">
        <v>12</v>
      </c>
      <c r="E66" s="10"/>
      <c r="F66" s="50"/>
      <c r="G66" s="50"/>
      <c r="H66" s="17"/>
      <c r="I66" s="17"/>
      <c r="J66" s="17"/>
      <c r="K66" s="13"/>
      <c r="L66" s="17"/>
      <c r="M66" s="13"/>
      <c r="N66" s="17"/>
    </row>
    <row r="67" spans="3:18" ht="13">
      <c r="C67" s="16">
        <v>167</v>
      </c>
      <c r="D67" s="16" t="s">
        <v>14</v>
      </c>
      <c r="E67" s="10">
        <v>45570</v>
      </c>
      <c r="F67" s="10"/>
      <c r="G67" s="10"/>
      <c r="H67" s="17"/>
      <c r="I67" s="17"/>
      <c r="J67" s="17"/>
      <c r="K67" s="13"/>
      <c r="L67" s="17"/>
      <c r="M67" s="13"/>
      <c r="N67" s="17"/>
    </row>
    <row r="68" spans="3:18" ht="13">
      <c r="C68" s="18">
        <v>48</v>
      </c>
      <c r="D68" s="19" t="s">
        <v>15</v>
      </c>
      <c r="E68" s="10">
        <v>45679</v>
      </c>
      <c r="F68" s="12">
        <v>395</v>
      </c>
      <c r="G68" s="12" t="s">
        <v>13</v>
      </c>
      <c r="H68" s="17">
        <v>57.245716304539798</v>
      </c>
      <c r="I68" s="13">
        <v>1.99999999999998</v>
      </c>
      <c r="J68" s="13">
        <v>153.69999999999999</v>
      </c>
      <c r="K68" s="13">
        <f>-40.5+
2413.68+
163.23</f>
        <v>2536.41</v>
      </c>
      <c r="L68" s="17">
        <v>30</v>
      </c>
      <c r="M68" s="13">
        <f t="shared" ref="M68:M72" si="6">K68/J68</f>
        <v>16.502342225113857</v>
      </c>
      <c r="N68" s="17" t="e">
        <f>L68*#REF!</f>
        <v>#REF!</v>
      </c>
    </row>
    <row r="69" spans="3:18" ht="13">
      <c r="C69" s="16">
        <v>55</v>
      </c>
      <c r="D69" s="19" t="s">
        <v>17</v>
      </c>
      <c r="E69" s="10">
        <v>45679</v>
      </c>
      <c r="F69" s="12">
        <v>724</v>
      </c>
      <c r="G69" s="12" t="s">
        <v>13</v>
      </c>
      <c r="H69" s="13">
        <v>57.762697448982202</v>
      </c>
      <c r="I69" s="13">
        <v>7</v>
      </c>
      <c r="J69" s="13">
        <v>174.21</v>
      </c>
      <c r="K69" s="13">
        <f>1150.93+
478.33+
122.61</f>
        <v>1751.87</v>
      </c>
      <c r="L69" s="13">
        <f>60/2</f>
        <v>30</v>
      </c>
      <c r="M69" s="13">
        <f t="shared" si="6"/>
        <v>10.056081740428217</v>
      </c>
      <c r="N69" s="17" t="e">
        <f>L69*#REF!</f>
        <v>#REF!</v>
      </c>
    </row>
    <row r="70" spans="3:18" ht="13">
      <c r="C70" s="16">
        <v>59</v>
      </c>
      <c r="D70" s="16" t="s">
        <v>19</v>
      </c>
      <c r="E70" s="10">
        <v>45680</v>
      </c>
      <c r="F70" s="12">
        <v>935</v>
      </c>
      <c r="G70" s="12" t="s">
        <v>13</v>
      </c>
      <c r="H70" s="13">
        <v>61.814766893442901</v>
      </c>
      <c r="I70" s="13">
        <v>5</v>
      </c>
      <c r="J70" s="13">
        <v>149.66</v>
      </c>
      <c r="K70" s="13">
        <f>729.17+
5039.3+
-26.81</f>
        <v>5741.66</v>
      </c>
      <c r="L70" s="13">
        <f>50/2</f>
        <v>25</v>
      </c>
      <c r="M70" s="13">
        <f t="shared" si="6"/>
        <v>38.364693304824272</v>
      </c>
      <c r="N70" s="17" t="e">
        <f>L70*#REF!</f>
        <v>#REF!</v>
      </c>
    </row>
    <row r="71" spans="3:18" ht="13">
      <c r="C71" s="16">
        <v>77</v>
      </c>
      <c r="D71" s="16" t="s">
        <v>20</v>
      </c>
      <c r="E71" s="10">
        <v>45677</v>
      </c>
      <c r="F71" s="12">
        <v>931</v>
      </c>
      <c r="G71" s="12" t="s">
        <v>13</v>
      </c>
      <c r="H71" s="13">
        <v>59.804801130957202</v>
      </c>
      <c r="I71" s="13">
        <v>11</v>
      </c>
      <c r="J71" s="13">
        <v>190.1</v>
      </c>
      <c r="K71" s="13">
        <f>-0.29+
1243.98+
236.53</f>
        <v>1480.22</v>
      </c>
      <c r="L71" s="17">
        <v>40</v>
      </c>
      <c r="M71" s="13">
        <f t="shared" si="6"/>
        <v>7.7865334034718572</v>
      </c>
      <c r="N71" s="17" t="e">
        <f>L71*#REF!</f>
        <v>#REF!</v>
      </c>
    </row>
    <row r="72" spans="3:18" ht="13">
      <c r="C72" s="16">
        <v>148</v>
      </c>
      <c r="D72" s="16" t="s">
        <v>21</v>
      </c>
      <c r="E72" s="10">
        <v>45677</v>
      </c>
      <c r="F72" s="12">
        <v>112</v>
      </c>
      <c r="G72" s="12" t="s">
        <v>13</v>
      </c>
      <c r="H72" s="13">
        <v>56.318574213311003</v>
      </c>
      <c r="I72" s="13">
        <v>8</v>
      </c>
      <c r="J72" s="13">
        <v>127.26</v>
      </c>
      <c r="K72" s="13">
        <f>1613.45+
584.93+
-27.72</f>
        <v>2170.6600000000003</v>
      </c>
      <c r="L72" s="17">
        <v>40</v>
      </c>
      <c r="M72" s="13">
        <f t="shared" si="6"/>
        <v>17.056891403426057</v>
      </c>
      <c r="N72" s="17" t="e">
        <f>L72*#REF!</f>
        <v>#REF!</v>
      </c>
    </row>
    <row r="76" spans="3:18" ht="13">
      <c r="C76" s="30" t="s">
        <v>46</v>
      </c>
    </row>
    <row r="77" spans="3:18" ht="28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31</v>
      </c>
      <c r="I77" s="4" t="s">
        <v>40</v>
      </c>
      <c r="J77" s="4" t="s">
        <v>41</v>
      </c>
      <c r="K77" s="47" t="s">
        <v>42</v>
      </c>
      <c r="L77" s="4" t="s">
        <v>47</v>
      </c>
      <c r="M77" s="4" t="s">
        <v>48</v>
      </c>
      <c r="N77" s="4" t="s">
        <v>49</v>
      </c>
      <c r="O77" s="4"/>
      <c r="P77" s="4" t="s">
        <v>50</v>
      </c>
      <c r="Q77" s="48" t="s">
        <v>44</v>
      </c>
      <c r="R77" s="49" t="s">
        <v>45</v>
      </c>
    </row>
    <row r="78" spans="3:18" ht="13">
      <c r="C78" s="8">
        <v>6</v>
      </c>
      <c r="D78" s="9" t="s">
        <v>12</v>
      </c>
      <c r="E78" s="10"/>
      <c r="F78" s="50"/>
      <c r="G78" s="50"/>
      <c r="H78" s="17"/>
      <c r="I78" s="17"/>
      <c r="J78" s="17"/>
      <c r="K78" s="13"/>
      <c r="L78" s="17"/>
      <c r="M78" s="17"/>
      <c r="N78" s="17"/>
      <c r="O78" s="17"/>
      <c r="P78" s="17"/>
      <c r="Q78" s="13"/>
      <c r="R78" s="17"/>
    </row>
    <row r="79" spans="3:18" ht="13">
      <c r="C79" s="16">
        <v>167</v>
      </c>
      <c r="D79" s="16" t="s">
        <v>14</v>
      </c>
      <c r="E79" s="10">
        <v>45570</v>
      </c>
      <c r="F79" s="10"/>
      <c r="G79" s="10"/>
      <c r="H79" s="17"/>
      <c r="I79" s="17"/>
      <c r="J79" s="17"/>
      <c r="K79" s="13"/>
      <c r="L79" s="17"/>
      <c r="M79" s="17"/>
      <c r="N79" s="17"/>
      <c r="O79" s="17"/>
      <c r="P79" s="17"/>
      <c r="Q79" s="13"/>
      <c r="R79" s="17"/>
    </row>
    <row r="80" spans="3:18" ht="13">
      <c r="C80" s="18">
        <v>48</v>
      </c>
      <c r="D80" s="19" t="s">
        <v>15</v>
      </c>
      <c r="E80" s="10">
        <v>45679</v>
      </c>
      <c r="F80" s="12">
        <v>395</v>
      </c>
      <c r="G80" s="12" t="s">
        <v>13</v>
      </c>
      <c r="H80" s="17">
        <v>57.245716304539798</v>
      </c>
      <c r="I80" s="13">
        <v>1.99999999999998</v>
      </c>
      <c r="J80" s="13">
        <v>153.69999999999999</v>
      </c>
      <c r="K80" s="13">
        <f>-2+
8641.42+
76.54</f>
        <v>8715.9600000000009</v>
      </c>
      <c r="L80" s="17">
        <v>5</v>
      </c>
      <c r="M80" s="17">
        <v>60</v>
      </c>
      <c r="N80" s="17">
        <v>30</v>
      </c>
      <c r="O80" s="17"/>
      <c r="P80" s="17">
        <f t="shared" ref="P80:P84" si="7">AVERAGE(L80:N80)</f>
        <v>31.666666666666668</v>
      </c>
      <c r="Q80" s="13">
        <f t="shared" ref="Q80:Q84" si="8">K80/J80</f>
        <v>56.707612231620047</v>
      </c>
      <c r="R80" s="13" t="e">
        <f>P80*#REF!</f>
        <v>#REF!</v>
      </c>
    </row>
    <row r="81" spans="3:21" ht="13">
      <c r="C81" s="16">
        <v>55</v>
      </c>
      <c r="D81" s="19" t="s">
        <v>17</v>
      </c>
      <c r="E81" s="10">
        <v>45679</v>
      </c>
      <c r="F81" s="12">
        <v>724</v>
      </c>
      <c r="G81" s="12" t="s">
        <v>13</v>
      </c>
      <c r="H81" s="13">
        <v>57.762697448982202</v>
      </c>
      <c r="I81" s="13">
        <v>7</v>
      </c>
      <c r="J81" s="13">
        <v>174.21</v>
      </c>
      <c r="K81" s="13">
        <f>2560.91+
473.91+
196</f>
        <v>3230.8199999999997</v>
      </c>
      <c r="L81" s="13">
        <v>90</v>
      </c>
      <c r="M81" s="13">
        <v>50</v>
      </c>
      <c r="N81" s="13">
        <v>40</v>
      </c>
      <c r="O81" s="17"/>
      <c r="P81" s="13">
        <f t="shared" si="7"/>
        <v>60</v>
      </c>
      <c r="Q81" s="13">
        <f t="shared" si="8"/>
        <v>18.545548475977267</v>
      </c>
      <c r="R81" s="51" t="e">
        <f>P81*#REF!/2</f>
        <v>#REF!</v>
      </c>
    </row>
    <row r="82" spans="3:21" ht="13">
      <c r="C82" s="16">
        <v>59</v>
      </c>
      <c r="D82" s="16" t="s">
        <v>19</v>
      </c>
      <c r="E82" s="10">
        <v>45680</v>
      </c>
      <c r="F82" s="12">
        <v>935</v>
      </c>
      <c r="G82" s="12" t="s">
        <v>13</v>
      </c>
      <c r="H82" s="13">
        <v>61.814766893442901</v>
      </c>
      <c r="I82" s="13">
        <v>5</v>
      </c>
      <c r="J82" s="13">
        <v>149.66</v>
      </c>
      <c r="K82" s="13">
        <f>899.02+
15191.45+
-2.4</f>
        <v>16088.070000000002</v>
      </c>
      <c r="L82" s="13">
        <v>80</v>
      </c>
      <c r="M82" s="13">
        <v>90</v>
      </c>
      <c r="N82" s="13">
        <v>5</v>
      </c>
      <c r="O82" s="17"/>
      <c r="P82" s="13">
        <f t="shared" si="7"/>
        <v>58.333333333333336</v>
      </c>
      <c r="Q82" s="13">
        <f t="shared" si="8"/>
        <v>107.49746091139919</v>
      </c>
      <c r="R82" s="51" t="e">
        <f>P82*#REF!/2</f>
        <v>#REF!</v>
      </c>
    </row>
    <row r="83" spans="3:21" ht="13">
      <c r="C83" s="16">
        <v>77</v>
      </c>
      <c r="D83" s="16" t="s">
        <v>20</v>
      </c>
      <c r="E83" s="10">
        <v>45677</v>
      </c>
      <c r="F83" s="12">
        <v>931</v>
      </c>
      <c r="G83" s="12" t="s">
        <v>13</v>
      </c>
      <c r="H83" s="13">
        <v>59.804801130957202</v>
      </c>
      <c r="I83" s="13">
        <v>11</v>
      </c>
      <c r="J83" s="13">
        <v>190.1</v>
      </c>
      <c r="K83" s="13">
        <f>11.94+
1356.27+
240.96</f>
        <v>1609.17</v>
      </c>
      <c r="L83" s="17">
        <v>10</v>
      </c>
      <c r="M83" s="17">
        <v>40</v>
      </c>
      <c r="N83" s="17">
        <v>50</v>
      </c>
      <c r="O83" s="17"/>
      <c r="P83" s="17">
        <f t="shared" si="7"/>
        <v>33.333333333333336</v>
      </c>
      <c r="Q83" s="13">
        <f t="shared" si="8"/>
        <v>8.4648605996843767</v>
      </c>
      <c r="R83" s="13" t="e">
        <f>P83*#REF!</f>
        <v>#REF!</v>
      </c>
    </row>
    <row r="84" spans="3:21" ht="13">
      <c r="C84" s="16">
        <v>148</v>
      </c>
      <c r="D84" s="16" t="s">
        <v>21</v>
      </c>
      <c r="E84" s="10">
        <v>45677</v>
      </c>
      <c r="F84" s="12">
        <v>112</v>
      </c>
      <c r="G84" s="12" t="s">
        <v>13</v>
      </c>
      <c r="H84" s="13">
        <v>56.318574213311003</v>
      </c>
      <c r="I84" s="13">
        <v>8</v>
      </c>
      <c r="J84" s="13">
        <v>127.26</v>
      </c>
      <c r="K84" s="13">
        <f>1485.08+
1015.76+
21.03</f>
        <v>2521.8700000000003</v>
      </c>
      <c r="L84" s="17">
        <v>70</v>
      </c>
      <c r="M84" s="17">
        <v>70</v>
      </c>
      <c r="N84" s="17">
        <v>10</v>
      </c>
      <c r="O84" s="17"/>
      <c r="P84" s="17">
        <f t="shared" si="7"/>
        <v>50</v>
      </c>
      <c r="Q84" s="13">
        <f t="shared" si="8"/>
        <v>19.816674524595317</v>
      </c>
      <c r="R84" s="13" t="e">
        <f>P84*#REF!</f>
        <v>#REF!</v>
      </c>
    </row>
    <row r="94" spans="3:21" ht="13">
      <c r="C94" s="27" t="s">
        <v>51</v>
      </c>
    </row>
    <row r="96" spans="3:21" ht="28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32</v>
      </c>
      <c r="I96" s="4" t="s">
        <v>52</v>
      </c>
      <c r="J96" s="4" t="s">
        <v>31</v>
      </c>
      <c r="K96" s="47" t="s">
        <v>53</v>
      </c>
      <c r="L96" s="47" t="s">
        <v>54</v>
      </c>
      <c r="M96" s="47" t="s">
        <v>55</v>
      </c>
      <c r="N96" s="4" t="s">
        <v>41</v>
      </c>
      <c r="O96" s="47" t="s">
        <v>42</v>
      </c>
      <c r="P96" s="48" t="s">
        <v>44</v>
      </c>
      <c r="Q96" s="4" t="s">
        <v>47</v>
      </c>
      <c r="R96" s="4" t="s">
        <v>48</v>
      </c>
      <c r="S96" s="4" t="s">
        <v>49</v>
      </c>
      <c r="T96" s="4" t="s">
        <v>50</v>
      </c>
      <c r="U96" s="49" t="s">
        <v>45</v>
      </c>
    </row>
    <row r="97" spans="3:21" ht="13">
      <c r="C97" s="8">
        <v>6</v>
      </c>
      <c r="D97" s="9" t="s">
        <v>12</v>
      </c>
      <c r="E97" s="10"/>
      <c r="F97" s="50"/>
      <c r="G97" s="50"/>
      <c r="H97" s="17"/>
      <c r="I97" s="17"/>
      <c r="J97" s="17"/>
      <c r="K97" s="13"/>
      <c r="L97" s="13"/>
      <c r="M97" s="13"/>
      <c r="N97" s="17"/>
      <c r="O97" s="13"/>
      <c r="P97" s="13"/>
      <c r="Q97" s="17"/>
      <c r="R97" s="17"/>
      <c r="S97" s="17"/>
      <c r="T97" s="17"/>
      <c r="U97" s="17"/>
    </row>
    <row r="98" spans="3:21" ht="13">
      <c r="C98" s="16">
        <v>167</v>
      </c>
      <c r="D98" s="16" t="s">
        <v>14</v>
      </c>
      <c r="E98" s="10">
        <v>45570</v>
      </c>
      <c r="F98" s="10"/>
      <c r="G98" s="10"/>
      <c r="H98" s="17"/>
      <c r="I98" s="17"/>
      <c r="J98" s="17"/>
      <c r="K98" s="13"/>
      <c r="L98" s="13"/>
      <c r="M98" s="13"/>
      <c r="N98" s="17"/>
      <c r="O98" s="13"/>
      <c r="P98" s="13"/>
      <c r="Q98" s="17"/>
      <c r="R98" s="17"/>
      <c r="S98" s="17"/>
      <c r="T98" s="17"/>
      <c r="U98" s="17"/>
    </row>
    <row r="99" spans="3:21" ht="13">
      <c r="C99" s="18">
        <v>48</v>
      </c>
      <c r="D99" s="19" t="s">
        <v>15</v>
      </c>
      <c r="E99" s="10">
        <v>45679</v>
      </c>
      <c r="F99" s="12">
        <v>395</v>
      </c>
      <c r="G99" s="12" t="s">
        <v>13</v>
      </c>
      <c r="H99" s="13">
        <v>57.999999999999901</v>
      </c>
      <c r="I99" s="13">
        <v>57.115448782115401</v>
      </c>
      <c r="J99" s="13">
        <v>57.245716304539798</v>
      </c>
      <c r="K99" s="13">
        <v>-0.02</v>
      </c>
      <c r="L99" s="13">
        <v>99.14</v>
      </c>
      <c r="M99" s="13">
        <v>0.88</v>
      </c>
      <c r="N99" s="13">
        <v>153.70487681579499</v>
      </c>
      <c r="O99" s="13">
        <v>8715.9560413625604</v>
      </c>
      <c r="P99" s="13">
        <v>55.705787232815098</v>
      </c>
      <c r="Q99" s="17">
        <v>5</v>
      </c>
      <c r="R99" s="17">
        <v>60</v>
      </c>
      <c r="S99" s="17">
        <v>30</v>
      </c>
      <c r="T99" s="13">
        <f t="shared" ref="T99:T103" si="9">AVERAGE(Q99:S99)</f>
        <v>31.666666666666668</v>
      </c>
      <c r="U99" s="13" t="e">
        <f>T99*#REF!</f>
        <v>#REF!</v>
      </c>
    </row>
    <row r="100" spans="3:21" ht="13">
      <c r="C100" s="52">
        <v>55</v>
      </c>
      <c r="D100" s="53" t="s">
        <v>17</v>
      </c>
      <c r="E100" s="10">
        <v>45679</v>
      </c>
      <c r="F100" s="12">
        <v>724</v>
      </c>
      <c r="G100" s="12" t="s">
        <v>13</v>
      </c>
      <c r="H100" s="13">
        <v>61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</v>
      </c>
      <c r="R100" s="13">
        <v>50</v>
      </c>
      <c r="S100" s="13">
        <v>40</v>
      </c>
      <c r="T100" s="13">
        <f t="shared" si="9"/>
        <v>60</v>
      </c>
      <c r="U100" s="51" t="e">
        <f>T100*#REF!/2</f>
        <v>#REF!</v>
      </c>
    </row>
    <row r="101" spans="3:21" ht="13">
      <c r="C101" s="52">
        <v>59</v>
      </c>
      <c r="D101" s="52" t="s">
        <v>19</v>
      </c>
      <c r="E101" s="10">
        <v>45680</v>
      </c>
      <c r="F101" s="12">
        <v>935</v>
      </c>
      <c r="G101" s="12" t="s">
        <v>13</v>
      </c>
      <c r="H101" s="13">
        <v>64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149.66999999999999</v>
      </c>
      <c r="O101" s="13">
        <v>16088.07</v>
      </c>
      <c r="P101" s="13">
        <v>106.49</v>
      </c>
      <c r="Q101" s="13">
        <v>80</v>
      </c>
      <c r="R101" s="13">
        <v>90</v>
      </c>
      <c r="S101" s="13">
        <v>5</v>
      </c>
      <c r="T101" s="13">
        <f t="shared" si="9"/>
        <v>58.333333333333336</v>
      </c>
      <c r="U101" s="51" t="e">
        <f>T101*#REF!/2</f>
        <v>#REF!</v>
      </c>
    </row>
    <row r="102" spans="3:21" ht="13">
      <c r="C102" s="52">
        <v>77</v>
      </c>
      <c r="D102" s="52" t="s">
        <v>20</v>
      </c>
      <c r="E102" s="10">
        <v>45677</v>
      </c>
      <c r="F102" s="12">
        <v>1623</v>
      </c>
      <c r="G102" s="12" t="s">
        <v>13</v>
      </c>
      <c r="H102" s="13">
        <v>60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130.83000000000001</v>
      </c>
      <c r="O102" s="13">
        <v>5977.86</v>
      </c>
      <c r="P102" s="13">
        <v>44.69</v>
      </c>
      <c r="Q102" s="17">
        <v>5</v>
      </c>
      <c r="R102" s="17">
        <v>80</v>
      </c>
      <c r="S102" s="17">
        <v>50</v>
      </c>
      <c r="T102" s="17">
        <f t="shared" si="9"/>
        <v>45</v>
      </c>
      <c r="U102" s="13" t="e">
        <f>T102*#REF!</f>
        <v>#REF!</v>
      </c>
    </row>
    <row r="103" spans="3:21" ht="13">
      <c r="C103" s="52">
        <v>148</v>
      </c>
      <c r="D103" s="52" t="s">
        <v>21</v>
      </c>
      <c r="E103" s="10">
        <v>45677</v>
      </c>
      <c r="F103" s="12">
        <v>814</v>
      </c>
      <c r="G103" s="12" t="s">
        <v>13</v>
      </c>
      <c r="H103" s="13">
        <v>56</v>
      </c>
      <c r="I103" s="13">
        <v>52</v>
      </c>
      <c r="J103" s="13">
        <v>51.98</v>
      </c>
      <c r="K103" s="13">
        <v>99.43</v>
      </c>
      <c r="L103" s="13">
        <v>0.64</v>
      </c>
      <c r="M103" s="13">
        <v>-7.0000000000000007E-2</v>
      </c>
      <c r="N103" s="13">
        <v>96.01</v>
      </c>
      <c r="O103" s="13">
        <v>7974.28</v>
      </c>
      <c r="P103" s="13">
        <v>82.06</v>
      </c>
      <c r="Q103" s="17">
        <v>90</v>
      </c>
      <c r="R103" s="17">
        <v>15</v>
      </c>
      <c r="S103" s="17">
        <v>5</v>
      </c>
      <c r="T103" s="17">
        <f t="shared" si="9"/>
        <v>36.666666666666664</v>
      </c>
      <c r="U103" s="13" t="e">
        <f>T103*#REF!</f>
        <v>#REF!</v>
      </c>
    </row>
  </sheetData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W39"/>
  <sheetViews>
    <sheetView showGridLines="0" workbookViewId="0">
      <pane xSplit="1" topLeftCell="B1" activePane="topRight" state="frozen"/>
      <selection pane="topRight" activeCell="C2" sqref="C2"/>
    </sheetView>
  </sheetViews>
  <sheetFormatPr baseColWidth="10" defaultColWidth="12.6640625" defaultRowHeight="15.75" customHeight="1"/>
  <sheetData>
    <row r="1" spans="1:23" ht="15.75" customHeight="1">
      <c r="A1" s="54" t="s">
        <v>56</v>
      </c>
      <c r="B1" s="55"/>
      <c r="C1" s="55"/>
      <c r="D1" s="56"/>
      <c r="E1" s="56"/>
      <c r="F1" s="55"/>
      <c r="G1" s="57"/>
      <c r="H1" s="57"/>
      <c r="I1" s="57"/>
      <c r="J1" s="55"/>
      <c r="K1" s="55"/>
      <c r="L1" s="55"/>
      <c r="M1" s="58"/>
      <c r="N1" s="57"/>
      <c r="O1" s="57"/>
      <c r="P1" s="57"/>
      <c r="U1" s="30"/>
      <c r="V1" s="30"/>
    </row>
    <row r="2" spans="1:23" ht="15.75" customHeight="1">
      <c r="A2" s="16"/>
      <c r="B2" s="59" t="s">
        <v>57</v>
      </c>
      <c r="C2" s="59" t="s">
        <v>58</v>
      </c>
      <c r="D2" s="60" t="s">
        <v>59</v>
      </c>
      <c r="E2" s="60" t="s">
        <v>60</v>
      </c>
      <c r="F2" s="59" t="s">
        <v>61</v>
      </c>
      <c r="G2" s="61" t="s">
        <v>62</v>
      </c>
      <c r="H2" s="61" t="s">
        <v>63</v>
      </c>
      <c r="I2" s="61" t="s">
        <v>64</v>
      </c>
      <c r="J2" s="59"/>
      <c r="K2" s="59" t="s">
        <v>65</v>
      </c>
      <c r="L2" s="59" t="s">
        <v>66</v>
      </c>
      <c r="M2" s="62" t="s">
        <v>67</v>
      </c>
      <c r="N2" s="61" t="s">
        <v>68</v>
      </c>
      <c r="O2" s="61" t="s">
        <v>69</v>
      </c>
      <c r="P2" s="61" t="s">
        <v>70</v>
      </c>
      <c r="U2" s="30"/>
      <c r="V2" s="30"/>
    </row>
    <row r="3" spans="1:23" ht="15.75" customHeight="1">
      <c r="A3" s="63" t="s">
        <v>38</v>
      </c>
      <c r="B3" s="16">
        <v>343</v>
      </c>
      <c r="C3" s="16">
        <v>343</v>
      </c>
      <c r="D3" s="16">
        <v>343</v>
      </c>
      <c r="E3" s="16">
        <v>343</v>
      </c>
      <c r="F3" s="64">
        <v>395</v>
      </c>
      <c r="G3" s="64">
        <v>395</v>
      </c>
      <c r="H3" s="64">
        <v>395</v>
      </c>
      <c r="I3" s="64">
        <v>395</v>
      </c>
      <c r="J3" s="64"/>
      <c r="K3" s="64">
        <v>395</v>
      </c>
      <c r="L3" s="64">
        <v>395</v>
      </c>
      <c r="M3" s="64">
        <v>395</v>
      </c>
      <c r="N3" s="16">
        <v>343</v>
      </c>
      <c r="O3" s="16">
        <v>343</v>
      </c>
      <c r="P3" s="16">
        <v>343</v>
      </c>
    </row>
    <row r="4" spans="1:23" ht="15.75" customHeight="1">
      <c r="A4" s="63" t="s">
        <v>37</v>
      </c>
      <c r="B4" s="16">
        <v>1127</v>
      </c>
      <c r="C4" s="64">
        <v>724</v>
      </c>
      <c r="D4" s="64">
        <v>724</v>
      </c>
      <c r="E4" s="64">
        <v>724</v>
      </c>
      <c r="F4" s="64">
        <v>724</v>
      </c>
      <c r="G4" s="64">
        <v>724</v>
      </c>
      <c r="H4" s="64">
        <v>724</v>
      </c>
      <c r="I4" s="64">
        <v>724</v>
      </c>
      <c r="J4" s="64"/>
      <c r="K4" s="64">
        <v>724</v>
      </c>
      <c r="L4" s="64">
        <v>724</v>
      </c>
      <c r="M4" s="64">
        <v>724</v>
      </c>
      <c r="N4" s="64">
        <v>724</v>
      </c>
      <c r="O4" s="64">
        <v>724</v>
      </c>
      <c r="P4" s="64">
        <v>724</v>
      </c>
      <c r="Q4" s="34"/>
      <c r="R4" s="34"/>
      <c r="S4" s="34"/>
    </row>
    <row r="5" spans="1:23" ht="15.75" customHeight="1">
      <c r="A5" s="63" t="s">
        <v>28</v>
      </c>
      <c r="B5" s="64">
        <v>1051</v>
      </c>
      <c r="C5" s="64">
        <v>1051</v>
      </c>
      <c r="D5" s="64">
        <v>1051</v>
      </c>
      <c r="E5" s="64">
        <v>1051</v>
      </c>
      <c r="F5" s="64">
        <v>1051</v>
      </c>
      <c r="G5" s="64">
        <v>1051</v>
      </c>
      <c r="H5" s="64">
        <v>1051</v>
      </c>
      <c r="I5" s="64">
        <v>1051</v>
      </c>
      <c r="J5" s="64"/>
      <c r="K5" s="64">
        <v>1051</v>
      </c>
      <c r="L5" s="64">
        <v>1051</v>
      </c>
      <c r="M5" s="64">
        <v>1051</v>
      </c>
      <c r="N5" s="64">
        <v>1051</v>
      </c>
      <c r="O5" s="64">
        <v>1051</v>
      </c>
      <c r="P5" s="64">
        <v>1051</v>
      </c>
      <c r="Q5" s="34"/>
      <c r="R5" s="34"/>
      <c r="S5" s="34"/>
    </row>
    <row r="6" spans="1:23" ht="15.75" customHeight="1">
      <c r="A6" s="63" t="s">
        <v>29</v>
      </c>
      <c r="B6" s="16">
        <v>622</v>
      </c>
      <c r="C6" s="16">
        <v>622</v>
      </c>
      <c r="D6" s="16">
        <v>47</v>
      </c>
      <c r="E6" s="16">
        <v>47</v>
      </c>
      <c r="F6" s="16">
        <v>19</v>
      </c>
      <c r="G6" s="16">
        <v>19</v>
      </c>
      <c r="H6" s="64">
        <v>1623</v>
      </c>
      <c r="I6" s="64">
        <v>1623</v>
      </c>
      <c r="J6" s="64"/>
      <c r="K6" s="64">
        <v>1623</v>
      </c>
      <c r="L6" s="64">
        <v>1623</v>
      </c>
      <c r="M6" s="64">
        <v>1623</v>
      </c>
      <c r="N6" s="16">
        <v>47</v>
      </c>
      <c r="O6" s="16">
        <v>47</v>
      </c>
      <c r="P6" s="16">
        <v>47</v>
      </c>
    </row>
    <row r="7" spans="1:23" ht="15.75" customHeight="1">
      <c r="A7" s="63" t="s">
        <v>25</v>
      </c>
      <c r="B7" s="16">
        <v>1447</v>
      </c>
      <c r="C7" s="16">
        <v>1606</v>
      </c>
      <c r="D7" s="16">
        <v>1447</v>
      </c>
      <c r="E7" s="16">
        <v>1545</v>
      </c>
      <c r="F7" s="16">
        <v>1051</v>
      </c>
      <c r="G7" s="16">
        <v>1051</v>
      </c>
      <c r="H7" s="64">
        <v>112</v>
      </c>
      <c r="I7" s="64">
        <v>112</v>
      </c>
      <c r="J7" s="64"/>
      <c r="K7" s="64">
        <v>112</v>
      </c>
      <c r="L7" s="64">
        <v>112</v>
      </c>
      <c r="M7" s="64">
        <v>112</v>
      </c>
      <c r="N7" s="16">
        <v>1606</v>
      </c>
      <c r="O7" s="65">
        <v>1243</v>
      </c>
      <c r="P7" s="16">
        <v>1606</v>
      </c>
    </row>
    <row r="8" spans="1:23" ht="15.75" customHeight="1">
      <c r="O8" s="34"/>
    </row>
    <row r="9" spans="1:23" ht="15.75" customHeight="1">
      <c r="O9" s="34"/>
      <c r="P9" s="32"/>
      <c r="Q9" s="32"/>
      <c r="R9" s="32"/>
      <c r="S9" s="32"/>
      <c r="V9" s="32"/>
    </row>
    <row r="10" spans="1:23" ht="15.75" customHeight="1">
      <c r="A10" s="32"/>
      <c r="E10" s="27" t="s">
        <v>71</v>
      </c>
      <c r="O10" s="34"/>
      <c r="P10" s="32"/>
      <c r="Q10" s="32"/>
      <c r="R10" s="32"/>
      <c r="S10" s="66"/>
      <c r="T10" s="66"/>
    </row>
    <row r="11" spans="1:23" ht="15.75" customHeight="1">
      <c r="A11" s="30"/>
      <c r="E11" s="19" t="s">
        <v>15</v>
      </c>
      <c r="F11" s="12">
        <v>343</v>
      </c>
      <c r="O11" s="34"/>
      <c r="P11" s="30"/>
      <c r="Q11" s="30"/>
      <c r="R11" s="30"/>
      <c r="S11" s="30"/>
      <c r="T11" s="30"/>
      <c r="V11" s="30"/>
      <c r="W11" s="30"/>
    </row>
    <row r="12" spans="1:23" ht="15.75" customHeight="1">
      <c r="A12" s="67"/>
      <c r="E12" s="19" t="s">
        <v>17</v>
      </c>
      <c r="F12" s="12">
        <v>724</v>
      </c>
      <c r="O12" s="34"/>
      <c r="P12" s="67"/>
      <c r="Q12" s="67"/>
      <c r="S12" s="67"/>
      <c r="T12" s="67"/>
      <c r="V12" s="67"/>
      <c r="W12" s="67"/>
    </row>
    <row r="13" spans="1:23" ht="15.75" customHeight="1">
      <c r="A13" s="67"/>
      <c r="E13" s="16" t="s">
        <v>19</v>
      </c>
      <c r="F13" s="12">
        <v>1051</v>
      </c>
      <c r="O13" s="34"/>
      <c r="P13" s="67"/>
      <c r="Q13" s="67"/>
      <c r="S13" s="67"/>
      <c r="T13" s="67"/>
      <c r="V13" s="67"/>
      <c r="W13" s="67"/>
    </row>
    <row r="14" spans="1:23" ht="15.75" customHeight="1">
      <c r="A14" s="67"/>
      <c r="E14" s="16" t="s">
        <v>20</v>
      </c>
      <c r="F14" s="12">
        <v>47</v>
      </c>
      <c r="N14" s="34"/>
      <c r="O14" s="34"/>
      <c r="P14" s="67"/>
      <c r="Q14" s="67"/>
      <c r="S14" s="67"/>
      <c r="T14" s="67"/>
      <c r="V14" s="67"/>
      <c r="W14" s="67"/>
    </row>
    <row r="15" spans="1:23" ht="15.75" customHeight="1">
      <c r="A15" s="32"/>
      <c r="B15" s="67"/>
      <c r="C15" s="67"/>
      <c r="D15" s="67"/>
      <c r="E15" s="16" t="s">
        <v>21</v>
      </c>
      <c r="F15" s="12">
        <v>1447</v>
      </c>
      <c r="G15" s="67"/>
      <c r="H15" s="67"/>
      <c r="I15" s="67"/>
      <c r="J15" s="67"/>
      <c r="K15" s="67"/>
      <c r="N15" s="67"/>
      <c r="O15" s="34"/>
      <c r="P15" s="32"/>
      <c r="Q15" s="32"/>
      <c r="R15" s="32"/>
      <c r="S15" s="67"/>
      <c r="T15" s="67"/>
      <c r="V15" s="67"/>
      <c r="W15" s="67"/>
    </row>
    <row r="16" spans="1:23" ht="15.75" customHeight="1">
      <c r="A16" s="32"/>
      <c r="B16" s="67"/>
      <c r="C16" s="67"/>
      <c r="D16" s="67"/>
      <c r="E16" s="67"/>
      <c r="F16" s="67"/>
      <c r="G16" s="67"/>
      <c r="H16" s="67"/>
      <c r="I16" s="67"/>
      <c r="J16" s="67"/>
      <c r="K16" s="67"/>
      <c r="O16" s="34"/>
      <c r="P16" s="32"/>
      <c r="Q16" s="32"/>
      <c r="R16" s="32"/>
      <c r="S16" s="67"/>
      <c r="T16" s="67"/>
      <c r="V16" s="67"/>
    </row>
    <row r="17" spans="1:23" ht="15.75" customHeight="1">
      <c r="O17" s="34"/>
      <c r="P17" s="67"/>
      <c r="Q17" s="67"/>
      <c r="S17" s="67"/>
      <c r="T17" s="67"/>
    </row>
    <row r="18" spans="1:23" ht="15.75" customHeight="1">
      <c r="A18" s="34"/>
      <c r="E18" s="27" t="s">
        <v>72</v>
      </c>
      <c r="O18" s="34"/>
      <c r="P18" s="34"/>
      <c r="Q18" s="34"/>
      <c r="R18" s="34"/>
      <c r="S18" s="67"/>
      <c r="T18" s="67"/>
      <c r="W18" s="67"/>
    </row>
    <row r="19" spans="1:23" ht="15.75" customHeight="1">
      <c r="A19" s="34"/>
      <c r="E19" s="19" t="s">
        <v>15</v>
      </c>
      <c r="F19" s="12">
        <v>663</v>
      </c>
      <c r="O19" s="34"/>
      <c r="P19" s="34"/>
      <c r="Q19" s="34"/>
      <c r="R19" s="34"/>
      <c r="S19" s="67"/>
      <c r="T19" s="67"/>
    </row>
    <row r="20" spans="1:23" ht="15.75" customHeight="1">
      <c r="E20" s="19" t="s">
        <v>17</v>
      </c>
      <c r="F20" s="12">
        <v>654</v>
      </c>
      <c r="O20" s="34"/>
      <c r="Q20" s="67"/>
      <c r="S20" s="67"/>
      <c r="T20" s="67"/>
    </row>
    <row r="21" spans="1:23" ht="15.75" customHeight="1">
      <c r="E21" s="16" t="s">
        <v>19</v>
      </c>
      <c r="F21" s="12">
        <v>1051</v>
      </c>
      <c r="O21" s="34"/>
      <c r="P21" s="67"/>
      <c r="T21" s="67"/>
    </row>
    <row r="22" spans="1:23" ht="15.75" customHeight="1">
      <c r="E22" s="16" t="s">
        <v>20</v>
      </c>
      <c r="F22" s="12">
        <v>622</v>
      </c>
      <c r="M22" s="32"/>
      <c r="O22" s="34"/>
      <c r="P22" s="67"/>
      <c r="T22" s="67"/>
    </row>
    <row r="23" spans="1:23" ht="15.75" customHeight="1">
      <c r="E23" s="16" t="s">
        <v>21</v>
      </c>
      <c r="F23" s="12">
        <v>1545</v>
      </c>
      <c r="M23" s="32"/>
      <c r="O23" s="34"/>
      <c r="T23" s="67"/>
    </row>
    <row r="24" spans="1:23" ht="15.75" customHeight="1">
      <c r="M24" s="32"/>
      <c r="O24" s="34"/>
      <c r="Q24" s="67"/>
      <c r="T24" s="67"/>
    </row>
    <row r="25" spans="1:23" ht="15.75" customHeight="1">
      <c r="O25" s="34"/>
    </row>
    <row r="26" spans="1:23" ht="15.75" customHeight="1">
      <c r="O26" s="34"/>
      <c r="T26" s="67"/>
    </row>
    <row r="27" spans="1:23" ht="15.75" customHeight="1">
      <c r="N27" s="34"/>
      <c r="O27" s="34"/>
    </row>
    <row r="32" spans="1:23" ht="15.75" customHeight="1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68" t="s">
        <v>62</v>
      </c>
      <c r="I32" s="4" t="s">
        <v>47</v>
      </c>
      <c r="J32" s="4" t="s">
        <v>48</v>
      </c>
      <c r="K32" s="4" t="s">
        <v>49</v>
      </c>
      <c r="L32" s="69" t="s">
        <v>50</v>
      </c>
      <c r="M32" s="69" t="s">
        <v>45</v>
      </c>
      <c r="N32" s="47" t="s">
        <v>64</v>
      </c>
      <c r="O32" s="70" t="s">
        <v>44</v>
      </c>
    </row>
    <row r="33" spans="3:15" ht="15.75" customHeight="1">
      <c r="C33" s="8">
        <v>6</v>
      </c>
      <c r="D33" s="9" t="s">
        <v>12</v>
      </c>
      <c r="E33" s="10">
        <v>45685</v>
      </c>
      <c r="F33" s="11">
        <v>616</v>
      </c>
      <c r="G33" s="12" t="s">
        <v>13</v>
      </c>
      <c r="H33" s="71">
        <f>5.8410821479406*100</f>
        <v>584.10821479406002</v>
      </c>
      <c r="I33" s="17">
        <v>70</v>
      </c>
      <c r="J33" s="17">
        <v>45</v>
      </c>
      <c r="K33" s="17">
        <v>10</v>
      </c>
      <c r="L33" s="72"/>
      <c r="M33" s="72"/>
      <c r="N33" s="13">
        <v>31833.093938972299</v>
      </c>
      <c r="O33" s="73">
        <f>N33/H33</f>
        <v>54.498623941106089</v>
      </c>
    </row>
    <row r="34" spans="3:15" ht="15.75" customHeight="1">
      <c r="C34" s="16">
        <v>167</v>
      </c>
      <c r="D34" s="16" t="s">
        <v>14</v>
      </c>
      <c r="E34" s="10"/>
      <c r="F34" s="10"/>
      <c r="G34" s="10"/>
      <c r="H34" s="74"/>
      <c r="I34" s="17"/>
      <c r="J34" s="17"/>
      <c r="K34" s="17"/>
      <c r="L34" s="72"/>
      <c r="M34" s="72"/>
      <c r="N34" s="13"/>
      <c r="O34" s="73"/>
    </row>
    <row r="35" spans="3:15" ht="15.75" customHeight="1">
      <c r="C35" s="75">
        <v>48</v>
      </c>
      <c r="D35" s="53" t="s">
        <v>15</v>
      </c>
      <c r="E35" s="10">
        <v>45679</v>
      </c>
      <c r="F35" s="12">
        <v>343</v>
      </c>
      <c r="G35" s="12" t="s">
        <v>13</v>
      </c>
      <c r="H35" s="71">
        <f>1.95083127981317*100</f>
        <v>195.08312798131701</v>
      </c>
      <c r="I35" s="17">
        <v>10</v>
      </c>
      <c r="J35" s="17">
        <v>25</v>
      </c>
      <c r="K35" s="17">
        <v>25</v>
      </c>
      <c r="L35" s="73">
        <f t="shared" ref="L35:L39" si="0">AVERAGE(I35:K35)</f>
        <v>20</v>
      </c>
      <c r="M35" s="73" t="e">
        <f>L35*#REF!</f>
        <v>#REF!</v>
      </c>
      <c r="N35" s="13">
        <v>2031.72738744972</v>
      </c>
      <c r="O35" s="73">
        <f t="shared" ref="O35:O39" si="1">N35/H35</f>
        <v>10.414675059158869</v>
      </c>
    </row>
    <row r="36" spans="3:15" ht="15.75" customHeight="1">
      <c r="C36" s="52">
        <v>55</v>
      </c>
      <c r="D36" s="53" t="s">
        <v>17</v>
      </c>
      <c r="E36" s="10">
        <v>45679</v>
      </c>
      <c r="F36" s="12">
        <v>724</v>
      </c>
      <c r="G36" s="12" t="s">
        <v>13</v>
      </c>
      <c r="H36" s="71">
        <f>3.44623889518345*100</f>
        <v>344.62388951834504</v>
      </c>
      <c r="I36" s="13">
        <v>70</v>
      </c>
      <c r="J36" s="13">
        <v>45</v>
      </c>
      <c r="K36" s="13">
        <v>45</v>
      </c>
      <c r="L36" s="73">
        <f t="shared" si="0"/>
        <v>53.333333333333336</v>
      </c>
      <c r="M36" s="73" t="e">
        <f>L36*#REF!</f>
        <v>#REF!</v>
      </c>
      <c r="N36" s="13">
        <v>7144.8113995435797</v>
      </c>
      <c r="O36" s="73">
        <f t="shared" si="1"/>
        <v>20.732199992082229</v>
      </c>
    </row>
    <row r="37" spans="3:15" ht="15.75" customHeight="1">
      <c r="C37" s="52">
        <v>59</v>
      </c>
      <c r="D37" s="52" t="s">
        <v>19</v>
      </c>
      <c r="E37" s="10">
        <v>45680</v>
      </c>
      <c r="F37" s="12">
        <v>1051</v>
      </c>
      <c r="G37" s="12" t="s">
        <v>13</v>
      </c>
      <c r="H37" s="71">
        <f>5.03501136998037*100</f>
        <v>503.501136998037</v>
      </c>
      <c r="I37" s="13">
        <v>70</v>
      </c>
      <c r="J37" s="13">
        <v>70</v>
      </c>
      <c r="K37" s="13">
        <v>10</v>
      </c>
      <c r="L37" s="73">
        <f t="shared" si="0"/>
        <v>50</v>
      </c>
      <c r="M37" s="73" t="e">
        <f>L37*#REF!</f>
        <v>#REF!</v>
      </c>
      <c r="N37" s="76">
        <v>73522.012000939605</v>
      </c>
      <c r="O37" s="73">
        <f t="shared" si="1"/>
        <v>146.02154116133852</v>
      </c>
    </row>
    <row r="38" spans="3:15" ht="15.75" customHeight="1">
      <c r="C38" s="52">
        <v>77</v>
      </c>
      <c r="D38" s="52" t="s">
        <v>20</v>
      </c>
      <c r="E38" s="10">
        <v>45677</v>
      </c>
      <c r="F38" s="12">
        <v>281</v>
      </c>
      <c r="G38" s="12" t="s">
        <v>13</v>
      </c>
      <c r="H38" s="71">
        <f>2.76792853614368*100</f>
        <v>276.79285361436803</v>
      </c>
      <c r="I38" s="17">
        <v>10</v>
      </c>
      <c r="J38" s="17">
        <v>70</v>
      </c>
      <c r="K38" s="17">
        <v>70</v>
      </c>
      <c r="L38" s="72">
        <f t="shared" si="0"/>
        <v>50</v>
      </c>
      <c r="M38" s="73" t="e">
        <f>L38*#REF!</f>
        <v>#REF!</v>
      </c>
      <c r="N38" s="13">
        <v>13938.355259874999</v>
      </c>
      <c r="O38" s="73">
        <f t="shared" si="1"/>
        <v>50.356629796859302</v>
      </c>
    </row>
    <row r="39" spans="3:15" ht="15.75" customHeight="1">
      <c r="C39" s="52">
        <v>148</v>
      </c>
      <c r="D39" s="52" t="s">
        <v>21</v>
      </c>
      <c r="E39" s="10">
        <v>45677</v>
      </c>
      <c r="F39" s="12">
        <v>1051</v>
      </c>
      <c r="G39" s="12" t="s">
        <v>13</v>
      </c>
      <c r="H39" s="71">
        <f>4.33116583093229*100</f>
        <v>433.11658309322894</v>
      </c>
      <c r="I39" s="17">
        <v>45</v>
      </c>
      <c r="J39" s="17">
        <v>10</v>
      </c>
      <c r="K39" s="17">
        <v>25</v>
      </c>
      <c r="L39" s="73">
        <f t="shared" si="0"/>
        <v>26.666666666666668</v>
      </c>
      <c r="M39" s="73" t="e">
        <f>L39*#REF!</f>
        <v>#REF!</v>
      </c>
      <c r="N39" s="13">
        <v>5748.94662953238</v>
      </c>
      <c r="O39" s="73">
        <f t="shared" si="1"/>
        <v>13.273439193841515</v>
      </c>
    </row>
  </sheetData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conditionalFormatting sqref="O35:O39 O33">
    <cfRule type="colorScale" priority="1">
      <colorScale>
        <cfvo type="min"/>
        <cfvo type="max"/>
        <color rgb="FFFFFFFF"/>
        <color rgb="FFFFD666"/>
      </colorScale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2:N44"/>
  <sheetViews>
    <sheetView workbookViewId="0"/>
  </sheetViews>
  <sheetFormatPr baseColWidth="10" defaultColWidth="12.6640625" defaultRowHeight="15.75" customHeight="1"/>
  <sheetData>
    <row r="2" spans="1:12" ht="15.75" customHeight="1">
      <c r="A2" s="27">
        <v>1681</v>
      </c>
      <c r="B2" s="27">
        <v>7.0000000000000007E-2</v>
      </c>
      <c r="C2" s="27"/>
      <c r="D2" s="27">
        <v>0.74</v>
      </c>
      <c r="G2" s="27">
        <v>1681</v>
      </c>
      <c r="H2" s="27"/>
      <c r="I2" s="27"/>
      <c r="J2" s="27"/>
      <c r="K2" s="27">
        <v>0.13</v>
      </c>
      <c r="L2" s="27">
        <v>0.78</v>
      </c>
    </row>
    <row r="3" spans="1:12" ht="15.75" customHeight="1">
      <c r="A3" s="27">
        <v>683</v>
      </c>
      <c r="B3" s="26">
        <v>0.12</v>
      </c>
      <c r="C3" s="27"/>
      <c r="D3" s="27">
        <v>0.93</v>
      </c>
      <c r="G3" s="27">
        <v>683</v>
      </c>
      <c r="H3" s="27"/>
      <c r="I3" s="27"/>
      <c r="J3" s="27"/>
      <c r="K3" s="27">
        <v>0.13</v>
      </c>
      <c r="L3" s="27">
        <v>0.91</v>
      </c>
    </row>
    <row r="4" spans="1:12" ht="15.75" customHeight="1">
      <c r="A4" s="27">
        <v>354</v>
      </c>
      <c r="B4" s="27">
        <v>0.01</v>
      </c>
      <c r="C4" s="27"/>
      <c r="D4" s="27">
        <v>0.76</v>
      </c>
      <c r="G4" s="27">
        <v>354</v>
      </c>
      <c r="H4" s="27"/>
      <c r="I4" s="27"/>
      <c r="J4" s="27"/>
      <c r="K4" s="27">
        <v>0.09</v>
      </c>
      <c r="L4" s="27">
        <v>0.85</v>
      </c>
    </row>
    <row r="5" spans="1:12" ht="15.75" customHeight="1">
      <c r="A5" s="27">
        <v>1023</v>
      </c>
      <c r="B5" s="26">
        <v>0.24</v>
      </c>
      <c r="C5" s="27"/>
      <c r="D5" s="27">
        <v>0.94</v>
      </c>
      <c r="G5" s="27">
        <v>1023</v>
      </c>
      <c r="H5" s="27"/>
      <c r="I5" s="27"/>
      <c r="J5" s="27"/>
      <c r="K5" s="27">
        <v>0.22</v>
      </c>
      <c r="L5" s="27">
        <v>0.91</v>
      </c>
    </row>
    <row r="6" spans="1:12" ht="15.75" customHeight="1">
      <c r="A6" s="27">
        <v>508</v>
      </c>
      <c r="B6" s="26">
        <v>0.38</v>
      </c>
      <c r="C6" s="27"/>
      <c r="D6" s="27">
        <v>1</v>
      </c>
      <c r="G6" s="27">
        <v>508</v>
      </c>
      <c r="H6" s="27"/>
      <c r="I6" s="27"/>
      <c r="J6" s="27"/>
      <c r="K6" s="27">
        <v>0.45</v>
      </c>
      <c r="L6" s="27">
        <v>1</v>
      </c>
    </row>
    <row r="7" spans="1:12" ht="15.75" customHeight="1">
      <c r="A7" s="33"/>
      <c r="B7" s="33"/>
      <c r="C7" s="33"/>
      <c r="D7" s="33"/>
      <c r="E7" s="33"/>
      <c r="F7" s="33"/>
      <c r="G7" s="33"/>
      <c r="H7" s="33"/>
      <c r="I7" s="33"/>
      <c r="J7" s="33"/>
      <c r="K7" s="33"/>
    </row>
    <row r="9" spans="1:12" ht="15.75" customHeight="1">
      <c r="B9" s="27" t="s">
        <v>73</v>
      </c>
      <c r="C9" s="27" t="s">
        <v>74</v>
      </c>
      <c r="D9" s="27" t="s">
        <v>75</v>
      </c>
    </row>
    <row r="10" spans="1:12" ht="15.75" customHeight="1">
      <c r="A10" s="27">
        <v>1681</v>
      </c>
      <c r="B10" s="27">
        <v>410</v>
      </c>
      <c r="C10" s="27">
        <v>342</v>
      </c>
      <c r="D10" s="77">
        <f t="shared" ref="D10:D14" si="0">(C10-B10)/B10</f>
        <v>-0.16585365853658537</v>
      </c>
      <c r="F10" s="27" t="s">
        <v>76</v>
      </c>
    </row>
    <row r="11" spans="1:12" ht="15.75" customHeight="1">
      <c r="A11" s="27">
        <v>683</v>
      </c>
      <c r="B11" s="27">
        <v>440</v>
      </c>
      <c r="C11" s="27">
        <v>374</v>
      </c>
      <c r="D11" s="77">
        <f t="shared" si="0"/>
        <v>-0.15</v>
      </c>
      <c r="F11" s="27" t="s">
        <v>77</v>
      </c>
    </row>
    <row r="12" spans="1:12" ht="15.75" customHeight="1">
      <c r="A12" s="27">
        <v>354</v>
      </c>
      <c r="B12" s="27">
        <v>585</v>
      </c>
      <c r="C12" s="27">
        <v>447</v>
      </c>
      <c r="D12" s="77">
        <f t="shared" si="0"/>
        <v>-0.23589743589743589</v>
      </c>
    </row>
    <row r="13" spans="1:12" ht="15.75" customHeight="1">
      <c r="A13" s="27">
        <v>1023</v>
      </c>
      <c r="D13" s="77" t="e">
        <f t="shared" si="0"/>
        <v>#DIV/0!</v>
      </c>
    </row>
    <row r="14" spans="1:12" ht="15.75" customHeight="1">
      <c r="A14" s="27">
        <v>508</v>
      </c>
      <c r="D14" s="77" t="e">
        <f t="shared" si="0"/>
        <v>#DIV/0!</v>
      </c>
    </row>
    <row r="16" spans="1:12" ht="15.75" customHeight="1">
      <c r="H16" s="27" t="s">
        <v>78</v>
      </c>
    </row>
    <row r="17" spans="1:14" ht="15.75" customHeight="1">
      <c r="G17" s="78"/>
      <c r="H17" s="30" t="s">
        <v>79</v>
      </c>
      <c r="I17" s="30" t="s">
        <v>80</v>
      </c>
    </row>
    <row r="18" spans="1:14" ht="15.75" customHeight="1">
      <c r="A18" s="27">
        <v>332</v>
      </c>
      <c r="B18" s="27">
        <v>0.05</v>
      </c>
      <c r="C18" s="27">
        <v>0.85</v>
      </c>
      <c r="G18" s="78" t="s">
        <v>38</v>
      </c>
      <c r="H18" s="27">
        <v>332</v>
      </c>
      <c r="I18" s="79" t="s">
        <v>81</v>
      </c>
    </row>
    <row r="19" spans="1:14" ht="15.75" customHeight="1">
      <c r="A19" s="27">
        <v>518</v>
      </c>
      <c r="B19" s="27">
        <v>0.01</v>
      </c>
      <c r="C19" s="27">
        <v>0.81</v>
      </c>
      <c r="G19" s="78" t="s">
        <v>37</v>
      </c>
      <c r="H19" s="27" t="s">
        <v>82</v>
      </c>
      <c r="I19" s="27" t="s">
        <v>83</v>
      </c>
    </row>
    <row r="20" spans="1:14" ht="15.75" customHeight="1">
      <c r="A20" s="27">
        <v>1082</v>
      </c>
      <c r="B20" s="27">
        <v>0.04</v>
      </c>
      <c r="C20" s="27">
        <v>0.89</v>
      </c>
      <c r="G20" s="78" t="s">
        <v>28</v>
      </c>
      <c r="H20" s="27">
        <v>411</v>
      </c>
      <c r="I20" s="27" t="s">
        <v>84</v>
      </c>
    </row>
    <row r="21" spans="1:14" ht="15.75" customHeight="1">
      <c r="G21" s="78" t="s">
        <v>29</v>
      </c>
      <c r="H21" s="27" t="s">
        <v>85</v>
      </c>
      <c r="I21" s="27" t="s">
        <v>86</v>
      </c>
    </row>
    <row r="22" spans="1:14" ht="15.75" customHeight="1">
      <c r="G22" s="78" t="s">
        <v>25</v>
      </c>
      <c r="H22" s="27" t="s">
        <v>87</v>
      </c>
      <c r="I22" s="27" t="s">
        <v>88</v>
      </c>
    </row>
    <row r="24" spans="1:14" ht="15.75" customHeight="1">
      <c r="B24" s="9"/>
      <c r="I24" s="27" t="s">
        <v>89</v>
      </c>
    </row>
    <row r="25" spans="1:14" ht="15.75" customHeight="1">
      <c r="B25" s="2" t="s">
        <v>1</v>
      </c>
      <c r="I25" s="27" t="s">
        <v>90</v>
      </c>
    </row>
    <row r="26" spans="1:14" ht="15.75" customHeight="1">
      <c r="B26" s="19" t="s">
        <v>15</v>
      </c>
      <c r="C26" s="27">
        <v>332</v>
      </c>
      <c r="M26" s="34"/>
      <c r="N26" s="34"/>
    </row>
    <row r="27" spans="1:14" ht="15.75" customHeight="1">
      <c r="B27" s="19" t="s">
        <v>17</v>
      </c>
      <c r="C27" s="27">
        <v>1288</v>
      </c>
      <c r="M27" s="34"/>
      <c r="N27" s="34"/>
    </row>
    <row r="28" spans="1:14" ht="15.75" customHeight="1">
      <c r="B28" s="16" t="s">
        <v>19</v>
      </c>
      <c r="C28" s="27">
        <v>411</v>
      </c>
      <c r="M28" s="34"/>
      <c r="N28" s="34"/>
    </row>
    <row r="29" spans="1:14" ht="15.75" customHeight="1">
      <c r="B29" s="16" t="s">
        <v>20</v>
      </c>
      <c r="C29" s="27">
        <v>1015</v>
      </c>
      <c r="M29" s="34"/>
      <c r="N29" s="34"/>
    </row>
    <row r="30" spans="1:14" ht="15.75" customHeight="1">
      <c r="B30" s="16" t="s">
        <v>21</v>
      </c>
      <c r="C30" s="27">
        <v>530</v>
      </c>
      <c r="I30" s="30" t="s">
        <v>91</v>
      </c>
      <c r="M30" s="34"/>
      <c r="N30" s="34"/>
    </row>
    <row r="31" spans="1:14" ht="15.75" customHeight="1">
      <c r="I31" s="30" t="s">
        <v>92</v>
      </c>
      <c r="M31" s="34"/>
      <c r="N31" s="34"/>
    </row>
    <row r="32" spans="1:14" ht="15.75" customHeight="1">
      <c r="I32" s="27" t="s">
        <v>93</v>
      </c>
      <c r="M32" s="34"/>
      <c r="N32" s="34"/>
    </row>
    <row r="33" spans="9:14" ht="15.75" customHeight="1">
      <c r="I33" s="27" t="s">
        <v>94</v>
      </c>
      <c r="M33" s="34"/>
      <c r="N33" s="34"/>
    </row>
    <row r="34" spans="9:14" ht="15.75" customHeight="1">
      <c r="M34" s="34"/>
      <c r="N34" s="34"/>
    </row>
    <row r="35" spans="9:14" ht="15.75" customHeight="1">
      <c r="I35" s="27" t="s">
        <v>95</v>
      </c>
      <c r="M35" s="34"/>
      <c r="N35" s="34"/>
    </row>
    <row r="36" spans="9:14" ht="15.75" customHeight="1">
      <c r="M36" s="34"/>
      <c r="N36" s="34"/>
    </row>
    <row r="37" spans="9:14" ht="15.75" customHeight="1">
      <c r="M37" s="34"/>
      <c r="N37" s="34"/>
    </row>
    <row r="38" spans="9:14" ht="15.75" customHeight="1">
      <c r="M38" s="34"/>
      <c r="N38" s="34"/>
    </row>
    <row r="39" spans="9:14" ht="15.75" customHeight="1">
      <c r="I39" s="30" t="s">
        <v>96</v>
      </c>
      <c r="M39" s="34"/>
      <c r="N39" s="34"/>
    </row>
    <row r="40" spans="9:14" ht="15.75" customHeight="1">
      <c r="I40" s="27" t="s">
        <v>97</v>
      </c>
      <c r="M40" s="34"/>
      <c r="N40" s="34"/>
    </row>
    <row r="41" spans="9:14" ht="15.75" customHeight="1">
      <c r="I41" s="27" t="s">
        <v>98</v>
      </c>
      <c r="M41" s="34"/>
      <c r="N41" s="34"/>
    </row>
    <row r="42" spans="9:14" ht="15.75" customHeight="1">
      <c r="I42" s="41" t="s">
        <v>99</v>
      </c>
      <c r="M42" s="34"/>
      <c r="N42" s="34"/>
    </row>
    <row r="43" spans="9:14" ht="15.75" customHeight="1">
      <c r="M43" s="34"/>
      <c r="N43" s="34"/>
    </row>
    <row r="44" spans="9:14" ht="15.75" customHeight="1">
      <c r="I44" s="30" t="s">
        <v>100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B1:L97"/>
  <sheetViews>
    <sheetView workbookViewId="0"/>
  </sheetViews>
  <sheetFormatPr baseColWidth="10" defaultColWidth="12.6640625" defaultRowHeight="15.75" customHeight="1"/>
  <sheetData>
    <row r="1" spans="2:12" ht="15.75" customHeight="1">
      <c r="B1" s="27" t="s">
        <v>101</v>
      </c>
    </row>
    <row r="3" spans="2:12" ht="15.75" customHeight="1">
      <c r="C3" s="27" t="s">
        <v>102</v>
      </c>
      <c r="D3" s="27" t="s">
        <v>103</v>
      </c>
      <c r="H3" s="27" t="s">
        <v>104</v>
      </c>
      <c r="K3" s="34"/>
      <c r="L3" s="34"/>
    </row>
    <row r="4" spans="2:12" ht="15.75" customHeight="1">
      <c r="B4" s="27" t="s">
        <v>38</v>
      </c>
      <c r="C4" s="30" t="s">
        <v>105</v>
      </c>
      <c r="D4" s="30" t="s">
        <v>105</v>
      </c>
      <c r="H4" s="27" t="s">
        <v>106</v>
      </c>
      <c r="I4" s="80"/>
      <c r="J4" s="80"/>
      <c r="K4" s="34"/>
      <c r="L4" s="34"/>
    </row>
    <row r="5" spans="2:12" ht="15.75" customHeight="1">
      <c r="B5" s="30" t="s">
        <v>107</v>
      </c>
      <c r="C5" s="30">
        <f t="shared" ref="C5:D5" si="0">SUM(C6:C18)</f>
        <v>23.59</v>
      </c>
      <c r="D5" s="30">
        <f t="shared" si="0"/>
        <v>33.210000000000008</v>
      </c>
      <c r="E5" s="77">
        <f>(D5-C5)/C5</f>
        <v>0.40779991521831321</v>
      </c>
      <c r="F5" s="27" t="s">
        <v>108</v>
      </c>
    </row>
    <row r="6" spans="2:12" ht="15.75" customHeight="1">
      <c r="C6" s="27">
        <v>2.99</v>
      </c>
      <c r="D6" s="27">
        <v>4.4000000000000004</v>
      </c>
    </row>
    <row r="7" spans="2:12" ht="15.75" customHeight="1">
      <c r="C7" s="27">
        <v>3.75</v>
      </c>
      <c r="D7" s="27">
        <v>3.06</v>
      </c>
      <c r="H7" s="27" t="s">
        <v>109</v>
      </c>
    </row>
    <row r="8" spans="2:12" ht="15.75" customHeight="1">
      <c r="C8" s="27">
        <v>3.6</v>
      </c>
      <c r="D8" s="27">
        <v>2.27</v>
      </c>
    </row>
    <row r="9" spans="2:12" ht="15.75" customHeight="1">
      <c r="C9" s="27">
        <v>1.86</v>
      </c>
      <c r="D9" s="27">
        <v>2.2999999999999998</v>
      </c>
      <c r="H9" s="27" t="s">
        <v>110</v>
      </c>
    </row>
    <row r="10" spans="2:12" ht="15.75" customHeight="1">
      <c r="C10" s="27">
        <v>1.49</v>
      </c>
      <c r="D10" s="27">
        <v>1.89</v>
      </c>
    </row>
    <row r="11" spans="2:12" ht="15.75" customHeight="1">
      <c r="C11" s="27">
        <v>0.3</v>
      </c>
      <c r="D11" s="27">
        <v>4.18</v>
      </c>
      <c r="H11" s="27" t="s">
        <v>111</v>
      </c>
    </row>
    <row r="12" spans="2:12" ht="15.75" customHeight="1">
      <c r="C12" s="27">
        <v>1.1100000000000001</v>
      </c>
      <c r="D12" s="27">
        <v>3.1</v>
      </c>
    </row>
    <row r="13" spans="2:12" ht="15.75" customHeight="1">
      <c r="C13" s="27">
        <v>2.12</v>
      </c>
      <c r="D13" s="27">
        <v>2.35</v>
      </c>
      <c r="H13" s="27" t="s">
        <v>112</v>
      </c>
    </row>
    <row r="14" spans="2:12" ht="15.75" customHeight="1">
      <c r="C14" s="27">
        <v>2.27</v>
      </c>
      <c r="D14" s="27">
        <v>1.89</v>
      </c>
    </row>
    <row r="15" spans="2:12" ht="15.75" customHeight="1">
      <c r="C15" s="27">
        <v>1.29</v>
      </c>
      <c r="D15" s="27">
        <v>1.84</v>
      </c>
    </row>
    <row r="16" spans="2:12" ht="15.75" customHeight="1">
      <c r="C16" s="27">
        <v>0.73</v>
      </c>
      <c r="D16" s="27">
        <v>1.37</v>
      </c>
      <c r="H16" s="27" t="s">
        <v>113</v>
      </c>
    </row>
    <row r="17" spans="2:6" ht="15.75" customHeight="1">
      <c r="C17" s="27">
        <v>1.01</v>
      </c>
      <c r="D17" s="27">
        <v>2.2999999999999998</v>
      </c>
    </row>
    <row r="18" spans="2:6" ht="15.75" customHeight="1">
      <c r="C18" s="27">
        <v>1.07</v>
      </c>
      <c r="D18" s="27">
        <v>2.2599999999999998</v>
      </c>
    </row>
    <row r="20" spans="2:6" ht="15.75" customHeight="1">
      <c r="B20" s="30" t="s">
        <v>37</v>
      </c>
      <c r="C20" s="30" t="s">
        <v>102</v>
      </c>
      <c r="D20" s="30" t="s">
        <v>103</v>
      </c>
    </row>
    <row r="21" spans="2:6" ht="15.75" customHeight="1">
      <c r="B21" s="30" t="s">
        <v>107</v>
      </c>
      <c r="C21" s="30">
        <f t="shared" ref="C21:D21" si="1">SUM(C22:C34)</f>
        <v>17.920000000000002</v>
      </c>
      <c r="D21" s="30">
        <f t="shared" si="1"/>
        <v>25.110000000000007</v>
      </c>
      <c r="E21" s="77">
        <f>(D21-C21)/C21</f>
        <v>0.40122767857142883</v>
      </c>
      <c r="F21" s="27" t="s">
        <v>108</v>
      </c>
    </row>
    <row r="22" spans="2:6" ht="15.75" customHeight="1">
      <c r="C22" s="27">
        <v>1.97</v>
      </c>
      <c r="D22" s="27">
        <v>3.42</v>
      </c>
    </row>
    <row r="23" spans="2:6" ht="15.75" customHeight="1">
      <c r="C23" s="27">
        <v>1.37</v>
      </c>
      <c r="D23" s="27">
        <v>2.97</v>
      </c>
    </row>
    <row r="24" spans="2:6" ht="15.75" customHeight="1">
      <c r="C24" s="27">
        <v>0.9</v>
      </c>
      <c r="D24" s="27">
        <v>1.97</v>
      </c>
    </row>
    <row r="25" spans="2:6" ht="15.75" customHeight="1">
      <c r="C25" s="27">
        <v>1.1100000000000001</v>
      </c>
      <c r="D25" s="27">
        <v>1.29</v>
      </c>
    </row>
    <row r="26" spans="2:6" ht="15.75" customHeight="1">
      <c r="C26" s="27">
        <v>1.42</v>
      </c>
      <c r="D26" s="27">
        <v>1.68</v>
      </c>
    </row>
    <row r="27" spans="2:6" ht="15.75" customHeight="1">
      <c r="C27" s="27">
        <v>1.63</v>
      </c>
      <c r="D27" s="27">
        <v>1.37</v>
      </c>
    </row>
    <row r="28" spans="2:6" ht="15.75" customHeight="1">
      <c r="C28" s="27">
        <v>2.46</v>
      </c>
      <c r="D28" s="27">
        <v>2.09</v>
      </c>
    </row>
    <row r="29" spans="2:6" ht="15.75" customHeight="1">
      <c r="C29" s="27">
        <v>2.77</v>
      </c>
      <c r="D29" s="27">
        <v>1.34</v>
      </c>
    </row>
    <row r="30" spans="2:6" ht="15.75" customHeight="1">
      <c r="C30" s="27">
        <v>1.67</v>
      </c>
      <c r="D30" s="27">
        <v>3.31</v>
      </c>
    </row>
    <row r="31" spans="2:6" ht="15.75" customHeight="1">
      <c r="C31" s="27">
        <v>0.3</v>
      </c>
      <c r="D31" s="27">
        <v>1.58</v>
      </c>
    </row>
    <row r="32" spans="2:6" ht="15.75" customHeight="1">
      <c r="C32" s="27">
        <v>1.63</v>
      </c>
      <c r="D32" s="27">
        <v>0.92</v>
      </c>
    </row>
    <row r="33" spans="2:6" ht="15.75" customHeight="1">
      <c r="C33" s="27">
        <v>0.09</v>
      </c>
      <c r="D33" s="27">
        <v>0.91</v>
      </c>
    </row>
    <row r="34" spans="2:6" ht="15.75" customHeight="1">
      <c r="C34" s="27">
        <v>0.6</v>
      </c>
      <c r="D34" s="27">
        <v>2.2599999999999998</v>
      </c>
    </row>
    <row r="37" spans="2:6" ht="15.75" customHeight="1">
      <c r="B37" s="30" t="s">
        <v>28</v>
      </c>
      <c r="C37" s="30" t="s">
        <v>102</v>
      </c>
      <c r="D37" s="30" t="s">
        <v>103</v>
      </c>
    </row>
    <row r="38" spans="2:6" ht="15.75" customHeight="1">
      <c r="B38" s="30" t="s">
        <v>107</v>
      </c>
      <c r="C38" s="30">
        <f t="shared" ref="C38:D38" si="2">SUM(C39:C51)</f>
        <v>41.510000000000005</v>
      </c>
      <c r="D38" s="30">
        <f t="shared" si="2"/>
        <v>42.82</v>
      </c>
      <c r="E38" s="77">
        <f>(D38-C38)/C38</f>
        <v>3.1558660563719462E-2</v>
      </c>
      <c r="F38" s="27" t="s">
        <v>114</v>
      </c>
    </row>
    <row r="39" spans="2:6" ht="15.75" customHeight="1">
      <c r="C39" s="27">
        <v>1.76</v>
      </c>
      <c r="D39" s="27">
        <v>3.01</v>
      </c>
    </row>
    <row r="40" spans="2:6" ht="15.75" customHeight="1">
      <c r="C40" s="27">
        <v>5.05</v>
      </c>
      <c r="D40" s="27">
        <v>5.05</v>
      </c>
    </row>
    <row r="41" spans="2:6" ht="15.75" customHeight="1">
      <c r="C41" s="27">
        <v>3.96</v>
      </c>
      <c r="D41" s="27">
        <v>3.16</v>
      </c>
    </row>
    <row r="42" spans="2:6" ht="15.75" customHeight="1">
      <c r="C42" s="27">
        <v>3.42</v>
      </c>
      <c r="D42" s="27">
        <v>2.13</v>
      </c>
    </row>
    <row r="43" spans="2:6" ht="15.75" customHeight="1">
      <c r="C43" s="27">
        <v>4.29</v>
      </c>
      <c r="D43" s="27">
        <v>3.96</v>
      </c>
    </row>
    <row r="44" spans="2:6" ht="15.75" customHeight="1">
      <c r="C44" s="27">
        <v>4.28</v>
      </c>
      <c r="D44" s="27">
        <v>2.16</v>
      </c>
    </row>
    <row r="45" spans="2:6" ht="15.75" customHeight="1">
      <c r="C45" s="27">
        <v>3.14</v>
      </c>
      <c r="D45" s="27">
        <v>1.69</v>
      </c>
    </row>
    <row r="46" spans="2:6" ht="15.75" customHeight="1">
      <c r="C46" s="27">
        <v>4.1900000000000004</v>
      </c>
      <c r="D46" s="27">
        <v>4.28</v>
      </c>
    </row>
    <row r="47" spans="2:6" ht="15.75" customHeight="1">
      <c r="C47" s="27">
        <v>3.32</v>
      </c>
      <c r="D47" s="27">
        <v>3.98</v>
      </c>
    </row>
    <row r="48" spans="2:6" ht="15.75" customHeight="1">
      <c r="C48" s="27">
        <v>0.93</v>
      </c>
      <c r="D48" s="27">
        <v>4.76</v>
      </c>
    </row>
    <row r="49" spans="2:12" ht="15.75" customHeight="1">
      <c r="C49" s="27">
        <v>4.38</v>
      </c>
      <c r="D49" s="27">
        <v>2.0699999999999998</v>
      </c>
      <c r="K49" s="34"/>
      <c r="L49" s="34"/>
    </row>
    <row r="50" spans="2:12" ht="15.75" customHeight="1">
      <c r="C50" s="27">
        <v>2.21</v>
      </c>
      <c r="D50" s="27">
        <v>3.14</v>
      </c>
      <c r="K50" s="34"/>
      <c r="L50" s="34"/>
    </row>
    <row r="51" spans="2:12" ht="15.75" customHeight="1">
      <c r="C51" s="27">
        <v>0.57999999999999996</v>
      </c>
      <c r="D51" s="27">
        <v>3.43</v>
      </c>
      <c r="K51" s="34"/>
      <c r="L51" s="34"/>
    </row>
    <row r="52" spans="2:12" ht="15.75" customHeight="1">
      <c r="K52" s="34"/>
      <c r="L52" s="34"/>
    </row>
    <row r="53" spans="2:12" ht="15.75" customHeight="1">
      <c r="K53" s="34"/>
      <c r="L53" s="34"/>
    </row>
    <row r="54" spans="2:12" ht="15.75" customHeight="1">
      <c r="B54" s="30" t="s">
        <v>29</v>
      </c>
      <c r="C54" s="30" t="s">
        <v>102</v>
      </c>
      <c r="D54" s="30" t="s">
        <v>103</v>
      </c>
      <c r="K54" s="34"/>
      <c r="L54" s="34"/>
    </row>
    <row r="55" spans="2:12" ht="15.75" customHeight="1">
      <c r="B55" s="30" t="s">
        <v>107</v>
      </c>
      <c r="C55" s="30">
        <f>SUM(C56:C69)</f>
        <v>26.14</v>
      </c>
      <c r="D55" s="30">
        <f>SUM(D56:D68)</f>
        <v>26.289999999999992</v>
      </c>
      <c r="E55" s="77">
        <f>(D55-C55)/C55</f>
        <v>5.7383320581481049E-3</v>
      </c>
      <c r="F55" s="27" t="s">
        <v>114</v>
      </c>
      <c r="K55" s="34"/>
      <c r="L55" s="34"/>
    </row>
    <row r="56" spans="2:12" ht="15.75" customHeight="1">
      <c r="C56" s="27">
        <v>1.37</v>
      </c>
      <c r="D56" s="27">
        <v>4.62</v>
      </c>
      <c r="K56" s="34"/>
      <c r="L56" s="34"/>
    </row>
    <row r="57" spans="2:12" ht="15.75" customHeight="1">
      <c r="C57" s="27">
        <v>2.5299999999999998</v>
      </c>
      <c r="D57" s="27">
        <v>1.75</v>
      </c>
      <c r="K57" s="34"/>
      <c r="L57" s="34"/>
    </row>
    <row r="58" spans="2:12" ht="15.75" customHeight="1">
      <c r="C58" s="27">
        <v>2.5</v>
      </c>
      <c r="D58" s="27">
        <v>2.5299999999999998</v>
      </c>
      <c r="K58" s="34"/>
      <c r="L58" s="34"/>
    </row>
    <row r="59" spans="2:12" ht="15.75" customHeight="1">
      <c r="C59" s="27">
        <v>4.62</v>
      </c>
      <c r="D59" s="27">
        <v>2.5</v>
      </c>
      <c r="K59" s="34"/>
      <c r="L59" s="34"/>
    </row>
    <row r="60" spans="2:12" ht="15.75" customHeight="1">
      <c r="C60" s="27">
        <v>1.51</v>
      </c>
      <c r="D60" s="27">
        <v>1.85</v>
      </c>
      <c r="K60" s="34"/>
      <c r="L60" s="34"/>
    </row>
    <row r="61" spans="2:12" ht="13">
      <c r="C61" s="27">
        <v>2.54</v>
      </c>
      <c r="D61" s="27">
        <v>1.51</v>
      </c>
      <c r="K61" s="34"/>
      <c r="L61" s="34"/>
    </row>
    <row r="62" spans="2:12" ht="13">
      <c r="C62" s="27">
        <v>1.9</v>
      </c>
      <c r="D62" s="27">
        <v>1.0900000000000001</v>
      </c>
      <c r="K62" s="34"/>
      <c r="L62" s="34"/>
    </row>
    <row r="63" spans="2:12" ht="13">
      <c r="C63" s="27">
        <v>1.79</v>
      </c>
      <c r="D63" s="27">
        <v>1.39</v>
      </c>
      <c r="K63" s="34"/>
      <c r="L63" s="34"/>
    </row>
    <row r="64" spans="2:12" ht="13">
      <c r="C64" s="27">
        <v>1.95</v>
      </c>
      <c r="D64" s="27">
        <v>1.17</v>
      </c>
      <c r="K64" s="34"/>
      <c r="L64" s="34"/>
    </row>
    <row r="65" spans="2:12" ht="13">
      <c r="C65" s="27">
        <v>0.87</v>
      </c>
      <c r="D65" s="27">
        <v>1.9</v>
      </c>
      <c r="K65" s="34"/>
      <c r="L65" s="34"/>
    </row>
    <row r="66" spans="2:12" ht="13">
      <c r="C66" s="27">
        <v>1.46</v>
      </c>
      <c r="D66" s="27">
        <v>1.02</v>
      </c>
      <c r="K66" s="34"/>
      <c r="L66" s="34"/>
    </row>
    <row r="67" spans="2:12" ht="13">
      <c r="C67" s="27">
        <v>0.59</v>
      </c>
      <c r="D67" s="27">
        <v>2.42</v>
      </c>
      <c r="K67" s="34"/>
      <c r="L67" s="34"/>
    </row>
    <row r="68" spans="2:12" ht="13">
      <c r="C68" s="27">
        <v>0.6</v>
      </c>
      <c r="D68" s="27">
        <v>2.54</v>
      </c>
      <c r="K68" s="34"/>
      <c r="L68" s="34"/>
    </row>
    <row r="69" spans="2:12" ht="13">
      <c r="C69" s="27">
        <v>1.91</v>
      </c>
      <c r="D69" s="27">
        <v>1.46</v>
      </c>
      <c r="K69" s="34"/>
      <c r="L69" s="34"/>
    </row>
    <row r="70" spans="2:12" ht="13">
      <c r="K70" s="34"/>
      <c r="L70" s="34"/>
    </row>
    <row r="71" spans="2:12" ht="13">
      <c r="B71" s="30" t="s">
        <v>25</v>
      </c>
      <c r="C71" s="30" t="s">
        <v>102</v>
      </c>
      <c r="D71" s="30" t="s">
        <v>103</v>
      </c>
      <c r="K71" s="34"/>
      <c r="L71" s="34"/>
    </row>
    <row r="72" spans="2:12" ht="13">
      <c r="B72" s="30" t="s">
        <v>107</v>
      </c>
      <c r="C72" s="30">
        <f>SUM(C73:C86)</f>
        <v>15.740000000000002</v>
      </c>
      <c r="D72" s="30">
        <f>SUM(D73:D85)</f>
        <v>21.909999999999997</v>
      </c>
      <c r="E72" s="77">
        <f>(D72-C72)/C72</f>
        <v>0.39199491740787762</v>
      </c>
      <c r="F72" s="27" t="s">
        <v>108</v>
      </c>
      <c r="K72" s="34"/>
      <c r="L72" s="34"/>
    </row>
    <row r="73" spans="2:12" ht="13">
      <c r="C73" s="27">
        <v>1.39</v>
      </c>
      <c r="D73" s="27">
        <v>2.5099999999999998</v>
      </c>
      <c r="K73" s="34"/>
      <c r="L73" s="34"/>
    </row>
    <row r="74" spans="2:12" ht="13">
      <c r="C74" s="27">
        <v>0.61</v>
      </c>
      <c r="D74" s="27">
        <v>1.39</v>
      </c>
      <c r="K74" s="34"/>
      <c r="L74" s="34"/>
    </row>
    <row r="75" spans="2:12" ht="13">
      <c r="C75" s="27">
        <v>1.58</v>
      </c>
      <c r="D75" s="27">
        <v>1.4</v>
      </c>
      <c r="K75" s="34"/>
      <c r="L75" s="34"/>
    </row>
    <row r="76" spans="2:12" ht="13">
      <c r="C76" s="27">
        <v>0.56000000000000005</v>
      </c>
      <c r="D76" s="27">
        <v>3.85</v>
      </c>
      <c r="K76" s="34"/>
      <c r="L76" s="34"/>
    </row>
    <row r="77" spans="2:12" ht="13">
      <c r="C77" s="27">
        <v>0.74</v>
      </c>
      <c r="D77" s="27">
        <v>0.74</v>
      </c>
      <c r="K77" s="34"/>
      <c r="L77" s="34"/>
    </row>
    <row r="78" spans="2:12" ht="13">
      <c r="C78" s="27">
        <v>0.99</v>
      </c>
      <c r="D78" s="27">
        <v>0.99</v>
      </c>
      <c r="K78" s="34"/>
      <c r="L78" s="34"/>
    </row>
    <row r="79" spans="2:12" ht="13">
      <c r="C79" s="27">
        <v>3.84</v>
      </c>
      <c r="D79" s="27">
        <v>3.84</v>
      </c>
      <c r="K79" s="34"/>
      <c r="L79" s="34"/>
    </row>
    <row r="80" spans="2:12" ht="13">
      <c r="C80" s="27">
        <v>1.58</v>
      </c>
      <c r="D80" s="27">
        <v>1.58</v>
      </c>
      <c r="K80" s="34"/>
      <c r="L80" s="34"/>
    </row>
    <row r="81" spans="3:12" ht="13">
      <c r="C81" s="27">
        <v>0.88</v>
      </c>
      <c r="D81" s="27">
        <v>2.37</v>
      </c>
      <c r="K81" s="34"/>
      <c r="L81" s="34"/>
    </row>
    <row r="82" spans="3:12" ht="13">
      <c r="C82" s="27">
        <v>0.99</v>
      </c>
      <c r="D82" s="27">
        <v>0.56000000000000005</v>
      </c>
      <c r="K82" s="34"/>
      <c r="L82" s="34"/>
    </row>
    <row r="83" spans="3:12" ht="13">
      <c r="C83" s="27">
        <v>1.1299999999999999</v>
      </c>
      <c r="D83" s="27">
        <v>0.61</v>
      </c>
      <c r="K83" s="34"/>
      <c r="L83" s="34"/>
    </row>
    <row r="84" spans="3:12" ht="13">
      <c r="C84" s="27">
        <v>0.91</v>
      </c>
      <c r="D84" s="27">
        <v>1.22</v>
      </c>
      <c r="K84" s="34"/>
      <c r="L84" s="34"/>
    </row>
    <row r="85" spans="3:12" ht="13">
      <c r="C85" s="27">
        <v>0.54</v>
      </c>
      <c r="D85" s="27">
        <v>0.85</v>
      </c>
      <c r="K85" s="34"/>
      <c r="L85" s="34"/>
    </row>
    <row r="86" spans="3:12" ht="13">
      <c r="K86" s="34"/>
      <c r="L86" s="34"/>
    </row>
    <row r="87" spans="3:12" ht="13">
      <c r="K87" s="34"/>
      <c r="L87" s="34"/>
    </row>
    <row r="88" spans="3:12" ht="13">
      <c r="K88" s="34"/>
      <c r="L88" s="34"/>
    </row>
    <row r="89" spans="3:12" ht="13">
      <c r="K89" s="34"/>
      <c r="L89" s="34"/>
    </row>
    <row r="90" spans="3:12" ht="13">
      <c r="K90" s="34"/>
      <c r="L90" s="34"/>
    </row>
    <row r="91" spans="3:12" ht="13">
      <c r="K91" s="34"/>
      <c r="L91" s="34"/>
    </row>
    <row r="92" spans="3:12" ht="13">
      <c r="K92" s="34"/>
      <c r="L92" s="34"/>
    </row>
    <row r="93" spans="3:12" ht="13">
      <c r="K93" s="34"/>
      <c r="L93" s="34"/>
    </row>
    <row r="94" spans="3:12" ht="13">
      <c r="K94" s="34"/>
      <c r="L94" s="34"/>
    </row>
    <row r="95" spans="3:12" ht="13">
      <c r="K95" s="34"/>
      <c r="L95" s="34"/>
    </row>
    <row r="96" spans="3:12" ht="13">
      <c r="J96" s="17"/>
      <c r="K96" s="34"/>
      <c r="L96" s="34"/>
    </row>
    <row r="97" spans="10:12" ht="13">
      <c r="J97" s="17"/>
      <c r="K97" s="34"/>
      <c r="L97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Modelos actuales</vt:lpstr>
      <vt:lpstr>Modelo semana 24</vt:lpstr>
      <vt:lpstr>Modelo semana 25</vt:lpstr>
      <vt:lpstr>Modelo semana 26</vt:lpstr>
      <vt:lpstr>Modelo semana 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Ignacio Fabian Mondino</cp:lastModifiedBy>
  <dcterms:modified xsi:type="dcterms:W3CDTF">2025-05-08T20:58:21Z</dcterms:modified>
</cp:coreProperties>
</file>