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Framework" sheetId="8" r:id="rId11"/>
    <sheet state="visible" name="Reseña modelos" sheetId="9" r:id="rId12"/>
    <sheet state="visible" name="Semana 35" sheetId="10" r:id="rId13"/>
    <sheet state="visible" name="Metricas semana 33" sheetId="11" r:id="rId14"/>
    <sheet state="visible" name="Metricas semana 34" sheetId="12" r:id="rId15"/>
    <sheet state="visible" name="Metricas semana 35 - roi" sheetId="13" r:id="rId16"/>
    <sheet state="visible" name="Metricas semana 35 - f1_score" sheetId="14" r:id="rId17"/>
    <sheet state="visible" name="Sheet28" sheetId="15" r:id="rId18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D4">
      <text>
        <t xml:space="preserve">no uso el 272 ni el 169 porque su bs es 10-10-10
Tal vez porque no hay correlacion entre roi y expected_roi. Tal vez tenga que usar un roi_weight de 0.75 o 1.</t>
      </text>
    </comment>
    <comment authorId="0" ref="F5">
      <text>
        <t xml:space="preserve">-0.5</t>
      </text>
    </comment>
    <comment authorId="0" ref="F6">
      <text>
        <t xml:space="preserve">-1</t>
      </text>
    </comment>
    <comment authorId="0" ref="D7">
      <text>
        <t xml:space="preserve">Alternativas: 
209	LogisticRegression
209	SVC
</t>
      </text>
    </comment>
    <comment authorId="0" ref="F8">
      <text>
        <t xml:space="preserve">-0.25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A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CP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<sst xmlns="http://schemas.openxmlformats.org/spreadsheetml/2006/main" count="8575" uniqueCount="478">
  <si>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</si>
  <si>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</si>
  <si>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</si>
  <si>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</si>
  <si>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</si>
  <si>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</si>
  <si>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</si>
  <si>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</si>
  <si>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</si>
  <si>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</si>
  <si>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</si>
  <si>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</si>
  <si>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</si>
  <si>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</si>
  <si>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</si>
  <si>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</si>
  <si>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</si>
  <si>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</si>
  <si>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</si>
  <si>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</si>
  <si>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</si>
  <si>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</si>
  <si>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</si>
  <si>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</si>
  <si>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</si>
  <si>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</si>
  <si>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</si>
  <si>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</si>
  <si>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</si>
  <si>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</si>
  <si>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</si>
  <si>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</si>
  <si>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</si>
  <si>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</si>
  <si>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</si>
  <si>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</si>
  <si>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</si>
  <si>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</si>
  <si>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</si>
  <si>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</si>
  <si>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</si>
  <si>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</si>
  <si>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</si>
  <si>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</si>
  <si>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</si>
  <si>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</si>
  <si>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</si>
  <si>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</si>
  <si>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</si>
  <si>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</si>
  <si>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</si>
  <si>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</si>
  <si>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</si>
  <si>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</si>
  <si>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</si>
  <si>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</si>
  <si>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</si>
  <si>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</si>
  <si>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</si>
  <si>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</si>
  <si>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</si>
  <si>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</si>
  <si>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</si>
  <si>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</si>
  <si>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</si>
  <si>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</si>
  <si>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</si>
  <si>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</si>
  <si>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</si>
  <si>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</si>
  <si>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</si>
  <si>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</si>
  <si>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</si>
  <si>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</si>
  <si>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</si>
  <si>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</si>
  <si>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</si>
  <si>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</si>
  <si>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</si>
  <si>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</si>
  <si>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</si>
  <si>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</si>
  <si>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</si>
  <si>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</si>
  <si>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</si>
  <si>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</si>
  <si>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</si>
  <si>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</si>
  <si>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</si>
  <si>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</si>
  <si>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</si>
  <si>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</si>
  <si>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</si>
  <si>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</si>
  <si>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</si>
  <si>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</si>
  <si>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</si>
  <si>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</si>
  <si>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</si>
  <si>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</si>
  <si>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</si>
  <si>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</si>
  <si>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</si>
  <si>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</si>
  <si>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</si>
  <si>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</si>
  <si>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</si>
  <si>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</si>
  <si>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</si>
  <si>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</si>
  <si>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</si>
  <si>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</si>
  <si>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</si>
  <si>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</si>
  <si>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</si>
  <si>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</si>
  <si>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</si>
  <si>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</si>
  <si>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</si>
  <si>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</si>
  <si>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</si>
  <si>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</si>
  <si>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</si>
  <si>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</si>
  <si>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</si>
  <si>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</si>
  <si>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</si>
  <si>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</si>
  <si>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</si>
  <si>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</si>
  <si>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</si>
  <si>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</si>
  <si>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</si>
  <si>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</si>
  <si>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</si>
  <si>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</si>
  <si>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</si>
  <si>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</si>
  <si>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</si>
  <si>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</si>
  <si>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</si>
  <si>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</si>
  <si>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</si>
  <si>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</si>
  <si>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</si>
  <si>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</si>
  <si>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</si>
  <si>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</si>
  <si>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</si>
  <si>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</si>
  <si>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</si>
  <si>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</si>
  <si>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</si>
  <si>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</si>
  <si>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</si>
  <si>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</si>
  <si>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</si>
  <si>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</si>
  <si>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</si>
  <si>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</si>
  <si>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</si>
  <si>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</si>
  <si>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</si>
  <si>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</si>
  <si>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</si>
  <si>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</si>
  <si>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</si>
  <si>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</si>
  <si>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</si>
  <si>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</si>
  <si>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</si>
  <si>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</si>
  <si>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</si>
  <si>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</si>
  <si>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</si>
  <si>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</si>
  <si>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</si>
  <si>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</si>
  <si>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</si>
  <si>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</si>
  <si>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</si>
  <si>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</si>
  <si>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</si>
  <si>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</si>
  <si>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</si>
  <si>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</si>
  <si>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</si>
  <si>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</si>
  <si>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</si>
  <si>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</si>
  <si>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</si>
  <si>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</si>
  <si>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</si>
  <si>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</si>
  <si>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</si>
  <si>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</si>
  <si>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</si>
  <si>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</si>
  <si>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</si>
  <si>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Top 5% expected_roi</t>
  </si>
  <si>
    <t>percentil</t>
  </si>
  <si>
    <t>expected_roi</t>
  </si>
  <si>
    <t>modelo</t>
  </si>
  <si>
    <t>Tras el assess (veo que el que maximiza roi + Expected roi)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</si>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</sst>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0" fillId="20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6" fontId="4" numFmtId="169" xfId="0" applyAlignment="1" applyFont="1" applyNumberFormat="1">
      <alignment readingOrder="0"/>
    </xf>
    <xf borderId="0" fillId="21" fontId="15" numFmtId="0" xfId="0" applyAlignment="1" applyFill="1" applyFont="1">
      <alignment readingOrder="0"/>
    </xf>
    <xf borderId="0" fillId="7" fontId="4" numFmtId="169" xfId="0" applyAlignment="1" applyFont="1" applyNumberForma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5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3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6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6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6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3" fontId="15" numFmtId="0" xfId="0" applyAlignment="1" applyFont="1">
      <alignment horizontal="center" readingOrder="0" shrinkToFit="0" vertical="center" wrapText="1"/>
    </xf>
    <xf borderId="0" fillId="23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2" fontId="20" numFmtId="1" xfId="0" applyAlignment="1" applyFont="1" applyNumberFormat="1">
      <alignment horizontal="center" readingOrder="0" shrinkToFit="0" vertical="center" wrapText="1"/>
    </xf>
    <xf quotePrefix="1" borderId="0" fillId="27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7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8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9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5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447551"/>
        <c:axId val="1326312779"/>
      </c:scatterChart>
      <c:valAx>
        <c:axId val="1174475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6312779"/>
      </c:valAx>
      <c:valAx>
        <c:axId val="13263127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4475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1540041"/>
        <c:axId val="1801793843"/>
      </c:scatterChart>
      <c:valAx>
        <c:axId val="19615400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1793843"/>
      </c:valAx>
      <c:valAx>
        <c:axId val="1801793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15400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911121"/>
        <c:axId val="182526096"/>
      </c:scatterChart>
      <c:valAx>
        <c:axId val="79391112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526096"/>
      </c:valAx>
      <c:valAx>
        <c:axId val="182526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39111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- 2025-03-23</a:t>
            </a:r>
          </a:p>
        </c:rich>
      </c:tx>
      <c:layout>
        <c:manualLayout>
          <c:xMode val="edge"/>
          <c:yMode val="edge"/>
          <c:x val="0.03220757825370676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498006"/>
        <c:axId val="1316119650"/>
      </c:scatterChart>
      <c:valAx>
        <c:axId val="196449800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6119650"/>
      </c:valAx>
      <c:valAx>
        <c:axId val="1316119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44980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'scatter-plot'!$BM$3:$BM$1530</c:f>
            </c:numRef>
          </c:xVal>
          <c:yVal>
            <c:numRef>
              <c:f>'scatter-plot'!$BN$3:$BN$1530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8092829"/>
        <c:axId val="1811858513"/>
      </c:scatterChart>
      <c:valAx>
        <c:axId val="7980928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858513"/>
      </c:valAx>
      <c:valAx>
        <c:axId val="18118585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0928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07194"/>
        <c:axId val="1641010885"/>
      </c:scatterChart>
      <c:valAx>
        <c:axId val="1330719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1010885"/>
      </c:valAx>
      <c:valAx>
        <c:axId val="16410108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71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'scatter-plot'!$BX$2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6207762"/>
        <c:axId val="2123590335"/>
      </c:scatterChart>
      <c:valAx>
        <c:axId val="12762077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3590335"/>
      </c:valAx>
      <c:valAx>
        <c:axId val="2123590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62077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2025-03-23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102858"/>
        <c:axId val="188475202"/>
      </c:scatterChart>
      <c:valAx>
        <c:axId val="57910285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75202"/>
      </c:valAx>
      <c:valAx>
        <c:axId val="1884752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91028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'scatter-plot'!$F$3:$F$1154</c:f>
            </c:numRef>
          </c:xVal>
          <c:yVal>
            <c:numRef>
              <c:f>'scatter-plot'!$G$3:$G$1154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1663629"/>
        <c:axId val="1025838203"/>
      </c:scatterChart>
      <c:valAx>
        <c:axId val="8616636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5838203"/>
      </c:valAx>
      <c:valAx>
        <c:axId val="1025838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16636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23634"/>
        <c:axId val="284051493"/>
      </c:scatterChart>
      <c:valAx>
        <c:axId val="8432363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4051493"/>
      </c:valAx>
      <c:valAx>
        <c:axId val="284051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3236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'scatter-plot'!$P$3:$P$1514</c:f>
            </c:numRef>
          </c:xVal>
          <c:yVal>
            <c:numRef>
              <c:f>'scatter-plot'!$Q$3:$Q$1514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188846"/>
        <c:axId val="134170256"/>
      </c:scatterChart>
      <c:valAx>
        <c:axId val="31318884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170256"/>
      </c:valAx>
      <c:valAx>
        <c:axId val="134170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31888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'scatter-plot'!$CP$2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'scatter-plot'!$CO$3:$CO$1496</c:f>
            </c:numRef>
          </c:xVal>
          <c:yVal>
            <c:numRef>
              <c:f>'scatter-plot'!$CP$3:$CP$1496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998299"/>
        <c:axId val="635582981"/>
      </c:scatterChart>
      <c:valAx>
        <c:axId val="176399829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582981"/>
      </c:valAx>
      <c:valAx>
        <c:axId val="635582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3998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- 2025-04-23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'scatter-plot'!$CA$2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'scatter-plot'!$BZ$3:$BZ$1442</c:f>
            </c:numRef>
          </c:xVal>
          <c:yVal>
            <c:numRef>
              <c:f>'scatter-plot'!$CA$3:$CA$1442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569014"/>
        <c:axId val="2104885992"/>
      </c:scatterChart>
      <c:valAx>
        <c:axId val="2905690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885992"/>
      </c:valAx>
      <c:valAx>
        <c:axId val="2104885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5690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'scatter-plot'!$CS$2:$CS$152</c:f>
            </c:numRef>
          </c:xVal>
          <c:yVal>
            <c:numRef>
              <c:f>'scatter-plot'!$CT$2:$CT$152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22430"/>
        <c:axId val="1367075265"/>
      </c:scatterChart>
      <c:valAx>
        <c:axId val="32262243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075265"/>
      </c:valAx>
      <c:valAx>
        <c:axId val="1367075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26224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70</xdr:col>
      <xdr:colOff>628650</xdr:colOff>
      <xdr:row>4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84</xdr:col>
      <xdr:colOff>371475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90</xdr:col>
      <xdr:colOff>485775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76</xdr:col>
      <xdr:colOff>847725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96</xdr:col>
      <xdr:colOff>504825</xdr:colOff>
      <xdr:row>4</xdr:row>
      <xdr:rowOff>95250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361.0</v>
      </c>
      <c r="E4" s="12" t="s">
        <v>17</v>
      </c>
      <c r="G4" s="20">
        <v>40.0</v>
      </c>
      <c r="H4" s="20">
        <v>70.0</v>
      </c>
      <c r="I4" s="20">
        <v>10.0</v>
      </c>
      <c r="J4" s="21">
        <f t="shared" ref="J4:J8" si="1">AVERAGE(G4:I4)</f>
        <v>40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45770.0</v>
      </c>
      <c r="D5" s="25">
        <v>130.0</v>
      </c>
      <c r="E5" s="12" t="s">
        <v>17</v>
      </c>
      <c r="F5" s="20">
        <v>1.0</v>
      </c>
      <c r="G5" s="20">
        <v>45.0</v>
      </c>
      <c r="H5" s="20">
        <v>100.0</v>
      </c>
      <c r="I5" s="20">
        <v>85.0</v>
      </c>
      <c r="J5" s="26">
        <f t="shared" si="1"/>
        <v>76.66666667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19</v>
      </c>
      <c r="C6" s="10">
        <v>45770.0</v>
      </c>
      <c r="D6" s="25">
        <v>760.0</v>
      </c>
      <c r="E6" s="12" t="s">
        <v>14</v>
      </c>
      <c r="F6" s="20">
        <v>12.0</v>
      </c>
      <c r="G6" s="20">
        <v>55.0</v>
      </c>
      <c r="H6" s="20">
        <v>50.0</v>
      </c>
      <c r="I6" s="20">
        <v>70.0</v>
      </c>
      <c r="J6" s="21">
        <f t="shared" si="1"/>
        <v>58.33333333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20</v>
      </c>
      <c r="C7" s="10">
        <v>45770.0</v>
      </c>
      <c r="D7" s="12">
        <v>235.0</v>
      </c>
      <c r="E7" s="12" t="s">
        <v>14</v>
      </c>
      <c r="G7" s="20">
        <v>10.0</v>
      </c>
      <c r="H7" s="20">
        <v>100.0</v>
      </c>
      <c r="I7" s="20">
        <v>65.0</v>
      </c>
      <c r="J7" s="21">
        <f t="shared" si="1"/>
        <v>58.33333333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21</v>
      </c>
      <c r="C8" s="10">
        <v>45770.0</v>
      </c>
      <c r="D8" s="25">
        <v>193.0</v>
      </c>
      <c r="E8" s="12" t="s">
        <v>14</v>
      </c>
      <c r="F8" s="20">
        <v>2.0</v>
      </c>
      <c r="G8" s="20">
        <v>10.0</v>
      </c>
      <c r="H8" s="20">
        <v>90.0</v>
      </c>
      <c r="I8" s="20">
        <v>75.0</v>
      </c>
      <c r="J8" s="21">
        <f t="shared" si="1"/>
        <v>58.33333333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19">
      <c r="E19" s="20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18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19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22</v>
      </c>
      <c r="L11" s="20" t="s">
        <v>23</v>
      </c>
      <c r="M11" s="37" t="s">
        <v>24</v>
      </c>
      <c r="N11" s="45" t="s">
        <v>25</v>
      </c>
      <c r="O11" s="42"/>
      <c r="P11" s="42"/>
    </row>
    <row r="12">
      <c r="E12" s="44" t="s">
        <v>26</v>
      </c>
      <c r="L12" s="20" t="s">
        <v>27</v>
      </c>
      <c r="M12" s="37" t="s">
        <v>28</v>
      </c>
      <c r="N12" s="45" t="s">
        <v>29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18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19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20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21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30</v>
      </c>
    </row>
    <row r="25">
      <c r="C25" s="40" t="s">
        <v>31</v>
      </c>
    </row>
    <row r="26">
      <c r="C26" s="49" t="s">
        <v>32</v>
      </c>
    </row>
    <row r="27">
      <c r="C27" s="50" t="s">
        <v>33</v>
      </c>
    </row>
    <row r="28">
      <c r="C28" s="48" t="s">
        <v>34</v>
      </c>
    </row>
    <row r="30">
      <c r="C30" s="51" t="s">
        <v>35</v>
      </c>
    </row>
    <row r="31">
      <c r="C31" s="30" t="s">
        <v>36</v>
      </c>
      <c r="L31" s="30" t="s">
        <v>29</v>
      </c>
      <c r="Q31" s="30" t="s">
        <v>37</v>
      </c>
      <c r="Z31" s="30" t="s">
        <v>28</v>
      </c>
      <c r="AH31" s="30" t="s">
        <v>38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1" t="s">
        <v>42</v>
      </c>
      <c r="L65" s="4" t="s">
        <v>43</v>
      </c>
      <c r="M65" s="62" t="s">
        <v>44</v>
      </c>
      <c r="N65" s="63" t="s">
        <v>45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1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2" t="s">
        <v>44</v>
      </c>
      <c r="R77" s="63" t="s">
        <v>45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1" t="s">
        <v>53</v>
      </c>
      <c r="L96" s="61" t="s">
        <v>54</v>
      </c>
      <c r="M96" s="61" t="s">
        <v>55</v>
      </c>
      <c r="N96" s="4" t="s">
        <v>41</v>
      </c>
      <c r="O96" s="61" t="s">
        <v>42</v>
      </c>
      <c r="P96" s="62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3" t="s">
        <v>45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56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57</v>
      </c>
      <c r="C2" s="76" t="s">
        <v>58</v>
      </c>
      <c r="D2" s="77" t="s">
        <v>59</v>
      </c>
      <c r="E2" s="77" t="s">
        <v>60</v>
      </c>
      <c r="F2" s="76" t="s">
        <v>61</v>
      </c>
      <c r="G2" s="78" t="s">
        <v>62</v>
      </c>
      <c r="H2" s="78" t="s">
        <v>63</v>
      </c>
      <c r="I2" s="78" t="s">
        <v>64</v>
      </c>
      <c r="J2" s="76"/>
      <c r="K2" s="76" t="s">
        <v>65</v>
      </c>
      <c r="L2" s="76" t="s">
        <v>66</v>
      </c>
      <c r="M2" s="79" t="s">
        <v>67</v>
      </c>
      <c r="N2" s="78" t="s">
        <v>68</v>
      </c>
      <c r="O2" s="78" t="s">
        <v>69</v>
      </c>
      <c r="P2" s="78" t="s">
        <v>70</v>
      </c>
      <c r="U2" s="32"/>
      <c r="V2" s="30"/>
    </row>
    <row r="3">
      <c r="A3" s="80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37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28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71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18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19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20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21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72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18</v>
      </c>
      <c r="F20" s="12">
        <v>654.0</v>
      </c>
      <c r="O20" s="36"/>
      <c r="Q20" s="85"/>
      <c r="S20" s="85"/>
      <c r="T20" s="85"/>
    </row>
    <row r="21">
      <c r="E21" s="16" t="s">
        <v>19</v>
      </c>
      <c r="F21" s="12">
        <v>1051.0</v>
      </c>
      <c r="O21" s="36"/>
      <c r="P21" s="85"/>
      <c r="T21" s="85"/>
    </row>
    <row r="22">
      <c r="E22" s="16" t="s">
        <v>20</v>
      </c>
      <c r="F22" s="12">
        <v>622.0</v>
      </c>
      <c r="M22" s="43"/>
      <c r="O22" s="42"/>
      <c r="P22" s="85"/>
      <c r="T22" s="85"/>
    </row>
    <row r="23">
      <c r="E23" s="16" t="s">
        <v>21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62</v>
      </c>
      <c r="I32" s="4" t="s">
        <v>47</v>
      </c>
      <c r="J32" s="4" t="s">
        <v>48</v>
      </c>
      <c r="K32" s="4" t="s">
        <v>49</v>
      </c>
      <c r="L32" s="87" t="s">
        <v>50</v>
      </c>
      <c r="M32" s="87" t="s">
        <v>45</v>
      </c>
      <c r="N32" s="61" t="s">
        <v>64</v>
      </c>
      <c r="O32" s="88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18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19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20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21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78</v>
      </c>
    </row>
    <row r="17">
      <c r="G17" s="98"/>
      <c r="H17" s="30" t="s">
        <v>79</v>
      </c>
      <c r="I17" s="30" t="s">
        <v>80</v>
      </c>
    </row>
    <row r="18">
      <c r="A18" s="20">
        <v>332.0</v>
      </c>
      <c r="B18" s="20">
        <v>0.05</v>
      </c>
      <c r="C18" s="20">
        <v>0.85</v>
      </c>
      <c r="G18" s="99" t="s">
        <v>38</v>
      </c>
      <c r="H18" s="20">
        <v>332.0</v>
      </c>
      <c r="I18" s="100" t="s">
        <v>81</v>
      </c>
    </row>
    <row r="19">
      <c r="A19" s="20">
        <v>518.0</v>
      </c>
      <c r="B19" s="20">
        <v>0.01</v>
      </c>
      <c r="C19" s="20">
        <v>0.81</v>
      </c>
      <c r="G19" s="99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99" t="s">
        <v>28</v>
      </c>
      <c r="H20" s="20">
        <v>411.0</v>
      </c>
      <c r="I20" s="20" t="s">
        <v>84</v>
      </c>
    </row>
    <row r="21">
      <c r="G21" s="99" t="s">
        <v>29</v>
      </c>
      <c r="H21" s="20" t="s">
        <v>85</v>
      </c>
      <c r="I21" s="20" t="s">
        <v>86</v>
      </c>
    </row>
    <row r="22">
      <c r="G22" s="99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18</v>
      </c>
      <c r="C27" s="20">
        <v>1288.0</v>
      </c>
      <c r="M27" s="42"/>
      <c r="N27" s="42"/>
    </row>
    <row r="28">
      <c r="B28" s="16" t="s">
        <v>19</v>
      </c>
      <c r="C28" s="20">
        <v>411.0</v>
      </c>
      <c r="M28" s="42"/>
      <c r="N28" s="42"/>
    </row>
    <row r="29">
      <c r="B29" s="16" t="s">
        <v>20</v>
      </c>
      <c r="C29" s="20">
        <v>1015.0</v>
      </c>
      <c r="M29" s="42"/>
      <c r="N29" s="42"/>
    </row>
    <row r="30">
      <c r="B30" s="16" t="s">
        <v>21</v>
      </c>
      <c r="C30" s="20">
        <v>530.0</v>
      </c>
      <c r="I30" s="30" t="s">
        <v>91</v>
      </c>
      <c r="M30" s="42"/>
      <c r="N30" s="42"/>
    </row>
    <row r="31">
      <c r="I31" s="30" t="s">
        <v>92</v>
      </c>
      <c r="M31" s="42"/>
      <c r="N31" s="42"/>
    </row>
    <row r="32">
      <c r="I32" s="20" t="s">
        <v>93</v>
      </c>
      <c r="M32" s="42"/>
      <c r="N32" s="42"/>
    </row>
    <row r="33">
      <c r="I33" s="20" t="s">
        <v>94</v>
      </c>
      <c r="M33" s="42"/>
      <c r="N33" s="42"/>
    </row>
    <row r="34">
      <c r="M34" s="42"/>
      <c r="N34" s="42"/>
    </row>
    <row r="35">
      <c r="I35" s="20" t="s">
        <v>95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96</v>
      </c>
      <c r="M39" s="42"/>
      <c r="N39" s="42"/>
    </row>
    <row r="40">
      <c r="I40" s="20" t="s">
        <v>97</v>
      </c>
      <c r="M40" s="42"/>
      <c r="N40" s="42"/>
    </row>
    <row r="41">
      <c r="I41" s="20" t="s">
        <v>98</v>
      </c>
      <c r="M41" s="42"/>
      <c r="N41" s="42"/>
    </row>
    <row r="42">
      <c r="I42" s="51" t="s">
        <v>99</v>
      </c>
      <c r="M42" s="42"/>
      <c r="N42" s="42"/>
    </row>
    <row r="43">
      <c r="M43" s="42"/>
      <c r="N43" s="42"/>
    </row>
    <row r="44">
      <c r="I44" s="30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2"/>
      <c r="L3" s="42"/>
    </row>
    <row r="4">
      <c r="B4" s="20" t="s">
        <v>38</v>
      </c>
      <c r="C4" s="30" t="s">
        <v>105</v>
      </c>
      <c r="D4" s="30" t="s">
        <v>105</v>
      </c>
      <c r="H4" s="20" t="s">
        <v>106</v>
      </c>
      <c r="I4" s="101"/>
      <c r="J4" s="101"/>
      <c r="K4" s="42"/>
      <c r="L4" s="42"/>
    </row>
    <row r="5">
      <c r="B5" s="30" t="s">
        <v>107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37</v>
      </c>
      <c r="C20" s="30" t="s">
        <v>102</v>
      </c>
      <c r="D20" s="30" t="s">
        <v>103</v>
      </c>
    </row>
    <row r="21">
      <c r="B21" s="30" t="s">
        <v>107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28</v>
      </c>
      <c r="C37" s="30" t="s">
        <v>102</v>
      </c>
      <c r="D37" s="30" t="s">
        <v>103</v>
      </c>
    </row>
    <row r="38">
      <c r="B38" s="30" t="s">
        <v>107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29</v>
      </c>
      <c r="C54" s="30" t="s">
        <v>102</v>
      </c>
      <c r="D54" s="30" t="s">
        <v>103</v>
      </c>
      <c r="K54" s="42"/>
      <c r="L54" s="42"/>
    </row>
    <row r="55">
      <c r="B55" s="30" t="s">
        <v>107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114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25</v>
      </c>
      <c r="C71" s="30" t="s">
        <v>102</v>
      </c>
      <c r="D71" s="30" t="s">
        <v>103</v>
      </c>
      <c r="K71" s="42"/>
      <c r="L71" s="42"/>
    </row>
    <row r="72">
      <c r="B72" s="30" t="s">
        <v>107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108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115</v>
      </c>
      <c r="C2" s="21">
        <v>0.1</v>
      </c>
      <c r="L2" s="103"/>
    </row>
    <row r="3">
      <c r="A3" s="21"/>
      <c r="B3" s="102" t="s">
        <v>116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117</v>
      </c>
      <c r="AF4" s="104">
        <f>CORREL(AE6:AE10000,AF6:AF10000)</f>
        <v>0.4113182759</v>
      </c>
    </row>
    <row r="5">
      <c r="A5" s="21"/>
      <c r="B5" s="103" t="s">
        <v>118</v>
      </c>
      <c r="L5" s="103" t="s">
        <v>119</v>
      </c>
      <c r="P5" s="103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0"/>
      <c r="L6" s="30" t="s">
        <v>125</v>
      </c>
      <c r="N6" s="30" t="s">
        <v>126</v>
      </c>
      <c r="P6" s="30" t="s">
        <v>127</v>
      </c>
      <c r="R6" s="30" t="s">
        <v>128</v>
      </c>
      <c r="V6" s="30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132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133</v>
      </c>
      <c r="C8" s="108" t="str">
        <f t="shared" ref="C8:C17" si="5">REPLACE(B8,FIND(".",B8),1,",")*1</f>
        <v>#VALUE!</v>
      </c>
      <c r="F8" s="40" t="s">
        <v>134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135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136</v>
      </c>
      <c r="C9" s="108" t="str">
        <f t="shared" si="5"/>
        <v>#VALUE!</v>
      </c>
      <c r="F9" s="40" t="s">
        <v>137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138</v>
      </c>
      <c r="M9" s="105" t="s">
        <v>139</v>
      </c>
      <c r="N9" s="30" t="s">
        <v>140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141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142</v>
      </c>
      <c r="C10" s="108" t="str">
        <f t="shared" si="5"/>
        <v>#VALUE!</v>
      </c>
      <c r="F10" s="40" t="s">
        <v>143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144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145</v>
      </c>
      <c r="C11" s="108" t="str">
        <f t="shared" si="5"/>
        <v>#VALUE!</v>
      </c>
      <c r="F11" s="40" t="s">
        <v>146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147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148</v>
      </c>
      <c r="C12" s="108" t="str">
        <f t="shared" si="5"/>
        <v>#VALUE!</v>
      </c>
      <c r="F12" s="40" t="s">
        <v>149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144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150</v>
      </c>
      <c r="C13" s="108" t="str">
        <f t="shared" si="5"/>
        <v>#VALUE!</v>
      </c>
      <c r="F13" s="40" t="s">
        <v>151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152</v>
      </c>
      <c r="T13" s="80" t="s">
        <v>153</v>
      </c>
      <c r="U13" s="80" t="s">
        <v>154</v>
      </c>
      <c r="AA13" s="20" t="s">
        <v>155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156</v>
      </c>
      <c r="C14" s="108" t="str">
        <f t="shared" si="5"/>
        <v>#VALUE!</v>
      </c>
      <c r="F14" s="40" t="s">
        <v>157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158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159</v>
      </c>
      <c r="C15" s="108" t="str">
        <f t="shared" si="5"/>
        <v>#VALUE!</v>
      </c>
      <c r="F15" s="40" t="s">
        <v>160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161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162</v>
      </c>
      <c r="C16" s="108" t="str">
        <f t="shared" si="5"/>
        <v>#VALUE!</v>
      </c>
      <c r="F16" s="40" t="s">
        <v>163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164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165</v>
      </c>
      <c r="C17" s="108" t="str">
        <f t="shared" si="5"/>
        <v>#VALUE!</v>
      </c>
      <c r="F17" s="40" t="s">
        <v>166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167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168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169</v>
      </c>
      <c r="C19" s="34" t="str">
        <f>AVERAGE(C8:C17)</f>
        <v>#VALUE!</v>
      </c>
      <c r="F19" s="40" t="s">
        <v>170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171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172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173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152</v>
      </c>
      <c r="T21" s="80" t="s">
        <v>153</v>
      </c>
      <c r="U21" s="80" t="s">
        <v>154</v>
      </c>
      <c r="AE21" s="20">
        <v>146.62</v>
      </c>
      <c r="AF21" s="20">
        <v>74.55</v>
      </c>
    </row>
    <row r="22">
      <c r="C22" s="108"/>
      <c r="F22" s="40" t="s">
        <v>174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175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176</v>
      </c>
      <c r="G25" s="108" t="str">
        <f t="shared" si="6"/>
        <v>#VALUE!</v>
      </c>
      <c r="I25" s="20">
        <v>10.0</v>
      </c>
      <c r="P25" s="106">
        <v>1.0</v>
      </c>
      <c r="R25" s="80" t="s">
        <v>167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177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0" t="s">
        <v>169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184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185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186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38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3.179607843</v>
      </c>
      <c r="G37" s="30" t="s">
        <v>37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28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1.52</v>
      </c>
      <c r="G39" s="30" t="s">
        <v>29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1.51</v>
      </c>
      <c r="G40" s="30" t="s">
        <v>25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1.78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1.56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1.67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1.8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1.13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1.14</v>
      </c>
      <c r="G46" s="121" t="s">
        <v>187</v>
      </c>
      <c r="H46" s="121" t="s">
        <v>188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1.55</v>
      </c>
      <c r="G47" s="122" t="s">
        <v>38</v>
      </c>
      <c r="H47" s="123">
        <v>0.376453591155815</v>
      </c>
      <c r="P47" s="106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0"/>
      <c r="D48" s="85">
        <v>2.04</v>
      </c>
      <c r="G48" s="122" t="s">
        <v>37</v>
      </c>
      <c r="H48" s="123">
        <v>0.36678739680281</v>
      </c>
      <c r="J48" s="20" t="s">
        <v>189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2.41</v>
      </c>
      <c r="G49" s="122" t="s">
        <v>28</v>
      </c>
      <c r="H49" s="123">
        <v>0.142870351877935</v>
      </c>
      <c r="J49" s="20" t="s">
        <v>190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2.21</v>
      </c>
      <c r="G50" s="122" t="s">
        <v>29</v>
      </c>
      <c r="H50" s="123">
        <v>0.497437843674554</v>
      </c>
      <c r="J50" s="20" t="s">
        <v>191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2.97</v>
      </c>
      <c r="G51" s="122" t="s">
        <v>25</v>
      </c>
      <c r="H51" s="123">
        <v>0.247446036291655</v>
      </c>
      <c r="J51" s="20" t="s">
        <v>192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2.76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1.15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1.11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10.14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9.85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7.03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1.25</v>
      </c>
      <c r="G58" s="124" t="s">
        <v>193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1.56</v>
      </c>
      <c r="G59" s="125"/>
      <c r="H59" s="126" t="s">
        <v>194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2.58</v>
      </c>
      <c r="G60" s="125"/>
      <c r="H60" s="126" t="s">
        <v>195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2.45</v>
      </c>
      <c r="G61" s="125"/>
      <c r="H61" s="126" t="s">
        <v>196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1.23</v>
      </c>
      <c r="G62" s="125"/>
      <c r="H62" s="126" t="s">
        <v>197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1.38</v>
      </c>
      <c r="G63" s="125"/>
      <c r="H63" s="126" t="s">
        <v>198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16.26</v>
      </c>
      <c r="P64" s="106">
        <v>1.0</v>
      </c>
      <c r="AE64" s="20">
        <v>43.36</v>
      </c>
      <c r="AF64" s="20">
        <v>-27.6</v>
      </c>
    </row>
    <row r="65">
      <c r="C65" s="120"/>
      <c r="D65" s="85">
        <v>11.22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10.55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11.99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1.77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1.49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1.24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1.69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1.84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1.24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1.8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10.04</v>
      </c>
      <c r="P75" s="106">
        <v>1.0</v>
      </c>
      <c r="AE75" s="20">
        <v>33.35</v>
      </c>
      <c r="AF75" s="20">
        <v>-47.6</v>
      </c>
    </row>
    <row r="76">
      <c r="C76" s="120"/>
      <c r="D76" s="85">
        <v>2.19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1.49</v>
      </c>
      <c r="P77" s="106">
        <v>0.0</v>
      </c>
      <c r="AE77" s="20">
        <v>31.4</v>
      </c>
      <c r="AF77" s="20">
        <v>-35.28</v>
      </c>
    </row>
    <row r="78">
      <c r="C78" s="120"/>
      <c r="D78" s="85">
        <v>0.0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0.0</v>
      </c>
      <c r="P79" s="106">
        <v>2.0</v>
      </c>
      <c r="AE79" s="20">
        <v>29.4</v>
      </c>
      <c r="AF79" s="20">
        <v>-10.36</v>
      </c>
    </row>
    <row r="80">
      <c r="C80" s="120"/>
      <c r="D80" s="85">
        <v>0.0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0.0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0.0</v>
      </c>
      <c r="P82" s="106">
        <v>1.0</v>
      </c>
      <c r="AE82" s="20">
        <v>25.78</v>
      </c>
      <c r="AF82" s="20">
        <v>9.54</v>
      </c>
    </row>
    <row r="83">
      <c r="C83" s="120"/>
      <c r="D83" s="85">
        <v>0.0</v>
      </c>
      <c r="P83" s="106">
        <v>0.0</v>
      </c>
      <c r="AE83" s="20">
        <v>23.92</v>
      </c>
      <c r="AF83" s="20">
        <v>40.59</v>
      </c>
    </row>
    <row r="84">
      <c r="C84" s="120"/>
      <c r="D84" s="85">
        <v>0.0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6.44</v>
      </c>
      <c r="P85" s="106">
        <v>0.0</v>
      </c>
      <c r="AE85" s="20">
        <v>21.0</v>
      </c>
      <c r="AF85" s="20">
        <v>-59.22</v>
      </c>
    </row>
    <row r="86">
      <c r="C86" s="120"/>
      <c r="D86" s="85">
        <v>5.84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2.91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3.36</v>
      </c>
      <c r="P88" s="106">
        <v>2.0</v>
      </c>
      <c r="AE88" s="20">
        <v>17.74</v>
      </c>
      <c r="AF88" s="20">
        <v>13.18</v>
      </c>
    </row>
    <row r="89">
      <c r="C89" s="120"/>
      <c r="D89" s="85">
        <v>3.02</v>
      </c>
      <c r="P89" s="106">
        <v>2.0</v>
      </c>
      <c r="AE89" s="20">
        <v>17.33</v>
      </c>
      <c r="AF89" s="20">
        <v>16.81</v>
      </c>
    </row>
    <row r="90">
      <c r="C90" s="120"/>
      <c r="D90" s="85"/>
      <c r="P90" s="106">
        <v>1.0</v>
      </c>
      <c r="AE90" s="20">
        <v>16.85</v>
      </c>
      <c r="AF90" s="20">
        <v>-50.81</v>
      </c>
    </row>
    <row r="91">
      <c r="C91" s="120"/>
      <c r="D91" s="85"/>
      <c r="P91" s="106">
        <v>1.0</v>
      </c>
      <c r="AE91" s="20">
        <v>16.11</v>
      </c>
      <c r="AF91" s="20">
        <v>-52.86</v>
      </c>
    </row>
    <row r="92">
      <c r="C92" s="120"/>
      <c r="D92" s="85"/>
      <c r="P92" s="106">
        <v>2.0</v>
      </c>
      <c r="AE92" s="20">
        <v>16.08</v>
      </c>
      <c r="AF92" s="20">
        <v>80.01</v>
      </c>
    </row>
    <row r="93">
      <c r="C93" s="120"/>
      <c r="D93" s="85"/>
      <c r="P93" s="106">
        <v>0.0</v>
      </c>
      <c r="AE93" s="20">
        <v>15.84</v>
      </c>
      <c r="AF93" s="20">
        <v>-77.3</v>
      </c>
    </row>
    <row r="94">
      <c r="C94" s="120"/>
      <c r="D94" s="85"/>
      <c r="P94" s="106">
        <v>0.0</v>
      </c>
      <c r="AE94" s="20">
        <v>14.26</v>
      </c>
      <c r="AF94" s="20">
        <v>40.11</v>
      </c>
    </row>
    <row r="95">
      <c r="C95" s="120"/>
      <c r="D95" s="85"/>
      <c r="P95" s="106">
        <v>1.0</v>
      </c>
      <c r="AE95" s="20">
        <v>14.03</v>
      </c>
      <c r="AF95" s="20">
        <v>-4.79</v>
      </c>
    </row>
    <row r="96">
      <c r="C96" s="120"/>
      <c r="D96" s="85"/>
      <c r="P96" s="106">
        <v>2.0</v>
      </c>
      <c r="AE96" s="20">
        <v>12.81</v>
      </c>
      <c r="AF96" s="20">
        <v>18.57</v>
      </c>
    </row>
    <row r="97">
      <c r="C97" s="120"/>
      <c r="D97" s="85"/>
      <c r="P97" s="106">
        <v>0.0</v>
      </c>
      <c r="AE97" s="20">
        <v>12.67</v>
      </c>
      <c r="AF97" s="20">
        <v>-30.26</v>
      </c>
    </row>
    <row r="98">
      <c r="C98" s="120"/>
      <c r="D98" s="85"/>
      <c r="P98" s="106">
        <v>2.0</v>
      </c>
      <c r="AE98" s="20">
        <v>12.56</v>
      </c>
      <c r="AF98" s="20">
        <v>-41.83</v>
      </c>
    </row>
    <row r="99">
      <c r="C99" s="120"/>
      <c r="D99" s="85"/>
      <c r="P99" s="106">
        <v>2.0</v>
      </c>
      <c r="AE99" s="20">
        <v>12.05</v>
      </c>
      <c r="AF99" s="20">
        <v>-26.54</v>
      </c>
    </row>
    <row r="100">
      <c r="C100" s="120"/>
      <c r="D100" s="85"/>
      <c r="P100" s="106">
        <v>2.0</v>
      </c>
      <c r="AE100" s="20">
        <v>11.89</v>
      </c>
      <c r="AF100" s="20">
        <v>165.95</v>
      </c>
    </row>
    <row r="101">
      <c r="C101" s="120"/>
      <c r="D101" s="85"/>
      <c r="P101" s="106">
        <v>2.0</v>
      </c>
      <c r="AE101" s="20">
        <v>11.24</v>
      </c>
      <c r="AF101" s="20">
        <v>-30.28</v>
      </c>
    </row>
    <row r="102">
      <c r="C102" s="120"/>
      <c r="D102" s="85"/>
      <c r="P102" s="106">
        <v>2.0</v>
      </c>
      <c r="AE102" s="20">
        <v>10.65</v>
      </c>
      <c r="AF102" s="20">
        <v>-65.29</v>
      </c>
    </row>
    <row r="103">
      <c r="C103" s="120"/>
      <c r="D103" s="85"/>
      <c r="P103" s="106">
        <v>1.0</v>
      </c>
      <c r="AE103" s="20">
        <v>10.35</v>
      </c>
      <c r="AF103" s="20">
        <v>70.73</v>
      </c>
    </row>
    <row r="104">
      <c r="C104" s="120"/>
      <c r="D104" s="85"/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/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/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/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/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/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/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/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/>
      <c r="P112" s="106">
        <v>1.0</v>
      </c>
      <c r="AE112" s="20">
        <v>4.34</v>
      </c>
      <c r="AF112" s="20">
        <v>-29.66</v>
      </c>
    </row>
    <row r="113">
      <c r="C113" s="120"/>
      <c r="D113" s="85"/>
      <c r="P113" s="106">
        <v>0.0</v>
      </c>
      <c r="AE113" s="20">
        <v>3.56</v>
      </c>
      <c r="AF113" s="20">
        <v>-31.38</v>
      </c>
    </row>
    <row r="114">
      <c r="C114" s="120"/>
      <c r="D114" s="85"/>
      <c r="P114" s="106">
        <v>1.0</v>
      </c>
      <c r="AE114" s="20">
        <v>3.15</v>
      </c>
      <c r="AF114" s="20">
        <v>21.65</v>
      </c>
    </row>
    <row r="115">
      <c r="C115" s="120"/>
      <c r="D115" s="85"/>
      <c r="P115" s="106">
        <v>1.0</v>
      </c>
      <c r="AE115" s="20">
        <v>3.11</v>
      </c>
      <c r="AF115" s="20">
        <v>-34.68</v>
      </c>
    </row>
    <row r="116">
      <c r="C116" s="120"/>
      <c r="D116" s="85"/>
      <c r="P116" s="106">
        <v>1.0</v>
      </c>
      <c r="AE116" s="20">
        <v>1.32</v>
      </c>
      <c r="AF116" s="20">
        <v>25.47</v>
      </c>
    </row>
    <row r="117">
      <c r="C117" s="120"/>
      <c r="D117" s="85"/>
      <c r="P117" s="129"/>
      <c r="AE117" s="20">
        <v>0.88</v>
      </c>
      <c r="AF117" s="20">
        <v>-52.33</v>
      </c>
    </row>
    <row r="118">
      <c r="C118" s="120"/>
      <c r="D118" s="85"/>
      <c r="P118" s="129"/>
      <c r="AE118" s="20">
        <v>0.4</v>
      </c>
      <c r="AF118" s="20">
        <v>-16.42</v>
      </c>
    </row>
    <row r="119">
      <c r="C119" s="120"/>
      <c r="D119" s="85"/>
      <c r="P119" s="129"/>
      <c r="AE119" s="20">
        <v>0.22</v>
      </c>
      <c r="AF119" s="20">
        <v>22.39</v>
      </c>
    </row>
    <row r="120">
      <c r="C120" s="120"/>
      <c r="D120" s="85"/>
      <c r="P120" s="129"/>
      <c r="AE120" s="20">
        <v>0.13</v>
      </c>
      <c r="AF120" s="20">
        <v>-16.88</v>
      </c>
    </row>
    <row r="121">
      <c r="C121" s="120"/>
      <c r="D121" s="85"/>
      <c r="P121" s="129"/>
      <c r="AE121" s="20">
        <v>-0.43</v>
      </c>
      <c r="AF121" s="20">
        <v>48.74</v>
      </c>
    </row>
    <row r="122">
      <c r="C122" s="120"/>
      <c r="D122" s="85"/>
      <c r="P122" s="129"/>
      <c r="AE122" s="20">
        <v>-0.45</v>
      </c>
      <c r="AF122" s="20">
        <v>4.32</v>
      </c>
    </row>
    <row r="123">
      <c r="C123" s="120"/>
      <c r="D123" s="85"/>
      <c r="P123" s="129"/>
      <c r="AE123" s="20">
        <v>-1.63</v>
      </c>
      <c r="AF123" s="20">
        <v>-35.85</v>
      </c>
    </row>
    <row r="124">
      <c r="C124" s="120"/>
      <c r="D124" s="85"/>
      <c r="P124" s="129"/>
      <c r="AE124" s="20">
        <v>-1.73</v>
      </c>
      <c r="AF124" s="20">
        <v>-38.06</v>
      </c>
    </row>
    <row r="125">
      <c r="C125" s="120"/>
      <c r="D125" s="85"/>
      <c r="P125" s="129"/>
      <c r="AE125" s="20">
        <v>-2.37</v>
      </c>
      <c r="AF125" s="20">
        <v>-50.44</v>
      </c>
    </row>
    <row r="126">
      <c r="C126" s="120"/>
      <c r="D126" s="85"/>
      <c r="P126" s="129"/>
      <c r="AE126" s="20">
        <v>-3.35</v>
      </c>
      <c r="AF126" s="20">
        <v>-36.07</v>
      </c>
    </row>
    <row r="127">
      <c r="C127" s="120"/>
      <c r="D127" s="85"/>
      <c r="P127" s="129"/>
      <c r="AE127" s="20">
        <v>-4.4</v>
      </c>
      <c r="AF127" s="20">
        <v>-53.6</v>
      </c>
    </row>
    <row r="128">
      <c r="C128" s="120"/>
      <c r="D128" s="85"/>
      <c r="P128" s="129"/>
      <c r="AE128" s="20">
        <v>-4.49</v>
      </c>
      <c r="AF128" s="20">
        <v>-9.17</v>
      </c>
    </row>
    <row r="129">
      <c r="C129" s="120"/>
      <c r="D129" s="85"/>
      <c r="P129" s="129"/>
      <c r="AE129" s="20">
        <v>-4.55</v>
      </c>
      <c r="AF129" s="20">
        <v>-72.49</v>
      </c>
    </row>
    <row r="130">
      <c r="C130" s="120"/>
      <c r="D130" s="85"/>
      <c r="P130" s="129"/>
      <c r="AE130" s="20">
        <v>-4.8</v>
      </c>
      <c r="AF130" s="20">
        <v>-63.2</v>
      </c>
    </row>
    <row r="131">
      <c r="C131" s="120"/>
      <c r="D131" s="85"/>
      <c r="P131" s="129"/>
      <c r="AE131" s="20">
        <v>-5.33</v>
      </c>
      <c r="AF131" s="20">
        <v>-64.97</v>
      </c>
    </row>
    <row r="132">
      <c r="C132" s="120"/>
      <c r="D132" s="85"/>
      <c r="P132" s="129"/>
      <c r="AE132" s="20">
        <v>-5.45</v>
      </c>
      <c r="AF132" s="20">
        <v>-37.11</v>
      </c>
    </row>
    <row r="133">
      <c r="C133" s="120"/>
      <c r="D133" s="85"/>
      <c r="P133" s="129"/>
      <c r="AE133" s="20">
        <v>-5.64</v>
      </c>
      <c r="AF133" s="20">
        <v>-77.37</v>
      </c>
    </row>
    <row r="134">
      <c r="C134" s="120"/>
      <c r="D134" s="85"/>
      <c r="P134" s="129"/>
      <c r="AE134" s="20">
        <v>-6.39</v>
      </c>
      <c r="AF134" s="20">
        <v>-37.53</v>
      </c>
    </row>
    <row r="135">
      <c r="C135" s="120"/>
      <c r="D135" s="85"/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29</v>
      </c>
      <c r="B1" s="133">
        <v>45693.0</v>
      </c>
      <c r="C1" s="134"/>
      <c r="D1" s="134"/>
      <c r="E1" s="134"/>
      <c r="F1" s="132" t="s">
        <v>29</v>
      </c>
      <c r="G1" s="133">
        <v>45739.0</v>
      </c>
      <c r="H1" s="30"/>
      <c r="I1" s="134"/>
      <c r="J1" s="134"/>
      <c r="K1" s="132" t="s">
        <v>29</v>
      </c>
      <c r="L1" s="133">
        <v>45767.0</v>
      </c>
      <c r="M1" s="30"/>
      <c r="N1" s="30"/>
      <c r="P1" s="132" t="s">
        <v>29</v>
      </c>
      <c r="Q1" s="135">
        <v>45770.0</v>
      </c>
      <c r="R1" s="30"/>
      <c r="S1" s="30"/>
      <c r="AG1" s="136" t="s">
        <v>38</v>
      </c>
      <c r="AH1" s="133">
        <v>45739.0</v>
      </c>
      <c r="AM1" s="136" t="s">
        <v>38</v>
      </c>
      <c r="AN1" s="137">
        <v>45770.0</v>
      </c>
      <c r="AO1" s="30"/>
      <c r="AP1" s="30"/>
      <c r="AS1" s="136" t="s">
        <v>38</v>
      </c>
      <c r="AT1" s="133">
        <v>45767.0</v>
      </c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138" t="s">
        <v>37</v>
      </c>
      <c r="BF1" s="133">
        <v>45739.0</v>
      </c>
      <c r="BG1" s="30"/>
      <c r="BH1" s="30"/>
      <c r="BI1" s="30"/>
      <c r="BJ1" s="30"/>
      <c r="BK1" s="138" t="s">
        <v>37</v>
      </c>
      <c r="BL1" s="135">
        <v>45770.0</v>
      </c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39" t="s">
        <v>28</v>
      </c>
      <c r="BX1" s="133">
        <v>45739.0</v>
      </c>
      <c r="BY1" s="30"/>
      <c r="BZ1" s="139" t="s">
        <v>28</v>
      </c>
      <c r="CA1" s="133">
        <v>45770.0</v>
      </c>
      <c r="CB1" s="30"/>
      <c r="CC1" s="30"/>
      <c r="CD1" s="30"/>
      <c r="CE1" s="30"/>
      <c r="CF1" s="30"/>
      <c r="CG1" s="30"/>
      <c r="CH1" s="30"/>
      <c r="CI1" s="140" t="s">
        <v>25</v>
      </c>
      <c r="CJ1" s="133">
        <v>45739.0</v>
      </c>
      <c r="CK1" s="30"/>
      <c r="CL1" s="30"/>
      <c r="CM1" s="30"/>
      <c r="CN1" s="30"/>
      <c r="CO1" s="140" t="s">
        <v>25</v>
      </c>
      <c r="CP1" s="135">
        <v>45770.0</v>
      </c>
      <c r="CQ1" s="30"/>
      <c r="CR1" s="30"/>
      <c r="CS1" s="30" t="s">
        <v>199</v>
      </c>
      <c r="CT1" s="30"/>
      <c r="CU1" s="30" t="s">
        <v>200</v>
      </c>
      <c r="CV1" s="30"/>
      <c r="CW1" s="30"/>
      <c r="CX1" s="30"/>
      <c r="CY1" s="30"/>
      <c r="CZ1" s="30"/>
      <c r="DA1" s="30"/>
      <c r="DB1" s="30"/>
      <c r="DC1" s="30"/>
      <c r="DD1" s="30"/>
    </row>
    <row r="2">
      <c r="A2" s="30" t="s">
        <v>179</v>
      </c>
      <c r="B2" s="30" t="s">
        <v>201</v>
      </c>
      <c r="C2" s="30"/>
      <c r="D2" s="30"/>
      <c r="E2" s="30"/>
      <c r="F2" s="30" t="s">
        <v>179</v>
      </c>
      <c r="G2" s="30" t="s">
        <v>201</v>
      </c>
      <c r="I2" s="30"/>
      <c r="J2" s="30"/>
      <c r="K2" s="30" t="s">
        <v>202</v>
      </c>
      <c r="L2" s="30" t="s">
        <v>4</v>
      </c>
      <c r="M2" s="30" t="s">
        <v>179</v>
      </c>
      <c r="N2" s="30" t="s">
        <v>201</v>
      </c>
      <c r="P2" s="30" t="s">
        <v>179</v>
      </c>
      <c r="Q2" s="30" t="s">
        <v>201</v>
      </c>
      <c r="AG2" s="30" t="s">
        <v>202</v>
      </c>
      <c r="AH2" s="30" t="s">
        <v>4</v>
      </c>
      <c r="AI2" s="30" t="s">
        <v>179</v>
      </c>
      <c r="AJ2" s="30" t="s">
        <v>201</v>
      </c>
      <c r="AM2" s="30" t="s">
        <v>202</v>
      </c>
      <c r="AN2" s="30" t="s">
        <v>4</v>
      </c>
      <c r="AO2" s="30" t="s">
        <v>179</v>
      </c>
      <c r="AP2" s="30" t="s">
        <v>201</v>
      </c>
      <c r="AS2" s="30" t="s">
        <v>202</v>
      </c>
      <c r="AT2" s="30" t="s">
        <v>4</v>
      </c>
      <c r="AU2" s="30" t="s">
        <v>179</v>
      </c>
      <c r="AV2" s="30" t="s">
        <v>201</v>
      </c>
      <c r="AW2" s="30"/>
      <c r="AX2" s="30"/>
      <c r="AY2" s="30"/>
      <c r="AZ2" s="30"/>
      <c r="BA2" s="30"/>
      <c r="BB2" s="30"/>
      <c r="BC2" s="30"/>
      <c r="BD2" s="30"/>
      <c r="BE2" s="30" t="s">
        <v>202</v>
      </c>
      <c r="BF2" s="30" t="s">
        <v>4</v>
      </c>
      <c r="BG2" s="30" t="s">
        <v>179</v>
      </c>
      <c r="BH2" s="30" t="s">
        <v>201</v>
      </c>
      <c r="BI2" s="30"/>
      <c r="BJ2" s="30"/>
      <c r="BK2" s="30" t="s">
        <v>202</v>
      </c>
      <c r="BL2" s="30" t="s">
        <v>4</v>
      </c>
      <c r="BM2" s="30" t="s">
        <v>179</v>
      </c>
      <c r="BN2" s="30" t="s">
        <v>201</v>
      </c>
      <c r="BO2" s="30"/>
      <c r="BP2" s="30"/>
      <c r="BQ2" s="30"/>
      <c r="BR2" s="30"/>
      <c r="BS2" s="30"/>
      <c r="BT2" s="30"/>
      <c r="BU2" s="30"/>
      <c r="BV2" s="30"/>
      <c r="BW2" s="30" t="s">
        <v>179</v>
      </c>
      <c r="BX2" s="30" t="s">
        <v>201</v>
      </c>
      <c r="BZ2" s="30" t="s">
        <v>179</v>
      </c>
      <c r="CA2" s="30" t="s">
        <v>201</v>
      </c>
      <c r="CB2" s="30"/>
      <c r="CC2" s="30"/>
      <c r="CD2" s="30"/>
      <c r="CE2" s="30"/>
      <c r="CF2" s="30"/>
      <c r="CG2" s="30"/>
      <c r="CH2" s="30"/>
      <c r="CI2" s="30" t="s">
        <v>179</v>
      </c>
      <c r="CJ2" s="30" t="s">
        <v>201</v>
      </c>
      <c r="CO2" s="30" t="s">
        <v>179</v>
      </c>
      <c r="CP2" s="30" t="s">
        <v>201</v>
      </c>
      <c r="CS2" s="30" t="s">
        <v>179</v>
      </c>
      <c r="CT2" s="30" t="s">
        <v>201</v>
      </c>
      <c r="CU2" s="34">
        <f>PERCENTILE(CP3:CP1496,0.95)</f>
        <v>-22.4635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BZ3" s="20">
        <v>27.26</v>
      </c>
      <c r="CA3" s="20">
        <v>-15.66</v>
      </c>
      <c r="CI3" s="20">
        <v>-47.5</v>
      </c>
      <c r="CJ3" s="20">
        <v>-38.92</v>
      </c>
      <c r="CO3" s="20">
        <v>-31.58</v>
      </c>
      <c r="CP3" s="20">
        <v>-44.6</v>
      </c>
      <c r="CS3" s="34">
        <f>IFERROR(__xludf.DUMMYFUNCTION("FILTER(CO3:CP1538,CP3:CP1538&gt;=CU2)"),45.15)</f>
        <v>45.15</v>
      </c>
      <c r="CT3" s="34">
        <f>IFERROR(__xludf.DUMMYFUNCTION("""COMPUTED_VALUE"""),36.44)</f>
        <v>36.44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17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17</v>
      </c>
      <c r="AO4" s="20">
        <v>-12.26</v>
      </c>
      <c r="AP4" s="20">
        <v>59.4</v>
      </c>
      <c r="AS4" s="20">
        <v>1.0</v>
      </c>
      <c r="AT4" s="20" t="s">
        <v>17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17</v>
      </c>
      <c r="BM4" s="20">
        <v>98.77</v>
      </c>
      <c r="BN4" s="20">
        <v>41.95</v>
      </c>
      <c r="BW4" s="20">
        <v>-13.98</v>
      </c>
      <c r="BX4" s="20">
        <v>-39.71</v>
      </c>
      <c r="BZ4" s="20">
        <v>-5.76</v>
      </c>
      <c r="CA4" s="20">
        <v>-25.64</v>
      </c>
      <c r="CI4" s="20">
        <v>-5.05</v>
      </c>
      <c r="CJ4" s="20">
        <v>-45.11</v>
      </c>
      <c r="CO4" s="20">
        <v>45.15</v>
      </c>
      <c r="CP4" s="20">
        <v>36.44</v>
      </c>
      <c r="CS4" s="34">
        <f>IFERROR(__xludf.DUMMYFUNCTION("""COMPUTED_VALUE"""),-43.13)</f>
        <v>-43.13</v>
      </c>
      <c r="CT4" s="34">
        <f>IFERROR(__xludf.DUMMYFUNCTION("""COMPUTED_VALUE"""),-17.06)</f>
        <v>-17.06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BZ5" s="20">
        <v>-60.21</v>
      </c>
      <c r="CA5" s="20">
        <v>122.73</v>
      </c>
      <c r="CI5" s="20">
        <v>-35.21</v>
      </c>
      <c r="CJ5" s="20">
        <v>-38.15</v>
      </c>
      <c r="CO5" s="20">
        <v>-35.89</v>
      </c>
      <c r="CP5" s="20">
        <v>-42.56</v>
      </c>
      <c r="CS5" s="34">
        <f>IFERROR(__xludf.DUMMYFUNCTION("""COMPUTED_VALUE"""),-19.7)</f>
        <v>-19.7</v>
      </c>
      <c r="CT5" s="34">
        <f>IFERROR(__xludf.DUMMYFUNCTION("""COMPUTED_VALUE"""),11.42)</f>
        <v>11.42</v>
      </c>
      <c r="DA5" s="20" t="s">
        <v>203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17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17</v>
      </c>
      <c r="AO6" s="20">
        <v>-38.9</v>
      </c>
      <c r="AP6" s="20">
        <v>-17.52</v>
      </c>
      <c r="AS6" s="20">
        <v>2.0</v>
      </c>
      <c r="AT6" s="20" t="s">
        <v>17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17</v>
      </c>
      <c r="BM6" s="20">
        <v>108.8</v>
      </c>
      <c r="BN6" s="20">
        <v>117.43</v>
      </c>
      <c r="BW6" s="20">
        <v>-53.76</v>
      </c>
      <c r="BX6" s="20">
        <v>-24.51</v>
      </c>
      <c r="BZ6" s="20">
        <v>-44.6</v>
      </c>
      <c r="CA6" s="20">
        <v>100.57</v>
      </c>
      <c r="CI6" s="20">
        <v>-51.83</v>
      </c>
      <c r="CJ6" s="20">
        <v>-66.54</v>
      </c>
      <c r="CO6" s="20">
        <v>-43.13</v>
      </c>
      <c r="CP6" s="20">
        <v>-17.06</v>
      </c>
      <c r="CS6" s="34">
        <f>IFERROR(__xludf.DUMMYFUNCTION("""COMPUTED_VALUE"""),-30.83)</f>
        <v>-30.83</v>
      </c>
      <c r="CT6" s="34">
        <f>IFERROR(__xludf.DUMMYFUNCTION("""COMPUTED_VALUE"""),-15.38)</f>
        <v>-15.38</v>
      </c>
      <c r="DA6" s="19" t="s">
        <v>16</v>
      </c>
      <c r="DB6" s="20">
        <v>272.0</v>
      </c>
      <c r="DC6" s="20" t="s">
        <v>14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BZ7" s="20">
        <v>-58.96</v>
      </c>
      <c r="CA7" s="20">
        <v>82.81</v>
      </c>
      <c r="CI7" s="20">
        <v>-53.06</v>
      </c>
      <c r="CJ7" s="20">
        <v>-47.99</v>
      </c>
      <c r="CO7" s="20">
        <v>45.32</v>
      </c>
      <c r="CP7" s="20">
        <v>-46.43</v>
      </c>
      <c r="CS7" s="34">
        <f>IFERROR(__xludf.DUMMYFUNCTION("""COMPUTED_VALUE"""),-30.92)</f>
        <v>-30.92</v>
      </c>
      <c r="CT7" s="34">
        <f>IFERROR(__xludf.DUMMYFUNCTION("""COMPUTED_VALUE"""),-15.41)</f>
        <v>-15.41</v>
      </c>
      <c r="DA7" s="19" t="s">
        <v>18</v>
      </c>
      <c r="DB7" s="43">
        <v>130.0</v>
      </c>
      <c r="DC7" s="20" t="s">
        <v>17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17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17</v>
      </c>
      <c r="AO8" s="20">
        <v>-48.98</v>
      </c>
      <c r="AP8" s="20">
        <v>-15.39</v>
      </c>
      <c r="AS8" s="20">
        <v>3.0</v>
      </c>
      <c r="AT8" s="20" t="s">
        <v>17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17</v>
      </c>
      <c r="BM8" s="20">
        <v>236.29</v>
      </c>
      <c r="BN8" s="20">
        <v>91.01</v>
      </c>
      <c r="BW8" s="20">
        <v>-42.67</v>
      </c>
      <c r="BX8" s="20">
        <v>-4.87</v>
      </c>
      <c r="BZ8" s="20">
        <v>-67.15</v>
      </c>
      <c r="CA8" s="20">
        <v>9.06</v>
      </c>
      <c r="CI8" s="20">
        <v>-42.64</v>
      </c>
      <c r="CJ8" s="20">
        <v>-61.86</v>
      </c>
      <c r="CO8" s="20">
        <v>-24.67</v>
      </c>
      <c r="CP8" s="20">
        <v>-37.6</v>
      </c>
      <c r="CS8" s="34">
        <f>IFERROR(__xludf.DUMMYFUNCTION("""COMPUTED_VALUE"""),-42.15)</f>
        <v>-42.15</v>
      </c>
      <c r="CT8" s="34">
        <f>IFERROR(__xludf.DUMMYFUNCTION("""COMPUTED_VALUE"""),-11.09)</f>
        <v>-11.09</v>
      </c>
      <c r="DA8" s="16" t="s">
        <v>19</v>
      </c>
      <c r="DB8" s="43">
        <v>760.0</v>
      </c>
      <c r="DC8" s="20" t="s">
        <v>14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BZ9" s="20">
        <v>-51.53</v>
      </c>
      <c r="CA9" s="20">
        <v>124.24</v>
      </c>
      <c r="CI9" s="20">
        <v>-42.93</v>
      </c>
      <c r="CJ9" s="20">
        <v>-49.75</v>
      </c>
      <c r="CO9" s="20">
        <v>-20.98</v>
      </c>
      <c r="CP9" s="20">
        <v>-43.68</v>
      </c>
      <c r="CS9" s="34">
        <f>IFERROR(__xludf.DUMMYFUNCTION("""COMPUTED_VALUE"""),-23.15)</f>
        <v>-23.15</v>
      </c>
      <c r="CT9" s="34">
        <f>IFERROR(__xludf.DUMMYFUNCTION("""COMPUTED_VALUE"""),-22.34)</f>
        <v>-22.34</v>
      </c>
      <c r="DA9" s="16" t="s">
        <v>20</v>
      </c>
      <c r="DB9" s="20">
        <v>235.0</v>
      </c>
      <c r="DC9" s="20" t="s">
        <v>14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17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17</v>
      </c>
      <c r="AO10" s="20">
        <v>-10.88</v>
      </c>
      <c r="AP10" s="20">
        <v>-7.72</v>
      </c>
      <c r="AS10" s="20">
        <v>4.0</v>
      </c>
      <c r="AT10" s="20" t="s">
        <v>17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17</v>
      </c>
      <c r="BM10" s="20">
        <v>288.88</v>
      </c>
      <c r="BN10" s="20">
        <v>98.49</v>
      </c>
      <c r="BW10" s="20">
        <v>-17.75</v>
      </c>
      <c r="BX10" s="20">
        <v>-13.77</v>
      </c>
      <c r="BZ10" s="20">
        <v>-58.33</v>
      </c>
      <c r="CA10" s="20">
        <v>-46.82</v>
      </c>
      <c r="CI10" s="20">
        <v>-41.38</v>
      </c>
      <c r="CJ10" s="20">
        <v>-57.15</v>
      </c>
      <c r="CO10" s="20">
        <v>-53.2</v>
      </c>
      <c r="CP10" s="20">
        <v>-45.93</v>
      </c>
      <c r="CS10" s="34">
        <f>IFERROR(__xludf.DUMMYFUNCTION("""COMPUTED_VALUE"""),-11.72)</f>
        <v>-11.72</v>
      </c>
      <c r="CT10" s="34">
        <f>IFERROR(__xludf.DUMMYFUNCTION("""COMPUTED_VALUE"""),-11.12)</f>
        <v>-11.12</v>
      </c>
      <c r="DA10" s="16" t="s">
        <v>21</v>
      </c>
      <c r="DB10" s="43">
        <v>193.0</v>
      </c>
      <c r="DC10" s="20" t="s">
        <v>14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BZ11" s="20">
        <v>-44.2</v>
      </c>
      <c r="CA11" s="20">
        <v>52.76</v>
      </c>
      <c r="CI11" s="20">
        <v>-50.09</v>
      </c>
      <c r="CJ11" s="20">
        <v>-64.14</v>
      </c>
      <c r="CO11" s="20">
        <v>-9.01</v>
      </c>
      <c r="CP11" s="20">
        <v>-41.94</v>
      </c>
      <c r="CS11" s="34">
        <f>IFERROR(__xludf.DUMMYFUNCTION("""COMPUTED_VALUE"""),-39.61)</f>
        <v>-39.61</v>
      </c>
      <c r="CT11" s="34">
        <f>IFERROR(__xludf.DUMMYFUNCTION("""COMPUTED_VALUE"""),9.37)</f>
        <v>9.37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17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17</v>
      </c>
      <c r="AO12" s="20">
        <v>77.52</v>
      </c>
      <c r="AP12" s="20">
        <v>2.66</v>
      </c>
      <c r="AS12" s="20">
        <v>5.0</v>
      </c>
      <c r="AT12" s="20" t="s">
        <v>17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17</v>
      </c>
      <c r="BM12" s="20">
        <v>119.24</v>
      </c>
      <c r="BN12" s="20">
        <v>41.11</v>
      </c>
      <c r="BW12" s="20">
        <v>-38.66</v>
      </c>
      <c r="BX12" s="20">
        <v>-29.49</v>
      </c>
      <c r="BZ12" s="20">
        <v>-38.55</v>
      </c>
      <c r="CA12" s="20">
        <v>79.32</v>
      </c>
      <c r="CI12" s="20">
        <v>-31.28</v>
      </c>
      <c r="CJ12" s="20">
        <v>-63.34</v>
      </c>
      <c r="CO12" s="20">
        <v>-19.7</v>
      </c>
      <c r="CP12" s="20">
        <v>11.42</v>
      </c>
      <c r="CS12" s="34">
        <f>IFERROR(__xludf.DUMMYFUNCTION("""COMPUTED_VALUE"""),52.65)</f>
        <v>52.65</v>
      </c>
      <c r="CT12" s="34">
        <f>IFERROR(__xludf.DUMMYFUNCTION("""COMPUTED_VALUE"""),-14.43)</f>
        <v>-14.43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BZ13" s="20">
        <v>-38.03</v>
      </c>
      <c r="CA13" s="20">
        <v>15.02</v>
      </c>
      <c r="CI13" s="20">
        <v>-52.72</v>
      </c>
      <c r="CJ13" s="20">
        <v>-55.97</v>
      </c>
      <c r="CO13" s="20">
        <v>-23.4</v>
      </c>
      <c r="CP13" s="20">
        <v>-59.05</v>
      </c>
      <c r="CS13" s="34">
        <f>IFERROR(__xludf.DUMMYFUNCTION("""COMPUTED_VALUE"""),0.82)</f>
        <v>0.82</v>
      </c>
      <c r="CT13" s="34">
        <f>IFERROR(__xludf.DUMMYFUNCTION("""COMPUTED_VALUE"""),-21.94)</f>
        <v>-21.94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17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17</v>
      </c>
      <c r="AO14" s="20">
        <v>-29.51</v>
      </c>
      <c r="AP14" s="20">
        <v>5.58</v>
      </c>
      <c r="AS14" s="20">
        <v>6.0</v>
      </c>
      <c r="AT14" s="20" t="s">
        <v>17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17</v>
      </c>
      <c r="BM14" s="20">
        <v>44.0</v>
      </c>
      <c r="BN14" s="20">
        <v>60.15</v>
      </c>
      <c r="BW14" s="20">
        <v>-40.89</v>
      </c>
      <c r="BX14" s="20">
        <v>-9.29</v>
      </c>
      <c r="BZ14" s="20">
        <v>-35.79</v>
      </c>
      <c r="CA14" s="20">
        <v>99.48</v>
      </c>
      <c r="CI14" s="20">
        <v>-58.47</v>
      </c>
      <c r="CJ14" s="20">
        <v>-61.16</v>
      </c>
      <c r="CO14" s="20">
        <v>-45.05</v>
      </c>
      <c r="CP14" s="20">
        <v>-63.95</v>
      </c>
      <c r="CS14" s="34">
        <f>IFERROR(__xludf.DUMMYFUNCTION("""COMPUTED_VALUE"""),-23.59)</f>
        <v>-23.59</v>
      </c>
      <c r="CT14" s="34">
        <f>IFERROR(__xludf.DUMMYFUNCTION("""COMPUTED_VALUE"""),-13.13)</f>
        <v>-13.13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BZ15" s="20">
        <v>-47.55</v>
      </c>
      <c r="CA15" s="20">
        <v>110.12</v>
      </c>
      <c r="CI15" s="20">
        <v>-57.77</v>
      </c>
      <c r="CJ15" s="20">
        <v>-61.92</v>
      </c>
      <c r="CO15" s="20">
        <v>-2.96</v>
      </c>
      <c r="CP15" s="20">
        <v>-35.74</v>
      </c>
      <c r="CS15" s="34">
        <f>IFERROR(__xludf.DUMMYFUNCTION("""COMPUTED_VALUE"""),-20.04)</f>
        <v>-20.04</v>
      </c>
      <c r="CT15" s="34">
        <f>IFERROR(__xludf.DUMMYFUNCTION("""COMPUTED_VALUE"""),-21.82)</f>
        <v>-21.82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17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17</v>
      </c>
      <c r="AO16" s="20">
        <v>-27.96</v>
      </c>
      <c r="AP16" s="20">
        <v>35.46</v>
      </c>
      <c r="AS16" s="20">
        <v>7.0</v>
      </c>
      <c r="AT16" s="20" t="s">
        <v>17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17</v>
      </c>
      <c r="BM16" s="20">
        <v>59.7</v>
      </c>
      <c r="BN16" s="20">
        <v>60.18</v>
      </c>
      <c r="BW16" s="20">
        <v>-46.17</v>
      </c>
      <c r="BX16" s="20">
        <v>-24.87</v>
      </c>
      <c r="BZ16" s="20">
        <v>-51.85</v>
      </c>
      <c r="CA16" s="20">
        <v>116.21</v>
      </c>
      <c r="CI16" s="20">
        <v>-52.41</v>
      </c>
      <c r="CJ16" s="20">
        <v>-68.03</v>
      </c>
      <c r="CO16" s="20">
        <v>-37.83</v>
      </c>
      <c r="CP16" s="20">
        <v>-51.31</v>
      </c>
      <c r="CS16" s="34">
        <f>IFERROR(__xludf.DUMMYFUNCTION("""COMPUTED_VALUE"""),-48.45)</f>
        <v>-48.45</v>
      </c>
      <c r="CT16" s="34">
        <f>IFERROR(__xludf.DUMMYFUNCTION("""COMPUTED_VALUE"""),-13.43)</f>
        <v>-13.43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BZ17" s="20">
        <v>-48.31</v>
      </c>
      <c r="CA17" s="20">
        <v>30.54</v>
      </c>
      <c r="CI17" s="20">
        <v>-39.1</v>
      </c>
      <c r="CJ17" s="20">
        <v>-63.29</v>
      </c>
      <c r="CO17" s="20">
        <v>-22.45</v>
      </c>
      <c r="CP17" s="20">
        <v>-56.12</v>
      </c>
      <c r="CS17" s="34">
        <f>IFERROR(__xludf.DUMMYFUNCTION("""COMPUTED_VALUE"""),-23.15)</f>
        <v>-23.15</v>
      </c>
      <c r="CT17" s="34">
        <f>IFERROR(__xludf.DUMMYFUNCTION("""COMPUTED_VALUE"""),-22.17)</f>
        <v>-22.17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17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17</v>
      </c>
      <c r="AO18" s="20">
        <v>107.22</v>
      </c>
      <c r="AP18" s="20">
        <v>-19.29</v>
      </c>
      <c r="AS18" s="20">
        <v>8.0</v>
      </c>
      <c r="AT18" s="20" t="s">
        <v>17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17</v>
      </c>
      <c r="BM18" s="20">
        <v>-30.74</v>
      </c>
      <c r="BN18" s="20">
        <v>139.27</v>
      </c>
      <c r="BW18" s="20">
        <v>-50.06</v>
      </c>
      <c r="BX18" s="20">
        <v>-15.05</v>
      </c>
      <c r="BZ18" s="20">
        <v>-38.12</v>
      </c>
      <c r="CA18" s="20">
        <v>-36.68</v>
      </c>
      <c r="CI18" s="20">
        <v>-47.66</v>
      </c>
      <c r="CJ18" s="20">
        <v>-50.61</v>
      </c>
      <c r="CO18" s="20">
        <v>-23.6</v>
      </c>
      <c r="CP18" s="20">
        <v>-41.12</v>
      </c>
      <c r="CS18" s="34">
        <f>IFERROR(__xludf.DUMMYFUNCTION("""COMPUTED_VALUE"""),-30.13)</f>
        <v>-30.13</v>
      </c>
      <c r="CT18" s="34">
        <f>IFERROR(__xludf.DUMMYFUNCTION("""COMPUTED_VALUE"""),-13.22)</f>
        <v>-13.22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BZ19" s="20">
        <v>-16.74</v>
      </c>
      <c r="CA19" s="20">
        <v>36.81</v>
      </c>
      <c r="CI19" s="20">
        <v>-49.77</v>
      </c>
      <c r="CJ19" s="20">
        <v>-48.0</v>
      </c>
      <c r="CO19" s="20">
        <v>-21.73</v>
      </c>
      <c r="CP19" s="20">
        <v>-66.69</v>
      </c>
      <c r="CS19" s="34">
        <f>IFERROR(__xludf.DUMMYFUNCTION("""COMPUTED_VALUE"""),97.51)</f>
        <v>97.51</v>
      </c>
      <c r="CT19" s="34">
        <f>IFERROR(__xludf.DUMMYFUNCTION("""COMPUTED_VALUE"""),126.91)</f>
        <v>126.91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17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17</v>
      </c>
      <c r="AO20" s="20">
        <v>-50.28</v>
      </c>
      <c r="AP20" s="20">
        <v>-16.43</v>
      </c>
      <c r="AS20" s="20">
        <v>9.0</v>
      </c>
      <c r="AT20" s="20" t="s">
        <v>17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17</v>
      </c>
      <c r="BM20" s="20">
        <v>89.81</v>
      </c>
      <c r="BN20" s="20">
        <v>143.49</v>
      </c>
      <c r="BW20" s="20">
        <v>-58.77</v>
      </c>
      <c r="BX20" s="20">
        <v>-36.05</v>
      </c>
      <c r="BZ20" s="20">
        <v>-44.94</v>
      </c>
      <c r="CA20" s="20">
        <v>119.97</v>
      </c>
      <c r="CI20" s="20">
        <v>-51.66</v>
      </c>
      <c r="CJ20" s="20">
        <v>-40.65</v>
      </c>
      <c r="CO20" s="20">
        <v>2.64</v>
      </c>
      <c r="CP20" s="20">
        <v>-58.92</v>
      </c>
      <c r="CS20" s="34">
        <f>IFERROR(__xludf.DUMMYFUNCTION("""COMPUTED_VALUE"""),38.96)</f>
        <v>38.96</v>
      </c>
      <c r="CT20" s="34">
        <f>IFERROR(__xludf.DUMMYFUNCTION("""COMPUTED_VALUE"""),179.17)</f>
        <v>179.17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BZ21" s="20">
        <v>-23.3</v>
      </c>
      <c r="CA21" s="20">
        <v>58.68</v>
      </c>
      <c r="CI21" s="20">
        <v>-49.03</v>
      </c>
      <c r="CJ21" s="20">
        <v>-66.54</v>
      </c>
      <c r="CO21" s="20">
        <v>-26.33</v>
      </c>
      <c r="CP21" s="20">
        <v>-33.62</v>
      </c>
      <c r="CS21" s="34">
        <f>IFERROR(__xludf.DUMMYFUNCTION("""COMPUTED_VALUE"""),25.1)</f>
        <v>25.1</v>
      </c>
      <c r="CT21" s="34">
        <f>IFERROR(__xludf.DUMMYFUNCTION("""COMPUTED_VALUE"""),41.6)</f>
        <v>41.6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17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17</v>
      </c>
      <c r="AO22" s="20">
        <v>-1.28</v>
      </c>
      <c r="AP22" s="20">
        <v>11.65</v>
      </c>
      <c r="AS22" s="20">
        <v>10.0</v>
      </c>
      <c r="AT22" s="20" t="s">
        <v>17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17</v>
      </c>
      <c r="BM22" s="20">
        <v>142.61</v>
      </c>
      <c r="BN22" s="20">
        <v>123.9</v>
      </c>
      <c r="BW22" s="20">
        <v>-19.21</v>
      </c>
      <c r="BX22" s="20">
        <v>-35.34</v>
      </c>
      <c r="BZ22" s="20">
        <v>-9.37</v>
      </c>
      <c r="CA22" s="20">
        <v>96.55</v>
      </c>
      <c r="CI22" s="20">
        <v>-28.28</v>
      </c>
      <c r="CJ22" s="20">
        <v>-51.92</v>
      </c>
      <c r="CO22" s="20">
        <v>-43.16</v>
      </c>
      <c r="CP22" s="20">
        <v>-64.98</v>
      </c>
      <c r="CS22" s="34">
        <f>IFERROR(__xludf.DUMMYFUNCTION("""COMPUTED_VALUE"""),1.72)</f>
        <v>1.72</v>
      </c>
      <c r="CT22" s="34">
        <f>IFERROR(__xludf.DUMMYFUNCTION("""COMPUTED_VALUE"""),-16.22)</f>
        <v>-16.22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BZ23" s="20">
        <v>-62.73</v>
      </c>
      <c r="CA23" s="20">
        <v>128.77</v>
      </c>
      <c r="CI23" s="20">
        <v>-41.28</v>
      </c>
      <c r="CJ23" s="20">
        <v>-47.59</v>
      </c>
      <c r="CO23" s="20">
        <v>-39.13</v>
      </c>
      <c r="CP23" s="20">
        <v>-58.32</v>
      </c>
      <c r="CS23" s="34">
        <f>IFERROR(__xludf.DUMMYFUNCTION("""COMPUTED_VALUE"""),62.49)</f>
        <v>62.49</v>
      </c>
      <c r="CT23" s="34">
        <f>IFERROR(__xludf.DUMMYFUNCTION("""COMPUTED_VALUE"""),-14.37)</f>
        <v>-14.37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17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17</v>
      </c>
      <c r="AO24" s="20">
        <v>-31.84</v>
      </c>
      <c r="AP24" s="20">
        <v>-16.7</v>
      </c>
      <c r="AS24" s="20">
        <v>11.0</v>
      </c>
      <c r="AT24" s="20" t="s">
        <v>17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17</v>
      </c>
      <c r="BM24" s="20">
        <v>17.79</v>
      </c>
      <c r="BN24" s="20">
        <v>-45.66</v>
      </c>
      <c r="BW24" s="20">
        <v>-36.65</v>
      </c>
      <c r="BX24" s="20">
        <v>-11.96</v>
      </c>
      <c r="BZ24" s="20">
        <v>-62.49</v>
      </c>
      <c r="CA24" s="20">
        <v>61.32</v>
      </c>
      <c r="CI24" s="20">
        <v>-35.57</v>
      </c>
      <c r="CJ24" s="20">
        <v>-24.8</v>
      </c>
      <c r="CO24" s="20">
        <v>-18.5</v>
      </c>
      <c r="CP24" s="20">
        <v>-29.65</v>
      </c>
      <c r="CS24" s="34">
        <f>IFERROR(__xludf.DUMMYFUNCTION("""COMPUTED_VALUE"""),4.65)</f>
        <v>4.65</v>
      </c>
      <c r="CT24" s="34">
        <f>IFERROR(__xludf.DUMMYFUNCTION("""COMPUTED_VALUE"""),-19.09)</f>
        <v>-19.09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BZ25" s="20">
        <v>-57.95</v>
      </c>
      <c r="CA25" s="20">
        <v>42.93</v>
      </c>
      <c r="CI25" s="20">
        <v>-48.7</v>
      </c>
      <c r="CJ25" s="20">
        <v>-55.46</v>
      </c>
      <c r="CO25" s="20">
        <v>-37.07</v>
      </c>
      <c r="CP25" s="20">
        <v>-60.62</v>
      </c>
      <c r="CS25" s="34">
        <f>IFERROR(__xludf.DUMMYFUNCTION("""COMPUTED_VALUE"""),-21.33)</f>
        <v>-21.33</v>
      </c>
      <c r="CT25" s="34">
        <f>IFERROR(__xludf.DUMMYFUNCTION("""COMPUTED_VALUE"""),-16.95)</f>
        <v>-16.95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17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17</v>
      </c>
      <c r="AO26" s="20">
        <v>-48.82</v>
      </c>
      <c r="AP26" s="20">
        <v>-43.58</v>
      </c>
      <c r="AS26" s="20">
        <v>12.0</v>
      </c>
      <c r="AT26" s="20" t="s">
        <v>17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17</v>
      </c>
      <c r="BM26" s="20">
        <v>162.91</v>
      </c>
      <c r="BN26" s="20">
        <v>57.0</v>
      </c>
      <c r="BW26" s="20">
        <v>-55.37</v>
      </c>
      <c r="BX26" s="20">
        <v>-47.19</v>
      </c>
      <c r="BZ26" s="20">
        <v>-42.09</v>
      </c>
      <c r="CA26" s="20">
        <v>35.4</v>
      </c>
      <c r="CI26" s="20">
        <v>-56.39</v>
      </c>
      <c r="CJ26" s="20">
        <v>-55.53</v>
      </c>
      <c r="CO26" s="20">
        <v>-39.65</v>
      </c>
      <c r="CP26" s="20">
        <v>-28.8</v>
      </c>
      <c r="CS26" s="34">
        <f>IFERROR(__xludf.DUMMYFUNCTION("""COMPUTED_VALUE"""),-16.05)</f>
        <v>-16.05</v>
      </c>
      <c r="CT26" s="34">
        <f>IFERROR(__xludf.DUMMYFUNCTION("""COMPUTED_VALUE"""),-5.0)</f>
        <v>-5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BZ27" s="20">
        <v>-35.62</v>
      </c>
      <c r="CA27" s="20">
        <v>85.61</v>
      </c>
      <c r="CI27" s="20">
        <v>-48.59</v>
      </c>
      <c r="CJ27" s="20">
        <v>-19.71</v>
      </c>
      <c r="CO27" s="20">
        <v>4.03</v>
      </c>
      <c r="CP27" s="20">
        <v>-44.62</v>
      </c>
      <c r="CS27" s="34">
        <f>IFERROR(__xludf.DUMMYFUNCTION("""COMPUTED_VALUE"""),0.2)</f>
        <v>0.2</v>
      </c>
      <c r="CT27" s="34">
        <f>IFERROR(__xludf.DUMMYFUNCTION("""COMPUTED_VALUE"""),0.96)</f>
        <v>0.96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17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17</v>
      </c>
      <c r="AO28" s="20">
        <v>64.69</v>
      </c>
      <c r="AP28" s="20">
        <v>-23.14</v>
      </c>
      <c r="AS28" s="20">
        <v>13.0</v>
      </c>
      <c r="AT28" s="20" t="s">
        <v>17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17</v>
      </c>
      <c r="BM28" s="20">
        <v>-10.05</v>
      </c>
      <c r="BN28" s="20">
        <v>24.41</v>
      </c>
      <c r="BW28" s="20">
        <v>-10.3</v>
      </c>
      <c r="BX28" s="20">
        <v>35.48</v>
      </c>
      <c r="BZ28" s="20">
        <v>-37.9</v>
      </c>
      <c r="CA28" s="20">
        <v>130.85</v>
      </c>
      <c r="CI28" s="20">
        <v>-34.99</v>
      </c>
      <c r="CJ28" s="20">
        <v>-41.09</v>
      </c>
      <c r="CO28" s="20">
        <v>-2.38</v>
      </c>
      <c r="CP28" s="20">
        <v>-24.22</v>
      </c>
      <c r="CS28" s="34">
        <f>IFERROR(__xludf.DUMMYFUNCTION("""COMPUTED_VALUE"""),-10.74)</f>
        <v>-10.74</v>
      </c>
      <c r="CT28" s="34">
        <f>IFERROR(__xludf.DUMMYFUNCTION("""COMPUTED_VALUE"""),-16.22)</f>
        <v>-16.22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BZ29" s="20">
        <v>-44.36</v>
      </c>
      <c r="CA29" s="20">
        <v>48.47</v>
      </c>
      <c r="CI29" s="20">
        <v>-44.45</v>
      </c>
      <c r="CJ29" s="20">
        <v>-57.61</v>
      </c>
      <c r="CO29" s="20">
        <v>-30.83</v>
      </c>
      <c r="CP29" s="20">
        <v>-15.38</v>
      </c>
      <c r="CS29" s="34">
        <f>IFERROR(__xludf.DUMMYFUNCTION("""COMPUTED_VALUE"""),8.78)</f>
        <v>8.78</v>
      </c>
      <c r="CT29" s="34">
        <f>IFERROR(__xludf.DUMMYFUNCTION("""COMPUTED_VALUE"""),-22.24)</f>
        <v>-22.24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17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17</v>
      </c>
      <c r="AO30" s="20">
        <v>-21.62</v>
      </c>
      <c r="AP30" s="20">
        <v>-18.95</v>
      </c>
      <c r="AS30" s="20">
        <v>14.0</v>
      </c>
      <c r="AT30" s="20" t="s">
        <v>17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17</v>
      </c>
      <c r="BM30" s="20">
        <v>46.38</v>
      </c>
      <c r="BN30" s="20">
        <v>153.5</v>
      </c>
      <c r="BW30" s="20">
        <v>-52.48</v>
      </c>
      <c r="BX30" s="20">
        <v>2.53</v>
      </c>
      <c r="BZ30" s="20">
        <v>-33.67</v>
      </c>
      <c r="CA30" s="20">
        <v>18.54</v>
      </c>
      <c r="CI30" s="20">
        <v>-45.46</v>
      </c>
      <c r="CJ30" s="20">
        <v>-26.12</v>
      </c>
      <c r="CO30" s="20">
        <v>-31.71</v>
      </c>
      <c r="CP30" s="20">
        <v>-46.99</v>
      </c>
      <c r="CS30" s="34">
        <f>IFERROR(__xludf.DUMMYFUNCTION("""COMPUTED_VALUE"""),-0.82)</f>
        <v>-0.82</v>
      </c>
      <c r="CT30" s="34">
        <f>IFERROR(__xludf.DUMMYFUNCTION("""COMPUTED_VALUE"""),-19.58)</f>
        <v>-19.58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BZ31" s="20">
        <v>-52.74</v>
      </c>
      <c r="CA31" s="20">
        <v>168.87</v>
      </c>
      <c r="CI31" s="20">
        <v>-42.53</v>
      </c>
      <c r="CJ31" s="20">
        <v>-56.09</v>
      </c>
      <c r="CO31" s="20">
        <v>-31.64</v>
      </c>
      <c r="CP31" s="20">
        <v>-59.21</v>
      </c>
      <c r="CS31" s="34">
        <f>IFERROR(__xludf.DUMMYFUNCTION("""COMPUTED_VALUE"""),-8.74)</f>
        <v>-8.74</v>
      </c>
      <c r="CT31" s="34">
        <f>IFERROR(__xludf.DUMMYFUNCTION("""COMPUTED_VALUE"""),-13.53)</f>
        <v>-13.53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17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17</v>
      </c>
      <c r="AO32" s="20">
        <v>26.62</v>
      </c>
      <c r="AP32" s="20">
        <v>-12.08</v>
      </c>
      <c r="AS32" s="20">
        <v>15.0</v>
      </c>
      <c r="AT32" s="20" t="s">
        <v>17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17</v>
      </c>
      <c r="BM32" s="20">
        <v>-22.91</v>
      </c>
      <c r="BN32" s="20">
        <v>11.39</v>
      </c>
      <c r="BW32" s="20">
        <v>-11.69</v>
      </c>
      <c r="BX32" s="20">
        <v>-7.69</v>
      </c>
      <c r="BZ32" s="20">
        <v>-62.21</v>
      </c>
      <c r="CA32" s="20">
        <v>222.91</v>
      </c>
      <c r="CI32" s="20">
        <v>-60.79</v>
      </c>
      <c r="CJ32" s="20">
        <v>-59.17</v>
      </c>
      <c r="CO32" s="20">
        <v>-23.64</v>
      </c>
      <c r="CP32" s="20">
        <v>-39.49</v>
      </c>
      <c r="CS32" s="34">
        <f>IFERROR(__xludf.DUMMYFUNCTION("""COMPUTED_VALUE"""),-24.3)</f>
        <v>-24.3</v>
      </c>
      <c r="CT32" s="34">
        <f>IFERROR(__xludf.DUMMYFUNCTION("""COMPUTED_VALUE"""),-17.64)</f>
        <v>-17.64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BZ33" s="20">
        <v>-39.9</v>
      </c>
      <c r="CA33" s="20">
        <v>74.63</v>
      </c>
      <c r="CI33" s="20">
        <v>-52.79</v>
      </c>
      <c r="CJ33" s="20">
        <v>-66.99</v>
      </c>
      <c r="CO33" s="20">
        <v>-12.55</v>
      </c>
      <c r="CP33" s="20">
        <v>-47.65</v>
      </c>
      <c r="CS33" s="34">
        <f>IFERROR(__xludf.DUMMYFUNCTION("""COMPUTED_VALUE"""),-4.28)</f>
        <v>-4.28</v>
      </c>
      <c r="CT33" s="34">
        <f>IFERROR(__xludf.DUMMYFUNCTION("""COMPUTED_VALUE"""),-18.96)</f>
        <v>-18.96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17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17</v>
      </c>
      <c r="AO34" s="20">
        <v>-33.29</v>
      </c>
      <c r="AP34" s="20">
        <v>-27.58</v>
      </c>
      <c r="AS34" s="20">
        <v>16.0</v>
      </c>
      <c r="AT34" s="20" t="s">
        <v>17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17</v>
      </c>
      <c r="BM34" s="20">
        <v>22.49</v>
      </c>
      <c r="BN34" s="20">
        <v>91.86</v>
      </c>
      <c r="BW34" s="20">
        <v>22.77</v>
      </c>
      <c r="BX34" s="20">
        <v>-8.54</v>
      </c>
      <c r="BZ34" s="20">
        <v>-32.79</v>
      </c>
      <c r="CA34" s="20">
        <v>25.89</v>
      </c>
      <c r="CI34" s="20">
        <v>-67.17</v>
      </c>
      <c r="CJ34" s="20">
        <v>-51.64</v>
      </c>
      <c r="CO34" s="20">
        <v>-13.92</v>
      </c>
      <c r="CP34" s="20">
        <v>-54.29</v>
      </c>
      <c r="CS34" s="34">
        <f>IFERROR(__xludf.DUMMYFUNCTION("""COMPUTED_VALUE"""),16.59)</f>
        <v>16.59</v>
      </c>
      <c r="CT34" s="34">
        <f>IFERROR(__xludf.DUMMYFUNCTION("""COMPUTED_VALUE"""),-0.92)</f>
        <v>-0.92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BZ35" s="20">
        <v>-31.07</v>
      </c>
      <c r="CA35" s="20">
        <v>42.6</v>
      </c>
      <c r="CI35" s="20">
        <v>-67.65</v>
      </c>
      <c r="CJ35" s="20">
        <v>-63.08</v>
      </c>
      <c r="CO35" s="20">
        <v>-0.88</v>
      </c>
      <c r="CP35" s="20">
        <v>-32.26</v>
      </c>
      <c r="CS35" s="34">
        <f>IFERROR(__xludf.DUMMYFUNCTION("""COMPUTED_VALUE"""),21.98)</f>
        <v>21.98</v>
      </c>
      <c r="CT35" s="34">
        <f>IFERROR(__xludf.DUMMYFUNCTION("""COMPUTED_VALUE"""),-21.28)</f>
        <v>-21.28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17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17</v>
      </c>
      <c r="AO36" s="20">
        <v>-23.82</v>
      </c>
      <c r="AP36" s="20">
        <v>13.11</v>
      </c>
      <c r="AS36" s="20">
        <v>17.0</v>
      </c>
      <c r="AT36" s="20" t="s">
        <v>17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17</v>
      </c>
      <c r="BM36" s="20">
        <v>11.8</v>
      </c>
      <c r="BN36" s="20">
        <v>12.56</v>
      </c>
      <c r="BW36" s="20">
        <v>-49.29</v>
      </c>
      <c r="BX36" s="20">
        <v>-7.07</v>
      </c>
      <c r="BZ36" s="20">
        <v>-40.08</v>
      </c>
      <c r="CA36" s="20">
        <v>70.33</v>
      </c>
      <c r="CI36" s="20">
        <v>-49.64</v>
      </c>
      <c r="CJ36" s="20">
        <v>-69.29</v>
      </c>
      <c r="CO36" s="20">
        <v>-7.93</v>
      </c>
      <c r="CP36" s="20">
        <v>-41.66</v>
      </c>
      <c r="CS36" s="34">
        <f>IFERROR(__xludf.DUMMYFUNCTION("""COMPUTED_VALUE"""),-32.35)</f>
        <v>-32.35</v>
      </c>
      <c r="CT36" s="34">
        <f>IFERROR(__xludf.DUMMYFUNCTION("""COMPUTED_VALUE"""),-17.55)</f>
        <v>-17.55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BZ37" s="20">
        <v>-29.9</v>
      </c>
      <c r="CA37" s="20">
        <v>67.66</v>
      </c>
      <c r="CI37" s="20">
        <v>-49.78</v>
      </c>
      <c r="CJ37" s="20">
        <v>-60.53</v>
      </c>
      <c r="CO37" s="20">
        <v>-4.97</v>
      </c>
      <c r="CP37" s="20">
        <v>-39.48</v>
      </c>
      <c r="CS37" s="34">
        <f>IFERROR(__xludf.DUMMYFUNCTION("""COMPUTED_VALUE"""),2.31)</f>
        <v>2.31</v>
      </c>
      <c r="CT37" s="34">
        <f>IFERROR(__xludf.DUMMYFUNCTION("""COMPUTED_VALUE"""),-21.78)</f>
        <v>-21.78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17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17</v>
      </c>
      <c r="AO38" s="20">
        <v>-19.66</v>
      </c>
      <c r="AP38" s="20">
        <v>14.89</v>
      </c>
      <c r="AS38" s="20">
        <v>18.0</v>
      </c>
      <c r="AT38" s="20" t="s">
        <v>17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17</v>
      </c>
      <c r="BM38" s="20">
        <v>-4.28</v>
      </c>
      <c r="BN38" s="20">
        <v>48.36</v>
      </c>
      <c r="BW38" s="20">
        <v>-28.7</v>
      </c>
      <c r="BX38" s="20">
        <v>-36.61</v>
      </c>
      <c r="BZ38" s="20">
        <v>-11.62</v>
      </c>
      <c r="CA38" s="20">
        <v>66.59</v>
      </c>
      <c r="CI38" s="20">
        <v>-63.57</v>
      </c>
      <c r="CJ38" s="20">
        <v>-42.09</v>
      </c>
      <c r="CO38" s="20">
        <v>-13.07</v>
      </c>
      <c r="CP38" s="20">
        <v>-62.83</v>
      </c>
      <c r="CS38" s="34">
        <f>IFERROR(__xludf.DUMMYFUNCTION("""COMPUTED_VALUE"""),0.03)</f>
        <v>0.03</v>
      </c>
      <c r="CT38" s="34">
        <f>IFERROR(__xludf.DUMMYFUNCTION("""COMPUTED_VALUE"""),5.39)</f>
        <v>5.39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BZ39" s="20">
        <v>-38.19</v>
      </c>
      <c r="CA39" s="20">
        <v>132.4</v>
      </c>
      <c r="CI39" s="20">
        <v>-65.6</v>
      </c>
      <c r="CJ39" s="20">
        <v>-63.73</v>
      </c>
      <c r="CO39" s="20">
        <v>-28.92</v>
      </c>
      <c r="CP39" s="20">
        <v>-54.26</v>
      </c>
      <c r="CS39" s="34">
        <f>IFERROR(__xludf.DUMMYFUNCTION("""COMPUTED_VALUE"""),-36.82)</f>
        <v>-36.82</v>
      </c>
      <c r="CT39" s="34">
        <f>IFERROR(__xludf.DUMMYFUNCTION("""COMPUTED_VALUE"""),-12.34)</f>
        <v>-12.34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17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17</v>
      </c>
      <c r="AO40" s="20">
        <v>-22.38</v>
      </c>
      <c r="AP40" s="20">
        <v>-11.87</v>
      </c>
      <c r="AS40" s="20">
        <v>19.0</v>
      </c>
      <c r="AT40" s="20" t="s">
        <v>17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17</v>
      </c>
      <c r="BM40" s="20">
        <v>11.03</v>
      </c>
      <c r="BN40" s="20">
        <v>-10.09</v>
      </c>
      <c r="BW40" s="20">
        <v>-32.45</v>
      </c>
      <c r="BX40" s="20">
        <v>-35.81</v>
      </c>
      <c r="BZ40" s="20">
        <v>-60.63</v>
      </c>
      <c r="CA40" s="20">
        <v>83.72</v>
      </c>
      <c r="CI40" s="20">
        <v>-45.58</v>
      </c>
      <c r="CJ40" s="20">
        <v>-49.69</v>
      </c>
      <c r="CO40" s="20">
        <v>-22.88</v>
      </c>
      <c r="CP40" s="20">
        <v>-27.56</v>
      </c>
      <c r="CS40" s="34">
        <f>IFERROR(__xludf.DUMMYFUNCTION("""COMPUTED_VALUE"""),-63.53)</f>
        <v>-63.53</v>
      </c>
      <c r="CT40" s="34">
        <f>IFERROR(__xludf.DUMMYFUNCTION("""COMPUTED_VALUE"""),34.18)</f>
        <v>34.18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BZ41" s="20">
        <v>-37.45</v>
      </c>
      <c r="CA41" s="20">
        <v>46.64</v>
      </c>
      <c r="CI41" s="20">
        <v>-28.86</v>
      </c>
      <c r="CJ41" s="20">
        <v>-55.8</v>
      </c>
      <c r="CO41" s="20">
        <v>25.97</v>
      </c>
      <c r="CP41" s="20">
        <v>-51.76</v>
      </c>
      <c r="CS41" s="34">
        <f>IFERROR(__xludf.DUMMYFUNCTION("""COMPUTED_VALUE"""),-27.92)</f>
        <v>-27.92</v>
      </c>
      <c r="CT41" s="34">
        <f>IFERROR(__xludf.DUMMYFUNCTION("""COMPUTED_VALUE"""),-20.58)</f>
        <v>-20.58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17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17</v>
      </c>
      <c r="AO42" s="20">
        <v>3.54</v>
      </c>
      <c r="AP42" s="20">
        <v>72.62</v>
      </c>
      <c r="AS42" s="20">
        <v>20.0</v>
      </c>
      <c r="AT42" s="20" t="s">
        <v>17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17</v>
      </c>
      <c r="BM42" s="20">
        <v>55.72</v>
      </c>
      <c r="BN42" s="20">
        <v>126.19</v>
      </c>
      <c r="BW42" s="20">
        <v>-17.71</v>
      </c>
      <c r="BX42" s="20">
        <v>-16.56</v>
      </c>
      <c r="BZ42" s="20">
        <v>-4.21</v>
      </c>
      <c r="CA42" s="20">
        <v>-54.01</v>
      </c>
      <c r="CI42" s="20">
        <v>-56.79</v>
      </c>
      <c r="CJ42" s="20">
        <v>-50.47</v>
      </c>
      <c r="CO42" s="20">
        <v>5.48</v>
      </c>
      <c r="CP42" s="20">
        <v>-42.07</v>
      </c>
      <c r="CS42" s="34">
        <f>IFERROR(__xludf.DUMMYFUNCTION("""COMPUTED_VALUE"""),68.43)</f>
        <v>68.43</v>
      </c>
      <c r="CT42" s="34">
        <f>IFERROR(__xludf.DUMMYFUNCTION("""COMPUTED_VALUE"""),-16.29)</f>
        <v>-16.29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P43" s="20">
        <v>13.56</v>
      </c>
      <c r="Q43" s="20">
        <v>11.9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BZ43" s="20">
        <v>-40.25</v>
      </c>
      <c r="CA43" s="20">
        <v>48.37</v>
      </c>
      <c r="CI43" s="20">
        <v>-52.47</v>
      </c>
      <c r="CJ43" s="20">
        <v>-37.61</v>
      </c>
      <c r="CO43" s="20">
        <v>-39.16</v>
      </c>
      <c r="CP43" s="20">
        <v>-37.67</v>
      </c>
      <c r="CS43" s="34">
        <f>IFERROR(__xludf.DUMMYFUNCTION("""COMPUTED_VALUE"""),-8.59)</f>
        <v>-8.59</v>
      </c>
      <c r="CT43" s="34">
        <f>IFERROR(__xludf.DUMMYFUNCTION("""COMPUTED_VALUE"""),18.76)</f>
        <v>18.76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17</v>
      </c>
      <c r="M44" s="20">
        <v>-25.61</v>
      </c>
      <c r="N44" s="20">
        <v>-40.53</v>
      </c>
      <c r="P44" s="20">
        <v>5.22</v>
      </c>
      <c r="Q44" s="20">
        <v>21.29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17</v>
      </c>
      <c r="AO44" s="20">
        <v>6.54</v>
      </c>
      <c r="AP44" s="20">
        <v>-21.38</v>
      </c>
      <c r="AS44" s="20">
        <v>21.0</v>
      </c>
      <c r="AT44" s="20" t="s">
        <v>17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17</v>
      </c>
      <c r="BM44" s="20">
        <v>65.33</v>
      </c>
      <c r="BN44" s="20">
        <v>106.38</v>
      </c>
      <c r="BW44" s="20">
        <v>-26.84</v>
      </c>
      <c r="BX44" s="20">
        <v>-14.44</v>
      </c>
      <c r="BZ44" s="20">
        <v>-26.71</v>
      </c>
      <c r="CA44" s="20">
        <v>176.05</v>
      </c>
      <c r="CI44" s="20">
        <v>-62.71</v>
      </c>
      <c r="CJ44" s="20">
        <v>-40.94</v>
      </c>
      <c r="CO44" s="20">
        <v>-5.07</v>
      </c>
      <c r="CP44" s="20">
        <v>-23.63</v>
      </c>
      <c r="CS44" s="34">
        <f>IFERROR(__xludf.DUMMYFUNCTION("""COMPUTED_VALUE"""),-31.24)</f>
        <v>-31.24</v>
      </c>
      <c r="CT44" s="34">
        <f>IFERROR(__xludf.DUMMYFUNCTION("""COMPUTED_VALUE"""),-11.77)</f>
        <v>-11.77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P45" s="20">
        <v>19.35</v>
      </c>
      <c r="Q45" s="20">
        <v>18.93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BZ45" s="20">
        <v>-30.63</v>
      </c>
      <c r="CA45" s="20">
        <v>-0.55</v>
      </c>
      <c r="CI45" s="20">
        <v>-56.0</v>
      </c>
      <c r="CJ45" s="20">
        <v>-65.67</v>
      </c>
      <c r="CO45" s="20">
        <v>-15.79</v>
      </c>
      <c r="CP45" s="20">
        <v>-52.32</v>
      </c>
      <c r="CS45" s="34">
        <f>IFERROR(__xludf.DUMMYFUNCTION("""COMPUTED_VALUE"""),66.01)</f>
        <v>66.01</v>
      </c>
      <c r="CT45" s="34">
        <f>IFERROR(__xludf.DUMMYFUNCTION("""COMPUTED_VALUE"""),6.98)</f>
        <v>6.98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17</v>
      </c>
      <c r="M46" s="20">
        <v>-57.53</v>
      </c>
      <c r="N46" s="20">
        <v>-26.22</v>
      </c>
      <c r="P46" s="20">
        <v>30.1</v>
      </c>
      <c r="Q46" s="20">
        <v>24.91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17</v>
      </c>
      <c r="AO46" s="20">
        <v>-4.48</v>
      </c>
      <c r="AP46" s="20">
        <v>-15.67</v>
      </c>
      <c r="AS46" s="20">
        <v>22.0</v>
      </c>
      <c r="AT46" s="20" t="s">
        <v>17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17</v>
      </c>
      <c r="BM46" s="20">
        <v>56.23</v>
      </c>
      <c r="BN46" s="20">
        <v>150.39</v>
      </c>
      <c r="BW46" s="20">
        <v>-43.67</v>
      </c>
      <c r="BX46" s="20">
        <v>-24.25</v>
      </c>
      <c r="BZ46" s="20">
        <v>-24.91</v>
      </c>
      <c r="CA46" s="20">
        <v>46.03</v>
      </c>
      <c r="CI46" s="20">
        <v>-55.4</v>
      </c>
      <c r="CJ46" s="20">
        <v>-66.24</v>
      </c>
      <c r="CO46" s="20">
        <v>6.03</v>
      </c>
      <c r="CP46" s="20">
        <v>-45.04</v>
      </c>
      <c r="CS46" s="34">
        <f>IFERROR(__xludf.DUMMYFUNCTION("""COMPUTED_VALUE"""),10.93)</f>
        <v>10.93</v>
      </c>
      <c r="CT46" s="34">
        <f>IFERROR(__xludf.DUMMYFUNCTION("""COMPUTED_VALUE"""),-7.88)</f>
        <v>-7.88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P47" s="20">
        <v>14.34</v>
      </c>
      <c r="Q47" s="20">
        <v>32.12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BZ47" s="20">
        <v>-43.01</v>
      </c>
      <c r="CA47" s="20">
        <v>42.76</v>
      </c>
      <c r="CI47" s="20">
        <v>-34.23</v>
      </c>
      <c r="CJ47" s="20">
        <v>-55.99</v>
      </c>
      <c r="CO47" s="20">
        <v>-19.05</v>
      </c>
      <c r="CP47" s="20">
        <v>-37.78</v>
      </c>
      <c r="CS47" s="34">
        <f>IFERROR(__xludf.DUMMYFUNCTION("""COMPUTED_VALUE"""),112.74)</f>
        <v>112.74</v>
      </c>
      <c r="CT47" s="34">
        <f>IFERROR(__xludf.DUMMYFUNCTION("""COMPUTED_VALUE"""),-11.95)</f>
        <v>-11.95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17</v>
      </c>
      <c r="M48" s="20">
        <v>-22.2</v>
      </c>
      <c r="N48" s="20">
        <v>9.05</v>
      </c>
      <c r="P48" s="20">
        <v>30.99</v>
      </c>
      <c r="Q48" s="20">
        <v>33.33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17</v>
      </c>
      <c r="AO48" s="20">
        <v>3.34</v>
      </c>
      <c r="AP48" s="20">
        <v>8.95</v>
      </c>
      <c r="AS48" s="20">
        <v>23.0</v>
      </c>
      <c r="AT48" s="20" t="s">
        <v>17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17</v>
      </c>
      <c r="BM48" s="20">
        <v>52.43</v>
      </c>
      <c r="BN48" s="20">
        <v>77.11</v>
      </c>
      <c r="BW48" s="20">
        <v>-35.62</v>
      </c>
      <c r="BX48" s="20">
        <v>-33.88</v>
      </c>
      <c r="BZ48" s="20">
        <v>-42.41</v>
      </c>
      <c r="CA48" s="20">
        <v>65.93</v>
      </c>
      <c r="CI48" s="20">
        <v>-48.67</v>
      </c>
      <c r="CJ48" s="20">
        <v>-64.27</v>
      </c>
      <c r="CO48" s="20">
        <v>-46.93</v>
      </c>
      <c r="CP48" s="20">
        <v>-44.27</v>
      </c>
      <c r="CS48" s="34">
        <f>IFERROR(__xludf.DUMMYFUNCTION("""COMPUTED_VALUE"""),-40.6)</f>
        <v>-40.6</v>
      </c>
      <c r="CT48" s="34">
        <f>IFERROR(__xludf.DUMMYFUNCTION("""COMPUTED_VALUE"""),-3.06)</f>
        <v>-3.06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P49" s="20">
        <v>20.0</v>
      </c>
      <c r="Q49" s="20">
        <v>32.42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BZ49" s="20">
        <v>-47.96</v>
      </c>
      <c r="CA49" s="20">
        <v>-16.22</v>
      </c>
      <c r="CI49" s="20">
        <v>-63.17</v>
      </c>
      <c r="CJ49" s="20">
        <v>-64.1</v>
      </c>
      <c r="CO49" s="20">
        <v>-4.35</v>
      </c>
      <c r="CP49" s="20">
        <v>-55.39</v>
      </c>
      <c r="CS49" s="34">
        <f>IFERROR(__xludf.DUMMYFUNCTION("""COMPUTED_VALUE"""),-28.43)</f>
        <v>-28.43</v>
      </c>
      <c r="CT49" s="34">
        <f>IFERROR(__xludf.DUMMYFUNCTION("""COMPUTED_VALUE"""),-20.66)</f>
        <v>-20.66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17</v>
      </c>
      <c r="M50" s="20">
        <v>-14.76</v>
      </c>
      <c r="N50" s="20">
        <v>53.41</v>
      </c>
      <c r="P50" s="20">
        <v>39.27</v>
      </c>
      <c r="Q50" s="20">
        <v>44.66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17</v>
      </c>
      <c r="AO50" s="20">
        <v>-2.93</v>
      </c>
      <c r="AP50" s="20">
        <v>-22.66</v>
      </c>
      <c r="AS50" s="20">
        <v>24.0</v>
      </c>
      <c r="AT50" s="20" t="s">
        <v>17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17</v>
      </c>
      <c r="BM50" s="20">
        <v>62.01</v>
      </c>
      <c r="BN50" s="20">
        <v>155.34</v>
      </c>
      <c r="BW50" s="20">
        <v>-31.73</v>
      </c>
      <c r="BX50" s="20">
        <v>-16.28</v>
      </c>
      <c r="BZ50" s="20">
        <v>-29.78</v>
      </c>
      <c r="CA50" s="20">
        <v>0.28</v>
      </c>
      <c r="CI50" s="20">
        <v>-47.22</v>
      </c>
      <c r="CJ50" s="20">
        <v>-36.1</v>
      </c>
      <c r="CO50" s="20">
        <v>10.22</v>
      </c>
      <c r="CP50" s="20">
        <v>-54.42</v>
      </c>
      <c r="CS50" s="34">
        <f>IFERROR(__xludf.DUMMYFUNCTION("""COMPUTED_VALUE"""),-11.87)</f>
        <v>-11.87</v>
      </c>
      <c r="CT50" s="34">
        <f>IFERROR(__xludf.DUMMYFUNCTION("""COMPUTED_VALUE"""),-20.51)</f>
        <v>-20.51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P51" s="20">
        <v>79.33</v>
      </c>
      <c r="Q51" s="20">
        <v>135.08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BZ51" s="20">
        <v>-63.33</v>
      </c>
      <c r="CA51" s="20">
        <v>49.39</v>
      </c>
      <c r="CI51" s="20">
        <v>-42.08</v>
      </c>
      <c r="CJ51" s="20">
        <v>-41.93</v>
      </c>
      <c r="CO51" s="20">
        <v>-13.56</v>
      </c>
      <c r="CP51" s="20">
        <v>-50.23</v>
      </c>
      <c r="CS51" s="34">
        <f>IFERROR(__xludf.DUMMYFUNCTION("""COMPUTED_VALUE"""),-30.75)</f>
        <v>-30.75</v>
      </c>
      <c r="CT51" s="34">
        <f>IFERROR(__xludf.DUMMYFUNCTION("""COMPUTED_VALUE"""),-14.3)</f>
        <v>-14.3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17</v>
      </c>
      <c r="M52" s="20">
        <v>6.5</v>
      </c>
      <c r="N52" s="20">
        <v>-23.2</v>
      </c>
      <c r="P52" s="20">
        <v>95.49</v>
      </c>
      <c r="Q52" s="20">
        <v>138.89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17</v>
      </c>
      <c r="AO52" s="20">
        <v>34.51</v>
      </c>
      <c r="AP52" s="20">
        <v>103.52</v>
      </c>
      <c r="AS52" s="20">
        <v>25.0</v>
      </c>
      <c r="AT52" s="20" t="s">
        <v>17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17</v>
      </c>
      <c r="BM52" s="20">
        <v>42.1</v>
      </c>
      <c r="BN52" s="20">
        <v>44.24</v>
      </c>
      <c r="BW52" s="20">
        <v>0.96</v>
      </c>
      <c r="BX52" s="20">
        <v>18.69</v>
      </c>
      <c r="BZ52" s="20">
        <v>-39.95</v>
      </c>
      <c r="CA52" s="20">
        <v>-43.99</v>
      </c>
      <c r="CI52" s="20">
        <v>-16.78</v>
      </c>
      <c r="CJ52" s="20">
        <v>-34.5</v>
      </c>
      <c r="CO52" s="20">
        <v>-31.79</v>
      </c>
      <c r="CP52" s="20">
        <v>-34.99</v>
      </c>
      <c r="CS52" s="34">
        <f>IFERROR(__xludf.DUMMYFUNCTION("""COMPUTED_VALUE"""),-33.57)</f>
        <v>-33.57</v>
      </c>
      <c r="CT52" s="34">
        <f>IFERROR(__xludf.DUMMYFUNCTION("""COMPUTED_VALUE"""),-13.73)</f>
        <v>-13.73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P53" s="20">
        <v>-14.56</v>
      </c>
      <c r="Q53" s="20">
        <v>112.63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BZ53" s="20">
        <v>-77.33</v>
      </c>
      <c r="CA53" s="20">
        <v>-32.05</v>
      </c>
      <c r="CI53" s="20">
        <v>-14.68</v>
      </c>
      <c r="CJ53" s="20">
        <v>-32.85</v>
      </c>
      <c r="CO53" s="20">
        <v>-59.27</v>
      </c>
      <c r="CP53" s="20">
        <v>-40.79</v>
      </c>
      <c r="CS53" s="34">
        <f>IFERROR(__xludf.DUMMYFUNCTION("""COMPUTED_VALUE"""),-18.32)</f>
        <v>-18.32</v>
      </c>
      <c r="CT53" s="34">
        <f>IFERROR(__xludf.DUMMYFUNCTION("""COMPUTED_VALUE"""),68.17)</f>
        <v>68.17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17</v>
      </c>
      <c r="M54" s="20">
        <v>-69.86</v>
      </c>
      <c r="N54" s="20">
        <v>-55.65</v>
      </c>
      <c r="P54" s="20">
        <v>4.81</v>
      </c>
      <c r="Q54" s="20">
        <v>94.17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17</v>
      </c>
      <c r="AO54" s="20">
        <v>-43.36</v>
      </c>
      <c r="AP54" s="20">
        <v>-55.98</v>
      </c>
      <c r="AS54" s="20">
        <v>26.0</v>
      </c>
      <c r="AT54" s="20" t="s">
        <v>17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17</v>
      </c>
      <c r="BM54" s="20">
        <v>94.2</v>
      </c>
      <c r="BN54" s="20">
        <v>83.74</v>
      </c>
      <c r="BW54" s="20">
        <v>-55.2</v>
      </c>
      <c r="BX54" s="20">
        <v>-29.82</v>
      </c>
      <c r="BZ54" s="20">
        <v>89.61</v>
      </c>
      <c r="CA54" s="20">
        <v>9.79</v>
      </c>
      <c r="CI54" s="20">
        <v>-53.15</v>
      </c>
      <c r="CJ54" s="20">
        <v>-67.11</v>
      </c>
      <c r="CO54" s="20">
        <v>-49.31</v>
      </c>
      <c r="CP54" s="20">
        <v>-49.56</v>
      </c>
      <c r="CS54" s="34">
        <f>IFERROR(__xludf.DUMMYFUNCTION("""COMPUTED_VALUE"""),26.15)</f>
        <v>26.15</v>
      </c>
      <c r="CT54" s="34">
        <f>IFERROR(__xludf.DUMMYFUNCTION("""COMPUTED_VALUE"""),-18.89)</f>
        <v>-18.89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P55" s="20">
        <v>-7.57</v>
      </c>
      <c r="Q55" s="20">
        <v>8.82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BZ55" s="20">
        <v>-50.43</v>
      </c>
      <c r="CA55" s="20">
        <v>-5.14</v>
      </c>
      <c r="CI55" s="20">
        <v>-47.74</v>
      </c>
      <c r="CJ55" s="20">
        <v>-63.63</v>
      </c>
      <c r="CO55" s="20">
        <v>-52.04</v>
      </c>
      <c r="CP55" s="20">
        <v>-45.88</v>
      </c>
      <c r="CS55" s="34">
        <f>IFERROR(__xludf.DUMMYFUNCTION("""COMPUTED_VALUE"""),-55.74)</f>
        <v>-55.74</v>
      </c>
      <c r="CT55" s="34">
        <f>IFERROR(__xludf.DUMMYFUNCTION("""COMPUTED_VALUE"""),-6.75)</f>
        <v>-6.75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17</v>
      </c>
      <c r="M56" s="20">
        <v>-40.09</v>
      </c>
      <c r="N56" s="20">
        <v>14.37</v>
      </c>
      <c r="P56" s="20">
        <v>-21.49</v>
      </c>
      <c r="Q56" s="20">
        <v>-16.32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17</v>
      </c>
      <c r="AO56" s="20">
        <v>23.03</v>
      </c>
      <c r="AP56" s="20">
        <v>34.01</v>
      </c>
      <c r="AS56" s="20">
        <v>27.0</v>
      </c>
      <c r="AT56" s="20" t="s">
        <v>17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17</v>
      </c>
      <c r="BM56" s="20">
        <v>220.69</v>
      </c>
      <c r="BN56" s="20">
        <v>50.25</v>
      </c>
      <c r="BW56" s="20">
        <v>-47.72</v>
      </c>
      <c r="BX56" s="20">
        <v>-42.56</v>
      </c>
      <c r="BZ56" s="20">
        <v>-61.02</v>
      </c>
      <c r="CA56" s="20">
        <v>-46.64</v>
      </c>
      <c r="CI56" s="20">
        <v>-32.12</v>
      </c>
      <c r="CJ56" s="20">
        <v>-61.47</v>
      </c>
      <c r="CO56" s="20">
        <v>-47.04</v>
      </c>
      <c r="CP56" s="20">
        <v>-45.16</v>
      </c>
      <c r="CS56" s="34">
        <f>IFERROR(__xludf.DUMMYFUNCTION("""COMPUTED_VALUE"""),-48.56)</f>
        <v>-48.56</v>
      </c>
      <c r="CT56" s="34">
        <f>IFERROR(__xludf.DUMMYFUNCTION("""COMPUTED_VALUE"""),-18.11)</f>
        <v>-18.11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P57" s="20">
        <v>-60.34</v>
      </c>
      <c r="Q57" s="20">
        <v>-26.99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BZ57" s="20">
        <v>-47.63</v>
      </c>
      <c r="CA57" s="20">
        <v>152.36</v>
      </c>
      <c r="CI57" s="20">
        <v>-43.63</v>
      </c>
      <c r="CJ57" s="20">
        <v>-60.6</v>
      </c>
      <c r="CO57" s="20">
        <v>-26.18</v>
      </c>
      <c r="CP57" s="20">
        <v>-43.4</v>
      </c>
      <c r="CS57" s="34">
        <f>IFERROR(__xludf.DUMMYFUNCTION("""COMPUTED_VALUE"""),7.79)</f>
        <v>7.79</v>
      </c>
      <c r="CT57" s="34">
        <f>IFERROR(__xludf.DUMMYFUNCTION("""COMPUTED_VALUE"""),-14.74)</f>
        <v>-14.74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17</v>
      </c>
      <c r="M58" s="20">
        <v>-14.61</v>
      </c>
      <c r="N58" s="20">
        <v>30.31</v>
      </c>
      <c r="P58" s="20">
        <v>1.66</v>
      </c>
      <c r="Q58" s="20">
        <v>22.98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17</v>
      </c>
      <c r="AO58" s="20">
        <v>-9.39</v>
      </c>
      <c r="AP58" s="20">
        <v>4.43</v>
      </c>
      <c r="AS58" s="20">
        <v>28.0</v>
      </c>
      <c r="AT58" s="20" t="s">
        <v>17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17</v>
      </c>
      <c r="BM58" s="20">
        <v>203.66</v>
      </c>
      <c r="BN58" s="20">
        <v>140.75</v>
      </c>
      <c r="BW58" s="20">
        <v>-18.6</v>
      </c>
      <c r="BX58" s="20">
        <v>-30.15</v>
      </c>
      <c r="BZ58" s="20">
        <v>-64.87</v>
      </c>
      <c r="CA58" s="20">
        <v>30.6</v>
      </c>
      <c r="CI58" s="20">
        <v>-34.74</v>
      </c>
      <c r="CJ58" s="20">
        <v>-57.68</v>
      </c>
      <c r="CO58" s="20">
        <v>-26.44</v>
      </c>
      <c r="CP58" s="20">
        <v>-38.77</v>
      </c>
      <c r="CS58" s="34">
        <f>IFERROR(__xludf.DUMMYFUNCTION("""COMPUTED_VALUE"""),55.51)</f>
        <v>55.51</v>
      </c>
      <c r="CT58" s="34">
        <f>IFERROR(__xludf.DUMMYFUNCTION("""COMPUTED_VALUE"""),118.64)</f>
        <v>118.64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P59" s="20">
        <v>5.93</v>
      </c>
      <c r="Q59" s="20">
        <v>26.71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BZ59" s="20">
        <v>-43.16</v>
      </c>
      <c r="CA59" s="20">
        <v>17.32</v>
      </c>
      <c r="CI59" s="20">
        <v>-47.38</v>
      </c>
      <c r="CJ59" s="20">
        <v>-59.59</v>
      </c>
      <c r="CO59" s="20">
        <v>-3.66</v>
      </c>
      <c r="CP59" s="20">
        <v>-46.75</v>
      </c>
      <c r="CS59" s="34">
        <f>IFERROR(__xludf.DUMMYFUNCTION("""COMPUTED_VALUE"""),33.94)</f>
        <v>33.94</v>
      </c>
      <c r="CT59" s="34">
        <f>IFERROR(__xludf.DUMMYFUNCTION("""COMPUTED_VALUE"""),10.42)</f>
        <v>10.42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17</v>
      </c>
      <c r="M60" s="20">
        <v>-56.37</v>
      </c>
      <c r="N60" s="20">
        <v>-42.56</v>
      </c>
      <c r="P60" s="20">
        <v>30.4</v>
      </c>
      <c r="Q60" s="20">
        <v>137.85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17</v>
      </c>
      <c r="AO60" s="20">
        <v>9.76</v>
      </c>
      <c r="AP60" s="20">
        <v>27.93</v>
      </c>
      <c r="AS60" s="20">
        <v>29.0</v>
      </c>
      <c r="AT60" s="20" t="s">
        <v>17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17</v>
      </c>
      <c r="BM60" s="20">
        <v>-17.7</v>
      </c>
      <c r="BN60" s="20">
        <v>66.04</v>
      </c>
      <c r="BW60" s="20">
        <v>-36.03</v>
      </c>
      <c r="BX60" s="20">
        <v>-48.64</v>
      </c>
      <c r="BZ60" s="20">
        <v>-41.15</v>
      </c>
      <c r="CA60" s="20">
        <v>19.61</v>
      </c>
      <c r="CI60" s="20">
        <v>-37.74</v>
      </c>
      <c r="CJ60" s="20">
        <v>-57.62</v>
      </c>
      <c r="CO60" s="20">
        <v>3.12</v>
      </c>
      <c r="CP60" s="20">
        <v>-30.6</v>
      </c>
      <c r="CS60" s="34">
        <f>IFERROR(__xludf.DUMMYFUNCTION("""COMPUTED_VALUE"""),-19.98)</f>
        <v>-19.98</v>
      </c>
      <c r="CT60" s="34">
        <f>IFERROR(__xludf.DUMMYFUNCTION("""COMPUTED_VALUE"""),-11.95)</f>
        <v>-11.95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P61" s="20">
        <v>-31.0</v>
      </c>
      <c r="Q61" s="20">
        <v>4.39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BZ61" s="20">
        <v>-29.71</v>
      </c>
      <c r="CA61" s="20">
        <v>23.73</v>
      </c>
      <c r="CI61" s="20">
        <v>-57.39</v>
      </c>
      <c r="CJ61" s="20">
        <v>-58.65</v>
      </c>
      <c r="CO61" s="20">
        <v>-30.87</v>
      </c>
      <c r="CP61" s="20">
        <v>-47.74</v>
      </c>
      <c r="CS61" s="34">
        <f>IFERROR(__xludf.DUMMYFUNCTION("""COMPUTED_VALUE"""),9.14)</f>
        <v>9.14</v>
      </c>
      <c r="CT61" s="34">
        <f>IFERROR(__xludf.DUMMYFUNCTION("""COMPUTED_VALUE"""),-16.89)</f>
        <v>-16.89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17</v>
      </c>
      <c r="M62" s="20">
        <v>-16.4</v>
      </c>
      <c r="N62" s="20">
        <v>-17.39</v>
      </c>
      <c r="P62" s="20">
        <v>-20.58</v>
      </c>
      <c r="Q62" s="20">
        <v>28.72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17</v>
      </c>
      <c r="AO62" s="20">
        <v>21.26</v>
      </c>
      <c r="AP62" s="20">
        <v>-37.27</v>
      </c>
      <c r="AS62" s="20">
        <v>30.0</v>
      </c>
      <c r="AT62" s="20" t="s">
        <v>17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17</v>
      </c>
      <c r="BM62" s="20">
        <v>67.34</v>
      </c>
      <c r="BN62" s="20">
        <v>99.41</v>
      </c>
      <c r="BW62" s="20">
        <v>-46.42</v>
      </c>
      <c r="BX62" s="20">
        <v>-37.44</v>
      </c>
      <c r="BZ62" s="20">
        <v>-37.57</v>
      </c>
      <c r="CA62" s="20">
        <v>3.03</v>
      </c>
      <c r="CI62" s="20">
        <v>-62.58</v>
      </c>
      <c r="CJ62" s="20">
        <v>-68.37</v>
      </c>
      <c r="CO62" s="20">
        <v>-37.37</v>
      </c>
      <c r="CP62" s="20">
        <v>-62.93</v>
      </c>
      <c r="CS62" s="34">
        <f>IFERROR(__xludf.DUMMYFUNCTION("""COMPUTED_VALUE"""),-21.39)</f>
        <v>-21.39</v>
      </c>
      <c r="CT62" s="34">
        <f>IFERROR(__xludf.DUMMYFUNCTION("""COMPUTED_VALUE"""),-12.68)</f>
        <v>-12.68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P63" s="20">
        <v>3.6</v>
      </c>
      <c r="Q63" s="20">
        <v>27.7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BZ63" s="20">
        <v>-52.05</v>
      </c>
      <c r="CA63" s="20">
        <v>115.02</v>
      </c>
      <c r="CI63" s="20">
        <v>-56.19</v>
      </c>
      <c r="CJ63" s="20">
        <v>-64.86</v>
      </c>
      <c r="CO63" s="20">
        <v>-14.39</v>
      </c>
      <c r="CP63" s="20">
        <v>-43.35</v>
      </c>
      <c r="CS63" s="34">
        <f>IFERROR(__xludf.DUMMYFUNCTION("""COMPUTED_VALUE"""),114.13)</f>
        <v>114.13</v>
      </c>
      <c r="CT63" s="34">
        <f>IFERROR(__xludf.DUMMYFUNCTION("""COMPUTED_VALUE"""),-12.77)</f>
        <v>-12.77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17</v>
      </c>
      <c r="M64" s="20">
        <v>-33.18</v>
      </c>
      <c r="N64" s="20">
        <v>30.93</v>
      </c>
      <c r="P64" s="20">
        <v>15.44</v>
      </c>
      <c r="Q64" s="20">
        <v>113.71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17</v>
      </c>
      <c r="AO64" s="20">
        <v>-26.67</v>
      </c>
      <c r="AP64" s="20">
        <v>17.69</v>
      </c>
      <c r="AS64" s="20">
        <v>31.0</v>
      </c>
      <c r="AT64" s="20" t="s">
        <v>17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17</v>
      </c>
      <c r="BM64" s="20">
        <v>47.67</v>
      </c>
      <c r="BN64" s="20">
        <v>43.45</v>
      </c>
      <c r="BW64" s="20">
        <v>-56.99</v>
      </c>
      <c r="BX64" s="20">
        <v>-26.31</v>
      </c>
      <c r="BZ64" s="20">
        <v>-62.45</v>
      </c>
      <c r="CA64" s="20">
        <v>90.65</v>
      </c>
      <c r="CI64" s="20">
        <v>-66.51</v>
      </c>
      <c r="CJ64" s="20">
        <v>-72.04</v>
      </c>
      <c r="CO64" s="20">
        <v>-30.88</v>
      </c>
      <c r="CP64" s="20">
        <v>-34.3</v>
      </c>
      <c r="CS64" s="34">
        <f>IFERROR(__xludf.DUMMYFUNCTION("""COMPUTED_VALUE"""),-24.14)</f>
        <v>-24.14</v>
      </c>
      <c r="CT64" s="34">
        <f>IFERROR(__xludf.DUMMYFUNCTION("""COMPUTED_VALUE"""),-21.81)</f>
        <v>-21.81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P65" s="20">
        <v>-16.93</v>
      </c>
      <c r="Q65" s="20">
        <v>-8.76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BZ65" s="20">
        <v>-37.1</v>
      </c>
      <c r="CA65" s="20">
        <v>10.8</v>
      </c>
      <c r="CI65" s="20">
        <v>-42.61</v>
      </c>
      <c r="CJ65" s="20">
        <v>-64.25</v>
      </c>
      <c r="CO65" s="20">
        <v>-17.94</v>
      </c>
      <c r="CP65" s="20">
        <v>-30.2</v>
      </c>
      <c r="CS65" s="34">
        <f>IFERROR(__xludf.DUMMYFUNCTION("""COMPUTED_VALUE"""),8.25)</f>
        <v>8.25</v>
      </c>
      <c r="CT65" s="34">
        <f>IFERROR(__xludf.DUMMYFUNCTION("""COMPUTED_VALUE"""),-3.44)</f>
        <v>-3.44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17</v>
      </c>
      <c r="M66" s="20">
        <v>-8.03</v>
      </c>
      <c r="N66" s="20">
        <v>58.91</v>
      </c>
      <c r="P66" s="20">
        <v>-17.0</v>
      </c>
      <c r="Q66" s="20">
        <v>14.58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17</v>
      </c>
      <c r="AO66" s="20">
        <v>36.58</v>
      </c>
      <c r="AP66" s="20">
        <v>-38.81</v>
      </c>
      <c r="AS66" s="20">
        <v>32.0</v>
      </c>
      <c r="AT66" s="20" t="s">
        <v>17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17</v>
      </c>
      <c r="BM66" s="20">
        <v>75.79</v>
      </c>
      <c r="BN66" s="20">
        <v>99.23</v>
      </c>
      <c r="BW66" s="20">
        <v>-55.29</v>
      </c>
      <c r="BX66" s="20">
        <v>-38.03</v>
      </c>
      <c r="BZ66" s="20">
        <v>3.98</v>
      </c>
      <c r="CA66" s="20">
        <v>-55.03</v>
      </c>
      <c r="CI66" s="20">
        <v>-40.47</v>
      </c>
      <c r="CJ66" s="20">
        <v>-51.15</v>
      </c>
      <c r="CO66" s="20">
        <v>-20.97</v>
      </c>
      <c r="CP66" s="20">
        <v>-29.57</v>
      </c>
      <c r="CS66" s="34">
        <f>IFERROR(__xludf.DUMMYFUNCTION("""COMPUTED_VALUE"""),177.16)</f>
        <v>177.16</v>
      </c>
      <c r="CT66" s="34">
        <f>IFERROR(__xludf.DUMMYFUNCTION("""COMPUTED_VALUE"""),29.53)</f>
        <v>29.53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P67" s="20">
        <v>13.28</v>
      </c>
      <c r="Q67" s="20">
        <v>19.31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BZ67" s="20">
        <v>-20.94</v>
      </c>
      <c r="CA67" s="20">
        <v>29.23</v>
      </c>
      <c r="CI67" s="20">
        <v>-30.22</v>
      </c>
      <c r="CJ67" s="20">
        <v>-47.09</v>
      </c>
      <c r="CO67" s="20">
        <v>-16.42</v>
      </c>
      <c r="CP67" s="20">
        <v>-52.21</v>
      </c>
      <c r="CS67" s="34">
        <f>IFERROR(__xludf.DUMMYFUNCTION("""COMPUTED_VALUE"""),19.78)</f>
        <v>19.78</v>
      </c>
      <c r="CT67" s="34">
        <f>IFERROR(__xludf.DUMMYFUNCTION("""COMPUTED_VALUE"""),-19.97)</f>
        <v>-19.97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17</v>
      </c>
      <c r="M68" s="20">
        <v>17.34</v>
      </c>
      <c r="N68" s="20">
        <v>9.3</v>
      </c>
      <c r="P68" s="20">
        <v>46.23</v>
      </c>
      <c r="Q68" s="20">
        <v>67.99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17</v>
      </c>
      <c r="AO68" s="20">
        <v>22.35</v>
      </c>
      <c r="AP68" s="20">
        <v>-30.34</v>
      </c>
      <c r="AS68" s="20">
        <v>33.0</v>
      </c>
      <c r="AT68" s="20" t="s">
        <v>17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17</v>
      </c>
      <c r="BM68" s="20">
        <v>53.55</v>
      </c>
      <c r="BN68" s="20">
        <v>74.98</v>
      </c>
      <c r="BW68" s="20">
        <v>-42.64</v>
      </c>
      <c r="BX68" s="20">
        <v>-18.01</v>
      </c>
      <c r="BZ68" s="20">
        <v>-36.14</v>
      </c>
      <c r="CA68" s="20">
        <v>19.76</v>
      </c>
      <c r="CI68" s="20">
        <v>-46.23</v>
      </c>
      <c r="CJ68" s="20">
        <v>-39.98</v>
      </c>
      <c r="CO68" s="20">
        <v>-30.67</v>
      </c>
      <c r="CP68" s="20">
        <v>-67.22</v>
      </c>
      <c r="CS68" s="34">
        <f>IFERROR(__xludf.DUMMYFUNCTION("""COMPUTED_VALUE"""),2.28)</f>
        <v>2.28</v>
      </c>
      <c r="CT68" s="34">
        <f>IFERROR(__xludf.DUMMYFUNCTION("""COMPUTED_VALUE"""),5.87)</f>
        <v>5.87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P69" s="20">
        <v>35.91</v>
      </c>
      <c r="Q69" s="20">
        <v>39.95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BZ69" s="20">
        <v>-44.92</v>
      </c>
      <c r="CA69" s="20">
        <v>72.21</v>
      </c>
      <c r="CI69" s="20">
        <v>-64.17</v>
      </c>
      <c r="CJ69" s="20">
        <v>-63.94</v>
      </c>
      <c r="CO69" s="20">
        <v>-12.84</v>
      </c>
      <c r="CP69" s="20">
        <v>-57.06</v>
      </c>
      <c r="CS69" s="34">
        <f>IFERROR(__xludf.DUMMYFUNCTION("""COMPUTED_VALUE"""),-7.22)</f>
        <v>-7.22</v>
      </c>
      <c r="CT69" s="34">
        <f>IFERROR(__xludf.DUMMYFUNCTION("""COMPUTED_VALUE"""),-16.39)</f>
        <v>-16.39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17</v>
      </c>
      <c r="M70" s="20">
        <v>11.2</v>
      </c>
      <c r="N70" s="20">
        <v>107.96</v>
      </c>
      <c r="P70" s="20">
        <v>19.83</v>
      </c>
      <c r="Q70" s="20">
        <v>-8.66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17</v>
      </c>
      <c r="AO70" s="20">
        <v>-19.6</v>
      </c>
      <c r="AP70" s="20">
        <v>1.78</v>
      </c>
      <c r="AS70" s="20">
        <v>34.0</v>
      </c>
      <c r="AT70" s="20" t="s">
        <v>17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17</v>
      </c>
      <c r="BM70" s="20">
        <v>19.68</v>
      </c>
      <c r="BN70" s="20">
        <v>88.33</v>
      </c>
      <c r="BW70" s="20">
        <v>-31.12</v>
      </c>
      <c r="BX70" s="20">
        <v>-13.95</v>
      </c>
      <c r="BZ70" s="20">
        <v>-57.03</v>
      </c>
      <c r="CA70" s="20">
        <v>121.87</v>
      </c>
      <c r="CI70" s="20">
        <v>-54.62</v>
      </c>
      <c r="CJ70" s="20">
        <v>-62.62</v>
      </c>
      <c r="CO70" s="20">
        <v>-2.54</v>
      </c>
      <c r="CP70" s="20">
        <v>-54.53</v>
      </c>
      <c r="CS70" s="34">
        <f>IFERROR(__xludf.DUMMYFUNCTION("""COMPUTED_VALUE"""),7.3)</f>
        <v>7.3</v>
      </c>
      <c r="CT70" s="34">
        <f>IFERROR(__xludf.DUMMYFUNCTION("""COMPUTED_VALUE"""),8.4)</f>
        <v>8.4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P71" s="20">
        <v>-1.14</v>
      </c>
      <c r="Q71" s="20">
        <v>-10.95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BZ71" s="20">
        <v>-49.09</v>
      </c>
      <c r="CA71" s="20">
        <v>54.22</v>
      </c>
      <c r="CI71" s="20">
        <v>-41.53</v>
      </c>
      <c r="CJ71" s="20">
        <v>-53.07</v>
      </c>
      <c r="CO71" s="20">
        <v>-33.46</v>
      </c>
      <c r="CP71" s="20">
        <v>-66.21</v>
      </c>
      <c r="CS71" s="34">
        <f>IFERROR(__xludf.DUMMYFUNCTION("""COMPUTED_VALUE"""),-33.47)</f>
        <v>-33.47</v>
      </c>
      <c r="CT71" s="34">
        <f>IFERROR(__xludf.DUMMYFUNCTION("""COMPUTED_VALUE"""),-20.18)</f>
        <v>-20.18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17</v>
      </c>
      <c r="M72" s="20">
        <v>-16.31</v>
      </c>
      <c r="N72" s="20">
        <v>22.99</v>
      </c>
      <c r="P72" s="20">
        <v>-19.92</v>
      </c>
      <c r="Q72" s="20">
        <v>19.31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17</v>
      </c>
      <c r="AO72" s="20">
        <v>-12.0</v>
      </c>
      <c r="AP72" s="20">
        <v>32.24</v>
      </c>
      <c r="AS72" s="20">
        <v>35.0</v>
      </c>
      <c r="AT72" s="20" t="s">
        <v>17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17</v>
      </c>
      <c r="BM72" s="20">
        <v>95.31</v>
      </c>
      <c r="BN72" s="20">
        <v>62.25</v>
      </c>
      <c r="BW72" s="20">
        <v>15.97</v>
      </c>
      <c r="BX72" s="20">
        <v>-46.61</v>
      </c>
      <c r="BZ72" s="20">
        <v>-62.15</v>
      </c>
      <c r="CA72" s="20">
        <v>36.25</v>
      </c>
      <c r="CI72" s="20">
        <v>-56.14</v>
      </c>
      <c r="CJ72" s="20">
        <v>-52.48</v>
      </c>
      <c r="CO72" s="20">
        <v>-47.09</v>
      </c>
      <c r="CP72" s="20">
        <v>-41.75</v>
      </c>
      <c r="CS72" s="34">
        <f>IFERROR(__xludf.DUMMYFUNCTION("""COMPUTED_VALUE"""),-6.32)</f>
        <v>-6.32</v>
      </c>
      <c r="CT72" s="34">
        <f>IFERROR(__xludf.DUMMYFUNCTION("""COMPUTED_VALUE"""),6.18)</f>
        <v>6.18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P73" s="20">
        <v>-33.44</v>
      </c>
      <c r="Q73" s="20">
        <v>2.32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BZ73" s="20">
        <v>-58.47</v>
      </c>
      <c r="CA73" s="20">
        <v>78.21</v>
      </c>
      <c r="CI73" s="20">
        <v>-51.45</v>
      </c>
      <c r="CJ73" s="20">
        <v>-60.4</v>
      </c>
      <c r="CO73" s="20">
        <v>-40.18</v>
      </c>
      <c r="CP73" s="20">
        <v>-51.44</v>
      </c>
      <c r="CS73" s="34">
        <f>IFERROR(__xludf.DUMMYFUNCTION("""COMPUTED_VALUE"""),-21.51)</f>
        <v>-21.51</v>
      </c>
      <c r="CT73" s="34">
        <f>IFERROR(__xludf.DUMMYFUNCTION("""COMPUTED_VALUE"""),-11.5)</f>
        <v>-11.5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17</v>
      </c>
      <c r="M74" s="20">
        <v>94.84</v>
      </c>
      <c r="N74" s="20">
        <v>10.37</v>
      </c>
      <c r="P74" s="20">
        <v>-36.03</v>
      </c>
      <c r="Q74" s="20">
        <v>5.62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17</v>
      </c>
      <c r="AO74" s="20">
        <v>-24.3</v>
      </c>
      <c r="AP74" s="20">
        <v>-62.04</v>
      </c>
      <c r="AS74" s="20">
        <v>36.0</v>
      </c>
      <c r="AT74" s="20" t="s">
        <v>17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17</v>
      </c>
      <c r="BM74" s="20">
        <v>73.79</v>
      </c>
      <c r="BN74" s="20">
        <v>58.71</v>
      </c>
      <c r="BW74" s="20">
        <v>-49.5</v>
      </c>
      <c r="BX74" s="20">
        <v>-0.35</v>
      </c>
      <c r="BZ74" s="20">
        <v>37.93</v>
      </c>
      <c r="CA74" s="20">
        <v>-51.07</v>
      </c>
      <c r="CI74" s="20">
        <v>-34.66</v>
      </c>
      <c r="CJ74" s="20">
        <v>-27.57</v>
      </c>
      <c r="CO74" s="20">
        <v>-32.92</v>
      </c>
      <c r="CP74" s="20">
        <v>-42.41</v>
      </c>
      <c r="CS74" s="34">
        <f>IFERROR(__xludf.DUMMYFUNCTION("""COMPUTED_VALUE"""),-49.68)</f>
        <v>-49.68</v>
      </c>
      <c r="CT74" s="34">
        <f>IFERROR(__xludf.DUMMYFUNCTION("""COMPUTED_VALUE"""),11.75)</f>
        <v>11.75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P75" s="20">
        <v>7.26</v>
      </c>
      <c r="Q75" s="20">
        <v>-4.66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BZ75" s="20">
        <v>-37.06</v>
      </c>
      <c r="CA75" s="20">
        <v>50.55</v>
      </c>
      <c r="CI75" s="20">
        <v>-42.41</v>
      </c>
      <c r="CJ75" s="20">
        <v>-35.06</v>
      </c>
      <c r="CO75" s="20">
        <v>-10.51</v>
      </c>
      <c r="CP75" s="20">
        <v>-37.87</v>
      </c>
      <c r="CS75" s="34">
        <f>IFERROR(__xludf.DUMMYFUNCTION("""COMPUTED_VALUE"""),-42.68)</f>
        <v>-42.68</v>
      </c>
      <c r="CT75" s="34">
        <f>IFERROR(__xludf.DUMMYFUNCTION("""COMPUTED_VALUE"""),-4.6)</f>
        <v>-4.6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17</v>
      </c>
      <c r="M76" s="20">
        <v>39.55</v>
      </c>
      <c r="N76" s="20">
        <v>55.96</v>
      </c>
      <c r="P76" s="20">
        <v>78.89</v>
      </c>
      <c r="Q76" s="20">
        <v>62.07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17</v>
      </c>
      <c r="AO76" s="20">
        <v>34.07</v>
      </c>
      <c r="AP76" s="20">
        <v>4.26</v>
      </c>
      <c r="AS76" s="20">
        <v>37.0</v>
      </c>
      <c r="AT76" s="20" t="s">
        <v>17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17</v>
      </c>
      <c r="BM76" s="20">
        <v>7.15</v>
      </c>
      <c r="BN76" s="20">
        <v>41.63</v>
      </c>
      <c r="BW76" s="20">
        <v>-25.15</v>
      </c>
      <c r="BX76" s="20">
        <v>-18.58</v>
      </c>
      <c r="BZ76" s="20">
        <v>-54.2</v>
      </c>
      <c r="CA76" s="20">
        <v>-33.42</v>
      </c>
      <c r="CI76" s="20">
        <v>-26.13</v>
      </c>
      <c r="CJ76" s="20">
        <v>-58.83</v>
      </c>
      <c r="CO76" s="20">
        <v>-51.45</v>
      </c>
      <c r="CP76" s="20">
        <v>-34.56</v>
      </c>
      <c r="CS76" s="34">
        <f>IFERROR(__xludf.DUMMYFUNCTION("""COMPUTED_VALUE"""),3.93)</f>
        <v>3.93</v>
      </c>
      <c r="CT76" s="34">
        <f>IFERROR(__xludf.DUMMYFUNCTION("""COMPUTED_VALUE"""),8.93)</f>
        <v>8.93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P77" s="20">
        <v>10.84</v>
      </c>
      <c r="Q77" s="20">
        <v>61.09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BZ77" s="20">
        <v>-28.86</v>
      </c>
      <c r="CA77" s="20">
        <v>93.97</v>
      </c>
      <c r="CI77" s="20">
        <v>-41.15</v>
      </c>
      <c r="CJ77" s="20">
        <v>-45.34</v>
      </c>
      <c r="CO77" s="20">
        <v>-30.92</v>
      </c>
      <c r="CP77" s="20">
        <v>-15.41</v>
      </c>
      <c r="CS77" s="34">
        <f>IFERROR(__xludf.DUMMYFUNCTION("""COMPUTED_VALUE"""),21.95)</f>
        <v>21.95</v>
      </c>
      <c r="CT77" s="34">
        <f>IFERROR(__xludf.DUMMYFUNCTION("""COMPUTED_VALUE"""),23.78)</f>
        <v>23.78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17</v>
      </c>
      <c r="M78" s="20">
        <v>-27.94</v>
      </c>
      <c r="N78" s="20">
        <v>-44.22</v>
      </c>
      <c r="P78" s="20">
        <v>39.71</v>
      </c>
      <c r="Q78" s="20">
        <v>40.35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17</v>
      </c>
      <c r="AO78" s="20">
        <v>-13.83</v>
      </c>
      <c r="AP78" s="20">
        <v>-37.1</v>
      </c>
      <c r="AS78" s="20">
        <v>38.0</v>
      </c>
      <c r="AT78" s="20" t="s">
        <v>17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17</v>
      </c>
      <c r="BM78" s="20">
        <v>140.92</v>
      </c>
      <c r="BN78" s="20">
        <v>104.82</v>
      </c>
      <c r="BW78" s="20">
        <v>-51.7</v>
      </c>
      <c r="BX78" s="20">
        <v>-14.54</v>
      </c>
      <c r="BZ78" s="20">
        <v>-18.17</v>
      </c>
      <c r="CA78" s="20">
        <v>83.79</v>
      </c>
      <c r="CI78" s="20">
        <v>-56.81</v>
      </c>
      <c r="CJ78" s="20">
        <v>-52.17</v>
      </c>
      <c r="CO78" s="20">
        <v>-21.02</v>
      </c>
      <c r="CP78" s="20">
        <v>-29.02</v>
      </c>
      <c r="CS78" s="34"/>
      <c r="CT78" s="34"/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P79" s="20">
        <v>-12.62</v>
      </c>
      <c r="Q79" s="20">
        <v>52.39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BZ79" s="20">
        <v>-31.2</v>
      </c>
      <c r="CA79" s="20">
        <v>54.93</v>
      </c>
      <c r="CI79" s="20">
        <v>-38.69</v>
      </c>
      <c r="CJ79" s="20">
        <v>-51.56</v>
      </c>
      <c r="CO79" s="20">
        <v>-37.97</v>
      </c>
      <c r="CP79" s="20">
        <v>-62.07</v>
      </c>
      <c r="CS79" s="34"/>
      <c r="CT79" s="34"/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17</v>
      </c>
      <c r="M80" s="20">
        <v>19.78</v>
      </c>
      <c r="N80" s="20">
        <v>46.08</v>
      </c>
      <c r="P80" s="20">
        <v>46.19</v>
      </c>
      <c r="Q80" s="20">
        <v>55.95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17</v>
      </c>
      <c r="AO80" s="20">
        <v>21.82</v>
      </c>
      <c r="AP80" s="20">
        <v>11.88</v>
      </c>
      <c r="AS80" s="20">
        <v>39.0</v>
      </c>
      <c r="AT80" s="20" t="s">
        <v>17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17</v>
      </c>
      <c r="BM80" s="20">
        <v>-7.83</v>
      </c>
      <c r="BN80" s="20">
        <v>45.88</v>
      </c>
      <c r="BW80" s="20">
        <v>-45.65</v>
      </c>
      <c r="BX80" s="20">
        <v>-27.91</v>
      </c>
      <c r="BZ80" s="20">
        <v>-69.47</v>
      </c>
      <c r="CA80" s="20">
        <v>-5.89</v>
      </c>
      <c r="CI80" s="20">
        <v>-25.55</v>
      </c>
      <c r="CJ80" s="20">
        <v>-51.34</v>
      </c>
      <c r="CO80" s="20">
        <v>-10.51</v>
      </c>
      <c r="CP80" s="20">
        <v>-22.68</v>
      </c>
      <c r="CS80" s="34"/>
      <c r="CT80" s="34"/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P81" s="20">
        <v>-11.49</v>
      </c>
      <c r="Q81" s="20">
        <v>20.77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BZ81" s="20">
        <v>-43.44</v>
      </c>
      <c r="CA81" s="20">
        <v>21.49</v>
      </c>
      <c r="CI81" s="20">
        <v>-57.71</v>
      </c>
      <c r="CJ81" s="20">
        <v>-66.26</v>
      </c>
      <c r="CO81" s="20">
        <v>-11.23</v>
      </c>
      <c r="CP81" s="20">
        <v>-53.3</v>
      </c>
      <c r="CS81" s="34"/>
      <c r="CT81" s="34"/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17</v>
      </c>
      <c r="M82" s="20">
        <v>-6.49</v>
      </c>
      <c r="N82" s="20">
        <v>79.75</v>
      </c>
      <c r="P82" s="20">
        <v>0.56</v>
      </c>
      <c r="Q82" s="20">
        <v>3.69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17</v>
      </c>
      <c r="AO82" s="20">
        <v>-26.92</v>
      </c>
      <c r="AP82" s="20">
        <v>-15.32</v>
      </c>
      <c r="AS82" s="20">
        <v>40.0</v>
      </c>
      <c r="AT82" s="20" t="s">
        <v>17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17</v>
      </c>
      <c r="BM82" s="20">
        <v>82.89</v>
      </c>
      <c r="BN82" s="20">
        <v>64.78</v>
      </c>
      <c r="BW82" s="20">
        <v>-20.38</v>
      </c>
      <c r="BX82" s="20">
        <v>-16.72</v>
      </c>
      <c r="BZ82" s="20">
        <v>-37.21</v>
      </c>
      <c r="CA82" s="20">
        <v>-6.7</v>
      </c>
      <c r="CI82" s="20">
        <v>-48.39</v>
      </c>
      <c r="CJ82" s="20">
        <v>-60.51</v>
      </c>
      <c r="CO82" s="20">
        <v>16.94</v>
      </c>
      <c r="CP82" s="20">
        <v>-61.29</v>
      </c>
      <c r="CS82" s="34"/>
      <c r="CT82" s="34"/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P83" s="20">
        <v>7.0</v>
      </c>
      <c r="Q83" s="20">
        <v>20.92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BZ83" s="20">
        <v>-48.3</v>
      </c>
      <c r="CA83" s="20">
        <v>60.8</v>
      </c>
      <c r="CI83" s="20">
        <v>-44.23</v>
      </c>
      <c r="CJ83" s="20">
        <v>-43.8</v>
      </c>
      <c r="CO83" s="20">
        <v>-53.02</v>
      </c>
      <c r="CP83" s="20">
        <v>-42.67</v>
      </c>
      <c r="CS83" s="34"/>
      <c r="CT83" s="34"/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17</v>
      </c>
      <c r="M84" s="20">
        <v>28.6</v>
      </c>
      <c r="N84" s="20">
        <v>-5.26</v>
      </c>
      <c r="P84" s="20">
        <v>55.43</v>
      </c>
      <c r="Q84" s="20">
        <v>47.46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17</v>
      </c>
      <c r="AO84" s="20">
        <v>-28.61</v>
      </c>
      <c r="AP84" s="20">
        <v>-22.42</v>
      </c>
      <c r="AS84" s="20">
        <v>41.0</v>
      </c>
      <c r="AT84" s="20" t="s">
        <v>17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17</v>
      </c>
      <c r="BM84" s="20">
        <v>88.5</v>
      </c>
      <c r="BN84" s="20">
        <v>81.08</v>
      </c>
      <c r="BW84" s="20">
        <v>61.0</v>
      </c>
      <c r="BX84" s="20">
        <v>2.45</v>
      </c>
      <c r="BZ84" s="20">
        <v>-53.83</v>
      </c>
      <c r="CA84" s="20">
        <v>49.14</v>
      </c>
      <c r="CI84" s="20">
        <v>-61.33</v>
      </c>
      <c r="CJ84" s="20">
        <v>-73.77</v>
      </c>
      <c r="CO84" s="20">
        <v>-24.06</v>
      </c>
      <c r="CP84" s="20">
        <v>-35.32</v>
      </c>
      <c r="CS84" s="34"/>
      <c r="CT84" s="34"/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P85" s="20">
        <v>15.06</v>
      </c>
      <c r="Q85" s="20">
        <v>36.84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BZ85" s="20">
        <v>-24.27</v>
      </c>
      <c r="CA85" s="20">
        <v>20.67</v>
      </c>
      <c r="CI85" s="20">
        <v>-59.36</v>
      </c>
      <c r="CJ85" s="20">
        <v>-51.52</v>
      </c>
      <c r="CO85" s="20">
        <v>11.82</v>
      </c>
      <c r="CP85" s="20">
        <v>-55.38</v>
      </c>
      <c r="CS85" s="34"/>
      <c r="CT85" s="34"/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17</v>
      </c>
      <c r="M86" s="20">
        <v>13.23</v>
      </c>
      <c r="N86" s="20">
        <v>49.45</v>
      </c>
      <c r="P86" s="20">
        <v>78.38</v>
      </c>
      <c r="Q86" s="20">
        <v>71.24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17</v>
      </c>
      <c r="AO86" s="20">
        <v>-24.14</v>
      </c>
      <c r="AP86" s="20">
        <v>-3.25</v>
      </c>
      <c r="AS86" s="20">
        <v>42.0</v>
      </c>
      <c r="AT86" s="20" t="s">
        <v>17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17</v>
      </c>
      <c r="BM86" s="20">
        <v>3.97</v>
      </c>
      <c r="BN86" s="20">
        <v>79.36</v>
      </c>
      <c r="BW86" s="20">
        <v>-44.32</v>
      </c>
      <c r="BX86" s="20">
        <v>13.99</v>
      </c>
      <c r="BZ86" s="20">
        <v>-50.77</v>
      </c>
      <c r="CA86" s="20">
        <v>-4.49</v>
      </c>
      <c r="CI86" s="20">
        <v>-54.76</v>
      </c>
      <c r="CJ86" s="20">
        <v>-60.53</v>
      </c>
      <c r="CO86" s="20">
        <v>-13.55</v>
      </c>
      <c r="CP86" s="20">
        <v>-58.65</v>
      </c>
      <c r="CS86" s="34"/>
      <c r="CT86" s="34"/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P87" s="20">
        <v>37.43</v>
      </c>
      <c r="Q87" s="20">
        <v>93.04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BZ87" s="20">
        <v>-57.93</v>
      </c>
      <c r="CA87" s="20">
        <v>115.8</v>
      </c>
      <c r="CI87" s="20">
        <v>-52.56</v>
      </c>
      <c r="CJ87" s="20">
        <v>-45.73</v>
      </c>
      <c r="CO87" s="20">
        <v>-33.82</v>
      </c>
      <c r="CP87" s="20">
        <v>-53.3</v>
      </c>
      <c r="CS87" s="34"/>
      <c r="CT87" s="34"/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17</v>
      </c>
      <c r="M88" s="20">
        <v>-34.42</v>
      </c>
      <c r="N88" s="20">
        <v>-28.69</v>
      </c>
      <c r="P88" s="20">
        <v>-7.84</v>
      </c>
      <c r="Q88" s="20">
        <v>95.84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17</v>
      </c>
      <c r="AO88" s="20">
        <v>-0.42</v>
      </c>
      <c r="AP88" s="20">
        <v>-17.34</v>
      </c>
      <c r="AS88" s="20">
        <v>43.0</v>
      </c>
      <c r="AT88" s="20" t="s">
        <v>17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17</v>
      </c>
      <c r="BM88" s="20">
        <v>149.68</v>
      </c>
      <c r="BN88" s="20">
        <v>39.6</v>
      </c>
      <c r="BW88" s="20">
        <v>-26.59</v>
      </c>
      <c r="BX88" s="20">
        <v>-26.19</v>
      </c>
      <c r="BZ88" s="20">
        <v>-70.64</v>
      </c>
      <c r="CA88" s="20">
        <v>111.91</v>
      </c>
      <c r="CI88" s="20">
        <v>-50.13</v>
      </c>
      <c r="CJ88" s="20">
        <v>-56.69</v>
      </c>
      <c r="CO88" s="20">
        <v>-18.22</v>
      </c>
      <c r="CP88" s="20">
        <v>-44.1</v>
      </c>
      <c r="CS88" s="34"/>
      <c r="CT88" s="34"/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P89" s="20">
        <v>-14.24</v>
      </c>
      <c r="Q89" s="20">
        <v>26.5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BZ89" s="20">
        <v>-44.91</v>
      </c>
      <c r="CA89" s="20">
        <v>54.07</v>
      </c>
      <c r="CI89" s="20">
        <v>-38.55</v>
      </c>
      <c r="CJ89" s="20">
        <v>-48.92</v>
      </c>
      <c r="CO89" s="20">
        <v>-15.33</v>
      </c>
      <c r="CP89" s="20">
        <v>-48.13</v>
      </c>
      <c r="CS89" s="34"/>
      <c r="CT89" s="34"/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17</v>
      </c>
      <c r="M90" s="20">
        <v>-22.93</v>
      </c>
      <c r="N90" s="20">
        <v>21.77</v>
      </c>
      <c r="P90" s="20">
        <v>3.22</v>
      </c>
      <c r="Q90" s="20">
        <v>65.3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17</v>
      </c>
      <c r="AO90" s="20">
        <v>-17.45</v>
      </c>
      <c r="AP90" s="20">
        <v>37.88</v>
      </c>
      <c r="AS90" s="20">
        <v>44.0</v>
      </c>
      <c r="AT90" s="20" t="s">
        <v>17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17</v>
      </c>
      <c r="BM90" s="20">
        <v>184.95</v>
      </c>
      <c r="BN90" s="20">
        <v>101.51</v>
      </c>
      <c r="BW90" s="20">
        <v>-57.1</v>
      </c>
      <c r="BX90" s="20">
        <v>-43.33</v>
      </c>
      <c r="BZ90" s="20">
        <v>13.45</v>
      </c>
      <c r="CA90" s="20">
        <v>-37.52</v>
      </c>
      <c r="CI90" s="20">
        <v>-58.95</v>
      </c>
      <c r="CJ90" s="20">
        <v>-57.37</v>
      </c>
      <c r="CO90" s="20">
        <v>-36.09</v>
      </c>
      <c r="CP90" s="20">
        <v>-42.84</v>
      </c>
      <c r="CS90" s="34"/>
      <c r="CT90" s="34"/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P91" s="20">
        <v>44.48</v>
      </c>
      <c r="Q91" s="20">
        <v>31.65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BZ91" s="20">
        <v>-37.9</v>
      </c>
      <c r="CA91" s="20">
        <v>56.41</v>
      </c>
      <c r="CI91" s="20">
        <v>-52.85</v>
      </c>
      <c r="CJ91" s="20">
        <v>-48.13</v>
      </c>
      <c r="CO91" s="20">
        <v>-52.37</v>
      </c>
      <c r="CP91" s="20">
        <v>-30.18</v>
      </c>
      <c r="CS91" s="34"/>
      <c r="CT91" s="34"/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17</v>
      </c>
      <c r="M92" s="20">
        <v>-15.62</v>
      </c>
      <c r="N92" s="20">
        <v>8.27</v>
      </c>
      <c r="P92" s="20">
        <v>35.29</v>
      </c>
      <c r="Q92" s="20">
        <v>44.05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17</v>
      </c>
      <c r="AO92" s="20">
        <v>28.49</v>
      </c>
      <c r="AP92" s="20">
        <v>-36.68</v>
      </c>
      <c r="AS92" s="20">
        <v>45.0</v>
      </c>
      <c r="AT92" s="20" t="s">
        <v>17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17</v>
      </c>
      <c r="BM92" s="20">
        <v>65.78</v>
      </c>
      <c r="BN92" s="20">
        <v>138.24</v>
      </c>
      <c r="BW92" s="20">
        <v>-38.45</v>
      </c>
      <c r="BX92" s="20">
        <v>-7.79</v>
      </c>
      <c r="BZ92" s="20">
        <v>-41.14</v>
      </c>
      <c r="CA92" s="20">
        <v>41.66</v>
      </c>
      <c r="CI92" s="20">
        <v>-42.48</v>
      </c>
      <c r="CJ92" s="20">
        <v>-21.15</v>
      </c>
      <c r="CO92" s="20">
        <v>-42.15</v>
      </c>
      <c r="CP92" s="20">
        <v>-11.09</v>
      </c>
      <c r="CS92" s="34"/>
      <c r="CT92" s="34"/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P93" s="20">
        <v>-11.81</v>
      </c>
      <c r="Q93" s="20">
        <v>6.06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BZ93" s="20">
        <v>-28.82</v>
      </c>
      <c r="CA93" s="20">
        <v>1.54</v>
      </c>
      <c r="CI93" s="20">
        <v>-51.76</v>
      </c>
      <c r="CJ93" s="20">
        <v>-64.28</v>
      </c>
      <c r="CO93" s="20">
        <v>-23.15</v>
      </c>
      <c r="CP93" s="20">
        <v>-22.34</v>
      </c>
      <c r="CS93" s="34"/>
      <c r="CT93" s="34"/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17</v>
      </c>
      <c r="M94" s="20">
        <v>-30.05</v>
      </c>
      <c r="N94" s="20">
        <v>-21.07</v>
      </c>
      <c r="P94" s="20">
        <v>7.44</v>
      </c>
      <c r="Q94" s="20">
        <v>23.01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17</v>
      </c>
      <c r="AO94" s="20">
        <v>-2.94</v>
      </c>
      <c r="AP94" s="20">
        <v>-22.67</v>
      </c>
      <c r="AS94" s="20">
        <v>46.0</v>
      </c>
      <c r="AT94" s="20" t="s">
        <v>17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17</v>
      </c>
      <c r="BM94" s="20">
        <v>50.89</v>
      </c>
      <c r="BN94" s="20">
        <v>145.1</v>
      </c>
      <c r="BW94" s="20">
        <v>-33.26</v>
      </c>
      <c r="BX94" s="20">
        <v>-31.79</v>
      </c>
      <c r="BZ94" s="20">
        <v>-17.24</v>
      </c>
      <c r="CA94" s="20">
        <v>-1.13</v>
      </c>
      <c r="CI94" s="20">
        <v>-52.78</v>
      </c>
      <c r="CJ94" s="20">
        <v>-63.93</v>
      </c>
      <c r="CO94" s="20">
        <v>-4.78</v>
      </c>
      <c r="CP94" s="20">
        <v>-48.14</v>
      </c>
      <c r="CS94" s="34"/>
      <c r="CT94" s="34"/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P95" s="20">
        <v>30.08</v>
      </c>
      <c r="Q95" s="20">
        <v>49.55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BZ95" s="20">
        <v>-32.36</v>
      </c>
      <c r="CA95" s="20">
        <v>65.36</v>
      </c>
      <c r="CI95" s="20">
        <v>-48.33</v>
      </c>
      <c r="CJ95" s="20">
        <v>-59.83</v>
      </c>
      <c r="CO95" s="20">
        <v>-53.29</v>
      </c>
      <c r="CP95" s="20">
        <v>-38.92</v>
      </c>
      <c r="CS95" s="34"/>
      <c r="CT95" s="34"/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17</v>
      </c>
      <c r="M96" s="20">
        <v>-42.38</v>
      </c>
      <c r="N96" s="20">
        <v>-54.57</v>
      </c>
      <c r="P96" s="20">
        <v>-6.19</v>
      </c>
      <c r="Q96" s="20">
        <v>54.99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17</v>
      </c>
      <c r="AO96" s="20">
        <v>-1.33</v>
      </c>
      <c r="AP96" s="20">
        <v>-20.09</v>
      </c>
      <c r="AS96" s="20">
        <v>47.0</v>
      </c>
      <c r="AT96" s="20" t="s">
        <v>17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17</v>
      </c>
      <c r="BM96" s="20">
        <v>104.67</v>
      </c>
      <c r="BN96" s="20">
        <v>185.27</v>
      </c>
      <c r="BW96" s="20">
        <v>-28.25</v>
      </c>
      <c r="BX96" s="20">
        <v>-28.9</v>
      </c>
      <c r="BZ96" s="20">
        <v>-46.82</v>
      </c>
      <c r="CA96" s="20">
        <v>0.08</v>
      </c>
      <c r="CI96" s="20">
        <v>-41.99</v>
      </c>
      <c r="CJ96" s="20">
        <v>-44.98</v>
      </c>
      <c r="CO96" s="20">
        <v>-25.5</v>
      </c>
      <c r="CP96" s="20">
        <v>-24.1</v>
      </c>
      <c r="CS96" s="34"/>
      <c r="CT96" s="34"/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P97" s="20">
        <v>3.63</v>
      </c>
      <c r="Q97" s="20">
        <v>26.05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BZ97" s="20">
        <v>-23.69</v>
      </c>
      <c r="CA97" s="20">
        <v>42.1</v>
      </c>
      <c r="CI97" s="20">
        <v>-50.19</v>
      </c>
      <c r="CJ97" s="20">
        <v>-40.44</v>
      </c>
      <c r="CO97" s="20">
        <v>-4.82</v>
      </c>
      <c r="CP97" s="20">
        <v>-48.75</v>
      </c>
      <c r="CS97" s="34"/>
      <c r="CT97" s="34"/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17</v>
      </c>
      <c r="M98" s="20">
        <v>-56.21</v>
      </c>
      <c r="N98" s="20">
        <v>-45.64</v>
      </c>
      <c r="P98" s="20">
        <v>-7.23</v>
      </c>
      <c r="Q98" s="20">
        <v>16.43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17</v>
      </c>
      <c r="AO98" s="20">
        <v>-7.67</v>
      </c>
      <c r="AP98" s="20">
        <v>-34.1</v>
      </c>
      <c r="AS98" s="20">
        <v>48.0</v>
      </c>
      <c r="AT98" s="20" t="s">
        <v>17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17</v>
      </c>
      <c r="BM98" s="20">
        <v>24.26</v>
      </c>
      <c r="BN98" s="20">
        <v>185.44</v>
      </c>
      <c r="BW98" s="20">
        <v>-48.57</v>
      </c>
      <c r="BX98" s="20">
        <v>-34.64</v>
      </c>
      <c r="BZ98" s="20">
        <v>-17.71</v>
      </c>
      <c r="CA98" s="20">
        <v>13.84</v>
      </c>
      <c r="CI98" s="20">
        <v>-58.4</v>
      </c>
      <c r="CJ98" s="20">
        <v>-40.65</v>
      </c>
      <c r="CO98" s="20">
        <v>-20.11</v>
      </c>
      <c r="CP98" s="20">
        <v>-63.22</v>
      </c>
      <c r="CS98" s="34"/>
      <c r="CT98" s="34"/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P99" s="20">
        <v>-5.31</v>
      </c>
      <c r="Q99" s="20">
        <v>15.59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BZ99" s="20">
        <v>-63.7</v>
      </c>
      <c r="CA99" s="20">
        <v>-12.6</v>
      </c>
      <c r="CI99" s="20">
        <v>-50.04</v>
      </c>
      <c r="CJ99" s="20">
        <v>-51.7</v>
      </c>
      <c r="CO99" s="20">
        <v>36.24</v>
      </c>
      <c r="CP99" s="20">
        <v>-50.92</v>
      </c>
      <c r="CS99" s="34"/>
      <c r="CT99" s="34"/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17</v>
      </c>
      <c r="M100" s="20">
        <v>-28.3</v>
      </c>
      <c r="N100" s="20">
        <v>27.53</v>
      </c>
      <c r="P100" s="20">
        <v>4.38</v>
      </c>
      <c r="Q100" s="20">
        <v>18.85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17</v>
      </c>
      <c r="AO100" s="20">
        <v>-25.73</v>
      </c>
      <c r="AP100" s="20">
        <v>63.43</v>
      </c>
      <c r="AS100" s="20">
        <v>49.0</v>
      </c>
      <c r="AT100" s="20" t="s">
        <v>17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17</v>
      </c>
      <c r="BM100" s="20">
        <v>7.85</v>
      </c>
      <c r="BN100" s="20">
        <v>89.2</v>
      </c>
      <c r="BW100" s="20">
        <v>-59.14</v>
      </c>
      <c r="BX100" s="20">
        <v>-9.83</v>
      </c>
      <c r="BZ100" s="20">
        <v>-53.03</v>
      </c>
      <c r="CA100" s="20">
        <v>-6.66</v>
      </c>
      <c r="CI100" s="20">
        <v>-58.31</v>
      </c>
      <c r="CJ100" s="20">
        <v>-62.66</v>
      </c>
      <c r="CO100" s="20">
        <v>19.92</v>
      </c>
      <c r="CP100" s="20">
        <v>-42.33</v>
      </c>
      <c r="CS100" s="34"/>
      <c r="CT100" s="34"/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P101" s="20">
        <v>-12.97</v>
      </c>
      <c r="Q101" s="20">
        <v>-13.12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BZ101" s="20">
        <v>-30.3</v>
      </c>
      <c r="CA101" s="20">
        <v>47.56</v>
      </c>
      <c r="CI101" s="20">
        <v>-74.42</v>
      </c>
      <c r="CJ101" s="20">
        <v>-62.13</v>
      </c>
      <c r="CO101" s="20">
        <v>-25.45</v>
      </c>
      <c r="CP101" s="20">
        <v>-62.62</v>
      </c>
      <c r="CS101" s="34"/>
      <c r="CT101" s="34"/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17</v>
      </c>
      <c r="M102" s="20">
        <v>-41.97</v>
      </c>
      <c r="N102" s="20">
        <v>-14.64</v>
      </c>
      <c r="P102" s="20">
        <v>-0.49</v>
      </c>
      <c r="Q102" s="20">
        <v>27.2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17</v>
      </c>
      <c r="AO102" s="20">
        <v>-18.48</v>
      </c>
      <c r="AP102" s="20">
        <v>58.06</v>
      </c>
      <c r="AS102" s="20">
        <v>50.0</v>
      </c>
      <c r="AT102" s="20" t="s">
        <v>17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17</v>
      </c>
      <c r="BM102" s="20">
        <v>48.37</v>
      </c>
      <c r="BN102" s="20">
        <v>55.33</v>
      </c>
      <c r="BW102" s="20">
        <v>-58.04</v>
      </c>
      <c r="BX102" s="20">
        <v>-32.37</v>
      </c>
      <c r="BZ102" s="20">
        <v>-58.51</v>
      </c>
      <c r="CA102" s="20">
        <v>-17.05</v>
      </c>
      <c r="CI102" s="20">
        <v>-47.97</v>
      </c>
      <c r="CJ102" s="20">
        <v>-57.84</v>
      </c>
      <c r="CO102" s="20">
        <v>-17.45</v>
      </c>
      <c r="CP102" s="20">
        <v>-52.18</v>
      </c>
      <c r="CS102" s="34"/>
      <c r="CT102" s="34"/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P103" s="20">
        <v>21.47</v>
      </c>
      <c r="Q103" s="20">
        <v>14.41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BZ103" s="20">
        <v>-43.49</v>
      </c>
      <c r="CA103" s="20">
        <v>26.97</v>
      </c>
      <c r="CI103" s="20">
        <v>-69.26</v>
      </c>
      <c r="CJ103" s="20">
        <v>-73.19</v>
      </c>
      <c r="CO103" s="20">
        <v>-12.8</v>
      </c>
      <c r="CP103" s="20">
        <v>-53.72</v>
      </c>
      <c r="CS103" s="34"/>
      <c r="CT103" s="34"/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17</v>
      </c>
      <c r="M104" s="20">
        <v>-50.73</v>
      </c>
      <c r="N104" s="20">
        <v>-53.04</v>
      </c>
      <c r="P104" s="20">
        <v>-31.8</v>
      </c>
      <c r="Q104" s="20">
        <v>-78.25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17</v>
      </c>
      <c r="AO104" s="20">
        <v>18.18</v>
      </c>
      <c r="AP104" s="20">
        <v>15.03</v>
      </c>
      <c r="AS104" s="20">
        <v>51.0</v>
      </c>
      <c r="AT104" s="20" t="s">
        <v>17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17</v>
      </c>
      <c r="BM104" s="20">
        <v>40.43</v>
      </c>
      <c r="BN104" s="20">
        <v>68.97</v>
      </c>
      <c r="BW104" s="20">
        <v>-41.7</v>
      </c>
      <c r="BX104" s="20">
        <v>-9.15</v>
      </c>
      <c r="BZ104" s="20">
        <v>-62.64</v>
      </c>
      <c r="CA104" s="20">
        <v>12.21</v>
      </c>
      <c r="CI104" s="20">
        <v>-68.31</v>
      </c>
      <c r="CJ104" s="20">
        <v>-65.75</v>
      </c>
      <c r="CO104" s="20">
        <v>-2.03</v>
      </c>
      <c r="CP104" s="20">
        <v>-49.9</v>
      </c>
      <c r="CS104" s="34"/>
      <c r="CT104" s="34"/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P105" s="20">
        <v>10.12</v>
      </c>
      <c r="Q105" s="20">
        <v>16.61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BZ105" s="20">
        <v>-43.22</v>
      </c>
      <c r="CA105" s="20">
        <v>185.32</v>
      </c>
      <c r="CI105" s="20">
        <v>-33.96</v>
      </c>
      <c r="CJ105" s="20">
        <v>-56.83</v>
      </c>
      <c r="CO105" s="20">
        <v>-17.87</v>
      </c>
      <c r="CP105" s="20">
        <v>-61.53</v>
      </c>
      <c r="CS105" s="34"/>
      <c r="CT105" s="34"/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17</v>
      </c>
      <c r="M106" s="20">
        <v>4.96</v>
      </c>
      <c r="N106" s="20">
        <v>17.14</v>
      </c>
      <c r="P106" s="20">
        <v>-53.01</v>
      </c>
      <c r="Q106" s="20">
        <v>-35.33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17</v>
      </c>
      <c r="AO106" s="20">
        <v>-9.02</v>
      </c>
      <c r="AP106" s="20">
        <v>10.74</v>
      </c>
      <c r="AS106" s="20">
        <v>52.0</v>
      </c>
      <c r="AT106" s="20" t="s">
        <v>17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17</v>
      </c>
      <c r="BM106" s="20">
        <v>-3.21</v>
      </c>
      <c r="BN106" s="20">
        <v>50.29</v>
      </c>
      <c r="BW106" s="20">
        <v>-50.8</v>
      </c>
      <c r="BX106" s="20">
        <v>-18.04</v>
      </c>
      <c r="BZ106" s="20">
        <v>-68.5</v>
      </c>
      <c r="CA106" s="20">
        <v>47.34</v>
      </c>
      <c r="CI106" s="20">
        <v>-30.98</v>
      </c>
      <c r="CJ106" s="20">
        <v>-57.65</v>
      </c>
      <c r="CO106" s="20">
        <v>-13.46</v>
      </c>
      <c r="CP106" s="20">
        <v>-46.61</v>
      </c>
      <c r="CS106" s="34"/>
      <c r="CT106" s="34"/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P107" s="20">
        <v>-21.7</v>
      </c>
      <c r="Q107" s="20">
        <v>1.32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BZ107" s="20">
        <v>-18.83</v>
      </c>
      <c r="CA107" s="20">
        <v>70.45</v>
      </c>
      <c r="CI107" s="20">
        <v>-50.59</v>
      </c>
      <c r="CJ107" s="20">
        <v>-55.85</v>
      </c>
      <c r="CO107" s="20">
        <v>9.65</v>
      </c>
      <c r="CP107" s="20">
        <v>-61.29</v>
      </c>
      <c r="CS107" s="34"/>
      <c r="CT107" s="34"/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17</v>
      </c>
      <c r="M108" s="20">
        <v>-45.2</v>
      </c>
      <c r="N108" s="20">
        <v>-20.46</v>
      </c>
      <c r="P108" s="20">
        <v>7.87</v>
      </c>
      <c r="Q108" s="20">
        <v>26.11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17</v>
      </c>
      <c r="AO108" s="20">
        <v>-9.51</v>
      </c>
      <c r="AP108" s="20">
        <v>22.17</v>
      </c>
      <c r="AS108" s="20">
        <v>53.0</v>
      </c>
      <c r="AT108" s="20" t="s">
        <v>17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17</v>
      </c>
      <c r="BM108" s="20">
        <v>-20.39</v>
      </c>
      <c r="BN108" s="20">
        <v>7.65</v>
      </c>
      <c r="BW108" s="20">
        <v>-47.92</v>
      </c>
      <c r="BX108" s="20">
        <v>-19.18</v>
      </c>
      <c r="BZ108" s="20">
        <v>3.22</v>
      </c>
      <c r="CA108" s="20">
        <v>-34.59</v>
      </c>
      <c r="CI108" s="20">
        <v>2.75</v>
      </c>
      <c r="CJ108" s="20">
        <v>-56.94</v>
      </c>
      <c r="CO108" s="20">
        <v>11.52</v>
      </c>
      <c r="CP108" s="20">
        <v>-41.02</v>
      </c>
      <c r="CS108" s="34"/>
      <c r="CT108" s="34"/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P109" s="20">
        <v>0.61</v>
      </c>
      <c r="Q109" s="20">
        <v>12.62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BZ109" s="20">
        <v>-41.75</v>
      </c>
      <c r="CA109" s="20">
        <v>14.03</v>
      </c>
      <c r="CI109" s="20">
        <v>-31.18</v>
      </c>
      <c r="CJ109" s="20">
        <v>-55.57</v>
      </c>
      <c r="CO109" s="20">
        <v>-11.09</v>
      </c>
      <c r="CP109" s="20">
        <v>-57.21</v>
      </c>
      <c r="CS109" s="34"/>
      <c r="CT109" s="34"/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17</v>
      </c>
      <c r="M110" s="20">
        <v>21.11</v>
      </c>
      <c r="N110" s="20">
        <v>-61.3</v>
      </c>
      <c r="P110" s="20">
        <v>34.93</v>
      </c>
      <c r="Q110" s="20">
        <v>21.09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17</v>
      </c>
      <c r="AO110" s="20">
        <v>-23.15</v>
      </c>
      <c r="AP110" s="20">
        <v>-15.02</v>
      </c>
      <c r="AS110" s="20">
        <v>54.0</v>
      </c>
      <c r="AT110" s="20" t="s">
        <v>17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17</v>
      </c>
      <c r="BM110" s="20">
        <v>44.63</v>
      </c>
      <c r="BN110" s="20">
        <v>44.86</v>
      </c>
      <c r="BW110" s="20">
        <v>-34.92</v>
      </c>
      <c r="BX110" s="20">
        <v>-29.3</v>
      </c>
      <c r="BZ110" s="20">
        <v>-45.36</v>
      </c>
      <c r="CA110" s="20">
        <v>45.85</v>
      </c>
      <c r="CI110" s="20">
        <v>-60.86</v>
      </c>
      <c r="CJ110" s="20">
        <v>-62.58</v>
      </c>
      <c r="CO110" s="20">
        <v>-16.47</v>
      </c>
      <c r="CP110" s="20">
        <v>-58.31</v>
      </c>
      <c r="CS110" s="34"/>
      <c r="CT110" s="34"/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P111" s="20">
        <v>-26.54</v>
      </c>
      <c r="Q111" s="20">
        <v>-27.44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BZ111" s="20">
        <v>-25.28</v>
      </c>
      <c r="CA111" s="20">
        <v>66.41</v>
      </c>
      <c r="CI111" s="20">
        <v>-41.07</v>
      </c>
      <c r="CJ111" s="20">
        <v>-54.76</v>
      </c>
      <c r="CO111" s="20">
        <v>-22.19</v>
      </c>
      <c r="CP111" s="20">
        <v>-72.61</v>
      </c>
      <c r="CS111" s="34"/>
      <c r="CT111" s="34"/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17</v>
      </c>
      <c r="M112" s="20">
        <v>-41.54</v>
      </c>
      <c r="N112" s="20">
        <v>-22.16</v>
      </c>
      <c r="P112" s="20">
        <v>31.75</v>
      </c>
      <c r="Q112" s="20">
        <v>0.97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17</v>
      </c>
      <c r="AO112" s="20">
        <v>-13.61</v>
      </c>
      <c r="AP112" s="20">
        <v>-1.34</v>
      </c>
      <c r="AS112" s="20">
        <v>55.0</v>
      </c>
      <c r="AT112" s="20" t="s">
        <v>17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17</v>
      </c>
      <c r="BM112" s="20">
        <v>49.67</v>
      </c>
      <c r="BN112" s="20">
        <v>64.71</v>
      </c>
      <c r="BW112" s="20">
        <v>-32.44</v>
      </c>
      <c r="BX112" s="20">
        <v>-34.27</v>
      </c>
      <c r="BZ112" s="20">
        <v>-30.52</v>
      </c>
      <c r="CA112" s="20">
        <v>150.55</v>
      </c>
      <c r="CI112" s="20">
        <v>-62.81</v>
      </c>
      <c r="CJ112" s="20">
        <v>-71.48</v>
      </c>
      <c r="CO112" s="20">
        <v>-12.37</v>
      </c>
      <c r="CP112" s="20">
        <v>-43.15</v>
      </c>
      <c r="CS112" s="34"/>
      <c r="CT112" s="34"/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P113" s="20">
        <v>5.32</v>
      </c>
      <c r="Q113" s="20">
        <v>7.24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BZ113" s="20">
        <v>-50.75</v>
      </c>
      <c r="CA113" s="20">
        <v>55.46</v>
      </c>
      <c r="CI113" s="20">
        <v>-55.97</v>
      </c>
      <c r="CJ113" s="20">
        <v>-50.9</v>
      </c>
      <c r="CO113" s="20">
        <v>-3.96</v>
      </c>
      <c r="CP113" s="20">
        <v>-58.13</v>
      </c>
      <c r="CS113" s="34"/>
      <c r="CT113" s="34"/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17</v>
      </c>
      <c r="M114" s="20">
        <v>-26.58</v>
      </c>
      <c r="N114" s="20">
        <v>8.51</v>
      </c>
      <c r="P114" s="20">
        <v>10.11</v>
      </c>
      <c r="Q114" s="20">
        <v>5.72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17</v>
      </c>
      <c r="AO114" s="20">
        <v>-18.79</v>
      </c>
      <c r="AP114" s="20">
        <v>-27.34</v>
      </c>
      <c r="AS114" s="20">
        <v>56.0</v>
      </c>
      <c r="AT114" s="20" t="s">
        <v>17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17</v>
      </c>
      <c r="BM114" s="20">
        <v>8.17</v>
      </c>
      <c r="BN114" s="20">
        <v>36.08</v>
      </c>
      <c r="BW114" s="20">
        <v>36.97</v>
      </c>
      <c r="BX114" s="20">
        <v>-31.97</v>
      </c>
      <c r="BZ114" s="20">
        <v>-41.85</v>
      </c>
      <c r="CA114" s="20">
        <v>144.54</v>
      </c>
      <c r="CI114" s="20">
        <v>-10.44</v>
      </c>
      <c r="CJ114" s="20">
        <v>-38.25</v>
      </c>
      <c r="CO114" s="20">
        <v>-35.34</v>
      </c>
      <c r="CP114" s="20">
        <v>-52.57</v>
      </c>
      <c r="CS114" s="34"/>
      <c r="CT114" s="34"/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P115" s="20">
        <v>3.66</v>
      </c>
      <c r="Q115" s="20">
        <v>10.06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BZ115" s="20">
        <v>-31.32</v>
      </c>
      <c r="CA115" s="20">
        <v>21.44</v>
      </c>
      <c r="CI115" s="20">
        <v>-41.66</v>
      </c>
      <c r="CJ115" s="20">
        <v>-46.36</v>
      </c>
      <c r="CO115" s="20">
        <v>-20.32</v>
      </c>
      <c r="CP115" s="20">
        <v>-56.75</v>
      </c>
      <c r="CS115" s="34"/>
      <c r="CT115" s="34"/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17</v>
      </c>
      <c r="M116" s="20">
        <v>65.02</v>
      </c>
      <c r="N116" s="20">
        <v>34.15</v>
      </c>
      <c r="P116" s="20">
        <v>-21.64</v>
      </c>
      <c r="Q116" s="20">
        <v>-55.7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17</v>
      </c>
      <c r="AO116" s="20">
        <v>-18.43</v>
      </c>
      <c r="AP116" s="20">
        <v>-21.55</v>
      </c>
      <c r="AS116" s="20">
        <v>57.0</v>
      </c>
      <c r="AT116" s="20" t="s">
        <v>17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17</v>
      </c>
      <c r="BM116" s="20">
        <v>69.15</v>
      </c>
      <c r="BN116" s="20">
        <v>138.0</v>
      </c>
      <c r="BW116" s="20">
        <v>-33.31</v>
      </c>
      <c r="BX116" s="20">
        <v>-25.0</v>
      </c>
      <c r="BZ116" s="20">
        <v>-65.63</v>
      </c>
      <c r="CA116" s="20">
        <v>-32.34</v>
      </c>
      <c r="CI116" s="20">
        <v>-46.23</v>
      </c>
      <c r="CJ116" s="20">
        <v>-50.36</v>
      </c>
      <c r="CO116" s="20">
        <v>20.83</v>
      </c>
      <c r="CP116" s="20">
        <v>-47.6</v>
      </c>
      <c r="CS116" s="34"/>
      <c r="CT116" s="34"/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P117" s="20">
        <v>38.54</v>
      </c>
      <c r="Q117" s="20">
        <v>13.95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BZ117" s="20">
        <v>-36.37</v>
      </c>
      <c r="CA117" s="20">
        <v>46.19</v>
      </c>
      <c r="CI117" s="20">
        <v>-55.51</v>
      </c>
      <c r="CJ117" s="20">
        <v>-27.95</v>
      </c>
      <c r="CO117" s="20">
        <v>-38.81</v>
      </c>
      <c r="CP117" s="20">
        <v>-63.35</v>
      </c>
      <c r="CS117" s="34"/>
      <c r="CT117" s="34"/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17</v>
      </c>
      <c r="M118" s="20">
        <v>2.89</v>
      </c>
      <c r="N118" s="20">
        <v>42.8</v>
      </c>
      <c r="P118" s="20">
        <v>-4.29</v>
      </c>
      <c r="Q118" s="20">
        <v>-45.96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17</v>
      </c>
      <c r="AO118" s="20">
        <v>-36.42</v>
      </c>
      <c r="AP118" s="20">
        <v>22.19</v>
      </c>
      <c r="AS118" s="20">
        <v>58.0</v>
      </c>
      <c r="AT118" s="20" t="s">
        <v>17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17</v>
      </c>
      <c r="BM118" s="20">
        <v>2.1</v>
      </c>
      <c r="BN118" s="20">
        <v>13.02</v>
      </c>
      <c r="BW118" s="20">
        <v>-42.71</v>
      </c>
      <c r="BX118" s="20">
        <v>-28.8</v>
      </c>
      <c r="BZ118" s="20">
        <v>-48.69</v>
      </c>
      <c r="CA118" s="20">
        <v>37.82</v>
      </c>
      <c r="CI118" s="20">
        <v>-50.73</v>
      </c>
      <c r="CJ118" s="20">
        <v>-49.57</v>
      </c>
      <c r="CO118" s="20">
        <v>-29.01</v>
      </c>
      <c r="CP118" s="20">
        <v>-34.21</v>
      </c>
      <c r="CS118" s="34"/>
      <c r="CT118" s="34"/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P119" s="20">
        <v>19.93</v>
      </c>
      <c r="Q119" s="20">
        <v>-3.51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BZ119" s="20">
        <v>-40.07</v>
      </c>
      <c r="CA119" s="20">
        <v>43.69</v>
      </c>
      <c r="CI119" s="20">
        <v>-31.87</v>
      </c>
      <c r="CJ119" s="20">
        <v>-29.04</v>
      </c>
      <c r="CO119" s="20">
        <v>-42.81</v>
      </c>
      <c r="CP119" s="20">
        <v>-68.64</v>
      </c>
      <c r="CS119" s="34"/>
      <c r="CT119" s="34"/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17</v>
      </c>
      <c r="M120" s="20">
        <v>69.33</v>
      </c>
      <c r="N120" s="20">
        <v>43.83</v>
      </c>
      <c r="P120" s="20">
        <v>-30.64</v>
      </c>
      <c r="Q120" s="20">
        <v>-8.21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17</v>
      </c>
      <c r="AO120" s="20">
        <v>-7.52</v>
      </c>
      <c r="AP120" s="20">
        <v>-14.48</v>
      </c>
      <c r="AS120" s="20">
        <v>59.0</v>
      </c>
      <c r="AT120" s="20" t="s">
        <v>17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17</v>
      </c>
      <c r="BM120" s="20">
        <v>13.74</v>
      </c>
      <c r="BN120" s="20">
        <v>52.51</v>
      </c>
      <c r="BW120" s="20">
        <v>-45.79</v>
      </c>
      <c r="BX120" s="20">
        <v>-29.57</v>
      </c>
      <c r="BZ120" s="20">
        <v>-73.1</v>
      </c>
      <c r="CA120" s="20">
        <v>13.86</v>
      </c>
      <c r="CI120" s="20">
        <v>-8.63</v>
      </c>
      <c r="CJ120" s="20">
        <v>-43.84</v>
      </c>
      <c r="CO120" s="20">
        <v>-32.03</v>
      </c>
      <c r="CP120" s="20">
        <v>-24.69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P121" s="20">
        <v>-41.32</v>
      </c>
      <c r="Q121" s="20">
        <v>-38.17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BZ121" s="20">
        <v>-22.75</v>
      </c>
      <c r="CA121" s="20">
        <v>42.67</v>
      </c>
      <c r="CI121" s="20">
        <v>4.79</v>
      </c>
      <c r="CJ121" s="20">
        <v>-41.35</v>
      </c>
      <c r="CO121" s="20">
        <v>-40.7</v>
      </c>
      <c r="CP121" s="20">
        <v>-49.32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17</v>
      </c>
      <c r="M122" s="20">
        <v>38.24</v>
      </c>
      <c r="N122" s="20">
        <v>109.95</v>
      </c>
      <c r="P122" s="20">
        <v>-34.38</v>
      </c>
      <c r="Q122" s="20">
        <v>-32.62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17</v>
      </c>
      <c r="AO122" s="20">
        <v>-16.0</v>
      </c>
      <c r="AP122" s="20">
        <v>14.68</v>
      </c>
      <c r="AS122" s="20">
        <v>60.0</v>
      </c>
      <c r="AT122" s="20" t="s">
        <v>17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17</v>
      </c>
      <c r="BM122" s="20">
        <v>7.13</v>
      </c>
      <c r="BN122" s="20">
        <v>8.9</v>
      </c>
      <c r="BW122" s="20">
        <v>-41.57</v>
      </c>
      <c r="BX122" s="20">
        <v>-32.16</v>
      </c>
      <c r="BZ122" s="20">
        <v>-40.39</v>
      </c>
      <c r="CA122" s="20">
        <v>72.55</v>
      </c>
      <c r="CI122" s="20">
        <v>-35.05</v>
      </c>
      <c r="CJ122" s="20">
        <v>-15.85</v>
      </c>
      <c r="CO122" s="20">
        <v>-8.02</v>
      </c>
      <c r="CP122" s="20">
        <v>-27.92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P123" s="20">
        <v>40.18</v>
      </c>
      <c r="Q123" s="20">
        <v>26.74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BZ123" s="20">
        <v>-42.74</v>
      </c>
      <c r="CA123" s="20">
        <v>55.67</v>
      </c>
      <c r="CI123" s="20">
        <v>-48.1</v>
      </c>
      <c r="CJ123" s="20">
        <v>-43.45</v>
      </c>
      <c r="CO123" s="20">
        <v>-20.77</v>
      </c>
      <c r="CP123" s="20">
        <v>-55.18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17</v>
      </c>
      <c r="M124" s="20">
        <v>30.1</v>
      </c>
      <c r="N124" s="20">
        <v>26.67</v>
      </c>
      <c r="P124" s="20">
        <v>47.23</v>
      </c>
      <c r="Q124" s="20">
        <v>53.02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17</v>
      </c>
      <c r="AO124" s="20">
        <v>-24.21</v>
      </c>
      <c r="AP124" s="20">
        <v>-0.46</v>
      </c>
      <c r="AS124" s="20">
        <v>61.0</v>
      </c>
      <c r="AT124" s="20" t="s">
        <v>17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17</v>
      </c>
      <c r="BM124" s="20">
        <v>37.36</v>
      </c>
      <c r="BN124" s="20">
        <v>63.18</v>
      </c>
      <c r="BW124" s="20">
        <v>-50.75</v>
      </c>
      <c r="BX124" s="20">
        <v>-15.69</v>
      </c>
      <c r="BZ124" s="20">
        <v>-64.54</v>
      </c>
      <c r="CA124" s="20">
        <v>-5.83</v>
      </c>
      <c r="CI124" s="20">
        <v>-60.8</v>
      </c>
      <c r="CJ124" s="20">
        <v>-63.8</v>
      </c>
      <c r="CO124" s="20">
        <v>13.73</v>
      </c>
      <c r="CP124" s="20">
        <v>-44.95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P125" s="20">
        <v>40.54</v>
      </c>
      <c r="Q125" s="20">
        <v>26.55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BZ125" s="20">
        <v>-36.9</v>
      </c>
      <c r="CA125" s="20">
        <v>17.09</v>
      </c>
      <c r="CI125" s="20">
        <v>-62.3</v>
      </c>
      <c r="CJ125" s="20">
        <v>-66.86</v>
      </c>
      <c r="CO125" s="20">
        <v>-29.27</v>
      </c>
      <c r="CP125" s="20">
        <v>-59.3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17</v>
      </c>
      <c r="M126" s="20">
        <v>-4.13</v>
      </c>
      <c r="N126" s="20">
        <v>-8.93</v>
      </c>
      <c r="P126" s="20">
        <v>23.85</v>
      </c>
      <c r="Q126" s="20">
        <v>43.43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17</v>
      </c>
      <c r="AO126" s="20">
        <v>-29.25</v>
      </c>
      <c r="AP126" s="20">
        <v>-37.84</v>
      </c>
      <c r="AS126" s="20">
        <v>62.0</v>
      </c>
      <c r="AT126" s="20" t="s">
        <v>17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17</v>
      </c>
      <c r="BM126" s="20">
        <v>32.88</v>
      </c>
      <c r="BN126" s="20">
        <v>83.16</v>
      </c>
      <c r="BW126" s="20">
        <v>-47.54</v>
      </c>
      <c r="BX126" s="20">
        <v>-15.53</v>
      </c>
      <c r="BZ126" s="20">
        <v>-36.99</v>
      </c>
      <c r="CA126" s="20">
        <v>28.16</v>
      </c>
      <c r="CI126" s="20">
        <v>-54.03</v>
      </c>
      <c r="CJ126" s="20">
        <v>-33.27</v>
      </c>
      <c r="CO126" s="20">
        <v>-12.58</v>
      </c>
      <c r="CP126" s="20">
        <v>-60.99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P127" s="20">
        <v>45.09</v>
      </c>
      <c r="Q127" s="20">
        <v>62.64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BZ127" s="20">
        <v>-37.39</v>
      </c>
      <c r="CA127" s="20">
        <v>79.21</v>
      </c>
      <c r="CI127" s="20">
        <v>-55.37</v>
      </c>
      <c r="CJ127" s="20">
        <v>-64.25</v>
      </c>
      <c r="CO127" s="20">
        <v>-25.23</v>
      </c>
      <c r="CP127" s="20">
        <v>-65.04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17</v>
      </c>
      <c r="M128" s="20">
        <v>-20.37</v>
      </c>
      <c r="N128" s="20">
        <v>137.71</v>
      </c>
      <c r="P128" s="20">
        <v>5.09</v>
      </c>
      <c r="Q128" s="20">
        <v>17.86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17</v>
      </c>
      <c r="AO128" s="20">
        <v>53.06</v>
      </c>
      <c r="AP128" s="20">
        <v>-6.03</v>
      </c>
      <c r="AS128" s="20">
        <v>63.0</v>
      </c>
      <c r="AT128" s="20" t="s">
        <v>17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17</v>
      </c>
      <c r="BM128" s="20">
        <v>23.47</v>
      </c>
      <c r="BN128" s="20">
        <v>59.14</v>
      </c>
      <c r="BW128" s="20">
        <v>-33.74</v>
      </c>
      <c r="BX128" s="20">
        <v>-29.64</v>
      </c>
      <c r="BZ128" s="20">
        <v>-23.63</v>
      </c>
      <c r="CA128" s="20">
        <v>59.81</v>
      </c>
      <c r="CI128" s="20">
        <v>-64.11</v>
      </c>
      <c r="CJ128" s="20">
        <v>-42.06</v>
      </c>
      <c r="CO128" s="20">
        <v>4.18</v>
      </c>
      <c r="CP128" s="20">
        <v>-29.52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P129" s="20">
        <v>13.72</v>
      </c>
      <c r="Q129" s="20">
        <v>62.3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BZ129" s="20">
        <v>-31.41</v>
      </c>
      <c r="CA129" s="20">
        <v>45.79</v>
      </c>
      <c r="CI129" s="20">
        <v>-51.26</v>
      </c>
      <c r="CJ129" s="20">
        <v>-67.53</v>
      </c>
      <c r="CO129" s="20">
        <v>-28.56</v>
      </c>
      <c r="CP129" s="20">
        <v>-57.94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17</v>
      </c>
      <c r="M130" s="20">
        <v>37.07</v>
      </c>
      <c r="N130" s="20">
        <v>90.07</v>
      </c>
      <c r="P130" s="20">
        <v>26.84</v>
      </c>
      <c r="Q130" s="20">
        <v>41.73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17</v>
      </c>
      <c r="AO130" s="20">
        <v>-15.42</v>
      </c>
      <c r="AP130" s="20">
        <v>-19.89</v>
      </c>
      <c r="AS130" s="20">
        <v>64.0</v>
      </c>
      <c r="AT130" s="20" t="s">
        <v>17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17</v>
      </c>
      <c r="BM130" s="20">
        <v>32.58</v>
      </c>
      <c r="BN130" s="20">
        <v>51.12</v>
      </c>
      <c r="BW130" s="20">
        <v>-22.63</v>
      </c>
      <c r="BX130" s="20">
        <v>-15.66</v>
      </c>
      <c r="BZ130" s="20">
        <v>-22.07</v>
      </c>
      <c r="CA130" s="20">
        <v>46.08</v>
      </c>
      <c r="CI130" s="20">
        <v>-37.1</v>
      </c>
      <c r="CJ130" s="20">
        <v>-65.61</v>
      </c>
      <c r="CO130" s="20">
        <v>-20.61</v>
      </c>
      <c r="CP130" s="20">
        <v>-45.04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P131" s="20">
        <v>10.1</v>
      </c>
      <c r="Q131" s="20">
        <v>-6.27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BZ131" s="20">
        <v>-28.6</v>
      </c>
      <c r="CA131" s="20">
        <v>44.42</v>
      </c>
      <c r="CI131" s="20">
        <v>-54.77</v>
      </c>
      <c r="CJ131" s="20">
        <v>-61.72</v>
      </c>
      <c r="CO131" s="20">
        <v>24.84</v>
      </c>
      <c r="CP131" s="20">
        <v>-62.12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17</v>
      </c>
      <c r="M132" s="20">
        <v>6.86</v>
      </c>
      <c r="N132" s="20">
        <v>51.4</v>
      </c>
      <c r="P132" s="20">
        <v>-26.56</v>
      </c>
      <c r="Q132" s="20">
        <v>13.72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17</v>
      </c>
      <c r="AO132" s="20">
        <v>-16.63</v>
      </c>
      <c r="AP132" s="20">
        <v>-32.7</v>
      </c>
      <c r="AS132" s="20">
        <v>65.0</v>
      </c>
      <c r="AT132" s="20" t="s">
        <v>17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17</v>
      </c>
      <c r="BM132" s="20">
        <v>37.34</v>
      </c>
      <c r="BN132" s="20">
        <v>87.33</v>
      </c>
      <c r="BW132" s="20">
        <v>-62.27</v>
      </c>
      <c r="BX132" s="20">
        <v>-42.71</v>
      </c>
      <c r="BZ132" s="20">
        <v>-26.61</v>
      </c>
      <c r="CA132" s="20">
        <v>15.86</v>
      </c>
      <c r="CI132" s="20">
        <v>-30.62</v>
      </c>
      <c r="CJ132" s="20">
        <v>-68.89</v>
      </c>
      <c r="CO132" s="20">
        <v>14.32</v>
      </c>
      <c r="CP132" s="20">
        <v>-55.23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P133" s="20">
        <v>28.96</v>
      </c>
      <c r="Q133" s="20">
        <v>9.73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BZ133" s="20">
        <v>-38.04</v>
      </c>
      <c r="CA133" s="20">
        <v>1.55</v>
      </c>
      <c r="CI133" s="20">
        <v>-61.5</v>
      </c>
      <c r="CJ133" s="20">
        <v>-50.91</v>
      </c>
      <c r="CO133" s="20">
        <v>-26.24</v>
      </c>
      <c r="CP133" s="20">
        <v>-51.49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17</v>
      </c>
      <c r="M134" s="20">
        <v>18.22</v>
      </c>
      <c r="N134" s="20">
        <v>148.12</v>
      </c>
      <c r="P134" s="20">
        <v>16.94</v>
      </c>
      <c r="Q134" s="20">
        <v>29.51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17</v>
      </c>
      <c r="AO134" s="20">
        <v>-0.66</v>
      </c>
      <c r="AP134" s="20">
        <v>7.77</v>
      </c>
      <c r="AS134" s="20">
        <v>66.0</v>
      </c>
      <c r="AT134" s="20" t="s">
        <v>17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17</v>
      </c>
      <c r="BM134" s="20">
        <v>54.47</v>
      </c>
      <c r="BN134" s="20">
        <v>73.94</v>
      </c>
      <c r="BW134" s="20">
        <v>6.45</v>
      </c>
      <c r="BX134" s="20">
        <v>-20.42</v>
      </c>
      <c r="BZ134" s="20">
        <v>-35.27</v>
      </c>
      <c r="CA134" s="20">
        <v>32.59</v>
      </c>
      <c r="CI134" s="20">
        <v>-59.55</v>
      </c>
      <c r="CJ134" s="20">
        <v>-58.99</v>
      </c>
      <c r="CO134" s="20">
        <v>8.09</v>
      </c>
      <c r="CP134" s="20">
        <v>-34.17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P135" s="20">
        <v>44.72</v>
      </c>
      <c r="Q135" s="20">
        <v>31.54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BZ135" s="20">
        <v>-64.28</v>
      </c>
      <c r="CA135" s="20">
        <v>28.68</v>
      </c>
      <c r="CI135" s="20">
        <v>-37.77</v>
      </c>
      <c r="CJ135" s="20">
        <v>-49.55</v>
      </c>
      <c r="CO135" s="20">
        <v>4.74</v>
      </c>
      <c r="CP135" s="20">
        <v>-28.59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17</v>
      </c>
      <c r="M136" s="20">
        <v>-12.0</v>
      </c>
      <c r="N136" s="20">
        <v>15.03</v>
      </c>
      <c r="P136" s="20">
        <v>-2.18</v>
      </c>
      <c r="Q136" s="20">
        <v>13.25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17</v>
      </c>
      <c r="AO136" s="20">
        <v>-42.41</v>
      </c>
      <c r="AP136" s="20">
        <v>16.9</v>
      </c>
      <c r="AS136" s="20">
        <v>67.0</v>
      </c>
      <c r="AT136" s="20" t="s">
        <v>17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17</v>
      </c>
      <c r="BM136" s="20">
        <v>13.37</v>
      </c>
      <c r="BN136" s="20">
        <v>61.77</v>
      </c>
      <c r="BW136" s="20">
        <v>-50.53</v>
      </c>
      <c r="BX136" s="20">
        <v>-3.33</v>
      </c>
      <c r="BZ136" s="20">
        <v>-69.6</v>
      </c>
      <c r="CA136" s="20">
        <v>61.23</v>
      </c>
      <c r="CI136" s="20">
        <v>-49.55</v>
      </c>
      <c r="CJ136" s="20">
        <v>-55.71</v>
      </c>
      <c r="CO136" s="20">
        <v>-16.09</v>
      </c>
      <c r="CP136" s="20">
        <v>-49.19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P137" s="20">
        <v>17.24</v>
      </c>
      <c r="Q137" s="20">
        <v>4.8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BZ137" s="20">
        <v>-43.61</v>
      </c>
      <c r="CA137" s="20">
        <v>40.47</v>
      </c>
      <c r="CI137" s="20">
        <v>-54.27</v>
      </c>
      <c r="CJ137" s="20">
        <v>-62.66</v>
      </c>
      <c r="CO137" s="20">
        <v>-41.18</v>
      </c>
      <c r="CP137" s="20">
        <v>-56.44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17</v>
      </c>
      <c r="M138" s="20">
        <v>28.21</v>
      </c>
      <c r="N138" s="20">
        <v>65.98</v>
      </c>
      <c r="P138" s="20">
        <v>-18.26</v>
      </c>
      <c r="Q138" s="20">
        <v>3.12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17</v>
      </c>
      <c r="AO138" s="20">
        <v>-2.01</v>
      </c>
      <c r="AP138" s="20">
        <v>7.91</v>
      </c>
      <c r="AS138" s="20">
        <v>68.0</v>
      </c>
      <c r="AT138" s="20" t="s">
        <v>17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17</v>
      </c>
      <c r="BM138" s="20">
        <v>13.52</v>
      </c>
      <c r="BN138" s="20">
        <v>39.15</v>
      </c>
      <c r="BW138" s="20">
        <v>-60.46</v>
      </c>
      <c r="BX138" s="20">
        <v>-17.51</v>
      </c>
      <c r="BZ138" s="20">
        <v>-51.34</v>
      </c>
      <c r="CA138" s="20">
        <v>37.68</v>
      </c>
      <c r="CI138" s="20">
        <v>-39.76</v>
      </c>
      <c r="CJ138" s="20">
        <v>-55.13</v>
      </c>
      <c r="CO138" s="20">
        <v>-18.02</v>
      </c>
      <c r="CP138" s="20">
        <v>-52.35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P139" s="20">
        <v>42.07</v>
      </c>
      <c r="Q139" s="20">
        <v>16.33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BZ139" s="20">
        <v>-34.73</v>
      </c>
      <c r="CA139" s="20">
        <v>51.41</v>
      </c>
      <c r="CI139" s="20">
        <v>-45.85</v>
      </c>
      <c r="CJ139" s="20">
        <v>-36.19</v>
      </c>
      <c r="CO139" s="20">
        <v>-22.8</v>
      </c>
      <c r="CP139" s="20">
        <v>-61.47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17</v>
      </c>
      <c r="M140" s="20">
        <v>-28.16</v>
      </c>
      <c r="N140" s="20">
        <v>-42.45</v>
      </c>
      <c r="P140" s="20">
        <v>10.22</v>
      </c>
      <c r="Q140" s="20">
        <v>30.86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17</v>
      </c>
      <c r="AO140" s="20">
        <v>0.47</v>
      </c>
      <c r="AP140" s="20">
        <v>3.9</v>
      </c>
      <c r="AS140" s="20">
        <v>69.0</v>
      </c>
      <c r="AT140" s="20" t="s">
        <v>17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17</v>
      </c>
      <c r="BM140" s="20">
        <v>32.21</v>
      </c>
      <c r="BN140" s="20">
        <v>86.61</v>
      </c>
      <c r="BW140" s="20">
        <v>-44.46</v>
      </c>
      <c r="BX140" s="20">
        <v>-43.33</v>
      </c>
      <c r="BZ140" s="20">
        <v>-39.25</v>
      </c>
      <c r="CA140" s="20">
        <v>18.89</v>
      </c>
      <c r="CI140" s="20">
        <v>-50.86</v>
      </c>
      <c r="CJ140" s="20">
        <v>-60.65</v>
      </c>
      <c r="CO140" s="20">
        <v>3.92</v>
      </c>
      <c r="CP140" s="20">
        <v>-56.02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P141" s="20">
        <v>42.44</v>
      </c>
      <c r="Q141" s="20">
        <v>17.62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BZ141" s="20">
        <v>-43.01</v>
      </c>
      <c r="CA141" s="20">
        <v>13.54</v>
      </c>
      <c r="CI141" s="20">
        <v>-41.04</v>
      </c>
      <c r="CJ141" s="20">
        <v>-55.76</v>
      </c>
      <c r="CO141" s="20">
        <v>-18.79</v>
      </c>
      <c r="CP141" s="20">
        <v>-52.65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17</v>
      </c>
      <c r="M142" s="20">
        <v>-40.19</v>
      </c>
      <c r="N142" s="20">
        <v>-17.35</v>
      </c>
      <c r="P142" s="20">
        <v>20.96</v>
      </c>
      <c r="Q142" s="20">
        <v>35.39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17</v>
      </c>
      <c r="AO142" s="20">
        <v>-10.75</v>
      </c>
      <c r="AP142" s="20">
        <v>-27.1</v>
      </c>
      <c r="AS142" s="20">
        <v>70.0</v>
      </c>
      <c r="AT142" s="20" t="s">
        <v>17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17</v>
      </c>
      <c r="BM142" s="20">
        <v>29.26</v>
      </c>
      <c r="BN142" s="20">
        <v>73.95</v>
      </c>
      <c r="BW142" s="20">
        <v>-51.61</v>
      </c>
      <c r="BX142" s="20">
        <v>-4.25</v>
      </c>
      <c r="BZ142" s="20">
        <v>-45.48</v>
      </c>
      <c r="CA142" s="20">
        <v>-4.9</v>
      </c>
      <c r="CI142" s="20">
        <v>-52.3</v>
      </c>
      <c r="CJ142" s="20">
        <v>-64.77</v>
      </c>
      <c r="CO142" s="20">
        <v>-23.28</v>
      </c>
      <c r="CP142" s="20">
        <v>-39.03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P143" s="20">
        <v>49.36</v>
      </c>
      <c r="Q143" s="20">
        <v>29.04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BZ143" s="20">
        <v>-42.59</v>
      </c>
      <c r="CA143" s="20">
        <v>25.4</v>
      </c>
      <c r="CI143" s="20">
        <v>-44.76</v>
      </c>
      <c r="CJ143" s="20">
        <v>-32.18</v>
      </c>
      <c r="CO143" s="20">
        <v>-29.36</v>
      </c>
      <c r="CP143" s="20">
        <v>-52.51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17</v>
      </c>
      <c r="M144" s="20">
        <v>-13.49</v>
      </c>
      <c r="N144" s="20">
        <v>108.1</v>
      </c>
      <c r="P144" s="20">
        <v>10.68</v>
      </c>
      <c r="Q144" s="20">
        <v>29.24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17</v>
      </c>
      <c r="AO144" s="20">
        <v>-13.29</v>
      </c>
      <c r="AP144" s="20">
        <v>8.49</v>
      </c>
      <c r="AS144" s="20">
        <v>71.0</v>
      </c>
      <c r="AT144" s="20" t="s">
        <v>17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17</v>
      </c>
      <c r="BM144" s="20">
        <v>71.25</v>
      </c>
      <c r="BN144" s="20">
        <v>104.94</v>
      </c>
      <c r="BW144" s="20">
        <v>-54.72</v>
      </c>
      <c r="BX144" s="20">
        <v>-22.87</v>
      </c>
      <c r="BZ144" s="20">
        <v>-48.69</v>
      </c>
      <c r="CA144" s="20">
        <v>-9.93</v>
      </c>
      <c r="CI144" s="20">
        <v>-46.46</v>
      </c>
      <c r="CJ144" s="20">
        <v>-50.51</v>
      </c>
      <c r="CO144" s="20">
        <v>-6.63</v>
      </c>
      <c r="CP144" s="20">
        <v>-54.85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P145" s="20">
        <v>33.37</v>
      </c>
      <c r="Q145" s="20">
        <v>14.3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BZ145" s="20">
        <v>-37.55</v>
      </c>
      <c r="CA145" s="20">
        <v>11.08</v>
      </c>
      <c r="CI145" s="20">
        <v>-64.43</v>
      </c>
      <c r="CJ145" s="20">
        <v>-63.59</v>
      </c>
      <c r="CO145" s="20">
        <v>-23.78</v>
      </c>
      <c r="CP145" s="20">
        <v>-46.22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17</v>
      </c>
      <c r="M146" s="20">
        <v>-8.72</v>
      </c>
      <c r="N146" s="20">
        <v>61.37</v>
      </c>
      <c r="P146" s="20">
        <v>29.81</v>
      </c>
      <c r="Q146" s="20">
        <v>46.57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17</v>
      </c>
      <c r="AO146" s="20">
        <v>-12.95</v>
      </c>
      <c r="AP146" s="20">
        <v>-39.01</v>
      </c>
      <c r="AS146" s="20">
        <v>72.0</v>
      </c>
      <c r="AT146" s="20" t="s">
        <v>17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17</v>
      </c>
      <c r="BM146" s="20">
        <v>64.74</v>
      </c>
      <c r="BN146" s="20">
        <v>96.41</v>
      </c>
      <c r="BW146" s="20">
        <v>-17.11</v>
      </c>
      <c r="BX146" s="20">
        <v>-36.3</v>
      </c>
      <c r="BZ146" s="20">
        <v>-55.7</v>
      </c>
      <c r="CA146" s="20">
        <v>18.77</v>
      </c>
      <c r="CI146" s="20">
        <v>-34.92</v>
      </c>
      <c r="CJ146" s="20">
        <v>-30.23</v>
      </c>
      <c r="CO146" s="20">
        <v>-40.81</v>
      </c>
      <c r="CP146" s="20">
        <v>-53.08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P147" s="20">
        <v>-14.15</v>
      </c>
      <c r="Q147" s="20">
        <v>40.49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BZ147" s="20">
        <v>-52.55</v>
      </c>
      <c r="CA147" s="20">
        <v>-14.17</v>
      </c>
      <c r="CI147" s="20">
        <v>-48.26</v>
      </c>
      <c r="CJ147" s="20">
        <v>-47.11</v>
      </c>
      <c r="CO147" s="20">
        <v>-27.92</v>
      </c>
      <c r="CP147" s="20">
        <v>-59.98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17</v>
      </c>
      <c r="M148" s="20">
        <v>-18.73</v>
      </c>
      <c r="N148" s="20">
        <v>-35.36</v>
      </c>
      <c r="P148" s="20">
        <v>34.49</v>
      </c>
      <c r="Q148" s="20">
        <v>168.26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17</v>
      </c>
      <c r="AO148" s="20">
        <v>-26.35</v>
      </c>
      <c r="AP148" s="20">
        <v>35.32</v>
      </c>
      <c r="AS148" s="20">
        <v>73.0</v>
      </c>
      <c r="AT148" s="20" t="s">
        <v>17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17</v>
      </c>
      <c r="BM148" s="20">
        <v>20.47</v>
      </c>
      <c r="BN148" s="20">
        <v>62.36</v>
      </c>
      <c r="BW148" s="20">
        <v>-71.91</v>
      </c>
      <c r="BX148" s="20">
        <v>-30.71</v>
      </c>
      <c r="BZ148" s="20">
        <v>-57.6</v>
      </c>
      <c r="CA148" s="20">
        <v>-32.08</v>
      </c>
      <c r="CI148" s="20">
        <v>-62.41</v>
      </c>
      <c r="CJ148" s="20">
        <v>-70.77</v>
      </c>
      <c r="CO148" s="20">
        <v>-27.9</v>
      </c>
      <c r="CP148" s="20">
        <v>-57.85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P149" s="20">
        <v>1.19</v>
      </c>
      <c r="Q149" s="20">
        <v>3.11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BZ149" s="20">
        <v>-29.5</v>
      </c>
      <c r="CA149" s="20">
        <v>104.58</v>
      </c>
      <c r="CI149" s="20">
        <v>-48.0</v>
      </c>
      <c r="CJ149" s="20">
        <v>-52.54</v>
      </c>
      <c r="CO149" s="20">
        <v>-2.56</v>
      </c>
      <c r="CP149" s="20">
        <v>-46.89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17</v>
      </c>
      <c r="M150" s="20">
        <v>-16.91</v>
      </c>
      <c r="N150" s="20">
        <v>-29.7</v>
      </c>
      <c r="P150" s="20">
        <v>-11.18</v>
      </c>
      <c r="Q150" s="20">
        <v>36.37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17</v>
      </c>
      <c r="AO150" s="20">
        <v>22.87</v>
      </c>
      <c r="AP150" s="20">
        <v>-25.63</v>
      </c>
      <c r="AS150" s="20">
        <v>74.0</v>
      </c>
      <c r="AT150" s="20" t="s">
        <v>17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17</v>
      </c>
      <c r="BM150" s="20">
        <v>24.41</v>
      </c>
      <c r="BN150" s="20">
        <v>46.38</v>
      </c>
      <c r="BW150" s="20">
        <v>-35.52</v>
      </c>
      <c r="BX150" s="20">
        <v>-11.77</v>
      </c>
      <c r="BZ150" s="20">
        <v>-69.44</v>
      </c>
      <c r="CA150" s="20">
        <v>-21.94</v>
      </c>
      <c r="CI150" s="20">
        <v>-57.97</v>
      </c>
      <c r="CJ150" s="20">
        <v>-37.7</v>
      </c>
      <c r="CO150" s="20">
        <v>-4.97</v>
      </c>
      <c r="CP150" s="20">
        <v>-42.58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P151" s="20">
        <v>-10.97</v>
      </c>
      <c r="Q151" s="20">
        <v>147.0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BZ151" s="20">
        <v>-51.31</v>
      </c>
      <c r="CA151" s="20">
        <v>5.22</v>
      </c>
      <c r="CI151" s="20">
        <v>-39.28</v>
      </c>
      <c r="CJ151" s="20">
        <v>-57.92</v>
      </c>
      <c r="CO151" s="20">
        <v>-11.07</v>
      </c>
      <c r="CP151" s="20">
        <v>-47.96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17</v>
      </c>
      <c r="M152" s="20">
        <v>22.89</v>
      </c>
      <c r="N152" s="20">
        <v>-14.87</v>
      </c>
      <c r="P152" s="20">
        <v>-20.17</v>
      </c>
      <c r="Q152" s="20">
        <v>33.44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17</v>
      </c>
      <c r="AO152" s="20">
        <v>59.59</v>
      </c>
      <c r="AP152" s="20">
        <v>-20.94</v>
      </c>
      <c r="AS152" s="20">
        <v>75.0</v>
      </c>
      <c r="AT152" s="20" t="s">
        <v>17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17</v>
      </c>
      <c r="BM152" s="20">
        <v>104.92</v>
      </c>
      <c r="BN152" s="20">
        <v>18.1</v>
      </c>
      <c r="BW152" s="20">
        <v>-37.96</v>
      </c>
      <c r="BX152" s="20">
        <v>-30.69</v>
      </c>
      <c r="BZ152" s="20">
        <v>-64.04</v>
      </c>
      <c r="CA152" s="20">
        <v>72.31</v>
      </c>
      <c r="CI152" s="20">
        <v>-68.18</v>
      </c>
      <c r="CJ152" s="20">
        <v>-53.06</v>
      </c>
      <c r="CO152" s="20">
        <v>-4.27</v>
      </c>
      <c r="CP152" s="20">
        <v>-36.31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P153" s="20">
        <v>3.7</v>
      </c>
      <c r="Q153" s="20">
        <v>0.32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BZ153" s="20">
        <v>-36.92</v>
      </c>
      <c r="CA153" s="20">
        <v>123.84</v>
      </c>
      <c r="CI153" s="20">
        <v>-52.09</v>
      </c>
      <c r="CJ153" s="20">
        <v>-65.34</v>
      </c>
      <c r="CO153" s="20">
        <v>-15.09</v>
      </c>
      <c r="CP153" s="20">
        <v>-66.24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17</v>
      </c>
      <c r="M154" s="20">
        <v>7.61</v>
      </c>
      <c r="N154" s="20">
        <v>10.19</v>
      </c>
      <c r="P154" s="20">
        <v>54.92</v>
      </c>
      <c r="Q154" s="20">
        <v>-31.78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17</v>
      </c>
      <c r="AO154" s="20">
        <v>-28.21</v>
      </c>
      <c r="AP154" s="20">
        <v>-20.54</v>
      </c>
      <c r="AS154" s="20">
        <v>76.0</v>
      </c>
      <c r="AT154" s="20" t="s">
        <v>17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17</v>
      </c>
      <c r="BM154" s="20">
        <v>117.28</v>
      </c>
      <c r="BN154" s="20">
        <v>71.54</v>
      </c>
      <c r="BW154" s="20">
        <v>-36.92</v>
      </c>
      <c r="BX154" s="20">
        <v>-30.48</v>
      </c>
      <c r="BZ154" s="20">
        <v>-65.83</v>
      </c>
      <c r="CA154" s="20">
        <v>7.39</v>
      </c>
      <c r="CI154" s="20">
        <v>-23.8</v>
      </c>
      <c r="CJ154" s="20">
        <v>-55.09</v>
      </c>
      <c r="CO154" s="20">
        <v>-26.02</v>
      </c>
      <c r="CP154" s="20">
        <v>-52.2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P155" s="20">
        <v>3.17</v>
      </c>
      <c r="Q155" s="20">
        <v>24.18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BZ155" s="20">
        <v>-29.03</v>
      </c>
      <c r="CA155" s="20">
        <v>114.68</v>
      </c>
      <c r="CI155" s="20">
        <v>-45.82</v>
      </c>
      <c r="CJ155" s="20">
        <v>-31.34</v>
      </c>
      <c r="CO155" s="20">
        <v>-36.45</v>
      </c>
      <c r="CP155" s="20">
        <v>-56.08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17</v>
      </c>
      <c r="M156" s="20">
        <v>-49.83</v>
      </c>
      <c r="N156" s="20">
        <v>-11.22</v>
      </c>
      <c r="P156" s="20">
        <v>-12.32</v>
      </c>
      <c r="Q156" s="20">
        <v>23.4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17</v>
      </c>
      <c r="AO156" s="20">
        <v>-7.54</v>
      </c>
      <c r="AP156" s="20">
        <v>-6.29</v>
      </c>
      <c r="AS156" s="20">
        <v>77.0</v>
      </c>
      <c r="AT156" s="20" t="s">
        <v>17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17</v>
      </c>
      <c r="BM156" s="20">
        <v>-2.51</v>
      </c>
      <c r="BN156" s="20">
        <v>39.47</v>
      </c>
      <c r="BW156" s="20">
        <v>-41.93</v>
      </c>
      <c r="BX156" s="20">
        <v>-30.5</v>
      </c>
      <c r="BZ156" s="20">
        <v>-31.5</v>
      </c>
      <c r="CA156" s="20">
        <v>22.73</v>
      </c>
      <c r="CI156" s="20">
        <v>-48.37</v>
      </c>
      <c r="CJ156" s="20">
        <v>-69.24</v>
      </c>
      <c r="CO156" s="20">
        <v>-39.85</v>
      </c>
      <c r="CP156" s="20">
        <v>-31.94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P157" s="20">
        <v>16.75</v>
      </c>
      <c r="Q157" s="20">
        <v>14.6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BZ157" s="20">
        <v>-57.86</v>
      </c>
      <c r="CA157" s="20">
        <v>29.44</v>
      </c>
      <c r="CI157" s="20">
        <v>-26.81</v>
      </c>
      <c r="CJ157" s="20">
        <v>-51.21</v>
      </c>
      <c r="CO157" s="20">
        <v>-8.0</v>
      </c>
      <c r="CP157" s="20">
        <v>-62.43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17</v>
      </c>
      <c r="M158" s="20">
        <v>-8.9</v>
      </c>
      <c r="N158" s="20">
        <v>46.88</v>
      </c>
      <c r="P158" s="20">
        <v>131.61</v>
      </c>
      <c r="Q158" s="20">
        <v>-17.7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17</v>
      </c>
      <c r="AO158" s="20">
        <v>-25.89</v>
      </c>
      <c r="AP158" s="20">
        <v>-12.26</v>
      </c>
      <c r="AS158" s="20">
        <v>78.0</v>
      </c>
      <c r="AT158" s="20" t="s">
        <v>17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17</v>
      </c>
      <c r="BM158" s="20">
        <v>29.4</v>
      </c>
      <c r="BN158" s="20">
        <v>43.6</v>
      </c>
      <c r="BW158" s="20">
        <v>-24.92</v>
      </c>
      <c r="BX158" s="20">
        <v>-11.04</v>
      </c>
      <c r="BZ158" s="20">
        <v>-33.95</v>
      </c>
      <c r="CA158" s="20">
        <v>88.2</v>
      </c>
      <c r="CI158" s="20">
        <v>-58.14</v>
      </c>
      <c r="CJ158" s="20">
        <v>-68.14</v>
      </c>
      <c r="CO158" s="20">
        <v>-31.2</v>
      </c>
      <c r="CP158" s="20">
        <v>-55.83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P159" s="20">
        <v>2.68</v>
      </c>
      <c r="Q159" s="20">
        <v>10.3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BZ159" s="20">
        <v>-26.9</v>
      </c>
      <c r="CA159" s="20">
        <v>108.48</v>
      </c>
      <c r="CI159" s="20">
        <v>-70.1</v>
      </c>
      <c r="CJ159" s="20">
        <v>-68.66</v>
      </c>
      <c r="CO159" s="20">
        <v>-13.17</v>
      </c>
      <c r="CP159" s="20">
        <v>-63.18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17</v>
      </c>
      <c r="M160" s="20">
        <v>-6.14</v>
      </c>
      <c r="N160" s="20">
        <v>-10.5</v>
      </c>
      <c r="P160" s="20">
        <v>-32.37</v>
      </c>
      <c r="Q160" s="20">
        <v>-15.34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17</v>
      </c>
      <c r="AO160" s="20">
        <v>-8.19</v>
      </c>
      <c r="AP160" s="20">
        <v>2.96</v>
      </c>
      <c r="AS160" s="20">
        <v>79.0</v>
      </c>
      <c r="AT160" s="20" t="s">
        <v>17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17</v>
      </c>
      <c r="BM160" s="20">
        <v>27.02</v>
      </c>
      <c r="BN160" s="20">
        <v>41.46</v>
      </c>
      <c r="BW160" s="20">
        <v>-20.7</v>
      </c>
      <c r="BX160" s="20">
        <v>19.47</v>
      </c>
      <c r="BZ160" s="20">
        <v>-37.49</v>
      </c>
      <c r="CA160" s="20">
        <v>62.51</v>
      </c>
      <c r="CI160" s="20">
        <v>-62.84</v>
      </c>
      <c r="CJ160" s="20">
        <v>-71.09</v>
      </c>
      <c r="CO160" s="20">
        <v>-27.71</v>
      </c>
      <c r="CP160" s="20">
        <v>-39.32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P161" s="20">
        <v>-32.75</v>
      </c>
      <c r="Q161" s="20">
        <v>-11.67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BZ161" s="20">
        <v>-46.82</v>
      </c>
      <c r="CA161" s="20">
        <v>34.38</v>
      </c>
      <c r="CI161" s="20">
        <v>-39.44</v>
      </c>
      <c r="CJ161" s="20">
        <v>-59.79</v>
      </c>
      <c r="CO161" s="20">
        <v>-21.64</v>
      </c>
      <c r="CP161" s="20">
        <v>-67.9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17</v>
      </c>
      <c r="M162" s="20">
        <v>-6.22</v>
      </c>
      <c r="N162" s="20">
        <v>-44.6</v>
      </c>
      <c r="P162" s="20">
        <v>-11.9</v>
      </c>
      <c r="Q162" s="20">
        <v>10.39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17</v>
      </c>
      <c r="AO162" s="20">
        <v>25.07</v>
      </c>
      <c r="AP162" s="20">
        <v>16.87</v>
      </c>
      <c r="AS162" s="20">
        <v>80.0</v>
      </c>
      <c r="AT162" s="20" t="s">
        <v>17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17</v>
      </c>
      <c r="BM162" s="20">
        <v>11.57</v>
      </c>
      <c r="BN162" s="20">
        <v>94.22</v>
      </c>
      <c r="BW162" s="20">
        <v>76.0</v>
      </c>
      <c r="BX162" s="20">
        <v>-14.52</v>
      </c>
      <c r="BZ162" s="20">
        <v>-37.51</v>
      </c>
      <c r="CA162" s="20">
        <v>143.04</v>
      </c>
      <c r="CI162" s="20">
        <v>7.64</v>
      </c>
      <c r="CJ162" s="20">
        <v>-26.56</v>
      </c>
      <c r="CO162" s="20">
        <v>-2.7</v>
      </c>
      <c r="CP162" s="20">
        <v>-34.35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P163" s="20">
        <v>7.17</v>
      </c>
      <c r="Q163" s="20">
        <v>38.41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BZ163" s="20">
        <v>-28.06</v>
      </c>
      <c r="CA163" s="20">
        <v>15.74</v>
      </c>
      <c r="CI163" s="20">
        <v>-42.17</v>
      </c>
      <c r="CJ163" s="20">
        <v>-46.85</v>
      </c>
      <c r="CO163" s="20">
        <v>-43.03</v>
      </c>
      <c r="CP163" s="20">
        <v>-55.01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17</v>
      </c>
      <c r="M164" s="20">
        <v>62.03</v>
      </c>
      <c r="N164" s="20">
        <v>6.65</v>
      </c>
      <c r="P164" s="20">
        <v>-2.02</v>
      </c>
      <c r="Q164" s="20">
        <v>-6.67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17</v>
      </c>
      <c r="AO164" s="20">
        <v>-12.44</v>
      </c>
      <c r="AP164" s="20">
        <v>-31.46</v>
      </c>
      <c r="AS164" s="20">
        <v>81.0</v>
      </c>
      <c r="AT164" s="20" t="s">
        <v>17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17</v>
      </c>
      <c r="BM164" s="20">
        <v>56.79</v>
      </c>
      <c r="BN164" s="20">
        <v>118.2</v>
      </c>
      <c r="BW164" s="20">
        <v>-39.92</v>
      </c>
      <c r="BX164" s="20">
        <v>-11.5</v>
      </c>
      <c r="BZ164" s="20">
        <v>-55.58</v>
      </c>
      <c r="CA164" s="20">
        <v>25.13</v>
      </c>
      <c r="CI164" s="20">
        <v>-40.14</v>
      </c>
      <c r="CJ164" s="20">
        <v>-51.04</v>
      </c>
      <c r="CO164" s="20">
        <v>-7.67</v>
      </c>
      <c r="CP164" s="20">
        <v>-42.83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P165" s="20">
        <v>19.87</v>
      </c>
      <c r="Q165" s="20">
        <v>66.74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BZ165" s="20">
        <v>-27.78</v>
      </c>
      <c r="CA165" s="20">
        <v>32.8</v>
      </c>
      <c r="CI165" s="20">
        <v>-40.41</v>
      </c>
      <c r="CJ165" s="20">
        <v>-51.78</v>
      </c>
      <c r="CO165" s="20">
        <v>-47.67</v>
      </c>
      <c r="CP165" s="20">
        <v>-38.5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17</v>
      </c>
      <c r="M166" s="20">
        <v>13.36</v>
      </c>
      <c r="N166" s="20">
        <v>68.29</v>
      </c>
      <c r="P166" s="20">
        <v>-17.15</v>
      </c>
      <c r="Q166" s="20">
        <v>-37.0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17</v>
      </c>
      <c r="AO166" s="20">
        <v>-23.51</v>
      </c>
      <c r="AP166" s="20">
        <v>-9.37</v>
      </c>
      <c r="AS166" s="20">
        <v>82.0</v>
      </c>
      <c r="AT166" s="20" t="s">
        <v>17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17</v>
      </c>
      <c r="BM166" s="20">
        <v>23.96</v>
      </c>
      <c r="BN166" s="20">
        <v>71.84</v>
      </c>
      <c r="BW166" s="20">
        <v>-35.15</v>
      </c>
      <c r="BX166" s="20">
        <v>-18.95</v>
      </c>
      <c r="BZ166" s="20">
        <v>-20.14</v>
      </c>
      <c r="CA166" s="20">
        <v>11.69</v>
      </c>
      <c r="CI166" s="20">
        <v>-7.66</v>
      </c>
      <c r="CJ166" s="20">
        <v>-35.55</v>
      </c>
      <c r="CO166" s="20">
        <v>-45.1</v>
      </c>
      <c r="CP166" s="20">
        <v>-41.92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P167" s="20">
        <v>-4.75</v>
      </c>
      <c r="Q167" s="20">
        <v>-9.17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BZ167" s="20">
        <v>-46.16</v>
      </c>
      <c r="CA167" s="20">
        <v>26.86</v>
      </c>
      <c r="CI167" s="20">
        <v>-44.24</v>
      </c>
      <c r="CJ167" s="20">
        <v>-37.85</v>
      </c>
      <c r="CO167" s="20">
        <v>-30.52</v>
      </c>
      <c r="CP167" s="20">
        <v>-55.75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17</v>
      </c>
      <c r="M168" s="20">
        <v>-15.47</v>
      </c>
      <c r="N168" s="20">
        <v>28.97</v>
      </c>
      <c r="P168" s="20">
        <v>-30.22</v>
      </c>
      <c r="Q168" s="20">
        <v>0.77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17</v>
      </c>
      <c r="AO168" s="20">
        <v>-2.44</v>
      </c>
      <c r="AP168" s="20">
        <v>-29.46</v>
      </c>
      <c r="AS168" s="20">
        <v>83.0</v>
      </c>
      <c r="AT168" s="20" t="s">
        <v>17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17</v>
      </c>
      <c r="BM168" s="20">
        <v>33.36</v>
      </c>
      <c r="BN168" s="20">
        <v>42.16</v>
      </c>
      <c r="BW168" s="20">
        <v>-41.01</v>
      </c>
      <c r="BX168" s="20">
        <v>-18.26</v>
      </c>
      <c r="BZ168" s="20">
        <v>-65.23</v>
      </c>
      <c r="CA168" s="20">
        <v>70.85</v>
      </c>
      <c r="CI168" s="20">
        <v>-26.21</v>
      </c>
      <c r="CJ168" s="20">
        <v>-29.96</v>
      </c>
      <c r="CO168" s="20">
        <v>-42.53</v>
      </c>
      <c r="CP168" s="20">
        <v>-51.17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P169" s="20">
        <v>-11.63</v>
      </c>
      <c r="Q169" s="20">
        <v>-5.27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BZ169" s="20">
        <v>-41.77</v>
      </c>
      <c r="CA169" s="20">
        <v>39.46</v>
      </c>
      <c r="CI169" s="20">
        <v>-32.61</v>
      </c>
      <c r="CJ169" s="20">
        <v>-46.42</v>
      </c>
      <c r="CO169" s="20">
        <v>-39.74</v>
      </c>
      <c r="CP169" s="20">
        <v>-62.79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17</v>
      </c>
      <c r="M170" s="20">
        <v>-41.86</v>
      </c>
      <c r="N170" s="20">
        <v>-45.62</v>
      </c>
      <c r="P170" s="20">
        <v>-36.98</v>
      </c>
      <c r="Q170" s="20">
        <v>-9.66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17</v>
      </c>
      <c r="AO170" s="20">
        <v>-19.08</v>
      </c>
      <c r="AP170" s="20">
        <v>-0.7</v>
      </c>
      <c r="AS170" s="20">
        <v>84.0</v>
      </c>
      <c r="AT170" s="20" t="s">
        <v>17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17</v>
      </c>
      <c r="BM170" s="20">
        <v>71.73</v>
      </c>
      <c r="BN170" s="20">
        <v>51.08</v>
      </c>
      <c r="BW170" s="20">
        <v>-42.31</v>
      </c>
      <c r="BX170" s="20">
        <v>-27.97</v>
      </c>
      <c r="BZ170" s="20">
        <v>-50.12</v>
      </c>
      <c r="CA170" s="20">
        <v>-9.29</v>
      </c>
      <c r="CI170" s="20">
        <v>-39.9</v>
      </c>
      <c r="CJ170" s="20">
        <v>-43.91</v>
      </c>
      <c r="CO170" s="20">
        <v>18.46</v>
      </c>
      <c r="CP170" s="20">
        <v>-28.43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P171" s="20">
        <v>-1.11</v>
      </c>
      <c r="Q171" s="20">
        <v>74.97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BZ171" s="20">
        <v>-53.03</v>
      </c>
      <c r="CA171" s="20">
        <v>38.6</v>
      </c>
      <c r="CI171" s="20">
        <v>-43.31</v>
      </c>
      <c r="CJ171" s="20">
        <v>-38.55</v>
      </c>
      <c r="CO171" s="20">
        <v>-12.54</v>
      </c>
      <c r="CP171" s="20">
        <v>-48.66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17</v>
      </c>
      <c r="M172" s="20">
        <v>-23.15</v>
      </c>
      <c r="N172" s="20">
        <v>43.13</v>
      </c>
      <c r="P172" s="20">
        <v>-29.85</v>
      </c>
      <c r="Q172" s="20">
        <v>-2.66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17</v>
      </c>
      <c r="AO172" s="20">
        <v>21.04</v>
      </c>
      <c r="AP172" s="20">
        <v>12.36</v>
      </c>
      <c r="AS172" s="20">
        <v>85.0</v>
      </c>
      <c r="AT172" s="20" t="s">
        <v>17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17</v>
      </c>
      <c r="BM172" s="20">
        <v>3.93</v>
      </c>
      <c r="BN172" s="20">
        <v>81.34</v>
      </c>
      <c r="BW172" s="20">
        <v>-2.2</v>
      </c>
      <c r="BX172" s="20">
        <v>-19.38</v>
      </c>
      <c r="BZ172" s="20">
        <v>-47.28</v>
      </c>
      <c r="CA172" s="20">
        <v>91.17</v>
      </c>
      <c r="CI172" s="20">
        <v>-55.06</v>
      </c>
      <c r="CJ172" s="20">
        <v>-63.08</v>
      </c>
      <c r="CO172" s="20">
        <v>-4.24</v>
      </c>
      <c r="CP172" s="20">
        <v>-40.21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P173" s="20">
        <v>19.14</v>
      </c>
      <c r="Q173" s="20">
        <v>8.78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BZ173" s="20">
        <v>-25.98</v>
      </c>
      <c r="CA173" s="20">
        <v>75.88</v>
      </c>
      <c r="CI173" s="20">
        <v>-61.26</v>
      </c>
      <c r="CJ173" s="20">
        <v>-69.65</v>
      </c>
      <c r="CO173" s="20">
        <v>-19.91</v>
      </c>
      <c r="CP173" s="20">
        <v>-54.57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17</v>
      </c>
      <c r="M174" s="20">
        <v>-37.67</v>
      </c>
      <c r="N174" s="20">
        <v>-16.7</v>
      </c>
      <c r="P174" s="20">
        <v>-7.9</v>
      </c>
      <c r="Q174" s="20">
        <v>7.66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17</v>
      </c>
      <c r="AO174" s="20">
        <v>-22.31</v>
      </c>
      <c r="AP174" s="20">
        <v>-33.77</v>
      </c>
      <c r="AS174" s="20">
        <v>86.0</v>
      </c>
      <c r="AT174" s="20" t="s">
        <v>17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17</v>
      </c>
      <c r="BM174" s="20">
        <v>17.14</v>
      </c>
      <c r="BN174" s="20">
        <v>97.38</v>
      </c>
      <c r="BW174" s="20">
        <v>-50.51</v>
      </c>
      <c r="BX174" s="20">
        <v>-29.27</v>
      </c>
      <c r="BZ174" s="20">
        <v>-44.3</v>
      </c>
      <c r="CA174" s="20">
        <v>44.26</v>
      </c>
      <c r="CI174" s="20">
        <v>-63.29</v>
      </c>
      <c r="CJ174" s="20">
        <v>-62.16</v>
      </c>
      <c r="CO174" s="20">
        <v>-15.85</v>
      </c>
      <c r="CP174" s="20">
        <v>-56.75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P175" s="20">
        <v>-23.51</v>
      </c>
      <c r="Q175" s="20">
        <v>59.39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BZ175" s="20">
        <v>-43.11</v>
      </c>
      <c r="CA175" s="20">
        <v>40.78</v>
      </c>
      <c r="CI175" s="20">
        <v>-54.43</v>
      </c>
      <c r="CJ175" s="20">
        <v>-60.72</v>
      </c>
      <c r="CO175" s="20">
        <v>1.23</v>
      </c>
      <c r="CP175" s="20">
        <v>-49.33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17</v>
      </c>
      <c r="M176" s="20">
        <v>0.63</v>
      </c>
      <c r="N176" s="20">
        <v>45.94</v>
      </c>
      <c r="P176" s="20">
        <v>-4.0</v>
      </c>
      <c r="Q176" s="20">
        <v>29.92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17</v>
      </c>
      <c r="AO176" s="20">
        <v>34.52</v>
      </c>
      <c r="AP176" s="20">
        <v>9.45</v>
      </c>
      <c r="AS176" s="20">
        <v>87.0</v>
      </c>
      <c r="AT176" s="20" t="s">
        <v>17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17</v>
      </c>
      <c r="BM176" s="20">
        <v>4.91</v>
      </c>
      <c r="BN176" s="20">
        <v>54.7</v>
      </c>
      <c r="BW176" s="20">
        <v>-54.76</v>
      </c>
      <c r="BX176" s="20">
        <v>-27.56</v>
      </c>
      <c r="BZ176" s="20">
        <v>-55.49</v>
      </c>
      <c r="CA176" s="20">
        <v>38.79</v>
      </c>
      <c r="CI176" s="20">
        <v>-63.45</v>
      </c>
      <c r="CJ176" s="20">
        <v>-54.84</v>
      </c>
      <c r="CO176" s="20">
        <v>-21.82</v>
      </c>
      <c r="CP176" s="20">
        <v>-58.96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P177" s="20">
        <v>10.58</v>
      </c>
      <c r="Q177" s="20">
        <v>25.58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BZ177" s="20">
        <v>-31.91</v>
      </c>
      <c r="CA177" s="20">
        <v>25.12</v>
      </c>
      <c r="CI177" s="20">
        <v>-39.91</v>
      </c>
      <c r="CJ177" s="20">
        <v>-50.38</v>
      </c>
      <c r="CO177" s="20">
        <v>-18.25</v>
      </c>
      <c r="CP177" s="20">
        <v>-62.83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17</v>
      </c>
      <c r="M178" s="20">
        <v>-30.53</v>
      </c>
      <c r="N178" s="20">
        <v>108.15</v>
      </c>
      <c r="P178" s="20">
        <v>-12.0</v>
      </c>
      <c r="Q178" s="20">
        <v>31.26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17</v>
      </c>
      <c r="AO178" s="20">
        <v>-6.88</v>
      </c>
      <c r="AP178" s="20">
        <v>-55.56</v>
      </c>
      <c r="AS178" s="20">
        <v>88.0</v>
      </c>
      <c r="AT178" s="20" t="s">
        <v>17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17</v>
      </c>
      <c r="BM178" s="20">
        <v>56.73</v>
      </c>
      <c r="BN178" s="20">
        <v>134.72</v>
      </c>
      <c r="BW178" s="20">
        <v>-25.66</v>
      </c>
      <c r="BX178" s="20">
        <v>-4.85</v>
      </c>
      <c r="BZ178" s="20">
        <v>-57.96</v>
      </c>
      <c r="CA178" s="20">
        <v>-21.46</v>
      </c>
      <c r="CI178" s="20">
        <v>-51.31</v>
      </c>
      <c r="CJ178" s="20">
        <v>-62.99</v>
      </c>
      <c r="CO178" s="20">
        <v>-6.94</v>
      </c>
      <c r="CP178" s="20">
        <v>-62.34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P179" s="20">
        <v>3.21</v>
      </c>
      <c r="Q179" s="20">
        <v>2.82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BZ179" s="20">
        <v>-49.55</v>
      </c>
      <c r="CA179" s="20">
        <v>-1.53</v>
      </c>
      <c r="CI179" s="20">
        <v>-66.87</v>
      </c>
      <c r="CJ179" s="20">
        <v>-55.34</v>
      </c>
      <c r="CO179" s="20">
        <v>-16.71</v>
      </c>
      <c r="CP179" s="20">
        <v>-53.02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17</v>
      </c>
      <c r="M180" s="20">
        <v>-24.74</v>
      </c>
      <c r="N180" s="20">
        <v>4.79</v>
      </c>
      <c r="P180" s="20">
        <v>0.58</v>
      </c>
      <c r="Q180" s="20">
        <v>20.67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17</v>
      </c>
      <c r="AO180" s="20">
        <v>-10.22</v>
      </c>
      <c r="AP180" s="20">
        <v>-1.5</v>
      </c>
      <c r="AS180" s="20">
        <v>89.0</v>
      </c>
      <c r="AT180" s="20" t="s">
        <v>17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17</v>
      </c>
      <c r="BM180" s="20">
        <v>33.88</v>
      </c>
      <c r="BN180" s="20">
        <v>73.57</v>
      </c>
      <c r="BW180" s="20">
        <v>-51.98</v>
      </c>
      <c r="BX180" s="20">
        <v>-18.58</v>
      </c>
      <c r="BZ180" s="20">
        <v>-4.57</v>
      </c>
      <c r="CA180" s="20">
        <v>16.34</v>
      </c>
      <c r="CI180" s="20">
        <v>-41.14</v>
      </c>
      <c r="CJ180" s="20">
        <v>-59.39</v>
      </c>
      <c r="CO180" s="20">
        <v>-14.85</v>
      </c>
      <c r="CP180" s="20">
        <v>-54.64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P181" s="20">
        <v>-0.87</v>
      </c>
      <c r="Q181" s="20">
        <v>-14.82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BZ181" s="20">
        <v>-38.42</v>
      </c>
      <c r="CA181" s="20">
        <v>8.72</v>
      </c>
      <c r="CI181" s="20">
        <v>-58.32</v>
      </c>
      <c r="CJ181" s="20">
        <v>-52.97</v>
      </c>
      <c r="CO181" s="20">
        <v>-43.79</v>
      </c>
      <c r="CP181" s="20">
        <v>-48.45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17</v>
      </c>
      <c r="M182" s="20">
        <v>-12.78</v>
      </c>
      <c r="N182" s="20">
        <v>-2.25</v>
      </c>
      <c r="P182" s="20">
        <v>10.19</v>
      </c>
      <c r="Q182" s="20">
        <v>21.71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17</v>
      </c>
      <c r="AO182" s="20">
        <v>8.4</v>
      </c>
      <c r="AP182" s="20">
        <v>13.24</v>
      </c>
      <c r="AS182" s="20">
        <v>90.0</v>
      </c>
      <c r="AT182" s="20" t="s">
        <v>17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17</v>
      </c>
      <c r="BM182" s="20">
        <v>5.31</v>
      </c>
      <c r="BN182" s="20">
        <v>79.43</v>
      </c>
      <c r="BW182" s="20">
        <v>-28.59</v>
      </c>
      <c r="BX182" s="20">
        <v>9.07</v>
      </c>
      <c r="BZ182" s="20">
        <v>-38.08</v>
      </c>
      <c r="CA182" s="20">
        <v>14.75</v>
      </c>
      <c r="CI182" s="20">
        <v>-42.19</v>
      </c>
      <c r="CJ182" s="20">
        <v>-45.23</v>
      </c>
      <c r="CO182" s="20">
        <v>-9.66</v>
      </c>
      <c r="CP182" s="20">
        <v>-54.86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P183" s="20">
        <v>49.28</v>
      </c>
      <c r="Q183" s="20">
        <v>20.18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BZ183" s="20">
        <v>-42.03</v>
      </c>
      <c r="CA183" s="20">
        <v>48.06</v>
      </c>
      <c r="CI183" s="20">
        <v>-52.01</v>
      </c>
      <c r="CJ183" s="20">
        <v>-44.95</v>
      </c>
      <c r="CO183" s="20">
        <v>-29.08</v>
      </c>
      <c r="CP183" s="20">
        <v>-57.4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17</v>
      </c>
      <c r="M184" s="20">
        <v>-13.01</v>
      </c>
      <c r="N184" s="20">
        <v>83.56</v>
      </c>
      <c r="P184" s="20">
        <v>15.19</v>
      </c>
      <c r="Q184" s="20">
        <v>95.16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17</v>
      </c>
      <c r="AO184" s="20">
        <v>-7.43</v>
      </c>
      <c r="AP184" s="20">
        <v>-11.36</v>
      </c>
      <c r="AS184" s="20">
        <v>91.0</v>
      </c>
      <c r="AT184" s="20" t="s">
        <v>17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17</v>
      </c>
      <c r="BM184" s="20">
        <v>85.0</v>
      </c>
      <c r="BN184" s="20">
        <v>157.71</v>
      </c>
      <c r="BW184" s="20">
        <v>-56.53</v>
      </c>
      <c r="BX184" s="20">
        <v>-20.14</v>
      </c>
      <c r="BZ184" s="20">
        <v>-55.9</v>
      </c>
      <c r="CA184" s="20">
        <v>9.17</v>
      </c>
      <c r="CI184" s="20">
        <v>-41.69</v>
      </c>
      <c r="CJ184" s="20">
        <v>-63.36</v>
      </c>
      <c r="CO184" s="20">
        <v>-16.45</v>
      </c>
      <c r="CP184" s="20">
        <v>-48.7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P185" s="20">
        <v>39.27</v>
      </c>
      <c r="Q185" s="20">
        <v>18.63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BZ185" s="20">
        <v>-23.26</v>
      </c>
      <c r="CA185" s="20">
        <v>67.5</v>
      </c>
      <c r="CI185" s="20">
        <v>-46.5</v>
      </c>
      <c r="CJ185" s="20">
        <v>-59.9</v>
      </c>
      <c r="CO185" s="20">
        <v>-28.75</v>
      </c>
      <c r="CP185" s="20">
        <v>-56.95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17</v>
      </c>
      <c r="M186" s="20">
        <v>1.32</v>
      </c>
      <c r="N186" s="20">
        <v>-4.89</v>
      </c>
      <c r="P186" s="20">
        <v>-16.13</v>
      </c>
      <c r="Q186" s="20">
        <v>26.97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17</v>
      </c>
      <c r="AO186" s="20">
        <v>-32.35</v>
      </c>
      <c r="AP186" s="20">
        <v>21.87</v>
      </c>
      <c r="AS186" s="20">
        <v>92.0</v>
      </c>
      <c r="AT186" s="20" t="s">
        <v>17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17</v>
      </c>
      <c r="BM186" s="20">
        <v>7.24</v>
      </c>
      <c r="BN186" s="20">
        <v>66.56</v>
      </c>
      <c r="BW186" s="20">
        <v>-33.58</v>
      </c>
      <c r="BX186" s="20">
        <v>-7.55</v>
      </c>
      <c r="BZ186" s="20">
        <v>-58.04</v>
      </c>
      <c r="CA186" s="20">
        <v>-10.61</v>
      </c>
      <c r="CI186" s="20">
        <v>-39.93</v>
      </c>
      <c r="CJ186" s="20">
        <v>-43.33</v>
      </c>
      <c r="CO186" s="20">
        <v>-26.73</v>
      </c>
      <c r="CP186" s="20">
        <v>-52.44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P187" s="20">
        <v>43.52</v>
      </c>
      <c r="Q187" s="20">
        <v>16.92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BZ187" s="20">
        <v>-44.28</v>
      </c>
      <c r="CA187" s="20">
        <v>12.25</v>
      </c>
      <c r="CI187" s="20">
        <v>-45.56</v>
      </c>
      <c r="CJ187" s="20">
        <v>-43.37</v>
      </c>
      <c r="CO187" s="20">
        <v>-14.0</v>
      </c>
      <c r="CP187" s="20">
        <v>-54.08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17</v>
      </c>
      <c r="M188" s="20">
        <v>-19.15</v>
      </c>
      <c r="N188" s="20">
        <v>13.39</v>
      </c>
      <c r="P188" s="20">
        <v>-43.6</v>
      </c>
      <c r="Q188" s="20">
        <v>-17.53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17</v>
      </c>
      <c r="AO188" s="20">
        <v>-32.34</v>
      </c>
      <c r="AP188" s="20">
        <v>20.91</v>
      </c>
      <c r="AS188" s="20">
        <v>93.0</v>
      </c>
      <c r="AT188" s="20" t="s">
        <v>17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17</v>
      </c>
      <c r="BM188" s="20">
        <v>64.92</v>
      </c>
      <c r="BN188" s="20">
        <v>116.32</v>
      </c>
      <c r="BW188" s="20">
        <v>-37.91</v>
      </c>
      <c r="BX188" s="20">
        <v>-32.56</v>
      </c>
      <c r="BZ188" s="20">
        <v>-22.47</v>
      </c>
      <c r="CA188" s="20">
        <v>13.86</v>
      </c>
      <c r="CI188" s="20">
        <v>-62.31</v>
      </c>
      <c r="CJ188" s="20">
        <v>-56.32</v>
      </c>
      <c r="CO188" s="20">
        <v>9.06</v>
      </c>
      <c r="CP188" s="20">
        <v>-58.13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P189" s="20">
        <v>59.77</v>
      </c>
      <c r="Q189" s="20">
        <v>32.33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BZ189" s="20">
        <v>-40.32</v>
      </c>
      <c r="CA189" s="20">
        <v>12.16</v>
      </c>
      <c r="CI189" s="20">
        <v>-51.39</v>
      </c>
      <c r="CJ189" s="20">
        <v>-59.15</v>
      </c>
      <c r="CO189" s="20">
        <v>-44.56</v>
      </c>
      <c r="CP189" s="20">
        <v>-56.38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17</v>
      </c>
      <c r="M190" s="20">
        <v>-46.73</v>
      </c>
      <c r="N190" s="20">
        <v>-26.29</v>
      </c>
      <c r="P190" s="20">
        <v>-8.03</v>
      </c>
      <c r="Q190" s="20">
        <v>-4.51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17</v>
      </c>
      <c r="AO190" s="20">
        <v>-0.28</v>
      </c>
      <c r="AP190" s="20">
        <v>-27.16</v>
      </c>
      <c r="AS190" s="20">
        <v>94.0</v>
      </c>
      <c r="AT190" s="20" t="s">
        <v>17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17</v>
      </c>
      <c r="BM190" s="20">
        <v>75.7</v>
      </c>
      <c r="BN190" s="20">
        <v>147.37</v>
      </c>
      <c r="BW190" s="20">
        <v>-52.97</v>
      </c>
      <c r="BX190" s="20">
        <v>-18.9</v>
      </c>
      <c r="BZ190" s="20">
        <v>-5.17</v>
      </c>
      <c r="CA190" s="20">
        <v>17.48</v>
      </c>
      <c r="CI190" s="20">
        <v>-63.62</v>
      </c>
      <c r="CJ190" s="20">
        <v>-61.53</v>
      </c>
      <c r="CO190" s="20">
        <v>-6.86</v>
      </c>
      <c r="CP190" s="20">
        <v>-54.55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P191" s="20">
        <v>28.64</v>
      </c>
      <c r="Q191" s="20">
        <v>4.62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BZ191" s="20">
        <v>-37.08</v>
      </c>
      <c r="CA191" s="20">
        <v>5.75</v>
      </c>
      <c r="CI191" s="20">
        <v>-47.65</v>
      </c>
      <c r="CJ191" s="20">
        <v>-64.2</v>
      </c>
      <c r="CO191" s="20">
        <v>-34.67</v>
      </c>
      <c r="CP191" s="20">
        <v>-59.18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17</v>
      </c>
      <c r="M192" s="20">
        <v>5.26</v>
      </c>
      <c r="N192" s="20">
        <v>-13.93</v>
      </c>
      <c r="P192" s="20">
        <v>-44.3</v>
      </c>
      <c r="Q192" s="20">
        <v>-10.33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17</v>
      </c>
      <c r="AO192" s="20">
        <v>12.49</v>
      </c>
      <c r="AP192" s="20">
        <v>-18.89</v>
      </c>
      <c r="AS192" s="20">
        <v>95.0</v>
      </c>
      <c r="AT192" s="20" t="s">
        <v>17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17</v>
      </c>
      <c r="BM192" s="20">
        <v>28.31</v>
      </c>
      <c r="BN192" s="20">
        <v>98.6</v>
      </c>
      <c r="BW192" s="20">
        <v>-42.57</v>
      </c>
      <c r="BX192" s="20">
        <v>-10.09</v>
      </c>
      <c r="BZ192" s="20">
        <v>-51.2</v>
      </c>
      <c r="CA192" s="20">
        <v>-8.14</v>
      </c>
      <c r="CI192" s="20">
        <v>-40.14</v>
      </c>
      <c r="CJ192" s="20">
        <v>-35.84</v>
      </c>
      <c r="CO192" s="20">
        <v>-18.99</v>
      </c>
      <c r="CP192" s="20">
        <v>-58.25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P193" s="20">
        <v>28.37</v>
      </c>
      <c r="Q193" s="20">
        <v>31.33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BZ193" s="20">
        <v>-40.71</v>
      </c>
      <c r="CA193" s="20">
        <v>42.22</v>
      </c>
      <c r="CI193" s="20">
        <v>-47.7</v>
      </c>
      <c r="CJ193" s="20">
        <v>-60.06</v>
      </c>
      <c r="CO193" s="20">
        <v>-46.51</v>
      </c>
      <c r="CP193" s="20">
        <v>-57.29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17</v>
      </c>
      <c r="M194" s="20">
        <v>-17.98</v>
      </c>
      <c r="N194" s="20">
        <v>19.15</v>
      </c>
      <c r="P194" s="20">
        <v>-35.49</v>
      </c>
      <c r="Q194" s="20">
        <v>-3.89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17</v>
      </c>
      <c r="AO194" s="20">
        <v>-7.88</v>
      </c>
      <c r="AP194" s="20">
        <v>-44.79</v>
      </c>
      <c r="AS194" s="20">
        <v>96.0</v>
      </c>
      <c r="AT194" s="20" t="s">
        <v>17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17</v>
      </c>
      <c r="BM194" s="20">
        <v>51.34</v>
      </c>
      <c r="BN194" s="20">
        <v>56.46</v>
      </c>
      <c r="BW194" s="20">
        <v>-41.85</v>
      </c>
      <c r="BX194" s="20">
        <v>-13.31</v>
      </c>
      <c r="BZ194" s="20">
        <v>-59.49</v>
      </c>
      <c r="CA194" s="20">
        <v>-2.02</v>
      </c>
      <c r="CI194" s="20">
        <v>-51.14</v>
      </c>
      <c r="CJ194" s="20">
        <v>-46.5</v>
      </c>
      <c r="CO194" s="20">
        <v>-49.64</v>
      </c>
      <c r="CP194" s="20">
        <v>-62.25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P195" s="20">
        <v>-34.37</v>
      </c>
      <c r="Q195" s="20">
        <v>-5.97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BZ195" s="20">
        <v>-18.27</v>
      </c>
      <c r="CA195" s="20">
        <v>-43.67</v>
      </c>
      <c r="CI195" s="20">
        <v>-16.07</v>
      </c>
      <c r="CJ195" s="20">
        <v>-6.82</v>
      </c>
      <c r="CO195" s="20">
        <v>-27.07</v>
      </c>
      <c r="CP195" s="20">
        <v>-45.35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17</v>
      </c>
      <c r="M196" s="20">
        <v>72.76</v>
      </c>
      <c r="N196" s="20">
        <v>-68.87</v>
      </c>
      <c r="P196" s="20">
        <v>-63.76</v>
      </c>
      <c r="Q196" s="20">
        <v>-71.57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17</v>
      </c>
      <c r="AO196" s="20">
        <v>-10.15</v>
      </c>
      <c r="AP196" s="20">
        <v>-14.49</v>
      </c>
      <c r="AS196" s="20">
        <v>97.0</v>
      </c>
      <c r="AT196" s="20" t="s">
        <v>17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17</v>
      </c>
      <c r="BM196" s="20">
        <v>-37.19</v>
      </c>
      <c r="BN196" s="20">
        <v>-42.82</v>
      </c>
      <c r="BW196" s="20">
        <v>-39.16</v>
      </c>
      <c r="BX196" s="20">
        <v>1.95</v>
      </c>
      <c r="BZ196" s="20">
        <v>3.85</v>
      </c>
      <c r="CA196" s="20">
        <v>-10.13</v>
      </c>
      <c r="CI196" s="20">
        <v>-51.23</v>
      </c>
      <c r="CJ196" s="20">
        <v>-55.41</v>
      </c>
      <c r="CO196" s="20">
        <v>-9.41</v>
      </c>
      <c r="CP196" s="20">
        <v>-51.0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P197" s="20">
        <v>-18.36</v>
      </c>
      <c r="Q197" s="20">
        <v>16.28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BZ197" s="20">
        <v>-44.92</v>
      </c>
      <c r="CA197" s="20">
        <v>136.56</v>
      </c>
      <c r="CI197" s="20">
        <v>-57.73</v>
      </c>
      <c r="CJ197" s="20">
        <v>-56.3</v>
      </c>
      <c r="CO197" s="20">
        <v>-38.7</v>
      </c>
      <c r="CP197" s="20">
        <v>-39.26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17</v>
      </c>
      <c r="M198" s="20">
        <v>-45.38</v>
      </c>
      <c r="N198" s="20">
        <v>-26.79</v>
      </c>
      <c r="P198" s="20">
        <v>-69.5</v>
      </c>
      <c r="Q198" s="20">
        <v>-44.7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17</v>
      </c>
      <c r="AO198" s="20">
        <v>-21.98</v>
      </c>
      <c r="AP198" s="20">
        <v>-26.31</v>
      </c>
      <c r="AS198" s="20">
        <v>98.0</v>
      </c>
      <c r="AT198" s="20" t="s">
        <v>17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17</v>
      </c>
      <c r="BM198" s="20">
        <v>176.75</v>
      </c>
      <c r="BN198" s="20">
        <v>82.11</v>
      </c>
      <c r="BW198" s="20">
        <v>-67.58</v>
      </c>
      <c r="BX198" s="20">
        <v>-54.9</v>
      </c>
      <c r="BZ198" s="20">
        <v>-45.64</v>
      </c>
      <c r="CA198" s="20">
        <v>81.86</v>
      </c>
      <c r="CI198" s="20">
        <v>-37.69</v>
      </c>
      <c r="CJ198" s="20">
        <v>-6.38</v>
      </c>
      <c r="CO198" s="20">
        <v>-6.21</v>
      </c>
      <c r="CP198" s="20">
        <v>-31.1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P199" s="20">
        <v>-19.45</v>
      </c>
      <c r="Q199" s="20">
        <v>-16.47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BZ199" s="20">
        <v>-55.55</v>
      </c>
      <c r="CA199" s="20">
        <v>41.17</v>
      </c>
      <c r="CI199" s="20">
        <v>-54.63</v>
      </c>
      <c r="CJ199" s="20">
        <v>-59.51</v>
      </c>
      <c r="CO199" s="20">
        <v>-54.17</v>
      </c>
      <c r="CP199" s="20">
        <v>-26.83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17</v>
      </c>
      <c r="M200" s="20">
        <v>-20.3</v>
      </c>
      <c r="N200" s="20">
        <v>-42.24</v>
      </c>
      <c r="P200" s="20">
        <v>-74.0</v>
      </c>
      <c r="Q200" s="20">
        <v>-44.27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17</v>
      </c>
      <c r="AO200" s="20">
        <v>-53.14</v>
      </c>
      <c r="AP200" s="20">
        <v>-30.06</v>
      </c>
      <c r="AS200" s="20">
        <v>99.0</v>
      </c>
      <c r="AT200" s="20" t="s">
        <v>17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17</v>
      </c>
      <c r="BM200" s="20">
        <v>79.61</v>
      </c>
      <c r="BN200" s="20">
        <v>55.7</v>
      </c>
      <c r="BW200" s="20">
        <v>-48.02</v>
      </c>
      <c r="BX200" s="20">
        <v>-19.44</v>
      </c>
      <c r="BZ200" s="20">
        <v>-64.19</v>
      </c>
      <c r="CA200" s="20">
        <v>40.05</v>
      </c>
      <c r="CI200" s="20">
        <v>-45.34</v>
      </c>
      <c r="CJ200" s="20">
        <v>-50.06</v>
      </c>
      <c r="CO200" s="20">
        <v>-11.72</v>
      </c>
      <c r="CP200" s="20">
        <v>-11.12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P201" s="20">
        <v>-1.14</v>
      </c>
      <c r="Q201" s="20">
        <v>-1.91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BZ201" s="20">
        <v>-36.14</v>
      </c>
      <c r="CA201" s="20">
        <v>88.46</v>
      </c>
      <c r="CI201" s="20">
        <v>-58.63</v>
      </c>
      <c r="CJ201" s="20">
        <v>-57.42</v>
      </c>
      <c r="CO201" s="20">
        <v>-39.61</v>
      </c>
      <c r="CP201" s="20">
        <v>9.37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17</v>
      </c>
      <c r="M202" s="20">
        <v>-23.66</v>
      </c>
      <c r="N202" s="20">
        <v>25.97</v>
      </c>
      <c r="P202" s="20">
        <v>76.57</v>
      </c>
      <c r="Q202" s="20">
        <v>125.0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17</v>
      </c>
      <c r="AO202" s="20">
        <v>-12.85</v>
      </c>
      <c r="AP202" s="20">
        <v>-53.5</v>
      </c>
      <c r="AS202" s="20">
        <v>100.0</v>
      </c>
      <c r="AT202" s="20" t="s">
        <v>17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17</v>
      </c>
      <c r="BM202" s="20">
        <v>40.46</v>
      </c>
      <c r="BN202" s="20">
        <v>5.35</v>
      </c>
      <c r="BW202" s="20">
        <v>-45.89</v>
      </c>
      <c r="BX202" s="20">
        <v>-32.22</v>
      </c>
      <c r="BZ202" s="20">
        <v>-27.55</v>
      </c>
      <c r="CA202" s="20">
        <v>118.61</v>
      </c>
      <c r="CI202" s="20">
        <v>-68.57</v>
      </c>
      <c r="CJ202" s="20">
        <v>-68.83</v>
      </c>
      <c r="CO202" s="20">
        <v>-7.76</v>
      </c>
      <c r="CP202" s="20">
        <v>-34.34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P203" s="20">
        <v>41.31</v>
      </c>
      <c r="Q203" s="20">
        <v>26.46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BZ203" s="20">
        <v>-33.23</v>
      </c>
      <c r="CA203" s="20">
        <v>51.46</v>
      </c>
      <c r="CI203" s="20">
        <v>-47.26</v>
      </c>
      <c r="CJ203" s="20">
        <v>-57.67</v>
      </c>
      <c r="CO203" s="20">
        <v>-18.35</v>
      </c>
      <c r="CP203" s="20">
        <v>-33.25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17</v>
      </c>
      <c r="M204" s="20">
        <v>-39.55</v>
      </c>
      <c r="N204" s="20">
        <v>-69.5</v>
      </c>
      <c r="P204" s="20">
        <v>35.55</v>
      </c>
      <c r="Q204" s="20">
        <v>123.73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17</v>
      </c>
      <c r="AO204" s="20">
        <v>-21.62</v>
      </c>
      <c r="AP204" s="20">
        <v>-20.08</v>
      </c>
      <c r="AS204" s="20">
        <v>101.0</v>
      </c>
      <c r="AT204" s="20" t="s">
        <v>17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17</v>
      </c>
      <c r="BM204" s="20">
        <v>41.36</v>
      </c>
      <c r="BN204" s="20">
        <v>43.7</v>
      </c>
      <c r="BW204" s="20">
        <v>-69.51</v>
      </c>
      <c r="BX204" s="20">
        <v>-7.4</v>
      </c>
      <c r="BZ204" s="20">
        <v>-40.98</v>
      </c>
      <c r="CA204" s="20">
        <v>-21.78</v>
      </c>
      <c r="CI204" s="20">
        <v>-20.74</v>
      </c>
      <c r="CJ204" s="20">
        <v>-47.53</v>
      </c>
      <c r="CO204" s="20">
        <v>0.92</v>
      </c>
      <c r="CP204" s="20">
        <v>-50.84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P205" s="20">
        <v>-40.98</v>
      </c>
      <c r="Q205" s="20">
        <v>-17.33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BZ205" s="20">
        <v>-35.59</v>
      </c>
      <c r="CA205" s="20">
        <v>199.37</v>
      </c>
      <c r="CI205" s="20">
        <v>-42.25</v>
      </c>
      <c r="CJ205" s="20">
        <v>-38.34</v>
      </c>
      <c r="CO205" s="20">
        <v>-17.18</v>
      </c>
      <c r="CP205" s="20">
        <v>-41.29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17</v>
      </c>
      <c r="M206" s="20">
        <v>-8.69</v>
      </c>
      <c r="N206" s="20">
        <v>-6.04</v>
      </c>
      <c r="P206" s="20">
        <v>42.36</v>
      </c>
      <c r="Q206" s="20">
        <v>145.75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17</v>
      </c>
      <c r="AO206" s="20">
        <v>-1.76</v>
      </c>
      <c r="AP206" s="20">
        <v>-14.1</v>
      </c>
      <c r="AS206" s="20">
        <v>102.0</v>
      </c>
      <c r="AT206" s="20" t="s">
        <v>17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17</v>
      </c>
      <c r="BM206" s="20">
        <v>69.96</v>
      </c>
      <c r="BN206" s="20">
        <v>39.32</v>
      </c>
      <c r="BW206" s="20">
        <v>-55.22</v>
      </c>
      <c r="BX206" s="20">
        <v>-25.79</v>
      </c>
      <c r="BZ206" s="20">
        <v>-57.02</v>
      </c>
      <c r="CA206" s="20">
        <v>88.21</v>
      </c>
      <c r="CI206" s="20">
        <v>-37.07</v>
      </c>
      <c r="CJ206" s="20">
        <v>-44.1</v>
      </c>
      <c r="CO206" s="20">
        <v>-15.17</v>
      </c>
      <c r="CP206" s="20">
        <v>-27.07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P207" s="20">
        <v>-19.28</v>
      </c>
      <c r="Q207" s="20">
        <v>41.24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BZ207" s="20">
        <v>-50.22</v>
      </c>
      <c r="CA207" s="20">
        <v>93.55</v>
      </c>
      <c r="CI207" s="20">
        <v>-25.39</v>
      </c>
      <c r="CJ207" s="20">
        <v>-30.0</v>
      </c>
      <c r="CO207" s="20">
        <v>-20.76</v>
      </c>
      <c r="CP207" s="20">
        <v>-44.89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17</v>
      </c>
      <c r="M208" s="20">
        <v>-15.85</v>
      </c>
      <c r="N208" s="20">
        <v>34.16</v>
      </c>
      <c r="P208" s="20">
        <v>17.81</v>
      </c>
      <c r="Q208" s="20">
        <v>65.83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17</v>
      </c>
      <c r="AO208" s="20">
        <v>-24.4</v>
      </c>
      <c r="AP208" s="20">
        <v>-5.28</v>
      </c>
      <c r="AS208" s="20">
        <v>103.0</v>
      </c>
      <c r="AT208" s="20" t="s">
        <v>17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17</v>
      </c>
      <c r="BM208" s="20">
        <v>50.28</v>
      </c>
      <c r="BN208" s="20">
        <v>33.27</v>
      </c>
      <c r="BW208" s="20">
        <v>-41.76</v>
      </c>
      <c r="BX208" s="20">
        <v>-37.25</v>
      </c>
      <c r="BZ208" s="20">
        <v>-50.83</v>
      </c>
      <c r="CA208" s="20">
        <v>-14.0</v>
      </c>
      <c r="CI208" s="20">
        <v>-43.38</v>
      </c>
      <c r="CJ208" s="20">
        <v>-34.3</v>
      </c>
      <c r="CO208" s="20">
        <v>-0.82</v>
      </c>
      <c r="CP208" s="20">
        <v>-28.32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P209" s="20">
        <v>-8.93</v>
      </c>
      <c r="Q209" s="20">
        <v>38.22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BZ209" s="20">
        <v>-18.63</v>
      </c>
      <c r="CA209" s="20">
        <v>103.64</v>
      </c>
      <c r="CI209" s="20">
        <v>-52.2</v>
      </c>
      <c r="CJ209" s="20">
        <v>-60.81</v>
      </c>
      <c r="CO209" s="20">
        <v>52.65</v>
      </c>
      <c r="CP209" s="20">
        <v>-14.43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17</v>
      </c>
      <c r="M210" s="20">
        <v>-26.11</v>
      </c>
      <c r="N210" s="20">
        <v>15.52</v>
      </c>
      <c r="P210" s="20">
        <v>25.64</v>
      </c>
      <c r="Q210" s="20">
        <v>94.81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17</v>
      </c>
      <c r="AO210" s="20">
        <v>55.48</v>
      </c>
      <c r="AP210" s="20">
        <v>-28.23</v>
      </c>
      <c r="AS210" s="20">
        <v>104.0</v>
      </c>
      <c r="AT210" s="20" t="s">
        <v>17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17</v>
      </c>
      <c r="BM210" s="20">
        <v>5.91</v>
      </c>
      <c r="BN210" s="20">
        <v>107.27</v>
      </c>
      <c r="BW210" s="20">
        <v>-63.2</v>
      </c>
      <c r="BX210" s="20">
        <v>-7.73</v>
      </c>
      <c r="BZ210" s="20">
        <v>-44.87</v>
      </c>
      <c r="CA210" s="20">
        <v>254.03</v>
      </c>
      <c r="CI210" s="20">
        <v>-48.41</v>
      </c>
      <c r="CJ210" s="20">
        <v>-54.87</v>
      </c>
      <c r="CO210" s="20">
        <v>47.86</v>
      </c>
      <c r="CP210" s="20">
        <v>-49.31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P211" s="20">
        <v>42.63</v>
      </c>
      <c r="Q211" s="20">
        <v>52.8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BZ211" s="20">
        <v>-48.34</v>
      </c>
      <c r="CA211" s="20">
        <v>70.13</v>
      </c>
      <c r="CI211" s="20">
        <v>-46.0</v>
      </c>
      <c r="CJ211" s="20">
        <v>-44.93</v>
      </c>
      <c r="CO211" s="20">
        <v>-24.71</v>
      </c>
      <c r="CP211" s="20">
        <v>-68.81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17</v>
      </c>
      <c r="M212" s="20">
        <v>-36.01</v>
      </c>
      <c r="N212" s="20">
        <v>18.64</v>
      </c>
      <c r="P212" s="20">
        <v>52.88</v>
      </c>
      <c r="Q212" s="20">
        <v>70.44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17</v>
      </c>
      <c r="AO212" s="20">
        <v>-10.62</v>
      </c>
      <c r="AP212" s="20">
        <v>-20.05</v>
      </c>
      <c r="AS212" s="20">
        <v>105.0</v>
      </c>
      <c r="AT212" s="20" t="s">
        <v>17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17</v>
      </c>
      <c r="BM212" s="20">
        <v>35.38</v>
      </c>
      <c r="BN212" s="20">
        <v>46.99</v>
      </c>
      <c r="BW212" s="20">
        <v>-42.36</v>
      </c>
      <c r="BX212" s="20">
        <v>-29.07</v>
      </c>
      <c r="BZ212" s="20">
        <v>-41.55</v>
      </c>
      <c r="CA212" s="20">
        <v>50.87</v>
      </c>
      <c r="CI212" s="20">
        <v>-61.09</v>
      </c>
      <c r="CJ212" s="20">
        <v>-20.82</v>
      </c>
      <c r="CO212" s="20">
        <v>2.79</v>
      </c>
      <c r="CP212" s="20">
        <v>-44.17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P213" s="20">
        <v>-23.57</v>
      </c>
      <c r="Q213" s="20">
        <v>-9.19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BZ213" s="20">
        <v>-13.69</v>
      </c>
      <c r="CA213" s="20">
        <v>88.29</v>
      </c>
      <c r="CI213" s="20">
        <v>-6.2</v>
      </c>
      <c r="CJ213" s="20">
        <v>-5.46</v>
      </c>
      <c r="CO213" s="20">
        <v>-21.03</v>
      </c>
      <c r="CP213" s="20">
        <v>-67.63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17</v>
      </c>
      <c r="M214" s="20">
        <v>-4.37</v>
      </c>
      <c r="N214" s="20">
        <v>48.71</v>
      </c>
      <c r="P214" s="20">
        <v>-39.74</v>
      </c>
      <c r="Q214" s="20">
        <v>-69.81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17</v>
      </c>
      <c r="AO214" s="20">
        <v>1.35</v>
      </c>
      <c r="AP214" s="20">
        <v>-0.44</v>
      </c>
      <c r="AS214" s="20">
        <v>106.0</v>
      </c>
      <c r="AT214" s="20" t="s">
        <v>17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17</v>
      </c>
      <c r="BM214" s="20">
        <v>82.34</v>
      </c>
      <c r="BN214" s="20">
        <v>78.69</v>
      </c>
      <c r="BW214" s="20">
        <v>-45.49</v>
      </c>
      <c r="BX214" s="20">
        <v>-8.13</v>
      </c>
      <c r="BZ214" s="20">
        <v>-67.0</v>
      </c>
      <c r="CA214" s="20">
        <v>112.54</v>
      </c>
      <c r="CI214" s="20">
        <v>-33.17</v>
      </c>
      <c r="CJ214" s="20">
        <v>-19.12</v>
      </c>
      <c r="CO214" s="20">
        <v>-27.47</v>
      </c>
      <c r="CP214" s="20">
        <v>-35.94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P215" s="20">
        <v>-7.47</v>
      </c>
      <c r="Q215" s="20">
        <v>3.81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BZ215" s="20">
        <v>-40.7</v>
      </c>
      <c r="CA215" s="20">
        <v>-16.38</v>
      </c>
      <c r="CI215" s="20">
        <v>-37.68</v>
      </c>
      <c r="CJ215" s="20">
        <v>-36.28</v>
      </c>
      <c r="CO215" s="20">
        <v>-38.37</v>
      </c>
      <c r="CP215" s="20">
        <v>-62.49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17</v>
      </c>
      <c r="M216" s="20">
        <v>164.25</v>
      </c>
      <c r="N216" s="20">
        <v>86.52</v>
      </c>
      <c r="P216" s="20">
        <v>37.58</v>
      </c>
      <c r="Q216" s="20">
        <v>-36.29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17</v>
      </c>
      <c r="AO216" s="20">
        <v>-55.99</v>
      </c>
      <c r="AP216" s="20">
        <v>18.58</v>
      </c>
      <c r="AS216" s="20">
        <v>107.0</v>
      </c>
      <c r="AT216" s="20" t="s">
        <v>17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17</v>
      </c>
      <c r="BM216" s="20">
        <v>98.58</v>
      </c>
      <c r="BN216" s="20">
        <v>75.59</v>
      </c>
      <c r="BW216" s="20">
        <v>-48.16</v>
      </c>
      <c r="BX216" s="20">
        <v>-41.06</v>
      </c>
      <c r="BZ216" s="20">
        <v>-36.64</v>
      </c>
      <c r="CA216" s="20">
        <v>4.0</v>
      </c>
      <c r="CI216" s="20">
        <v>4.52</v>
      </c>
      <c r="CJ216" s="20">
        <v>-18.83</v>
      </c>
      <c r="CO216" s="20">
        <v>-32.54</v>
      </c>
      <c r="CP216" s="20">
        <v>-46.22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P217" s="20">
        <v>-21.55</v>
      </c>
      <c r="Q217" s="20">
        <v>-9.04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BZ217" s="20">
        <v>-45.81</v>
      </c>
      <c r="CA217" s="20">
        <v>61.73</v>
      </c>
      <c r="CI217" s="20">
        <v>-39.89</v>
      </c>
      <c r="CJ217" s="20">
        <v>-49.97</v>
      </c>
      <c r="CO217" s="20">
        <v>-12.07</v>
      </c>
      <c r="CP217" s="20">
        <v>-55.38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17</v>
      </c>
      <c r="M218" s="20">
        <v>-22.83</v>
      </c>
      <c r="N218" s="20">
        <v>14.41</v>
      </c>
      <c r="P218" s="20">
        <v>44.03</v>
      </c>
      <c r="Q218" s="20">
        <v>94.36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17</v>
      </c>
      <c r="AO218" s="20">
        <v>-30.61</v>
      </c>
      <c r="AP218" s="20">
        <v>-21.64</v>
      </c>
      <c r="AS218" s="20">
        <v>108.0</v>
      </c>
      <c r="AT218" s="20" t="s">
        <v>17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17</v>
      </c>
      <c r="BM218" s="20">
        <v>100.19</v>
      </c>
      <c r="BN218" s="20">
        <v>-40.49</v>
      </c>
      <c r="BW218" s="20">
        <v>-51.44</v>
      </c>
      <c r="BX218" s="20">
        <v>6.1</v>
      </c>
      <c r="BZ218" s="20">
        <v>-69.47</v>
      </c>
      <c r="CA218" s="20">
        <v>3.82</v>
      </c>
      <c r="CI218" s="20">
        <v>-61.75</v>
      </c>
      <c r="CJ218" s="20">
        <v>-30.24</v>
      </c>
      <c r="CO218" s="20">
        <v>-13.56</v>
      </c>
      <c r="CP218" s="20">
        <v>-50.35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P219" s="20">
        <v>-3.52</v>
      </c>
      <c r="Q219" s="20">
        <v>-6.65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BZ219" s="20">
        <v>-45.93</v>
      </c>
      <c r="CA219" s="20">
        <v>28.4</v>
      </c>
      <c r="CI219" s="20">
        <v>-23.97</v>
      </c>
      <c r="CJ219" s="20">
        <v>-35.37</v>
      </c>
      <c r="CO219" s="20">
        <v>-15.38</v>
      </c>
      <c r="CP219" s="20">
        <v>-46.2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17</v>
      </c>
      <c r="M220" s="20">
        <v>10.15</v>
      </c>
      <c r="N220" s="20">
        <v>0.11</v>
      </c>
      <c r="P220" s="20">
        <v>29.16</v>
      </c>
      <c r="Q220" s="20">
        <v>60.26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17</v>
      </c>
      <c r="AO220" s="20">
        <v>4.06</v>
      </c>
      <c r="AP220" s="20">
        <v>-44.71</v>
      </c>
      <c r="AS220" s="20">
        <v>109.0</v>
      </c>
      <c r="AT220" s="20" t="s">
        <v>17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17</v>
      </c>
      <c r="BM220" s="20">
        <v>106.5</v>
      </c>
      <c r="BN220" s="20">
        <v>119.64</v>
      </c>
      <c r="BW220" s="20">
        <v>-30.74</v>
      </c>
      <c r="BX220" s="20">
        <v>113.54</v>
      </c>
      <c r="BZ220" s="20">
        <v>-40.33</v>
      </c>
      <c r="CA220" s="20">
        <v>40.7</v>
      </c>
      <c r="CI220" s="20">
        <v>-42.12</v>
      </c>
      <c r="CJ220" s="20">
        <v>-56.69</v>
      </c>
      <c r="CO220" s="20">
        <v>-24.93</v>
      </c>
      <c r="CP220" s="20">
        <v>-44.0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P221" s="20">
        <v>-4.68</v>
      </c>
      <c r="Q221" s="20">
        <v>-11.03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BZ221" s="20">
        <v>-52.73</v>
      </c>
      <c r="CA221" s="20">
        <v>2.29</v>
      </c>
      <c r="CI221" s="20">
        <v>-43.03</v>
      </c>
      <c r="CJ221" s="20">
        <v>-49.63</v>
      </c>
      <c r="CO221" s="20">
        <v>19.2</v>
      </c>
      <c r="CP221" s="20">
        <v>-57.98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17</v>
      </c>
      <c r="M222" s="20">
        <v>-70.63</v>
      </c>
      <c r="N222" s="20">
        <v>-36.64</v>
      </c>
      <c r="P222" s="20">
        <v>-29.34</v>
      </c>
      <c r="Q222" s="20">
        <v>22.38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17</v>
      </c>
      <c r="AO222" s="20">
        <v>-33.3</v>
      </c>
      <c r="AP222" s="20">
        <v>-38.32</v>
      </c>
      <c r="AS222" s="20">
        <v>110.0</v>
      </c>
      <c r="AT222" s="20" t="s">
        <v>17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17</v>
      </c>
      <c r="BM222" s="20">
        <v>108.44</v>
      </c>
      <c r="BN222" s="20">
        <v>239.0</v>
      </c>
      <c r="BW222" s="20">
        <v>-12.51</v>
      </c>
      <c r="BX222" s="20">
        <v>-5.06</v>
      </c>
      <c r="BZ222" s="20">
        <v>-70.67</v>
      </c>
      <c r="CA222" s="20">
        <v>84.82</v>
      </c>
      <c r="CI222" s="20">
        <v>-39.64</v>
      </c>
      <c r="CJ222" s="20">
        <v>-24.98</v>
      </c>
      <c r="CO222" s="20">
        <v>12.48</v>
      </c>
      <c r="CP222" s="20">
        <v>-57.7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P223" s="20">
        <v>-13.95</v>
      </c>
      <c r="Q223" s="20">
        <v>-6.06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BZ223" s="20">
        <v>-43.15</v>
      </c>
      <c r="CA223" s="20">
        <v>65.08</v>
      </c>
      <c r="CI223" s="20">
        <v>-63.1</v>
      </c>
      <c r="CJ223" s="20">
        <v>-55.4</v>
      </c>
      <c r="CO223" s="20">
        <v>-10.52</v>
      </c>
      <c r="CP223" s="20">
        <v>-53.65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17</v>
      </c>
      <c r="M224" s="20">
        <v>-14.05</v>
      </c>
      <c r="N224" s="20">
        <v>-16.11</v>
      </c>
      <c r="P224" s="20">
        <v>-26.43</v>
      </c>
      <c r="Q224" s="20">
        <v>7.44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17</v>
      </c>
      <c r="AO224" s="20">
        <v>14.66</v>
      </c>
      <c r="AP224" s="20">
        <v>-7.56</v>
      </c>
      <c r="AS224" s="20">
        <v>111.0</v>
      </c>
      <c r="AT224" s="20" t="s">
        <v>17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17</v>
      </c>
      <c r="BM224" s="20">
        <v>157.75</v>
      </c>
      <c r="BN224" s="20">
        <v>135.16</v>
      </c>
      <c r="BW224" s="20">
        <v>-55.1</v>
      </c>
      <c r="BX224" s="20">
        <v>-16.55</v>
      </c>
      <c r="BZ224" s="20">
        <v>-44.43</v>
      </c>
      <c r="CA224" s="20">
        <v>31.54</v>
      </c>
      <c r="CI224" s="20">
        <v>-62.78</v>
      </c>
      <c r="CJ224" s="20">
        <v>-64.68</v>
      </c>
      <c r="CO224" s="20">
        <v>-49.36</v>
      </c>
      <c r="CP224" s="20">
        <v>-46.4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P225" s="20">
        <v>-4.63</v>
      </c>
      <c r="Q225" s="20">
        <v>22.39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BZ225" s="20">
        <v>-29.7</v>
      </c>
      <c r="CA225" s="20">
        <v>101.27</v>
      </c>
      <c r="CI225" s="20">
        <v>-42.24</v>
      </c>
      <c r="CJ225" s="20">
        <v>-69.02</v>
      </c>
      <c r="CO225" s="20">
        <v>9.14</v>
      </c>
      <c r="CP225" s="20">
        <v>-51.13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17</v>
      </c>
      <c r="M226" s="20">
        <v>13.7</v>
      </c>
      <c r="N226" s="20">
        <v>88.0</v>
      </c>
      <c r="P226" s="20">
        <v>38.41</v>
      </c>
      <c r="Q226" s="20">
        <v>43.39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17</v>
      </c>
      <c r="AO226" s="20">
        <v>-38.03</v>
      </c>
      <c r="AP226" s="20">
        <v>-27.29</v>
      </c>
      <c r="AS226" s="20">
        <v>112.0</v>
      </c>
      <c r="AT226" s="20" t="s">
        <v>17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17</v>
      </c>
      <c r="BM226" s="20">
        <v>72.73</v>
      </c>
      <c r="BN226" s="20">
        <v>111.34</v>
      </c>
      <c r="BW226" s="20">
        <v>-28.23</v>
      </c>
      <c r="BX226" s="20">
        <v>47.38</v>
      </c>
      <c r="BZ226" s="20">
        <v>-37.89</v>
      </c>
      <c r="CA226" s="20">
        <v>138.0</v>
      </c>
      <c r="CI226" s="20">
        <v>-45.87</v>
      </c>
      <c r="CJ226" s="20">
        <v>-63.14</v>
      </c>
      <c r="CO226" s="20">
        <v>14.92</v>
      </c>
      <c r="CP226" s="20">
        <v>-53.43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P227" s="20">
        <v>42.2</v>
      </c>
      <c r="Q227" s="20">
        <v>93.5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BZ227" s="20">
        <v>-18.48</v>
      </c>
      <c r="CA227" s="20">
        <v>68.89</v>
      </c>
      <c r="CI227" s="20">
        <v>-44.3</v>
      </c>
      <c r="CJ227" s="20">
        <v>-69.03</v>
      </c>
      <c r="CO227" s="20">
        <v>-35.59</v>
      </c>
      <c r="CP227" s="20">
        <v>-56.23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17</v>
      </c>
      <c r="M228" s="20">
        <v>-6.76</v>
      </c>
      <c r="N228" s="20">
        <v>-29.65</v>
      </c>
      <c r="P228" s="20">
        <v>-9.51</v>
      </c>
      <c r="Q228" s="20">
        <v>6.74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17</v>
      </c>
      <c r="AO228" s="20">
        <v>-32.11</v>
      </c>
      <c r="AP228" s="20">
        <v>-6.57</v>
      </c>
      <c r="AS228" s="20">
        <v>113.0</v>
      </c>
      <c r="AT228" s="20" t="s">
        <v>17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17</v>
      </c>
      <c r="BM228" s="20">
        <v>-7.24</v>
      </c>
      <c r="BN228" s="20">
        <v>1.76</v>
      </c>
      <c r="BW228" s="20">
        <v>-20.97</v>
      </c>
      <c r="BX228" s="20">
        <v>-63.78</v>
      </c>
      <c r="BZ228" s="20">
        <v>-4.82</v>
      </c>
      <c r="CA228" s="20">
        <v>49.41</v>
      </c>
      <c r="CI228" s="20">
        <v>-59.53</v>
      </c>
      <c r="CJ228" s="20">
        <v>-62.31</v>
      </c>
      <c r="CO228" s="20">
        <v>-26.67</v>
      </c>
      <c r="CP228" s="20">
        <v>-51.1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P229" s="20">
        <v>10.43</v>
      </c>
      <c r="Q229" s="20">
        <v>58.42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BZ229" s="20">
        <v>-32.41</v>
      </c>
      <c r="CA229" s="20">
        <v>223.04</v>
      </c>
      <c r="CI229" s="20">
        <v>-48.3</v>
      </c>
      <c r="CJ229" s="20">
        <v>-50.53</v>
      </c>
      <c r="CO229" s="20">
        <v>-13.26</v>
      </c>
      <c r="CP229" s="20">
        <v>-54.57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17</v>
      </c>
      <c r="M230" s="20">
        <v>33.33</v>
      </c>
      <c r="N230" s="20">
        <v>108.55</v>
      </c>
      <c r="P230" s="20">
        <v>83.1</v>
      </c>
      <c r="Q230" s="20">
        <v>20.93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17</v>
      </c>
      <c r="AO230" s="20">
        <v>-15.78</v>
      </c>
      <c r="AP230" s="20">
        <v>-16.4</v>
      </c>
      <c r="AS230" s="20">
        <v>114.0</v>
      </c>
      <c r="AT230" s="20" t="s">
        <v>17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17</v>
      </c>
      <c r="BM230" s="20">
        <v>124.48</v>
      </c>
      <c r="BN230" s="20">
        <v>90.06</v>
      </c>
      <c r="BW230" s="20">
        <v>-38.0</v>
      </c>
      <c r="BX230" s="20">
        <v>-24.99</v>
      </c>
      <c r="BZ230" s="20">
        <v>-71.79</v>
      </c>
      <c r="CA230" s="20">
        <v>60.77</v>
      </c>
      <c r="CI230" s="20">
        <v>-33.16</v>
      </c>
      <c r="CJ230" s="20">
        <v>-40.29</v>
      </c>
      <c r="CO230" s="20">
        <v>-5.03</v>
      </c>
      <c r="CP230" s="20">
        <v>-43.57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P231" s="20">
        <v>8.38</v>
      </c>
      <c r="Q231" s="20">
        <v>-3.0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BZ231" s="20">
        <v>-63.03</v>
      </c>
      <c r="CA231" s="20">
        <v>62.2</v>
      </c>
      <c r="CI231" s="20">
        <v>-43.85</v>
      </c>
      <c r="CJ231" s="20">
        <v>-53.76</v>
      </c>
      <c r="CO231" s="20">
        <v>-51.6</v>
      </c>
      <c r="CP231" s="20">
        <v>-56.56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17</v>
      </c>
      <c r="M232" s="20">
        <v>-3.29</v>
      </c>
      <c r="N232" s="20">
        <v>3.11</v>
      </c>
      <c r="P232" s="20">
        <v>39.83</v>
      </c>
      <c r="Q232" s="20">
        <v>56.71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17</v>
      </c>
      <c r="AO232" s="20">
        <v>-50.77</v>
      </c>
      <c r="AP232" s="20">
        <v>-36.41</v>
      </c>
      <c r="AS232" s="20">
        <v>115.0</v>
      </c>
      <c r="AT232" s="20" t="s">
        <v>17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17</v>
      </c>
      <c r="BM232" s="20">
        <v>55.2</v>
      </c>
      <c r="BN232" s="20">
        <v>139.39</v>
      </c>
      <c r="BW232" s="20">
        <v>-53.97</v>
      </c>
      <c r="BX232" s="20">
        <v>-34.09</v>
      </c>
      <c r="BZ232" s="20">
        <v>-37.12</v>
      </c>
      <c r="CA232" s="20">
        <v>47.83</v>
      </c>
      <c r="CI232" s="20">
        <v>-57.67</v>
      </c>
      <c r="CJ232" s="20">
        <v>-60.94</v>
      </c>
      <c r="CO232" s="20">
        <v>-32.67</v>
      </c>
      <c r="CP232" s="20">
        <v>-44.01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P233" s="20">
        <v>20.98</v>
      </c>
      <c r="Q233" s="20">
        <v>17.73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BZ233" s="20">
        <v>-51.92</v>
      </c>
      <c r="CA233" s="20">
        <v>17.75</v>
      </c>
      <c r="CI233" s="20">
        <v>-49.15</v>
      </c>
      <c r="CJ233" s="20">
        <v>-49.39</v>
      </c>
      <c r="CO233" s="20">
        <v>-32.09</v>
      </c>
      <c r="CP233" s="20">
        <v>-52.61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17</v>
      </c>
      <c r="M234" s="20">
        <v>3.15</v>
      </c>
      <c r="N234" s="20">
        <v>-28.47</v>
      </c>
      <c r="P234" s="20">
        <v>13.95</v>
      </c>
      <c r="Q234" s="20">
        <v>35.5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17</v>
      </c>
      <c r="AO234" s="20">
        <v>-7.83</v>
      </c>
      <c r="AP234" s="20">
        <v>-1.45</v>
      </c>
      <c r="AS234" s="20">
        <v>116.0</v>
      </c>
      <c r="AT234" s="20" t="s">
        <v>17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17</v>
      </c>
      <c r="BM234" s="20">
        <v>90.55</v>
      </c>
      <c r="BN234" s="20">
        <v>95.09</v>
      </c>
      <c r="BW234" s="20">
        <v>-50.12</v>
      </c>
      <c r="BX234" s="20">
        <v>-14.66</v>
      </c>
      <c r="BZ234" s="20">
        <v>-39.33</v>
      </c>
      <c r="CA234" s="20">
        <v>43.93</v>
      </c>
      <c r="CI234" s="20">
        <v>-53.28</v>
      </c>
      <c r="CJ234" s="20">
        <v>-32.18</v>
      </c>
      <c r="CO234" s="20">
        <v>-12.53</v>
      </c>
      <c r="CP234" s="20">
        <v>-41.81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P235" s="20">
        <v>15.84</v>
      </c>
      <c r="Q235" s="20">
        <v>4.09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BZ235" s="20">
        <v>-36.74</v>
      </c>
      <c r="CA235" s="20">
        <v>5.77</v>
      </c>
      <c r="CI235" s="20">
        <v>-55.46</v>
      </c>
      <c r="CJ235" s="20">
        <v>-41.59</v>
      </c>
      <c r="CO235" s="20">
        <v>7.07</v>
      </c>
      <c r="CP235" s="20">
        <v>-61.13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17</v>
      </c>
      <c r="M236" s="20">
        <v>-12.13</v>
      </c>
      <c r="N236" s="20">
        <v>24.98</v>
      </c>
      <c r="P236" s="20">
        <v>8.52</v>
      </c>
      <c r="Q236" s="20">
        <v>5.15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17</v>
      </c>
      <c r="AO236" s="20">
        <v>-18.84</v>
      </c>
      <c r="AP236" s="20">
        <v>-27.68</v>
      </c>
      <c r="AS236" s="20">
        <v>117.0</v>
      </c>
      <c r="AT236" s="20" t="s">
        <v>17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17</v>
      </c>
      <c r="BM236" s="20">
        <v>120.32</v>
      </c>
      <c r="BN236" s="20">
        <v>150.77</v>
      </c>
      <c r="BW236" s="20">
        <v>-47.65</v>
      </c>
      <c r="BX236" s="20">
        <v>-15.54</v>
      </c>
      <c r="BZ236" s="20">
        <v>-30.22</v>
      </c>
      <c r="CA236" s="20">
        <v>14.01</v>
      </c>
      <c r="CI236" s="20">
        <v>-40.14</v>
      </c>
      <c r="CJ236" s="20">
        <v>-44.11</v>
      </c>
      <c r="CO236" s="20">
        <v>-20.94</v>
      </c>
      <c r="CP236" s="20">
        <v>-57.3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P237" s="20">
        <v>1.7</v>
      </c>
      <c r="Q237" s="20">
        <v>18.3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BZ237" s="20">
        <v>-45.87</v>
      </c>
      <c r="CA237" s="20">
        <v>31.23</v>
      </c>
      <c r="CI237" s="20">
        <v>-52.53</v>
      </c>
      <c r="CJ237" s="20">
        <v>-40.88</v>
      </c>
      <c r="CO237" s="20">
        <v>-15.03</v>
      </c>
      <c r="CP237" s="20">
        <v>-29.18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17</v>
      </c>
      <c r="M238" s="20">
        <v>-22.22</v>
      </c>
      <c r="N238" s="20">
        <v>-5.91</v>
      </c>
      <c r="P238" s="20">
        <v>17.23</v>
      </c>
      <c r="Q238" s="20">
        <v>91.16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17</v>
      </c>
      <c r="AO238" s="20">
        <v>-26.78</v>
      </c>
      <c r="AP238" s="20">
        <v>-45.81</v>
      </c>
      <c r="AS238" s="20">
        <v>118.0</v>
      </c>
      <c r="AT238" s="20" t="s">
        <v>17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17</v>
      </c>
      <c r="BM238" s="20">
        <v>106.56</v>
      </c>
      <c r="BN238" s="20">
        <v>141.19</v>
      </c>
      <c r="BW238" s="20">
        <v>-36.24</v>
      </c>
      <c r="BX238" s="20">
        <v>-2.08</v>
      </c>
      <c r="BZ238" s="20">
        <v>-61.41</v>
      </c>
      <c r="CA238" s="20">
        <v>8.16</v>
      </c>
      <c r="CI238" s="20">
        <v>-49.41</v>
      </c>
      <c r="CJ238" s="20">
        <v>-46.89</v>
      </c>
      <c r="CO238" s="20">
        <v>0.82</v>
      </c>
      <c r="CP238" s="20">
        <v>-21.94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P239" s="20">
        <v>0.74</v>
      </c>
      <c r="Q239" s="20">
        <v>17.08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BZ239" s="20">
        <v>-35.62</v>
      </c>
      <c r="CA239" s="20">
        <v>17.32</v>
      </c>
      <c r="CI239" s="20">
        <v>-33.01</v>
      </c>
      <c r="CJ239" s="20">
        <v>-23.62</v>
      </c>
      <c r="CO239" s="20">
        <v>10.45</v>
      </c>
      <c r="CP239" s="20">
        <v>-51.68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17</v>
      </c>
      <c r="M240" s="20">
        <v>-43.7</v>
      </c>
      <c r="N240" s="20">
        <v>-22.04</v>
      </c>
      <c r="P240" s="20">
        <v>19.55</v>
      </c>
      <c r="Q240" s="20">
        <v>52.99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17</v>
      </c>
      <c r="AO240" s="20">
        <v>3.54</v>
      </c>
      <c r="AP240" s="20">
        <v>-0.12</v>
      </c>
      <c r="AS240" s="20">
        <v>119.0</v>
      </c>
      <c r="AT240" s="20" t="s">
        <v>17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17</v>
      </c>
      <c r="BM240" s="20">
        <v>47.93</v>
      </c>
      <c r="BN240" s="20">
        <v>64.19</v>
      </c>
      <c r="BW240" s="20">
        <v>-55.11</v>
      </c>
      <c r="BX240" s="20">
        <v>-36.46</v>
      </c>
      <c r="BZ240" s="20">
        <v>-35.4</v>
      </c>
      <c r="CA240" s="20">
        <v>25.99</v>
      </c>
      <c r="CI240" s="20">
        <v>-53.46</v>
      </c>
      <c r="CJ240" s="20">
        <v>-45.29</v>
      </c>
      <c r="CO240" s="20">
        <v>-23.59</v>
      </c>
      <c r="CP240" s="20">
        <v>-13.13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P241" s="20">
        <v>3.36</v>
      </c>
      <c r="Q241" s="20">
        <v>94.81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BZ241" s="20">
        <v>-6.76</v>
      </c>
      <c r="CA241" s="20">
        <v>-11.62</v>
      </c>
      <c r="CI241" s="20">
        <v>-63.99</v>
      </c>
      <c r="CJ241" s="20">
        <v>-52.17</v>
      </c>
      <c r="CO241" s="20">
        <v>-13.75</v>
      </c>
      <c r="CP241" s="20">
        <v>-44.49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17</v>
      </c>
      <c r="M242" s="20">
        <v>-6.28</v>
      </c>
      <c r="N242" s="20">
        <v>75.45</v>
      </c>
      <c r="P242" s="20">
        <v>-32.92</v>
      </c>
      <c r="Q242" s="20">
        <v>27.11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17</v>
      </c>
      <c r="AO242" s="20">
        <v>-31.58</v>
      </c>
      <c r="AP242" s="20">
        <v>-43.98</v>
      </c>
      <c r="AS242" s="20">
        <v>120.0</v>
      </c>
      <c r="AT242" s="20" t="s">
        <v>17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17</v>
      </c>
      <c r="BM242" s="20">
        <v>29.16</v>
      </c>
      <c r="BN242" s="20">
        <v>124.14</v>
      </c>
      <c r="BW242" s="20">
        <v>-39.15</v>
      </c>
      <c r="BX242" s="20">
        <v>-15.44</v>
      </c>
      <c r="BZ242" s="20">
        <v>-68.87</v>
      </c>
      <c r="CA242" s="20">
        <v>-34.2</v>
      </c>
      <c r="CI242" s="20">
        <v>-32.11</v>
      </c>
      <c r="CJ242" s="20">
        <v>-3.47</v>
      </c>
      <c r="CO242" s="20">
        <v>31.92</v>
      </c>
      <c r="CP242" s="20">
        <v>-36.6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P243" s="20">
        <v>-12.82</v>
      </c>
      <c r="Q243" s="20">
        <v>4.12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BZ243" s="20">
        <v>-34.88</v>
      </c>
      <c r="CA243" s="20">
        <v>88.37</v>
      </c>
      <c r="CI243" s="20">
        <v>12.31</v>
      </c>
      <c r="CJ243" s="20">
        <v>-26.95</v>
      </c>
      <c r="CO243" s="20">
        <v>-44.53</v>
      </c>
      <c r="CP243" s="20">
        <v>-53.38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17</v>
      </c>
      <c r="M244" s="20">
        <v>-53.54</v>
      </c>
      <c r="N244" s="20">
        <v>-57.31</v>
      </c>
      <c r="P244" s="20">
        <v>4.06</v>
      </c>
      <c r="Q244" s="20">
        <v>-20.65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17</v>
      </c>
      <c r="AO244" s="20">
        <v>-43.61</v>
      </c>
      <c r="AP244" s="20">
        <v>-26.89</v>
      </c>
      <c r="AS244" s="20">
        <v>121.0</v>
      </c>
      <c r="AT244" s="20" t="s">
        <v>17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17</v>
      </c>
      <c r="BM244" s="20">
        <v>106.19</v>
      </c>
      <c r="BN244" s="20">
        <v>53.61</v>
      </c>
      <c r="BW244" s="20">
        <v>-47.45</v>
      </c>
      <c r="BX244" s="20">
        <v>-42.17</v>
      </c>
      <c r="BZ244" s="20">
        <v>-55.06</v>
      </c>
      <c r="CA244" s="20">
        <v>66.27</v>
      </c>
      <c r="CI244" s="20">
        <v>-41.79</v>
      </c>
      <c r="CJ244" s="20">
        <v>-54.33</v>
      </c>
      <c r="CO244" s="20">
        <v>44.06</v>
      </c>
      <c r="CP244" s="20">
        <v>-28.06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P245" s="20">
        <v>-41.31</v>
      </c>
      <c r="Q245" s="20">
        <v>-2.28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BZ245" s="20">
        <v>-45.01</v>
      </c>
      <c r="CA245" s="20">
        <v>40.07</v>
      </c>
      <c r="CI245" s="20">
        <v>-33.85</v>
      </c>
      <c r="CJ245" s="20">
        <v>-50.41</v>
      </c>
      <c r="CO245" s="20">
        <v>-49.7</v>
      </c>
      <c r="CP245" s="20">
        <v>-55.3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17</v>
      </c>
      <c r="M246" s="20">
        <v>-42.2</v>
      </c>
      <c r="N246" s="20">
        <v>-59.34</v>
      </c>
      <c r="P246" s="20">
        <v>-58.37</v>
      </c>
      <c r="Q246" s="20">
        <v>-74.96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17</v>
      </c>
      <c r="AO246" s="20">
        <v>38.47</v>
      </c>
      <c r="AP246" s="20">
        <v>-5.6</v>
      </c>
      <c r="AS246" s="20">
        <v>122.0</v>
      </c>
      <c r="AT246" s="20" t="s">
        <v>17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17</v>
      </c>
      <c r="BM246" s="20">
        <v>118.01</v>
      </c>
      <c r="BN246" s="20">
        <v>50.5</v>
      </c>
      <c r="BW246" s="20">
        <v>-62.68</v>
      </c>
      <c r="BX246" s="20">
        <v>-48.27</v>
      </c>
      <c r="BZ246" s="20">
        <v>27.13</v>
      </c>
      <c r="CA246" s="20">
        <v>197.0</v>
      </c>
      <c r="CI246" s="20">
        <v>-15.07</v>
      </c>
      <c r="CJ246" s="20">
        <v>-26.92</v>
      </c>
      <c r="CO246" s="20">
        <v>-9.58</v>
      </c>
      <c r="CP246" s="20">
        <v>-44.47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P247" s="20">
        <v>2.23</v>
      </c>
      <c r="Q247" s="20">
        <v>5.59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BZ247" s="20">
        <v>-21.37</v>
      </c>
      <c r="CA247" s="20">
        <v>95.14</v>
      </c>
      <c r="CI247" s="20">
        <v>-31.37</v>
      </c>
      <c r="CJ247" s="20">
        <v>-45.62</v>
      </c>
      <c r="CO247" s="20">
        <v>-21.51</v>
      </c>
      <c r="CP247" s="20">
        <v>-46.71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17</v>
      </c>
      <c r="M248" s="20">
        <v>47.24</v>
      </c>
      <c r="N248" s="20">
        <v>-24.99</v>
      </c>
      <c r="P248" s="20">
        <v>58.37</v>
      </c>
      <c r="Q248" s="20">
        <v>122.41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17</v>
      </c>
      <c r="AO248" s="20">
        <v>-12.29</v>
      </c>
      <c r="AP248" s="20">
        <v>16.0</v>
      </c>
      <c r="AS248" s="20">
        <v>123.0</v>
      </c>
      <c r="AT248" s="20" t="s">
        <v>17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17</v>
      </c>
      <c r="BM248" s="20">
        <v>-13.44</v>
      </c>
      <c r="BN248" s="20">
        <v>-15.42</v>
      </c>
      <c r="BW248" s="20">
        <v>-45.24</v>
      </c>
      <c r="BX248" s="20">
        <v>-1.47</v>
      </c>
      <c r="BZ248" s="20">
        <v>-47.37</v>
      </c>
      <c r="CA248" s="20">
        <v>40.31</v>
      </c>
      <c r="CI248" s="20">
        <v>-50.7</v>
      </c>
      <c r="CJ248" s="20">
        <v>-62.88</v>
      </c>
      <c r="CO248" s="20">
        <v>-20.04</v>
      </c>
      <c r="CP248" s="20">
        <v>-21.82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P249" s="20">
        <v>-3.0</v>
      </c>
      <c r="Q249" s="20">
        <v>5.43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BZ249" s="20">
        <v>-30.87</v>
      </c>
      <c r="CA249" s="20">
        <v>85.78</v>
      </c>
      <c r="CI249" s="20">
        <v>-45.45</v>
      </c>
      <c r="CJ249" s="20">
        <v>-48.94</v>
      </c>
      <c r="CO249" s="20">
        <v>-50.55</v>
      </c>
      <c r="CP249" s="20">
        <v>-63.41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17</v>
      </c>
      <c r="M250" s="20">
        <v>-51.47</v>
      </c>
      <c r="N250" s="20">
        <v>-58.99</v>
      </c>
      <c r="P250" s="20">
        <v>-8.41</v>
      </c>
      <c r="Q250" s="20">
        <v>-0.63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17</v>
      </c>
      <c r="AO250" s="20">
        <v>18.6</v>
      </c>
      <c r="AP250" s="20">
        <v>-24.17</v>
      </c>
      <c r="AS250" s="20">
        <v>124.0</v>
      </c>
      <c r="AT250" s="20" t="s">
        <v>17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17</v>
      </c>
      <c r="BM250" s="20">
        <v>140.98</v>
      </c>
      <c r="BN250" s="20">
        <v>-27.64</v>
      </c>
      <c r="BW250" s="20">
        <v>-47.94</v>
      </c>
      <c r="BX250" s="20">
        <v>-34.68</v>
      </c>
      <c r="BZ250" s="20">
        <v>-48.33</v>
      </c>
      <c r="CA250" s="20">
        <v>-7.91</v>
      </c>
      <c r="CI250" s="20">
        <v>-61.42</v>
      </c>
      <c r="CJ250" s="20">
        <v>-65.08</v>
      </c>
      <c r="CO250" s="20">
        <v>-18.78</v>
      </c>
      <c r="CP250" s="20">
        <v>-39.34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P251" s="20">
        <v>-22.75</v>
      </c>
      <c r="Q251" s="20">
        <v>0.38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BZ251" s="20">
        <v>-48.5</v>
      </c>
      <c r="CA251" s="20">
        <v>62.27</v>
      </c>
      <c r="CI251" s="20">
        <v>-55.06</v>
      </c>
      <c r="CJ251" s="20">
        <v>-61.01</v>
      </c>
      <c r="CO251" s="20">
        <v>3.27</v>
      </c>
      <c r="CP251" s="20">
        <v>-40.69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17</v>
      </c>
      <c r="M252" s="20">
        <v>-40.99</v>
      </c>
      <c r="N252" s="20">
        <v>-29.77</v>
      </c>
      <c r="P252" s="20">
        <v>9.58</v>
      </c>
      <c r="Q252" s="20">
        <v>2.92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17</v>
      </c>
      <c r="AO252" s="20">
        <v>-12.65</v>
      </c>
      <c r="AP252" s="20">
        <v>-22.82</v>
      </c>
      <c r="AS252" s="20">
        <v>125.0</v>
      </c>
      <c r="AT252" s="20" t="s">
        <v>17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17</v>
      </c>
      <c r="BM252" s="20">
        <v>110.25</v>
      </c>
      <c r="BN252" s="20">
        <v>79.88</v>
      </c>
      <c r="BW252" s="20">
        <v>-41.04</v>
      </c>
      <c r="BX252" s="20">
        <v>-44.52</v>
      </c>
      <c r="BZ252" s="20">
        <v>-59.63</v>
      </c>
      <c r="CA252" s="20">
        <v>123.84</v>
      </c>
      <c r="CI252" s="20">
        <v>-32.7</v>
      </c>
      <c r="CJ252" s="20">
        <v>-22.09</v>
      </c>
      <c r="CO252" s="20">
        <v>13.07</v>
      </c>
      <c r="CP252" s="20">
        <v>-41.66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P253" s="20">
        <v>-30.63</v>
      </c>
      <c r="Q253" s="20">
        <v>33.38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BZ253" s="20">
        <v>-42.41</v>
      </c>
      <c r="CA253" s="20">
        <v>60.05</v>
      </c>
      <c r="CI253" s="20">
        <v>-25.91</v>
      </c>
      <c r="CJ253" s="20">
        <v>-51.94</v>
      </c>
      <c r="CO253" s="20">
        <v>2.56</v>
      </c>
      <c r="CP253" s="20">
        <v>-34.68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17</v>
      </c>
      <c r="M254" s="20">
        <v>-29.52</v>
      </c>
      <c r="N254" s="20">
        <v>-19.74</v>
      </c>
      <c r="P254" s="20">
        <v>15.87</v>
      </c>
      <c r="Q254" s="20">
        <v>47.33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17</v>
      </c>
      <c r="AO254" s="20">
        <v>-30.38</v>
      </c>
      <c r="AP254" s="20">
        <v>40.12</v>
      </c>
      <c r="AS254" s="20">
        <v>126.0</v>
      </c>
      <c r="AT254" s="20" t="s">
        <v>17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17</v>
      </c>
      <c r="BM254" s="20">
        <v>239.81</v>
      </c>
      <c r="BN254" s="20">
        <v>90.5</v>
      </c>
      <c r="BW254" s="20">
        <v>-49.38</v>
      </c>
      <c r="BX254" s="20">
        <v>21.43</v>
      </c>
      <c r="BZ254" s="20">
        <v>-55.91</v>
      </c>
      <c r="CA254" s="20">
        <v>19.63</v>
      </c>
      <c r="CI254" s="20">
        <v>-60.49</v>
      </c>
      <c r="CJ254" s="20">
        <v>-38.15</v>
      </c>
      <c r="CO254" s="20">
        <v>0.57</v>
      </c>
      <c r="CP254" s="20">
        <v>-27.32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P255" s="20">
        <v>-2.64</v>
      </c>
      <c r="Q255" s="20">
        <v>33.0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BZ255" s="20">
        <v>-9.32</v>
      </c>
      <c r="CA255" s="20">
        <v>264.06</v>
      </c>
      <c r="CI255" s="20">
        <v>-50.31</v>
      </c>
      <c r="CJ255" s="20">
        <v>-59.38</v>
      </c>
      <c r="CO255" s="20">
        <v>-48.45</v>
      </c>
      <c r="CP255" s="20">
        <v>-13.43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17</v>
      </c>
      <c r="M256" s="20">
        <v>-58.15</v>
      </c>
      <c r="N256" s="20">
        <v>-41.88</v>
      </c>
      <c r="P256" s="20">
        <v>-13.81</v>
      </c>
      <c r="Q256" s="20">
        <v>47.55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17</v>
      </c>
      <c r="AO256" s="20">
        <v>22.76</v>
      </c>
      <c r="AP256" s="20">
        <v>-22.42</v>
      </c>
      <c r="AS256" s="20">
        <v>127.0</v>
      </c>
      <c r="AT256" s="20" t="s">
        <v>17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17</v>
      </c>
      <c r="BM256" s="20">
        <v>78.4</v>
      </c>
      <c r="BN256" s="20">
        <v>60.24</v>
      </c>
      <c r="BW256" s="20">
        <v>-58.55</v>
      </c>
      <c r="BX256" s="20">
        <v>2.08</v>
      </c>
      <c r="BZ256" s="20">
        <v>-51.92</v>
      </c>
      <c r="CA256" s="20">
        <v>82.72</v>
      </c>
      <c r="CI256" s="20">
        <v>-43.77</v>
      </c>
      <c r="CJ256" s="20">
        <v>-49.41</v>
      </c>
      <c r="CO256" s="20">
        <v>19.16</v>
      </c>
      <c r="CP256" s="20">
        <v>-54.63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P257" s="20">
        <v>11.09</v>
      </c>
      <c r="Q257" s="20">
        <v>-5.6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BZ257" s="20">
        <v>-52.17</v>
      </c>
      <c r="CA257" s="20">
        <v>21.32</v>
      </c>
      <c r="CI257" s="20">
        <v>-55.51</v>
      </c>
      <c r="CJ257" s="20">
        <v>-57.81</v>
      </c>
      <c r="CO257" s="20">
        <v>-73.18</v>
      </c>
      <c r="CP257" s="20">
        <v>-48.09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17</v>
      </c>
      <c r="M258" s="20">
        <v>-22.89</v>
      </c>
      <c r="N258" s="20">
        <v>-11.46</v>
      </c>
      <c r="P258" s="20">
        <v>63.61</v>
      </c>
      <c r="Q258" s="20">
        <v>111.38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17</v>
      </c>
      <c r="AO258" s="20">
        <v>-6.85</v>
      </c>
      <c r="AP258" s="20">
        <v>-18.37</v>
      </c>
      <c r="AS258" s="20">
        <v>128.0</v>
      </c>
      <c r="AT258" s="20" t="s">
        <v>17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17</v>
      </c>
      <c r="BM258" s="20">
        <v>115.04</v>
      </c>
      <c r="BN258" s="20">
        <v>63.77</v>
      </c>
      <c r="BW258" s="20">
        <v>-62.12</v>
      </c>
      <c r="BX258" s="20">
        <v>-17.29</v>
      </c>
      <c r="BZ258" s="20">
        <v>-69.31</v>
      </c>
      <c r="CA258" s="20">
        <v>105.16</v>
      </c>
      <c r="CI258" s="20">
        <v>-26.47</v>
      </c>
      <c r="CJ258" s="20">
        <v>-20.7</v>
      </c>
      <c r="CO258" s="20">
        <v>-37.71</v>
      </c>
      <c r="CP258" s="20">
        <v>-30.02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P259" s="20">
        <v>-16.65</v>
      </c>
      <c r="Q259" s="20">
        <v>27.82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BZ259" s="20">
        <v>-61.03</v>
      </c>
      <c r="CA259" s="20">
        <v>83.14</v>
      </c>
      <c r="CI259" s="20">
        <v>-49.86</v>
      </c>
      <c r="CJ259" s="20">
        <v>-50.01</v>
      </c>
      <c r="CO259" s="20">
        <v>18.25</v>
      </c>
      <c r="CP259" s="20">
        <v>-50.18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17</v>
      </c>
      <c r="M260" s="20">
        <v>-17.21</v>
      </c>
      <c r="N260" s="20">
        <v>-34.72</v>
      </c>
      <c r="P260" s="20">
        <v>-73.01</v>
      </c>
      <c r="Q260" s="20">
        <v>-81.93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17</v>
      </c>
      <c r="AO260" s="20">
        <v>-6.12</v>
      </c>
      <c r="AP260" s="20">
        <v>-19.6</v>
      </c>
      <c r="AS260" s="20">
        <v>129.0</v>
      </c>
      <c r="AT260" s="20" t="s">
        <v>17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17</v>
      </c>
      <c r="BM260" s="20">
        <v>111.58</v>
      </c>
      <c r="BN260" s="20">
        <v>124.05</v>
      </c>
      <c r="BW260" s="20">
        <v>-48.04</v>
      </c>
      <c r="BX260" s="20">
        <v>-26.71</v>
      </c>
      <c r="BZ260" s="20">
        <v>-70.57</v>
      </c>
      <c r="CA260" s="20">
        <v>111.54</v>
      </c>
      <c r="CI260" s="20">
        <v>-33.27</v>
      </c>
      <c r="CJ260" s="20">
        <v>-11.5</v>
      </c>
      <c r="CO260" s="20">
        <v>-24.79</v>
      </c>
      <c r="CP260" s="20">
        <v>-52.63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P261" s="20">
        <v>22.63</v>
      </c>
      <c r="Q261" s="20">
        <v>13.25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BZ261" s="20">
        <v>-53.95</v>
      </c>
      <c r="CA261" s="20">
        <v>36.04</v>
      </c>
      <c r="CI261" s="20">
        <v>-10.31</v>
      </c>
      <c r="CJ261" s="20">
        <v>-13.04</v>
      </c>
      <c r="CO261" s="20">
        <v>-6.52</v>
      </c>
      <c r="CP261" s="20">
        <v>-43.9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17</v>
      </c>
      <c r="M262" s="20">
        <v>-33.34</v>
      </c>
      <c r="N262" s="20">
        <v>14.99</v>
      </c>
      <c r="P262" s="20">
        <v>-10.52</v>
      </c>
      <c r="Q262" s="20">
        <v>4.47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17</v>
      </c>
      <c r="AO262" s="20">
        <v>-63.77</v>
      </c>
      <c r="AP262" s="20">
        <v>-5.21</v>
      </c>
      <c r="AS262" s="20">
        <v>130.0</v>
      </c>
      <c r="AT262" s="20" t="s">
        <v>17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17</v>
      </c>
      <c r="BM262" s="20">
        <v>343.03</v>
      </c>
      <c r="BN262" s="20">
        <v>199.09</v>
      </c>
      <c r="BW262" s="20">
        <v>-39.45</v>
      </c>
      <c r="BX262" s="20">
        <v>2.24</v>
      </c>
      <c r="BZ262" s="20">
        <v>-60.35</v>
      </c>
      <c r="CA262" s="20">
        <v>40.94</v>
      </c>
      <c r="CI262" s="20">
        <v>-28.44</v>
      </c>
      <c r="CJ262" s="20">
        <v>-25.23</v>
      </c>
      <c r="CO262" s="20">
        <v>-49.6</v>
      </c>
      <c r="CP262" s="20">
        <v>-30.35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P263" s="20">
        <v>-23.44</v>
      </c>
      <c r="Q263" s="20">
        <v>9.52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BZ263" s="20">
        <v>-38.57</v>
      </c>
      <c r="CA263" s="20">
        <v>101.96</v>
      </c>
      <c r="CI263" s="20">
        <v>1.78</v>
      </c>
      <c r="CJ263" s="20">
        <v>11.23</v>
      </c>
      <c r="CO263" s="20">
        <v>-50.42</v>
      </c>
      <c r="CP263" s="20">
        <v>-52.73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17</v>
      </c>
      <c r="M264" s="20">
        <v>-19.1</v>
      </c>
      <c r="N264" s="20">
        <v>37.93</v>
      </c>
      <c r="P264" s="20">
        <v>15.98</v>
      </c>
      <c r="Q264" s="20">
        <v>52.66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17</v>
      </c>
      <c r="AO264" s="20">
        <v>-20.18</v>
      </c>
      <c r="AP264" s="20">
        <v>-9.52</v>
      </c>
      <c r="AS264" s="20">
        <v>131.0</v>
      </c>
      <c r="AT264" s="20" t="s">
        <v>17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17</v>
      </c>
      <c r="BM264" s="20">
        <v>85.55</v>
      </c>
      <c r="BN264" s="20">
        <v>20.13</v>
      </c>
      <c r="BW264" s="20">
        <v>-45.14</v>
      </c>
      <c r="BX264" s="20">
        <v>-3.82</v>
      </c>
      <c r="BZ264" s="20">
        <v>-32.42</v>
      </c>
      <c r="CA264" s="20">
        <v>119.2</v>
      </c>
      <c r="CI264" s="20">
        <v>22.24</v>
      </c>
      <c r="CJ264" s="20">
        <v>-9.87</v>
      </c>
      <c r="CO264" s="20">
        <v>-64.35</v>
      </c>
      <c r="CP264" s="20">
        <v>-51.09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P265" s="20">
        <v>-25.58</v>
      </c>
      <c r="Q265" s="20">
        <v>-12.36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BZ265" s="20">
        <v>-18.23</v>
      </c>
      <c r="CA265" s="20">
        <v>50.52</v>
      </c>
      <c r="CI265" s="20">
        <v>-46.62</v>
      </c>
      <c r="CJ265" s="20">
        <v>-58.82</v>
      </c>
      <c r="CO265" s="20">
        <v>-27.3</v>
      </c>
      <c r="CP265" s="20">
        <v>-40.29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17</v>
      </c>
      <c r="M266" s="20">
        <v>-12.87</v>
      </c>
      <c r="N266" s="20">
        <v>29.97</v>
      </c>
      <c r="P266" s="20">
        <v>27.35</v>
      </c>
      <c r="Q266" s="20">
        <v>56.76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17</v>
      </c>
      <c r="AO266" s="20">
        <v>28.74</v>
      </c>
      <c r="AP266" s="20">
        <v>22.37</v>
      </c>
      <c r="AS266" s="20">
        <v>132.0</v>
      </c>
      <c r="AT266" s="20" t="s">
        <v>17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17</v>
      </c>
      <c r="BM266" s="20">
        <v>109.98</v>
      </c>
      <c r="BN266" s="20">
        <v>160.61</v>
      </c>
      <c r="BW266" s="20">
        <v>-46.76</v>
      </c>
      <c r="BX266" s="20">
        <v>-6.83</v>
      </c>
      <c r="BZ266" s="20">
        <v>-39.0</v>
      </c>
      <c r="CA266" s="20">
        <v>9.27</v>
      </c>
      <c r="CI266" s="20">
        <v>-27.24</v>
      </c>
      <c r="CJ266" s="20">
        <v>-32.52</v>
      </c>
      <c r="CO266" s="20">
        <v>-26.58</v>
      </c>
      <c r="CP266" s="20">
        <v>-29.18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P267" s="20">
        <v>-27.93</v>
      </c>
      <c r="Q267" s="20">
        <v>-16.99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BZ267" s="20">
        <v>-39.8</v>
      </c>
      <c r="CA267" s="20">
        <v>21.55</v>
      </c>
      <c r="CI267" s="20">
        <v>-47.25</v>
      </c>
      <c r="CJ267" s="20">
        <v>-39.87</v>
      </c>
      <c r="CO267" s="20">
        <v>-28.5</v>
      </c>
      <c r="CP267" s="20">
        <v>-42.35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17</v>
      </c>
      <c r="M268" s="20">
        <v>-17.56</v>
      </c>
      <c r="N268" s="20">
        <v>8.68</v>
      </c>
      <c r="P268" s="20">
        <v>-50.04</v>
      </c>
      <c r="Q268" s="20">
        <v>-22.04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17</v>
      </c>
      <c r="AO268" s="20">
        <v>-26.9</v>
      </c>
      <c r="AP268" s="20">
        <v>-32.27</v>
      </c>
      <c r="AS268" s="20">
        <v>133.0</v>
      </c>
      <c r="AT268" s="20" t="s">
        <v>17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17</v>
      </c>
      <c r="BM268" s="20">
        <v>18.26</v>
      </c>
      <c r="BN268" s="20">
        <v>39.89</v>
      </c>
      <c r="BW268" s="20">
        <v>19.38</v>
      </c>
      <c r="BX268" s="20">
        <v>128.45</v>
      </c>
      <c r="BZ268" s="20">
        <v>-62.58</v>
      </c>
      <c r="CA268" s="20">
        <v>47.05</v>
      </c>
      <c r="CI268" s="20">
        <v>-47.78</v>
      </c>
      <c r="CJ268" s="20">
        <v>-60.35</v>
      </c>
      <c r="CO268" s="20">
        <v>-49.1</v>
      </c>
      <c r="CP268" s="20">
        <v>-46.56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P269" s="20">
        <v>-15.58</v>
      </c>
      <c r="Q269" s="20">
        <v>5.94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BZ269" s="20">
        <v>-23.22</v>
      </c>
      <c r="CA269" s="20">
        <v>74.67</v>
      </c>
      <c r="CI269" s="20">
        <v>-55.94</v>
      </c>
      <c r="CJ269" s="20">
        <v>-53.47</v>
      </c>
      <c r="CO269" s="20">
        <v>-23.15</v>
      </c>
      <c r="CP269" s="20">
        <v>-22.17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17</v>
      </c>
      <c r="M270" s="20">
        <v>-19.13</v>
      </c>
      <c r="N270" s="20">
        <v>13.71</v>
      </c>
      <c r="P270" s="20">
        <v>-5.87</v>
      </c>
      <c r="Q270" s="20">
        <v>42.95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17</v>
      </c>
      <c r="AO270" s="20">
        <v>-17.6</v>
      </c>
      <c r="AP270" s="20">
        <v>-19.91</v>
      </c>
      <c r="AS270" s="20">
        <v>134.0</v>
      </c>
      <c r="AT270" s="20" t="s">
        <v>17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17</v>
      </c>
      <c r="BM270" s="20">
        <v>9.44</v>
      </c>
      <c r="BN270" s="20">
        <v>139.71</v>
      </c>
      <c r="BW270" s="20">
        <v>-54.41</v>
      </c>
      <c r="BX270" s="20">
        <v>-27.64</v>
      </c>
      <c r="BZ270" s="20">
        <v>-62.02</v>
      </c>
      <c r="CA270" s="20">
        <v>-7.98</v>
      </c>
      <c r="CI270" s="20">
        <v>-21.11</v>
      </c>
      <c r="CJ270" s="20">
        <v>-19.04</v>
      </c>
      <c r="CO270" s="20">
        <v>-15.1</v>
      </c>
      <c r="CP270" s="20">
        <v>-35.13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P271" s="20">
        <v>-16.92</v>
      </c>
      <c r="Q271" s="20">
        <v>6.99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BZ271" s="20">
        <v>-40.95</v>
      </c>
      <c r="CA271" s="20">
        <v>58.75</v>
      </c>
      <c r="CI271" s="20">
        <v>-32.45</v>
      </c>
      <c r="CJ271" s="20">
        <v>-51.76</v>
      </c>
      <c r="CO271" s="20">
        <v>-30.33</v>
      </c>
      <c r="CP271" s="20">
        <v>-62.73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17</v>
      </c>
      <c r="M272" s="20">
        <v>-41.25</v>
      </c>
      <c r="N272" s="20">
        <v>8.59</v>
      </c>
      <c r="P272" s="20">
        <v>1.19</v>
      </c>
      <c r="Q272" s="20">
        <v>28.95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17</v>
      </c>
      <c r="AO272" s="20">
        <v>-13.98</v>
      </c>
      <c r="AP272" s="20">
        <v>-23.84</v>
      </c>
      <c r="AS272" s="20">
        <v>135.0</v>
      </c>
      <c r="AT272" s="20" t="s">
        <v>17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17</v>
      </c>
      <c r="BM272" s="20">
        <v>20.82</v>
      </c>
      <c r="BN272" s="20">
        <v>49.17</v>
      </c>
      <c r="BW272" s="20">
        <v>-51.18</v>
      </c>
      <c r="BX272" s="20">
        <v>-20.49</v>
      </c>
      <c r="BZ272" s="20">
        <v>-39.1</v>
      </c>
      <c r="CA272" s="20">
        <v>91.31</v>
      </c>
      <c r="CI272" s="20">
        <v>-32.82</v>
      </c>
      <c r="CJ272" s="20">
        <v>-50.75</v>
      </c>
      <c r="CO272" s="20">
        <v>-16.06</v>
      </c>
      <c r="CP272" s="20">
        <v>-30.12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P273" s="20">
        <v>26.09</v>
      </c>
      <c r="Q273" s="20">
        <v>62.89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BZ273" s="20">
        <v>-33.5</v>
      </c>
      <c r="CA273" s="20">
        <v>11.7</v>
      </c>
      <c r="CI273" s="20">
        <v>-31.29</v>
      </c>
      <c r="CJ273" s="20">
        <v>-64.19</v>
      </c>
      <c r="CO273" s="20">
        <v>-18.6</v>
      </c>
      <c r="CP273" s="20">
        <v>-57.33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17</v>
      </c>
      <c r="M274" s="20">
        <v>-16.14</v>
      </c>
      <c r="N274" s="20">
        <v>18.84</v>
      </c>
      <c r="P274" s="20">
        <v>-2.63</v>
      </c>
      <c r="Q274" s="20">
        <v>45.11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17</v>
      </c>
      <c r="AO274" s="20">
        <v>-4.27</v>
      </c>
      <c r="AP274" s="20">
        <v>-5.89</v>
      </c>
      <c r="AS274" s="20">
        <v>136.0</v>
      </c>
      <c r="AT274" s="20" t="s">
        <v>17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17</v>
      </c>
      <c r="BM274" s="20">
        <v>46.76</v>
      </c>
      <c r="BN274" s="20">
        <v>74.01</v>
      </c>
      <c r="BW274" s="20">
        <v>-52.53</v>
      </c>
      <c r="BX274" s="20">
        <v>-5.28</v>
      </c>
      <c r="BZ274" s="20">
        <v>-62.82</v>
      </c>
      <c r="CA274" s="20">
        <v>-11.79</v>
      </c>
      <c r="CI274" s="20">
        <v>-52.6</v>
      </c>
      <c r="CJ274" s="20">
        <v>-57.66</v>
      </c>
      <c r="CO274" s="20">
        <v>-8.32</v>
      </c>
      <c r="CP274" s="20">
        <v>-59.88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P275" s="20">
        <v>-15.31</v>
      </c>
      <c r="Q275" s="20">
        <v>-12.26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BZ275" s="20">
        <v>-26.55</v>
      </c>
      <c r="CA275" s="20">
        <v>73.74</v>
      </c>
      <c r="CI275" s="20">
        <v>-22.94</v>
      </c>
      <c r="CJ275" s="20">
        <v>-58.1</v>
      </c>
      <c r="CO275" s="20">
        <v>-48.86</v>
      </c>
      <c r="CP275" s="20">
        <v>-46.56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17</v>
      </c>
      <c r="M276" s="20">
        <v>7.79</v>
      </c>
      <c r="N276" s="20">
        <v>-17.94</v>
      </c>
      <c r="P276" s="20">
        <v>-16.99</v>
      </c>
      <c r="Q276" s="20">
        <v>-41.13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17</v>
      </c>
      <c r="AO276" s="20">
        <v>-4.74</v>
      </c>
      <c r="AP276" s="20">
        <v>-26.28</v>
      </c>
      <c r="AS276" s="20">
        <v>137.0</v>
      </c>
      <c r="AT276" s="20" t="s">
        <v>17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17</v>
      </c>
      <c r="BM276" s="20">
        <v>102.49</v>
      </c>
      <c r="BN276" s="20">
        <v>79.2</v>
      </c>
      <c r="BW276" s="20">
        <v>-42.23</v>
      </c>
      <c r="BX276" s="20">
        <v>-23.55</v>
      </c>
      <c r="BZ276" s="20">
        <v>-72.04</v>
      </c>
      <c r="CA276" s="20">
        <v>45.14</v>
      </c>
      <c r="CI276" s="20">
        <v>-15.48</v>
      </c>
      <c r="CJ276" s="20">
        <v>31.67</v>
      </c>
      <c r="CO276" s="20">
        <v>-10.54</v>
      </c>
      <c r="CP276" s="20">
        <v>-36.42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P277" s="20">
        <v>54.23</v>
      </c>
      <c r="Q277" s="20">
        <v>31.44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BZ277" s="20">
        <v>-28.79</v>
      </c>
      <c r="CA277" s="20">
        <v>13.23</v>
      </c>
      <c r="CI277" s="20">
        <v>-56.18</v>
      </c>
      <c r="CJ277" s="20">
        <v>-59.16</v>
      </c>
      <c r="CO277" s="20">
        <v>28.01</v>
      </c>
      <c r="CP277" s="20">
        <v>-47.78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17</v>
      </c>
      <c r="M278" s="20">
        <v>80.55</v>
      </c>
      <c r="N278" s="20">
        <v>-3.47</v>
      </c>
      <c r="P278" s="20">
        <v>13.32</v>
      </c>
      <c r="Q278" s="20">
        <v>120.32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17</v>
      </c>
      <c r="AO278" s="20">
        <v>-31.8</v>
      </c>
      <c r="AP278" s="20">
        <v>-25.51</v>
      </c>
      <c r="AS278" s="20">
        <v>138.0</v>
      </c>
      <c r="AT278" s="20" t="s">
        <v>17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17</v>
      </c>
      <c r="BM278" s="20">
        <v>47.43</v>
      </c>
      <c r="BN278" s="20">
        <v>137.62</v>
      </c>
      <c r="BW278" s="20">
        <v>-34.78</v>
      </c>
      <c r="BX278" s="20">
        <v>-28.81</v>
      </c>
      <c r="BZ278" s="20">
        <v>-51.58</v>
      </c>
      <c r="CA278" s="20">
        <v>-1.53</v>
      </c>
      <c r="CI278" s="20">
        <v>-59.18</v>
      </c>
      <c r="CJ278" s="20">
        <v>-64.35</v>
      </c>
      <c r="CO278" s="20">
        <v>-8.49</v>
      </c>
      <c r="CP278" s="20">
        <v>-57.51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P279" s="20">
        <v>3.2</v>
      </c>
      <c r="Q279" s="20">
        <v>-16.5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BZ279" s="20">
        <v>-34.18</v>
      </c>
      <c r="CA279" s="20">
        <v>70.41</v>
      </c>
      <c r="CI279" s="20">
        <v>-58.48</v>
      </c>
      <c r="CJ279" s="20">
        <v>-60.86</v>
      </c>
      <c r="CO279" s="20">
        <v>-38.52</v>
      </c>
      <c r="CP279" s="20">
        <v>-48.89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17</v>
      </c>
      <c r="M280" s="20">
        <v>-7.26</v>
      </c>
      <c r="N280" s="20">
        <v>29.78</v>
      </c>
      <c r="P280" s="20">
        <v>-37.31</v>
      </c>
      <c r="Q280" s="20">
        <v>-24.84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17</v>
      </c>
      <c r="AO280" s="20">
        <v>24.87</v>
      </c>
      <c r="AP280" s="20">
        <v>-24.88</v>
      </c>
      <c r="AS280" s="20">
        <v>139.0</v>
      </c>
      <c r="AT280" s="20" t="s">
        <v>17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17</v>
      </c>
      <c r="BM280" s="20">
        <v>46.79</v>
      </c>
      <c r="BN280" s="20">
        <v>48.48</v>
      </c>
      <c r="BW280" s="20">
        <v>-74.85</v>
      </c>
      <c r="BX280" s="20">
        <v>-29.49</v>
      </c>
      <c r="BZ280" s="20">
        <v>-56.7</v>
      </c>
      <c r="CA280" s="20">
        <v>10.35</v>
      </c>
      <c r="CI280" s="20">
        <v>-50.21</v>
      </c>
      <c r="CJ280" s="20">
        <v>-58.9</v>
      </c>
      <c r="CO280" s="20">
        <v>-34.6</v>
      </c>
      <c r="CP280" s="20">
        <v>-60.5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P281" s="20">
        <v>15.61</v>
      </c>
      <c r="Q281" s="20">
        <v>4.74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BZ281" s="20">
        <v>-50.33</v>
      </c>
      <c r="CA281" s="20">
        <v>56.1</v>
      </c>
      <c r="CI281" s="20">
        <v>-41.93</v>
      </c>
      <c r="CJ281" s="20">
        <v>-55.8</v>
      </c>
      <c r="CO281" s="20">
        <v>-16.1</v>
      </c>
      <c r="CP281" s="20">
        <v>-50.16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17</v>
      </c>
      <c r="M282" s="20">
        <v>-11.17</v>
      </c>
      <c r="N282" s="20">
        <v>4.23</v>
      </c>
      <c r="P282" s="20">
        <v>3.52</v>
      </c>
      <c r="Q282" s="20">
        <v>11.23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17</v>
      </c>
      <c r="AO282" s="20">
        <v>7.66</v>
      </c>
      <c r="AP282" s="20">
        <v>-15.13</v>
      </c>
      <c r="AS282" s="20">
        <v>140.0</v>
      </c>
      <c r="AT282" s="20" t="s">
        <v>17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17</v>
      </c>
      <c r="BM282" s="20">
        <v>214.24</v>
      </c>
      <c r="BN282" s="20">
        <v>150.65</v>
      </c>
      <c r="BW282" s="20">
        <v>-48.76</v>
      </c>
      <c r="BX282" s="20">
        <v>-37.66</v>
      </c>
      <c r="BZ282" s="20">
        <v>-40.14</v>
      </c>
      <c r="CA282" s="20">
        <v>0.06</v>
      </c>
      <c r="CI282" s="20">
        <v>-55.23</v>
      </c>
      <c r="CJ282" s="20">
        <v>-42.73</v>
      </c>
      <c r="CO282" s="20">
        <v>-22.73</v>
      </c>
      <c r="CP282" s="20">
        <v>-39.94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P283" s="20">
        <v>3.57</v>
      </c>
      <c r="Q283" s="20">
        <v>-1.79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BZ283" s="20">
        <v>-52.32</v>
      </c>
      <c r="CA283" s="20">
        <v>18.76</v>
      </c>
      <c r="CI283" s="20">
        <v>-39.26</v>
      </c>
      <c r="CJ283" s="20">
        <v>-43.68</v>
      </c>
      <c r="CO283" s="20">
        <v>11.51</v>
      </c>
      <c r="CP283" s="20">
        <v>-56.34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17</v>
      </c>
      <c r="M284" s="20">
        <v>0.7</v>
      </c>
      <c r="N284" s="20">
        <v>-2.14</v>
      </c>
      <c r="P284" s="20">
        <v>6.87</v>
      </c>
      <c r="Q284" s="20">
        <v>43.2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17</v>
      </c>
      <c r="AO284" s="20">
        <v>-4.04</v>
      </c>
      <c r="AP284" s="20">
        <v>-12.23</v>
      </c>
      <c r="AS284" s="20">
        <v>141.0</v>
      </c>
      <c r="AT284" s="20" t="s">
        <v>17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17</v>
      </c>
      <c r="BM284" s="20">
        <v>62.23</v>
      </c>
      <c r="BN284" s="20">
        <v>106.08</v>
      </c>
      <c r="BW284" s="20">
        <v>-61.93</v>
      </c>
      <c r="BX284" s="20">
        <v>26.42</v>
      </c>
      <c r="BZ284" s="20">
        <v>-58.77</v>
      </c>
      <c r="CA284" s="20">
        <v>-0.71</v>
      </c>
      <c r="CI284" s="20">
        <v>-47.44</v>
      </c>
      <c r="CJ284" s="20">
        <v>-34.42</v>
      </c>
      <c r="CO284" s="20">
        <v>-32.99</v>
      </c>
      <c r="CP284" s="20">
        <v>-62.86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P285" s="20">
        <v>-9.97</v>
      </c>
      <c r="Q285" s="20">
        <v>28.69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BZ285" s="20">
        <v>-38.47</v>
      </c>
      <c r="CA285" s="20">
        <v>51.36</v>
      </c>
      <c r="CI285" s="20">
        <v>-42.63</v>
      </c>
      <c r="CJ285" s="20">
        <v>-51.02</v>
      </c>
      <c r="CO285" s="20">
        <v>-31.42</v>
      </c>
      <c r="CP285" s="20">
        <v>-38.53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17</v>
      </c>
      <c r="M286" s="20">
        <v>-74.85</v>
      </c>
      <c r="N286" s="20">
        <v>-64.05</v>
      </c>
      <c r="P286" s="20">
        <v>35.71</v>
      </c>
      <c r="Q286" s="20">
        <v>75.23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17</v>
      </c>
      <c r="AO286" s="20">
        <v>32.57</v>
      </c>
      <c r="AP286" s="20">
        <v>-11.25</v>
      </c>
      <c r="AS286" s="20">
        <v>142.0</v>
      </c>
      <c r="AT286" s="20" t="s">
        <v>17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17</v>
      </c>
      <c r="BM286" s="20">
        <v>70.11</v>
      </c>
      <c r="BN286" s="20">
        <v>93.54</v>
      </c>
      <c r="BW286" s="20">
        <v>-42.66</v>
      </c>
      <c r="BX286" s="20">
        <v>-26.85</v>
      </c>
      <c r="BZ286" s="20">
        <v>-52.19</v>
      </c>
      <c r="CA286" s="20">
        <v>-3.36</v>
      </c>
      <c r="CI286" s="20">
        <v>-37.8</v>
      </c>
      <c r="CJ286" s="20">
        <v>-28.79</v>
      </c>
      <c r="CO286" s="20">
        <v>0.38</v>
      </c>
      <c r="CP286" s="20">
        <v>-37.16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P287" s="20">
        <v>46.97</v>
      </c>
      <c r="Q287" s="20">
        <v>126.28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BZ287" s="20">
        <v>-28.5</v>
      </c>
      <c r="CA287" s="20">
        <v>6.79</v>
      </c>
      <c r="CI287" s="20">
        <v>-42.25</v>
      </c>
      <c r="CJ287" s="20">
        <v>-51.57</v>
      </c>
      <c r="CO287" s="20">
        <v>-17.94</v>
      </c>
      <c r="CP287" s="20">
        <v>-47.09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17</v>
      </c>
      <c r="M288" s="20">
        <v>-32.86</v>
      </c>
      <c r="N288" s="20">
        <v>4.43</v>
      </c>
      <c r="P288" s="20">
        <v>46.97</v>
      </c>
      <c r="Q288" s="20">
        <v>119.96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17</v>
      </c>
      <c r="AO288" s="20">
        <v>-15.27</v>
      </c>
      <c r="AP288" s="20">
        <v>-30.48</v>
      </c>
      <c r="AS288" s="20">
        <v>143.0</v>
      </c>
      <c r="AT288" s="20" t="s">
        <v>17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17</v>
      </c>
      <c r="BM288" s="20">
        <v>135.17</v>
      </c>
      <c r="BN288" s="20">
        <v>116.44</v>
      </c>
      <c r="BW288" s="20">
        <v>-44.01</v>
      </c>
      <c r="BX288" s="20">
        <v>-45.82</v>
      </c>
      <c r="BZ288" s="20">
        <v>-57.35</v>
      </c>
      <c r="CA288" s="20">
        <v>-30.13</v>
      </c>
      <c r="CI288" s="20">
        <v>21.68</v>
      </c>
      <c r="CJ288" s="20">
        <v>-15.19</v>
      </c>
      <c r="CO288" s="20">
        <v>-32.76</v>
      </c>
      <c r="CP288" s="20">
        <v>-47.29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P289" s="20">
        <v>12.61</v>
      </c>
      <c r="Q289" s="20">
        <v>-4.62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BZ289" s="20">
        <v>-19.8</v>
      </c>
      <c r="CA289" s="20">
        <v>168.59</v>
      </c>
      <c r="CI289" s="20">
        <v>-44.5</v>
      </c>
      <c r="CJ289" s="20">
        <v>-41.92</v>
      </c>
      <c r="CO289" s="20">
        <v>4.21</v>
      </c>
      <c r="CP289" s="20">
        <v>-54.02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17</v>
      </c>
      <c r="M290" s="20">
        <v>-27.43</v>
      </c>
      <c r="N290" s="20">
        <v>12.86</v>
      </c>
      <c r="P290" s="20">
        <v>-11.03</v>
      </c>
      <c r="Q290" s="20">
        <v>45.48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17</v>
      </c>
      <c r="AO290" s="20">
        <v>-31.62</v>
      </c>
      <c r="AP290" s="20">
        <v>-3.67</v>
      </c>
      <c r="AS290" s="20">
        <v>144.0</v>
      </c>
      <c r="AT290" s="20" t="s">
        <v>17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17</v>
      </c>
      <c r="BM290" s="20">
        <v>99.72</v>
      </c>
      <c r="BN290" s="20">
        <v>130.67</v>
      </c>
      <c r="BW290" s="20">
        <v>-51.9</v>
      </c>
      <c r="BX290" s="20">
        <v>4.8</v>
      </c>
      <c r="BZ290" s="20">
        <v>-66.73</v>
      </c>
      <c r="CA290" s="20">
        <v>-7.62</v>
      </c>
      <c r="CI290" s="20">
        <v>-59.96</v>
      </c>
      <c r="CJ290" s="20">
        <v>-47.91</v>
      </c>
      <c r="CO290" s="20">
        <v>2.74</v>
      </c>
      <c r="CP290" s="20">
        <v>-36.59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P291" s="20">
        <v>0.51</v>
      </c>
      <c r="Q291" s="20">
        <v>11.7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BZ291" s="20">
        <v>-35.89</v>
      </c>
      <c r="CA291" s="20">
        <v>53.73</v>
      </c>
      <c r="CI291" s="20">
        <v>-49.32</v>
      </c>
      <c r="CJ291" s="20">
        <v>-14.03</v>
      </c>
      <c r="CO291" s="20">
        <v>0.19</v>
      </c>
      <c r="CP291" s="20">
        <v>-59.3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17</v>
      </c>
      <c r="M292" s="20">
        <v>-45.8</v>
      </c>
      <c r="N292" s="20">
        <v>-29.36</v>
      </c>
      <c r="P292" s="20">
        <v>18.63</v>
      </c>
      <c r="Q292" s="20">
        <v>36.6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17</v>
      </c>
      <c r="AO292" s="20">
        <v>-6.47</v>
      </c>
      <c r="AP292" s="20">
        <v>55.96</v>
      </c>
      <c r="AS292" s="20">
        <v>145.0</v>
      </c>
      <c r="AT292" s="20" t="s">
        <v>17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17</v>
      </c>
      <c r="BM292" s="20">
        <v>35.81</v>
      </c>
      <c r="BN292" s="20">
        <v>13.14</v>
      </c>
      <c r="BW292" s="20">
        <v>-71.4</v>
      </c>
      <c r="BX292" s="20">
        <v>-12.57</v>
      </c>
      <c r="BZ292" s="20">
        <v>-65.56</v>
      </c>
      <c r="CA292" s="20">
        <v>-19.36</v>
      </c>
      <c r="CI292" s="20">
        <v>-52.51</v>
      </c>
      <c r="CJ292" s="20">
        <v>-47.73</v>
      </c>
      <c r="CO292" s="20">
        <v>-33.75</v>
      </c>
      <c r="CP292" s="20">
        <v>-60.27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P293" s="20">
        <v>-41.91</v>
      </c>
      <c r="Q293" s="20">
        <v>-8.94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BZ293" s="20">
        <v>-35.67</v>
      </c>
      <c r="CA293" s="20">
        <v>70.29</v>
      </c>
      <c r="CI293" s="20">
        <v>-41.4</v>
      </c>
      <c r="CJ293" s="20">
        <v>-66.02</v>
      </c>
      <c r="CO293" s="20">
        <v>-36.26</v>
      </c>
      <c r="CP293" s="20">
        <v>-32.02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17</v>
      </c>
      <c r="M294" s="20">
        <v>-43.92</v>
      </c>
      <c r="N294" s="20">
        <v>-40.28</v>
      </c>
      <c r="P294" s="20">
        <v>-20.33</v>
      </c>
      <c r="Q294" s="20">
        <v>-13.94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17</v>
      </c>
      <c r="AO294" s="20">
        <v>46.19</v>
      </c>
      <c r="AP294" s="20">
        <v>-3.11</v>
      </c>
      <c r="AS294" s="20">
        <v>146.0</v>
      </c>
      <c r="AT294" s="20" t="s">
        <v>17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17</v>
      </c>
      <c r="BM294" s="20">
        <v>34.99</v>
      </c>
      <c r="BN294" s="20">
        <v>-38.65</v>
      </c>
      <c r="BW294" s="20">
        <v>-48.68</v>
      </c>
      <c r="BX294" s="20">
        <v>-22.66</v>
      </c>
      <c r="BZ294" s="20">
        <v>-61.72</v>
      </c>
      <c r="CA294" s="20">
        <v>19.22</v>
      </c>
      <c r="CI294" s="20">
        <v>-25.27</v>
      </c>
      <c r="CJ294" s="20">
        <v>-17.05</v>
      </c>
      <c r="CO294" s="20">
        <v>-28.61</v>
      </c>
      <c r="CP294" s="20">
        <v>-31.15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P295" s="20">
        <v>-27.81</v>
      </c>
      <c r="Q295" s="20">
        <v>-10.15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BZ295" s="20">
        <v>-36.0</v>
      </c>
      <c r="CA295" s="20">
        <v>94.58</v>
      </c>
      <c r="CI295" s="20">
        <v>-35.77</v>
      </c>
      <c r="CJ295" s="20">
        <v>-34.7</v>
      </c>
      <c r="CO295" s="20">
        <v>-30.37</v>
      </c>
      <c r="CP295" s="20">
        <v>-40.99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17</v>
      </c>
      <c r="M296" s="20">
        <v>20.13</v>
      </c>
      <c r="N296" s="20">
        <v>19.47</v>
      </c>
      <c r="P296" s="20">
        <v>-6.32</v>
      </c>
      <c r="Q296" s="20">
        <v>2.17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17</v>
      </c>
      <c r="AO296" s="20">
        <v>-36.77</v>
      </c>
      <c r="AP296" s="20">
        <v>-26.87</v>
      </c>
      <c r="AS296" s="20">
        <v>147.0</v>
      </c>
      <c r="AT296" s="20" t="s">
        <v>17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17</v>
      </c>
      <c r="BM296" s="20">
        <v>12.43</v>
      </c>
      <c r="BN296" s="20">
        <v>-9.7</v>
      </c>
      <c r="BW296" s="20">
        <v>-40.09</v>
      </c>
      <c r="BX296" s="20">
        <v>-19.5</v>
      </c>
      <c r="BZ296" s="20">
        <v>-36.58</v>
      </c>
      <c r="CA296" s="20">
        <v>23.39</v>
      </c>
      <c r="CI296" s="20">
        <v>-65.1</v>
      </c>
      <c r="CJ296" s="20">
        <v>-45.21</v>
      </c>
      <c r="CO296" s="20">
        <v>-20.33</v>
      </c>
      <c r="CP296" s="20">
        <v>-46.52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P297" s="20">
        <v>-8.34</v>
      </c>
      <c r="Q297" s="20">
        <v>6.8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BZ297" s="20">
        <v>-42.08</v>
      </c>
      <c r="CA297" s="20">
        <v>5.07</v>
      </c>
      <c r="CI297" s="20">
        <v>-44.38</v>
      </c>
      <c r="CJ297" s="20">
        <v>-21.77</v>
      </c>
      <c r="CO297" s="20">
        <v>-58.64</v>
      </c>
      <c r="CP297" s="20">
        <v>-43.88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17</v>
      </c>
      <c r="M298" s="20">
        <v>-10.61</v>
      </c>
      <c r="N298" s="20">
        <v>5.06</v>
      </c>
      <c r="P298" s="20">
        <v>16.81</v>
      </c>
      <c r="Q298" s="20">
        <v>14.84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17</v>
      </c>
      <c r="AO298" s="20">
        <v>-35.47</v>
      </c>
      <c r="AP298" s="20">
        <v>9.34</v>
      </c>
      <c r="AS298" s="20">
        <v>148.0</v>
      </c>
      <c r="AT298" s="20" t="s">
        <v>17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17</v>
      </c>
      <c r="BM298" s="20">
        <v>17.28</v>
      </c>
      <c r="BN298" s="20">
        <v>-2.64</v>
      </c>
      <c r="BW298" s="20">
        <v>-44.27</v>
      </c>
      <c r="BX298" s="20">
        <v>-15.47</v>
      </c>
      <c r="BZ298" s="20">
        <v>-48.01</v>
      </c>
      <c r="CA298" s="20">
        <v>31.37</v>
      </c>
      <c r="CI298" s="20">
        <v>-30.69</v>
      </c>
      <c r="CJ298" s="20">
        <v>-31.32</v>
      </c>
      <c r="CO298" s="20">
        <v>-36.93</v>
      </c>
      <c r="CP298" s="20">
        <v>-59.4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P299" s="20">
        <v>-39.84</v>
      </c>
      <c r="Q299" s="20">
        <v>-13.55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BZ299" s="20">
        <v>-12.62</v>
      </c>
      <c r="CA299" s="20">
        <v>117.21</v>
      </c>
      <c r="CI299" s="20">
        <v>-62.08</v>
      </c>
      <c r="CJ299" s="20">
        <v>-52.4</v>
      </c>
      <c r="CO299" s="20">
        <v>-24.72</v>
      </c>
      <c r="CP299" s="20">
        <v>-53.45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17</v>
      </c>
      <c r="M300" s="20">
        <v>-33.66</v>
      </c>
      <c r="N300" s="20">
        <v>-17.22</v>
      </c>
      <c r="P300" s="20">
        <v>6.47</v>
      </c>
      <c r="Q300" s="20">
        <v>7.67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17</v>
      </c>
      <c r="AO300" s="20">
        <v>-20.24</v>
      </c>
      <c r="AP300" s="20">
        <v>-42.09</v>
      </c>
      <c r="AS300" s="20">
        <v>149.0</v>
      </c>
      <c r="AT300" s="20" t="s">
        <v>17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17</v>
      </c>
      <c r="BM300" s="20">
        <v>-25.13</v>
      </c>
      <c r="BN300" s="20">
        <v>75.53</v>
      </c>
      <c r="BW300" s="20">
        <v>-45.13</v>
      </c>
      <c r="BX300" s="20">
        <v>-48.59</v>
      </c>
      <c r="BZ300" s="20">
        <v>-21.38</v>
      </c>
      <c r="CA300" s="20">
        <v>188.93</v>
      </c>
      <c r="CI300" s="20">
        <v>-53.15</v>
      </c>
      <c r="CJ300" s="20">
        <v>-53.76</v>
      </c>
      <c r="CO300" s="20">
        <v>-37.31</v>
      </c>
      <c r="CP300" s="20">
        <v>-27.77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P301" s="20">
        <v>-12.09</v>
      </c>
      <c r="Q301" s="20">
        <v>1.77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BZ301" s="20">
        <v>-54.07</v>
      </c>
      <c r="CA301" s="20">
        <v>70.79</v>
      </c>
      <c r="CI301" s="20">
        <v>-56.54</v>
      </c>
      <c r="CJ301" s="20">
        <v>-52.76</v>
      </c>
      <c r="CO301" s="20">
        <v>-31.09</v>
      </c>
      <c r="CP301" s="20">
        <v>-62.48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17</v>
      </c>
      <c r="M302" s="20">
        <v>-39.17</v>
      </c>
      <c r="N302" s="20">
        <v>-60.47</v>
      </c>
      <c r="P302" s="20">
        <v>21.49</v>
      </c>
      <c r="Q302" s="20">
        <v>22.68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17</v>
      </c>
      <c r="AO302" s="20">
        <v>-37.28</v>
      </c>
      <c r="AP302" s="20">
        <v>-9.47</v>
      </c>
      <c r="AS302" s="20">
        <v>150.0</v>
      </c>
      <c r="AT302" s="20" t="s">
        <v>17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17</v>
      </c>
      <c r="BM302" s="20">
        <v>-9.88</v>
      </c>
      <c r="BN302" s="20">
        <v>17.43</v>
      </c>
      <c r="BW302" s="20">
        <v>-17.96</v>
      </c>
      <c r="BX302" s="20">
        <v>-6.63</v>
      </c>
      <c r="BZ302" s="20">
        <v>-66.4</v>
      </c>
      <c r="CA302" s="20">
        <v>193.73</v>
      </c>
      <c r="CI302" s="20">
        <v>-63.2</v>
      </c>
      <c r="CJ302" s="20">
        <v>-66.08</v>
      </c>
      <c r="CO302" s="20">
        <v>-31.36</v>
      </c>
      <c r="CP302" s="20">
        <v>-65.88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P303" s="20">
        <v>28.38</v>
      </c>
      <c r="Q303" s="20">
        <v>33.61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BZ303" s="20">
        <v>-38.43</v>
      </c>
      <c r="CA303" s="20">
        <v>22.93</v>
      </c>
      <c r="CI303" s="20">
        <v>-32.09</v>
      </c>
      <c r="CJ303" s="20">
        <v>10.44</v>
      </c>
      <c r="CO303" s="20">
        <v>-36.18</v>
      </c>
      <c r="CP303" s="20">
        <v>-62.93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17</v>
      </c>
      <c r="M304" s="20">
        <v>-38.3</v>
      </c>
      <c r="N304" s="20">
        <v>-24.19</v>
      </c>
      <c r="P304" s="20">
        <v>-9.82</v>
      </c>
      <c r="Q304" s="20">
        <v>-1.28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17</v>
      </c>
      <c r="AO304" s="20">
        <v>35.91</v>
      </c>
      <c r="AP304" s="20">
        <v>-38.62</v>
      </c>
      <c r="AS304" s="20">
        <v>151.0</v>
      </c>
      <c r="AT304" s="20" t="s">
        <v>17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17</v>
      </c>
      <c r="BM304" s="20">
        <v>39.88</v>
      </c>
      <c r="BN304" s="20">
        <v>40.75</v>
      </c>
      <c r="BW304" s="20">
        <v>-31.47</v>
      </c>
      <c r="BX304" s="20">
        <v>3.92</v>
      </c>
      <c r="BZ304" s="20">
        <v>-21.48</v>
      </c>
      <c r="CA304" s="20">
        <v>192.12</v>
      </c>
      <c r="CI304" s="20">
        <v>-19.14</v>
      </c>
      <c r="CJ304" s="20">
        <v>-31.25</v>
      </c>
      <c r="CO304" s="20">
        <v>-15.96</v>
      </c>
      <c r="CP304" s="20">
        <v>-52.19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P305" s="20">
        <v>25.98</v>
      </c>
      <c r="Q305" s="20">
        <v>8.36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BZ305" s="20">
        <v>-45.54</v>
      </c>
      <c r="CA305" s="20">
        <v>22.48</v>
      </c>
      <c r="CI305" s="20">
        <v>-43.46</v>
      </c>
      <c r="CJ305" s="20">
        <v>1.7</v>
      </c>
      <c r="CO305" s="20">
        <v>-35.72</v>
      </c>
      <c r="CP305" s="20">
        <v>-46.0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17</v>
      </c>
      <c r="M306" s="20">
        <v>-9.74</v>
      </c>
      <c r="N306" s="20">
        <v>10.7</v>
      </c>
      <c r="P306" s="20">
        <v>14.09</v>
      </c>
      <c r="Q306" s="20">
        <v>27.05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17</v>
      </c>
      <c r="AO306" s="20">
        <v>-13.37</v>
      </c>
      <c r="AP306" s="20">
        <v>-23.63</v>
      </c>
      <c r="AS306" s="20">
        <v>152.0</v>
      </c>
      <c r="AT306" s="20" t="s">
        <v>17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17</v>
      </c>
      <c r="BM306" s="20">
        <v>2.08</v>
      </c>
      <c r="BN306" s="20">
        <v>48.46</v>
      </c>
      <c r="BW306" s="20">
        <v>-56.6</v>
      </c>
      <c r="BX306" s="20">
        <v>-34.92</v>
      </c>
      <c r="BZ306" s="20">
        <v>-42.36</v>
      </c>
      <c r="CA306" s="20">
        <v>-1.82</v>
      </c>
      <c r="CI306" s="20">
        <v>-46.64</v>
      </c>
      <c r="CJ306" s="20">
        <v>-13.28</v>
      </c>
      <c r="CO306" s="20">
        <v>-1.26</v>
      </c>
      <c r="CP306" s="20">
        <v>-55.31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P307" s="20">
        <v>16.64</v>
      </c>
      <c r="Q307" s="20">
        <v>41.32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BZ307" s="20">
        <v>-16.47</v>
      </c>
      <c r="CA307" s="20">
        <v>29.71</v>
      </c>
      <c r="CI307" s="20">
        <v>-50.11</v>
      </c>
      <c r="CJ307" s="20">
        <v>-38.62</v>
      </c>
      <c r="CO307" s="20">
        <v>-15.65</v>
      </c>
      <c r="CP307" s="20">
        <v>-50.9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17</v>
      </c>
      <c r="M308" s="20">
        <v>19.8</v>
      </c>
      <c r="N308" s="20">
        <v>39.03</v>
      </c>
      <c r="P308" s="20">
        <v>1.02</v>
      </c>
      <c r="Q308" s="20">
        <v>3.12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17</v>
      </c>
      <c r="AO308" s="20">
        <v>-40.93</v>
      </c>
      <c r="AP308" s="20">
        <v>-11.17</v>
      </c>
      <c r="AS308" s="20">
        <v>153.0</v>
      </c>
      <c r="AT308" s="20" t="s">
        <v>17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17</v>
      </c>
      <c r="BM308" s="20">
        <v>10.69</v>
      </c>
      <c r="BN308" s="20">
        <v>55.85</v>
      </c>
      <c r="BW308" s="20">
        <v>-59.36</v>
      </c>
      <c r="BX308" s="20">
        <v>-0.2</v>
      </c>
      <c r="BZ308" s="20">
        <v>-60.53</v>
      </c>
      <c r="CA308" s="20">
        <v>47.25</v>
      </c>
      <c r="CI308" s="20">
        <v>-57.45</v>
      </c>
      <c r="CJ308" s="20">
        <v>-2.38</v>
      </c>
      <c r="CO308" s="20">
        <v>6.32</v>
      </c>
      <c r="CP308" s="20">
        <v>-45.11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P309" s="20">
        <v>37.34</v>
      </c>
      <c r="Q309" s="20">
        <v>36.58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BZ309" s="20">
        <v>-47.28</v>
      </c>
      <c r="CA309" s="20">
        <v>74.39</v>
      </c>
      <c r="CI309" s="20">
        <v>-6.01</v>
      </c>
      <c r="CJ309" s="20">
        <v>-19.6</v>
      </c>
      <c r="CO309" s="20">
        <v>-32.93</v>
      </c>
      <c r="CP309" s="20">
        <v>-41.81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17</v>
      </c>
      <c r="M310" s="20">
        <v>33.75</v>
      </c>
      <c r="N310" s="20">
        <v>92.33</v>
      </c>
      <c r="P310" s="20">
        <v>-12.6</v>
      </c>
      <c r="Q310" s="20">
        <v>-8.45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17</v>
      </c>
      <c r="AO310" s="20">
        <v>6.0</v>
      </c>
      <c r="AP310" s="20">
        <v>-54.43</v>
      </c>
      <c r="AS310" s="20">
        <v>154.0</v>
      </c>
      <c r="AT310" s="20" t="s">
        <v>17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17</v>
      </c>
      <c r="BM310" s="20">
        <v>-25.77</v>
      </c>
      <c r="BN310" s="20">
        <v>56.66</v>
      </c>
      <c r="BW310" s="20">
        <v>-61.58</v>
      </c>
      <c r="BX310" s="20">
        <v>-35.39</v>
      </c>
      <c r="BZ310" s="20">
        <v>-47.35</v>
      </c>
      <c r="CA310" s="20">
        <v>0.39</v>
      </c>
      <c r="CI310" s="20">
        <v>-50.73</v>
      </c>
      <c r="CJ310" s="20">
        <v>-24.74</v>
      </c>
      <c r="CO310" s="20">
        <v>-21.18</v>
      </c>
      <c r="CP310" s="20">
        <v>-50.29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P311" s="20">
        <v>-23.23</v>
      </c>
      <c r="Q311" s="20">
        <v>-14.09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BZ311" s="20">
        <v>-46.1</v>
      </c>
      <c r="CA311" s="20">
        <v>15.71</v>
      </c>
      <c r="CI311" s="20">
        <v>-45.82</v>
      </c>
      <c r="CJ311" s="20">
        <v>-13.12</v>
      </c>
      <c r="CO311" s="20">
        <v>-13.7</v>
      </c>
      <c r="CP311" s="20">
        <v>-51.37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17</v>
      </c>
      <c r="M312" s="20">
        <v>86.73</v>
      </c>
      <c r="N312" s="20">
        <v>22.99</v>
      </c>
      <c r="P312" s="20">
        <v>-11.03</v>
      </c>
      <c r="Q312" s="20">
        <v>4.05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17</v>
      </c>
      <c r="AO312" s="20">
        <v>-30.32</v>
      </c>
      <c r="AP312" s="20">
        <v>-36.22</v>
      </c>
      <c r="AS312" s="20">
        <v>155.0</v>
      </c>
      <c r="AT312" s="20" t="s">
        <v>17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17</v>
      </c>
      <c r="BM312" s="20">
        <v>35.07</v>
      </c>
      <c r="BN312" s="20">
        <v>44.17</v>
      </c>
      <c r="BW312" s="20">
        <v>-38.62</v>
      </c>
      <c r="BX312" s="20">
        <v>-35.58</v>
      </c>
      <c r="BZ312" s="20">
        <v>-59.58</v>
      </c>
      <c r="CA312" s="20">
        <v>30.13</v>
      </c>
      <c r="CI312" s="20">
        <v>-21.68</v>
      </c>
      <c r="CJ312" s="20">
        <v>-38.41</v>
      </c>
      <c r="CO312" s="20">
        <v>-13.65</v>
      </c>
      <c r="CP312" s="20">
        <v>-48.06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P313" s="20">
        <v>4.04</v>
      </c>
      <c r="Q313" s="20">
        <v>6.91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BZ313" s="20">
        <v>-27.47</v>
      </c>
      <c r="CA313" s="20">
        <v>6.17</v>
      </c>
      <c r="CI313" s="20">
        <v>-48.02</v>
      </c>
      <c r="CJ313" s="20">
        <v>-38.92</v>
      </c>
      <c r="CO313" s="20">
        <v>-41.2</v>
      </c>
      <c r="CP313" s="20">
        <v>-38.99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17</v>
      </c>
      <c r="M314" s="20">
        <v>-8.27</v>
      </c>
      <c r="N314" s="20">
        <v>46.2</v>
      </c>
      <c r="P314" s="20">
        <v>30.29</v>
      </c>
      <c r="Q314" s="20">
        <v>19.0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17</v>
      </c>
      <c r="AO314" s="20">
        <v>-8.83</v>
      </c>
      <c r="AP314" s="20">
        <v>-21.06</v>
      </c>
      <c r="AS314" s="20">
        <v>156.0</v>
      </c>
      <c r="AT314" s="20" t="s">
        <v>17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17</v>
      </c>
      <c r="BM314" s="20">
        <v>12.32</v>
      </c>
      <c r="BN314" s="20">
        <v>21.51</v>
      </c>
      <c r="BW314" s="20">
        <v>-46.0</v>
      </c>
      <c r="BX314" s="20">
        <v>-7.34</v>
      </c>
      <c r="BZ314" s="20">
        <v>-48.2</v>
      </c>
      <c r="CA314" s="20">
        <v>2.17</v>
      </c>
      <c r="CI314" s="20">
        <v>-58.1</v>
      </c>
      <c r="CJ314" s="20">
        <v>-41.52</v>
      </c>
      <c r="CO314" s="20">
        <v>-20.19</v>
      </c>
      <c r="CP314" s="20">
        <v>-39.07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P315" s="20">
        <v>-33.32</v>
      </c>
      <c r="Q315" s="20">
        <v>-10.46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BZ315" s="20">
        <v>-27.83</v>
      </c>
      <c r="CA315" s="20">
        <v>16.65</v>
      </c>
      <c r="CI315" s="20">
        <v>-30.96</v>
      </c>
      <c r="CJ315" s="20">
        <v>-23.65</v>
      </c>
      <c r="CO315" s="20">
        <v>-28.78</v>
      </c>
      <c r="CP315" s="20">
        <v>-57.68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17</v>
      </c>
      <c r="M316" s="20">
        <v>-10.27</v>
      </c>
      <c r="N316" s="20">
        <v>57.85</v>
      </c>
      <c r="P316" s="20">
        <v>-18.78</v>
      </c>
      <c r="Q316" s="20">
        <v>-15.99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17</v>
      </c>
      <c r="AO316" s="20">
        <v>2.7</v>
      </c>
      <c r="AP316" s="20">
        <v>-9.1</v>
      </c>
      <c r="AS316" s="20">
        <v>157.0</v>
      </c>
      <c r="AT316" s="20" t="s">
        <v>17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17</v>
      </c>
      <c r="BM316" s="20">
        <v>-7.57</v>
      </c>
      <c r="BN316" s="20">
        <v>57.05</v>
      </c>
      <c r="BW316" s="20">
        <v>-66.16</v>
      </c>
      <c r="BX316" s="20">
        <v>7.16</v>
      </c>
      <c r="BZ316" s="20">
        <v>-53.72</v>
      </c>
      <c r="CA316" s="20">
        <v>35.63</v>
      </c>
      <c r="CI316" s="20">
        <v>-56.72</v>
      </c>
      <c r="CJ316" s="20">
        <v>-66.5</v>
      </c>
      <c r="CO316" s="20">
        <v>12.94</v>
      </c>
      <c r="CP316" s="20">
        <v>-58.48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P317" s="20">
        <v>-3.02</v>
      </c>
      <c r="Q317" s="20">
        <v>11.78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BZ317" s="20">
        <v>-30.23</v>
      </c>
      <c r="CA317" s="20">
        <v>79.49</v>
      </c>
      <c r="CI317" s="20">
        <v>-44.13</v>
      </c>
      <c r="CJ317" s="20">
        <v>-15.88</v>
      </c>
      <c r="CO317" s="20">
        <v>-22.37</v>
      </c>
      <c r="CP317" s="20">
        <v>-58.63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17</v>
      </c>
      <c r="M318" s="20">
        <v>-10.79</v>
      </c>
      <c r="N318" s="20">
        <v>8.55</v>
      </c>
      <c r="P318" s="20">
        <v>21.03</v>
      </c>
      <c r="Q318" s="20">
        <v>37.61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17</v>
      </c>
      <c r="AO318" s="20">
        <v>24.07</v>
      </c>
      <c r="AP318" s="20">
        <v>1.36</v>
      </c>
      <c r="AS318" s="20">
        <v>158.0</v>
      </c>
      <c r="AT318" s="20" t="s">
        <v>17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17</v>
      </c>
      <c r="BM318" s="20">
        <v>13.1</v>
      </c>
      <c r="BN318" s="20">
        <v>44.69</v>
      </c>
      <c r="BW318" s="20">
        <v>-57.14</v>
      </c>
      <c r="BX318" s="20">
        <v>3.76</v>
      </c>
      <c r="BZ318" s="20">
        <v>-44.63</v>
      </c>
      <c r="CA318" s="20">
        <v>-14.33</v>
      </c>
      <c r="CI318" s="20">
        <v>-22.56</v>
      </c>
      <c r="CJ318" s="20">
        <v>-20.75</v>
      </c>
      <c r="CO318" s="20">
        <v>-22.74</v>
      </c>
      <c r="CP318" s="20">
        <v>-58.54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P319" s="20">
        <v>-16.43</v>
      </c>
      <c r="Q319" s="20">
        <v>-17.27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BZ319" s="20">
        <v>-5.84</v>
      </c>
      <c r="CA319" s="20">
        <v>112.35</v>
      </c>
      <c r="CI319" s="20">
        <v>-45.5</v>
      </c>
      <c r="CJ319" s="20">
        <v>-25.29</v>
      </c>
      <c r="CO319" s="20">
        <v>6.33</v>
      </c>
      <c r="CP319" s="20">
        <v>-59.25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17</v>
      </c>
      <c r="M320" s="20">
        <v>-29.83</v>
      </c>
      <c r="N320" s="20">
        <v>3.08</v>
      </c>
      <c r="P320" s="20">
        <v>-13.47</v>
      </c>
      <c r="Q320" s="20">
        <v>-18.31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17</v>
      </c>
      <c r="AO320" s="20">
        <v>-4.6</v>
      </c>
      <c r="AP320" s="20">
        <v>-45.1</v>
      </c>
      <c r="AS320" s="20">
        <v>159.0</v>
      </c>
      <c r="AT320" s="20" t="s">
        <v>17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17</v>
      </c>
      <c r="BM320" s="20">
        <v>27.75</v>
      </c>
      <c r="BN320" s="20">
        <v>64.43</v>
      </c>
      <c r="BW320" s="20">
        <v>-26.9</v>
      </c>
      <c r="BX320" s="20">
        <v>-39.58</v>
      </c>
      <c r="BZ320" s="20">
        <v>-50.82</v>
      </c>
      <c r="CA320" s="20">
        <v>60.8</v>
      </c>
      <c r="CI320" s="20">
        <v>-62.85</v>
      </c>
      <c r="CJ320" s="20">
        <v>-57.25</v>
      </c>
      <c r="CO320" s="20">
        <v>-15.02</v>
      </c>
      <c r="CP320" s="20">
        <v>-54.34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P321" s="20">
        <v>-16.61</v>
      </c>
      <c r="Q321" s="20">
        <v>-23.24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BZ321" s="20">
        <v>-14.0</v>
      </c>
      <c r="CA321" s="20">
        <v>53.88</v>
      </c>
      <c r="CI321" s="20">
        <v>-50.88</v>
      </c>
      <c r="CJ321" s="20">
        <v>-38.1</v>
      </c>
      <c r="CO321" s="20">
        <v>-20.77</v>
      </c>
      <c r="CP321" s="20">
        <v>-58.6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17</v>
      </c>
      <c r="M322" s="20">
        <v>-19.02</v>
      </c>
      <c r="N322" s="20">
        <v>50.57</v>
      </c>
      <c r="P322" s="20">
        <v>8.24</v>
      </c>
      <c r="Q322" s="20">
        <v>-13.0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17</v>
      </c>
      <c r="AO322" s="20">
        <v>-27.57</v>
      </c>
      <c r="AP322" s="20">
        <v>-12.86</v>
      </c>
      <c r="AS322" s="20">
        <v>160.0</v>
      </c>
      <c r="AT322" s="20" t="s">
        <v>17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17</v>
      </c>
      <c r="BM322" s="20">
        <v>47.49</v>
      </c>
      <c r="BN322" s="20">
        <v>69.34</v>
      </c>
      <c r="BW322" s="20">
        <v>-56.86</v>
      </c>
      <c r="BX322" s="20">
        <v>-28.75</v>
      </c>
      <c r="BZ322" s="20">
        <v>-38.78</v>
      </c>
      <c r="CA322" s="20">
        <v>88.37</v>
      </c>
      <c r="CI322" s="20">
        <v>-65.1</v>
      </c>
      <c r="CJ322" s="20">
        <v>-60.22</v>
      </c>
      <c r="CO322" s="20">
        <v>-7.22</v>
      </c>
      <c r="CP322" s="20">
        <v>-51.0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P323" s="20">
        <v>20.45</v>
      </c>
      <c r="Q323" s="20">
        <v>15.96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BZ323" s="20">
        <v>-41.38</v>
      </c>
      <c r="CA323" s="20">
        <v>11.69</v>
      </c>
      <c r="CI323" s="20">
        <v>-55.14</v>
      </c>
      <c r="CJ323" s="20">
        <v>-47.84</v>
      </c>
      <c r="CO323" s="20">
        <v>20.53</v>
      </c>
      <c r="CP323" s="20">
        <v>-50.84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17</v>
      </c>
      <c r="M324" s="20">
        <v>-7.85</v>
      </c>
      <c r="N324" s="20">
        <v>6.36</v>
      </c>
      <c r="P324" s="20">
        <v>16.78</v>
      </c>
      <c r="Q324" s="20">
        <v>45.62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17</v>
      </c>
      <c r="AO324" s="20">
        <v>-20.16</v>
      </c>
      <c r="AP324" s="20">
        <v>6.08</v>
      </c>
      <c r="AS324" s="20">
        <v>161.0</v>
      </c>
      <c r="AT324" s="20" t="s">
        <v>17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17</v>
      </c>
      <c r="BM324" s="20">
        <v>13.25</v>
      </c>
      <c r="BN324" s="20">
        <v>56.98</v>
      </c>
      <c r="BW324" s="20">
        <v>-51.85</v>
      </c>
      <c r="BX324" s="20">
        <v>-29.67</v>
      </c>
      <c r="BZ324" s="20">
        <v>-43.68</v>
      </c>
      <c r="CA324" s="20">
        <v>61.43</v>
      </c>
      <c r="CI324" s="20">
        <v>-47.37</v>
      </c>
      <c r="CJ324" s="20">
        <v>-58.07</v>
      </c>
      <c r="CO324" s="20">
        <v>-4.13</v>
      </c>
      <c r="CP324" s="20">
        <v>-61.18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P325" s="20">
        <v>28.6</v>
      </c>
      <c r="Q325" s="20">
        <v>15.88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BZ325" s="20">
        <v>-24.93</v>
      </c>
      <c r="CA325" s="20">
        <v>90.73</v>
      </c>
      <c r="CI325" s="20">
        <v>-41.53</v>
      </c>
      <c r="CJ325" s="20">
        <v>-58.27</v>
      </c>
      <c r="CO325" s="20">
        <v>-17.48</v>
      </c>
      <c r="CP325" s="20">
        <v>-33.26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17</v>
      </c>
      <c r="M326" s="20">
        <v>21.46</v>
      </c>
      <c r="N326" s="20">
        <v>94.39</v>
      </c>
      <c r="P326" s="20">
        <v>-0.81</v>
      </c>
      <c r="Q326" s="20">
        <v>0.4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17</v>
      </c>
      <c r="AO326" s="20">
        <v>-27.73</v>
      </c>
      <c r="AP326" s="20">
        <v>36.19</v>
      </c>
      <c r="AS326" s="20">
        <v>162.0</v>
      </c>
      <c r="AT326" s="20" t="s">
        <v>17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17</v>
      </c>
      <c r="BM326" s="20">
        <v>16.4</v>
      </c>
      <c r="BN326" s="20">
        <v>106.42</v>
      </c>
      <c r="BW326" s="20">
        <v>-24.23</v>
      </c>
      <c r="BX326" s="20">
        <v>-39.97</v>
      </c>
      <c r="BZ326" s="20">
        <v>-56.78</v>
      </c>
      <c r="CA326" s="20">
        <v>6.59</v>
      </c>
      <c r="CI326" s="20">
        <v>-58.54</v>
      </c>
      <c r="CJ326" s="20">
        <v>-61.63</v>
      </c>
      <c r="CO326" s="20">
        <v>-5.52</v>
      </c>
      <c r="CP326" s="20">
        <v>-38.62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P327" s="20">
        <v>-0.97</v>
      </c>
      <c r="Q327" s="20">
        <v>-15.67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BZ327" s="20">
        <v>-34.5</v>
      </c>
      <c r="CA327" s="20">
        <v>17.22</v>
      </c>
      <c r="CI327" s="20">
        <v>-51.97</v>
      </c>
      <c r="CJ327" s="20">
        <v>-42.38</v>
      </c>
      <c r="CO327" s="20">
        <v>-27.43</v>
      </c>
      <c r="CP327" s="20">
        <v>-56.28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17</v>
      </c>
      <c r="M328" s="20">
        <v>40.37</v>
      </c>
      <c r="N328" s="20">
        <v>53.0</v>
      </c>
      <c r="P328" s="20">
        <v>-8.01</v>
      </c>
      <c r="Q328" s="20">
        <v>4.72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17</v>
      </c>
      <c r="AO328" s="20">
        <v>-46.19</v>
      </c>
      <c r="AP328" s="20">
        <v>13.62</v>
      </c>
      <c r="AS328" s="20">
        <v>163.0</v>
      </c>
      <c r="AT328" s="20" t="s">
        <v>17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17</v>
      </c>
      <c r="BM328" s="20">
        <v>86.64</v>
      </c>
      <c r="BN328" s="20">
        <v>127.14</v>
      </c>
      <c r="BW328" s="20">
        <v>-72.16</v>
      </c>
      <c r="BX328" s="20">
        <v>-22.73</v>
      </c>
      <c r="BZ328" s="20">
        <v>-15.88</v>
      </c>
      <c r="CA328" s="20">
        <v>66.18</v>
      </c>
      <c r="CI328" s="20">
        <v>-41.93</v>
      </c>
      <c r="CJ328" s="20">
        <v>3.67</v>
      </c>
      <c r="CO328" s="20">
        <v>-11.9</v>
      </c>
      <c r="CP328" s="20">
        <v>-54.62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P329" s="20">
        <v>22.39</v>
      </c>
      <c r="Q329" s="20">
        <v>8.11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BZ329" s="20">
        <v>-52.82</v>
      </c>
      <c r="CA329" s="20">
        <v>35.9</v>
      </c>
      <c r="CI329" s="20">
        <v>-55.19</v>
      </c>
      <c r="CJ329" s="20">
        <v>-3.11</v>
      </c>
      <c r="CO329" s="20">
        <v>-28.19</v>
      </c>
      <c r="CP329" s="20">
        <v>-38.05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17</v>
      </c>
      <c r="M330" s="20">
        <v>-2.84</v>
      </c>
      <c r="N330" s="20">
        <v>-9.86</v>
      </c>
      <c r="P330" s="20">
        <v>23.11</v>
      </c>
      <c r="Q330" s="20">
        <v>38.64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17</v>
      </c>
      <c r="AO330" s="20">
        <v>-39.85</v>
      </c>
      <c r="AP330" s="20">
        <v>-10.93</v>
      </c>
      <c r="AS330" s="20">
        <v>164.0</v>
      </c>
      <c r="AT330" s="20" t="s">
        <v>17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17</v>
      </c>
      <c r="BM330" s="20">
        <v>25.87</v>
      </c>
      <c r="BN330" s="20">
        <v>81.1</v>
      </c>
      <c r="BW330" s="20">
        <v>-61.58</v>
      </c>
      <c r="BX330" s="20">
        <v>-23.76</v>
      </c>
      <c r="BZ330" s="20">
        <v>-38.73</v>
      </c>
      <c r="CA330" s="20">
        <v>-1.38</v>
      </c>
      <c r="CI330" s="20">
        <v>-48.59</v>
      </c>
      <c r="CJ330" s="20">
        <v>17.83</v>
      </c>
      <c r="CO330" s="20">
        <v>-18.87</v>
      </c>
      <c r="CP330" s="20">
        <v>-51.7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P331" s="20">
        <v>26.03</v>
      </c>
      <c r="Q331" s="20">
        <v>32.06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BZ331" s="20">
        <v>-43.28</v>
      </c>
      <c r="CA331" s="20">
        <v>57.24</v>
      </c>
      <c r="CI331" s="20">
        <v>-53.67</v>
      </c>
      <c r="CJ331" s="20">
        <v>-57.31</v>
      </c>
      <c r="CO331" s="20">
        <v>18.6</v>
      </c>
      <c r="CP331" s="20">
        <v>-57.85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17</v>
      </c>
      <c r="M332" s="20">
        <v>-2.51</v>
      </c>
      <c r="N332" s="20">
        <v>-2.38</v>
      </c>
      <c r="P332" s="20">
        <v>12.93</v>
      </c>
      <c r="Q332" s="20">
        <v>19.5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17</v>
      </c>
      <c r="AO332" s="20">
        <v>-16.42</v>
      </c>
      <c r="AP332" s="20">
        <v>-14.17</v>
      </c>
      <c r="AS332" s="20">
        <v>165.0</v>
      </c>
      <c r="AT332" s="20" t="s">
        <v>17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17</v>
      </c>
      <c r="BM332" s="20">
        <v>52.72</v>
      </c>
      <c r="BN332" s="20">
        <v>118.33</v>
      </c>
      <c r="BW332" s="20">
        <v>-47.51</v>
      </c>
      <c r="BX332" s="20">
        <v>-26.49</v>
      </c>
      <c r="BZ332" s="20">
        <v>-52.47</v>
      </c>
      <c r="CA332" s="20">
        <v>17.33</v>
      </c>
      <c r="CI332" s="20">
        <v>-56.89</v>
      </c>
      <c r="CJ332" s="20">
        <v>-44.11</v>
      </c>
      <c r="CO332" s="20">
        <v>11.99</v>
      </c>
      <c r="CP332" s="20">
        <v>-55.66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P333" s="20">
        <v>19.87</v>
      </c>
      <c r="Q333" s="20">
        <v>15.88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BZ333" s="20">
        <v>-35.38</v>
      </c>
      <c r="CA333" s="20">
        <v>46.66</v>
      </c>
      <c r="CI333" s="20">
        <v>-50.34</v>
      </c>
      <c r="CJ333" s="20">
        <v>-37.49</v>
      </c>
      <c r="CO333" s="20">
        <v>-36.37</v>
      </c>
      <c r="CP333" s="20">
        <v>-47.32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17</v>
      </c>
      <c r="M334" s="20">
        <v>-31.57</v>
      </c>
      <c r="N334" s="20">
        <v>-20.92</v>
      </c>
      <c r="P334" s="20">
        <v>-18.26</v>
      </c>
      <c r="Q334" s="20">
        <v>-16.83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17</v>
      </c>
      <c r="AO334" s="20">
        <v>-25.13</v>
      </c>
      <c r="AP334" s="20">
        <v>-0.51</v>
      </c>
      <c r="AS334" s="20">
        <v>166.0</v>
      </c>
      <c r="AT334" s="20" t="s">
        <v>17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17</v>
      </c>
      <c r="BM334" s="20">
        <v>32.7</v>
      </c>
      <c r="BN334" s="20">
        <v>94.33</v>
      </c>
      <c r="BW334" s="20">
        <v>-38.77</v>
      </c>
      <c r="BX334" s="20">
        <v>-23.11</v>
      </c>
      <c r="BZ334" s="20">
        <v>-53.18</v>
      </c>
      <c r="CA334" s="20">
        <v>15.8</v>
      </c>
      <c r="CI334" s="20">
        <v>-53.49</v>
      </c>
      <c r="CJ334" s="20">
        <v>-39.2</v>
      </c>
      <c r="CO334" s="20">
        <v>-30.13</v>
      </c>
      <c r="CP334" s="20">
        <v>-13.22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P335" s="20">
        <v>27.21</v>
      </c>
      <c r="Q335" s="20">
        <v>16.59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BZ335" s="20">
        <v>-13.96</v>
      </c>
      <c r="CA335" s="20">
        <v>50.87</v>
      </c>
      <c r="CI335" s="20">
        <v>-45.25</v>
      </c>
      <c r="CJ335" s="20">
        <v>-52.38</v>
      </c>
      <c r="CO335" s="20">
        <v>-32.03</v>
      </c>
      <c r="CP335" s="20">
        <v>-23.32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17</v>
      </c>
      <c r="M336" s="20">
        <v>-3.38</v>
      </c>
      <c r="N336" s="20">
        <v>50.93</v>
      </c>
      <c r="P336" s="20">
        <v>-4.8</v>
      </c>
      <c r="Q336" s="20">
        <v>29.9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17</v>
      </c>
      <c r="AO336" s="20">
        <v>-16.57</v>
      </c>
      <c r="AP336" s="20">
        <v>-28.42</v>
      </c>
      <c r="AS336" s="20">
        <v>167.0</v>
      </c>
      <c r="AT336" s="20" t="s">
        <v>17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17</v>
      </c>
      <c r="BM336" s="20">
        <v>66.37</v>
      </c>
      <c r="BN336" s="20">
        <v>112.85</v>
      </c>
      <c r="BW336" s="20">
        <v>14.77</v>
      </c>
      <c r="BX336" s="20">
        <v>-51.4</v>
      </c>
      <c r="BZ336" s="20">
        <v>-34.19</v>
      </c>
      <c r="CA336" s="20">
        <v>79.6</v>
      </c>
      <c r="CI336" s="20">
        <v>-0.79</v>
      </c>
      <c r="CJ336" s="20">
        <v>-37.5</v>
      </c>
      <c r="CO336" s="20">
        <v>-35.92</v>
      </c>
      <c r="CP336" s="20">
        <v>-50.72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P337" s="20">
        <v>16.7</v>
      </c>
      <c r="Q337" s="20">
        <v>-13.3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BZ337" s="20">
        <v>-61.57</v>
      </c>
      <c r="CA337" s="20">
        <v>91.22</v>
      </c>
      <c r="CI337" s="20">
        <v>-62.81</v>
      </c>
      <c r="CJ337" s="20">
        <v>-50.22</v>
      </c>
      <c r="CO337" s="20">
        <v>-17.72</v>
      </c>
      <c r="CP337" s="20">
        <v>-56.76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17</v>
      </c>
      <c r="M338" s="20">
        <v>14.65</v>
      </c>
      <c r="N338" s="20">
        <v>0.7</v>
      </c>
      <c r="P338" s="20">
        <v>-7.16</v>
      </c>
      <c r="Q338" s="20">
        <v>15.29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17</v>
      </c>
      <c r="AO338" s="20">
        <v>55.18</v>
      </c>
      <c r="AP338" s="20">
        <v>84.75</v>
      </c>
      <c r="AS338" s="20">
        <v>168.0</v>
      </c>
      <c r="AT338" s="20" t="s">
        <v>17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17</v>
      </c>
      <c r="BM338" s="20">
        <v>29.62</v>
      </c>
      <c r="BN338" s="20">
        <v>55.29</v>
      </c>
      <c r="BW338" s="20">
        <v>-40.22</v>
      </c>
      <c r="BX338" s="20">
        <v>-38.84</v>
      </c>
      <c r="BZ338" s="20">
        <v>-76.0</v>
      </c>
      <c r="CA338" s="20">
        <v>61.5</v>
      </c>
      <c r="CI338" s="20">
        <v>-55.06</v>
      </c>
      <c r="CJ338" s="20">
        <v>-36.88</v>
      </c>
      <c r="CO338" s="20">
        <v>-37.87</v>
      </c>
      <c r="CP338" s="20">
        <v>-45.36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P339" s="20">
        <v>-7.43</v>
      </c>
      <c r="Q339" s="20">
        <v>14.88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BZ339" s="20">
        <v>-53.75</v>
      </c>
      <c r="CA339" s="20">
        <v>52.99</v>
      </c>
      <c r="CI339" s="20">
        <v>-35.62</v>
      </c>
      <c r="CJ339" s="20">
        <v>-25.78</v>
      </c>
      <c r="CO339" s="20">
        <v>-24.71</v>
      </c>
      <c r="CP339" s="20">
        <v>-49.83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17</v>
      </c>
      <c r="M340" s="20">
        <v>-27.74</v>
      </c>
      <c r="N340" s="20">
        <v>-38.41</v>
      </c>
      <c r="P340" s="20">
        <v>24.04</v>
      </c>
      <c r="Q340" s="20">
        <v>35.68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17</v>
      </c>
      <c r="AO340" s="20">
        <v>-37.68</v>
      </c>
      <c r="AP340" s="20">
        <v>-30.91</v>
      </c>
      <c r="AS340" s="20">
        <v>169.0</v>
      </c>
      <c r="AT340" s="20" t="s">
        <v>17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17</v>
      </c>
      <c r="BM340" s="20">
        <v>-6.95</v>
      </c>
      <c r="BN340" s="20">
        <v>-47.82</v>
      </c>
      <c r="BW340" s="20">
        <v>-70.66</v>
      </c>
      <c r="BX340" s="20">
        <v>-15.48</v>
      </c>
      <c r="BZ340" s="20">
        <v>-53.42</v>
      </c>
      <c r="CA340" s="20">
        <v>9.08</v>
      </c>
      <c r="CI340" s="20">
        <v>-26.24</v>
      </c>
      <c r="CJ340" s="20">
        <v>-42.39</v>
      </c>
      <c r="CO340" s="20">
        <v>-10.21</v>
      </c>
      <c r="CP340" s="20">
        <v>-56.5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P341" s="20">
        <v>-0.06</v>
      </c>
      <c r="Q341" s="20">
        <v>3.82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BZ341" s="20">
        <v>-68.53</v>
      </c>
      <c r="CA341" s="20">
        <v>49.46</v>
      </c>
      <c r="CI341" s="20">
        <v>-52.02</v>
      </c>
      <c r="CJ341" s="20">
        <v>-45.06</v>
      </c>
      <c r="CO341" s="20">
        <v>31.0</v>
      </c>
      <c r="CP341" s="20">
        <v>-58.53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17</v>
      </c>
      <c r="M342" s="20">
        <v>-44.31</v>
      </c>
      <c r="N342" s="20">
        <v>-35.55</v>
      </c>
      <c r="P342" s="20">
        <v>28.6</v>
      </c>
      <c r="Q342" s="20">
        <v>46.89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17</v>
      </c>
      <c r="AO342" s="20">
        <v>-10.84</v>
      </c>
      <c r="AP342" s="20">
        <v>72.22</v>
      </c>
      <c r="AS342" s="20">
        <v>170.0</v>
      </c>
      <c r="AT342" s="20" t="s">
        <v>17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17</v>
      </c>
      <c r="BM342" s="20">
        <v>45.04</v>
      </c>
      <c r="BN342" s="20">
        <v>1.69</v>
      </c>
      <c r="BW342" s="20">
        <v>-50.7</v>
      </c>
      <c r="BX342" s="20">
        <v>1.97</v>
      </c>
      <c r="BZ342" s="20">
        <v>-75.05</v>
      </c>
      <c r="CA342" s="20">
        <v>15.73</v>
      </c>
      <c r="CI342" s="20">
        <v>-40.03</v>
      </c>
      <c r="CJ342" s="20">
        <v>-23.53</v>
      </c>
      <c r="CO342" s="20">
        <v>-7.03</v>
      </c>
      <c r="CP342" s="20">
        <v>-51.63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P343" s="20">
        <v>-0.87</v>
      </c>
      <c r="Q343" s="20">
        <v>5.58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BZ343" s="20">
        <v>-50.32</v>
      </c>
      <c r="CA343" s="20">
        <v>35.6</v>
      </c>
      <c r="CI343" s="20">
        <v>-53.71</v>
      </c>
      <c r="CJ343" s="20">
        <v>-36.03</v>
      </c>
      <c r="CO343" s="20">
        <v>-17.74</v>
      </c>
      <c r="CP343" s="20">
        <v>-67.66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17</v>
      </c>
      <c r="M344" s="20">
        <v>55.8</v>
      </c>
      <c r="N344" s="20">
        <v>1.63</v>
      </c>
      <c r="P344" s="20">
        <v>0.56</v>
      </c>
      <c r="Q344" s="20">
        <v>-3.71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17</v>
      </c>
      <c r="AO344" s="20">
        <v>-8.83</v>
      </c>
      <c r="AP344" s="20">
        <v>27.28</v>
      </c>
      <c r="AS344" s="20">
        <v>171.0</v>
      </c>
      <c r="AT344" s="20" t="s">
        <v>17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17</v>
      </c>
      <c r="BM344" s="20">
        <v>115.85</v>
      </c>
      <c r="BN344" s="20">
        <v>99.56</v>
      </c>
      <c r="BW344" s="20">
        <v>-38.73</v>
      </c>
      <c r="BX344" s="20">
        <v>15.62</v>
      </c>
      <c r="BZ344" s="20">
        <v>2.98</v>
      </c>
      <c r="CA344" s="20">
        <v>-23.75</v>
      </c>
      <c r="CI344" s="20">
        <v>-50.25</v>
      </c>
      <c r="CJ344" s="20">
        <v>-42.22</v>
      </c>
      <c r="CO344" s="20">
        <v>-7.04</v>
      </c>
      <c r="CP344" s="20">
        <v>-64.82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P345" s="20">
        <v>-25.13</v>
      </c>
      <c r="Q345" s="20">
        <v>6.31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BZ345" s="20">
        <v>-34.0</v>
      </c>
      <c r="CA345" s="20">
        <v>77.58</v>
      </c>
      <c r="CI345" s="20">
        <v>-46.18</v>
      </c>
      <c r="CJ345" s="20">
        <v>50.58</v>
      </c>
      <c r="CO345" s="20">
        <v>-22.55</v>
      </c>
      <c r="CP345" s="20">
        <v>-60.3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17</v>
      </c>
      <c r="M346" s="20">
        <v>48.55</v>
      </c>
      <c r="N346" s="20">
        <v>10.53</v>
      </c>
      <c r="P346" s="20">
        <v>-12.67</v>
      </c>
      <c r="Q346" s="20">
        <v>-6.34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17</v>
      </c>
      <c r="AO346" s="20">
        <v>-32.47</v>
      </c>
      <c r="AP346" s="20">
        <v>-27.1</v>
      </c>
      <c r="AS346" s="20">
        <v>172.0</v>
      </c>
      <c r="AT346" s="20" t="s">
        <v>17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17</v>
      </c>
      <c r="BM346" s="20">
        <v>50.99</v>
      </c>
      <c r="BN346" s="20">
        <v>18.45</v>
      </c>
      <c r="BW346" s="20">
        <v>-60.19</v>
      </c>
      <c r="BX346" s="20">
        <v>-31.49</v>
      </c>
      <c r="BZ346" s="20">
        <v>12.16</v>
      </c>
      <c r="CA346" s="20">
        <v>-41.6</v>
      </c>
      <c r="CI346" s="20">
        <v>-53.01</v>
      </c>
      <c r="CJ346" s="20">
        <v>-62.11</v>
      </c>
      <c r="CO346" s="20">
        <v>-33.09</v>
      </c>
      <c r="CP346" s="20">
        <v>-66.65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P347" s="20">
        <v>-6.61</v>
      </c>
      <c r="Q347" s="20">
        <v>-2.45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BZ347" s="20">
        <v>-60.16</v>
      </c>
      <c r="CA347" s="20">
        <v>126.71</v>
      </c>
      <c r="CI347" s="20">
        <v>-65.33</v>
      </c>
      <c r="CJ347" s="20">
        <v>-45.4</v>
      </c>
      <c r="CO347" s="20">
        <v>-17.22</v>
      </c>
      <c r="CP347" s="20">
        <v>-58.87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17</v>
      </c>
      <c r="M348" s="20">
        <v>-17.23</v>
      </c>
      <c r="N348" s="20">
        <v>-34.43</v>
      </c>
      <c r="P348" s="20">
        <v>-6.65</v>
      </c>
      <c r="Q348" s="20">
        <v>21.64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17</v>
      </c>
      <c r="AO348" s="20">
        <v>-34.24</v>
      </c>
      <c r="AP348" s="20">
        <v>-29.4</v>
      </c>
      <c r="AS348" s="20">
        <v>173.0</v>
      </c>
      <c r="AT348" s="20" t="s">
        <v>17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17</v>
      </c>
      <c r="BM348" s="20">
        <v>-18.34</v>
      </c>
      <c r="BN348" s="20">
        <v>-38.85</v>
      </c>
      <c r="BW348" s="20">
        <v>-53.79</v>
      </c>
      <c r="BX348" s="20">
        <v>-26.93</v>
      </c>
      <c r="BZ348" s="20">
        <v>-74.7</v>
      </c>
      <c r="CA348" s="20">
        <v>1.97</v>
      </c>
      <c r="CI348" s="20">
        <v>-57.62</v>
      </c>
      <c r="CJ348" s="20">
        <v>-52.41</v>
      </c>
      <c r="CO348" s="20">
        <v>-21.38</v>
      </c>
      <c r="CP348" s="20">
        <v>-51.41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P349" s="20">
        <v>-18.34</v>
      </c>
      <c r="Q349" s="20">
        <v>1.51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BZ349" s="20">
        <v>-24.3</v>
      </c>
      <c r="CA349" s="20">
        <v>46.81</v>
      </c>
      <c r="CI349" s="20">
        <v>-48.62</v>
      </c>
      <c r="CJ349" s="20">
        <v>-49.06</v>
      </c>
      <c r="CO349" s="20">
        <v>-37.22</v>
      </c>
      <c r="CP349" s="20">
        <v>-57.24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17</v>
      </c>
      <c r="M350" s="20">
        <v>-19.63</v>
      </c>
      <c r="N350" s="20">
        <v>3.07</v>
      </c>
      <c r="P350" s="20">
        <v>-28.97</v>
      </c>
      <c r="Q350" s="20">
        <v>-18.27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17</v>
      </c>
      <c r="AO350" s="20">
        <v>-29.78</v>
      </c>
      <c r="AP350" s="20">
        <v>4.82</v>
      </c>
      <c r="AS350" s="20">
        <v>174.0</v>
      </c>
      <c r="AT350" s="20" t="s">
        <v>17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17</v>
      </c>
      <c r="BM350" s="20">
        <v>-23.44</v>
      </c>
      <c r="BN350" s="20">
        <v>-7.36</v>
      </c>
      <c r="BW350" s="20">
        <v>-44.59</v>
      </c>
      <c r="BX350" s="20">
        <v>-0.68</v>
      </c>
      <c r="BZ350" s="20">
        <v>-69.11</v>
      </c>
      <c r="CA350" s="20">
        <v>23.42</v>
      </c>
      <c r="CI350" s="20">
        <v>-54.72</v>
      </c>
      <c r="CJ350" s="20">
        <v>-53.82</v>
      </c>
      <c r="CO350" s="20">
        <v>-14.76</v>
      </c>
      <c r="CP350" s="20">
        <v>-60.91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P351" s="20">
        <v>50.84</v>
      </c>
      <c r="Q351" s="20">
        <v>92.87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BZ351" s="20">
        <v>-14.8</v>
      </c>
      <c r="CA351" s="20">
        <v>18.14</v>
      </c>
      <c r="CI351" s="20">
        <v>-30.77</v>
      </c>
      <c r="CJ351" s="20">
        <v>26.07</v>
      </c>
      <c r="CO351" s="20">
        <v>-16.92</v>
      </c>
      <c r="CP351" s="20">
        <v>-63.35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17</v>
      </c>
      <c r="M352" s="20">
        <v>-32.62</v>
      </c>
      <c r="N352" s="20">
        <v>-19.7</v>
      </c>
      <c r="P352" s="20">
        <v>-26.35</v>
      </c>
      <c r="Q352" s="20">
        <v>9.35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17</v>
      </c>
      <c r="AO352" s="20">
        <v>-9.33</v>
      </c>
      <c r="AP352" s="20">
        <v>-17.15</v>
      </c>
      <c r="AS352" s="20">
        <v>175.0</v>
      </c>
      <c r="AT352" s="20" t="s">
        <v>17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17</v>
      </c>
      <c r="BM352" s="20">
        <v>-21.06</v>
      </c>
      <c r="BN352" s="20">
        <v>33.72</v>
      </c>
      <c r="BW352" s="20">
        <v>-55.8</v>
      </c>
      <c r="BX352" s="20">
        <v>-7.18</v>
      </c>
      <c r="BZ352" s="20">
        <v>-36.94</v>
      </c>
      <c r="CA352" s="20">
        <v>55.5</v>
      </c>
      <c r="CI352" s="20">
        <v>-41.08</v>
      </c>
      <c r="CJ352" s="20">
        <v>-30.94</v>
      </c>
      <c r="CO352" s="20">
        <v>-41.1</v>
      </c>
      <c r="CP352" s="20">
        <v>-55.92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P353" s="20">
        <v>54.91</v>
      </c>
      <c r="Q353" s="20">
        <v>16.31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BZ353" s="20">
        <v>-29.2</v>
      </c>
      <c r="CA353" s="20">
        <v>24.73</v>
      </c>
      <c r="CI353" s="20">
        <v>-34.73</v>
      </c>
      <c r="CJ353" s="20">
        <v>-35.41</v>
      </c>
      <c r="CO353" s="20">
        <v>-19.66</v>
      </c>
      <c r="CP353" s="20">
        <v>-61.94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17</v>
      </c>
      <c r="M354" s="20">
        <v>-7.07</v>
      </c>
      <c r="N354" s="20">
        <v>-11.84</v>
      </c>
      <c r="P354" s="20">
        <v>-49.23</v>
      </c>
      <c r="Q354" s="20">
        <v>-62.55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17</v>
      </c>
      <c r="AO354" s="20">
        <v>-21.99</v>
      </c>
      <c r="AP354" s="20">
        <v>-17.69</v>
      </c>
      <c r="AS354" s="20">
        <v>176.0</v>
      </c>
      <c r="AT354" s="20" t="s">
        <v>17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17</v>
      </c>
      <c r="BM354" s="20">
        <v>52.9</v>
      </c>
      <c r="BN354" s="20">
        <v>83.5</v>
      </c>
      <c r="BW354" s="20">
        <v>13.81</v>
      </c>
      <c r="BX354" s="20">
        <v>10.31</v>
      </c>
      <c r="BZ354" s="20">
        <v>-46.79</v>
      </c>
      <c r="CA354" s="20">
        <v>-7.5</v>
      </c>
      <c r="CI354" s="20">
        <v>-64.04</v>
      </c>
      <c r="CJ354" s="20">
        <v>-44.71</v>
      </c>
      <c r="CO354" s="20">
        <v>-31.64</v>
      </c>
      <c r="CP354" s="20">
        <v>-67.31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P355" s="20">
        <v>2.38</v>
      </c>
      <c r="Q355" s="20">
        <v>7.13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BZ355" s="20">
        <v>-14.96</v>
      </c>
      <c r="CA355" s="20">
        <v>65.48</v>
      </c>
      <c r="CI355" s="20">
        <v>-58.53</v>
      </c>
      <c r="CJ355" s="20">
        <v>-56.93</v>
      </c>
      <c r="CO355" s="20">
        <v>-24.05</v>
      </c>
      <c r="CP355" s="20">
        <v>-61.84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17</v>
      </c>
      <c r="M356" s="20">
        <v>-9.25</v>
      </c>
      <c r="N356" s="20">
        <v>-43.14</v>
      </c>
      <c r="P356" s="20">
        <v>-19.53</v>
      </c>
      <c r="Q356" s="20">
        <v>39.92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17</v>
      </c>
      <c r="AO356" s="20">
        <v>-18.33</v>
      </c>
      <c r="AP356" s="20">
        <v>41.28</v>
      </c>
      <c r="AS356" s="20">
        <v>177.0</v>
      </c>
      <c r="AT356" s="20" t="s">
        <v>17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17</v>
      </c>
      <c r="BM356" s="20">
        <v>12.54</v>
      </c>
      <c r="BN356" s="20">
        <v>35.48</v>
      </c>
      <c r="BW356" s="20">
        <v>-51.61</v>
      </c>
      <c r="BX356" s="20">
        <v>-40.06</v>
      </c>
      <c r="BZ356" s="20">
        <v>-46.15</v>
      </c>
      <c r="CA356" s="20">
        <v>16.0</v>
      </c>
      <c r="CI356" s="20">
        <v>-47.92</v>
      </c>
      <c r="CJ356" s="20">
        <v>4.47</v>
      </c>
      <c r="CO356" s="20">
        <v>-13.24</v>
      </c>
      <c r="CP356" s="20">
        <v>-59.0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P357" s="20">
        <v>-15.73</v>
      </c>
      <c r="Q357" s="20">
        <v>-31.65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BZ357" s="20">
        <v>-37.56</v>
      </c>
      <c r="CA357" s="20">
        <v>33.24</v>
      </c>
      <c r="CI357" s="20">
        <v>-35.78</v>
      </c>
      <c r="CJ357" s="20">
        <v>37.79</v>
      </c>
      <c r="CO357" s="20">
        <v>-20.53</v>
      </c>
      <c r="CP357" s="20">
        <v>-53.61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17</v>
      </c>
      <c r="M358" s="20">
        <v>23.55</v>
      </c>
      <c r="N358" s="20">
        <v>82.38</v>
      </c>
      <c r="P358" s="20">
        <v>-32.52</v>
      </c>
      <c r="Q358" s="20">
        <v>-9.95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17</v>
      </c>
      <c r="AO358" s="20">
        <v>44.97</v>
      </c>
      <c r="AP358" s="20">
        <v>-21.81</v>
      </c>
      <c r="AS358" s="20">
        <v>178.0</v>
      </c>
      <c r="AT358" s="20" t="s">
        <v>17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17</v>
      </c>
      <c r="BM358" s="20">
        <v>-7.37</v>
      </c>
      <c r="BN358" s="20">
        <v>62.22</v>
      </c>
      <c r="BW358" s="20">
        <v>-48.44</v>
      </c>
      <c r="BX358" s="20">
        <v>-0.5</v>
      </c>
      <c r="BZ358" s="20">
        <v>-58.98</v>
      </c>
      <c r="CA358" s="20">
        <v>-7.64</v>
      </c>
      <c r="CI358" s="20">
        <v>-36.67</v>
      </c>
      <c r="CJ358" s="20">
        <v>-26.48</v>
      </c>
      <c r="CO358" s="20">
        <v>-16.71</v>
      </c>
      <c r="CP358" s="20">
        <v>-60.34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P359" s="20">
        <v>8.25</v>
      </c>
      <c r="Q359" s="20">
        <v>-6.99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BZ359" s="20">
        <v>-33.26</v>
      </c>
      <c r="CA359" s="20">
        <v>-16.65</v>
      </c>
      <c r="CI359" s="20">
        <v>-52.3</v>
      </c>
      <c r="CJ359" s="20">
        <v>-27.43</v>
      </c>
      <c r="CO359" s="20">
        <v>-17.51</v>
      </c>
      <c r="CP359" s="20">
        <v>-44.58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17</v>
      </c>
      <c r="M360" s="20">
        <v>-35.07</v>
      </c>
      <c r="N360" s="20">
        <v>-26.82</v>
      </c>
      <c r="P360" s="20">
        <v>-39.77</v>
      </c>
      <c r="Q360" s="20">
        <v>-12.03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17</v>
      </c>
      <c r="AO360" s="20">
        <v>3.95</v>
      </c>
      <c r="AP360" s="20">
        <v>-9.23</v>
      </c>
      <c r="AS360" s="20">
        <v>179.0</v>
      </c>
      <c r="AT360" s="20" t="s">
        <v>17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17</v>
      </c>
      <c r="BM360" s="20">
        <v>83.23</v>
      </c>
      <c r="BN360" s="20">
        <v>128.42</v>
      </c>
      <c r="BW360" s="20">
        <v>-70.06</v>
      </c>
      <c r="BX360" s="20">
        <v>-65.43</v>
      </c>
      <c r="BZ360" s="20">
        <v>-62.05</v>
      </c>
      <c r="CA360" s="20">
        <v>17.3</v>
      </c>
      <c r="CI360" s="20">
        <v>-59.05</v>
      </c>
      <c r="CJ360" s="20">
        <v>-48.49</v>
      </c>
      <c r="CO360" s="20">
        <v>12.21</v>
      </c>
      <c r="CP360" s="20">
        <v>-53.76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P361" s="20">
        <v>29.14</v>
      </c>
      <c r="Q361" s="20">
        <v>14.69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BZ361" s="20">
        <v>-21.87</v>
      </c>
      <c r="CA361" s="20">
        <v>21.48</v>
      </c>
      <c r="CI361" s="20">
        <v>-18.8</v>
      </c>
      <c r="CJ361" s="20">
        <v>-6.68</v>
      </c>
      <c r="CO361" s="20">
        <v>-37.23</v>
      </c>
      <c r="CP361" s="20">
        <v>-51.34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17</v>
      </c>
      <c r="M362" s="20">
        <v>-25.19</v>
      </c>
      <c r="N362" s="20">
        <v>-39.41</v>
      </c>
      <c r="P362" s="20">
        <v>-23.82</v>
      </c>
      <c r="Q362" s="20">
        <v>-3.11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17</v>
      </c>
      <c r="AO362" s="20">
        <v>-17.05</v>
      </c>
      <c r="AP362" s="20">
        <v>-8.42</v>
      </c>
      <c r="AS362" s="20">
        <v>180.0</v>
      </c>
      <c r="AT362" s="20" t="s">
        <v>17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17</v>
      </c>
      <c r="BM362" s="20">
        <v>17.49</v>
      </c>
      <c r="BN362" s="20">
        <v>67.58</v>
      </c>
      <c r="BW362" s="20">
        <v>-5.82</v>
      </c>
      <c r="BX362" s="20">
        <v>-23.44</v>
      </c>
      <c r="BZ362" s="20">
        <v>-56.37</v>
      </c>
      <c r="CA362" s="20">
        <v>-5.89</v>
      </c>
      <c r="CI362" s="20">
        <v>-58.4</v>
      </c>
      <c r="CJ362" s="20">
        <v>-26.3</v>
      </c>
      <c r="CO362" s="20">
        <v>-32.81</v>
      </c>
      <c r="CP362" s="20">
        <v>-38.5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P363" s="20">
        <v>-18.41</v>
      </c>
      <c r="Q363" s="20">
        <v>12.44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BZ363" s="20">
        <v>-37.63</v>
      </c>
      <c r="CA363" s="20">
        <v>74.52</v>
      </c>
      <c r="CI363" s="20">
        <v>-52.12</v>
      </c>
      <c r="CJ363" s="20">
        <v>-32.37</v>
      </c>
      <c r="CO363" s="20">
        <v>-15.8</v>
      </c>
      <c r="CP363" s="20">
        <v>-50.86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17</v>
      </c>
      <c r="M364" s="20">
        <v>-12.48</v>
      </c>
      <c r="N364" s="20">
        <v>8.9</v>
      </c>
      <c r="P364" s="20">
        <v>-27.17</v>
      </c>
      <c r="Q364" s="20">
        <v>-11.13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17</v>
      </c>
      <c r="AO364" s="20">
        <v>8.28</v>
      </c>
      <c r="AP364" s="20">
        <v>-25.29</v>
      </c>
      <c r="AS364" s="20">
        <v>181.0</v>
      </c>
      <c r="AT364" s="20" t="s">
        <v>17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17</v>
      </c>
      <c r="BM364" s="20">
        <v>89.87</v>
      </c>
      <c r="BN364" s="20">
        <v>167.23</v>
      </c>
      <c r="BW364" s="20">
        <v>-76.41</v>
      </c>
      <c r="BX364" s="20">
        <v>-44.9</v>
      </c>
      <c r="BZ364" s="20">
        <v>-26.41</v>
      </c>
      <c r="CA364" s="20">
        <v>76.17</v>
      </c>
      <c r="CI364" s="20">
        <v>-54.31</v>
      </c>
      <c r="CJ364" s="20">
        <v>-53.38</v>
      </c>
      <c r="CO364" s="20">
        <v>-4.38</v>
      </c>
      <c r="CP364" s="20">
        <v>-40.18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P365" s="20">
        <v>-38.13</v>
      </c>
      <c r="Q365" s="20">
        <v>-11.76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BZ365" s="20">
        <v>-14.22</v>
      </c>
      <c r="CA365" s="20">
        <v>53.34</v>
      </c>
      <c r="CI365" s="20">
        <v>-57.31</v>
      </c>
      <c r="CJ365" s="20">
        <v>-58.85</v>
      </c>
      <c r="CO365" s="20">
        <v>-21.33</v>
      </c>
      <c r="CP365" s="20">
        <v>-54.89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17</v>
      </c>
      <c r="M366" s="20">
        <v>-24.99</v>
      </c>
      <c r="N366" s="20">
        <v>25.55</v>
      </c>
      <c r="P366" s="20">
        <v>-31.52</v>
      </c>
      <c r="Q366" s="20">
        <v>5.95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17</v>
      </c>
      <c r="AO366" s="20">
        <v>12.19</v>
      </c>
      <c r="AP366" s="20">
        <v>30.58</v>
      </c>
      <c r="AS366" s="20">
        <v>182.0</v>
      </c>
      <c r="AT366" s="20" t="s">
        <v>17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17</v>
      </c>
      <c r="BM366" s="20">
        <v>-10.82</v>
      </c>
      <c r="BN366" s="20">
        <v>73.65</v>
      </c>
      <c r="BW366" s="20">
        <v>-68.5</v>
      </c>
      <c r="BX366" s="20">
        <v>-0.97</v>
      </c>
      <c r="BZ366" s="20">
        <v>-52.19</v>
      </c>
      <c r="CA366" s="20">
        <v>9.86</v>
      </c>
      <c r="CI366" s="20">
        <v>-20.62</v>
      </c>
      <c r="CJ366" s="20">
        <v>-26.01</v>
      </c>
      <c r="CO366" s="20">
        <v>7.98</v>
      </c>
      <c r="CP366" s="20">
        <v>-52.96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P367" s="20">
        <v>50.43</v>
      </c>
      <c r="Q367" s="20">
        <v>21.43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BZ367" s="20">
        <v>-22.34</v>
      </c>
      <c r="CA367" s="20">
        <v>39.87</v>
      </c>
      <c r="CI367" s="20">
        <v>-51.44</v>
      </c>
      <c r="CJ367" s="20">
        <v>-24.77</v>
      </c>
      <c r="CO367" s="20">
        <v>12.7</v>
      </c>
      <c r="CP367" s="20">
        <v>-50.26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17</v>
      </c>
      <c r="M368" s="20">
        <v>-23.43</v>
      </c>
      <c r="N368" s="20">
        <v>10.33</v>
      </c>
      <c r="P368" s="20">
        <v>-32.13</v>
      </c>
      <c r="Q368" s="20">
        <v>11.11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17</v>
      </c>
      <c r="AO368" s="20">
        <v>8.57</v>
      </c>
      <c r="AP368" s="20">
        <v>-28.59</v>
      </c>
      <c r="AS368" s="20">
        <v>183.0</v>
      </c>
      <c r="AT368" s="20" t="s">
        <v>17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17</v>
      </c>
      <c r="BM368" s="20">
        <v>-31.68</v>
      </c>
      <c r="BN368" s="20">
        <v>57.8</v>
      </c>
      <c r="BW368" s="20">
        <v>-43.68</v>
      </c>
      <c r="BX368" s="20">
        <v>69.71</v>
      </c>
      <c r="BZ368" s="20">
        <v>-56.04</v>
      </c>
      <c r="CA368" s="20">
        <v>-28.65</v>
      </c>
      <c r="CI368" s="20">
        <v>-59.37</v>
      </c>
      <c r="CJ368" s="20">
        <v>-57.82</v>
      </c>
      <c r="CO368" s="20">
        <v>-30.58</v>
      </c>
      <c r="CP368" s="20">
        <v>-54.98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P369" s="20">
        <v>21.89</v>
      </c>
      <c r="Q369" s="20">
        <v>51.94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BZ369" s="20">
        <v>-27.83</v>
      </c>
      <c r="CA369" s="20">
        <v>16.25</v>
      </c>
      <c r="CI369" s="20">
        <v>-50.45</v>
      </c>
      <c r="CJ369" s="20">
        <v>-23.39</v>
      </c>
      <c r="CO369" s="20">
        <v>-19.31</v>
      </c>
      <c r="CP369" s="20">
        <v>-53.08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17</v>
      </c>
      <c r="M370" s="20">
        <v>-34.44</v>
      </c>
      <c r="N370" s="20">
        <v>10.45</v>
      </c>
      <c r="P370" s="20">
        <v>4.81</v>
      </c>
      <c r="Q370" s="20">
        <v>10.27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17</v>
      </c>
      <c r="AO370" s="20">
        <v>21.01</v>
      </c>
      <c r="AP370" s="20">
        <v>-20.84</v>
      </c>
      <c r="AS370" s="20">
        <v>184.0</v>
      </c>
      <c r="AT370" s="20" t="s">
        <v>17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17</v>
      </c>
      <c r="BM370" s="20">
        <v>192.54</v>
      </c>
      <c r="BN370" s="20">
        <v>-5.76</v>
      </c>
      <c r="BW370" s="20">
        <v>-36.95</v>
      </c>
      <c r="BX370" s="20">
        <v>20.35</v>
      </c>
      <c r="BZ370" s="20">
        <v>-58.31</v>
      </c>
      <c r="CA370" s="20">
        <v>18.03</v>
      </c>
      <c r="CI370" s="20">
        <v>-38.56</v>
      </c>
      <c r="CJ370" s="20">
        <v>-28.39</v>
      </c>
      <c r="CO370" s="20">
        <v>-20.66</v>
      </c>
      <c r="CP370" s="20">
        <v>-53.83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P371" s="20">
        <v>21.21</v>
      </c>
      <c r="Q371" s="20">
        <v>16.82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BZ371" s="20">
        <v>-38.96</v>
      </c>
      <c r="CA371" s="20">
        <v>32.39</v>
      </c>
      <c r="CI371" s="20">
        <v>-60.38</v>
      </c>
      <c r="CJ371" s="20">
        <v>-61.66</v>
      </c>
      <c r="CO371" s="20">
        <v>-20.52</v>
      </c>
      <c r="CP371" s="20">
        <v>-50.16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17</v>
      </c>
      <c r="M372" s="20">
        <v>-18.21</v>
      </c>
      <c r="N372" s="20">
        <v>-36.31</v>
      </c>
      <c r="P372" s="20">
        <v>-4.79</v>
      </c>
      <c r="Q372" s="20">
        <v>0.81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17</v>
      </c>
      <c r="AO372" s="20">
        <v>-23.75</v>
      </c>
      <c r="AP372" s="20">
        <v>34.02</v>
      </c>
      <c r="AS372" s="20">
        <v>185.0</v>
      </c>
      <c r="AT372" s="20" t="s">
        <v>17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17</v>
      </c>
      <c r="BM372" s="20">
        <v>-65.19</v>
      </c>
      <c r="BN372" s="20">
        <v>-57.83</v>
      </c>
      <c r="BW372" s="20">
        <v>-43.22</v>
      </c>
      <c r="BX372" s="20">
        <v>-40.27</v>
      </c>
      <c r="BZ372" s="20">
        <v>-64.97</v>
      </c>
      <c r="CA372" s="20">
        <v>15.84</v>
      </c>
      <c r="CI372" s="20">
        <v>-36.41</v>
      </c>
      <c r="CJ372" s="20">
        <v>-33.09</v>
      </c>
      <c r="CO372" s="20">
        <v>-18.72</v>
      </c>
      <c r="CP372" s="20">
        <v>-59.92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P373" s="20">
        <v>31.29</v>
      </c>
      <c r="Q373" s="20">
        <v>58.17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BZ373" s="20">
        <v>-30.74</v>
      </c>
      <c r="CA373" s="20">
        <v>25.04</v>
      </c>
      <c r="CI373" s="20">
        <v>-44.19</v>
      </c>
      <c r="CJ373" s="20">
        <v>-54.34</v>
      </c>
      <c r="CO373" s="20">
        <v>-32.77</v>
      </c>
      <c r="CP373" s="20">
        <v>-54.22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17</v>
      </c>
      <c r="M374" s="20">
        <v>-62.8</v>
      </c>
      <c r="N374" s="20">
        <v>-39.76</v>
      </c>
      <c r="P374" s="20">
        <v>-2.99</v>
      </c>
      <c r="Q374" s="20">
        <v>41.89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17</v>
      </c>
      <c r="AO374" s="20">
        <v>-25.67</v>
      </c>
      <c r="AP374" s="20">
        <v>40.08</v>
      </c>
      <c r="AS374" s="20">
        <v>186.0</v>
      </c>
      <c r="AT374" s="20" t="s">
        <v>17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17</v>
      </c>
      <c r="BM374" s="20">
        <v>64.84</v>
      </c>
      <c r="BN374" s="20">
        <v>68.1</v>
      </c>
      <c r="BW374" s="20">
        <v>27.7</v>
      </c>
      <c r="BX374" s="20">
        <v>-54.37</v>
      </c>
      <c r="BZ374" s="20">
        <v>-59.79</v>
      </c>
      <c r="CA374" s="20">
        <v>15.22</v>
      </c>
      <c r="CI374" s="20">
        <v>-52.48</v>
      </c>
      <c r="CJ374" s="20">
        <v>-60.79</v>
      </c>
      <c r="CO374" s="20">
        <v>-27.91</v>
      </c>
      <c r="CP374" s="20">
        <v>-67.81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P375" s="20">
        <v>16.1</v>
      </c>
      <c r="Q375" s="20">
        <v>-5.18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BZ375" s="20">
        <v>-46.88</v>
      </c>
      <c r="CA375" s="20">
        <v>18.51</v>
      </c>
      <c r="CI375" s="20">
        <v>-50.27</v>
      </c>
      <c r="CJ375" s="20">
        <v>-35.62</v>
      </c>
      <c r="CO375" s="20">
        <v>4.74</v>
      </c>
      <c r="CP375" s="20">
        <v>-57.5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17</v>
      </c>
      <c r="M376" s="20">
        <v>-13.41</v>
      </c>
      <c r="N376" s="20">
        <v>17.23</v>
      </c>
      <c r="P376" s="20">
        <v>-44.55</v>
      </c>
      <c r="Q376" s="20">
        <v>-36.93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17</v>
      </c>
      <c r="AO376" s="20">
        <v>-43.74</v>
      </c>
      <c r="AP376" s="20">
        <v>-15.67</v>
      </c>
      <c r="AS376" s="20">
        <v>187.0</v>
      </c>
      <c r="AT376" s="20" t="s">
        <v>17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17</v>
      </c>
      <c r="BM376" s="20">
        <v>78.95</v>
      </c>
      <c r="BN376" s="20">
        <v>143.61</v>
      </c>
      <c r="BW376" s="20">
        <v>-58.59</v>
      </c>
      <c r="BX376" s="20">
        <v>11.48</v>
      </c>
      <c r="BZ376" s="20">
        <v>-43.52</v>
      </c>
      <c r="CA376" s="20">
        <v>-6.47</v>
      </c>
      <c r="CI376" s="20">
        <v>-44.8</v>
      </c>
      <c r="CJ376" s="20">
        <v>-38.56</v>
      </c>
      <c r="CO376" s="20">
        <v>11.82</v>
      </c>
      <c r="CP376" s="20">
        <v>-42.58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P377" s="20">
        <v>0.24</v>
      </c>
      <c r="Q377" s="20">
        <v>8.05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BZ377" s="20">
        <v>-47.14</v>
      </c>
      <c r="CA377" s="20">
        <v>43.77</v>
      </c>
      <c r="CI377" s="20">
        <v>-47.35</v>
      </c>
      <c r="CJ377" s="20">
        <v>-31.3</v>
      </c>
      <c r="CO377" s="20">
        <v>-27.36</v>
      </c>
      <c r="CP377" s="20">
        <v>-49.94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17</v>
      </c>
      <c r="M378" s="20">
        <v>46.64</v>
      </c>
      <c r="N378" s="20">
        <v>5.41</v>
      </c>
      <c r="P378" s="20">
        <v>-1.11</v>
      </c>
      <c r="Q378" s="20">
        <v>-9.61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17</v>
      </c>
      <c r="AO378" s="20">
        <v>-10.6</v>
      </c>
      <c r="AP378" s="20">
        <v>4.95</v>
      </c>
      <c r="AS378" s="20">
        <v>188.0</v>
      </c>
      <c r="AT378" s="20" t="s">
        <v>17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17</v>
      </c>
      <c r="BM378" s="20">
        <v>89.06</v>
      </c>
      <c r="BN378" s="20">
        <v>160.07</v>
      </c>
      <c r="BW378" s="20">
        <v>-57.31</v>
      </c>
      <c r="BX378" s="20">
        <v>24.18</v>
      </c>
      <c r="BZ378" s="20">
        <v>-51.03</v>
      </c>
      <c r="CA378" s="20">
        <v>14.49</v>
      </c>
      <c r="CI378" s="20">
        <v>-58.08</v>
      </c>
      <c r="CJ378" s="20">
        <v>-53.22</v>
      </c>
      <c r="CO378" s="20">
        <v>-25.81</v>
      </c>
      <c r="CP378" s="20">
        <v>-54.12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P379" s="20">
        <v>-1.96</v>
      </c>
      <c r="Q379" s="20">
        <v>38.43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BZ379" s="20">
        <v>-54.51</v>
      </c>
      <c r="CA379" s="20">
        <v>9.45</v>
      </c>
      <c r="CI379" s="20">
        <v>-60.0</v>
      </c>
      <c r="CJ379" s="20">
        <v>-63.16</v>
      </c>
      <c r="CO379" s="20">
        <v>-31.77</v>
      </c>
      <c r="CP379" s="20">
        <v>-62.2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17</v>
      </c>
      <c r="M380" s="20">
        <v>-13.99</v>
      </c>
      <c r="N380" s="20">
        <v>0.01</v>
      </c>
      <c r="P380" s="20">
        <v>-17.89</v>
      </c>
      <c r="Q380" s="20">
        <v>5.76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17</v>
      </c>
      <c r="AO380" s="20">
        <v>10.09</v>
      </c>
      <c r="AP380" s="20">
        <v>-17.66</v>
      </c>
      <c r="AS380" s="20">
        <v>189.0</v>
      </c>
      <c r="AT380" s="20" t="s">
        <v>17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17</v>
      </c>
      <c r="BM380" s="20">
        <v>33.93</v>
      </c>
      <c r="BN380" s="20">
        <v>99.76</v>
      </c>
      <c r="BW380" s="20">
        <v>-54.4</v>
      </c>
      <c r="BX380" s="20">
        <v>-22.63</v>
      </c>
      <c r="BZ380" s="20">
        <v>-50.78</v>
      </c>
      <c r="CA380" s="20">
        <v>-23.7</v>
      </c>
      <c r="CI380" s="20">
        <v>-61.71</v>
      </c>
      <c r="CJ380" s="20">
        <v>-44.2</v>
      </c>
      <c r="CO380" s="20">
        <v>-25.37</v>
      </c>
      <c r="CP380" s="20">
        <v>-60.47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P381" s="20">
        <v>16.16</v>
      </c>
      <c r="Q381" s="20">
        <v>4.68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BZ381" s="20">
        <v>-43.62</v>
      </c>
      <c r="CA381" s="20">
        <v>33.84</v>
      </c>
      <c r="CI381" s="20">
        <v>-50.95</v>
      </c>
      <c r="CJ381" s="20">
        <v>-38.85</v>
      </c>
      <c r="CO381" s="20">
        <v>-26.64</v>
      </c>
      <c r="CP381" s="20">
        <v>-66.19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17</v>
      </c>
      <c r="M382" s="20">
        <v>-20.74</v>
      </c>
      <c r="N382" s="20">
        <v>8.94</v>
      </c>
      <c r="P382" s="20">
        <v>-2.53</v>
      </c>
      <c r="Q382" s="20">
        <v>-4.39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17</v>
      </c>
      <c r="AO382" s="20">
        <v>-15.12</v>
      </c>
      <c r="AP382" s="20">
        <v>9.45</v>
      </c>
      <c r="AS382" s="20">
        <v>190.0</v>
      </c>
      <c r="AT382" s="20" t="s">
        <v>17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17</v>
      </c>
      <c r="BM382" s="20">
        <v>42.91</v>
      </c>
      <c r="BN382" s="20">
        <v>97.53</v>
      </c>
      <c r="BW382" s="20">
        <v>-45.1</v>
      </c>
      <c r="BX382" s="20">
        <v>-41.58</v>
      </c>
      <c r="BZ382" s="20">
        <v>-64.78</v>
      </c>
      <c r="CA382" s="20">
        <v>-1.18</v>
      </c>
      <c r="CI382" s="20">
        <v>-43.08</v>
      </c>
      <c r="CJ382" s="20">
        <v>-27.93</v>
      </c>
      <c r="CO382" s="20">
        <v>-13.5</v>
      </c>
      <c r="CP382" s="20">
        <v>-56.81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P383" s="20">
        <v>-4.75</v>
      </c>
      <c r="Q383" s="20">
        <v>74.42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BZ383" s="20">
        <v>-57.92</v>
      </c>
      <c r="CA383" s="20">
        <v>91.16</v>
      </c>
      <c r="CI383" s="20">
        <v>-39.8</v>
      </c>
      <c r="CJ383" s="20">
        <v>-46.34</v>
      </c>
      <c r="CO383" s="20">
        <v>-21.65</v>
      </c>
      <c r="CP383" s="20">
        <v>-63.36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17</v>
      </c>
      <c r="M384" s="20">
        <v>27.91</v>
      </c>
      <c r="N384" s="20">
        <v>-13.56</v>
      </c>
      <c r="P384" s="20">
        <v>-0.1</v>
      </c>
      <c r="Q384" s="20">
        <v>26.81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17</v>
      </c>
      <c r="AO384" s="20">
        <v>-21.2</v>
      </c>
      <c r="AP384" s="20">
        <v>-26.32</v>
      </c>
      <c r="AS384" s="20">
        <v>191.0</v>
      </c>
      <c r="AT384" s="20" t="s">
        <v>17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BZ384" s="20">
        <v>-2.48</v>
      </c>
      <c r="CA384" s="20">
        <v>42.95</v>
      </c>
      <c r="CI384" s="20">
        <v>-5.73</v>
      </c>
      <c r="CJ384" s="20">
        <v>-22.12</v>
      </c>
      <c r="CO384" s="20">
        <v>-48.49</v>
      </c>
      <c r="CP384" s="20">
        <v>-64.3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P385" s="20">
        <v>1.26</v>
      </c>
      <c r="Q385" s="20">
        <v>-4.02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BZ385" s="20">
        <v>-59.12</v>
      </c>
      <c r="CA385" s="20">
        <v>-24.34</v>
      </c>
      <c r="CI385" s="20">
        <v>-59.44</v>
      </c>
      <c r="CJ385" s="20">
        <v>-63.27</v>
      </c>
      <c r="CO385" s="20">
        <v>-45.2</v>
      </c>
      <c r="CP385" s="20">
        <v>-63.25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17</v>
      </c>
      <c r="M386" s="20">
        <v>-6.72</v>
      </c>
      <c r="N386" s="20">
        <v>37.31</v>
      </c>
      <c r="P386" s="20">
        <v>-16.24</v>
      </c>
      <c r="Q386" s="20">
        <v>30.57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17</v>
      </c>
      <c r="AO386" s="20">
        <v>-23.52</v>
      </c>
      <c r="AP386" s="20">
        <v>-7.03</v>
      </c>
      <c r="AS386" s="20">
        <v>192.0</v>
      </c>
      <c r="AT386" s="20" t="s">
        <v>17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BZ386" s="20">
        <v>-64.87</v>
      </c>
      <c r="CA386" s="20">
        <v>-18.58</v>
      </c>
      <c r="CI386" s="20">
        <v>-49.24</v>
      </c>
      <c r="CJ386" s="20">
        <v>-41.24</v>
      </c>
      <c r="CO386" s="20">
        <v>-36.41</v>
      </c>
      <c r="CP386" s="20">
        <v>-62.95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P387" s="20">
        <v>-18.7</v>
      </c>
      <c r="Q387" s="20">
        <v>13.85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BZ387" s="20">
        <v>-39.11</v>
      </c>
      <c r="CA387" s="20">
        <v>38.83</v>
      </c>
      <c r="CI387" s="20">
        <v>-47.1</v>
      </c>
      <c r="CJ387" s="20">
        <v>-47.16</v>
      </c>
      <c r="CO387" s="20">
        <v>97.51</v>
      </c>
      <c r="CP387" s="20">
        <v>126.91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17</v>
      </c>
      <c r="M388" s="20">
        <v>15.81</v>
      </c>
      <c r="N388" s="20">
        <v>-23.58</v>
      </c>
      <c r="P388" s="20">
        <v>-43.61</v>
      </c>
      <c r="Q388" s="20">
        <v>-26.35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17</v>
      </c>
      <c r="AO388" s="20">
        <v>10.39</v>
      </c>
      <c r="AP388" s="20">
        <v>-19.27</v>
      </c>
      <c r="AS388" s="20">
        <v>193.0</v>
      </c>
      <c r="AT388" s="20" t="s">
        <v>17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BZ388" s="20">
        <v>-42.89</v>
      </c>
      <c r="CA388" s="20">
        <v>32.86</v>
      </c>
      <c r="CI388" s="20">
        <v>-36.3</v>
      </c>
      <c r="CJ388" s="20">
        <v>-59.29</v>
      </c>
      <c r="CO388" s="20">
        <v>38.96</v>
      </c>
      <c r="CP388" s="20">
        <v>179.17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P389" s="20">
        <v>-18.89</v>
      </c>
      <c r="Q389" s="20">
        <v>-46.04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BZ389" s="20">
        <v>-36.38</v>
      </c>
      <c r="CA389" s="20">
        <v>66.61</v>
      </c>
      <c r="CI389" s="20">
        <v>-29.09</v>
      </c>
      <c r="CJ389" s="20">
        <v>-43.54</v>
      </c>
      <c r="CO389" s="20">
        <v>25.1</v>
      </c>
      <c r="CP389" s="20">
        <v>41.6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17</v>
      </c>
      <c r="M390" s="20">
        <v>-24.53</v>
      </c>
      <c r="N390" s="20">
        <v>13.65</v>
      </c>
      <c r="P390" s="20">
        <v>-30.94</v>
      </c>
      <c r="Q390" s="20">
        <v>-24.24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17</v>
      </c>
      <c r="AO390" s="20">
        <v>-37.44</v>
      </c>
      <c r="AP390" s="20">
        <v>-26.05</v>
      </c>
      <c r="AS390" s="20">
        <v>194.0</v>
      </c>
      <c r="AT390" s="20" t="s">
        <v>17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BZ390" s="20">
        <v>-55.21</v>
      </c>
      <c r="CA390" s="20">
        <v>5.6</v>
      </c>
      <c r="CI390" s="20">
        <v>-23.45</v>
      </c>
      <c r="CJ390" s="20">
        <v>-43.2</v>
      </c>
      <c r="CO390" s="20">
        <v>18.28</v>
      </c>
      <c r="CP390" s="20">
        <v>-38.51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P391" s="20">
        <v>-1.1</v>
      </c>
      <c r="Q391" s="20">
        <v>26.47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BZ391" s="20">
        <v>-59.57</v>
      </c>
      <c r="CA391" s="20">
        <v>14.73</v>
      </c>
      <c r="CI391" s="20">
        <v>-24.88</v>
      </c>
      <c r="CJ391" s="20">
        <v>-41.22</v>
      </c>
      <c r="CO391" s="20">
        <v>-8.8</v>
      </c>
      <c r="CP391" s="20">
        <v>-40.24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17</v>
      </c>
      <c r="M392" s="20">
        <v>-18.94</v>
      </c>
      <c r="N392" s="20">
        <v>27.19</v>
      </c>
      <c r="P392" s="20">
        <v>32.48</v>
      </c>
      <c r="Q392" s="20">
        <v>116.14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17</v>
      </c>
      <c r="AO392" s="20">
        <v>16.76</v>
      </c>
      <c r="AP392" s="20">
        <v>-24.64</v>
      </c>
      <c r="AS392" s="20">
        <v>195.0</v>
      </c>
      <c r="AT392" s="20" t="s">
        <v>17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BZ392" s="20">
        <v>-57.99</v>
      </c>
      <c r="CA392" s="20">
        <v>-36.0</v>
      </c>
      <c r="CI392" s="20">
        <v>-45.66</v>
      </c>
      <c r="CJ392" s="20">
        <v>-61.01</v>
      </c>
      <c r="CO392" s="20">
        <v>-15.25</v>
      </c>
      <c r="CP392" s="20">
        <v>-35.35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P393" s="20">
        <v>-15.66</v>
      </c>
      <c r="Q393" s="20">
        <v>4.92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BZ393" s="20">
        <v>-24.87</v>
      </c>
      <c r="CA393" s="20">
        <v>10.41</v>
      </c>
      <c r="CI393" s="20">
        <v>-42.05</v>
      </c>
      <c r="CJ393" s="20">
        <v>-56.81</v>
      </c>
      <c r="CO393" s="20">
        <v>1.4</v>
      </c>
      <c r="CP393" s="20">
        <v>-48.37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17</v>
      </c>
      <c r="M394" s="20">
        <v>-25.78</v>
      </c>
      <c r="N394" s="20">
        <v>-5.88</v>
      </c>
      <c r="P394" s="20">
        <v>18.83</v>
      </c>
      <c r="Q394" s="20">
        <v>31.66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17</v>
      </c>
      <c r="AO394" s="20">
        <v>-30.28</v>
      </c>
      <c r="AP394" s="20">
        <v>54.06</v>
      </c>
      <c r="AS394" s="20">
        <v>196.0</v>
      </c>
      <c r="AT394" s="20" t="s">
        <v>17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BZ394" s="20">
        <v>-50.25</v>
      </c>
      <c r="CA394" s="20">
        <v>-15.88</v>
      </c>
      <c r="CI394" s="20">
        <v>-37.29</v>
      </c>
      <c r="CJ394" s="20">
        <v>-58.51</v>
      </c>
      <c r="CO394" s="20">
        <v>41.62</v>
      </c>
      <c r="CP394" s="20">
        <v>-44.05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P395" s="20">
        <v>3.76</v>
      </c>
      <c r="Q395" s="20">
        <v>15.14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BZ395" s="20">
        <v>0.68</v>
      </c>
      <c r="CA395" s="20">
        <v>104.0</v>
      </c>
      <c r="CI395" s="20">
        <v>-26.87</v>
      </c>
      <c r="CJ395" s="20">
        <v>-51.79</v>
      </c>
      <c r="CO395" s="20">
        <v>-10.25</v>
      </c>
      <c r="CP395" s="20">
        <v>-41.46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17</v>
      </c>
      <c r="M396" s="20">
        <v>-42.92</v>
      </c>
      <c r="N396" s="20">
        <v>-38.22</v>
      </c>
      <c r="P396" s="20">
        <v>29.88</v>
      </c>
      <c r="Q396" s="20">
        <v>123.23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17</v>
      </c>
      <c r="AO396" s="20">
        <v>-15.01</v>
      </c>
      <c r="AP396" s="20">
        <v>84.56</v>
      </c>
      <c r="AS396" s="20">
        <v>197.0</v>
      </c>
      <c r="AT396" s="20" t="s">
        <v>17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BZ396" s="20">
        <v>-21.58</v>
      </c>
      <c r="CA396" s="20">
        <v>92.31</v>
      </c>
      <c r="CI396" s="20">
        <v>-58.6</v>
      </c>
      <c r="CJ396" s="20">
        <v>-63.39</v>
      </c>
      <c r="CO396" s="20">
        <v>-5.17</v>
      </c>
      <c r="CP396" s="20">
        <v>-25.06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P397" s="20">
        <v>-21.82</v>
      </c>
      <c r="Q397" s="20">
        <v>9.96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BZ397" s="20">
        <v>-71.71</v>
      </c>
      <c r="CA397" s="20">
        <v>82.52</v>
      </c>
      <c r="CI397" s="20">
        <v>-42.6</v>
      </c>
      <c r="CJ397" s="20">
        <v>-65.95</v>
      </c>
      <c r="CO397" s="20">
        <v>-3.54</v>
      </c>
      <c r="CP397" s="20">
        <v>-39.13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17</v>
      </c>
      <c r="M398" s="20">
        <v>12.49</v>
      </c>
      <c r="N398" s="20">
        <v>-27.0</v>
      </c>
      <c r="P398" s="20">
        <v>-8.51</v>
      </c>
      <c r="Q398" s="20">
        <v>81.16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17</v>
      </c>
      <c r="AO398" s="20">
        <v>-52.54</v>
      </c>
      <c r="AP398" s="20">
        <v>8.59</v>
      </c>
      <c r="AS398" s="20">
        <v>198.0</v>
      </c>
      <c r="AT398" s="20" t="s">
        <v>17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BZ398" s="20">
        <v>-21.71</v>
      </c>
      <c r="CA398" s="20">
        <v>-42.68</v>
      </c>
      <c r="CI398" s="20">
        <v>-53.94</v>
      </c>
      <c r="CJ398" s="20">
        <v>-63.56</v>
      </c>
      <c r="CO398" s="20">
        <v>29.06</v>
      </c>
      <c r="CP398" s="20">
        <v>-47.82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P399" s="20">
        <v>-38.08</v>
      </c>
      <c r="Q399" s="20">
        <v>-72.98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BZ399" s="20">
        <v>-69.9</v>
      </c>
      <c r="CA399" s="20">
        <v>70.11</v>
      </c>
      <c r="CI399" s="20">
        <v>-56.12</v>
      </c>
      <c r="CJ399" s="20">
        <v>-52.89</v>
      </c>
      <c r="CO399" s="20">
        <v>-26.5</v>
      </c>
      <c r="CP399" s="20">
        <v>-50.12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17</v>
      </c>
      <c r="M400" s="20">
        <v>-19.49</v>
      </c>
      <c r="N400" s="20">
        <v>75.6</v>
      </c>
      <c r="P400" s="20">
        <v>-33.35</v>
      </c>
      <c r="Q400" s="20">
        <v>-41.08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17</v>
      </c>
      <c r="AO400" s="20">
        <v>11.18</v>
      </c>
      <c r="AP400" s="20">
        <v>28.65</v>
      </c>
      <c r="AS400" s="20">
        <v>199.0</v>
      </c>
      <c r="AT400" s="20" t="s">
        <v>17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BZ400" s="20">
        <v>-44.9</v>
      </c>
      <c r="CA400" s="20">
        <v>17.37</v>
      </c>
      <c r="CI400" s="20">
        <v>-42.99</v>
      </c>
      <c r="CJ400" s="20">
        <v>-61.61</v>
      </c>
      <c r="CO400" s="20">
        <v>-31.93</v>
      </c>
      <c r="CP400" s="20">
        <v>-34.86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P401" s="20">
        <v>-17.22</v>
      </c>
      <c r="Q401" s="20">
        <v>4.05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BZ401" s="20">
        <v>-46.06</v>
      </c>
      <c r="CA401" s="20">
        <v>69.54</v>
      </c>
      <c r="CI401" s="20">
        <v>-25.75</v>
      </c>
      <c r="CJ401" s="20">
        <v>-46.14</v>
      </c>
      <c r="CO401" s="20">
        <v>-9.22</v>
      </c>
      <c r="CP401" s="20">
        <v>-31.95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17</v>
      </c>
      <c r="M402" s="20">
        <v>-27.1</v>
      </c>
      <c r="N402" s="20">
        <v>37.37</v>
      </c>
      <c r="P402" s="20">
        <v>1.27</v>
      </c>
      <c r="Q402" s="20">
        <v>35.23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17</v>
      </c>
      <c r="AO402" s="20">
        <v>-10.4</v>
      </c>
      <c r="AP402" s="20">
        <v>-21.24</v>
      </c>
      <c r="AS402" s="20">
        <v>200.0</v>
      </c>
      <c r="AT402" s="20" t="s">
        <v>17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BZ402" s="20">
        <v>-35.03</v>
      </c>
      <c r="CA402" s="20">
        <v>80.16</v>
      </c>
      <c r="CI402" s="20">
        <v>-35.62</v>
      </c>
      <c r="CJ402" s="20">
        <v>-41.76</v>
      </c>
      <c r="CO402" s="20">
        <v>2.82</v>
      </c>
      <c r="CP402" s="20">
        <v>-34.66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P403" s="20">
        <v>-20.97</v>
      </c>
      <c r="Q403" s="20">
        <v>-12.67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BZ403" s="20">
        <v>-34.96</v>
      </c>
      <c r="CA403" s="20">
        <v>49.56</v>
      </c>
      <c r="CI403" s="20">
        <v>-28.6</v>
      </c>
      <c r="CJ403" s="20">
        <v>-37.39</v>
      </c>
      <c r="CO403" s="20">
        <v>5.7</v>
      </c>
      <c r="CP403" s="20">
        <v>-28.61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17</v>
      </c>
      <c r="M404" s="20">
        <v>-33.94</v>
      </c>
      <c r="N404" s="20">
        <v>-39.0</v>
      </c>
      <c r="P404" s="20">
        <v>-35.74</v>
      </c>
      <c r="Q404" s="20">
        <v>-23.2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17</v>
      </c>
      <c r="AO404" s="20">
        <v>-20.09</v>
      </c>
      <c r="AP404" s="20">
        <v>-8.22</v>
      </c>
      <c r="AS404" s="20">
        <v>201.0</v>
      </c>
      <c r="AT404" s="20" t="s">
        <v>17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BZ404" s="20">
        <v>-26.0</v>
      </c>
      <c r="CA404" s="20">
        <v>64.24</v>
      </c>
      <c r="CI404" s="20">
        <v>-25.1</v>
      </c>
      <c r="CJ404" s="20">
        <v>-36.71</v>
      </c>
      <c r="CO404" s="20">
        <v>-5.58</v>
      </c>
      <c r="CP404" s="20">
        <v>-25.74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P405" s="20">
        <v>9.18</v>
      </c>
      <c r="Q405" s="20">
        <v>25.95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BZ405" s="20">
        <v>-22.09</v>
      </c>
      <c r="CA405" s="20">
        <v>8.5</v>
      </c>
      <c r="CI405" s="20">
        <v>-47.15</v>
      </c>
      <c r="CJ405" s="20">
        <v>-57.62</v>
      </c>
      <c r="CO405" s="20">
        <v>-19.94</v>
      </c>
      <c r="CP405" s="20">
        <v>-32.54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17</v>
      </c>
      <c r="M406" s="20">
        <v>-33.5</v>
      </c>
      <c r="N406" s="20">
        <v>-38.09</v>
      </c>
      <c r="P406" s="20">
        <v>-3.96</v>
      </c>
      <c r="Q406" s="20">
        <v>-40.74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17</v>
      </c>
      <c r="AO406" s="20">
        <v>-45.94</v>
      </c>
      <c r="AP406" s="20">
        <v>-5.01</v>
      </c>
      <c r="AS406" s="20">
        <v>202.0</v>
      </c>
      <c r="AT406" s="20" t="s">
        <v>17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BZ406" s="20">
        <v>-41.1</v>
      </c>
      <c r="CA406" s="20">
        <v>22.99</v>
      </c>
      <c r="CI406" s="20">
        <v>-36.74</v>
      </c>
      <c r="CJ406" s="20">
        <v>-57.55</v>
      </c>
      <c r="CO406" s="20">
        <v>46.62</v>
      </c>
      <c r="CP406" s="20">
        <v>-23.07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P407" s="20">
        <v>3.73</v>
      </c>
      <c r="Q407" s="20">
        <v>39.82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BZ407" s="20">
        <v>-51.12</v>
      </c>
      <c r="CA407" s="20">
        <v>18.21</v>
      </c>
      <c r="CI407" s="20">
        <v>-48.52</v>
      </c>
      <c r="CJ407" s="20">
        <v>-40.41</v>
      </c>
      <c r="CO407" s="20">
        <v>-16.81</v>
      </c>
      <c r="CP407" s="20">
        <v>-48.11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17</v>
      </c>
      <c r="M408" s="20">
        <v>9.15</v>
      </c>
      <c r="N408" s="20">
        <v>-35.77</v>
      </c>
      <c r="P408" s="20">
        <v>50.02</v>
      </c>
      <c r="Q408" s="20">
        <v>102.37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17</v>
      </c>
      <c r="AO408" s="20">
        <v>-23.35</v>
      </c>
      <c r="AP408" s="20">
        <v>-3.9</v>
      </c>
      <c r="AS408" s="20">
        <v>203.0</v>
      </c>
      <c r="AT408" s="20" t="s">
        <v>17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BZ408" s="20">
        <v>-53.51</v>
      </c>
      <c r="CA408" s="20">
        <v>28.92</v>
      </c>
      <c r="CI408" s="20">
        <v>-53.05</v>
      </c>
      <c r="CJ408" s="20">
        <v>-58.89</v>
      </c>
      <c r="CO408" s="20">
        <v>1.72</v>
      </c>
      <c r="CP408" s="20">
        <v>-16.22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P409" s="20">
        <v>-11.14</v>
      </c>
      <c r="Q409" s="20">
        <v>-4.85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BZ409" s="20">
        <v>-50.05</v>
      </c>
      <c r="CA409" s="20">
        <v>47.51</v>
      </c>
      <c r="CI409" s="20">
        <v>-35.57</v>
      </c>
      <c r="CJ409" s="20">
        <v>-48.96</v>
      </c>
      <c r="CO409" s="20">
        <v>27.96</v>
      </c>
      <c r="CP409" s="20">
        <v>-45.68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17</v>
      </c>
      <c r="M410" s="20">
        <v>-33.87</v>
      </c>
      <c r="N410" s="20">
        <v>11.02</v>
      </c>
      <c r="P410" s="20">
        <v>27.25</v>
      </c>
      <c r="Q410" s="20">
        <v>53.44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17</v>
      </c>
      <c r="AO410" s="20">
        <v>42.49</v>
      </c>
      <c r="AP410" s="20">
        <v>-35.8</v>
      </c>
      <c r="AS410" s="20">
        <v>204.0</v>
      </c>
      <c r="AT410" s="20" t="s">
        <v>17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BZ410" s="20">
        <v>-49.65</v>
      </c>
      <c r="CA410" s="20">
        <v>-11.89</v>
      </c>
      <c r="CI410" s="20">
        <v>-27.94</v>
      </c>
      <c r="CJ410" s="20">
        <v>-47.61</v>
      </c>
      <c r="CO410" s="20">
        <v>42.05</v>
      </c>
      <c r="CP410" s="20">
        <v>-45.56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P411" s="20">
        <v>-17.21</v>
      </c>
      <c r="Q411" s="20">
        <v>17.7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BZ411" s="20">
        <v>-38.79</v>
      </c>
      <c r="CA411" s="20">
        <v>58.44</v>
      </c>
      <c r="CI411" s="20">
        <v>-41.53</v>
      </c>
      <c r="CJ411" s="20">
        <v>-56.24</v>
      </c>
      <c r="CO411" s="20">
        <v>-27.96</v>
      </c>
      <c r="CP411" s="20">
        <v>-59.99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17</v>
      </c>
      <c r="M412" s="20">
        <v>-31.73</v>
      </c>
      <c r="N412" s="20">
        <v>-34.97</v>
      </c>
      <c r="P412" s="20">
        <v>-9.11</v>
      </c>
      <c r="Q412" s="20">
        <v>83.29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17</v>
      </c>
      <c r="AO412" s="20">
        <v>21.01</v>
      </c>
      <c r="AP412" s="20">
        <v>-22.5</v>
      </c>
      <c r="AS412" s="20">
        <v>205.0</v>
      </c>
      <c r="AT412" s="20" t="s">
        <v>17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BZ412" s="20">
        <v>-53.42</v>
      </c>
      <c r="CA412" s="20">
        <v>95.14</v>
      </c>
      <c r="CI412" s="20">
        <v>-41.94</v>
      </c>
      <c r="CJ412" s="20">
        <v>-63.21</v>
      </c>
      <c r="CO412" s="20">
        <v>1.59</v>
      </c>
      <c r="CP412" s="20">
        <v>-23.71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P413" s="20">
        <v>-25.13</v>
      </c>
      <c r="Q413" s="20">
        <v>8.48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BZ413" s="20">
        <v>-59.83</v>
      </c>
      <c r="CA413" s="20">
        <v>29.17</v>
      </c>
      <c r="CI413" s="20">
        <v>-57.96</v>
      </c>
      <c r="CJ413" s="20">
        <v>-57.47</v>
      </c>
      <c r="CO413" s="20">
        <v>16.07</v>
      </c>
      <c r="CP413" s="20">
        <v>-36.2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17</v>
      </c>
      <c r="M414" s="20">
        <v>-40.07</v>
      </c>
      <c r="N414" s="20">
        <v>-33.96</v>
      </c>
      <c r="P414" s="20">
        <v>37.16</v>
      </c>
      <c r="Q414" s="20">
        <v>41.0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17</v>
      </c>
      <c r="AO414" s="20">
        <v>30.6</v>
      </c>
      <c r="AP414" s="20">
        <v>-28.19</v>
      </c>
      <c r="AS414" s="20">
        <v>206.0</v>
      </c>
      <c r="AT414" s="20" t="s">
        <v>17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BZ414" s="20">
        <v>-68.31</v>
      </c>
      <c r="CA414" s="20">
        <v>81.8</v>
      </c>
      <c r="CI414" s="20">
        <v>-41.41</v>
      </c>
      <c r="CJ414" s="20">
        <v>-47.54</v>
      </c>
      <c r="CO414" s="20">
        <v>-4.01</v>
      </c>
      <c r="CP414" s="20">
        <v>-56.74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P415" s="20">
        <v>125.26</v>
      </c>
      <c r="Q415" s="20">
        <v>255.83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BZ415" s="20">
        <v>-53.23</v>
      </c>
      <c r="CA415" s="20">
        <v>54.39</v>
      </c>
      <c r="CI415" s="20">
        <v>-34.34</v>
      </c>
      <c r="CJ415" s="20">
        <v>-51.86</v>
      </c>
      <c r="CO415" s="20">
        <v>-50.09</v>
      </c>
      <c r="CP415" s="20">
        <v>-51.84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17</v>
      </c>
      <c r="M416" s="20">
        <v>-31.63</v>
      </c>
      <c r="N416" s="20">
        <v>9.39</v>
      </c>
      <c r="P416" s="20">
        <v>135.37</v>
      </c>
      <c r="Q416" s="20">
        <v>182.11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17</v>
      </c>
      <c r="AO416" s="20">
        <v>-2.97</v>
      </c>
      <c r="AP416" s="20">
        <v>-27.39</v>
      </c>
      <c r="AS416" s="20">
        <v>207.0</v>
      </c>
      <c r="AT416" s="20" t="s">
        <v>17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BZ416" s="20">
        <v>-56.82</v>
      </c>
      <c r="CA416" s="20">
        <v>1.3</v>
      </c>
      <c r="CI416" s="20">
        <v>-34.62</v>
      </c>
      <c r="CJ416" s="20">
        <v>-52.54</v>
      </c>
      <c r="CO416" s="20">
        <v>62.49</v>
      </c>
      <c r="CP416" s="20">
        <v>-14.37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P417" s="20">
        <v>21.44</v>
      </c>
      <c r="Q417" s="20">
        <v>33.05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BZ417" s="20">
        <v>-56.69</v>
      </c>
      <c r="CA417" s="20">
        <v>44.71</v>
      </c>
      <c r="CI417" s="20">
        <v>-47.48</v>
      </c>
      <c r="CJ417" s="20">
        <v>-60.3</v>
      </c>
      <c r="CO417" s="20">
        <v>9.17</v>
      </c>
      <c r="CP417" s="20">
        <v>-30.01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17</v>
      </c>
      <c r="M418" s="20">
        <v>4.68</v>
      </c>
      <c r="N418" s="20">
        <v>62.84</v>
      </c>
      <c r="P418" s="20">
        <v>63.04</v>
      </c>
      <c r="Q418" s="20">
        <v>76.21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17</v>
      </c>
      <c r="AO418" s="20">
        <v>-5.19</v>
      </c>
      <c r="AP418" s="20">
        <v>-15.58</v>
      </c>
      <c r="AS418" s="20">
        <v>208.0</v>
      </c>
      <c r="AT418" s="20" t="s">
        <v>17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BZ418" s="20">
        <v>-65.37</v>
      </c>
      <c r="CA418" s="20">
        <v>69.39</v>
      </c>
      <c r="CI418" s="20">
        <v>-50.18</v>
      </c>
      <c r="CJ418" s="20">
        <v>-59.53</v>
      </c>
      <c r="CO418" s="20">
        <v>-21.95</v>
      </c>
      <c r="CP418" s="20">
        <v>-28.36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P419" s="20">
        <v>52.38</v>
      </c>
      <c r="Q419" s="20">
        <v>47.39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BZ419" s="20">
        <v>-43.62</v>
      </c>
      <c r="CA419" s="20">
        <v>32.13</v>
      </c>
      <c r="CI419" s="20">
        <v>-52.32</v>
      </c>
      <c r="CJ419" s="20">
        <v>-60.91</v>
      </c>
      <c r="CO419" s="20">
        <v>-4.89</v>
      </c>
      <c r="CP419" s="20">
        <v>-28.18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17</v>
      </c>
      <c r="M420" s="20">
        <v>28.79</v>
      </c>
      <c r="N420" s="20">
        <v>-52.77</v>
      </c>
      <c r="P420" s="20">
        <v>92.47</v>
      </c>
      <c r="Q420" s="20">
        <v>111.23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17</v>
      </c>
      <c r="AO420" s="20">
        <v>-26.11</v>
      </c>
      <c r="AP420" s="20">
        <v>-18.07</v>
      </c>
      <c r="AS420" s="20">
        <v>209.0</v>
      </c>
      <c r="AT420" s="20" t="s">
        <v>17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BZ420" s="20">
        <v>-50.41</v>
      </c>
      <c r="CA420" s="20">
        <v>78.89</v>
      </c>
      <c r="CI420" s="20">
        <v>-33.05</v>
      </c>
      <c r="CJ420" s="20">
        <v>-61.3</v>
      </c>
      <c r="CO420" s="20">
        <v>4.65</v>
      </c>
      <c r="CP420" s="20">
        <v>-19.09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P421" s="20">
        <v>53.56</v>
      </c>
      <c r="Q421" s="20">
        <v>73.63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BZ421" s="20">
        <v>-24.98</v>
      </c>
      <c r="CA421" s="20">
        <v>94.87</v>
      </c>
      <c r="CI421" s="20">
        <v>-52.69</v>
      </c>
      <c r="CJ421" s="20">
        <v>-65.14</v>
      </c>
      <c r="CO421" s="20">
        <v>-12.65</v>
      </c>
      <c r="CP421" s="20">
        <v>-44.03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17</v>
      </c>
      <c r="M422" s="20">
        <v>6.82</v>
      </c>
      <c r="N422" s="20">
        <v>-45.51</v>
      </c>
      <c r="P422" s="20">
        <v>5.74</v>
      </c>
      <c r="Q422" s="20">
        <v>40.07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17</v>
      </c>
      <c r="AO422" s="20">
        <v>-55.45</v>
      </c>
      <c r="AP422" s="20">
        <v>-24.1</v>
      </c>
      <c r="AS422" s="20">
        <v>210.0</v>
      </c>
      <c r="AT422" s="20" t="s">
        <v>17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BZ422" s="20">
        <v>-54.23</v>
      </c>
      <c r="CA422" s="20">
        <v>83.76</v>
      </c>
      <c r="CI422" s="20">
        <v>-46.21</v>
      </c>
      <c r="CJ422" s="20">
        <v>-60.84</v>
      </c>
      <c r="CO422" s="20">
        <v>10.11</v>
      </c>
      <c r="CP422" s="20">
        <v>-35.67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P423" s="20">
        <v>39.83</v>
      </c>
      <c r="Q423" s="20">
        <v>70.09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BZ423" s="20">
        <v>-39.26</v>
      </c>
      <c r="CA423" s="20">
        <v>1.03</v>
      </c>
      <c r="CI423" s="20">
        <v>-42.77</v>
      </c>
      <c r="CJ423" s="20">
        <v>-64.15</v>
      </c>
      <c r="CO423" s="20">
        <v>-34.87</v>
      </c>
      <c r="CP423" s="20">
        <v>-44.66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17</v>
      </c>
      <c r="M424" s="20">
        <v>-26.85</v>
      </c>
      <c r="N424" s="20">
        <v>-15.38</v>
      </c>
      <c r="P424" s="20">
        <v>-12.75</v>
      </c>
      <c r="Q424" s="20">
        <v>49.79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17</v>
      </c>
      <c r="AO424" s="20">
        <v>-18.87</v>
      </c>
      <c r="AP424" s="20">
        <v>64.72</v>
      </c>
      <c r="AS424" s="20">
        <v>211.0</v>
      </c>
      <c r="AT424" s="20" t="s">
        <v>17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BZ424" s="20">
        <v>-34.79</v>
      </c>
      <c r="CA424" s="20">
        <v>32.56</v>
      </c>
      <c r="CI424" s="20">
        <v>-53.81</v>
      </c>
      <c r="CJ424" s="20">
        <v>-59.16</v>
      </c>
      <c r="CO424" s="20">
        <v>-21.33</v>
      </c>
      <c r="CP424" s="20">
        <v>-16.95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P425" s="20">
        <v>25.42</v>
      </c>
      <c r="Q425" s="20">
        <v>24.44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BZ425" s="20">
        <v>-72.21</v>
      </c>
      <c r="CA425" s="20">
        <v>-13.74</v>
      </c>
      <c r="CI425" s="20">
        <v>-52.12</v>
      </c>
      <c r="CJ425" s="20">
        <v>-54.99</v>
      </c>
      <c r="CO425" s="20">
        <v>-5.04</v>
      </c>
      <c r="CP425" s="20">
        <v>-33.39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17</v>
      </c>
      <c r="M426" s="20">
        <v>-25.37</v>
      </c>
      <c r="N426" s="20">
        <v>-11.51</v>
      </c>
      <c r="P426" s="20">
        <v>41.04</v>
      </c>
      <c r="Q426" s="20">
        <v>69.97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17</v>
      </c>
      <c r="AO426" s="20">
        <v>0.51</v>
      </c>
      <c r="AP426" s="20">
        <v>33.21</v>
      </c>
      <c r="AS426" s="20">
        <v>212.0</v>
      </c>
      <c r="AT426" s="20" t="s">
        <v>17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BZ426" s="20">
        <v>-73.37</v>
      </c>
      <c r="CA426" s="20">
        <v>10.68</v>
      </c>
      <c r="CI426" s="20">
        <v>-30.31</v>
      </c>
      <c r="CJ426" s="20">
        <v>-46.73</v>
      </c>
      <c r="CO426" s="20">
        <v>-11.65</v>
      </c>
      <c r="CP426" s="20">
        <v>-45.68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P427" s="20">
        <v>-13.59</v>
      </c>
      <c r="Q427" s="20">
        <v>14.11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BZ427" s="20">
        <v>-52.53</v>
      </c>
      <c r="CA427" s="20">
        <v>27.55</v>
      </c>
      <c r="CI427" s="20">
        <v>-50.24</v>
      </c>
      <c r="CJ427" s="20">
        <v>-56.05</v>
      </c>
      <c r="CO427" s="20">
        <v>30.27</v>
      </c>
      <c r="CP427" s="20">
        <v>-34.82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17</v>
      </c>
      <c r="M428" s="20">
        <v>-25.26</v>
      </c>
      <c r="N428" s="20">
        <v>-1.05</v>
      </c>
      <c r="P428" s="20">
        <v>10.64</v>
      </c>
      <c r="Q428" s="20">
        <v>62.0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17</v>
      </c>
      <c r="AO428" s="20">
        <v>28.88</v>
      </c>
      <c r="AP428" s="20">
        <v>-19.16</v>
      </c>
      <c r="AS428" s="20">
        <v>213.0</v>
      </c>
      <c r="AT428" s="20" t="s">
        <v>17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BZ428" s="20">
        <v>-72.38</v>
      </c>
      <c r="CA428" s="20">
        <v>-15.53</v>
      </c>
      <c r="CI428" s="20">
        <v>-47.66</v>
      </c>
      <c r="CJ428" s="20">
        <v>-44.24</v>
      </c>
      <c r="CO428" s="20">
        <v>-16.05</v>
      </c>
      <c r="CP428" s="20">
        <v>-5.0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P429" s="20">
        <v>6.92</v>
      </c>
      <c r="Q429" s="20">
        <v>24.68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BZ429" s="20">
        <v>-37.61</v>
      </c>
      <c r="CA429" s="20">
        <v>-2.01</v>
      </c>
      <c r="CI429" s="20">
        <v>-59.88</v>
      </c>
      <c r="CJ429" s="20">
        <v>-66.53</v>
      </c>
      <c r="CO429" s="20">
        <v>11.76</v>
      </c>
      <c r="CP429" s="20">
        <v>-44.02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17</v>
      </c>
      <c r="M430" s="20">
        <v>-16.88</v>
      </c>
      <c r="N430" s="20">
        <v>-0.44</v>
      </c>
      <c r="P430" s="20">
        <v>-12.56</v>
      </c>
      <c r="Q430" s="20">
        <v>12.2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17</v>
      </c>
      <c r="AO430" s="20">
        <v>-20.58</v>
      </c>
      <c r="AP430" s="20">
        <v>6.96</v>
      </c>
      <c r="AS430" s="20">
        <v>214.0</v>
      </c>
      <c r="AT430" s="20" t="s">
        <v>17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BZ430" s="20">
        <v>-28.91</v>
      </c>
      <c r="CA430" s="20">
        <v>-1.07</v>
      </c>
      <c r="CI430" s="20">
        <v>-47.98</v>
      </c>
      <c r="CJ430" s="20">
        <v>-63.67</v>
      </c>
      <c r="CO430" s="20">
        <v>9.14</v>
      </c>
      <c r="CP430" s="20">
        <v>-40.8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P431" s="20">
        <v>-42.47</v>
      </c>
      <c r="Q431" s="20">
        <v>35.64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BZ431" s="20">
        <v>-62.05</v>
      </c>
      <c r="CA431" s="20">
        <v>78.83</v>
      </c>
      <c r="CI431" s="20">
        <v>-41.21</v>
      </c>
      <c r="CJ431" s="20">
        <v>-48.37</v>
      </c>
      <c r="CO431" s="20">
        <v>68.77</v>
      </c>
      <c r="CP431" s="20">
        <v>-52.73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17</v>
      </c>
      <c r="M432" s="20">
        <v>-38.89</v>
      </c>
      <c r="N432" s="20">
        <v>13.34</v>
      </c>
      <c r="P432" s="20">
        <v>-18.01</v>
      </c>
      <c r="Q432" s="20">
        <v>29.9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17</v>
      </c>
      <c r="AO432" s="20">
        <v>-1.48</v>
      </c>
      <c r="AP432" s="20">
        <v>-28.38</v>
      </c>
      <c r="AS432" s="20">
        <v>215.0</v>
      </c>
      <c r="AT432" s="20" t="s">
        <v>17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BZ432" s="20">
        <v>-65.61</v>
      </c>
      <c r="CA432" s="20">
        <v>86.21</v>
      </c>
      <c r="CI432" s="20">
        <v>-53.22</v>
      </c>
      <c r="CJ432" s="20">
        <v>-60.94</v>
      </c>
      <c r="CO432" s="20">
        <v>-49.87</v>
      </c>
      <c r="CP432" s="20">
        <v>-49.33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P433" s="20">
        <v>-31.41</v>
      </c>
      <c r="Q433" s="20">
        <v>2.65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BZ433" s="20">
        <v>-51.79</v>
      </c>
      <c r="CA433" s="20">
        <v>32.51</v>
      </c>
      <c r="CI433" s="20">
        <v>-48.09</v>
      </c>
      <c r="CJ433" s="20">
        <v>-55.87</v>
      </c>
      <c r="CO433" s="20">
        <v>-25.23</v>
      </c>
      <c r="CP433" s="20">
        <v>-59.67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17</v>
      </c>
      <c r="M434" s="20">
        <v>-12.09</v>
      </c>
      <c r="N434" s="20">
        <v>63.87</v>
      </c>
      <c r="P434" s="20">
        <v>-40.52</v>
      </c>
      <c r="Q434" s="20">
        <v>-53.14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17</v>
      </c>
      <c r="AO434" s="20">
        <v>-4.85</v>
      </c>
      <c r="AP434" s="20">
        <v>0.06</v>
      </c>
      <c r="AS434" s="20">
        <v>216.0</v>
      </c>
      <c r="AT434" s="20" t="s">
        <v>17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BZ434" s="20">
        <v>-65.75</v>
      </c>
      <c r="CA434" s="20">
        <v>24.52</v>
      </c>
      <c r="CI434" s="20">
        <v>-50.76</v>
      </c>
      <c r="CJ434" s="20">
        <v>-43.81</v>
      </c>
      <c r="CO434" s="20">
        <v>-43.56</v>
      </c>
      <c r="CP434" s="20">
        <v>-54.81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P435" s="20">
        <v>-14.32</v>
      </c>
      <c r="Q435" s="20">
        <v>-16.19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BZ435" s="20">
        <v>-56.19</v>
      </c>
      <c r="CA435" s="20">
        <v>0.0</v>
      </c>
      <c r="CI435" s="20">
        <v>-41.73</v>
      </c>
      <c r="CJ435" s="20">
        <v>-44.82</v>
      </c>
      <c r="CO435" s="20">
        <v>-33.14</v>
      </c>
      <c r="CP435" s="20">
        <v>-64.65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17</v>
      </c>
      <c r="M436" s="20">
        <v>23.46</v>
      </c>
      <c r="N436" s="20">
        <v>128.35</v>
      </c>
      <c r="P436" s="20">
        <v>-40.12</v>
      </c>
      <c r="Q436" s="20">
        <v>-59.22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17</v>
      </c>
      <c r="AO436" s="20">
        <v>33.06</v>
      </c>
      <c r="AP436" s="20">
        <v>-10.6</v>
      </c>
      <c r="AS436" s="20">
        <v>217.0</v>
      </c>
      <c r="AT436" s="20" t="s">
        <v>17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BZ436" s="20">
        <v>-69.8</v>
      </c>
      <c r="CA436" s="20">
        <v>-29.38</v>
      </c>
      <c r="CI436" s="20">
        <v>-49.18</v>
      </c>
      <c r="CJ436" s="20">
        <v>-55.39</v>
      </c>
      <c r="CO436" s="20">
        <v>14.72</v>
      </c>
      <c r="CP436" s="20">
        <v>-47.18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P437" s="20">
        <v>-23.73</v>
      </c>
      <c r="Q437" s="20">
        <v>25.14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BZ437" s="20">
        <v>-66.18</v>
      </c>
      <c r="CA437" s="20">
        <v>-9.69</v>
      </c>
      <c r="CI437" s="20">
        <v>-27.78</v>
      </c>
      <c r="CJ437" s="20">
        <v>-49.63</v>
      </c>
      <c r="CO437" s="20">
        <v>-25.04</v>
      </c>
      <c r="CP437" s="20">
        <v>-35.72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17</v>
      </c>
      <c r="M438" s="20">
        <v>-38.56</v>
      </c>
      <c r="N438" s="20">
        <v>-35.53</v>
      </c>
      <c r="P438" s="20">
        <v>-9.32</v>
      </c>
      <c r="Q438" s="20">
        <v>3.14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17</v>
      </c>
      <c r="AO438" s="20">
        <v>-56.25</v>
      </c>
      <c r="AP438" s="20">
        <v>-47.87</v>
      </c>
      <c r="AS438" s="20">
        <v>218.0</v>
      </c>
      <c r="AT438" s="20" t="s">
        <v>17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BZ438" s="20">
        <v>-32.87</v>
      </c>
      <c r="CA438" s="20">
        <v>-52.66</v>
      </c>
      <c r="CI438" s="20">
        <v>-35.53</v>
      </c>
      <c r="CJ438" s="20">
        <v>-32.42</v>
      </c>
      <c r="CO438" s="20">
        <v>-20.09</v>
      </c>
      <c r="CP438" s="20">
        <v>-33.62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P439" s="20">
        <v>35.85</v>
      </c>
      <c r="Q439" s="20">
        <v>24.22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BZ439" s="20">
        <v>-45.8</v>
      </c>
      <c r="CA439" s="20">
        <v>73.31</v>
      </c>
      <c r="CI439" s="20">
        <v>-31.63</v>
      </c>
      <c r="CJ439" s="20">
        <v>-48.47</v>
      </c>
      <c r="CO439" s="20">
        <v>-21.11</v>
      </c>
      <c r="CP439" s="20">
        <v>-40.36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17</v>
      </c>
      <c r="M440" s="20">
        <v>-44.53</v>
      </c>
      <c r="N440" s="20">
        <v>7.44</v>
      </c>
      <c r="P440" s="20">
        <v>29.6</v>
      </c>
      <c r="Q440" s="20">
        <v>90.58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17</v>
      </c>
      <c r="AO440" s="20">
        <v>-38.42</v>
      </c>
      <c r="AP440" s="20">
        <v>39.49</v>
      </c>
      <c r="AS440" s="20">
        <v>219.0</v>
      </c>
      <c r="AT440" s="20" t="s">
        <v>17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BZ440" s="20">
        <v>-54.95</v>
      </c>
      <c r="CA440" s="20">
        <v>115.29</v>
      </c>
      <c r="CI440" s="20">
        <v>-30.16</v>
      </c>
      <c r="CJ440" s="20">
        <v>-53.63</v>
      </c>
      <c r="CO440" s="20">
        <v>-41.15</v>
      </c>
      <c r="CP440" s="20">
        <v>-36.53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P441" s="20">
        <v>0.23</v>
      </c>
      <c r="Q441" s="20">
        <v>15.12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BZ441" s="20">
        <v>-56.89</v>
      </c>
      <c r="CA441" s="20">
        <v>135.97</v>
      </c>
      <c r="CI441" s="20">
        <v>-40.9</v>
      </c>
      <c r="CJ441" s="20">
        <v>-60.1</v>
      </c>
      <c r="CO441" s="20">
        <v>-43.97</v>
      </c>
      <c r="CP441" s="20">
        <v>-46.8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17</v>
      </c>
      <c r="M442" s="20">
        <v>-37.78</v>
      </c>
      <c r="N442" s="20">
        <v>-25.99</v>
      </c>
      <c r="P442" s="20">
        <v>-11.46</v>
      </c>
      <c r="Q442" s="20">
        <v>37.14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17</v>
      </c>
      <c r="AO442" s="20">
        <v>-30.43</v>
      </c>
      <c r="AP442" s="20">
        <v>37.63</v>
      </c>
      <c r="AS442" s="20">
        <v>220.0</v>
      </c>
      <c r="AT442" s="20" t="s">
        <v>17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BZ442" s="20">
        <v>-62.84</v>
      </c>
      <c r="CA442" s="20">
        <v>1.89</v>
      </c>
      <c r="CI442" s="20">
        <v>-25.65</v>
      </c>
      <c r="CJ442" s="20">
        <v>-55.9</v>
      </c>
      <c r="CO442" s="20">
        <v>-31.66</v>
      </c>
      <c r="CP442" s="20">
        <v>-34.87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P443" s="20">
        <v>-3.51</v>
      </c>
      <c r="Q443" s="20">
        <v>10.01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BZ443" s="20">
        <v>-32.51</v>
      </c>
      <c r="CA443" s="20">
        <v>17.69</v>
      </c>
      <c r="CI443" s="20">
        <v>-27.08</v>
      </c>
      <c r="CJ443" s="20">
        <v>-55.18</v>
      </c>
      <c r="CO443" s="20">
        <v>-12.38</v>
      </c>
      <c r="CP443" s="20">
        <v>-52.36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17</v>
      </c>
      <c r="M444" s="20">
        <v>-7.54</v>
      </c>
      <c r="N444" s="20">
        <v>4.09</v>
      </c>
      <c r="P444" s="20">
        <v>90.06</v>
      </c>
      <c r="Q444" s="20">
        <v>214.08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17</v>
      </c>
      <c r="AO444" s="20">
        <v>-32.83</v>
      </c>
      <c r="AP444" s="20">
        <v>86.57</v>
      </c>
      <c r="AS444" s="20">
        <v>221.0</v>
      </c>
      <c r="AT444" s="20" t="s">
        <v>17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BZ444" s="20">
        <v>-39.96</v>
      </c>
      <c r="CA444" s="20">
        <v>53.42</v>
      </c>
      <c r="CI444" s="20">
        <v>-42.65</v>
      </c>
      <c r="CJ444" s="20">
        <v>-66.08</v>
      </c>
      <c r="CO444" s="20">
        <v>-15.35</v>
      </c>
      <c r="CP444" s="20">
        <v>-51.79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P445" s="20">
        <v>-18.66</v>
      </c>
      <c r="Q445" s="20">
        <v>14.16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BZ445" s="20">
        <v>-28.21</v>
      </c>
      <c r="CA445" s="20">
        <v>23.43</v>
      </c>
      <c r="CI445" s="20">
        <v>-58.07</v>
      </c>
      <c r="CJ445" s="20">
        <v>-60.45</v>
      </c>
      <c r="CO445" s="20">
        <v>-26.64</v>
      </c>
      <c r="CP445" s="20">
        <v>-51.66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17</v>
      </c>
      <c r="M446" s="20">
        <v>-51.18</v>
      </c>
      <c r="N446" s="20">
        <v>-34.64</v>
      </c>
      <c r="P446" s="20">
        <v>-22.72</v>
      </c>
      <c r="Q446" s="20">
        <v>26.85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17</v>
      </c>
      <c r="AO446" s="20">
        <v>-50.55</v>
      </c>
      <c r="AP446" s="20">
        <v>22.93</v>
      </c>
      <c r="AS446" s="20">
        <v>222.0</v>
      </c>
      <c r="AT446" s="20" t="s">
        <v>17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BZ446" s="20">
        <v>-23.53</v>
      </c>
      <c r="CA446" s="20">
        <v>18.38</v>
      </c>
      <c r="CI446" s="20">
        <v>-55.47</v>
      </c>
      <c r="CJ446" s="20">
        <v>-62.98</v>
      </c>
      <c r="CO446" s="20">
        <v>-12.95</v>
      </c>
      <c r="CP446" s="20">
        <v>-34.31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P447" s="20">
        <v>-5.95</v>
      </c>
      <c r="Q447" s="20">
        <v>-0.11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BZ447" s="20">
        <v>-52.65</v>
      </c>
      <c r="CA447" s="20">
        <v>110.59</v>
      </c>
      <c r="CI447" s="20">
        <v>-39.6</v>
      </c>
      <c r="CJ447" s="20">
        <v>-55.94</v>
      </c>
      <c r="CO447" s="20">
        <v>-24.28</v>
      </c>
      <c r="CP447" s="20">
        <v>-48.26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17</v>
      </c>
      <c r="M448" s="20">
        <v>-35.49</v>
      </c>
      <c r="N448" s="20">
        <v>-48.81</v>
      </c>
      <c r="P448" s="20">
        <v>-29.15</v>
      </c>
      <c r="Q448" s="20">
        <v>0.15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17</v>
      </c>
      <c r="AO448" s="20">
        <v>-6.7</v>
      </c>
      <c r="AP448" s="20">
        <v>1.57</v>
      </c>
      <c r="AS448" s="20">
        <v>223.0</v>
      </c>
      <c r="AT448" s="20" t="s">
        <v>17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BZ448" s="20">
        <v>-67.37</v>
      </c>
      <c r="CA448" s="20">
        <v>61.87</v>
      </c>
      <c r="CI448" s="20">
        <v>-25.74</v>
      </c>
      <c r="CJ448" s="20">
        <v>-45.95</v>
      </c>
      <c r="CO448" s="20">
        <v>-30.01</v>
      </c>
      <c r="CP448" s="20">
        <v>-63.66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P449" s="20">
        <v>-1.29</v>
      </c>
      <c r="Q449" s="20">
        <v>0.6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BZ449" s="20">
        <v>-43.81</v>
      </c>
      <c r="CA449" s="20">
        <v>13.43</v>
      </c>
      <c r="CI449" s="20">
        <v>-31.27</v>
      </c>
      <c r="CJ449" s="20">
        <v>-39.2</v>
      </c>
      <c r="CO449" s="20">
        <v>-31.29</v>
      </c>
      <c r="CP449" s="20">
        <v>-65.52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17</v>
      </c>
      <c r="M450" s="20">
        <v>-29.58</v>
      </c>
      <c r="N450" s="20">
        <v>6.39</v>
      </c>
      <c r="P450" s="20">
        <v>-52.5</v>
      </c>
      <c r="Q450" s="20">
        <v>-65.67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17</v>
      </c>
      <c r="AO450" s="20">
        <v>-22.76</v>
      </c>
      <c r="AP450" s="20">
        <v>-20.94</v>
      </c>
      <c r="AS450" s="20">
        <v>224.0</v>
      </c>
      <c r="AT450" s="20" t="s">
        <v>17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BZ450" s="20">
        <v>-19.75</v>
      </c>
      <c r="CA450" s="20">
        <v>35.09</v>
      </c>
      <c r="CI450" s="20">
        <v>-39.48</v>
      </c>
      <c r="CJ450" s="20">
        <v>-46.38</v>
      </c>
      <c r="CO450" s="20">
        <v>-16.25</v>
      </c>
      <c r="CP450" s="20">
        <v>-66.65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P451" s="20">
        <v>-38.53</v>
      </c>
      <c r="Q451" s="20">
        <v>2.39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BZ451" s="20">
        <v>-30.3</v>
      </c>
      <c r="CA451" s="20">
        <v>7.46</v>
      </c>
      <c r="CI451" s="20">
        <v>-43.59</v>
      </c>
      <c r="CJ451" s="20">
        <v>-42.44</v>
      </c>
      <c r="CO451" s="20">
        <v>-3.11</v>
      </c>
      <c r="CP451" s="20">
        <v>-42.64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17</v>
      </c>
      <c r="M452" s="20">
        <v>9.9</v>
      </c>
      <c r="N452" s="20">
        <v>-28.34</v>
      </c>
      <c r="P452" s="20">
        <v>-78.26</v>
      </c>
      <c r="Q452" s="20">
        <v>-86.81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17</v>
      </c>
      <c r="AO452" s="20">
        <v>-32.13</v>
      </c>
      <c r="AP452" s="20">
        <v>-23.82</v>
      </c>
      <c r="AS452" s="20">
        <v>225.0</v>
      </c>
      <c r="AT452" s="20" t="s">
        <v>17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BZ452" s="20">
        <v>-30.61</v>
      </c>
      <c r="CA452" s="20">
        <v>2.4</v>
      </c>
      <c r="CI452" s="20">
        <v>-38.23</v>
      </c>
      <c r="CJ452" s="20">
        <v>-24.3</v>
      </c>
      <c r="CO452" s="20">
        <v>0.2</v>
      </c>
      <c r="CP452" s="20">
        <v>0.96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P453" s="20">
        <v>-23.48</v>
      </c>
      <c r="Q453" s="20">
        <v>-0.04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BZ453" s="20">
        <v>-42.68</v>
      </c>
      <c r="CA453" s="20">
        <v>58.64</v>
      </c>
      <c r="CI453" s="20">
        <v>-59.16</v>
      </c>
      <c r="CJ453" s="20">
        <v>-63.38</v>
      </c>
      <c r="CO453" s="20">
        <v>-2.44</v>
      </c>
      <c r="CP453" s="20">
        <v>-55.65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17</v>
      </c>
      <c r="M454" s="20">
        <v>7.68</v>
      </c>
      <c r="N454" s="20">
        <v>17.15</v>
      </c>
      <c r="P454" s="20">
        <v>-23.8</v>
      </c>
      <c r="Q454" s="20">
        <v>-10.92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17</v>
      </c>
      <c r="AO454" s="20">
        <v>-10.82</v>
      </c>
      <c r="AP454" s="20">
        <v>9.5</v>
      </c>
      <c r="AS454" s="20">
        <v>226.0</v>
      </c>
      <c r="AT454" s="20" t="s">
        <v>17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BZ454" s="20">
        <v>-59.72</v>
      </c>
      <c r="CA454" s="20">
        <v>5.03</v>
      </c>
      <c r="CI454" s="20">
        <v>-37.47</v>
      </c>
      <c r="CJ454" s="20">
        <v>-48.87</v>
      </c>
      <c r="CO454" s="20">
        <v>-22.88</v>
      </c>
      <c r="CP454" s="20">
        <v>-58.12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P455" s="20">
        <v>11.33</v>
      </c>
      <c r="Q455" s="20">
        <v>28.43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BZ455" s="20">
        <v>-58.7</v>
      </c>
      <c r="CA455" s="20">
        <v>31.04</v>
      </c>
      <c r="CI455" s="20">
        <v>-35.63</v>
      </c>
      <c r="CJ455" s="20">
        <v>-39.21</v>
      </c>
      <c r="CO455" s="20">
        <v>-16.41</v>
      </c>
      <c r="CP455" s="20">
        <v>-53.89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17</v>
      </c>
      <c r="M456" s="20">
        <v>-43.72</v>
      </c>
      <c r="N456" s="20">
        <v>-16.48</v>
      </c>
      <c r="P456" s="20">
        <v>25.39</v>
      </c>
      <c r="Q456" s="20">
        <v>55.67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17</v>
      </c>
      <c r="AO456" s="20">
        <v>-13.93</v>
      </c>
      <c r="AP456" s="20">
        <v>-10.57</v>
      </c>
      <c r="AS456" s="20">
        <v>227.0</v>
      </c>
      <c r="AT456" s="20" t="s">
        <v>17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BZ456" s="20">
        <v>-52.32</v>
      </c>
      <c r="CA456" s="20">
        <v>45.59</v>
      </c>
      <c r="CI456" s="20">
        <v>-54.17</v>
      </c>
      <c r="CJ456" s="20">
        <v>-63.34</v>
      </c>
      <c r="CO456" s="20">
        <v>-8.21</v>
      </c>
      <c r="CP456" s="20">
        <v>-32.88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P457" s="20">
        <v>14.75</v>
      </c>
      <c r="Q457" s="20">
        <v>36.44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BZ457" s="20">
        <v>-60.14</v>
      </c>
      <c r="CA457" s="20">
        <v>36.19</v>
      </c>
      <c r="CI457" s="20">
        <v>-47.06</v>
      </c>
      <c r="CJ457" s="20">
        <v>-54.35</v>
      </c>
      <c r="CO457" s="20">
        <v>-2.7</v>
      </c>
      <c r="CP457" s="20">
        <v>-54.4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17</v>
      </c>
      <c r="M458" s="20">
        <v>52.23</v>
      </c>
      <c r="N458" s="20">
        <v>-38.79</v>
      </c>
      <c r="P458" s="20">
        <v>66.26</v>
      </c>
      <c r="Q458" s="20">
        <v>117.36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17</v>
      </c>
      <c r="AO458" s="20">
        <v>-5.76</v>
      </c>
      <c r="AP458" s="20">
        <v>7.97</v>
      </c>
      <c r="AS458" s="20">
        <v>228.0</v>
      </c>
      <c r="AT458" s="20" t="s">
        <v>17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BZ458" s="20">
        <v>-62.02</v>
      </c>
      <c r="CA458" s="20">
        <v>-24.14</v>
      </c>
      <c r="CI458" s="20">
        <v>-39.66</v>
      </c>
      <c r="CJ458" s="20">
        <v>-46.95</v>
      </c>
      <c r="CO458" s="20">
        <v>28.62</v>
      </c>
      <c r="CP458" s="20">
        <v>-67.58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P459" s="20">
        <v>0.63</v>
      </c>
      <c r="Q459" s="20">
        <v>53.97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BZ459" s="20">
        <v>-44.95</v>
      </c>
      <c r="CA459" s="20">
        <v>4.69</v>
      </c>
      <c r="CI459" s="20">
        <v>-28.42</v>
      </c>
      <c r="CJ459" s="20">
        <v>-45.32</v>
      </c>
      <c r="CO459" s="20">
        <v>-37.84</v>
      </c>
      <c r="CP459" s="20">
        <v>-61.49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17</v>
      </c>
      <c r="M460" s="20">
        <v>-23.56</v>
      </c>
      <c r="N460" s="20">
        <v>-16.89</v>
      </c>
      <c r="P460" s="20">
        <v>-16.29</v>
      </c>
      <c r="Q460" s="20">
        <v>-10.53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17</v>
      </c>
      <c r="AO460" s="20">
        <v>7.67</v>
      </c>
      <c r="AP460" s="20">
        <v>6.27</v>
      </c>
      <c r="AS460" s="20">
        <v>229.0</v>
      </c>
      <c r="AT460" s="20" t="s">
        <v>17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BZ460" s="20">
        <v>-47.1</v>
      </c>
      <c r="CA460" s="20">
        <v>74.23</v>
      </c>
      <c r="CI460" s="20">
        <v>-46.0</v>
      </c>
      <c r="CJ460" s="20">
        <v>-63.74</v>
      </c>
      <c r="CO460" s="20">
        <v>5.84</v>
      </c>
      <c r="CP460" s="20">
        <v>-46.47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P461" s="20">
        <v>3.0</v>
      </c>
      <c r="Q461" s="20">
        <v>16.71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BZ461" s="20">
        <v>-43.46</v>
      </c>
      <c r="CA461" s="20">
        <v>60.13</v>
      </c>
      <c r="CI461" s="20">
        <v>-51.49</v>
      </c>
      <c r="CJ461" s="20">
        <v>-60.46</v>
      </c>
      <c r="CO461" s="20">
        <v>-33.82</v>
      </c>
      <c r="CP461" s="20">
        <v>-49.98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17</v>
      </c>
      <c r="M462" s="20">
        <v>3.15</v>
      </c>
      <c r="N462" s="20">
        <v>-63.73</v>
      </c>
      <c r="P462" s="20">
        <v>0.26</v>
      </c>
      <c r="Q462" s="20">
        <v>29.94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17</v>
      </c>
      <c r="AO462" s="20">
        <v>4.03</v>
      </c>
      <c r="AP462" s="20">
        <v>-32.23</v>
      </c>
      <c r="AS462" s="20">
        <v>230.0</v>
      </c>
      <c r="AT462" s="20" t="s">
        <v>17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BZ462" s="20">
        <v>-37.97</v>
      </c>
      <c r="CA462" s="20">
        <v>47.32</v>
      </c>
      <c r="CI462" s="20">
        <v>-10.52</v>
      </c>
      <c r="CJ462" s="20">
        <v>-52.76</v>
      </c>
      <c r="CO462" s="20">
        <v>2.35</v>
      </c>
      <c r="CP462" s="20">
        <v>-26.46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P463" s="20">
        <v>85.83</v>
      </c>
      <c r="Q463" s="20">
        <v>79.32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BZ463" s="20">
        <v>-35.84</v>
      </c>
      <c r="CA463" s="20">
        <v>121.54</v>
      </c>
      <c r="CI463" s="20">
        <v>-41.29</v>
      </c>
      <c r="CJ463" s="20">
        <v>-47.5</v>
      </c>
      <c r="CO463" s="20">
        <v>-36.32</v>
      </c>
      <c r="CP463" s="20">
        <v>-60.88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17</v>
      </c>
      <c r="M464" s="20">
        <v>-41.5</v>
      </c>
      <c r="N464" s="20">
        <v>-13.17</v>
      </c>
      <c r="P464" s="20">
        <v>90.81</v>
      </c>
      <c r="Q464" s="20">
        <v>67.18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17</v>
      </c>
      <c r="AO464" s="20">
        <v>14.35</v>
      </c>
      <c r="AP464" s="20">
        <v>25.28</v>
      </c>
      <c r="AS464" s="20">
        <v>231.0</v>
      </c>
      <c r="AT464" s="20" t="s">
        <v>17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BZ464" s="20">
        <v>-58.24</v>
      </c>
      <c r="CA464" s="20">
        <v>17.29</v>
      </c>
      <c r="CI464" s="20">
        <v>-52.62</v>
      </c>
      <c r="CJ464" s="20">
        <v>-55.12</v>
      </c>
      <c r="CO464" s="20">
        <v>-32.89</v>
      </c>
      <c r="CP464" s="20">
        <v>-47.03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P465" s="20">
        <v>45.32</v>
      </c>
      <c r="Q465" s="20">
        <v>7.59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BZ465" s="20">
        <v>-45.76</v>
      </c>
      <c r="CA465" s="20">
        <v>68.79</v>
      </c>
      <c r="CI465" s="20">
        <v>-28.71</v>
      </c>
      <c r="CJ465" s="20">
        <v>-54.53</v>
      </c>
      <c r="CO465" s="20">
        <v>18.02</v>
      </c>
      <c r="CP465" s="20">
        <v>-61.17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17</v>
      </c>
      <c r="M466" s="20">
        <v>1.52</v>
      </c>
      <c r="N466" s="20">
        <v>33.57</v>
      </c>
      <c r="P466" s="20">
        <v>10.0</v>
      </c>
      <c r="Q466" s="20">
        <v>26.77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17</v>
      </c>
      <c r="AO466" s="20">
        <v>-2.47</v>
      </c>
      <c r="AP466" s="20">
        <v>-22.82</v>
      </c>
      <c r="AS466" s="20">
        <v>232.0</v>
      </c>
      <c r="AT466" s="20" t="s">
        <v>17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BZ466" s="20">
        <v>-36.22</v>
      </c>
      <c r="CA466" s="20">
        <v>66.29</v>
      </c>
      <c r="CI466" s="20">
        <v>-51.73</v>
      </c>
      <c r="CJ466" s="20">
        <v>-61.08</v>
      </c>
      <c r="CO466" s="20">
        <v>-6.31</v>
      </c>
      <c r="CP466" s="20">
        <v>-55.41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P467" s="20">
        <v>131.55</v>
      </c>
      <c r="Q467" s="20">
        <v>248.02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BZ467" s="20">
        <v>-37.56</v>
      </c>
      <c r="CA467" s="20">
        <v>-62.51</v>
      </c>
      <c r="CI467" s="20">
        <v>-49.37</v>
      </c>
      <c r="CJ467" s="20">
        <v>-67.87</v>
      </c>
      <c r="CO467" s="20">
        <v>-13.73</v>
      </c>
      <c r="CP467" s="20">
        <v>-51.26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17</v>
      </c>
      <c r="M468" s="20">
        <v>-5.4</v>
      </c>
      <c r="N468" s="20">
        <v>-32.28</v>
      </c>
      <c r="P468" s="20">
        <v>43.65</v>
      </c>
      <c r="Q468" s="20">
        <v>103.98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17</v>
      </c>
      <c r="AO468" s="20">
        <v>-48.94</v>
      </c>
      <c r="AP468" s="20">
        <v>-17.15</v>
      </c>
      <c r="AS468" s="20">
        <v>233.0</v>
      </c>
      <c r="AT468" s="20" t="s">
        <v>17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BZ468" s="20">
        <v>-58.69</v>
      </c>
      <c r="CA468" s="20">
        <v>-16.66</v>
      </c>
      <c r="CI468" s="20">
        <v>-51.69</v>
      </c>
      <c r="CJ468" s="20">
        <v>-58.23</v>
      </c>
      <c r="CO468" s="20">
        <v>-24.43</v>
      </c>
      <c r="CP468" s="20">
        <v>-36.07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P469" s="20">
        <v>8.29</v>
      </c>
      <c r="Q469" s="20">
        <v>26.05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BZ469" s="20">
        <v>-27.6</v>
      </c>
      <c r="CA469" s="20">
        <v>-26.4</v>
      </c>
      <c r="CI469" s="20">
        <v>-52.86</v>
      </c>
      <c r="CJ469" s="20">
        <v>-60.96</v>
      </c>
      <c r="CO469" s="20">
        <v>-23.23</v>
      </c>
      <c r="CP469" s="20">
        <v>-50.67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17</v>
      </c>
      <c r="M470" s="20">
        <v>49.69</v>
      </c>
      <c r="N470" s="20">
        <v>120.73</v>
      </c>
      <c r="P470" s="20">
        <v>35.69</v>
      </c>
      <c r="Q470" s="20">
        <v>96.65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17</v>
      </c>
      <c r="AO470" s="20">
        <v>-24.37</v>
      </c>
      <c r="AP470" s="20">
        <v>45.92</v>
      </c>
      <c r="AS470" s="20">
        <v>234.0</v>
      </c>
      <c r="AT470" s="20" t="s">
        <v>17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BZ470" s="20">
        <v>-24.19</v>
      </c>
      <c r="CA470" s="20">
        <v>98.46</v>
      </c>
      <c r="CI470" s="20">
        <v>-52.85</v>
      </c>
      <c r="CJ470" s="20">
        <v>-65.45</v>
      </c>
      <c r="CO470" s="20">
        <v>-18.5</v>
      </c>
      <c r="CP470" s="20">
        <v>-48.65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P471" s="20">
        <v>7.72</v>
      </c>
      <c r="Q471" s="20">
        <v>-4.04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BZ471" s="20">
        <v>-63.12</v>
      </c>
      <c r="CA471" s="20">
        <v>2.43</v>
      </c>
      <c r="CI471" s="20">
        <v>-48.52</v>
      </c>
      <c r="CJ471" s="20">
        <v>-58.44</v>
      </c>
      <c r="CO471" s="20">
        <v>-37.28</v>
      </c>
      <c r="CP471" s="20">
        <v>-58.14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17</v>
      </c>
      <c r="M472" s="20">
        <v>-32.53</v>
      </c>
      <c r="N472" s="20">
        <v>-24.03</v>
      </c>
      <c r="P472" s="20">
        <v>9.17</v>
      </c>
      <c r="Q472" s="20">
        <v>17.51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17</v>
      </c>
      <c r="AO472" s="20">
        <v>-44.73</v>
      </c>
      <c r="AP472" s="20">
        <v>-18.62</v>
      </c>
      <c r="AS472" s="20">
        <v>235.0</v>
      </c>
      <c r="AT472" s="20" t="s">
        <v>17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BZ472" s="20">
        <v>-30.29</v>
      </c>
      <c r="CA472" s="20">
        <v>3.4</v>
      </c>
      <c r="CI472" s="20">
        <v>-35.13</v>
      </c>
      <c r="CJ472" s="20">
        <v>-37.33</v>
      </c>
      <c r="CO472" s="20">
        <v>-39.97</v>
      </c>
      <c r="CP472" s="20">
        <v>-25.09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P473" s="20">
        <v>20.86</v>
      </c>
      <c r="Q473" s="20">
        <v>9.63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BZ473" s="20">
        <v>-44.4</v>
      </c>
      <c r="CA473" s="20">
        <v>50.85</v>
      </c>
      <c r="CI473" s="20">
        <v>-55.4</v>
      </c>
      <c r="CJ473" s="20">
        <v>-62.58</v>
      </c>
      <c r="CO473" s="20">
        <v>-10.74</v>
      </c>
      <c r="CP473" s="20">
        <v>-16.22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17</v>
      </c>
      <c r="M474" s="20">
        <v>-43.75</v>
      </c>
      <c r="N474" s="20">
        <v>7.88</v>
      </c>
      <c r="P474" s="20">
        <v>38.14</v>
      </c>
      <c r="Q474" s="20">
        <v>36.4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17</v>
      </c>
      <c r="AO474" s="20">
        <v>22.86</v>
      </c>
      <c r="AP474" s="20">
        <v>-14.25</v>
      </c>
      <c r="AS474" s="20">
        <v>236.0</v>
      </c>
      <c r="AT474" s="20" t="s">
        <v>17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BZ474" s="20">
        <v>-38.96</v>
      </c>
      <c r="CA474" s="20">
        <v>14.17</v>
      </c>
      <c r="CI474" s="20">
        <v>-44.37</v>
      </c>
      <c r="CJ474" s="20">
        <v>-50.92</v>
      </c>
      <c r="CO474" s="20">
        <v>34.24</v>
      </c>
      <c r="CP474" s="20">
        <v>-35.61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P475" s="20">
        <v>-4.15</v>
      </c>
      <c r="Q475" s="20">
        <v>9.44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BZ475" s="20">
        <v>-17.53</v>
      </c>
      <c r="CA475" s="20">
        <v>99.4</v>
      </c>
      <c r="CI475" s="20">
        <v>-51.86</v>
      </c>
      <c r="CJ475" s="20">
        <v>-35.76</v>
      </c>
      <c r="CO475" s="20">
        <v>-21.84</v>
      </c>
      <c r="CP475" s="20">
        <v>-59.97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17</v>
      </c>
      <c r="M476" s="20">
        <v>12.72</v>
      </c>
      <c r="N476" s="20">
        <v>7.33</v>
      </c>
      <c r="P476" s="20">
        <v>30.54</v>
      </c>
      <c r="Q476" s="20">
        <v>60.04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17</v>
      </c>
      <c r="AO476" s="20">
        <v>-12.5</v>
      </c>
      <c r="AP476" s="20">
        <v>-17.42</v>
      </c>
      <c r="AS476" s="20">
        <v>237.0</v>
      </c>
      <c r="AT476" s="20" t="s">
        <v>17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BZ476" s="20">
        <v>13.06</v>
      </c>
      <c r="CA476" s="20">
        <v>-32.45</v>
      </c>
      <c r="CI476" s="20">
        <v>-35.66</v>
      </c>
      <c r="CJ476" s="20">
        <v>-19.06</v>
      </c>
      <c r="CO476" s="20">
        <v>0.1</v>
      </c>
      <c r="CP476" s="20">
        <v>-49.51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P477" s="20">
        <v>27.33</v>
      </c>
      <c r="Q477" s="20">
        <v>46.11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BZ477" s="20">
        <v>11.92</v>
      </c>
      <c r="CA477" s="20">
        <v>148.45</v>
      </c>
      <c r="CI477" s="20">
        <v>-53.54</v>
      </c>
      <c r="CJ477" s="20">
        <v>-52.35</v>
      </c>
      <c r="CO477" s="20">
        <v>-12.95</v>
      </c>
      <c r="CP477" s="20">
        <v>-49.6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17</v>
      </c>
      <c r="M478" s="20">
        <v>67.9</v>
      </c>
      <c r="N478" s="20">
        <v>30.42</v>
      </c>
      <c r="P478" s="20">
        <v>13.37</v>
      </c>
      <c r="Q478" s="20">
        <v>44.3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17</v>
      </c>
      <c r="AO478" s="20">
        <v>-21.6</v>
      </c>
      <c r="AP478" s="20">
        <v>-36.57</v>
      </c>
      <c r="AS478" s="20">
        <v>238.0</v>
      </c>
      <c r="AT478" s="20" t="s">
        <v>17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BZ478" s="20">
        <v>-65.6</v>
      </c>
      <c r="CA478" s="20">
        <v>78.37</v>
      </c>
      <c r="CI478" s="20">
        <v>-55.2</v>
      </c>
      <c r="CJ478" s="20">
        <v>-52.29</v>
      </c>
      <c r="CO478" s="20">
        <v>-5.91</v>
      </c>
      <c r="CP478" s="20">
        <v>-56.53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P479" s="20">
        <v>23.55</v>
      </c>
      <c r="Q479" s="20">
        <v>52.68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BZ479" s="20">
        <v>-24.81</v>
      </c>
      <c r="CA479" s="20">
        <v>97.62</v>
      </c>
      <c r="CI479" s="20">
        <v>-42.63</v>
      </c>
      <c r="CJ479" s="20">
        <v>-56.98</v>
      </c>
      <c r="CO479" s="20">
        <v>-22.58</v>
      </c>
      <c r="CP479" s="20">
        <v>-50.31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17</v>
      </c>
      <c r="M480" s="20">
        <v>-4.08</v>
      </c>
      <c r="N480" s="20">
        <v>-5.54</v>
      </c>
      <c r="P480" s="20">
        <v>4.38</v>
      </c>
      <c r="Q480" s="20">
        <v>51.91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17</v>
      </c>
      <c r="AO480" s="20">
        <v>-43.72</v>
      </c>
      <c r="AP480" s="20">
        <v>-21.05</v>
      </c>
      <c r="AS480" s="20">
        <v>239.0</v>
      </c>
      <c r="AT480" s="20" t="s">
        <v>17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BZ480" s="20">
        <v>-59.2</v>
      </c>
      <c r="CA480" s="20">
        <v>111.22</v>
      </c>
      <c r="CI480" s="20">
        <v>-46.32</v>
      </c>
      <c r="CJ480" s="20">
        <v>-57.37</v>
      </c>
      <c r="CO480" s="20">
        <v>3.88</v>
      </c>
      <c r="CP480" s="20">
        <v>-42.4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P481" s="20">
        <v>-6.69</v>
      </c>
      <c r="Q481" s="20">
        <v>8.95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BZ481" s="20">
        <v>-33.64</v>
      </c>
      <c r="CA481" s="20">
        <v>-20.02</v>
      </c>
      <c r="CI481" s="20">
        <v>-41.54</v>
      </c>
      <c r="CJ481" s="20">
        <v>-48.53</v>
      </c>
      <c r="CO481" s="20">
        <v>-28.63</v>
      </c>
      <c r="CP481" s="20">
        <v>-55.83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17</v>
      </c>
      <c r="M482" s="20">
        <v>-32.01</v>
      </c>
      <c r="N482" s="20">
        <v>13.67</v>
      </c>
      <c r="P482" s="20">
        <v>-5.59</v>
      </c>
      <c r="Q482" s="20">
        <v>46.72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17</v>
      </c>
      <c r="AO482" s="20">
        <v>-46.15</v>
      </c>
      <c r="AP482" s="20">
        <v>-21.23</v>
      </c>
      <c r="AS482" s="20">
        <v>240.0</v>
      </c>
      <c r="AT482" s="20" t="s">
        <v>17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BZ482" s="20">
        <v>-38.18</v>
      </c>
      <c r="CA482" s="20">
        <v>-11.8</v>
      </c>
      <c r="CI482" s="20">
        <v>-49.15</v>
      </c>
      <c r="CJ482" s="20">
        <v>-48.67</v>
      </c>
      <c r="CO482" s="20">
        <v>-72.97</v>
      </c>
      <c r="CP482" s="20">
        <v>-52.96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P483" s="20">
        <v>31.13</v>
      </c>
      <c r="Q483" s="20">
        <v>102.4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BZ483" s="20">
        <v>-40.47</v>
      </c>
      <c r="CA483" s="20">
        <v>34.58</v>
      </c>
      <c r="CI483" s="20">
        <v>-31.76</v>
      </c>
      <c r="CJ483" s="20">
        <v>-59.24</v>
      </c>
      <c r="CO483" s="20">
        <v>-9.22</v>
      </c>
      <c r="CP483" s="20">
        <v>-63.12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17</v>
      </c>
      <c r="M484" s="20">
        <v>-38.28</v>
      </c>
      <c r="N484" s="20">
        <v>-76.19</v>
      </c>
      <c r="P484" s="20">
        <v>6.33</v>
      </c>
      <c r="Q484" s="20">
        <v>24.56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17</v>
      </c>
      <c r="AO484" s="20">
        <v>-42.88</v>
      </c>
      <c r="AP484" s="20">
        <v>-20.64</v>
      </c>
      <c r="AS484" s="20">
        <v>241.0</v>
      </c>
      <c r="AT484" s="20" t="s">
        <v>17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BZ484" s="20">
        <v>-34.1</v>
      </c>
      <c r="CA484" s="20">
        <v>26.77</v>
      </c>
      <c r="CI484" s="20">
        <v>-22.77</v>
      </c>
      <c r="CJ484" s="20">
        <v>-40.77</v>
      </c>
      <c r="CO484" s="20">
        <v>-29.26</v>
      </c>
      <c r="CP484" s="20">
        <v>-69.81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P485" s="20">
        <v>9.81</v>
      </c>
      <c r="Q485" s="20">
        <v>51.83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BZ485" s="20">
        <v>-35.06</v>
      </c>
      <c r="CA485" s="20">
        <v>74.0</v>
      </c>
      <c r="CI485" s="20">
        <v>-47.91</v>
      </c>
      <c r="CJ485" s="20">
        <v>-54.43</v>
      </c>
      <c r="CO485" s="20">
        <v>-40.38</v>
      </c>
      <c r="CP485" s="20">
        <v>-69.48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17</v>
      </c>
      <c r="M486" s="20">
        <v>-48.67</v>
      </c>
      <c r="N486" s="20">
        <v>-38.61</v>
      </c>
      <c r="P486" s="20">
        <v>-8.88</v>
      </c>
      <c r="Q486" s="20">
        <v>-2.08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17</v>
      </c>
      <c r="AO486" s="20">
        <v>-16.49</v>
      </c>
      <c r="AP486" s="20">
        <v>-18.83</v>
      </c>
      <c r="AS486" s="20">
        <v>242.0</v>
      </c>
      <c r="AT486" s="20" t="s">
        <v>17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BZ486" s="20">
        <v>-32.17</v>
      </c>
      <c r="CA486" s="20">
        <v>128.23</v>
      </c>
      <c r="CI486" s="20">
        <v>-43.1</v>
      </c>
      <c r="CJ486" s="20">
        <v>-54.89</v>
      </c>
      <c r="CO486" s="20">
        <v>-23.14</v>
      </c>
      <c r="CP486" s="20">
        <v>-65.26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P487" s="20">
        <v>-22.58</v>
      </c>
      <c r="Q487" s="20">
        <v>11.71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BZ487" s="20">
        <v>-37.24</v>
      </c>
      <c r="CA487" s="20">
        <v>66.91</v>
      </c>
      <c r="CI487" s="20">
        <v>-25.02</v>
      </c>
      <c r="CJ487" s="20">
        <v>-36.39</v>
      </c>
      <c r="CO487" s="20">
        <v>-21.02</v>
      </c>
      <c r="CP487" s="20">
        <v>-67.72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17</v>
      </c>
      <c r="M488" s="20">
        <v>14.55</v>
      </c>
      <c r="N488" s="20">
        <v>32.8</v>
      </c>
      <c r="P488" s="20">
        <v>40.92</v>
      </c>
      <c r="Q488" s="20">
        <v>63.59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17</v>
      </c>
      <c r="AO488" s="20">
        <v>-3.62</v>
      </c>
      <c r="AP488" s="20">
        <v>22.44</v>
      </c>
      <c r="AS488" s="20">
        <v>243.0</v>
      </c>
      <c r="AT488" s="20" t="s">
        <v>17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BZ488" s="20">
        <v>-46.66</v>
      </c>
      <c r="CA488" s="20">
        <v>67.34</v>
      </c>
      <c r="CI488" s="20">
        <v>-27.11</v>
      </c>
      <c r="CJ488" s="20">
        <v>-52.16</v>
      </c>
      <c r="CO488" s="20">
        <v>31.21</v>
      </c>
      <c r="CP488" s="20">
        <v>-43.65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P489" s="20">
        <v>-37.88</v>
      </c>
      <c r="Q489" s="20">
        <v>-26.88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BZ489" s="20">
        <v>-37.7</v>
      </c>
      <c r="CA489" s="20">
        <v>45.62</v>
      </c>
      <c r="CI489" s="20">
        <v>-34.31</v>
      </c>
      <c r="CJ489" s="20">
        <v>-55.53</v>
      </c>
      <c r="CO489" s="20">
        <v>-31.72</v>
      </c>
      <c r="CP489" s="20">
        <v>-61.12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17</v>
      </c>
      <c r="M490" s="20">
        <v>-61.6</v>
      </c>
      <c r="N490" s="20">
        <v>-67.03</v>
      </c>
      <c r="P490" s="20">
        <v>5.5</v>
      </c>
      <c r="Q490" s="20">
        <v>-7.14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17</v>
      </c>
      <c r="AO490" s="20">
        <v>-28.64</v>
      </c>
      <c r="AP490" s="20">
        <v>-45.26</v>
      </c>
      <c r="AS490" s="20">
        <v>244.0</v>
      </c>
      <c r="AT490" s="20" t="s">
        <v>17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BZ490" s="20">
        <v>-45.82</v>
      </c>
      <c r="CA490" s="20">
        <v>49.27</v>
      </c>
      <c r="CI490" s="20">
        <v>-28.2</v>
      </c>
      <c r="CJ490" s="20">
        <v>-52.26</v>
      </c>
      <c r="CO490" s="20">
        <v>12.6</v>
      </c>
      <c r="CP490" s="20">
        <v>-48.79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P491" s="20">
        <v>-11.78</v>
      </c>
      <c r="Q491" s="20">
        <v>3.2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BZ491" s="20">
        <v>-16.27</v>
      </c>
      <c r="CA491" s="20">
        <v>123.18</v>
      </c>
      <c r="CI491" s="20">
        <v>-47.39</v>
      </c>
      <c r="CJ491" s="20">
        <v>-50.89</v>
      </c>
      <c r="CO491" s="20">
        <v>-23.89</v>
      </c>
      <c r="CP491" s="20">
        <v>-54.44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17</v>
      </c>
      <c r="M492" s="20">
        <v>-58.95</v>
      </c>
      <c r="N492" s="20">
        <v>-26.89</v>
      </c>
      <c r="P492" s="20">
        <v>-73.95</v>
      </c>
      <c r="Q492" s="20">
        <v>-82.24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17</v>
      </c>
      <c r="AO492" s="20">
        <v>-33.89</v>
      </c>
      <c r="AP492" s="20">
        <v>-9.96</v>
      </c>
      <c r="AS492" s="20">
        <v>245.0</v>
      </c>
      <c r="AT492" s="20" t="s">
        <v>17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BZ492" s="20">
        <v>-27.38</v>
      </c>
      <c r="CA492" s="20">
        <v>156.59</v>
      </c>
      <c r="CI492" s="20">
        <v>-54.51</v>
      </c>
      <c r="CJ492" s="20">
        <v>-60.98</v>
      </c>
      <c r="CO492" s="20">
        <v>-5.72</v>
      </c>
      <c r="CP492" s="20">
        <v>-42.08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P493" s="20">
        <v>-0.58</v>
      </c>
      <c r="Q493" s="20">
        <v>-0.1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BZ493" s="20">
        <v>-35.89</v>
      </c>
      <c r="CA493" s="20">
        <v>76.06</v>
      </c>
      <c r="CI493" s="20">
        <v>-53.93</v>
      </c>
      <c r="CJ493" s="20">
        <v>-65.76</v>
      </c>
      <c r="CO493" s="20">
        <v>-16.64</v>
      </c>
      <c r="CP493" s="20">
        <v>-67.57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17</v>
      </c>
      <c r="M494" s="20">
        <v>16.57</v>
      </c>
      <c r="N494" s="20">
        <v>-7.36</v>
      </c>
      <c r="P494" s="20">
        <v>-48.13</v>
      </c>
      <c r="Q494" s="20">
        <v>-13.31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17</v>
      </c>
      <c r="AO494" s="20">
        <v>34.05</v>
      </c>
      <c r="AP494" s="20">
        <v>-16.81</v>
      </c>
      <c r="AS494" s="20">
        <v>246.0</v>
      </c>
      <c r="AT494" s="20" t="s">
        <v>17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BZ494" s="20">
        <v>-38.7</v>
      </c>
      <c r="CA494" s="20">
        <v>96.5</v>
      </c>
      <c r="CI494" s="20">
        <v>-44.38</v>
      </c>
      <c r="CJ494" s="20">
        <v>-65.48</v>
      </c>
      <c r="CO494" s="20">
        <v>-13.5</v>
      </c>
      <c r="CP494" s="20">
        <v>-45.62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P495" s="20">
        <v>22.31</v>
      </c>
      <c r="Q495" s="20">
        <v>12.87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BZ495" s="20">
        <v>-29.27</v>
      </c>
      <c r="CA495" s="20">
        <v>95.32</v>
      </c>
      <c r="CI495" s="20">
        <v>-39.12</v>
      </c>
      <c r="CJ495" s="20">
        <v>-56.0</v>
      </c>
      <c r="CO495" s="20">
        <v>-34.93</v>
      </c>
      <c r="CP495" s="20">
        <v>-55.2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17</v>
      </c>
      <c r="M496" s="20">
        <v>-51.47</v>
      </c>
      <c r="N496" s="20">
        <v>-49.97</v>
      </c>
      <c r="P496" s="20">
        <v>-47.74</v>
      </c>
      <c r="Q496" s="20">
        <v>-66.66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17</v>
      </c>
      <c r="AO496" s="20">
        <v>8.19</v>
      </c>
      <c r="AP496" s="20">
        <v>-31.97</v>
      </c>
      <c r="AS496" s="20">
        <v>247.0</v>
      </c>
      <c r="AT496" s="20" t="s">
        <v>17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BZ496" s="20">
        <v>-43.11</v>
      </c>
      <c r="CA496" s="20">
        <v>52.94</v>
      </c>
      <c r="CI496" s="20">
        <v>-38.92</v>
      </c>
      <c r="CJ496" s="20">
        <v>-47.03</v>
      </c>
      <c r="CO496" s="20">
        <v>9.35</v>
      </c>
      <c r="CP496" s="20">
        <v>-49.65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P497" s="20">
        <v>31.71</v>
      </c>
      <c r="Q497" s="20">
        <v>18.11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BZ497" s="20">
        <v>-33.36</v>
      </c>
      <c r="CA497" s="20">
        <v>-22.66</v>
      </c>
      <c r="CI497" s="20">
        <v>-18.23</v>
      </c>
      <c r="CJ497" s="20">
        <v>-40.44</v>
      </c>
      <c r="CO497" s="20">
        <v>-36.52</v>
      </c>
      <c r="CP497" s="20">
        <v>-49.78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17</v>
      </c>
      <c r="M498" s="20">
        <v>-37.47</v>
      </c>
      <c r="N498" s="20">
        <v>-20.02</v>
      </c>
      <c r="P498" s="20">
        <v>-16.98</v>
      </c>
      <c r="Q498" s="20">
        <v>37.78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17</v>
      </c>
      <c r="AO498" s="20">
        <v>-11.06</v>
      </c>
      <c r="AP498" s="20">
        <v>24.07</v>
      </c>
      <c r="AS498" s="20">
        <v>248.0</v>
      </c>
      <c r="AT498" s="20" t="s">
        <v>17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BZ498" s="20">
        <v>0.54</v>
      </c>
      <c r="CA498" s="20">
        <v>-4.29</v>
      </c>
      <c r="CI498" s="20">
        <v>-42.26</v>
      </c>
      <c r="CJ498" s="20">
        <v>-48.84</v>
      </c>
      <c r="CO498" s="20">
        <v>8.78</v>
      </c>
      <c r="CP498" s="20">
        <v>-22.24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P499" s="20">
        <v>-8.97</v>
      </c>
      <c r="Q499" s="20">
        <v>-10.69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BZ499" s="20">
        <v>-36.89</v>
      </c>
      <c r="CA499" s="20">
        <v>-2.52</v>
      </c>
      <c r="CI499" s="20">
        <v>-28.43</v>
      </c>
      <c r="CJ499" s="20">
        <v>-29.76</v>
      </c>
      <c r="CO499" s="20">
        <v>-11.16</v>
      </c>
      <c r="CP499" s="20">
        <v>-52.48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17</v>
      </c>
      <c r="M500" s="20">
        <v>-34.58</v>
      </c>
      <c r="N500" s="20">
        <v>-30.57</v>
      </c>
      <c r="P500" s="20">
        <v>-39.83</v>
      </c>
      <c r="Q500" s="20">
        <v>-9.75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17</v>
      </c>
      <c r="AO500" s="20">
        <v>-24.15</v>
      </c>
      <c r="AP500" s="20">
        <v>2.28</v>
      </c>
      <c r="AS500" s="20">
        <v>249.0</v>
      </c>
      <c r="AT500" s="20" t="s">
        <v>17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BZ500" s="20">
        <v>-45.25</v>
      </c>
      <c r="CA500" s="20">
        <v>3.68</v>
      </c>
      <c r="CI500" s="20">
        <v>-32.51</v>
      </c>
      <c r="CJ500" s="20">
        <v>-32.15</v>
      </c>
      <c r="CO500" s="20">
        <v>-17.65</v>
      </c>
      <c r="CP500" s="20">
        <v>-48.59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P501" s="20">
        <v>-7.25</v>
      </c>
      <c r="Q501" s="20">
        <v>13.95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BZ501" s="20">
        <v>-9.67</v>
      </c>
      <c r="CA501" s="20">
        <v>25.96</v>
      </c>
      <c r="CI501" s="20">
        <v>-53.96</v>
      </c>
      <c r="CJ501" s="20">
        <v>-62.68</v>
      </c>
      <c r="CO501" s="20">
        <v>-21.29</v>
      </c>
      <c r="CP501" s="20">
        <v>-53.49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17</v>
      </c>
      <c r="M502" s="20">
        <v>-30.14</v>
      </c>
      <c r="N502" s="20">
        <v>-47.07</v>
      </c>
      <c r="P502" s="20">
        <v>14.72</v>
      </c>
      <c r="Q502" s="20">
        <v>54.44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17</v>
      </c>
      <c r="AO502" s="20">
        <v>-16.57</v>
      </c>
      <c r="AP502" s="20">
        <v>8.27</v>
      </c>
      <c r="AS502" s="20">
        <v>250.0</v>
      </c>
      <c r="AT502" s="20" t="s">
        <v>17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BZ502" s="20">
        <v>-38.4</v>
      </c>
      <c r="CA502" s="20">
        <v>114.95</v>
      </c>
      <c r="CI502" s="20">
        <v>-49.99</v>
      </c>
      <c r="CJ502" s="20">
        <v>-59.37</v>
      </c>
      <c r="CO502" s="20">
        <v>20.28</v>
      </c>
      <c r="CP502" s="20">
        <v>-57.15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P503" s="20">
        <v>0.48</v>
      </c>
      <c r="Q503" s="20">
        <v>-9.28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BZ503" s="20">
        <v>-50.63</v>
      </c>
      <c r="CA503" s="20">
        <v>14.06</v>
      </c>
      <c r="CI503" s="20">
        <v>-29.66</v>
      </c>
      <c r="CJ503" s="20">
        <v>-52.56</v>
      </c>
      <c r="CO503" s="20">
        <v>-20.7</v>
      </c>
      <c r="CP503" s="20">
        <v>-63.56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17</v>
      </c>
      <c r="M504" s="20">
        <v>-15.65</v>
      </c>
      <c r="N504" s="20">
        <v>-49.48</v>
      </c>
      <c r="P504" s="20">
        <v>15.92</v>
      </c>
      <c r="Q504" s="20">
        <v>-1.93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17</v>
      </c>
      <c r="AO504" s="20">
        <v>-23.36</v>
      </c>
      <c r="AP504" s="20">
        <v>11.91</v>
      </c>
      <c r="AS504" s="20">
        <v>251.0</v>
      </c>
      <c r="AT504" s="20" t="s">
        <v>17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BZ504" s="20">
        <v>-45.94</v>
      </c>
      <c r="CA504" s="20">
        <v>56.03</v>
      </c>
      <c r="CI504" s="20">
        <v>-42.72</v>
      </c>
      <c r="CJ504" s="20">
        <v>-49.96</v>
      </c>
      <c r="CO504" s="20">
        <v>-15.51</v>
      </c>
      <c r="CP504" s="20">
        <v>-38.0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P505" s="20">
        <v>56.11</v>
      </c>
      <c r="Q505" s="20">
        <v>38.91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BZ505" s="20">
        <v>-20.04</v>
      </c>
      <c r="CA505" s="20">
        <v>74.9</v>
      </c>
      <c r="CI505" s="20">
        <v>-46.89</v>
      </c>
      <c r="CJ505" s="20">
        <v>-56.89</v>
      </c>
      <c r="CO505" s="20">
        <v>-28.67</v>
      </c>
      <c r="CP505" s="20">
        <v>-53.35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17</v>
      </c>
      <c r="M506" s="20">
        <v>-24.67</v>
      </c>
      <c r="N506" s="20">
        <v>14.78</v>
      </c>
      <c r="P506" s="20">
        <v>2.97</v>
      </c>
      <c r="Q506" s="20">
        <v>-11.15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17</v>
      </c>
      <c r="AO506" s="20">
        <v>20.16</v>
      </c>
      <c r="AP506" s="20">
        <v>2.47</v>
      </c>
      <c r="AS506" s="20">
        <v>252.0</v>
      </c>
      <c r="AT506" s="20" t="s">
        <v>17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BZ506" s="20">
        <v>-34.59</v>
      </c>
      <c r="CA506" s="20">
        <v>15.92</v>
      </c>
      <c r="CI506" s="20">
        <v>-40.37</v>
      </c>
      <c r="CJ506" s="20">
        <v>-47.85</v>
      </c>
      <c r="CO506" s="20">
        <v>39.07</v>
      </c>
      <c r="CP506" s="20">
        <v>-49.77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P507" s="20">
        <v>-20.25</v>
      </c>
      <c r="Q507" s="20">
        <v>-14.89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BZ507" s="20">
        <v>-41.4</v>
      </c>
      <c r="CA507" s="20">
        <v>108.96</v>
      </c>
      <c r="CI507" s="20">
        <v>-42.44</v>
      </c>
      <c r="CJ507" s="20">
        <v>-45.7</v>
      </c>
      <c r="CO507" s="20">
        <v>-22.15</v>
      </c>
      <c r="CP507" s="20">
        <v>-43.47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17</v>
      </c>
      <c r="M508" s="20">
        <v>-34.69</v>
      </c>
      <c r="N508" s="20">
        <v>17.24</v>
      </c>
      <c r="P508" s="20">
        <v>-0.4</v>
      </c>
      <c r="Q508" s="20">
        <v>15.92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17</v>
      </c>
      <c r="AO508" s="20">
        <v>2.44</v>
      </c>
      <c r="AP508" s="20">
        <v>-25.2</v>
      </c>
      <c r="AS508" s="20">
        <v>253.0</v>
      </c>
      <c r="AT508" s="20" t="s">
        <v>17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BZ508" s="20">
        <v>-42.96</v>
      </c>
      <c r="CA508" s="20">
        <v>46.27</v>
      </c>
      <c r="CI508" s="20">
        <v>-37.55</v>
      </c>
      <c r="CJ508" s="20">
        <v>-47.59</v>
      </c>
      <c r="CO508" s="20">
        <v>11.78</v>
      </c>
      <c r="CP508" s="20">
        <v>-53.5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P509" s="20">
        <v>-0.44</v>
      </c>
      <c r="Q509" s="20">
        <v>2.85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BZ509" s="20">
        <v>-35.28</v>
      </c>
      <c r="CA509" s="20">
        <v>89.76</v>
      </c>
      <c r="CI509" s="20">
        <v>-53.25</v>
      </c>
      <c r="CJ509" s="20">
        <v>-65.23</v>
      </c>
      <c r="CO509" s="20">
        <v>-26.63</v>
      </c>
      <c r="CP509" s="20">
        <v>-48.08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17</v>
      </c>
      <c r="M510" s="20">
        <v>-19.59</v>
      </c>
      <c r="N510" s="20">
        <v>-15.06</v>
      </c>
      <c r="P510" s="20">
        <v>-15.42</v>
      </c>
      <c r="Q510" s="20">
        <v>43.96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17</v>
      </c>
      <c r="AO510" s="20">
        <v>2.51</v>
      </c>
      <c r="AP510" s="20">
        <v>-10.02</v>
      </c>
      <c r="AS510" s="20">
        <v>254.0</v>
      </c>
      <c r="AT510" s="20" t="s">
        <v>17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BZ510" s="20">
        <v>-34.91</v>
      </c>
      <c r="CA510" s="20">
        <v>37.15</v>
      </c>
      <c r="CI510" s="20">
        <v>-28.28</v>
      </c>
      <c r="CJ510" s="20">
        <v>-32.33</v>
      </c>
      <c r="CO510" s="20">
        <v>7.18</v>
      </c>
      <c r="CP510" s="20">
        <v>-49.47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P511" s="20">
        <v>-3.6</v>
      </c>
      <c r="Q511" s="20">
        <v>-9.42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BZ511" s="20">
        <v>-17.81</v>
      </c>
      <c r="CA511" s="20">
        <v>168.37</v>
      </c>
      <c r="CI511" s="20">
        <v>-35.48</v>
      </c>
      <c r="CJ511" s="20">
        <v>-53.66</v>
      </c>
      <c r="CO511" s="20">
        <v>-38.08</v>
      </c>
      <c r="CP511" s="20">
        <v>-58.57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17</v>
      </c>
      <c r="M512" s="20">
        <v>-36.3</v>
      </c>
      <c r="N512" s="20">
        <v>-41.69</v>
      </c>
      <c r="P512" s="20">
        <v>-14.9</v>
      </c>
      <c r="Q512" s="20">
        <v>-1.97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17</v>
      </c>
      <c r="AO512" s="20">
        <v>-25.39</v>
      </c>
      <c r="AP512" s="20">
        <v>-8.5</v>
      </c>
      <c r="AS512" s="20">
        <v>255.0</v>
      </c>
      <c r="AT512" s="20" t="s">
        <v>17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BZ512" s="20">
        <v>-55.24</v>
      </c>
      <c r="CA512" s="20">
        <v>73.84</v>
      </c>
      <c r="CI512" s="20">
        <v>-36.6</v>
      </c>
      <c r="CJ512" s="20">
        <v>-47.11</v>
      </c>
      <c r="CO512" s="20">
        <v>-13.56</v>
      </c>
      <c r="CP512" s="20">
        <v>-54.93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P513" s="20">
        <v>-10.58</v>
      </c>
      <c r="Q513" s="20">
        <v>23.74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BZ513" s="20">
        <v>51.2</v>
      </c>
      <c r="CA513" s="20">
        <v>-60.06</v>
      </c>
      <c r="CI513" s="20">
        <v>-38.0</v>
      </c>
      <c r="CJ513" s="20">
        <v>-65.56</v>
      </c>
      <c r="CO513" s="20">
        <v>2.92</v>
      </c>
      <c r="CP513" s="20">
        <v>-46.03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17</v>
      </c>
      <c r="M514" s="20">
        <v>50.85</v>
      </c>
      <c r="N514" s="20">
        <v>33.95</v>
      </c>
      <c r="P514" s="20">
        <v>-10.7</v>
      </c>
      <c r="Q514" s="20">
        <v>22.56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17</v>
      </c>
      <c r="AO514" s="20">
        <v>-22.61</v>
      </c>
      <c r="AP514" s="20">
        <v>9.72</v>
      </c>
      <c r="AS514" s="20">
        <v>256.0</v>
      </c>
      <c r="AT514" s="20" t="s">
        <v>17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BZ514" s="20">
        <v>-67.48</v>
      </c>
      <c r="CA514" s="20">
        <v>-41.91</v>
      </c>
      <c r="CI514" s="20">
        <v>-55.4</v>
      </c>
      <c r="CJ514" s="20">
        <v>-67.57</v>
      </c>
      <c r="CO514" s="20">
        <v>-30.28</v>
      </c>
      <c r="CP514" s="20">
        <v>-50.29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P515" s="20">
        <v>20.89</v>
      </c>
      <c r="Q515" s="20">
        <v>56.16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BZ515" s="20">
        <v>-37.72</v>
      </c>
      <c r="CA515" s="20">
        <v>-27.41</v>
      </c>
      <c r="CI515" s="20">
        <v>-54.92</v>
      </c>
      <c r="CJ515" s="20">
        <v>-63.76</v>
      </c>
      <c r="CO515" s="20">
        <v>-15.98</v>
      </c>
      <c r="CP515" s="20">
        <v>-55.52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17</v>
      </c>
      <c r="M516" s="20">
        <v>2.66</v>
      </c>
      <c r="N516" s="20">
        <v>-38.19</v>
      </c>
      <c r="P516" s="20">
        <v>-11.26</v>
      </c>
      <c r="Q516" s="20">
        <v>21.48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17</v>
      </c>
      <c r="AO516" s="20">
        <v>-19.94</v>
      </c>
      <c r="AP516" s="20">
        <v>19.77</v>
      </c>
      <c r="AS516" s="20">
        <v>257.0</v>
      </c>
      <c r="AT516" s="20" t="s">
        <v>17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BZ516" s="20">
        <v>-51.65</v>
      </c>
      <c r="CA516" s="20">
        <v>13.44</v>
      </c>
      <c r="CI516" s="20">
        <v>-38.32</v>
      </c>
      <c r="CJ516" s="20">
        <v>-59.03</v>
      </c>
      <c r="CO516" s="20">
        <v>-9.05</v>
      </c>
      <c r="CP516" s="20">
        <v>-55.75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P517" s="20">
        <v>21.54</v>
      </c>
      <c r="Q517" s="20">
        <v>57.16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BZ517" s="20">
        <v>-68.52</v>
      </c>
      <c r="CA517" s="20">
        <v>-2.96</v>
      </c>
      <c r="CI517" s="20">
        <v>-57.96</v>
      </c>
      <c r="CJ517" s="20">
        <v>-65.47</v>
      </c>
      <c r="CO517" s="20">
        <v>-36.98</v>
      </c>
      <c r="CP517" s="20">
        <v>-67.87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17</v>
      </c>
      <c r="M518" s="20">
        <v>32.45</v>
      </c>
      <c r="N518" s="20">
        <v>-45.38</v>
      </c>
      <c r="P518" s="20">
        <v>42.42</v>
      </c>
      <c r="Q518" s="20">
        <v>45.04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17</v>
      </c>
      <c r="AO518" s="20">
        <v>-22.96</v>
      </c>
      <c r="AP518" s="20">
        <v>-1.38</v>
      </c>
      <c r="AS518" s="20">
        <v>258.0</v>
      </c>
      <c r="AT518" s="20" t="s">
        <v>17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BZ518" s="20">
        <v>-74.47</v>
      </c>
      <c r="CA518" s="20">
        <v>-29.28</v>
      </c>
      <c r="CI518" s="20">
        <v>-37.57</v>
      </c>
      <c r="CJ518" s="20">
        <v>-54.79</v>
      </c>
      <c r="CO518" s="20">
        <v>-16.6</v>
      </c>
      <c r="CP518" s="20">
        <v>-48.49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P519" s="20">
        <v>33.38</v>
      </c>
      <c r="Q519" s="20">
        <v>13.8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BZ519" s="20">
        <v>-19.56</v>
      </c>
      <c r="CA519" s="20">
        <v>46.98</v>
      </c>
      <c r="CI519" s="20">
        <v>-43.56</v>
      </c>
      <c r="CJ519" s="20">
        <v>-55.49</v>
      </c>
      <c r="CO519" s="20">
        <v>-30.74</v>
      </c>
      <c r="CP519" s="20">
        <v>-59.3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17</v>
      </c>
      <c r="M520" s="20">
        <v>-4.31</v>
      </c>
      <c r="N520" s="20">
        <v>-10.86</v>
      </c>
      <c r="P520" s="20">
        <v>-32.8</v>
      </c>
      <c r="Q520" s="20">
        <v>-15.91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17</v>
      </c>
      <c r="AO520" s="20">
        <v>-21.49</v>
      </c>
      <c r="AP520" s="20">
        <v>19.07</v>
      </c>
      <c r="AS520" s="20">
        <v>259.0</v>
      </c>
      <c r="AT520" s="20" t="s">
        <v>17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BZ520" s="20">
        <v>-19.23</v>
      </c>
      <c r="CA520" s="20">
        <v>2.8</v>
      </c>
      <c r="CI520" s="20">
        <v>-47.75</v>
      </c>
      <c r="CJ520" s="20">
        <v>-47.06</v>
      </c>
      <c r="CO520" s="20">
        <v>-42.86</v>
      </c>
      <c r="CP520" s="20">
        <v>-64.71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P521" s="20">
        <v>33.74</v>
      </c>
      <c r="Q521" s="20">
        <v>13.97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BZ521" s="20">
        <v>-41.97</v>
      </c>
      <c r="CA521" s="20">
        <v>77.88</v>
      </c>
      <c r="CI521" s="20">
        <v>-46.77</v>
      </c>
      <c r="CJ521" s="20">
        <v>-46.99</v>
      </c>
      <c r="CO521" s="20">
        <v>-56.79</v>
      </c>
      <c r="CP521" s="20">
        <v>-65.21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17</v>
      </c>
      <c r="M522" s="20">
        <v>-15.95</v>
      </c>
      <c r="N522" s="20">
        <v>17.58</v>
      </c>
      <c r="P522" s="20">
        <v>-23.41</v>
      </c>
      <c r="Q522" s="20">
        <v>-36.27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17</v>
      </c>
      <c r="AO522" s="20">
        <v>48.32</v>
      </c>
      <c r="AP522" s="20">
        <v>18.37</v>
      </c>
      <c r="AS522" s="20">
        <v>260.0</v>
      </c>
      <c r="AT522" s="20" t="s">
        <v>17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BZ522" s="20">
        <v>-67.14</v>
      </c>
      <c r="CA522" s="20">
        <v>152.73</v>
      </c>
      <c r="CI522" s="20">
        <v>-46.61</v>
      </c>
      <c r="CJ522" s="20">
        <v>-55.29</v>
      </c>
      <c r="CO522" s="20">
        <v>-16.1</v>
      </c>
      <c r="CP522" s="20">
        <v>-60.21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P523" s="20">
        <v>46.11</v>
      </c>
      <c r="Q523" s="20">
        <v>5.32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BZ523" s="20">
        <v>-36.98</v>
      </c>
      <c r="CA523" s="20">
        <v>67.15</v>
      </c>
      <c r="CI523" s="20">
        <v>-54.68</v>
      </c>
      <c r="CJ523" s="20">
        <v>-41.56</v>
      </c>
      <c r="CO523" s="20">
        <v>-21.22</v>
      </c>
      <c r="CP523" s="20">
        <v>-48.89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17</v>
      </c>
      <c r="M524" s="20">
        <v>-29.68</v>
      </c>
      <c r="N524" s="20">
        <v>-5.6</v>
      </c>
      <c r="P524" s="20">
        <v>-4.11</v>
      </c>
      <c r="Q524" s="20">
        <v>12.87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17</v>
      </c>
      <c r="AO524" s="20">
        <v>-13.88</v>
      </c>
      <c r="AP524" s="20">
        <v>-7.62</v>
      </c>
      <c r="AS524" s="20">
        <v>261.0</v>
      </c>
      <c r="AT524" s="20" t="s">
        <v>17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BZ524" s="20">
        <v>-58.52</v>
      </c>
      <c r="CA524" s="20">
        <v>47.89</v>
      </c>
      <c r="CI524" s="20">
        <v>-36.9</v>
      </c>
      <c r="CJ524" s="20">
        <v>-25.61</v>
      </c>
      <c r="CO524" s="20">
        <v>-2.9</v>
      </c>
      <c r="CP524" s="20">
        <v>-56.88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P525" s="20">
        <v>20.69</v>
      </c>
      <c r="Q525" s="20">
        <v>3.51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BZ525" s="20">
        <v>-15.47</v>
      </c>
      <c r="CA525" s="20">
        <v>97.76</v>
      </c>
      <c r="CI525" s="20">
        <v>-29.14</v>
      </c>
      <c r="CJ525" s="20">
        <v>-52.38</v>
      </c>
      <c r="CO525" s="20">
        <v>9.71</v>
      </c>
      <c r="CP525" s="20">
        <v>-24.13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17</v>
      </c>
      <c r="M526" s="20">
        <v>7.01</v>
      </c>
      <c r="N526" s="20">
        <v>-4.48</v>
      </c>
      <c r="P526" s="20">
        <v>4.0</v>
      </c>
      <c r="Q526" s="20">
        <v>8.64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17</v>
      </c>
      <c r="AO526" s="20">
        <v>0.32</v>
      </c>
      <c r="AP526" s="20">
        <v>-39.56</v>
      </c>
      <c r="AS526" s="20">
        <v>262.0</v>
      </c>
      <c r="AT526" s="20" t="s">
        <v>17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BZ526" s="20">
        <v>-54.49</v>
      </c>
      <c r="CA526" s="20">
        <v>19.3</v>
      </c>
      <c r="CI526" s="20">
        <v>-47.78</v>
      </c>
      <c r="CJ526" s="20">
        <v>-55.67</v>
      </c>
      <c r="CO526" s="20">
        <v>-6.23</v>
      </c>
      <c r="CP526" s="20">
        <v>-66.58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P527" s="20">
        <v>17.01</v>
      </c>
      <c r="Q527" s="20">
        <v>40.74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BZ527" s="20">
        <v>-42.38</v>
      </c>
      <c r="CA527" s="20">
        <v>4.23</v>
      </c>
      <c r="CI527" s="20">
        <v>-34.27</v>
      </c>
      <c r="CJ527" s="20">
        <v>-55.18</v>
      </c>
      <c r="CO527" s="20">
        <v>-2.54</v>
      </c>
      <c r="CP527" s="20">
        <v>-60.8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17</v>
      </c>
      <c r="M528" s="20">
        <v>-28.38</v>
      </c>
      <c r="N528" s="20">
        <v>1.79</v>
      </c>
      <c r="P528" s="20">
        <v>22.86</v>
      </c>
      <c r="Q528" s="20">
        <v>70.87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17</v>
      </c>
      <c r="AO528" s="20">
        <v>-55.79</v>
      </c>
      <c r="AP528" s="20">
        <v>-10.95</v>
      </c>
      <c r="AS528" s="20">
        <v>263.0</v>
      </c>
      <c r="AT528" s="20" t="s">
        <v>17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BZ528" s="20">
        <v>-52.58</v>
      </c>
      <c r="CA528" s="20">
        <v>5.94</v>
      </c>
      <c r="CI528" s="20">
        <v>-40.31</v>
      </c>
      <c r="CJ528" s="20">
        <v>-47.76</v>
      </c>
      <c r="CO528" s="20">
        <v>-4.13</v>
      </c>
      <c r="CP528" s="20">
        <v>-46.71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P529" s="20">
        <v>-0.35</v>
      </c>
      <c r="Q529" s="20">
        <v>4.53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BZ529" s="20">
        <v>-25.18</v>
      </c>
      <c r="CA529" s="20">
        <v>12.95</v>
      </c>
      <c r="CI529" s="20">
        <v>-47.43</v>
      </c>
      <c r="CJ529" s="20">
        <v>-61.03</v>
      </c>
      <c r="CO529" s="20">
        <v>-20.55</v>
      </c>
      <c r="CP529" s="20">
        <v>-50.55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17</v>
      </c>
      <c r="M530" s="20">
        <v>50.02</v>
      </c>
      <c r="N530" s="20">
        <v>39.25</v>
      </c>
      <c r="P530" s="20">
        <v>-0.55</v>
      </c>
      <c r="Q530" s="20">
        <v>24.28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17</v>
      </c>
      <c r="AO530" s="20">
        <v>-17.83</v>
      </c>
      <c r="AP530" s="20">
        <v>-25.83</v>
      </c>
      <c r="AS530" s="20">
        <v>264.0</v>
      </c>
      <c r="AT530" s="20" t="s">
        <v>17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BZ530" s="20">
        <v>-46.56</v>
      </c>
      <c r="CA530" s="20">
        <v>19.02</v>
      </c>
      <c r="CI530" s="20">
        <v>-47.79</v>
      </c>
      <c r="CJ530" s="20">
        <v>-55.74</v>
      </c>
      <c r="CO530" s="20">
        <v>-32.83</v>
      </c>
      <c r="CP530" s="20">
        <v>-38.86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P531" s="20">
        <v>15.88</v>
      </c>
      <c r="Q531" s="20">
        <v>65.84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BZ531" s="20">
        <v>-43.89</v>
      </c>
      <c r="CA531" s="20">
        <v>32.36</v>
      </c>
      <c r="CI531" s="20">
        <v>-48.95</v>
      </c>
      <c r="CJ531" s="20">
        <v>-62.37</v>
      </c>
      <c r="CO531" s="20">
        <v>-6.31</v>
      </c>
      <c r="CP531" s="20">
        <v>-58.25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17</v>
      </c>
      <c r="M532" s="20">
        <v>-36.34</v>
      </c>
      <c r="N532" s="20">
        <v>-38.43</v>
      </c>
      <c r="P532" s="20">
        <v>-1.08</v>
      </c>
      <c r="Q532" s="20">
        <v>41.86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17</v>
      </c>
      <c r="AO532" s="20">
        <v>-40.82</v>
      </c>
      <c r="AP532" s="20">
        <v>-4.23</v>
      </c>
      <c r="AS532" s="20">
        <v>265.0</v>
      </c>
      <c r="AT532" s="20" t="s">
        <v>17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BZ532" s="20">
        <v>-41.94</v>
      </c>
      <c r="CA532" s="20">
        <v>73.8</v>
      </c>
      <c r="CI532" s="20">
        <v>-46.2</v>
      </c>
      <c r="CJ532" s="20">
        <v>-49.46</v>
      </c>
      <c r="CO532" s="20">
        <v>-28.47</v>
      </c>
      <c r="CP532" s="20">
        <v>-44.49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P533" s="20">
        <v>-10.04</v>
      </c>
      <c r="Q533" s="20">
        <v>27.66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BZ533" s="20">
        <v>-50.42</v>
      </c>
      <c r="CA533" s="20">
        <v>27.03</v>
      </c>
      <c r="CI533" s="20">
        <v>-47.33</v>
      </c>
      <c r="CJ533" s="20">
        <v>-49.18</v>
      </c>
      <c r="CO533" s="20">
        <v>-11.18</v>
      </c>
      <c r="CP533" s="20">
        <v>-70.48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17</v>
      </c>
      <c r="M534" s="20">
        <v>-38.8</v>
      </c>
      <c r="N534" s="20">
        <v>-0.12</v>
      </c>
      <c r="P534" s="20">
        <v>13.07</v>
      </c>
      <c r="Q534" s="20">
        <v>50.3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17</v>
      </c>
      <c r="AO534" s="20">
        <v>-47.67</v>
      </c>
      <c r="AP534" s="20">
        <v>-0.29</v>
      </c>
      <c r="AS534" s="20">
        <v>266.0</v>
      </c>
      <c r="AT534" s="20" t="s">
        <v>17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BZ534" s="20">
        <v>-65.1</v>
      </c>
      <c r="CA534" s="20">
        <v>14.09</v>
      </c>
      <c r="CI534" s="20">
        <v>-37.33</v>
      </c>
      <c r="CJ534" s="20">
        <v>-48.87</v>
      </c>
      <c r="CO534" s="20">
        <v>-25.15</v>
      </c>
      <c r="CP534" s="20">
        <v>-59.44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P535" s="20">
        <v>3.07</v>
      </c>
      <c r="Q535" s="20">
        <v>9.85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BZ535" s="20">
        <v>-38.65</v>
      </c>
      <c r="CA535" s="20">
        <v>31.93</v>
      </c>
      <c r="CI535" s="20">
        <v>-44.44</v>
      </c>
      <c r="CJ535" s="20">
        <v>-53.45</v>
      </c>
      <c r="CO535" s="20">
        <v>-9.24</v>
      </c>
      <c r="CP535" s="20">
        <v>-68.16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17</v>
      </c>
      <c r="M536" s="20">
        <v>-1.71</v>
      </c>
      <c r="N536" s="20">
        <v>-14.37</v>
      </c>
      <c r="P536" s="20">
        <v>-26.64</v>
      </c>
      <c r="Q536" s="20">
        <v>6.8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17</v>
      </c>
      <c r="AO536" s="20">
        <v>2.57</v>
      </c>
      <c r="AP536" s="20">
        <v>-9.2</v>
      </c>
      <c r="AS536" s="20">
        <v>267.0</v>
      </c>
      <c r="AT536" s="20" t="s">
        <v>17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BZ536" s="20">
        <v>-51.35</v>
      </c>
      <c r="CA536" s="20">
        <v>7.74</v>
      </c>
      <c r="CI536" s="20">
        <v>-42.78</v>
      </c>
      <c r="CJ536" s="20">
        <v>-58.4</v>
      </c>
      <c r="CO536" s="20">
        <v>-33.3</v>
      </c>
      <c r="CP536" s="20">
        <v>-70.53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P537" s="20">
        <v>-24.76</v>
      </c>
      <c r="Q537" s="20">
        <v>-2.89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BZ537" s="20">
        <v>-14.63</v>
      </c>
      <c r="CA537" s="20">
        <v>51.54</v>
      </c>
      <c r="CI537" s="20">
        <v>-41.54</v>
      </c>
      <c r="CJ537" s="20">
        <v>-47.51</v>
      </c>
      <c r="CO537" s="20">
        <v>3.13</v>
      </c>
      <c r="CP537" s="20">
        <v>-62.76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17</v>
      </c>
      <c r="M538" s="20">
        <v>-9.6</v>
      </c>
      <c r="N538" s="20">
        <v>0.54</v>
      </c>
      <c r="P538" s="20">
        <v>-13.25</v>
      </c>
      <c r="Q538" s="20">
        <v>1.57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17</v>
      </c>
      <c r="AO538" s="20">
        <v>-3.06</v>
      </c>
      <c r="AP538" s="20">
        <v>-5.04</v>
      </c>
      <c r="AS538" s="20">
        <v>268.0</v>
      </c>
      <c r="AT538" s="20" t="s">
        <v>17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BZ538" s="20">
        <v>-45.88</v>
      </c>
      <c r="CA538" s="20">
        <v>49.41</v>
      </c>
      <c r="CI538" s="20">
        <v>-33.58</v>
      </c>
      <c r="CJ538" s="20">
        <v>-47.5</v>
      </c>
      <c r="CO538" s="20">
        <v>-22.72</v>
      </c>
      <c r="CP538" s="20">
        <v>-47.32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P539" s="20">
        <v>-27.66</v>
      </c>
      <c r="Q539" s="20">
        <v>29.66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BZ539" s="20">
        <v>-33.56</v>
      </c>
      <c r="CA539" s="20">
        <v>118.45</v>
      </c>
      <c r="CI539" s="20">
        <v>-33.62</v>
      </c>
      <c r="CJ539" s="20">
        <v>-55.74</v>
      </c>
      <c r="CO539" s="20">
        <v>-25.67</v>
      </c>
      <c r="CP539" s="20">
        <v>-60.14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17</v>
      </c>
      <c r="M540" s="20">
        <v>-40.99</v>
      </c>
      <c r="N540" s="20">
        <v>-26.51</v>
      </c>
      <c r="P540" s="20">
        <v>-36.84</v>
      </c>
      <c r="Q540" s="20">
        <v>-5.39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17</v>
      </c>
      <c r="AO540" s="20">
        <v>-36.05</v>
      </c>
      <c r="AP540" s="20">
        <v>38.25</v>
      </c>
      <c r="AS540" s="20">
        <v>269.0</v>
      </c>
      <c r="AT540" s="20" t="s">
        <v>17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BZ540" s="20">
        <v>-56.24</v>
      </c>
      <c r="CA540" s="20">
        <v>29.56</v>
      </c>
      <c r="CI540" s="20">
        <v>-55.4</v>
      </c>
      <c r="CJ540" s="20">
        <v>-63.07</v>
      </c>
      <c r="CO540" s="20">
        <v>-25.39</v>
      </c>
      <c r="CP540" s="20">
        <v>-47.99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P541" s="20">
        <v>-14.76</v>
      </c>
      <c r="Q541" s="20">
        <v>-3.17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BZ541" s="20">
        <v>-31.08</v>
      </c>
      <c r="CA541" s="20">
        <v>40.2</v>
      </c>
      <c r="CI541" s="20">
        <v>-54.43</v>
      </c>
      <c r="CJ541" s="20">
        <v>-66.0</v>
      </c>
      <c r="CO541" s="20">
        <v>-32.39</v>
      </c>
      <c r="CP541" s="20">
        <v>-67.1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17</v>
      </c>
      <c r="M542" s="20">
        <v>-5.69</v>
      </c>
      <c r="N542" s="20">
        <v>-5.8</v>
      </c>
      <c r="P542" s="20">
        <v>-27.89</v>
      </c>
      <c r="Q542" s="20">
        <v>52.91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17</v>
      </c>
      <c r="AO542" s="20">
        <v>-2.74</v>
      </c>
      <c r="AP542" s="20">
        <v>-16.78</v>
      </c>
      <c r="AS542" s="20">
        <v>270.0</v>
      </c>
      <c r="AT542" s="20" t="s">
        <v>17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BZ542" s="20">
        <v>-49.38</v>
      </c>
      <c r="CA542" s="20">
        <v>11.43</v>
      </c>
      <c r="CI542" s="20">
        <v>-53.49</v>
      </c>
      <c r="CJ542" s="20">
        <v>-63.04</v>
      </c>
      <c r="CO542" s="20">
        <v>-9.02</v>
      </c>
      <c r="CP542" s="20">
        <v>-59.53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P543" s="20">
        <v>44.26</v>
      </c>
      <c r="Q543" s="20">
        <v>90.56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BZ543" s="20">
        <v>-24.24</v>
      </c>
      <c r="CA543" s="20">
        <v>1.45</v>
      </c>
      <c r="CI543" s="20">
        <v>-38.46</v>
      </c>
      <c r="CJ543" s="20">
        <v>-39.05</v>
      </c>
      <c r="CO543" s="20">
        <v>-25.5</v>
      </c>
      <c r="CP543" s="20">
        <v>-60.36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17</v>
      </c>
      <c r="M544" s="20">
        <v>-37.77</v>
      </c>
      <c r="N544" s="20">
        <v>-7.37</v>
      </c>
      <c r="P544" s="20">
        <v>-15.45</v>
      </c>
      <c r="Q544" s="20">
        <v>15.34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17</v>
      </c>
      <c r="AO544" s="20">
        <v>-16.11</v>
      </c>
      <c r="AP544" s="20">
        <v>-19.0</v>
      </c>
      <c r="AS544" s="20">
        <v>271.0</v>
      </c>
      <c r="AT544" s="20" t="s">
        <v>17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BZ544" s="20">
        <v>-48.05</v>
      </c>
      <c r="CA544" s="20">
        <v>26.2</v>
      </c>
      <c r="CI544" s="20">
        <v>-12.96</v>
      </c>
      <c r="CJ544" s="20">
        <v>-8.2</v>
      </c>
      <c r="CO544" s="20">
        <v>13.3</v>
      </c>
      <c r="CP544" s="20">
        <v>-63.23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P545" s="20">
        <v>18.77</v>
      </c>
      <c r="Q545" s="20">
        <v>0.92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BZ545" s="20">
        <v>-32.04</v>
      </c>
      <c r="CA545" s="20">
        <v>18.5</v>
      </c>
      <c r="CI545" s="20">
        <v>-17.23</v>
      </c>
      <c r="CJ545" s="20">
        <v>-39.69</v>
      </c>
      <c r="CO545" s="20">
        <v>-33.34</v>
      </c>
      <c r="CP545" s="20">
        <v>-60.02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17</v>
      </c>
      <c r="M546" s="20">
        <v>-32.26</v>
      </c>
      <c r="N546" s="20">
        <v>67.63</v>
      </c>
      <c r="P546" s="20">
        <v>-17.73</v>
      </c>
      <c r="Q546" s="20">
        <v>-4.2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17</v>
      </c>
      <c r="AO546" s="20">
        <v>1.97</v>
      </c>
      <c r="AP546" s="20">
        <v>105.94</v>
      </c>
      <c r="AS546" s="20">
        <v>272.0</v>
      </c>
      <c r="AT546" s="20" t="s">
        <v>17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BZ546" s="20">
        <v>-67.93</v>
      </c>
      <c r="CA546" s="20">
        <v>19.74</v>
      </c>
      <c r="CI546" s="20">
        <v>-32.37</v>
      </c>
      <c r="CJ546" s="20">
        <v>-40.5</v>
      </c>
      <c r="CO546" s="20">
        <v>-0.82</v>
      </c>
      <c r="CP546" s="20">
        <v>-19.58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P547" s="20">
        <v>-13.32</v>
      </c>
      <c r="Q547" s="20">
        <v>4.33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BZ547" s="20">
        <v>-46.55</v>
      </c>
      <c r="CA547" s="20">
        <v>0.83</v>
      </c>
      <c r="CI547" s="20">
        <v>-28.93</v>
      </c>
      <c r="CJ547" s="20">
        <v>-29.25</v>
      </c>
      <c r="CO547" s="20">
        <v>15.23</v>
      </c>
      <c r="CP547" s="20">
        <v>-55.59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17</v>
      </c>
      <c r="M548" s="20">
        <v>-17.33</v>
      </c>
      <c r="N548" s="20">
        <v>7.26</v>
      </c>
      <c r="P548" s="20">
        <v>-42.84</v>
      </c>
      <c r="Q548" s="20">
        <v>-29.02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17</v>
      </c>
      <c r="AO548" s="20">
        <v>-11.49</v>
      </c>
      <c r="AP548" s="20">
        <v>29.83</v>
      </c>
      <c r="AS548" s="20">
        <v>273.0</v>
      </c>
      <c r="AT548" s="20" t="s">
        <v>17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BZ548" s="20">
        <v>-61.07</v>
      </c>
      <c r="CA548" s="20">
        <v>55.94</v>
      </c>
      <c r="CI548" s="20">
        <v>-14.99</v>
      </c>
      <c r="CJ548" s="20">
        <v>-14.21</v>
      </c>
      <c r="CO548" s="20">
        <v>17.27</v>
      </c>
      <c r="CP548" s="20">
        <v>-56.14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P549" s="20">
        <v>8.55</v>
      </c>
      <c r="Q549" s="20">
        <v>-11.24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BZ549" s="20">
        <v>-53.6</v>
      </c>
      <c r="CA549" s="20">
        <v>50.64</v>
      </c>
      <c r="CI549" s="20">
        <v>-48.35</v>
      </c>
      <c r="CJ549" s="20">
        <v>-59.05</v>
      </c>
      <c r="CO549" s="20">
        <v>-18.2</v>
      </c>
      <c r="CP549" s="20">
        <v>-54.42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17</v>
      </c>
      <c r="M550" s="20">
        <v>-17.03</v>
      </c>
      <c r="N550" s="20">
        <v>-3.44</v>
      </c>
      <c r="P550" s="20">
        <v>-40.03</v>
      </c>
      <c r="Q550" s="20">
        <v>-16.82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17</v>
      </c>
      <c r="AO550" s="20">
        <v>-10.23</v>
      </c>
      <c r="AP550" s="20">
        <v>30.23</v>
      </c>
      <c r="AS550" s="20">
        <v>274.0</v>
      </c>
      <c r="AT550" s="20" t="s">
        <v>17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BZ550" s="20">
        <v>-71.32</v>
      </c>
      <c r="CA550" s="20">
        <v>43.32</v>
      </c>
      <c r="CI550" s="20">
        <v>-43.3</v>
      </c>
      <c r="CJ550" s="20">
        <v>-53.3</v>
      </c>
      <c r="CO550" s="20">
        <v>46.93</v>
      </c>
      <c r="CP550" s="20">
        <v>-52.43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P551" s="20">
        <v>36.34</v>
      </c>
      <c r="Q551" s="20">
        <v>50.88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BZ551" s="20">
        <v>-46.78</v>
      </c>
      <c r="CA551" s="20">
        <v>20.14</v>
      </c>
      <c r="CI551" s="20">
        <v>-35.92</v>
      </c>
      <c r="CJ551" s="20">
        <v>-57.01</v>
      </c>
      <c r="CO551" s="20">
        <v>-9.1</v>
      </c>
      <c r="CP551" s="20">
        <v>-61.21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17</v>
      </c>
      <c r="M552" s="20">
        <v>26.17</v>
      </c>
      <c r="N552" s="20">
        <v>-38.17</v>
      </c>
      <c r="P552" s="20">
        <v>-33.62</v>
      </c>
      <c r="Q552" s="20">
        <v>-16.04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17</v>
      </c>
      <c r="AO552" s="20">
        <v>1.92</v>
      </c>
      <c r="AP552" s="20">
        <v>1.91</v>
      </c>
      <c r="AS552" s="20">
        <v>275.0</v>
      </c>
      <c r="AT552" s="20" t="s">
        <v>17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BZ552" s="20">
        <v>-40.73</v>
      </c>
      <c r="CA552" s="20">
        <v>5.29</v>
      </c>
      <c r="CI552" s="20">
        <v>-33.15</v>
      </c>
      <c r="CJ552" s="20">
        <v>-51.11</v>
      </c>
      <c r="CO552" s="20">
        <v>1.3</v>
      </c>
      <c r="CP552" s="20">
        <v>-45.94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P553" s="20">
        <v>16.12</v>
      </c>
      <c r="Q553" s="20">
        <v>18.65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BZ553" s="20">
        <v>-36.59</v>
      </c>
      <c r="CA553" s="20">
        <v>12.5</v>
      </c>
      <c r="CI553" s="20">
        <v>-47.81</v>
      </c>
      <c r="CJ553" s="20">
        <v>-54.02</v>
      </c>
      <c r="CO553" s="20">
        <v>-27.94</v>
      </c>
      <c r="CP553" s="20">
        <v>-48.23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17</v>
      </c>
      <c r="M554" s="20">
        <v>-20.07</v>
      </c>
      <c r="N554" s="20">
        <v>26.86</v>
      </c>
      <c r="P554" s="20">
        <v>-1.24</v>
      </c>
      <c r="Q554" s="20">
        <v>-8.99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17</v>
      </c>
      <c r="AO554" s="20">
        <v>-10.81</v>
      </c>
      <c r="AP554" s="20">
        <v>-12.93</v>
      </c>
      <c r="AS554" s="20">
        <v>276.0</v>
      </c>
      <c r="AT554" s="20" t="s">
        <v>17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BZ554" s="20">
        <v>-58.97</v>
      </c>
      <c r="CA554" s="20">
        <v>31.84</v>
      </c>
      <c r="CI554" s="20">
        <v>-41.15</v>
      </c>
      <c r="CJ554" s="20">
        <v>-53.21</v>
      </c>
      <c r="CO554" s="20">
        <v>-6.23</v>
      </c>
      <c r="CP554" s="20">
        <v>-46.93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P555" s="20">
        <v>32.56</v>
      </c>
      <c r="Q555" s="20">
        <v>18.06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BZ555" s="20">
        <v>-34.3</v>
      </c>
      <c r="CA555" s="20">
        <v>34.12</v>
      </c>
      <c r="CI555" s="20">
        <v>-19.26</v>
      </c>
      <c r="CJ555" s="20">
        <v>-47.43</v>
      </c>
      <c r="CO555" s="20">
        <v>-10.63</v>
      </c>
      <c r="CP555" s="20">
        <v>-53.2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17</v>
      </c>
      <c r="M556" s="20">
        <v>-39.86</v>
      </c>
      <c r="N556" s="20">
        <v>7.57</v>
      </c>
      <c r="P556" s="20">
        <v>-38.54</v>
      </c>
      <c r="Q556" s="20">
        <v>-12.36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17</v>
      </c>
      <c r="AO556" s="20">
        <v>-24.74</v>
      </c>
      <c r="AP556" s="20">
        <v>-9.81</v>
      </c>
      <c r="AS556" s="20">
        <v>277.0</v>
      </c>
      <c r="AT556" s="20" t="s">
        <v>17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BZ556" s="20">
        <v>-21.38</v>
      </c>
      <c r="CA556" s="20">
        <v>44.85</v>
      </c>
      <c r="CI556" s="20">
        <v>-26.97</v>
      </c>
      <c r="CJ556" s="20">
        <v>-42.29</v>
      </c>
      <c r="CO556" s="20">
        <v>46.74</v>
      </c>
      <c r="CP556" s="20">
        <v>-40.04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P557" s="20">
        <v>-11.66</v>
      </c>
      <c r="Q557" s="20">
        <v>36.52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BZ557" s="20">
        <v>-39.03</v>
      </c>
      <c r="CA557" s="20">
        <v>111.45</v>
      </c>
      <c r="CI557" s="20">
        <v>-37.63</v>
      </c>
      <c r="CJ557" s="20">
        <v>-43.05</v>
      </c>
      <c r="CO557" s="20">
        <v>-27.96</v>
      </c>
      <c r="CP557" s="20">
        <v>-46.98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17</v>
      </c>
      <c r="M558" s="20">
        <v>-10.68</v>
      </c>
      <c r="N558" s="20">
        <v>26.94</v>
      </c>
      <c r="P558" s="20">
        <v>-43.61</v>
      </c>
      <c r="Q558" s="20">
        <v>-10.43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17</v>
      </c>
      <c r="AO558" s="20">
        <v>-6.11</v>
      </c>
      <c r="AP558" s="20">
        <v>-23.02</v>
      </c>
      <c r="AS558" s="20">
        <v>278.0</v>
      </c>
      <c r="AT558" s="20" t="s">
        <v>17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BZ558" s="20">
        <v>-58.81</v>
      </c>
      <c r="CA558" s="20">
        <v>36.12</v>
      </c>
      <c r="CI558" s="20">
        <v>-33.14</v>
      </c>
      <c r="CJ558" s="20">
        <v>-43.91</v>
      </c>
      <c r="CO558" s="20">
        <v>-18.88</v>
      </c>
      <c r="CP558" s="20">
        <v>-54.24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P559" s="20">
        <v>37.05</v>
      </c>
      <c r="Q559" s="20">
        <v>37.42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BZ559" s="20">
        <v>-45.42</v>
      </c>
      <c r="CA559" s="20">
        <v>-7.87</v>
      </c>
      <c r="CI559" s="20">
        <v>-53.77</v>
      </c>
      <c r="CJ559" s="20">
        <v>-56.27</v>
      </c>
      <c r="CO559" s="20">
        <v>-10.53</v>
      </c>
      <c r="CP559" s="20">
        <v>-64.59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17</v>
      </c>
      <c r="M560" s="20">
        <v>8.44</v>
      </c>
      <c r="N560" s="20">
        <v>10.92</v>
      </c>
      <c r="P560" s="20">
        <v>-37.1</v>
      </c>
      <c r="Q560" s="20">
        <v>12.32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17</v>
      </c>
      <c r="AO560" s="20">
        <v>-4.31</v>
      </c>
      <c r="AP560" s="20">
        <v>-1.31</v>
      </c>
      <c r="AS560" s="20">
        <v>279.0</v>
      </c>
      <c r="AT560" s="20" t="s">
        <v>17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BZ560" s="20">
        <v>-70.92</v>
      </c>
      <c r="CA560" s="20">
        <v>-2.99</v>
      </c>
      <c r="CI560" s="20">
        <v>-35.59</v>
      </c>
      <c r="CJ560" s="20">
        <v>-39.35</v>
      </c>
      <c r="CO560" s="20">
        <v>-10.14</v>
      </c>
      <c r="CP560" s="20">
        <v>-55.29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P561" s="20">
        <v>-1.42</v>
      </c>
      <c r="Q561" s="20">
        <v>-1.14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BZ561" s="20">
        <v>-32.98</v>
      </c>
      <c r="CA561" s="20">
        <v>92.95</v>
      </c>
      <c r="CI561" s="20">
        <v>-53.42</v>
      </c>
      <c r="CJ561" s="20">
        <v>-65.42</v>
      </c>
      <c r="CO561" s="20">
        <v>-19.02</v>
      </c>
      <c r="CP561" s="20">
        <v>-30.06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17</v>
      </c>
      <c r="M562" s="20">
        <v>9.53</v>
      </c>
      <c r="N562" s="20">
        <v>102.42</v>
      </c>
      <c r="P562" s="20">
        <v>-5.04</v>
      </c>
      <c r="Q562" s="20">
        <v>29.68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17</v>
      </c>
      <c r="AO562" s="20">
        <v>-10.66</v>
      </c>
      <c r="AP562" s="20">
        <v>4.69</v>
      </c>
      <c r="AS562" s="20">
        <v>280.0</v>
      </c>
      <c r="AT562" s="20" t="s">
        <v>17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BZ562" s="20">
        <v>-55.05</v>
      </c>
      <c r="CA562" s="20">
        <v>107.65</v>
      </c>
      <c r="CI562" s="20">
        <v>-60.96</v>
      </c>
      <c r="CJ562" s="20">
        <v>-66.59</v>
      </c>
      <c r="CO562" s="20">
        <v>-12.62</v>
      </c>
      <c r="CP562" s="20">
        <v>-43.85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P563" s="20">
        <v>0.7</v>
      </c>
      <c r="Q563" s="20">
        <v>-16.43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BZ563" s="20">
        <v>-70.95</v>
      </c>
      <c r="CA563" s="20">
        <v>42.35</v>
      </c>
      <c r="CI563" s="20">
        <v>-57.68</v>
      </c>
      <c r="CJ563" s="20">
        <v>-63.11</v>
      </c>
      <c r="CO563" s="20">
        <v>-37.24</v>
      </c>
      <c r="CP563" s="20">
        <v>-63.66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17</v>
      </c>
      <c r="M564" s="20">
        <v>-5.39</v>
      </c>
      <c r="N564" s="20">
        <v>7.67</v>
      </c>
      <c r="P564" s="20">
        <v>-11.17</v>
      </c>
      <c r="Q564" s="20">
        <v>-4.72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17</v>
      </c>
      <c r="AO564" s="20">
        <v>6.38</v>
      </c>
      <c r="AP564" s="20">
        <v>-15.79</v>
      </c>
      <c r="AS564" s="20">
        <v>281.0</v>
      </c>
      <c r="AT564" s="20" t="s">
        <v>17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BZ564" s="20">
        <v>-46.5</v>
      </c>
      <c r="CA564" s="20">
        <v>86.3</v>
      </c>
      <c r="CI564" s="20">
        <v>-1.3</v>
      </c>
      <c r="CJ564" s="20">
        <v>-41.36</v>
      </c>
      <c r="CO564" s="20">
        <v>-15.57</v>
      </c>
      <c r="CP564" s="20">
        <v>-64.16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P565" s="20">
        <v>-31.91</v>
      </c>
      <c r="Q565" s="20">
        <v>5.28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BZ565" s="20">
        <v>72.85</v>
      </c>
      <c r="CA565" s="20">
        <v>37.31</v>
      </c>
      <c r="CI565" s="20">
        <v>-56.36</v>
      </c>
      <c r="CJ565" s="20">
        <v>-55.35</v>
      </c>
      <c r="CO565" s="20">
        <v>-46.13</v>
      </c>
      <c r="CP565" s="20">
        <v>-53.17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17</v>
      </c>
      <c r="M566" s="20">
        <v>71.42</v>
      </c>
      <c r="N566" s="20">
        <v>69.09</v>
      </c>
      <c r="P566" s="20">
        <v>1.93</v>
      </c>
      <c r="Q566" s="20">
        <v>39.39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17</v>
      </c>
      <c r="AO566" s="20">
        <v>-40.45</v>
      </c>
      <c r="AP566" s="20">
        <v>21.21</v>
      </c>
      <c r="AS566" s="20">
        <v>282.0</v>
      </c>
      <c r="AT566" s="20" t="s">
        <v>17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BZ566" s="20">
        <v>31.62</v>
      </c>
      <c r="CA566" s="20">
        <v>53.3</v>
      </c>
      <c r="CI566" s="20">
        <v>-43.01</v>
      </c>
      <c r="CJ566" s="20">
        <v>-52.56</v>
      </c>
      <c r="CO566" s="20">
        <v>-23.45</v>
      </c>
      <c r="CP566" s="20">
        <v>-64.54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P567" s="20">
        <v>28.57</v>
      </c>
      <c r="Q567" s="20">
        <v>15.65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BZ567" s="20">
        <v>-79.05</v>
      </c>
      <c r="CA567" s="20">
        <v>-33.68</v>
      </c>
      <c r="CI567" s="20">
        <v>-57.82</v>
      </c>
      <c r="CJ567" s="20">
        <v>-62.67</v>
      </c>
      <c r="CO567" s="20">
        <v>-13.61</v>
      </c>
      <c r="CP567" s="20">
        <v>-62.79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17</v>
      </c>
      <c r="M568" s="20">
        <v>-26.1</v>
      </c>
      <c r="N568" s="20">
        <v>-22.15</v>
      </c>
      <c r="P568" s="20">
        <v>-13.2</v>
      </c>
      <c r="Q568" s="20">
        <v>-8.83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17</v>
      </c>
      <c r="AO568" s="20">
        <v>-19.1</v>
      </c>
      <c r="AP568" s="20">
        <v>-0.47</v>
      </c>
      <c r="AS568" s="20">
        <v>283.0</v>
      </c>
      <c r="AT568" s="20" t="s">
        <v>17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BZ568" s="20">
        <v>43.07</v>
      </c>
      <c r="CA568" s="20">
        <v>-54.48</v>
      </c>
      <c r="CI568" s="20">
        <v>-52.81</v>
      </c>
      <c r="CJ568" s="20">
        <v>-32.03</v>
      </c>
      <c r="CO568" s="20">
        <v>-37.45</v>
      </c>
      <c r="CP568" s="20">
        <v>-64.48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P569" s="20">
        <v>26.31</v>
      </c>
      <c r="Q569" s="20">
        <v>40.39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BZ569" s="20">
        <v>-37.63</v>
      </c>
      <c r="CA569" s="20">
        <v>26.87</v>
      </c>
      <c r="CI569" s="20">
        <v>-40.28</v>
      </c>
      <c r="CJ569" s="20">
        <v>-47.94</v>
      </c>
      <c r="CO569" s="20">
        <v>-22.03</v>
      </c>
      <c r="CP569" s="20">
        <v>-65.97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17</v>
      </c>
      <c r="M570" s="20">
        <v>-32.85</v>
      </c>
      <c r="N570" s="20">
        <v>-11.18</v>
      </c>
      <c r="P570" s="20">
        <v>-2.4</v>
      </c>
      <c r="Q570" s="20">
        <v>1.21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17</v>
      </c>
      <c r="AO570" s="20">
        <v>16.19</v>
      </c>
      <c r="AP570" s="20">
        <v>-32.01</v>
      </c>
      <c r="AS570" s="20">
        <v>284.0</v>
      </c>
      <c r="AT570" s="20" t="s">
        <v>17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BZ570" s="20">
        <v>-65.45</v>
      </c>
      <c r="CA570" s="20">
        <v>-19.91</v>
      </c>
      <c r="CI570" s="20">
        <v>-14.12</v>
      </c>
      <c r="CJ570" s="20">
        <v>-32.82</v>
      </c>
      <c r="CO570" s="20">
        <v>-27.36</v>
      </c>
      <c r="CP570" s="20">
        <v>-61.78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P571" s="20">
        <v>52.65</v>
      </c>
      <c r="Q571" s="20">
        <v>37.67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BZ571" s="20">
        <v>-62.35</v>
      </c>
      <c r="CA571" s="20">
        <v>72.36</v>
      </c>
      <c r="CI571" s="20">
        <v>-36.33</v>
      </c>
      <c r="CJ571" s="20">
        <v>-38.49</v>
      </c>
      <c r="CO571" s="20">
        <v>-17.66</v>
      </c>
      <c r="CP571" s="20">
        <v>-63.7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17</v>
      </c>
      <c r="M572" s="20">
        <v>14.37</v>
      </c>
      <c r="N572" s="20">
        <v>8.02</v>
      </c>
      <c r="P572" s="20">
        <v>-9.58</v>
      </c>
      <c r="Q572" s="20">
        <v>20.62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17</v>
      </c>
      <c r="AO572" s="20">
        <v>-12.11</v>
      </c>
      <c r="AP572" s="20">
        <v>-28.86</v>
      </c>
      <c r="AS572" s="20">
        <v>285.0</v>
      </c>
      <c r="AT572" s="20" t="s">
        <v>17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BZ572" s="20">
        <v>-44.89</v>
      </c>
      <c r="CA572" s="20">
        <v>7.16</v>
      </c>
      <c r="CI572" s="20">
        <v>-47.12</v>
      </c>
      <c r="CJ572" s="20">
        <v>-46.49</v>
      </c>
      <c r="CO572" s="20">
        <v>94.94</v>
      </c>
      <c r="CP572" s="20">
        <v>-52.35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P573" s="20">
        <v>35.0</v>
      </c>
      <c r="Q573" s="20">
        <v>20.69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BZ573" s="20">
        <v>-43.89</v>
      </c>
      <c r="CA573" s="20">
        <v>124.28</v>
      </c>
      <c r="CI573" s="20">
        <v>-41.68</v>
      </c>
      <c r="CJ573" s="20">
        <v>-56.29</v>
      </c>
      <c r="CO573" s="20">
        <v>-8.74</v>
      </c>
      <c r="CP573" s="20">
        <v>-13.53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17</v>
      </c>
      <c r="M574" s="20">
        <v>44.56</v>
      </c>
      <c r="N574" s="20">
        <v>20.4</v>
      </c>
      <c r="P574" s="20">
        <v>-18.61</v>
      </c>
      <c r="Q574" s="20">
        <v>19.0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17</v>
      </c>
      <c r="AO574" s="20">
        <v>-7.24</v>
      </c>
      <c r="AP574" s="20">
        <v>-23.43</v>
      </c>
      <c r="AS574" s="20">
        <v>286.0</v>
      </c>
      <c r="AT574" s="20" t="s">
        <v>17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BZ574" s="20">
        <v>-21.48</v>
      </c>
      <c r="CA574" s="20">
        <v>87.64</v>
      </c>
      <c r="CI574" s="20">
        <v>-59.17</v>
      </c>
      <c r="CJ574" s="20">
        <v>-57.41</v>
      </c>
      <c r="CO574" s="20">
        <v>26.29</v>
      </c>
      <c r="CP574" s="20">
        <v>-41.25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P575" s="20">
        <v>-17.14</v>
      </c>
      <c r="Q575" s="20">
        <v>-27.35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BZ575" s="20">
        <v>-44.44</v>
      </c>
      <c r="CA575" s="20">
        <v>52.74</v>
      </c>
      <c r="CI575" s="20">
        <v>-34.36</v>
      </c>
      <c r="CJ575" s="20">
        <v>-59.98</v>
      </c>
      <c r="CO575" s="20">
        <v>-24.3</v>
      </c>
      <c r="CP575" s="20">
        <v>-17.64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17</v>
      </c>
      <c r="M576" s="20">
        <v>-49.09</v>
      </c>
      <c r="N576" s="20">
        <v>-66.83</v>
      </c>
      <c r="P576" s="20">
        <v>-53.95</v>
      </c>
      <c r="Q576" s="20">
        <v>-75.24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17</v>
      </c>
      <c r="AO576" s="20">
        <v>36.64</v>
      </c>
      <c r="AP576" s="20">
        <v>-54.83</v>
      </c>
      <c r="AS576" s="20">
        <v>287.0</v>
      </c>
      <c r="AT576" s="20" t="s">
        <v>17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BZ576" s="20">
        <v>-58.98</v>
      </c>
      <c r="CA576" s="20">
        <v>81.29</v>
      </c>
      <c r="CI576" s="20">
        <v>-40.49</v>
      </c>
      <c r="CJ576" s="20">
        <v>-47.7</v>
      </c>
      <c r="CO576" s="20">
        <v>-20.15</v>
      </c>
      <c r="CP576" s="20">
        <v>-41.18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P577" s="20">
        <v>10.86</v>
      </c>
      <c r="Q577" s="20">
        <v>72.99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BZ577" s="20">
        <v>-40.94</v>
      </c>
      <c r="CA577" s="20">
        <v>75.73</v>
      </c>
      <c r="CI577" s="20">
        <v>-59.17</v>
      </c>
      <c r="CJ577" s="20">
        <v>-59.25</v>
      </c>
      <c r="CO577" s="20">
        <v>-15.61</v>
      </c>
      <c r="CP577" s="20">
        <v>-30.95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17</v>
      </c>
      <c r="M578" s="20">
        <v>-11.73</v>
      </c>
      <c r="N578" s="20">
        <v>41.9</v>
      </c>
      <c r="P578" s="20">
        <v>-72.15</v>
      </c>
      <c r="Q578" s="20">
        <v>-57.78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17</v>
      </c>
      <c r="AO578" s="20">
        <v>46.27</v>
      </c>
      <c r="AP578" s="20">
        <v>-22.24</v>
      </c>
      <c r="AS578" s="20">
        <v>288.0</v>
      </c>
      <c r="AT578" s="20" t="s">
        <v>17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BZ578" s="20">
        <v>-41.38</v>
      </c>
      <c r="CA578" s="20">
        <v>150.89</v>
      </c>
      <c r="CI578" s="20">
        <v>-39.34</v>
      </c>
      <c r="CJ578" s="20">
        <v>-46.99</v>
      </c>
      <c r="CO578" s="20">
        <v>-4.28</v>
      </c>
      <c r="CP578" s="20">
        <v>-18.96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P579" s="20">
        <v>40.38</v>
      </c>
      <c r="Q579" s="20">
        <v>57.45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BZ579" s="20">
        <v>14.85</v>
      </c>
      <c r="CA579" s="20">
        <v>-13.07</v>
      </c>
      <c r="CI579" s="20">
        <v>-51.24</v>
      </c>
      <c r="CJ579" s="20">
        <v>-57.17</v>
      </c>
      <c r="CO579" s="20">
        <v>-60.18</v>
      </c>
      <c r="CP579" s="20">
        <v>-60.34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17</v>
      </c>
      <c r="M580" s="20">
        <v>15.3</v>
      </c>
      <c r="N580" s="20">
        <v>6.35</v>
      </c>
      <c r="P580" s="20">
        <v>-0.41</v>
      </c>
      <c r="Q580" s="20">
        <v>-22.7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17</v>
      </c>
      <c r="AO580" s="20">
        <v>-45.39</v>
      </c>
      <c r="AP580" s="20">
        <v>8.82</v>
      </c>
      <c r="AS580" s="20">
        <v>289.0</v>
      </c>
      <c r="AT580" s="20" t="s">
        <v>17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BZ580" s="20">
        <v>-7.36</v>
      </c>
      <c r="CA580" s="20">
        <v>28.23</v>
      </c>
      <c r="CI580" s="20">
        <v>-44.45</v>
      </c>
      <c r="CJ580" s="20">
        <v>-47.35</v>
      </c>
      <c r="CO580" s="20">
        <v>-42.34</v>
      </c>
      <c r="CP580" s="20">
        <v>-45.76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P581" s="20">
        <v>-16.53</v>
      </c>
      <c r="Q581" s="20">
        <v>2.89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BZ581" s="20">
        <v>-63.0</v>
      </c>
      <c r="CA581" s="20">
        <v>67.39</v>
      </c>
      <c r="CI581" s="20">
        <v>-58.78</v>
      </c>
      <c r="CJ581" s="20">
        <v>-60.14</v>
      </c>
      <c r="CO581" s="20">
        <v>40.76</v>
      </c>
      <c r="CP581" s="20">
        <v>-48.42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17</v>
      </c>
      <c r="M582" s="20">
        <v>4.63</v>
      </c>
      <c r="N582" s="20">
        <v>1.12</v>
      </c>
      <c r="P582" s="20">
        <v>60.73</v>
      </c>
      <c r="Q582" s="20">
        <v>109.7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17</v>
      </c>
      <c r="AO582" s="20">
        <v>16.23</v>
      </c>
      <c r="AP582" s="20">
        <v>3.15</v>
      </c>
      <c r="AS582" s="20">
        <v>290.0</v>
      </c>
      <c r="AT582" s="20" t="s">
        <v>17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BZ582" s="20">
        <v>-53.87</v>
      </c>
      <c r="CA582" s="20">
        <v>31.38</v>
      </c>
      <c r="CI582" s="20">
        <v>-9.42</v>
      </c>
      <c r="CJ582" s="20">
        <v>-27.38</v>
      </c>
      <c r="CO582" s="20">
        <v>11.87</v>
      </c>
      <c r="CP582" s="20">
        <v>-48.89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P583" s="20">
        <v>38.49</v>
      </c>
      <c r="Q583" s="20">
        <v>108.63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BZ583" s="20">
        <v>-61.96</v>
      </c>
      <c r="CA583" s="20">
        <v>96.04</v>
      </c>
      <c r="CI583" s="20">
        <v>-51.56</v>
      </c>
      <c r="CJ583" s="20">
        <v>-53.64</v>
      </c>
      <c r="CO583" s="20">
        <v>-28.16</v>
      </c>
      <c r="CP583" s="20">
        <v>-58.54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17</v>
      </c>
      <c r="M584" s="20">
        <v>-35.47</v>
      </c>
      <c r="N584" s="20">
        <v>-40.11</v>
      </c>
      <c r="P584" s="20">
        <v>17.0</v>
      </c>
      <c r="Q584" s="20">
        <v>94.92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17</v>
      </c>
      <c r="AO584" s="20">
        <v>32.89</v>
      </c>
      <c r="AP584" s="20">
        <v>33.07</v>
      </c>
      <c r="AS584" s="20">
        <v>292.0</v>
      </c>
      <c r="AT584" s="20" t="s">
        <v>17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BZ584" s="20">
        <v>-42.57</v>
      </c>
      <c r="CA584" s="20">
        <v>6.13</v>
      </c>
      <c r="CI584" s="20">
        <v>-39.04</v>
      </c>
      <c r="CJ584" s="20">
        <v>-42.97</v>
      </c>
      <c r="CO584" s="20">
        <v>-22.09</v>
      </c>
      <c r="CP584" s="20">
        <v>-50.22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P585" s="20">
        <v>-33.14</v>
      </c>
      <c r="Q585" s="20">
        <v>7.45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BZ585" s="20">
        <v>-44.2</v>
      </c>
      <c r="CA585" s="20">
        <v>44.25</v>
      </c>
      <c r="CI585" s="20">
        <v>-42.86</v>
      </c>
      <c r="CJ585" s="20">
        <v>-50.13</v>
      </c>
      <c r="CO585" s="20">
        <v>-3.96</v>
      </c>
      <c r="CP585" s="20">
        <v>-24.65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17</v>
      </c>
      <c r="M586" s="20">
        <v>13.8</v>
      </c>
      <c r="N586" s="20">
        <v>38.3</v>
      </c>
      <c r="P586" s="20">
        <v>35.99</v>
      </c>
      <c r="Q586" s="20">
        <v>114.59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17</v>
      </c>
      <c r="AO586" s="20">
        <v>-17.88</v>
      </c>
      <c r="AP586" s="20">
        <v>16.36</v>
      </c>
      <c r="AS586" s="20">
        <v>293.0</v>
      </c>
      <c r="AT586" s="20" t="s">
        <v>17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BZ586" s="20">
        <v>-54.33</v>
      </c>
      <c r="CA586" s="20">
        <v>187.85</v>
      </c>
      <c r="CI586" s="20">
        <v>-56.98</v>
      </c>
      <c r="CJ586" s="20">
        <v>-70.67</v>
      </c>
      <c r="CO586" s="20">
        <v>16.59</v>
      </c>
      <c r="CP586" s="20">
        <v>-0.92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P587" s="20">
        <v>15.56</v>
      </c>
      <c r="Q587" s="20">
        <v>22.68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BZ587" s="20">
        <v>-15.75</v>
      </c>
      <c r="CA587" s="20">
        <v>42.05</v>
      </c>
      <c r="CI587" s="20">
        <v>-29.07</v>
      </c>
      <c r="CJ587" s="20">
        <v>-37.66</v>
      </c>
      <c r="CO587" s="20">
        <v>-10.54</v>
      </c>
      <c r="CP587" s="20">
        <v>-56.05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17</v>
      </c>
      <c r="M588" s="20">
        <v>-43.89</v>
      </c>
      <c r="N588" s="20">
        <v>90.68</v>
      </c>
      <c r="P588" s="20">
        <v>25.21</v>
      </c>
      <c r="Q588" s="20">
        <v>76.49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17</v>
      </c>
      <c r="AO588" s="20">
        <v>69.06</v>
      </c>
      <c r="AP588" s="20">
        <v>15.77</v>
      </c>
      <c r="AS588" s="20">
        <v>294.0</v>
      </c>
      <c r="AT588" s="20" t="s">
        <v>17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BZ588" s="20">
        <v>-21.57</v>
      </c>
      <c r="CA588" s="20">
        <v>30.93</v>
      </c>
      <c r="CI588" s="20">
        <v>-42.51</v>
      </c>
      <c r="CJ588" s="20">
        <v>-58.61</v>
      </c>
      <c r="CO588" s="20">
        <v>-21.67</v>
      </c>
      <c r="CP588" s="20">
        <v>-37.2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P589" s="20">
        <v>-23.72</v>
      </c>
      <c r="Q589" s="20">
        <v>10.57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BZ589" s="20">
        <v>-11.45</v>
      </c>
      <c r="CA589" s="20">
        <v>33.24</v>
      </c>
      <c r="CI589" s="20">
        <v>-45.9</v>
      </c>
      <c r="CJ589" s="20">
        <v>-64.06</v>
      </c>
      <c r="CO589" s="20">
        <v>28.87</v>
      </c>
      <c r="CP589" s="20">
        <v>-33.93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17</v>
      </c>
      <c r="M590" s="20">
        <v>18.83</v>
      </c>
      <c r="N590" s="20">
        <v>4.23</v>
      </c>
      <c r="P590" s="20">
        <v>-17.06</v>
      </c>
      <c r="Q590" s="20">
        <v>7.23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17</v>
      </c>
      <c r="AO590" s="20">
        <v>-46.7</v>
      </c>
      <c r="AP590" s="20">
        <v>-31.02</v>
      </c>
      <c r="AS590" s="20">
        <v>295.0</v>
      </c>
      <c r="AT590" s="20" t="s">
        <v>17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BZ590" s="20">
        <v>-65.5</v>
      </c>
      <c r="CA590" s="20">
        <v>105.01</v>
      </c>
      <c r="CI590" s="20">
        <v>-35.39</v>
      </c>
      <c r="CJ590" s="20">
        <v>-59.6</v>
      </c>
      <c r="CO590" s="20">
        <v>18.08</v>
      </c>
      <c r="CP590" s="20">
        <v>-60.45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P591" s="20">
        <v>-21.35</v>
      </c>
      <c r="Q591" s="20">
        <v>27.85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BZ591" s="20">
        <v>-49.35</v>
      </c>
      <c r="CA591" s="20">
        <v>35.52</v>
      </c>
      <c r="CI591" s="20">
        <v>-56.47</v>
      </c>
      <c r="CJ591" s="20">
        <v>-61.15</v>
      </c>
      <c r="CO591" s="20">
        <v>6.03</v>
      </c>
      <c r="CP591" s="20">
        <v>-42.1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17</v>
      </c>
      <c r="M592" s="20">
        <v>-63.26</v>
      </c>
      <c r="N592" s="20">
        <v>-17.93</v>
      </c>
      <c r="P592" s="20">
        <v>-32.91</v>
      </c>
      <c r="Q592" s="20">
        <v>15.48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17</v>
      </c>
      <c r="AO592" s="20">
        <v>51.8</v>
      </c>
      <c r="AP592" s="20">
        <v>-22.21</v>
      </c>
      <c r="AS592" s="20">
        <v>296.0</v>
      </c>
      <c r="AT592" s="20" t="s">
        <v>17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BZ592" s="20">
        <v>-41.57</v>
      </c>
      <c r="CA592" s="20">
        <v>11.05</v>
      </c>
      <c r="CI592" s="20">
        <v>-26.6</v>
      </c>
      <c r="CJ592" s="20">
        <v>-13.63</v>
      </c>
      <c r="CO592" s="20">
        <v>-17.69</v>
      </c>
      <c r="CP592" s="20">
        <v>-43.64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P593" s="20">
        <v>-28.79</v>
      </c>
      <c r="Q593" s="20">
        <v>-12.73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BZ593" s="20">
        <v>27.12</v>
      </c>
      <c r="CA593" s="20">
        <v>-15.06</v>
      </c>
      <c r="CI593" s="20">
        <v>-51.6</v>
      </c>
      <c r="CJ593" s="20">
        <v>-55.2</v>
      </c>
      <c r="CO593" s="20">
        <v>5.41</v>
      </c>
      <c r="CP593" s="20">
        <v>-50.75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17</v>
      </c>
      <c r="M594" s="20">
        <v>-48.34</v>
      </c>
      <c r="N594" s="20">
        <v>-56.41</v>
      </c>
      <c r="P594" s="20">
        <v>-74.66</v>
      </c>
      <c r="Q594" s="20">
        <v>-65.3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17</v>
      </c>
      <c r="AO594" s="20">
        <v>10.02</v>
      </c>
      <c r="AP594" s="20">
        <v>14.05</v>
      </c>
      <c r="AS594" s="20">
        <v>297.0</v>
      </c>
      <c r="AT594" s="20" t="s">
        <v>17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BZ594" s="20">
        <v>-3.64</v>
      </c>
      <c r="CA594" s="20">
        <v>-22.35</v>
      </c>
      <c r="CI594" s="20">
        <v>-37.58</v>
      </c>
      <c r="CJ594" s="20">
        <v>-39.88</v>
      </c>
      <c r="CO594" s="20">
        <v>18.14</v>
      </c>
      <c r="CP594" s="20">
        <v>-44.83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P595" s="20">
        <v>16.99</v>
      </c>
      <c r="Q595" s="20">
        <v>1.08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BZ595" s="20">
        <v>-58.43</v>
      </c>
      <c r="CA595" s="20">
        <v>46.38</v>
      </c>
      <c r="CI595" s="20">
        <v>-47.04</v>
      </c>
      <c r="CJ595" s="20">
        <v>-45.21</v>
      </c>
      <c r="CO595" s="20">
        <v>-10.6</v>
      </c>
      <c r="CP595" s="20">
        <v>-53.85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17</v>
      </c>
      <c r="M596" s="20">
        <v>-28.15</v>
      </c>
      <c r="N596" s="20">
        <v>17.61</v>
      </c>
      <c r="P596" s="20">
        <v>-17.27</v>
      </c>
      <c r="Q596" s="20">
        <v>-13.26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17</v>
      </c>
      <c r="AO596" s="20">
        <v>-16.53</v>
      </c>
      <c r="AP596" s="20">
        <v>-4.8</v>
      </c>
      <c r="AS596" s="20">
        <v>298.0</v>
      </c>
      <c r="AT596" s="20" t="s">
        <v>17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BZ596" s="20">
        <v>-62.37</v>
      </c>
      <c r="CA596" s="20">
        <v>39.68</v>
      </c>
      <c r="CI596" s="20">
        <v>-26.37</v>
      </c>
      <c r="CJ596" s="20">
        <v>-33.76</v>
      </c>
      <c r="CO596" s="20">
        <v>-16.5</v>
      </c>
      <c r="CP596" s="20">
        <v>-60.68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P597" s="20">
        <v>1.43</v>
      </c>
      <c r="Q597" s="20">
        <v>32.03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BZ597" s="20">
        <v>-62.53</v>
      </c>
      <c r="CA597" s="20">
        <v>194.57</v>
      </c>
      <c r="CI597" s="20">
        <v>-55.3</v>
      </c>
      <c r="CJ597" s="20">
        <v>-67.03</v>
      </c>
      <c r="CO597" s="20">
        <v>-25.67</v>
      </c>
      <c r="CP597" s="20">
        <v>-48.98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17</v>
      </c>
      <c r="M598" s="20">
        <v>-20.58</v>
      </c>
      <c r="N598" s="20">
        <v>68.83</v>
      </c>
      <c r="P598" s="20">
        <v>-21.06</v>
      </c>
      <c r="Q598" s="20">
        <v>62.18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17</v>
      </c>
      <c r="AO598" s="20">
        <v>-46.42</v>
      </c>
      <c r="AP598" s="20">
        <v>-46.34</v>
      </c>
      <c r="AS598" s="20">
        <v>299.0</v>
      </c>
      <c r="AT598" s="20" t="s">
        <v>17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BZ598" s="20">
        <v>-80.47</v>
      </c>
      <c r="CA598" s="20">
        <v>2.87</v>
      </c>
      <c r="CI598" s="20">
        <v>-54.37</v>
      </c>
      <c r="CJ598" s="20">
        <v>-65.54</v>
      </c>
      <c r="CO598" s="20">
        <v>-39.95</v>
      </c>
      <c r="CP598" s="20">
        <v>-26.58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P599" s="20">
        <v>-0.65</v>
      </c>
      <c r="Q599" s="20">
        <v>22.7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BZ599" s="20">
        <v>-22.07</v>
      </c>
      <c r="CA599" s="20">
        <v>-23.72</v>
      </c>
      <c r="CI599" s="20">
        <v>-54.25</v>
      </c>
      <c r="CJ599" s="20">
        <v>-50.2</v>
      </c>
      <c r="CO599" s="20">
        <v>-25.92</v>
      </c>
      <c r="CP599" s="20">
        <v>-56.01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17</v>
      </c>
      <c r="M600" s="20">
        <v>-13.46</v>
      </c>
      <c r="N600" s="20">
        <v>85.58</v>
      </c>
      <c r="P600" s="20">
        <v>-7.42</v>
      </c>
      <c r="Q600" s="20">
        <v>8.57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17</v>
      </c>
      <c r="AO600" s="20">
        <v>-50.64</v>
      </c>
      <c r="AP600" s="20">
        <v>-29.74</v>
      </c>
      <c r="AS600" s="20">
        <v>300.0</v>
      </c>
      <c r="AT600" s="20" t="s">
        <v>17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BZ600" s="20">
        <v>91.73</v>
      </c>
      <c r="CA600" s="20">
        <v>-9.94</v>
      </c>
      <c r="CI600" s="20">
        <v>-48.05</v>
      </c>
      <c r="CJ600" s="20">
        <v>-41.65</v>
      </c>
      <c r="CO600" s="20">
        <v>-28.24</v>
      </c>
      <c r="CP600" s="20">
        <v>-50.95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P601" s="20">
        <v>-30.37</v>
      </c>
      <c r="Q601" s="20">
        <v>-1.83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BZ601" s="20">
        <v>-69.19</v>
      </c>
      <c r="CA601" s="20">
        <v>66.58</v>
      </c>
      <c r="CI601" s="20">
        <v>-41.86</v>
      </c>
      <c r="CJ601" s="20">
        <v>-51.47</v>
      </c>
      <c r="CO601" s="20">
        <v>-33.87</v>
      </c>
      <c r="CP601" s="20">
        <v>-53.76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17</v>
      </c>
      <c r="M602" s="20">
        <v>-38.8</v>
      </c>
      <c r="N602" s="20">
        <v>-46.51</v>
      </c>
      <c r="P602" s="20">
        <v>55.1</v>
      </c>
      <c r="Q602" s="20">
        <v>99.58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17</v>
      </c>
      <c r="AO602" s="20">
        <v>1.54</v>
      </c>
      <c r="AP602" s="20">
        <v>24.72</v>
      </c>
      <c r="AS602" s="20">
        <v>301.0</v>
      </c>
      <c r="AT602" s="20" t="s">
        <v>17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BZ602" s="20">
        <v>-48.04</v>
      </c>
      <c r="CA602" s="20">
        <v>-1.95</v>
      </c>
      <c r="CI602" s="20">
        <v>-47.45</v>
      </c>
      <c r="CJ602" s="20">
        <v>-52.62</v>
      </c>
      <c r="CO602" s="20">
        <v>22.51</v>
      </c>
      <c r="CP602" s="20">
        <v>-48.25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P603" s="20">
        <v>-16.98</v>
      </c>
      <c r="Q603" s="20">
        <v>0.42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BZ603" s="20">
        <v>21.66</v>
      </c>
      <c r="CA603" s="20">
        <v>29.52</v>
      </c>
      <c r="CI603" s="20">
        <v>12.07</v>
      </c>
      <c r="CJ603" s="20">
        <v>-32.76</v>
      </c>
      <c r="CO603" s="20">
        <v>9.85</v>
      </c>
      <c r="CP603" s="20">
        <v>-37.98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17</v>
      </c>
      <c r="M604" s="20">
        <v>-41.62</v>
      </c>
      <c r="N604" s="20">
        <v>-44.33</v>
      </c>
      <c r="P604" s="20">
        <v>13.04</v>
      </c>
      <c r="Q604" s="20">
        <v>60.89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17</v>
      </c>
      <c r="AO604" s="20">
        <v>-26.11</v>
      </c>
      <c r="AP604" s="20">
        <v>13.66</v>
      </c>
      <c r="AS604" s="20">
        <v>302.0</v>
      </c>
      <c r="AT604" s="20" t="s">
        <v>17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BZ604" s="20">
        <v>-48.59</v>
      </c>
      <c r="CA604" s="20">
        <v>63.16</v>
      </c>
      <c r="CI604" s="20">
        <v>-26.19</v>
      </c>
      <c r="CJ604" s="20">
        <v>-55.9</v>
      </c>
      <c r="CO604" s="20">
        <v>10.62</v>
      </c>
      <c r="CP604" s="20">
        <v>-29.09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P605" s="20">
        <v>-21.09</v>
      </c>
      <c r="Q605" s="20">
        <v>-3.01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BZ605" s="20">
        <v>-49.14</v>
      </c>
      <c r="CA605" s="20">
        <v>54.61</v>
      </c>
      <c r="CI605" s="20">
        <v>-47.99</v>
      </c>
      <c r="CJ605" s="20">
        <v>-40.6</v>
      </c>
      <c r="CO605" s="20">
        <v>-2.31</v>
      </c>
      <c r="CP605" s="20">
        <v>-49.2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17</v>
      </c>
      <c r="M606" s="20">
        <v>-18.89</v>
      </c>
      <c r="N606" s="20">
        <v>-21.5</v>
      </c>
      <c r="P606" s="20">
        <v>-54.76</v>
      </c>
      <c r="Q606" s="20">
        <v>13.97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17</v>
      </c>
      <c r="AO606" s="20">
        <v>-38.87</v>
      </c>
      <c r="AP606" s="20">
        <v>-6.55</v>
      </c>
      <c r="AS606" s="20">
        <v>303.0</v>
      </c>
      <c r="AT606" s="20" t="s">
        <v>17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BZ606" s="20">
        <v>-54.18</v>
      </c>
      <c r="CA606" s="20">
        <v>-4.32</v>
      </c>
      <c r="CI606" s="20">
        <v>-40.52</v>
      </c>
      <c r="CJ606" s="20">
        <v>-50.33</v>
      </c>
      <c r="CO606" s="20">
        <v>-12.88</v>
      </c>
      <c r="CP606" s="20">
        <v>-42.88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P607" s="20">
        <v>-26.69</v>
      </c>
      <c r="Q607" s="20">
        <v>29.64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BZ607" s="20">
        <v>-54.28</v>
      </c>
      <c r="CA607" s="20">
        <v>7.81</v>
      </c>
      <c r="CI607" s="20">
        <v>-46.89</v>
      </c>
      <c r="CJ607" s="20">
        <v>-54.75</v>
      </c>
      <c r="CO607" s="20">
        <v>-24.61</v>
      </c>
      <c r="CP607" s="20">
        <v>-40.27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17</v>
      </c>
      <c r="M608" s="20">
        <v>-72.81</v>
      </c>
      <c r="N608" s="20">
        <v>-68.15</v>
      </c>
      <c r="P608" s="20">
        <v>-54.1</v>
      </c>
      <c r="Q608" s="20">
        <v>-1.35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17</v>
      </c>
      <c r="AO608" s="20">
        <v>-64.52</v>
      </c>
      <c r="AP608" s="20">
        <v>-25.83</v>
      </c>
      <c r="AS608" s="20">
        <v>304.0</v>
      </c>
      <c r="AT608" s="20" t="s">
        <v>17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BZ608" s="20">
        <v>-38.88</v>
      </c>
      <c r="CA608" s="20">
        <v>1.4</v>
      </c>
      <c r="CI608" s="20">
        <v>-46.42</v>
      </c>
      <c r="CJ608" s="20">
        <v>-49.58</v>
      </c>
      <c r="CO608" s="20">
        <v>-3.39</v>
      </c>
      <c r="CP608" s="20">
        <v>-41.36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P609" s="20">
        <v>-40.03</v>
      </c>
      <c r="Q609" s="20">
        <v>-34.82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BZ609" s="20">
        <v>-49.97</v>
      </c>
      <c r="CA609" s="20">
        <v>28.08</v>
      </c>
      <c r="CI609" s="20">
        <v>-48.67</v>
      </c>
      <c r="CJ609" s="20">
        <v>-57.67</v>
      </c>
      <c r="CO609" s="20">
        <v>-24.95</v>
      </c>
      <c r="CP609" s="20">
        <v>-36.49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17</v>
      </c>
      <c r="M610" s="20">
        <v>-39.02</v>
      </c>
      <c r="N610" s="20">
        <v>8.59</v>
      </c>
      <c r="P610" s="20">
        <v>-79.29</v>
      </c>
      <c r="Q610" s="20">
        <v>-59.89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17</v>
      </c>
      <c r="AO610" s="20">
        <v>31.91</v>
      </c>
      <c r="AP610" s="20">
        <v>-8.45</v>
      </c>
      <c r="AS610" s="20">
        <v>305.0</v>
      </c>
      <c r="AT610" s="20" t="s">
        <v>17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BZ610" s="20">
        <v>-30.18</v>
      </c>
      <c r="CA610" s="20">
        <v>103.94</v>
      </c>
      <c r="CI610" s="20">
        <v>-46.32</v>
      </c>
      <c r="CJ610" s="20">
        <v>-68.03</v>
      </c>
      <c r="CO610" s="20">
        <v>53.34</v>
      </c>
      <c r="CP610" s="20">
        <v>-35.52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P611" s="20">
        <v>-17.24</v>
      </c>
      <c r="Q611" s="20">
        <v>-2.54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BZ611" s="20">
        <v>-59.45</v>
      </c>
      <c r="CA611" s="20">
        <v>48.62</v>
      </c>
      <c r="CI611" s="20">
        <v>-48.79</v>
      </c>
      <c r="CJ611" s="20">
        <v>-70.42</v>
      </c>
      <c r="CO611" s="20">
        <v>-62.99</v>
      </c>
      <c r="CP611" s="20">
        <v>-61.75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17</v>
      </c>
      <c r="M612" s="20">
        <v>-17.3</v>
      </c>
      <c r="N612" s="20">
        <v>50.45</v>
      </c>
      <c r="P612" s="20">
        <v>-34.57</v>
      </c>
      <c r="Q612" s="20">
        <v>-13.14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17</v>
      </c>
      <c r="AO612" s="20">
        <v>6.04</v>
      </c>
      <c r="AP612" s="20">
        <v>-16.41</v>
      </c>
      <c r="AS612" s="20">
        <v>306.0</v>
      </c>
      <c r="AT612" s="20" t="s">
        <v>17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BZ612" s="20">
        <v>-45.42</v>
      </c>
      <c r="CA612" s="20">
        <v>24.2</v>
      </c>
      <c r="CI612" s="20">
        <v>-43.55</v>
      </c>
      <c r="CJ612" s="20">
        <v>-59.26</v>
      </c>
      <c r="CO612" s="20">
        <v>-33.74</v>
      </c>
      <c r="CP612" s="20">
        <v>-50.85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P613" s="20">
        <v>-0.89</v>
      </c>
      <c r="Q613" s="20">
        <v>29.81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BZ613" s="20">
        <v>7.45</v>
      </c>
      <c r="CA613" s="20">
        <v>9.83</v>
      </c>
      <c r="CI613" s="20">
        <v>-59.24</v>
      </c>
      <c r="CJ613" s="20">
        <v>-60.4</v>
      </c>
      <c r="CO613" s="20">
        <v>10.89</v>
      </c>
      <c r="CP613" s="20">
        <v>-37.04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17</v>
      </c>
      <c r="M614" s="20">
        <v>-30.67</v>
      </c>
      <c r="N614" s="20">
        <v>6.59</v>
      </c>
      <c r="P614" s="20">
        <v>1.91</v>
      </c>
      <c r="Q614" s="20">
        <v>84.26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17</v>
      </c>
      <c r="AO614" s="20">
        <v>-24.06</v>
      </c>
      <c r="AP614" s="20">
        <v>53.33</v>
      </c>
      <c r="AS614" s="20">
        <v>307.0</v>
      </c>
      <c r="AT614" s="20" t="s">
        <v>17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BZ614" s="20">
        <v>-5.65</v>
      </c>
      <c r="CA614" s="20">
        <v>1.05</v>
      </c>
      <c r="CI614" s="20">
        <v>-64.85</v>
      </c>
      <c r="CJ614" s="20">
        <v>-70.68</v>
      </c>
      <c r="CO614" s="20">
        <v>21.98</v>
      </c>
      <c r="CP614" s="20">
        <v>-21.28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P615" s="20">
        <v>-8.79</v>
      </c>
      <c r="Q615" s="20">
        <v>8.33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BZ615" s="20">
        <v>-57.36</v>
      </c>
      <c r="CA615" s="20">
        <v>65.27</v>
      </c>
      <c r="CI615" s="20">
        <v>-46.11</v>
      </c>
      <c r="CJ615" s="20">
        <v>-63.89</v>
      </c>
      <c r="CO615" s="20">
        <v>-32.35</v>
      </c>
      <c r="CP615" s="20">
        <v>-17.55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17</v>
      </c>
      <c r="M616" s="20">
        <v>-23.54</v>
      </c>
      <c r="N616" s="20">
        <v>42.39</v>
      </c>
      <c r="P616" s="20">
        <v>2.8</v>
      </c>
      <c r="Q616" s="20">
        <v>31.32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17</v>
      </c>
      <c r="AO616" s="20">
        <v>-5.14</v>
      </c>
      <c r="AP616" s="20">
        <v>23.89</v>
      </c>
      <c r="AS616" s="20">
        <v>308.0</v>
      </c>
      <c r="AT616" s="20" t="s">
        <v>17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BZ616" s="20">
        <v>-73.29</v>
      </c>
      <c r="CA616" s="20">
        <v>86.82</v>
      </c>
      <c r="CI616" s="20">
        <v>-47.15</v>
      </c>
      <c r="CJ616" s="20">
        <v>-30.41</v>
      </c>
      <c r="CO616" s="20">
        <v>2.31</v>
      </c>
      <c r="CP616" s="20">
        <v>-21.78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P617" s="20">
        <v>-4.81</v>
      </c>
      <c r="Q617" s="20">
        <v>35.56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BZ617" s="20">
        <v>-48.71</v>
      </c>
      <c r="CA617" s="20">
        <v>25.84</v>
      </c>
      <c r="CI617" s="20">
        <v>-30.86</v>
      </c>
      <c r="CJ617" s="20">
        <v>-44.23</v>
      </c>
      <c r="CO617" s="20">
        <v>-38.56</v>
      </c>
      <c r="CP617" s="20">
        <v>-56.61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17</v>
      </c>
      <c r="M618" s="20">
        <v>-28.3</v>
      </c>
      <c r="N618" s="20">
        <v>-2.94</v>
      </c>
      <c r="P618" s="20">
        <v>28.14</v>
      </c>
      <c r="Q618" s="20">
        <v>63.17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17</v>
      </c>
      <c r="AO618" s="20">
        <v>72.88</v>
      </c>
      <c r="AP618" s="20">
        <v>-30.81</v>
      </c>
      <c r="AS618" s="20">
        <v>309.0</v>
      </c>
      <c r="AT618" s="20" t="s">
        <v>17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BZ618" s="20">
        <v>-59.52</v>
      </c>
      <c r="CA618" s="20">
        <v>90.95</v>
      </c>
      <c r="CI618" s="20">
        <v>-54.06</v>
      </c>
      <c r="CJ618" s="20">
        <v>-43.22</v>
      </c>
      <c r="CO618" s="20">
        <v>0.03</v>
      </c>
      <c r="CP618" s="20">
        <v>5.39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P619" s="20">
        <v>-0.62</v>
      </c>
      <c r="Q619" s="20">
        <v>29.63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BZ619" s="20">
        <v>-71.37</v>
      </c>
      <c r="CA619" s="20">
        <v>43.69</v>
      </c>
      <c r="CI619" s="20">
        <v>-36.25</v>
      </c>
      <c r="CJ619" s="20">
        <v>-30.93</v>
      </c>
      <c r="CO619" s="20">
        <v>-37.99</v>
      </c>
      <c r="CP619" s="20">
        <v>-48.77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17</v>
      </c>
      <c r="M620" s="20">
        <v>-31.88</v>
      </c>
      <c r="N620" s="20">
        <v>-50.97</v>
      </c>
      <c r="P620" s="20">
        <v>-1.36</v>
      </c>
      <c r="Q620" s="20">
        <v>54.67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17</v>
      </c>
      <c r="AO620" s="20">
        <v>-12.0</v>
      </c>
      <c r="AP620" s="20">
        <v>-61.82</v>
      </c>
      <c r="AS620" s="20">
        <v>310.0</v>
      </c>
      <c r="AT620" s="20" t="s">
        <v>17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BZ620" s="20">
        <v>-47.31</v>
      </c>
      <c r="CA620" s="20">
        <v>169.6</v>
      </c>
      <c r="CI620" s="20">
        <v>-52.2</v>
      </c>
      <c r="CJ620" s="20">
        <v>-28.99</v>
      </c>
      <c r="CO620" s="20">
        <v>-36.82</v>
      </c>
      <c r="CP620" s="20">
        <v>-12.34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P621" s="20">
        <v>-23.32</v>
      </c>
      <c r="Q621" s="20">
        <v>-19.12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BZ621" s="20">
        <v>-39.97</v>
      </c>
      <c r="CA621" s="20">
        <v>29.91</v>
      </c>
      <c r="CI621" s="20">
        <v>-50.82</v>
      </c>
      <c r="CJ621" s="20">
        <v>-54.48</v>
      </c>
      <c r="CO621" s="20">
        <v>-48.86</v>
      </c>
      <c r="CP621" s="20">
        <v>-63.18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17</v>
      </c>
      <c r="M622" s="20">
        <v>-24.74</v>
      </c>
      <c r="N622" s="20">
        <v>-1.94</v>
      </c>
      <c r="P622" s="20">
        <v>-38.29</v>
      </c>
      <c r="Q622" s="20">
        <v>-7.7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17</v>
      </c>
      <c r="AO622" s="20">
        <v>-8.28</v>
      </c>
      <c r="AP622" s="20">
        <v>25.58</v>
      </c>
      <c r="AS622" s="20">
        <v>311.0</v>
      </c>
      <c r="AT622" s="20" t="s">
        <v>17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BZ622" s="20">
        <v>-24.29</v>
      </c>
      <c r="CA622" s="20">
        <v>23.47</v>
      </c>
      <c r="CI622" s="20">
        <v>-45.32</v>
      </c>
      <c r="CJ622" s="20">
        <v>-59.13</v>
      </c>
      <c r="CO622" s="20">
        <v>-28.32</v>
      </c>
      <c r="CP622" s="20">
        <v>-50.82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P623" s="20">
        <v>5.98</v>
      </c>
      <c r="Q623" s="20">
        <v>4.69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BZ623" s="20">
        <v>-37.29</v>
      </c>
      <c r="CA623" s="20">
        <v>139.58</v>
      </c>
      <c r="CI623" s="20">
        <v>-45.27</v>
      </c>
      <c r="CJ623" s="20">
        <v>-60.03</v>
      </c>
      <c r="CO623" s="20">
        <v>-15.83</v>
      </c>
      <c r="CP623" s="20">
        <v>-52.59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17</v>
      </c>
      <c r="M624" s="20">
        <v>-31.04</v>
      </c>
      <c r="N624" s="20">
        <v>-21.17</v>
      </c>
      <c r="P624" s="20">
        <v>-74.79</v>
      </c>
      <c r="Q624" s="20">
        <v>-76.29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17</v>
      </c>
      <c r="AO624" s="20">
        <v>-0.62</v>
      </c>
      <c r="AP624" s="20">
        <v>83.4</v>
      </c>
      <c r="AS624" s="20">
        <v>312.0</v>
      </c>
      <c r="AT624" s="20" t="s">
        <v>17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BZ624" s="20">
        <v>-66.4</v>
      </c>
      <c r="CA624" s="20">
        <v>47.82</v>
      </c>
      <c r="CI624" s="20">
        <v>-35.14</v>
      </c>
      <c r="CJ624" s="20">
        <v>-61.23</v>
      </c>
      <c r="CO624" s="20">
        <v>-63.53</v>
      </c>
      <c r="CP624" s="20">
        <v>34.18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P625" s="20">
        <v>-23.93</v>
      </c>
      <c r="Q625" s="20">
        <v>9.66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BZ625" s="20">
        <v>-29.52</v>
      </c>
      <c r="CA625" s="20">
        <v>48.95</v>
      </c>
      <c r="CI625" s="20">
        <v>-63.19</v>
      </c>
      <c r="CJ625" s="20">
        <v>-62.42</v>
      </c>
      <c r="CO625" s="20">
        <v>-13.55</v>
      </c>
      <c r="CP625" s="20">
        <v>-38.88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17</v>
      </c>
      <c r="M626" s="20">
        <v>10.89</v>
      </c>
      <c r="N626" s="20">
        <v>7.69</v>
      </c>
      <c r="P626" s="20">
        <v>-35.71</v>
      </c>
      <c r="Q626" s="20">
        <v>-27.7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17</v>
      </c>
      <c r="AO626" s="20">
        <v>-33.85</v>
      </c>
      <c r="AP626" s="20">
        <v>36.28</v>
      </c>
      <c r="AS626" s="20">
        <v>313.0</v>
      </c>
      <c r="AT626" s="20" t="s">
        <v>17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BZ626" s="20">
        <v>-56.01</v>
      </c>
      <c r="CA626" s="20">
        <v>49.62</v>
      </c>
      <c r="CI626" s="20">
        <v>-41.47</v>
      </c>
      <c r="CJ626" s="20">
        <v>-48.81</v>
      </c>
      <c r="CO626" s="20">
        <v>-17.9</v>
      </c>
      <c r="CP626" s="20">
        <v>-55.6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P627" s="20">
        <v>11.29</v>
      </c>
      <c r="Q627" s="20">
        <v>34.9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BZ627" s="20">
        <v>-4.49</v>
      </c>
      <c r="CA627" s="20">
        <v>59.9</v>
      </c>
      <c r="CI627" s="20">
        <v>-14.15</v>
      </c>
      <c r="CJ627" s="20">
        <v>-33.83</v>
      </c>
      <c r="CO627" s="20">
        <v>-19.45</v>
      </c>
      <c r="CP627" s="20">
        <v>-27.27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17</v>
      </c>
      <c r="M628" s="20">
        <v>-31.51</v>
      </c>
      <c r="N628" s="20">
        <v>21.64</v>
      </c>
      <c r="P628" s="20">
        <v>48.11</v>
      </c>
      <c r="Q628" s="20">
        <v>180.86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17</v>
      </c>
      <c r="AO628" s="20">
        <v>16.71</v>
      </c>
      <c r="AP628" s="20">
        <v>10.89</v>
      </c>
      <c r="AS628" s="20">
        <v>314.0</v>
      </c>
      <c r="AT628" s="20" t="s">
        <v>17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BZ628" s="20">
        <v>-33.43</v>
      </c>
      <c r="CA628" s="20">
        <v>-61.01</v>
      </c>
      <c r="CI628" s="20">
        <v>-46.67</v>
      </c>
      <c r="CJ628" s="20">
        <v>-53.51</v>
      </c>
      <c r="CO628" s="20">
        <v>-44.55</v>
      </c>
      <c r="CP628" s="20">
        <v>-66.98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P629" s="20">
        <v>-16.06</v>
      </c>
      <c r="Q629" s="20">
        <v>17.61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BZ629" s="20">
        <v>-50.42</v>
      </c>
      <c r="CA629" s="20">
        <v>93.26</v>
      </c>
      <c r="CI629" s="20">
        <v>-40.62</v>
      </c>
      <c r="CJ629" s="20">
        <v>-48.91</v>
      </c>
      <c r="CO629" s="20">
        <v>-26.7</v>
      </c>
      <c r="CP629" s="20">
        <v>-45.73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17</v>
      </c>
      <c r="M630" s="20">
        <v>23.23</v>
      </c>
      <c r="N630" s="20">
        <v>-10.27</v>
      </c>
      <c r="P630" s="20">
        <v>16.04</v>
      </c>
      <c r="Q630" s="20">
        <v>-4.54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17</v>
      </c>
      <c r="AO630" s="20">
        <v>11.0</v>
      </c>
      <c r="AP630" s="20">
        <v>-9.86</v>
      </c>
      <c r="AS630" s="20">
        <v>316.0</v>
      </c>
      <c r="AT630" s="20" t="s">
        <v>17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BZ630" s="20">
        <v>-54.98</v>
      </c>
      <c r="CA630" s="20">
        <v>34.23</v>
      </c>
      <c r="CI630" s="20">
        <v>-15.42</v>
      </c>
      <c r="CJ630" s="20">
        <v>-53.63</v>
      </c>
      <c r="CO630" s="20">
        <v>-0.91</v>
      </c>
      <c r="CP630" s="20">
        <v>-32.1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P631" s="20">
        <v>61.08</v>
      </c>
      <c r="Q631" s="20">
        <v>53.87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BZ631" s="20">
        <v>-38.31</v>
      </c>
      <c r="CA631" s="20">
        <v>95.92</v>
      </c>
      <c r="CI631" s="20">
        <v>-36.11</v>
      </c>
      <c r="CJ631" s="20">
        <v>-30.05</v>
      </c>
      <c r="CO631" s="20">
        <v>-23.81</v>
      </c>
      <c r="CP631" s="20">
        <v>-62.74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17</v>
      </c>
      <c r="M632" s="20">
        <v>5.68</v>
      </c>
      <c r="N632" s="20">
        <v>7.18</v>
      </c>
      <c r="P632" s="20">
        <v>41.06</v>
      </c>
      <c r="Q632" s="20">
        <v>65.59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17</v>
      </c>
      <c r="AO632" s="20">
        <v>5.99</v>
      </c>
      <c r="AP632" s="20">
        <v>6.31</v>
      </c>
      <c r="AS632" s="20">
        <v>317.0</v>
      </c>
      <c r="AT632" s="20" t="s">
        <v>17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BZ632" s="20">
        <v>-15.75</v>
      </c>
      <c r="CA632" s="20">
        <v>71.0</v>
      </c>
      <c r="CI632" s="20">
        <v>-40.04</v>
      </c>
      <c r="CJ632" s="20">
        <v>-50.47</v>
      </c>
      <c r="CO632" s="20">
        <v>-16.19</v>
      </c>
      <c r="CP632" s="20">
        <v>-62.57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P633" s="20">
        <v>-25.56</v>
      </c>
      <c r="Q633" s="20">
        <v>10.13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BZ633" s="20">
        <v>10.58</v>
      </c>
      <c r="CA633" s="20">
        <v>81.1</v>
      </c>
      <c r="CI633" s="20">
        <v>-18.83</v>
      </c>
      <c r="CJ633" s="20">
        <v>-39.75</v>
      </c>
      <c r="CO633" s="20">
        <v>-10.8</v>
      </c>
      <c r="CP633" s="20">
        <v>-51.31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17</v>
      </c>
      <c r="M634" s="20">
        <v>-45.33</v>
      </c>
      <c r="N634" s="20">
        <v>-18.15</v>
      </c>
      <c r="P634" s="20">
        <v>12.22</v>
      </c>
      <c r="Q634" s="20">
        <v>31.35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17</v>
      </c>
      <c r="AO634" s="20">
        <v>117.41</v>
      </c>
      <c r="AP634" s="20">
        <v>-17.76</v>
      </c>
      <c r="AS634" s="20">
        <v>318.0</v>
      </c>
      <c r="AT634" s="20" t="s">
        <v>17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BZ634" s="20">
        <v>-30.13</v>
      </c>
      <c r="CA634" s="20">
        <v>-8.44</v>
      </c>
      <c r="CI634" s="20">
        <v>-48.95</v>
      </c>
      <c r="CJ634" s="20">
        <v>-67.6</v>
      </c>
      <c r="CO634" s="20">
        <v>-3.25</v>
      </c>
      <c r="CP634" s="20">
        <v>-52.28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P635" s="20">
        <v>-6.01</v>
      </c>
      <c r="Q635" s="20">
        <v>-14.37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BZ635" s="20">
        <v>-47.58</v>
      </c>
      <c r="CA635" s="20">
        <v>119.6</v>
      </c>
      <c r="CI635" s="20">
        <v>-37.74</v>
      </c>
      <c r="CJ635" s="20">
        <v>-57.03</v>
      </c>
      <c r="CO635" s="20">
        <v>6.99</v>
      </c>
      <c r="CP635" s="20">
        <v>-45.92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17</v>
      </c>
      <c r="M636" s="20">
        <v>-51.74</v>
      </c>
      <c r="N636" s="20">
        <v>-65.45</v>
      </c>
      <c r="P636" s="20">
        <v>-16.15</v>
      </c>
      <c r="Q636" s="20">
        <v>2.17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17</v>
      </c>
      <c r="AO636" s="20">
        <v>18.3</v>
      </c>
      <c r="AP636" s="20">
        <v>47.5</v>
      </c>
      <c r="AS636" s="20">
        <v>319.0</v>
      </c>
      <c r="AT636" s="20" t="s">
        <v>17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BZ636" s="20">
        <v>-55.47</v>
      </c>
      <c r="CA636" s="20">
        <v>65.44</v>
      </c>
      <c r="CI636" s="20">
        <v>-31.54</v>
      </c>
      <c r="CJ636" s="20">
        <v>-45.24</v>
      </c>
      <c r="CO636" s="20">
        <v>-18.23</v>
      </c>
      <c r="CP636" s="20">
        <v>-63.57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P637" s="20">
        <v>-39.31</v>
      </c>
      <c r="Q637" s="20">
        <v>-74.27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BZ637" s="20">
        <v>-43.14</v>
      </c>
      <c r="CA637" s="20">
        <v>85.61</v>
      </c>
      <c r="CI637" s="20">
        <v>-44.31</v>
      </c>
      <c r="CJ637" s="20">
        <v>-47.24</v>
      </c>
      <c r="CO637" s="20">
        <v>-32.56</v>
      </c>
      <c r="CP637" s="20">
        <v>-48.16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17</v>
      </c>
      <c r="M638" s="20">
        <v>37.28</v>
      </c>
      <c r="N638" s="20">
        <v>48.55</v>
      </c>
      <c r="P638" s="20">
        <v>-20.94</v>
      </c>
      <c r="Q638" s="20">
        <v>-32.77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17</v>
      </c>
      <c r="AO638" s="20">
        <v>-2.14</v>
      </c>
      <c r="AP638" s="20">
        <v>-28.36</v>
      </c>
      <c r="AS638" s="20">
        <v>320.0</v>
      </c>
      <c r="AT638" s="20" t="s">
        <v>17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BZ638" s="20">
        <v>-58.6</v>
      </c>
      <c r="CA638" s="20">
        <v>123.48</v>
      </c>
      <c r="CI638" s="20">
        <v>-44.08</v>
      </c>
      <c r="CJ638" s="20">
        <v>-59.49</v>
      </c>
      <c r="CO638" s="20">
        <v>-10.87</v>
      </c>
      <c r="CP638" s="20">
        <v>-51.76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P639" s="20">
        <v>-25.63</v>
      </c>
      <c r="Q639" s="20">
        <v>-8.61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BZ639" s="20">
        <v>-46.3</v>
      </c>
      <c r="CA639" s="20">
        <v>259.03</v>
      </c>
      <c r="CI639" s="20">
        <v>-40.29</v>
      </c>
      <c r="CJ639" s="20">
        <v>-31.72</v>
      </c>
      <c r="CO639" s="20">
        <v>-20.2</v>
      </c>
      <c r="CP639" s="20">
        <v>-52.24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17</v>
      </c>
      <c r="M640" s="20">
        <v>-51.49</v>
      </c>
      <c r="N640" s="20">
        <v>-14.86</v>
      </c>
      <c r="P640" s="20">
        <v>-34.51</v>
      </c>
      <c r="Q640" s="20">
        <v>-66.91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17</v>
      </c>
      <c r="AO640" s="20">
        <v>21.5</v>
      </c>
      <c r="AP640" s="20">
        <v>20.12</v>
      </c>
      <c r="AS640" s="20">
        <v>321.0</v>
      </c>
      <c r="AT640" s="20" t="s">
        <v>17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BZ640" s="20">
        <v>-41.73</v>
      </c>
      <c r="CA640" s="20">
        <v>109.42</v>
      </c>
      <c r="CI640" s="20">
        <v>-48.83</v>
      </c>
      <c r="CJ640" s="20">
        <v>-33.36</v>
      </c>
      <c r="CO640" s="20">
        <v>22.57</v>
      </c>
      <c r="CP640" s="20">
        <v>-44.94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P641" s="20">
        <v>-17.95</v>
      </c>
      <c r="Q641" s="20">
        <v>0.0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BZ641" s="20">
        <v>-52.24</v>
      </c>
      <c r="CA641" s="20">
        <v>100.7</v>
      </c>
      <c r="CI641" s="20">
        <v>-46.56</v>
      </c>
      <c r="CJ641" s="20">
        <v>-41.96</v>
      </c>
      <c r="CO641" s="20">
        <v>-30.52</v>
      </c>
      <c r="CP641" s="20">
        <v>-57.5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17</v>
      </c>
      <c r="M642" s="20">
        <v>-34.71</v>
      </c>
      <c r="N642" s="20">
        <v>5.14</v>
      </c>
      <c r="P642" s="20">
        <v>-23.95</v>
      </c>
      <c r="Q642" s="20">
        <v>7.22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17</v>
      </c>
      <c r="AO642" s="20">
        <v>5.02</v>
      </c>
      <c r="AP642" s="20">
        <v>-5.84</v>
      </c>
      <c r="AS642" s="20">
        <v>322.0</v>
      </c>
      <c r="AT642" s="20" t="s">
        <v>17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BZ642" s="20">
        <v>-41.04</v>
      </c>
      <c r="CA642" s="20">
        <v>-21.02</v>
      </c>
      <c r="CI642" s="20">
        <v>-54.38</v>
      </c>
      <c r="CJ642" s="20">
        <v>-42.1</v>
      </c>
      <c r="CO642" s="20">
        <v>-19.76</v>
      </c>
      <c r="CP642" s="20">
        <v>-59.76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P643" s="20">
        <v>-14.33</v>
      </c>
      <c r="Q643" s="20">
        <v>-12.72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BZ643" s="20">
        <v>-54.32</v>
      </c>
      <c r="CA643" s="20">
        <v>84.22</v>
      </c>
      <c r="CI643" s="20">
        <v>-37.73</v>
      </c>
      <c r="CJ643" s="20">
        <v>-28.78</v>
      </c>
      <c r="CO643" s="20">
        <v>-2.01</v>
      </c>
      <c r="CP643" s="20">
        <v>-36.06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17</v>
      </c>
      <c r="M644" s="20">
        <v>26.03</v>
      </c>
      <c r="N644" s="20">
        <v>-32.34</v>
      </c>
      <c r="P644" s="20">
        <v>-4.34</v>
      </c>
      <c r="Q644" s="20">
        <v>25.49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17</v>
      </c>
      <c r="AO644" s="20">
        <v>3.41</v>
      </c>
      <c r="AP644" s="20">
        <v>-11.96</v>
      </c>
      <c r="AS644" s="20">
        <v>323.0</v>
      </c>
      <c r="AT644" s="20" t="s">
        <v>17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BZ644" s="20">
        <v>-49.88</v>
      </c>
      <c r="CA644" s="20">
        <v>32.75</v>
      </c>
      <c r="CI644" s="20">
        <v>-35.24</v>
      </c>
      <c r="CJ644" s="20">
        <v>-30.62</v>
      </c>
      <c r="CO644" s="20">
        <v>-9.98</v>
      </c>
      <c r="CP644" s="20">
        <v>-38.03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P645" s="20">
        <v>8.62</v>
      </c>
      <c r="Q645" s="20">
        <v>8.09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BZ645" s="20">
        <v>-62.12</v>
      </c>
      <c r="CA645" s="20">
        <v>97.24</v>
      </c>
      <c r="CI645" s="20">
        <v>-53.04</v>
      </c>
      <c r="CJ645" s="20">
        <v>-57.18</v>
      </c>
      <c r="CO645" s="20">
        <v>4.09</v>
      </c>
      <c r="CP645" s="20">
        <v>-55.46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17</v>
      </c>
      <c r="M646" s="20">
        <v>-26.19</v>
      </c>
      <c r="N646" s="20">
        <v>-3.06</v>
      </c>
      <c r="P646" s="20">
        <v>-29.51</v>
      </c>
      <c r="Q646" s="20">
        <v>22.01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17</v>
      </c>
      <c r="AO646" s="20">
        <v>-11.44</v>
      </c>
      <c r="AP646" s="20">
        <v>-11.26</v>
      </c>
      <c r="AS646" s="20">
        <v>324.0</v>
      </c>
      <c r="AT646" s="20" t="s">
        <v>17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BZ646" s="20">
        <v>-47.86</v>
      </c>
      <c r="CA646" s="20">
        <v>10.39</v>
      </c>
      <c r="CI646" s="20">
        <v>-55.05</v>
      </c>
      <c r="CJ646" s="20">
        <v>-65.66</v>
      </c>
      <c r="CO646" s="20">
        <v>-0.88</v>
      </c>
      <c r="CP646" s="20">
        <v>-44.56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P647" s="20">
        <v>1.7</v>
      </c>
      <c r="Q647" s="20">
        <v>16.26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BZ647" s="20">
        <v>-11.62</v>
      </c>
      <c r="CA647" s="20">
        <v>63.69</v>
      </c>
      <c r="CI647" s="20">
        <v>-58.31</v>
      </c>
      <c r="CJ647" s="20">
        <v>-55.17</v>
      </c>
      <c r="CO647" s="20">
        <v>-27.92</v>
      </c>
      <c r="CP647" s="20">
        <v>-20.58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17</v>
      </c>
      <c r="M648" s="20">
        <v>15.35</v>
      </c>
      <c r="N648" s="20">
        <v>66.06</v>
      </c>
      <c r="P648" s="20">
        <v>13.9</v>
      </c>
      <c r="Q648" s="20">
        <v>162.16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17</v>
      </c>
      <c r="AO648" s="20">
        <v>-58.65</v>
      </c>
      <c r="AP648" s="20">
        <v>-18.7</v>
      </c>
      <c r="AS648" s="20">
        <v>325.0</v>
      </c>
      <c r="AT648" s="20" t="s">
        <v>17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BZ648" s="20">
        <v>-36.05</v>
      </c>
      <c r="CA648" s="20">
        <v>17.16</v>
      </c>
      <c r="CI648" s="20">
        <v>-43.34</v>
      </c>
      <c r="CJ648" s="20">
        <v>-59.89</v>
      </c>
      <c r="CO648" s="20">
        <v>-3.63</v>
      </c>
      <c r="CP648" s="20">
        <v>-44.75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P649" s="20">
        <v>-1.41</v>
      </c>
      <c r="Q649" s="20">
        <v>13.9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BZ649" s="20">
        <v>-35.45</v>
      </c>
      <c r="CA649" s="20">
        <v>94.23</v>
      </c>
      <c r="CI649" s="20">
        <v>-35.94</v>
      </c>
      <c r="CJ649" s="20">
        <v>-52.49</v>
      </c>
      <c r="CO649" s="20">
        <v>-26.16</v>
      </c>
      <c r="CP649" s="20">
        <v>-53.91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17</v>
      </c>
      <c r="M650" s="20">
        <v>-41.24</v>
      </c>
      <c r="N650" s="20">
        <v>2.71</v>
      </c>
      <c r="P650" s="20">
        <v>-9.72</v>
      </c>
      <c r="Q650" s="20">
        <v>37.11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17</v>
      </c>
      <c r="AO650" s="20">
        <v>-28.24</v>
      </c>
      <c r="AP650" s="20">
        <v>-5.85</v>
      </c>
      <c r="AS650" s="20">
        <v>326.0</v>
      </c>
      <c r="AT650" s="20" t="s">
        <v>17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BZ650" s="20">
        <v>-51.77</v>
      </c>
      <c r="CA650" s="20">
        <v>22.92</v>
      </c>
      <c r="CI650" s="20">
        <v>-27.43</v>
      </c>
      <c r="CJ650" s="20">
        <v>-34.4</v>
      </c>
      <c r="CO650" s="20">
        <v>-3.48</v>
      </c>
      <c r="CP650" s="20">
        <v>-47.73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P651" s="20">
        <v>-28.43</v>
      </c>
      <c r="Q651" s="20">
        <v>-20.49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BZ651" s="20">
        <v>-24.93</v>
      </c>
      <c r="CA651" s="20">
        <v>54.92</v>
      </c>
      <c r="CI651" s="20">
        <v>21.09</v>
      </c>
      <c r="CJ651" s="20">
        <v>-40.89</v>
      </c>
      <c r="CO651" s="20">
        <v>-29.25</v>
      </c>
      <c r="CP651" s="20">
        <v>-30.76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17</v>
      </c>
      <c r="M652" s="20">
        <v>-55.0</v>
      </c>
      <c r="N652" s="20">
        <v>-3.86</v>
      </c>
      <c r="P652" s="20">
        <v>-50.0</v>
      </c>
      <c r="Q652" s="20">
        <v>-24.4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17</v>
      </c>
      <c r="AO652" s="20">
        <v>26.55</v>
      </c>
      <c r="AP652" s="20">
        <v>-3.32</v>
      </c>
      <c r="AS652" s="20">
        <v>327.0</v>
      </c>
      <c r="AT652" s="20" t="s">
        <v>17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BZ652" s="20">
        <v>-12.89</v>
      </c>
      <c r="CA652" s="20">
        <v>90.24</v>
      </c>
      <c r="CI652" s="20">
        <v>-35.6</v>
      </c>
      <c r="CJ652" s="20">
        <v>-57.13</v>
      </c>
      <c r="CO652" s="20">
        <v>16.06</v>
      </c>
      <c r="CP652" s="20">
        <v>-29.47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P653" s="20">
        <v>4.59</v>
      </c>
      <c r="Q653" s="20">
        <v>63.58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BZ653" s="20">
        <v>-43.02</v>
      </c>
      <c r="CA653" s="20">
        <v>85.21</v>
      </c>
      <c r="CI653" s="20">
        <v>-48.67</v>
      </c>
      <c r="CJ653" s="20">
        <v>-42.29</v>
      </c>
      <c r="CO653" s="20">
        <v>-51.15</v>
      </c>
      <c r="CP653" s="20">
        <v>-53.45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17</v>
      </c>
      <c r="M654" s="20">
        <v>-27.24</v>
      </c>
      <c r="N654" s="20">
        <v>-38.36</v>
      </c>
      <c r="P654" s="20">
        <v>18.42</v>
      </c>
      <c r="Q654" s="20">
        <v>144.96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17</v>
      </c>
      <c r="AO654" s="20">
        <v>-17.87</v>
      </c>
      <c r="AP654" s="20">
        <v>-17.83</v>
      </c>
      <c r="AS654" s="20">
        <v>328.0</v>
      </c>
      <c r="AT654" s="20" t="s">
        <v>17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BZ654" s="20">
        <v>-44.13</v>
      </c>
      <c r="CA654" s="20">
        <v>27.76</v>
      </c>
      <c r="CI654" s="20">
        <v>-13.61</v>
      </c>
      <c r="CJ654" s="20">
        <v>-41.75</v>
      </c>
      <c r="CO654" s="20">
        <v>0.58</v>
      </c>
      <c r="CP654" s="20">
        <v>-35.62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P655" s="20">
        <v>-39.84</v>
      </c>
      <c r="Q655" s="20">
        <v>-48.19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BZ655" s="20">
        <v>-41.21</v>
      </c>
      <c r="CA655" s="20">
        <v>-1.21</v>
      </c>
      <c r="CI655" s="20">
        <v>-49.62</v>
      </c>
      <c r="CJ655" s="20">
        <v>-60.03</v>
      </c>
      <c r="CO655" s="20">
        <v>16.44</v>
      </c>
      <c r="CP655" s="20">
        <v>-43.74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17</v>
      </c>
      <c r="M656" s="20">
        <v>1.28</v>
      </c>
      <c r="N656" s="20">
        <v>-52.89</v>
      </c>
      <c r="P656" s="20">
        <v>-71.38</v>
      </c>
      <c r="Q656" s="20">
        <v>-63.32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17</v>
      </c>
      <c r="AO656" s="20">
        <v>-3.17</v>
      </c>
      <c r="AP656" s="20">
        <v>1.71</v>
      </c>
      <c r="AS656" s="20">
        <v>329.0</v>
      </c>
      <c r="AT656" s="20" t="s">
        <v>17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BZ656" s="20">
        <v>-33.96</v>
      </c>
      <c r="CA656" s="20">
        <v>29.81</v>
      </c>
      <c r="CI656" s="20">
        <v>-51.99</v>
      </c>
      <c r="CJ656" s="20">
        <v>-54.0</v>
      </c>
      <c r="CO656" s="20">
        <v>71.75</v>
      </c>
      <c r="CP656" s="20">
        <v>-35.07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P657" s="20">
        <v>-21.1</v>
      </c>
      <c r="Q657" s="20">
        <v>9.07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BZ657" s="20">
        <v>-44.93</v>
      </c>
      <c r="CA657" s="20">
        <v>12.82</v>
      </c>
      <c r="CI657" s="20">
        <v>-50.09</v>
      </c>
      <c r="CJ657" s="20">
        <v>-64.16</v>
      </c>
      <c r="CO657" s="20">
        <v>68.43</v>
      </c>
      <c r="CP657" s="20">
        <v>-16.29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17</v>
      </c>
      <c r="M658" s="20">
        <v>6.86</v>
      </c>
      <c r="N658" s="20">
        <v>-20.64</v>
      </c>
      <c r="P658" s="20">
        <v>-8.97</v>
      </c>
      <c r="Q658" s="20">
        <v>-20.27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17</v>
      </c>
      <c r="AO658" s="20">
        <v>0.63</v>
      </c>
      <c r="AP658" s="20">
        <v>-4.3</v>
      </c>
      <c r="AS658" s="20">
        <v>330.0</v>
      </c>
      <c r="AT658" s="20" t="s">
        <v>17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BZ658" s="20">
        <v>-49.35</v>
      </c>
      <c r="CA658" s="20">
        <v>0.45</v>
      </c>
      <c r="CI658" s="20">
        <v>-52.14</v>
      </c>
      <c r="CJ658" s="20">
        <v>-63.97</v>
      </c>
      <c r="CO658" s="20">
        <v>10.47</v>
      </c>
      <c r="CP658" s="20">
        <v>-46.14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P659" s="20">
        <v>0.88</v>
      </c>
      <c r="Q659" s="20">
        <v>39.16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BZ659" s="20">
        <v>13.92</v>
      </c>
      <c r="CA659" s="20">
        <v>113.7</v>
      </c>
      <c r="CI659" s="20">
        <v>-49.07</v>
      </c>
      <c r="CJ659" s="20">
        <v>-63.38</v>
      </c>
      <c r="CO659" s="20">
        <v>23.29</v>
      </c>
      <c r="CP659" s="20">
        <v>-46.31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17</v>
      </c>
      <c r="M660" s="20">
        <v>77.14</v>
      </c>
      <c r="N660" s="20">
        <v>189.5</v>
      </c>
      <c r="P660" s="20">
        <v>44.11</v>
      </c>
      <c r="Q660" s="20">
        <v>38.61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17</v>
      </c>
      <c r="AO660" s="20">
        <v>-13.8</v>
      </c>
      <c r="AP660" s="20">
        <v>48.5</v>
      </c>
      <c r="AS660" s="20">
        <v>331.0</v>
      </c>
      <c r="AT660" s="20" t="s">
        <v>17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BZ660" s="20">
        <v>50.94</v>
      </c>
      <c r="CA660" s="20">
        <v>129.64</v>
      </c>
      <c r="CI660" s="20">
        <v>-43.25</v>
      </c>
      <c r="CJ660" s="20">
        <v>-62.06</v>
      </c>
      <c r="CO660" s="20">
        <v>15.79</v>
      </c>
      <c r="CP660" s="20">
        <v>-47.57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P661" s="20">
        <v>-2.61</v>
      </c>
      <c r="Q661" s="20">
        <v>-7.43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BZ661" s="20">
        <v>-51.51</v>
      </c>
      <c r="CA661" s="20">
        <v>197.61</v>
      </c>
      <c r="CI661" s="20">
        <v>-40.7</v>
      </c>
      <c r="CJ661" s="20">
        <v>-59.95</v>
      </c>
      <c r="CO661" s="20">
        <v>-4.19</v>
      </c>
      <c r="CP661" s="20">
        <v>-34.47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17</v>
      </c>
      <c r="M662" s="20">
        <v>-68.14</v>
      </c>
      <c r="N662" s="20">
        <v>-46.8</v>
      </c>
      <c r="P662" s="20">
        <v>-23.65</v>
      </c>
      <c r="Q662" s="20">
        <v>17.21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17</v>
      </c>
      <c r="AO662" s="20">
        <v>1.23</v>
      </c>
      <c r="AP662" s="20">
        <v>-46.61</v>
      </c>
      <c r="AS662" s="20">
        <v>332.0</v>
      </c>
      <c r="AT662" s="20" t="s">
        <v>17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BZ662" s="20">
        <v>-47.62</v>
      </c>
      <c r="CA662" s="20">
        <v>78.34</v>
      </c>
      <c r="CI662" s="20">
        <v>-52.73</v>
      </c>
      <c r="CJ662" s="20">
        <v>-64.59</v>
      </c>
      <c r="CO662" s="20">
        <v>-8.59</v>
      </c>
      <c r="CP662" s="20">
        <v>18.76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P663" s="20">
        <v>-29.65</v>
      </c>
      <c r="Q663" s="20">
        <v>15.71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BZ663" s="20">
        <v>9.23</v>
      </c>
      <c r="CA663" s="20">
        <v>114.53</v>
      </c>
      <c r="CI663" s="20">
        <v>-46.42</v>
      </c>
      <c r="CJ663" s="20">
        <v>-53.67</v>
      </c>
      <c r="CO663" s="20">
        <v>20.56</v>
      </c>
      <c r="CP663" s="20">
        <v>-28.76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17</v>
      </c>
      <c r="M664" s="20">
        <v>-17.9</v>
      </c>
      <c r="N664" s="20">
        <v>19.82</v>
      </c>
      <c r="P664" s="20">
        <v>28.57</v>
      </c>
      <c r="Q664" s="20">
        <v>87.07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17</v>
      </c>
      <c r="AO664" s="20">
        <v>-12.21</v>
      </c>
      <c r="AP664" s="20">
        <v>18.86</v>
      </c>
      <c r="AS664" s="20">
        <v>333.0</v>
      </c>
      <c r="AT664" s="20" t="s">
        <v>17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BZ664" s="20">
        <v>-22.42</v>
      </c>
      <c r="CA664" s="20">
        <v>65.23</v>
      </c>
      <c r="CI664" s="20">
        <v>-40.62</v>
      </c>
      <c r="CJ664" s="20">
        <v>-22.97</v>
      </c>
      <c r="CO664" s="20">
        <v>-22.24</v>
      </c>
      <c r="CP664" s="20">
        <v>-62.91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P665" s="20">
        <v>-6.24</v>
      </c>
      <c r="Q665" s="20">
        <v>5.13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BZ665" s="20">
        <v>-32.41</v>
      </c>
      <c r="CA665" s="20">
        <v>63.13</v>
      </c>
      <c r="CI665" s="20">
        <v>-38.21</v>
      </c>
      <c r="CJ665" s="20">
        <v>-50.05</v>
      </c>
      <c r="CO665" s="20">
        <v>19.48</v>
      </c>
      <c r="CP665" s="20">
        <v>-55.2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17</v>
      </c>
      <c r="M666" s="20">
        <v>-15.86</v>
      </c>
      <c r="N666" s="20">
        <v>1.1</v>
      </c>
      <c r="P666" s="20">
        <v>-14.31</v>
      </c>
      <c r="Q666" s="20">
        <v>19.68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17</v>
      </c>
      <c r="AO666" s="20">
        <v>-54.48</v>
      </c>
      <c r="AP666" s="20">
        <v>-41.93</v>
      </c>
      <c r="AS666" s="20">
        <v>334.0</v>
      </c>
      <c r="AT666" s="20" t="s">
        <v>17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BZ666" s="20">
        <v>-27.22</v>
      </c>
      <c r="CA666" s="20">
        <v>55.33</v>
      </c>
      <c r="CI666" s="20">
        <v>-48.03</v>
      </c>
      <c r="CJ666" s="20">
        <v>-48.44</v>
      </c>
      <c r="CO666" s="20">
        <v>-6.41</v>
      </c>
      <c r="CP666" s="20">
        <v>-42.54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P667" s="20">
        <v>-27.49</v>
      </c>
      <c r="Q667" s="20">
        <v>16.2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BZ667" s="20">
        <v>-17.38</v>
      </c>
      <c r="CA667" s="20">
        <v>41.72</v>
      </c>
      <c r="CI667" s="20">
        <v>-32.67</v>
      </c>
      <c r="CJ667" s="20">
        <v>-45.29</v>
      </c>
      <c r="CO667" s="20">
        <v>-16.75</v>
      </c>
      <c r="CP667" s="20">
        <v>-65.6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17</v>
      </c>
      <c r="M668" s="20">
        <v>-41.06</v>
      </c>
      <c r="N668" s="20">
        <v>-33.76</v>
      </c>
      <c r="P668" s="20">
        <v>-11.71</v>
      </c>
      <c r="Q668" s="20">
        <v>-62.64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17</v>
      </c>
      <c r="AO668" s="20">
        <v>14.11</v>
      </c>
      <c r="AP668" s="20">
        <v>-42.82</v>
      </c>
      <c r="AS668" s="20">
        <v>335.0</v>
      </c>
      <c r="AT668" s="20" t="s">
        <v>17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BZ668" s="20">
        <v>-41.96</v>
      </c>
      <c r="CA668" s="20">
        <v>26.6</v>
      </c>
      <c r="CI668" s="20">
        <v>-38.2</v>
      </c>
      <c r="CJ668" s="20">
        <v>-27.09</v>
      </c>
      <c r="CO668" s="20">
        <v>1.8</v>
      </c>
      <c r="CP668" s="20">
        <v>-43.65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P669" s="20">
        <v>-41.81</v>
      </c>
      <c r="Q669" s="20">
        <v>-39.46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BZ669" s="20">
        <v>36.42</v>
      </c>
      <c r="CA669" s="20">
        <v>178.46</v>
      </c>
      <c r="CI669" s="20">
        <v>-58.17</v>
      </c>
      <c r="CJ669" s="20">
        <v>-65.84</v>
      </c>
      <c r="CO669" s="20">
        <v>-35.82</v>
      </c>
      <c r="CP669" s="20">
        <v>-43.93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17</v>
      </c>
      <c r="M670" s="20">
        <v>49.2</v>
      </c>
      <c r="N670" s="20">
        <v>38.16</v>
      </c>
      <c r="P670" s="20">
        <v>-18.37</v>
      </c>
      <c r="Q670" s="20">
        <v>-59.0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17</v>
      </c>
      <c r="AO670" s="20">
        <v>-11.22</v>
      </c>
      <c r="AP670" s="20">
        <v>40.2</v>
      </c>
      <c r="AS670" s="20">
        <v>336.0</v>
      </c>
      <c r="AT670" s="20" t="s">
        <v>17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BZ670" s="20">
        <v>-61.09</v>
      </c>
      <c r="CA670" s="20">
        <v>49.76</v>
      </c>
      <c r="CI670" s="20">
        <v>-43.48</v>
      </c>
      <c r="CJ670" s="20">
        <v>-57.43</v>
      </c>
      <c r="CO670" s="20">
        <v>12.75</v>
      </c>
      <c r="CP670" s="20">
        <v>-48.56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P671" s="20">
        <v>-6.35</v>
      </c>
      <c r="Q671" s="20">
        <v>0.44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BZ671" s="20">
        <v>-20.85</v>
      </c>
      <c r="CA671" s="20">
        <v>41.65</v>
      </c>
      <c r="CI671" s="20">
        <v>-51.74</v>
      </c>
      <c r="CJ671" s="20">
        <v>-51.43</v>
      </c>
      <c r="CO671" s="20">
        <v>-38.28</v>
      </c>
      <c r="CP671" s="20">
        <v>-36.0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17</v>
      </c>
      <c r="M672" s="20">
        <v>-22.2</v>
      </c>
      <c r="N672" s="20">
        <v>-17.73</v>
      </c>
      <c r="P672" s="20">
        <v>19.33</v>
      </c>
      <c r="Q672" s="20">
        <v>17.85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17</v>
      </c>
      <c r="AO672" s="20">
        <v>-30.43</v>
      </c>
      <c r="AP672" s="20">
        <v>17.75</v>
      </c>
      <c r="AS672" s="20">
        <v>337.0</v>
      </c>
      <c r="AT672" s="20" t="s">
        <v>17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BZ672" s="20">
        <v>-33.07</v>
      </c>
      <c r="CA672" s="20">
        <v>-0.49</v>
      </c>
      <c r="CI672" s="20">
        <v>-62.51</v>
      </c>
      <c r="CJ672" s="20">
        <v>-59.42</v>
      </c>
      <c r="CO672" s="20">
        <v>-32.51</v>
      </c>
      <c r="CP672" s="20">
        <v>-39.47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P673" s="20">
        <v>-12.76</v>
      </c>
      <c r="Q673" s="20">
        <v>2.02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BZ673" s="20">
        <v>-42.88</v>
      </c>
      <c r="CA673" s="20">
        <v>50.5</v>
      </c>
      <c r="CI673" s="20">
        <v>-27.31</v>
      </c>
      <c r="CJ673" s="20">
        <v>-52.22</v>
      </c>
      <c r="CO673" s="20">
        <v>-11.46</v>
      </c>
      <c r="CP673" s="20">
        <v>-46.2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17</v>
      </c>
      <c r="M674" s="20">
        <v>-30.81</v>
      </c>
      <c r="N674" s="20">
        <v>11.11</v>
      </c>
      <c r="P674" s="20">
        <v>31.96</v>
      </c>
      <c r="Q674" s="20">
        <v>17.55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17</v>
      </c>
      <c r="AO674" s="20">
        <v>-32.54</v>
      </c>
      <c r="AP674" s="20">
        <v>48.58</v>
      </c>
      <c r="AS674" s="20">
        <v>338.0</v>
      </c>
      <c r="AT674" s="20" t="s">
        <v>17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BZ674" s="20">
        <v>-21.17</v>
      </c>
      <c r="CA674" s="20">
        <v>277.56</v>
      </c>
      <c r="CI674" s="20">
        <v>-41.67</v>
      </c>
      <c r="CJ674" s="20">
        <v>-48.59</v>
      </c>
      <c r="CO674" s="20">
        <v>-53.94</v>
      </c>
      <c r="CP674" s="20">
        <v>-27.1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P675" s="20">
        <v>8.96</v>
      </c>
      <c r="Q675" s="20">
        <v>4.72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  <c r="BZ675" s="20">
        <v>-43.08</v>
      </c>
      <c r="CA675" s="20">
        <v>-0.61</v>
      </c>
      <c r="CO675" s="20">
        <v>-23.81</v>
      </c>
      <c r="CP675" s="20">
        <v>-38.9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17</v>
      </c>
      <c r="M676" s="20">
        <v>-2.71</v>
      </c>
      <c r="N676" s="20">
        <v>-15.22</v>
      </c>
      <c r="P676" s="20">
        <v>-61.53</v>
      </c>
      <c r="Q676" s="20">
        <v>-63.6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17</v>
      </c>
      <c r="AO676" s="20">
        <v>-10.62</v>
      </c>
      <c r="AP676" s="20">
        <v>2.51</v>
      </c>
      <c r="AS676" s="20">
        <v>340.0</v>
      </c>
      <c r="AT676" s="20" t="s">
        <v>17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  <c r="BZ676" s="20">
        <v>-37.44</v>
      </c>
      <c r="CA676" s="20">
        <v>-36.31</v>
      </c>
      <c r="CO676" s="20">
        <v>-31.24</v>
      </c>
      <c r="CP676" s="20">
        <v>-11.77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P677" s="20">
        <v>-19.77</v>
      </c>
      <c r="Q677" s="20">
        <v>21.06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  <c r="BZ677" s="20">
        <v>-23.99</v>
      </c>
      <c r="CA677" s="20">
        <v>1.87</v>
      </c>
      <c r="CO677" s="20">
        <v>-22.72</v>
      </c>
      <c r="CP677" s="20">
        <v>-52.68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17</v>
      </c>
      <c r="M678" s="20">
        <v>-9.52</v>
      </c>
      <c r="N678" s="20">
        <v>-5.51</v>
      </c>
      <c r="P678" s="20">
        <v>-4.47</v>
      </c>
      <c r="Q678" s="20">
        <v>22.87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17</v>
      </c>
      <c r="AO678" s="20">
        <v>-21.92</v>
      </c>
      <c r="AP678" s="20">
        <v>-36.98</v>
      </c>
      <c r="AS678" s="20">
        <v>341.0</v>
      </c>
      <c r="AT678" s="20" t="s">
        <v>17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  <c r="BZ678" s="20">
        <v>-29.63</v>
      </c>
      <c r="CA678" s="20">
        <v>22.75</v>
      </c>
      <c r="CO678" s="20">
        <v>66.01</v>
      </c>
      <c r="CP678" s="20">
        <v>6.98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P679" s="20">
        <v>-10.86</v>
      </c>
      <c r="Q679" s="20">
        <v>-18.37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  <c r="BZ679" s="20">
        <v>-2.86</v>
      </c>
      <c r="CA679" s="20">
        <v>105.73</v>
      </c>
      <c r="CO679" s="20">
        <v>-14.66</v>
      </c>
      <c r="CP679" s="20">
        <v>-39.81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17</v>
      </c>
      <c r="M680" s="20">
        <v>4.6</v>
      </c>
      <c r="N680" s="20">
        <v>11.55</v>
      </c>
      <c r="P680" s="20">
        <v>-15.45</v>
      </c>
      <c r="Q680" s="20">
        <v>-8.36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17</v>
      </c>
      <c r="AO680" s="20">
        <v>12.32</v>
      </c>
      <c r="AP680" s="20">
        <v>52.93</v>
      </c>
      <c r="AS680" s="20">
        <v>342.0</v>
      </c>
      <c r="AT680" s="20" t="s">
        <v>17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  <c r="BZ680" s="20">
        <v>-29.0</v>
      </c>
      <c r="CA680" s="20">
        <v>-28.65</v>
      </c>
      <c r="CO680" s="20">
        <v>15.69</v>
      </c>
      <c r="CP680" s="20">
        <v>-30.64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P681" s="20">
        <v>-27.74</v>
      </c>
      <c r="Q681" s="20">
        <v>-19.77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  <c r="BZ681" s="20">
        <v>-34.61</v>
      </c>
      <c r="CA681" s="20">
        <v>40.84</v>
      </c>
      <c r="CO681" s="20">
        <v>23.35</v>
      </c>
      <c r="CP681" s="20">
        <v>-50.12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17</v>
      </c>
      <c r="M682" s="20">
        <v>-32.93</v>
      </c>
      <c r="N682" s="20">
        <v>-16.56</v>
      </c>
      <c r="P682" s="20">
        <v>-35.78</v>
      </c>
      <c r="Q682" s="20">
        <v>-25.79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17</v>
      </c>
      <c r="AO682" s="20">
        <v>-28.39</v>
      </c>
      <c r="AP682" s="20">
        <v>-17.37</v>
      </c>
      <c r="AS682" s="20">
        <v>343.0</v>
      </c>
      <c r="AT682" s="20" t="s">
        <v>17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  <c r="BZ682" s="20">
        <v>-52.82</v>
      </c>
      <c r="CA682" s="20">
        <v>70.57</v>
      </c>
      <c r="CO682" s="20">
        <v>10.93</v>
      </c>
      <c r="CP682" s="20">
        <v>-7.88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P683" s="20">
        <v>-25.84</v>
      </c>
      <c r="Q683" s="20">
        <v>-10.65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  <c r="BZ683" s="20">
        <v>-53.47</v>
      </c>
      <c r="CA683" s="20">
        <v>129.22</v>
      </c>
      <c r="CO683" s="20">
        <v>-23.9</v>
      </c>
      <c r="CP683" s="20">
        <v>-58.15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17</v>
      </c>
      <c r="M684" s="20">
        <v>-57.97</v>
      </c>
      <c r="N684" s="20">
        <v>-45.44</v>
      </c>
      <c r="P684" s="20">
        <v>5.12</v>
      </c>
      <c r="Q684" s="20">
        <v>-38.16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17</v>
      </c>
      <c r="AO684" s="20">
        <v>14.05</v>
      </c>
      <c r="AP684" s="20">
        <v>11.21</v>
      </c>
      <c r="AS684" s="20">
        <v>344.0</v>
      </c>
      <c r="AT684" s="20" t="s">
        <v>17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  <c r="BZ684" s="20">
        <v>-34.07</v>
      </c>
      <c r="CA684" s="20">
        <v>82.8</v>
      </c>
      <c r="CO684" s="20">
        <v>-1.17</v>
      </c>
      <c r="CP684" s="20">
        <v>-58.91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P685" s="20">
        <v>29.63</v>
      </c>
      <c r="Q685" s="20">
        <v>13.01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  <c r="BZ685" s="20">
        <v>-50.44</v>
      </c>
      <c r="CA685" s="20">
        <v>77.4</v>
      </c>
      <c r="CO685" s="20">
        <v>-21.9</v>
      </c>
      <c r="CP685" s="20">
        <v>-43.02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17</v>
      </c>
      <c r="M686" s="20">
        <v>-40.96</v>
      </c>
      <c r="N686" s="20">
        <v>41.63</v>
      </c>
      <c r="P686" s="20">
        <v>25.72</v>
      </c>
      <c r="Q686" s="20">
        <v>-49.26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17</v>
      </c>
      <c r="AO686" s="20">
        <v>-12.19</v>
      </c>
      <c r="AP686" s="20">
        <v>24.74</v>
      </c>
      <c r="AS686" s="20">
        <v>345.0</v>
      </c>
      <c r="AT686" s="20" t="s">
        <v>17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  <c r="BZ686" s="20">
        <v>-33.28</v>
      </c>
      <c r="CA686" s="20">
        <v>73.72</v>
      </c>
      <c r="CO686" s="20">
        <v>35.97</v>
      </c>
      <c r="CP686" s="20">
        <v>-51.68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P687" s="20">
        <v>9.65</v>
      </c>
      <c r="Q687" s="20">
        <v>30.97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  <c r="BZ687" s="20">
        <v>-64.81</v>
      </c>
      <c r="CA687" s="20">
        <v>221.84</v>
      </c>
      <c r="CO687" s="20">
        <v>-1.69</v>
      </c>
      <c r="CP687" s="20">
        <v>-44.62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17</v>
      </c>
      <c r="M688" s="20">
        <v>-35.41</v>
      </c>
      <c r="N688" s="20">
        <v>16.84</v>
      </c>
      <c r="P688" s="20">
        <v>-39.58</v>
      </c>
      <c r="Q688" s="20">
        <v>-21.13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17</v>
      </c>
      <c r="AO688" s="20">
        <v>-19.44</v>
      </c>
      <c r="AP688" s="20">
        <v>-0.31</v>
      </c>
      <c r="AS688" s="20">
        <v>346.0</v>
      </c>
      <c r="AT688" s="20" t="s">
        <v>17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  <c r="BZ688" s="20">
        <v>-53.83</v>
      </c>
      <c r="CA688" s="20">
        <v>118.11</v>
      </c>
      <c r="CO688" s="20">
        <v>-8.72</v>
      </c>
      <c r="CP688" s="20">
        <v>-53.35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P689" s="20">
        <v>19.51</v>
      </c>
      <c r="Q689" s="20">
        <v>1.74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  <c r="BZ689" s="20">
        <v>-64.36</v>
      </c>
      <c r="CA689" s="20">
        <v>64.45</v>
      </c>
      <c r="CO689" s="20">
        <v>-20.51</v>
      </c>
      <c r="CP689" s="20">
        <v>-59.98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17</v>
      </c>
      <c r="M690" s="20">
        <v>-47.2</v>
      </c>
      <c r="N690" s="20">
        <v>-35.02</v>
      </c>
      <c r="P690" s="20">
        <v>-6.11</v>
      </c>
      <c r="Q690" s="20">
        <v>-2.22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17</v>
      </c>
      <c r="AO690" s="20">
        <v>2.56</v>
      </c>
      <c r="AP690" s="20">
        <v>1.53</v>
      </c>
      <c r="AS690" s="20">
        <v>347.0</v>
      </c>
      <c r="AT690" s="20" t="s">
        <v>17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  <c r="BZ690" s="20">
        <v>-31.02</v>
      </c>
      <c r="CA690" s="20">
        <v>-14.02</v>
      </c>
      <c r="CO690" s="20">
        <v>26.76</v>
      </c>
      <c r="CP690" s="20">
        <v>-34.92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P691" s="20">
        <v>-8.04</v>
      </c>
      <c r="Q691" s="20">
        <v>-4.18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  <c r="BZ691" s="20">
        <v>-35.43</v>
      </c>
      <c r="CA691" s="20">
        <v>10.54</v>
      </c>
      <c r="CO691" s="20">
        <v>-22.74</v>
      </c>
      <c r="CP691" s="20">
        <v>-47.75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17</v>
      </c>
      <c r="M692" s="20">
        <v>-38.43</v>
      </c>
      <c r="N692" s="20">
        <v>-51.25</v>
      </c>
      <c r="P692" s="20">
        <v>-17.28</v>
      </c>
      <c r="Q692" s="20">
        <v>1.88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17</v>
      </c>
      <c r="AO692" s="20">
        <v>-21.88</v>
      </c>
      <c r="AP692" s="20">
        <v>-33.06</v>
      </c>
      <c r="AS692" s="20">
        <v>348.0</v>
      </c>
      <c r="AT692" s="20" t="s">
        <v>17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  <c r="BZ692" s="20">
        <v>-36.8</v>
      </c>
      <c r="CA692" s="20">
        <v>58.45</v>
      </c>
      <c r="CO692" s="20">
        <v>-20.37</v>
      </c>
      <c r="CP692" s="20">
        <v>-42.66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P693" s="20">
        <v>3.19</v>
      </c>
      <c r="Q693" s="20">
        <v>26.99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  <c r="BZ693" s="20">
        <v>-52.46</v>
      </c>
      <c r="CA693" s="20">
        <v>67.52</v>
      </c>
      <c r="CO693" s="20">
        <v>22.18</v>
      </c>
      <c r="CP693" s="20">
        <v>-24.58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17</v>
      </c>
      <c r="M694" s="20">
        <v>-37.76</v>
      </c>
      <c r="N694" s="20">
        <v>-10.65</v>
      </c>
      <c r="P694" s="20">
        <v>-1.56</v>
      </c>
      <c r="Q694" s="20">
        <v>38.82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17</v>
      </c>
      <c r="AO694" s="20">
        <v>-22.2</v>
      </c>
      <c r="AP694" s="20">
        <v>-12.69</v>
      </c>
      <c r="AS694" s="20">
        <v>349.0</v>
      </c>
      <c r="AT694" s="20" t="s">
        <v>17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  <c r="BZ694" s="20">
        <v>-67.54</v>
      </c>
      <c r="CA694" s="20">
        <v>12.96</v>
      </c>
      <c r="CO694" s="20">
        <v>3.87</v>
      </c>
      <c r="CP694" s="20">
        <v>-29.19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P695" s="20">
        <v>-30.65</v>
      </c>
      <c r="Q695" s="20">
        <v>15.79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  <c r="BZ695" s="20">
        <v>-44.18</v>
      </c>
      <c r="CA695" s="20">
        <v>41.99</v>
      </c>
      <c r="CO695" s="20">
        <v>-14.42</v>
      </c>
      <c r="CP695" s="20">
        <v>-62.72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17</v>
      </c>
      <c r="M696" s="20">
        <v>106.98</v>
      </c>
      <c r="N696" s="20">
        <v>30.7</v>
      </c>
      <c r="P696" s="20">
        <v>-9.21</v>
      </c>
      <c r="Q696" s="20">
        <v>77.6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17</v>
      </c>
      <c r="AO696" s="20">
        <v>-7.31</v>
      </c>
      <c r="AP696" s="20">
        <v>8.05</v>
      </c>
      <c r="AS696" s="20">
        <v>350.0</v>
      </c>
      <c r="AT696" s="20" t="s">
        <v>17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  <c r="BZ696" s="20">
        <v>-45.67</v>
      </c>
      <c r="CA696" s="20">
        <v>61.84</v>
      </c>
      <c r="CO696" s="20">
        <v>43.93</v>
      </c>
      <c r="CP696" s="20">
        <v>-53.02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P697" s="20">
        <v>-37.47</v>
      </c>
      <c r="Q697" s="20">
        <v>-43.51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  <c r="BZ697" s="20">
        <v>-53.5</v>
      </c>
      <c r="CA697" s="20">
        <v>99.5</v>
      </c>
      <c r="CO697" s="20">
        <v>16.72</v>
      </c>
      <c r="CP697" s="20">
        <v>-47.29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17</v>
      </c>
      <c r="M698" s="20">
        <v>-44.11</v>
      </c>
      <c r="N698" s="20">
        <v>-3.59</v>
      </c>
      <c r="P698" s="20">
        <v>6.41</v>
      </c>
      <c r="Q698" s="20">
        <v>9.95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17</v>
      </c>
      <c r="AO698" s="20">
        <v>-30.95</v>
      </c>
      <c r="AP698" s="20">
        <v>-12.83</v>
      </c>
      <c r="AS698" s="20">
        <v>351.0</v>
      </c>
      <c r="AT698" s="20" t="s">
        <v>17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  <c r="BZ698" s="20">
        <v>-24.5</v>
      </c>
      <c r="CA698" s="20">
        <v>-15.28</v>
      </c>
      <c r="CO698" s="20">
        <v>10.93</v>
      </c>
      <c r="CP698" s="20">
        <v>-41.37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P699" s="20">
        <v>-56.89</v>
      </c>
      <c r="Q699" s="20">
        <v>-48.54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  <c r="BZ699" s="20">
        <v>-29.07</v>
      </c>
      <c r="CA699" s="20">
        <v>147.81</v>
      </c>
      <c r="CO699" s="20">
        <v>-22.25</v>
      </c>
      <c r="CP699" s="20">
        <v>-53.7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17</v>
      </c>
      <c r="M700" s="20">
        <v>-39.31</v>
      </c>
      <c r="N700" s="20">
        <v>-11.94</v>
      </c>
      <c r="P700" s="20">
        <v>-80.96</v>
      </c>
      <c r="Q700" s="20">
        <v>-84.27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17</v>
      </c>
      <c r="AO700" s="20">
        <v>35.69</v>
      </c>
      <c r="AP700" s="20">
        <v>-10.76</v>
      </c>
      <c r="AS700" s="20">
        <v>352.0</v>
      </c>
      <c r="AT700" s="20" t="s">
        <v>17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  <c r="BZ700" s="20">
        <v>-51.54</v>
      </c>
      <c r="CA700" s="20">
        <v>67.15</v>
      </c>
      <c r="CO700" s="20">
        <v>32.83</v>
      </c>
      <c r="CP700" s="20">
        <v>-35.85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P701" s="20">
        <v>-36.68</v>
      </c>
      <c r="Q701" s="20">
        <v>-22.15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  <c r="BZ701" s="20">
        <v>-54.03</v>
      </c>
      <c r="CA701" s="20">
        <v>57.37</v>
      </c>
      <c r="CO701" s="20">
        <v>7.31</v>
      </c>
      <c r="CP701" s="20">
        <v>-57.41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17</v>
      </c>
      <c r="M702" s="20">
        <v>-6.95</v>
      </c>
      <c r="N702" s="20">
        <v>6.68</v>
      </c>
      <c r="P702" s="20">
        <v>-20.23</v>
      </c>
      <c r="Q702" s="20">
        <v>10.63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17</v>
      </c>
      <c r="AO702" s="20">
        <v>-14.98</v>
      </c>
      <c r="AP702" s="20">
        <v>-6.78</v>
      </c>
      <c r="AS702" s="20">
        <v>353.0</v>
      </c>
      <c r="AT702" s="20" t="s">
        <v>17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  <c r="BZ702" s="20">
        <v>-22.08</v>
      </c>
      <c r="CA702" s="20">
        <v>-19.11</v>
      </c>
      <c r="CO702" s="20">
        <v>28.06</v>
      </c>
      <c r="CP702" s="20">
        <v>-41.75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P703" s="20">
        <v>21.51</v>
      </c>
      <c r="Q703" s="20">
        <v>3.42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  <c r="BZ703" s="20">
        <v>2.64</v>
      </c>
      <c r="CA703" s="20">
        <v>137.74</v>
      </c>
      <c r="CO703" s="20">
        <v>67.59</v>
      </c>
      <c r="CP703" s="20">
        <v>-42.97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17</v>
      </c>
      <c r="M704" s="20">
        <v>35.56</v>
      </c>
      <c r="N704" s="20">
        <v>-27.71</v>
      </c>
      <c r="P704" s="20">
        <v>-34.08</v>
      </c>
      <c r="Q704" s="20">
        <v>-29.05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17</v>
      </c>
      <c r="AO704" s="20">
        <v>-18.03</v>
      </c>
      <c r="AP704" s="20">
        <v>-22.94</v>
      </c>
      <c r="AS704" s="20">
        <v>354.0</v>
      </c>
      <c r="AT704" s="20" t="s">
        <v>17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  <c r="BZ704" s="20">
        <v>-30.14</v>
      </c>
      <c r="CA704" s="20">
        <v>19.67</v>
      </c>
      <c r="CO704" s="20">
        <v>112.74</v>
      </c>
      <c r="CP704" s="20">
        <v>-11.95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P705" s="20">
        <v>6.56</v>
      </c>
      <c r="Q705" s="20">
        <v>-17.8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  <c r="BZ705" s="20">
        <v>-30.93</v>
      </c>
      <c r="CA705" s="20">
        <v>101.94</v>
      </c>
      <c r="CO705" s="20">
        <v>28.89</v>
      </c>
      <c r="CP705" s="20">
        <v>-39.83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17</v>
      </c>
      <c r="M706" s="20">
        <v>-27.31</v>
      </c>
      <c r="N706" s="20">
        <v>32.52</v>
      </c>
      <c r="P706" s="20">
        <v>13.77</v>
      </c>
      <c r="Q706" s="20">
        <v>-12.48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17</v>
      </c>
      <c r="AO706" s="20">
        <v>25.65</v>
      </c>
      <c r="AP706" s="20">
        <v>234.24</v>
      </c>
      <c r="AS706" s="20">
        <v>355.0</v>
      </c>
      <c r="AT706" s="20" t="s">
        <v>17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  <c r="BZ706" s="20">
        <v>-62.4</v>
      </c>
      <c r="CA706" s="20">
        <v>25.66</v>
      </c>
      <c r="CO706" s="20">
        <v>-15.58</v>
      </c>
      <c r="CP706" s="20">
        <v>-49.8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P707" s="20">
        <v>-21.91</v>
      </c>
      <c r="Q707" s="20">
        <v>17.7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  <c r="BZ707" s="20">
        <v>-12.17</v>
      </c>
      <c r="CA707" s="20">
        <v>100.55</v>
      </c>
      <c r="CO707" s="20">
        <v>-49.91</v>
      </c>
      <c r="CP707" s="20">
        <v>-52.23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17</v>
      </c>
      <c r="M708" s="20">
        <v>-13.74</v>
      </c>
      <c r="N708" s="20">
        <v>5.8</v>
      </c>
      <c r="P708" s="20">
        <v>-50.83</v>
      </c>
      <c r="Q708" s="20">
        <v>-23.69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17</v>
      </c>
      <c r="AO708" s="20">
        <v>90.78</v>
      </c>
      <c r="AP708" s="20">
        <v>3.75</v>
      </c>
      <c r="AS708" s="20">
        <v>356.0</v>
      </c>
      <c r="AT708" s="20" t="s">
        <v>17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  <c r="BZ708" s="20">
        <v>-37.75</v>
      </c>
      <c r="CA708" s="20">
        <v>0.73</v>
      </c>
      <c r="CO708" s="20">
        <v>-35.92</v>
      </c>
      <c r="CP708" s="20">
        <v>-40.92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P709" s="20">
        <v>5.26</v>
      </c>
      <c r="Q709" s="20">
        <v>-1.48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  <c r="BZ709" s="20">
        <v>-35.51</v>
      </c>
      <c r="CA709" s="20">
        <v>29.76</v>
      </c>
      <c r="CO709" s="20">
        <v>-28.31</v>
      </c>
      <c r="CP709" s="20">
        <v>-60.76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17</v>
      </c>
      <c r="M710" s="20">
        <v>-25.74</v>
      </c>
      <c r="N710" s="20">
        <v>-15.84</v>
      </c>
      <c r="P710" s="20">
        <v>-22.1</v>
      </c>
      <c r="Q710" s="20">
        <v>-11.69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17</v>
      </c>
      <c r="AO710" s="20">
        <v>-43.82</v>
      </c>
      <c r="AP710" s="20">
        <v>-48.8</v>
      </c>
      <c r="AS710" s="20">
        <v>357.0</v>
      </c>
      <c r="AT710" s="20" t="s">
        <v>17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  <c r="BZ710" s="20">
        <v>-36.65</v>
      </c>
      <c r="CA710" s="20">
        <v>-8.72</v>
      </c>
      <c r="CO710" s="20">
        <v>52.82</v>
      </c>
      <c r="CP710" s="20">
        <v>-45.47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P711" s="20">
        <v>-31.04</v>
      </c>
      <c r="Q711" s="20">
        <v>36.78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  <c r="BZ711" s="20">
        <v>32.62</v>
      </c>
      <c r="CA711" s="20">
        <v>68.08</v>
      </c>
      <c r="CO711" s="20">
        <v>-42.72</v>
      </c>
      <c r="CP711" s="20">
        <v>-64.54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17</v>
      </c>
      <c r="M712" s="20">
        <v>-25.72</v>
      </c>
      <c r="N712" s="20">
        <v>31.13</v>
      </c>
      <c r="P712" s="20">
        <v>-67.58</v>
      </c>
      <c r="Q712" s="20">
        <v>-67.4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17</v>
      </c>
      <c r="AO712" s="20">
        <v>-25.51</v>
      </c>
      <c r="AP712" s="20">
        <v>-31.38</v>
      </c>
      <c r="AS712" s="20">
        <v>358.0</v>
      </c>
      <c r="AT712" s="20" t="s">
        <v>17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  <c r="BZ712" s="20">
        <v>-33.79</v>
      </c>
      <c r="CA712" s="20">
        <v>53.3</v>
      </c>
      <c r="CO712" s="20">
        <v>-40.6</v>
      </c>
      <c r="CP712" s="20">
        <v>-3.06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P713" s="20">
        <v>32.5</v>
      </c>
      <c r="Q713" s="20">
        <v>2.3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  <c r="BZ713" s="20">
        <v>-42.95</v>
      </c>
      <c r="CA713" s="20">
        <v>55.82</v>
      </c>
      <c r="CO713" s="20">
        <v>33.06</v>
      </c>
      <c r="CP713" s="20">
        <v>-47.07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17</v>
      </c>
      <c r="M714" s="20">
        <v>-30.12</v>
      </c>
      <c r="N714" s="20">
        <v>24.06</v>
      </c>
      <c r="P714" s="20">
        <v>-18.28</v>
      </c>
      <c r="Q714" s="20">
        <v>-32.74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17</v>
      </c>
      <c r="AO714" s="20">
        <v>-52.68</v>
      </c>
      <c r="AP714" s="20">
        <v>58.27</v>
      </c>
      <c r="AS714" s="20">
        <v>359.0</v>
      </c>
      <c r="AT714" s="20" t="s">
        <v>17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  <c r="BZ714" s="20">
        <v>-51.25</v>
      </c>
      <c r="CA714" s="20">
        <v>124.56</v>
      </c>
      <c r="CO714" s="20">
        <v>-5.58</v>
      </c>
      <c r="CP714" s="20">
        <v>-39.15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P715" s="20">
        <v>-15.13</v>
      </c>
      <c r="Q715" s="20">
        <v>-7.34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  <c r="BZ715" s="20">
        <v>30.3</v>
      </c>
      <c r="CA715" s="20">
        <v>98.24</v>
      </c>
      <c r="CO715" s="20">
        <v>-18.48</v>
      </c>
      <c r="CP715" s="20">
        <v>-71.94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17</v>
      </c>
      <c r="M716" s="20">
        <v>-43.48</v>
      </c>
      <c r="N716" s="20">
        <v>-54.94</v>
      </c>
      <c r="P716" s="20">
        <v>-9.25</v>
      </c>
      <c r="Q716" s="20">
        <v>32.5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17</v>
      </c>
      <c r="AO716" s="20">
        <v>-28.65</v>
      </c>
      <c r="AP716" s="20">
        <v>-18.39</v>
      </c>
      <c r="AS716" s="20">
        <v>360.0</v>
      </c>
      <c r="AT716" s="20" t="s">
        <v>17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  <c r="BZ716" s="20">
        <v>-11.95</v>
      </c>
      <c r="CA716" s="20">
        <v>30.27</v>
      </c>
      <c r="CO716" s="20">
        <v>-16.72</v>
      </c>
      <c r="CP716" s="20">
        <v>-56.92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P717" s="20">
        <v>-0.91</v>
      </c>
      <c r="Q717" s="20">
        <v>38.54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  <c r="BZ717" s="20">
        <v>-47.29</v>
      </c>
      <c r="CA717" s="20">
        <v>13.69</v>
      </c>
      <c r="CO717" s="20">
        <v>-35.3</v>
      </c>
      <c r="CP717" s="20">
        <v>-58.09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17</v>
      </c>
      <c r="M718" s="20">
        <v>17.8</v>
      </c>
      <c r="N718" s="20">
        <v>-0.34</v>
      </c>
      <c r="P718" s="20">
        <v>19.57</v>
      </c>
      <c r="Q718" s="20">
        <v>12.91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17</v>
      </c>
      <c r="AO718" s="20">
        <v>-50.45</v>
      </c>
      <c r="AP718" s="20">
        <v>31.0</v>
      </c>
      <c r="AS718" s="20">
        <v>361.0</v>
      </c>
      <c r="AT718" s="20" t="s">
        <v>17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  <c r="BZ718" s="20">
        <v>-34.67</v>
      </c>
      <c r="CA718" s="20">
        <v>15.14</v>
      </c>
      <c r="CO718" s="20">
        <v>-4.92</v>
      </c>
      <c r="CP718" s="20">
        <v>-24.79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P719" s="20">
        <v>-31.92</v>
      </c>
      <c r="Q719" s="20">
        <v>30.84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M719" s="20">
        <v>163.49</v>
      </c>
      <c r="BN719" s="20">
        <v>59.22</v>
      </c>
      <c r="BW719" s="20">
        <v>-44.55</v>
      </c>
      <c r="BX719" s="20">
        <v>6.37</v>
      </c>
      <c r="BZ719" s="20">
        <v>-31.18</v>
      </c>
      <c r="CA719" s="20">
        <v>12.9</v>
      </c>
      <c r="CO719" s="20">
        <v>-56.25</v>
      </c>
      <c r="CP719" s="20">
        <v>-57.95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17</v>
      </c>
      <c r="M720" s="20">
        <v>-33.84</v>
      </c>
      <c r="N720" s="20">
        <v>24.35</v>
      </c>
      <c r="P720" s="20">
        <v>-19.3</v>
      </c>
      <c r="Q720" s="20">
        <v>-10.17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17</v>
      </c>
      <c r="AO720" s="20">
        <v>-16.9</v>
      </c>
      <c r="AP720" s="20">
        <v>-9.38</v>
      </c>
      <c r="AS720" s="20">
        <v>362.0</v>
      </c>
      <c r="AT720" s="20" t="s">
        <v>17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M720" s="20">
        <v>140.66</v>
      </c>
      <c r="BN720" s="20">
        <v>72.12</v>
      </c>
      <c r="BW720" s="20">
        <v>-55.32</v>
      </c>
      <c r="BX720" s="20">
        <v>-24.78</v>
      </c>
      <c r="BZ720" s="20">
        <v>-47.9</v>
      </c>
      <c r="CA720" s="20">
        <v>37.0</v>
      </c>
      <c r="CO720" s="20">
        <v>-25.96</v>
      </c>
      <c r="CP720" s="20">
        <v>-54.94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P721" s="20">
        <v>-17.25</v>
      </c>
      <c r="Q721" s="20">
        <v>-15.09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M721" s="20">
        <v>245.08</v>
      </c>
      <c r="BN721" s="20">
        <v>75.15</v>
      </c>
      <c r="BW721" s="20">
        <v>-44.18</v>
      </c>
      <c r="BX721" s="20">
        <v>-51.71</v>
      </c>
      <c r="BZ721" s="20">
        <v>-62.99</v>
      </c>
      <c r="CA721" s="20">
        <v>5.69</v>
      </c>
      <c r="CO721" s="20">
        <v>-38.91</v>
      </c>
      <c r="CP721" s="20">
        <v>-39.69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17</v>
      </c>
      <c r="M722" s="20">
        <v>-6.39</v>
      </c>
      <c r="N722" s="20">
        <v>11.1</v>
      </c>
      <c r="P722" s="20">
        <v>14.54</v>
      </c>
      <c r="Q722" s="20">
        <v>64.53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17</v>
      </c>
      <c r="AO722" s="20">
        <v>-20.06</v>
      </c>
      <c r="AP722" s="20">
        <v>48.89</v>
      </c>
      <c r="AS722" s="20">
        <v>364.0</v>
      </c>
      <c r="AT722" s="20" t="s">
        <v>17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M722" s="20">
        <v>242.62</v>
      </c>
      <c r="BN722" s="20">
        <v>96.13</v>
      </c>
      <c r="BW722" s="20">
        <v>-42.67</v>
      </c>
      <c r="BX722" s="20">
        <v>-21.28</v>
      </c>
      <c r="BZ722" s="20">
        <v>-40.57</v>
      </c>
      <c r="CA722" s="20">
        <v>140.66</v>
      </c>
      <c r="CO722" s="20">
        <v>21.93</v>
      </c>
      <c r="CP722" s="20">
        <v>-37.07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P723" s="20">
        <v>1.72</v>
      </c>
      <c r="Q723" s="20">
        <v>6.32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M723" s="20">
        <v>73.68</v>
      </c>
      <c r="BN723" s="20">
        <v>41.55</v>
      </c>
      <c r="BW723" s="20">
        <v>-61.17</v>
      </c>
      <c r="BX723" s="20">
        <v>-20.62</v>
      </c>
      <c r="BZ723" s="20">
        <v>-56.87</v>
      </c>
      <c r="CA723" s="20">
        <v>8.8</v>
      </c>
      <c r="CO723" s="20">
        <v>-27.35</v>
      </c>
      <c r="CP723" s="20">
        <v>-24.21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17</v>
      </c>
      <c r="M724" s="20">
        <v>-30.64</v>
      </c>
      <c r="N724" s="20">
        <v>-9.65</v>
      </c>
      <c r="P724" s="20">
        <v>-3.65</v>
      </c>
      <c r="Q724" s="20">
        <v>-35.69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17</v>
      </c>
      <c r="AO724" s="20">
        <v>0.65</v>
      </c>
      <c r="AP724" s="20">
        <v>-9.08</v>
      </c>
      <c r="AS724" s="20">
        <v>365.0</v>
      </c>
      <c r="AT724" s="20" t="s">
        <v>17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M724" s="20">
        <v>73.64</v>
      </c>
      <c r="BN724" s="20">
        <v>62.41</v>
      </c>
      <c r="BW724" s="20">
        <v>-28.45</v>
      </c>
      <c r="BX724" s="20">
        <v>-23.56</v>
      </c>
      <c r="BZ724" s="20">
        <v>-10.78</v>
      </c>
      <c r="CA724" s="20">
        <v>273.67</v>
      </c>
      <c r="CO724" s="20">
        <v>-21.17</v>
      </c>
      <c r="CP724" s="20">
        <v>-27.68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P725" s="20">
        <v>25.52</v>
      </c>
      <c r="Q725" s="20">
        <v>-21.58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M725" s="20">
        <v>73.81</v>
      </c>
      <c r="BN725" s="20">
        <v>48.37</v>
      </c>
      <c r="BW725" s="20">
        <v>-44.63</v>
      </c>
      <c r="BX725" s="20">
        <v>-5.75</v>
      </c>
      <c r="BZ725" s="20">
        <v>-38.29</v>
      </c>
      <c r="CA725" s="20">
        <v>56.14</v>
      </c>
      <c r="CO725" s="20">
        <v>7.5</v>
      </c>
      <c r="CP725" s="20">
        <v>-63.53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17</v>
      </c>
      <c r="M726" s="20">
        <v>-16.01</v>
      </c>
      <c r="N726" s="20">
        <v>3.22</v>
      </c>
      <c r="P726" s="20">
        <v>-49.92</v>
      </c>
      <c r="Q726" s="20">
        <v>-50.12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17</v>
      </c>
      <c r="AO726" s="20">
        <v>-5.07</v>
      </c>
      <c r="AP726" s="20">
        <v>-16.24</v>
      </c>
      <c r="AS726" s="20">
        <v>366.0</v>
      </c>
      <c r="AT726" s="20" t="s">
        <v>17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M726" s="20">
        <v>116.85</v>
      </c>
      <c r="BN726" s="20">
        <v>116.1</v>
      </c>
      <c r="BW726" s="20">
        <v>-60.62</v>
      </c>
      <c r="BX726" s="20">
        <v>-2.95</v>
      </c>
      <c r="BZ726" s="20">
        <v>-66.8</v>
      </c>
      <c r="CA726" s="20">
        <v>23.69</v>
      </c>
      <c r="CO726" s="20">
        <v>-35.52</v>
      </c>
      <c r="CP726" s="20">
        <v>-48.02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P727" s="20">
        <v>30.56</v>
      </c>
      <c r="Q727" s="20">
        <v>12.7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M727" s="20">
        <v>29.34</v>
      </c>
      <c r="BN727" s="20">
        <v>129.69</v>
      </c>
      <c r="BW727" s="20">
        <v>-34.17</v>
      </c>
      <c r="BX727" s="20">
        <v>-16.45</v>
      </c>
      <c r="BZ727" s="20">
        <v>-42.73</v>
      </c>
      <c r="CA727" s="20">
        <v>6.64</v>
      </c>
      <c r="CO727" s="20">
        <v>-20.24</v>
      </c>
      <c r="CP727" s="20">
        <v>-61.27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17</v>
      </c>
      <c r="M728" s="20">
        <v>-16.17</v>
      </c>
      <c r="N728" s="20">
        <v>27.44</v>
      </c>
      <c r="P728" s="20">
        <v>-20.44</v>
      </c>
      <c r="Q728" s="20">
        <v>-55.89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17</v>
      </c>
      <c r="AO728" s="20">
        <v>15.36</v>
      </c>
      <c r="AP728" s="20">
        <v>-27.04</v>
      </c>
      <c r="AS728" s="20">
        <v>367.0</v>
      </c>
      <c r="AT728" s="20" t="s">
        <v>17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M728" s="20">
        <v>24.07</v>
      </c>
      <c r="BN728" s="20">
        <v>-1.33</v>
      </c>
      <c r="BW728" s="20">
        <v>-39.49</v>
      </c>
      <c r="BX728" s="20">
        <v>22.04</v>
      </c>
      <c r="BZ728" s="20">
        <v>-33.5</v>
      </c>
      <c r="CA728" s="20">
        <v>146.85</v>
      </c>
      <c r="CO728" s="20">
        <v>2.07</v>
      </c>
      <c r="CP728" s="20">
        <v>-50.43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P729" s="20">
        <v>-23.43</v>
      </c>
      <c r="Q729" s="20">
        <v>1.93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M729" s="20">
        <v>35.68</v>
      </c>
      <c r="BN729" s="20">
        <v>30.48</v>
      </c>
      <c r="BW729" s="20">
        <v>-47.81</v>
      </c>
      <c r="BX729" s="20">
        <v>-34.11</v>
      </c>
      <c r="BZ729" s="20">
        <v>-43.86</v>
      </c>
      <c r="CA729" s="20">
        <v>19.34</v>
      </c>
      <c r="CO729" s="20">
        <v>-25.35</v>
      </c>
      <c r="CP729" s="20">
        <v>-65.28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17</v>
      </c>
      <c r="M730" s="20">
        <v>-54.2</v>
      </c>
      <c r="N730" s="20">
        <v>-43.91</v>
      </c>
      <c r="P730" s="20">
        <v>54.36</v>
      </c>
      <c r="Q730" s="20">
        <v>-0.19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17</v>
      </c>
      <c r="AO730" s="20">
        <v>1.7</v>
      </c>
      <c r="AP730" s="20">
        <v>34.84</v>
      </c>
      <c r="AS730" s="20">
        <v>368.0</v>
      </c>
      <c r="AT730" s="20" t="s">
        <v>17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M730" s="20">
        <v>52.93</v>
      </c>
      <c r="BN730" s="20">
        <v>103.56</v>
      </c>
      <c r="BW730" s="20">
        <v>-48.89</v>
      </c>
      <c r="BX730" s="20">
        <v>-0.87</v>
      </c>
      <c r="BZ730" s="20">
        <v>-60.08</v>
      </c>
      <c r="CA730" s="20">
        <v>0.49</v>
      </c>
      <c r="CO730" s="20">
        <v>28.69</v>
      </c>
      <c r="CP730" s="20">
        <v>-32.69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P731" s="20">
        <v>-16.39</v>
      </c>
      <c r="Q731" s="20">
        <v>11.82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M731" s="20">
        <v>15.85</v>
      </c>
      <c r="BN731" s="20">
        <v>135.14</v>
      </c>
      <c r="BW731" s="20">
        <v>-42.54</v>
      </c>
      <c r="BX731" s="20">
        <v>3.37</v>
      </c>
      <c r="BZ731" s="20">
        <v>41.72</v>
      </c>
      <c r="CA731" s="20">
        <v>117.89</v>
      </c>
      <c r="CO731" s="20">
        <v>-11.97</v>
      </c>
      <c r="CP731" s="20">
        <v>-52.66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17</v>
      </c>
      <c r="M732" s="20">
        <v>-50.01</v>
      </c>
      <c r="N732" s="20">
        <v>-22.92</v>
      </c>
      <c r="P732" s="20">
        <v>-42.76</v>
      </c>
      <c r="Q732" s="20">
        <v>-16.92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17</v>
      </c>
      <c r="AO732" s="20">
        <v>-20.49</v>
      </c>
      <c r="AP732" s="20">
        <v>-24.53</v>
      </c>
      <c r="AS732" s="20">
        <v>369.0</v>
      </c>
      <c r="AT732" s="20" t="s">
        <v>17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M732" s="20">
        <v>77.84</v>
      </c>
      <c r="BN732" s="20">
        <v>83.19</v>
      </c>
      <c r="BW732" s="20">
        <v>-28.9</v>
      </c>
      <c r="BX732" s="20">
        <v>-45.79</v>
      </c>
      <c r="BZ732" s="20">
        <v>73.23</v>
      </c>
      <c r="CA732" s="20">
        <v>85.77</v>
      </c>
      <c r="CO732" s="20">
        <v>-20.95</v>
      </c>
      <c r="CP732" s="20">
        <v>-49.89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P733" s="20">
        <v>1.3</v>
      </c>
      <c r="Q733" s="20">
        <v>22.16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M733" s="20">
        <v>93.7</v>
      </c>
      <c r="BN733" s="20">
        <v>112.55</v>
      </c>
      <c r="BW733" s="20">
        <v>-48.54</v>
      </c>
      <c r="BX733" s="20">
        <v>-7.55</v>
      </c>
      <c r="BZ733" s="20">
        <v>-5.24</v>
      </c>
      <c r="CA733" s="20">
        <v>35.68</v>
      </c>
      <c r="CO733" s="20">
        <v>-21.45</v>
      </c>
      <c r="CP733" s="20">
        <v>-64.69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17</v>
      </c>
      <c r="M734" s="20">
        <v>23.94</v>
      </c>
      <c r="N734" s="20">
        <v>11.06</v>
      </c>
      <c r="P734" s="20">
        <v>-27.71</v>
      </c>
      <c r="Q734" s="20">
        <v>-16.69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17</v>
      </c>
      <c r="AO734" s="20">
        <v>-10.16</v>
      </c>
      <c r="AP734" s="20">
        <v>1.68</v>
      </c>
      <c r="AS734" s="20">
        <v>370.0</v>
      </c>
      <c r="AT734" s="20" t="s">
        <v>17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M734" s="20">
        <v>30.0</v>
      </c>
      <c r="BN734" s="20">
        <v>178.7</v>
      </c>
      <c r="BW734" s="20">
        <v>-19.82</v>
      </c>
      <c r="BX734" s="20">
        <v>25.02</v>
      </c>
      <c r="BZ734" s="20">
        <v>-20.55</v>
      </c>
      <c r="CA734" s="20">
        <v>16.36</v>
      </c>
      <c r="CO734" s="20">
        <v>-13.09</v>
      </c>
      <c r="CP734" s="20">
        <v>-58.79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P735" s="20">
        <v>-5.71</v>
      </c>
      <c r="Q735" s="20">
        <v>4.23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M735" s="20">
        <v>46.95</v>
      </c>
      <c r="BN735" s="20">
        <v>78.35</v>
      </c>
      <c r="BW735" s="20">
        <v>-47.18</v>
      </c>
      <c r="BX735" s="20">
        <v>-19.77</v>
      </c>
      <c r="BZ735" s="20">
        <v>3.73</v>
      </c>
      <c r="CA735" s="20">
        <v>138.73</v>
      </c>
      <c r="CO735" s="20">
        <v>-26.72</v>
      </c>
      <c r="CP735" s="20">
        <v>-48.58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17</v>
      </c>
      <c r="M736" s="20">
        <v>-64.01</v>
      </c>
      <c r="N736" s="20">
        <v>-73.51</v>
      </c>
      <c r="P736" s="20">
        <v>-47.52</v>
      </c>
      <c r="Q736" s="20">
        <v>-17.51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17</v>
      </c>
      <c r="AO736" s="20">
        <v>-18.17</v>
      </c>
      <c r="AP736" s="20">
        <v>48.78</v>
      </c>
      <c r="AS736" s="20">
        <v>371.0</v>
      </c>
      <c r="AT736" s="20" t="s">
        <v>17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M736" s="20">
        <v>106.71</v>
      </c>
      <c r="BN736" s="20">
        <v>84.44</v>
      </c>
      <c r="BW736" s="20">
        <v>-37.4</v>
      </c>
      <c r="BX736" s="20">
        <v>-24.78</v>
      </c>
      <c r="BZ736" s="20">
        <v>-68.79</v>
      </c>
      <c r="CA736" s="20">
        <v>29.86</v>
      </c>
      <c r="CO736" s="20">
        <v>-22.97</v>
      </c>
      <c r="CP736" s="20">
        <v>-56.01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P737" s="20">
        <v>-37.77</v>
      </c>
      <c r="Q737" s="20">
        <v>-1.33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M737" s="20">
        <v>6.93</v>
      </c>
      <c r="BN737" s="20">
        <v>21.39</v>
      </c>
      <c r="BW737" s="20">
        <v>-50.3</v>
      </c>
      <c r="BX737" s="20">
        <v>-34.7</v>
      </c>
      <c r="BZ737" s="20">
        <v>-37.14</v>
      </c>
      <c r="CA737" s="20">
        <v>24.83</v>
      </c>
      <c r="CO737" s="20">
        <v>-23.2</v>
      </c>
      <c r="CP737" s="20">
        <v>-54.48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17</v>
      </c>
      <c r="M738" s="20">
        <v>-28.93</v>
      </c>
      <c r="N738" s="20">
        <v>-2.31</v>
      </c>
      <c r="P738" s="20">
        <v>-37.68</v>
      </c>
      <c r="Q738" s="20">
        <v>-1.82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17</v>
      </c>
      <c r="AO738" s="20">
        <v>-34.16</v>
      </c>
      <c r="AP738" s="20">
        <v>-30.57</v>
      </c>
      <c r="AS738" s="20">
        <v>372.0</v>
      </c>
      <c r="AT738" s="20" t="s">
        <v>17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M738" s="20">
        <v>64.8</v>
      </c>
      <c r="BN738" s="20">
        <v>147.94</v>
      </c>
      <c r="BW738" s="20">
        <v>-42.84</v>
      </c>
      <c r="BX738" s="20">
        <v>-19.1</v>
      </c>
      <c r="BZ738" s="20">
        <v>-32.13</v>
      </c>
      <c r="CA738" s="20">
        <v>44.7</v>
      </c>
      <c r="CO738" s="20">
        <v>12.0</v>
      </c>
      <c r="CP738" s="20">
        <v>-40.34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P739" s="20">
        <v>-1.64</v>
      </c>
      <c r="Q739" s="20">
        <v>36.99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M739" s="20">
        <v>29.72</v>
      </c>
      <c r="BN739" s="20">
        <v>58.45</v>
      </c>
      <c r="BW739" s="20">
        <v>-42.79</v>
      </c>
      <c r="BX739" s="20">
        <v>1.65</v>
      </c>
      <c r="BZ739" s="20">
        <v>-37.97</v>
      </c>
      <c r="CA739" s="20">
        <v>110.5</v>
      </c>
      <c r="CO739" s="20">
        <v>-18.21</v>
      </c>
      <c r="CP739" s="20">
        <v>-46.2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17</v>
      </c>
      <c r="M740" s="20">
        <v>-45.37</v>
      </c>
      <c r="N740" s="20">
        <v>-28.5</v>
      </c>
      <c r="P740" s="20">
        <v>8.35</v>
      </c>
      <c r="Q740" s="20">
        <v>79.78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17</v>
      </c>
      <c r="AO740" s="20">
        <v>-8.44</v>
      </c>
      <c r="AP740" s="20">
        <v>74.17</v>
      </c>
      <c r="AS740" s="20">
        <v>373.0</v>
      </c>
      <c r="AT740" s="20" t="s">
        <v>17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M740" s="20">
        <v>58.16</v>
      </c>
      <c r="BN740" s="20">
        <v>114.82</v>
      </c>
      <c r="BW740" s="20">
        <v>-28.02</v>
      </c>
      <c r="BX740" s="20">
        <v>-3.39</v>
      </c>
      <c r="BZ740" s="20">
        <v>-41.05</v>
      </c>
      <c r="CA740" s="20">
        <v>181.93</v>
      </c>
      <c r="CO740" s="20">
        <v>19.15</v>
      </c>
      <c r="CP740" s="20">
        <v>-48.58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P741" s="20">
        <v>-29.53</v>
      </c>
      <c r="Q741" s="20">
        <v>-24.68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M741" s="20">
        <v>8.46</v>
      </c>
      <c r="BN741" s="20">
        <v>25.81</v>
      </c>
      <c r="BW741" s="20">
        <v>-49.64</v>
      </c>
      <c r="BX741" s="20">
        <v>-54.65</v>
      </c>
      <c r="BZ741" s="20">
        <v>-56.93</v>
      </c>
      <c r="CA741" s="20">
        <v>57.81</v>
      </c>
      <c r="CO741" s="20">
        <v>-22.48</v>
      </c>
      <c r="CP741" s="20">
        <v>-58.03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17</v>
      </c>
      <c r="M742" s="20">
        <v>17.79</v>
      </c>
      <c r="N742" s="20">
        <v>39.6</v>
      </c>
      <c r="P742" s="20">
        <v>-30.8</v>
      </c>
      <c r="Q742" s="20">
        <v>-19.65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17</v>
      </c>
      <c r="AO742" s="20">
        <v>-9.0</v>
      </c>
      <c r="AP742" s="20">
        <v>-6.93</v>
      </c>
      <c r="AS742" s="20">
        <v>374.0</v>
      </c>
      <c r="AT742" s="20" t="s">
        <v>17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M742" s="20">
        <v>114.56</v>
      </c>
      <c r="BN742" s="20">
        <v>45.54</v>
      </c>
      <c r="BW742" s="20">
        <v>-53.75</v>
      </c>
      <c r="BX742" s="20">
        <v>-13.65</v>
      </c>
      <c r="BZ742" s="20">
        <v>-36.81</v>
      </c>
      <c r="CA742" s="20">
        <v>1.69</v>
      </c>
      <c r="CO742" s="20">
        <v>-21.77</v>
      </c>
      <c r="CP742" s="20">
        <v>-58.49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P743" s="20">
        <v>-30.51</v>
      </c>
      <c r="Q743" s="20">
        <v>3.66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M743" s="20">
        <v>-4.53</v>
      </c>
      <c r="BN743" s="20">
        <v>35.57</v>
      </c>
      <c r="BW743" s="20">
        <v>-42.94</v>
      </c>
      <c r="BX743" s="20">
        <v>0.4</v>
      </c>
      <c r="BZ743" s="20">
        <v>-48.12</v>
      </c>
      <c r="CA743" s="20">
        <v>131.59</v>
      </c>
      <c r="CO743" s="20">
        <v>-24.54</v>
      </c>
      <c r="CP743" s="20">
        <v>-66.68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17</v>
      </c>
      <c r="M744" s="20">
        <v>2.01</v>
      </c>
      <c r="N744" s="20">
        <v>49.16</v>
      </c>
      <c r="P744" s="20">
        <v>-60.53</v>
      </c>
      <c r="Q744" s="20">
        <v>-66.76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17</v>
      </c>
      <c r="AO744" s="20">
        <v>15.25</v>
      </c>
      <c r="AP744" s="20">
        <v>-18.92</v>
      </c>
      <c r="AS744" s="20">
        <v>375.0</v>
      </c>
      <c r="AT744" s="20" t="s">
        <v>17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M744" s="20">
        <v>118.67</v>
      </c>
      <c r="BN744" s="20">
        <v>80.74</v>
      </c>
      <c r="BW744" s="20">
        <v>-47.72</v>
      </c>
      <c r="BX744" s="20">
        <v>-19.9</v>
      </c>
      <c r="BZ744" s="20">
        <v>-67.83</v>
      </c>
      <c r="CA744" s="20">
        <v>187.58</v>
      </c>
      <c r="CO744" s="20">
        <v>1.43</v>
      </c>
      <c r="CP744" s="20">
        <v>-50.58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P745" s="20">
        <v>-25.94</v>
      </c>
      <c r="Q745" s="20">
        <v>-34.5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M745" s="20">
        <v>29.16</v>
      </c>
      <c r="BN745" s="20">
        <v>86.43</v>
      </c>
      <c r="BW745" s="20">
        <v>-48.52</v>
      </c>
      <c r="BX745" s="20">
        <v>-11.09</v>
      </c>
      <c r="BZ745" s="20">
        <v>-28.76</v>
      </c>
      <c r="CA745" s="20">
        <v>-13.94</v>
      </c>
      <c r="CO745" s="20">
        <v>-28.26</v>
      </c>
      <c r="CP745" s="20">
        <v>-60.83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17</v>
      </c>
      <c r="M746" s="20">
        <v>-26.17</v>
      </c>
      <c r="N746" s="20">
        <v>4.35</v>
      </c>
      <c r="P746" s="20">
        <v>21.84</v>
      </c>
      <c r="Q746" s="20">
        <v>-38.71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17</v>
      </c>
      <c r="AO746" s="20">
        <v>-30.05</v>
      </c>
      <c r="AP746" s="20">
        <v>-16.38</v>
      </c>
      <c r="AS746" s="20">
        <v>376.0</v>
      </c>
      <c r="AT746" s="20" t="s">
        <v>17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M746" s="20">
        <v>7.29</v>
      </c>
      <c r="BN746" s="20">
        <v>59.0</v>
      </c>
      <c r="BW746" s="20">
        <v>-47.55</v>
      </c>
      <c r="BX746" s="20">
        <v>-10.35</v>
      </c>
      <c r="BZ746" s="20">
        <v>-46.85</v>
      </c>
      <c r="CA746" s="20">
        <v>-22.74</v>
      </c>
      <c r="CO746" s="20">
        <v>-4.94</v>
      </c>
      <c r="CP746" s="20">
        <v>-44.29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P747" s="20">
        <v>4.41</v>
      </c>
      <c r="Q747" s="20">
        <v>-7.03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M747" s="20">
        <v>46.89</v>
      </c>
      <c r="BN747" s="20">
        <v>51.59</v>
      </c>
      <c r="BW747" s="20">
        <v>-51.69</v>
      </c>
      <c r="BX747" s="20">
        <v>-24.97</v>
      </c>
      <c r="BZ747" s="20">
        <v>-38.62</v>
      </c>
      <c r="CA747" s="20">
        <v>75.15</v>
      </c>
      <c r="CO747" s="20">
        <v>-4.41</v>
      </c>
      <c r="CP747" s="20">
        <v>-47.95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17</v>
      </c>
      <c r="M748" s="20">
        <v>-21.6</v>
      </c>
      <c r="N748" s="20">
        <v>23.15</v>
      </c>
      <c r="P748" s="20">
        <v>-33.02</v>
      </c>
      <c r="Q748" s="20">
        <v>-17.59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17</v>
      </c>
      <c r="AO748" s="20">
        <v>-26.37</v>
      </c>
      <c r="AP748" s="20">
        <v>-6.81</v>
      </c>
      <c r="AS748" s="20">
        <v>377.0</v>
      </c>
      <c r="AT748" s="20" t="s">
        <v>17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M748" s="20">
        <v>62.15</v>
      </c>
      <c r="BN748" s="20">
        <v>83.92</v>
      </c>
      <c r="BW748" s="20">
        <v>-55.58</v>
      </c>
      <c r="BX748" s="20">
        <v>-33.15</v>
      </c>
      <c r="BZ748" s="20">
        <v>-25.1</v>
      </c>
      <c r="CA748" s="20">
        <v>93.4</v>
      </c>
      <c r="CO748" s="20">
        <v>57.02</v>
      </c>
      <c r="CP748" s="20">
        <v>-34.89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P749" s="20">
        <v>3.27</v>
      </c>
      <c r="Q749" s="20">
        <v>13.09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M749" s="20">
        <v>-7.06</v>
      </c>
      <c r="BN749" s="20">
        <v>24.48</v>
      </c>
      <c r="BW749" s="20">
        <v>-36.1</v>
      </c>
      <c r="BX749" s="20">
        <v>-21.37</v>
      </c>
      <c r="BZ749" s="20">
        <v>-27.67</v>
      </c>
      <c r="CA749" s="20">
        <v>58.76</v>
      </c>
      <c r="CO749" s="20">
        <v>-26.19</v>
      </c>
      <c r="CP749" s="20">
        <v>-51.64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17</v>
      </c>
      <c r="M750" s="20">
        <v>-34.76</v>
      </c>
      <c r="N750" s="20">
        <v>-36.35</v>
      </c>
      <c r="P750" s="20">
        <v>12.74</v>
      </c>
      <c r="Q750" s="20">
        <v>13.07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17</v>
      </c>
      <c r="AO750" s="20">
        <v>1.51</v>
      </c>
      <c r="AP750" s="20">
        <v>-2.28</v>
      </c>
      <c r="AS750" s="20">
        <v>378.0</v>
      </c>
      <c r="AT750" s="20" t="s">
        <v>17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M750" s="20">
        <v>26.72</v>
      </c>
      <c r="BN750" s="20">
        <v>183.85</v>
      </c>
      <c r="BW750" s="20">
        <v>-39.05</v>
      </c>
      <c r="BX750" s="20">
        <v>7.95</v>
      </c>
      <c r="BZ750" s="20">
        <v>-41.54</v>
      </c>
      <c r="CA750" s="20">
        <v>-9.54</v>
      </c>
      <c r="CO750" s="20">
        <v>-1.55</v>
      </c>
      <c r="CP750" s="20">
        <v>-29.39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P751" s="20">
        <v>-16.29</v>
      </c>
      <c r="Q751" s="20">
        <v>-10.93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M751" s="20">
        <v>39.68</v>
      </c>
      <c r="BN751" s="20">
        <v>101.71</v>
      </c>
      <c r="BW751" s="20">
        <v>-60.41</v>
      </c>
      <c r="BX751" s="20">
        <v>-26.1</v>
      </c>
      <c r="BZ751" s="20">
        <v>-22.23</v>
      </c>
      <c r="CA751" s="20">
        <v>295.94</v>
      </c>
      <c r="CO751" s="20">
        <v>-20.83</v>
      </c>
      <c r="CP751" s="20">
        <v>-33.79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17</v>
      </c>
      <c r="M752" s="20">
        <v>-35.84</v>
      </c>
      <c r="N752" s="20">
        <v>-15.43</v>
      </c>
      <c r="P752" s="20">
        <v>-25.43</v>
      </c>
      <c r="Q752" s="20">
        <v>-18.8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17</v>
      </c>
      <c r="AO752" s="20">
        <v>20.68</v>
      </c>
      <c r="AP752" s="20">
        <v>-17.93</v>
      </c>
      <c r="AS752" s="20">
        <v>379.0</v>
      </c>
      <c r="AT752" s="20" t="s">
        <v>17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M752" s="20">
        <v>106.95</v>
      </c>
      <c r="BN752" s="20">
        <v>30.18</v>
      </c>
      <c r="BW752" s="20">
        <v>-37.0</v>
      </c>
      <c r="BX752" s="20">
        <v>12.99</v>
      </c>
      <c r="BZ752" s="20">
        <v>-67.62</v>
      </c>
      <c r="CA752" s="20">
        <v>156.45</v>
      </c>
      <c r="CO752" s="20">
        <v>-45.34</v>
      </c>
      <c r="CP752" s="20">
        <v>-29.45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P753" s="20">
        <v>-24.72</v>
      </c>
      <c r="Q753" s="20">
        <v>-21.75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M753" s="20">
        <v>35.95</v>
      </c>
      <c r="BN753" s="20">
        <v>117.32</v>
      </c>
      <c r="BW753" s="20">
        <v>-9.47</v>
      </c>
      <c r="BX753" s="20">
        <v>-24.65</v>
      </c>
      <c r="BZ753" s="20">
        <v>-35.0</v>
      </c>
      <c r="CA753" s="20">
        <v>16.61</v>
      </c>
      <c r="CO753" s="20">
        <v>1.38</v>
      </c>
      <c r="CP753" s="20">
        <v>-60.55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17</v>
      </c>
      <c r="M754" s="20">
        <v>-12.68</v>
      </c>
      <c r="N754" s="20">
        <v>39.0</v>
      </c>
      <c r="P754" s="20">
        <v>-23.45</v>
      </c>
      <c r="Q754" s="20">
        <v>-5.62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17</v>
      </c>
      <c r="AO754" s="20">
        <v>-11.07</v>
      </c>
      <c r="AP754" s="20">
        <v>38.41</v>
      </c>
      <c r="AS754" s="20">
        <v>380.0</v>
      </c>
      <c r="AT754" s="20" t="s">
        <v>17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M754" s="20">
        <v>23.45</v>
      </c>
      <c r="BN754" s="20">
        <v>102.77</v>
      </c>
      <c r="BW754" s="20">
        <v>-53.75</v>
      </c>
      <c r="BX754" s="20">
        <v>-33.94</v>
      </c>
      <c r="BZ754" s="20">
        <v>-47.88</v>
      </c>
      <c r="CA754" s="20">
        <v>20.64</v>
      </c>
      <c r="CO754" s="20">
        <v>-29.77</v>
      </c>
      <c r="CP754" s="20">
        <v>-53.58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P755" s="20">
        <v>29.37</v>
      </c>
      <c r="Q755" s="20">
        <v>48.26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M755" s="20">
        <v>79.2</v>
      </c>
      <c r="BN755" s="20">
        <v>98.95</v>
      </c>
      <c r="BW755" s="20">
        <v>-44.87</v>
      </c>
      <c r="BX755" s="20">
        <v>5.02</v>
      </c>
      <c r="BZ755" s="20">
        <v>-21.79</v>
      </c>
      <c r="CA755" s="20">
        <v>154.19</v>
      </c>
      <c r="CO755" s="20">
        <v>-21.99</v>
      </c>
      <c r="CP755" s="20">
        <v>-43.98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17</v>
      </c>
      <c r="M756" s="20">
        <v>-7.89</v>
      </c>
      <c r="N756" s="20">
        <v>112.7</v>
      </c>
      <c r="P756" s="20">
        <v>35.82</v>
      </c>
      <c r="Q756" s="20">
        <v>137.02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17</v>
      </c>
      <c r="AO756" s="20">
        <v>3.47</v>
      </c>
      <c r="AP756" s="20">
        <v>-2.28</v>
      </c>
      <c r="AS756" s="20">
        <v>381.0</v>
      </c>
      <c r="AT756" s="20" t="s">
        <v>17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M756" s="20">
        <v>174.05</v>
      </c>
      <c r="BN756" s="20">
        <v>137.4</v>
      </c>
      <c r="BW756" s="20">
        <v>-39.53</v>
      </c>
      <c r="BX756" s="20">
        <v>-31.02</v>
      </c>
      <c r="BZ756" s="20">
        <v>-45.26</v>
      </c>
      <c r="CA756" s="20">
        <v>127.49</v>
      </c>
      <c r="CO756" s="20">
        <v>-45.69</v>
      </c>
      <c r="CP756" s="20">
        <v>-64.87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P757" s="20">
        <v>-16.52</v>
      </c>
      <c r="Q757" s="20">
        <v>-12.37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M757" s="20">
        <v>14.7</v>
      </c>
      <c r="BN757" s="20">
        <v>74.83</v>
      </c>
      <c r="BW757" s="20">
        <v>-35.8</v>
      </c>
      <c r="BX757" s="20">
        <v>-2.54</v>
      </c>
      <c r="BZ757" s="20">
        <v>-25.29</v>
      </c>
      <c r="CA757" s="20">
        <v>62.97</v>
      </c>
      <c r="CO757" s="20">
        <v>-17.35</v>
      </c>
      <c r="CP757" s="20">
        <v>-25.06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17</v>
      </c>
      <c r="M758" s="20">
        <v>-21.82</v>
      </c>
      <c r="N758" s="20">
        <v>-14.09</v>
      </c>
      <c r="P758" s="20">
        <v>-26.14</v>
      </c>
      <c r="Q758" s="20">
        <v>9.64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17</v>
      </c>
      <c r="AO758" s="20">
        <v>48.06</v>
      </c>
      <c r="AP758" s="20">
        <v>-20.24</v>
      </c>
      <c r="AS758" s="20">
        <v>382.0</v>
      </c>
      <c r="AT758" s="20" t="s">
        <v>17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M758" s="20">
        <v>1.12</v>
      </c>
      <c r="BN758" s="20">
        <v>90.98</v>
      </c>
      <c r="BW758" s="20">
        <v>-29.39</v>
      </c>
      <c r="BX758" s="20">
        <v>16.84</v>
      </c>
      <c r="BZ758" s="20">
        <v>-34.83</v>
      </c>
      <c r="CA758" s="20">
        <v>24.13</v>
      </c>
      <c r="CO758" s="20">
        <v>-12.46</v>
      </c>
      <c r="CP758" s="20">
        <v>-28.16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P759" s="20">
        <v>62.4</v>
      </c>
      <c r="Q759" s="20">
        <v>106.03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M759" s="20">
        <v>43.31</v>
      </c>
      <c r="BN759" s="20">
        <v>101.75</v>
      </c>
      <c r="BW759" s="20">
        <v>-34.62</v>
      </c>
      <c r="BX759" s="20">
        <v>7.48</v>
      </c>
      <c r="BZ759" s="20">
        <v>-52.24</v>
      </c>
      <c r="CA759" s="20">
        <v>21.37</v>
      </c>
      <c r="CO759" s="20">
        <v>21.17</v>
      </c>
      <c r="CP759" s="20">
        <v>-26.81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17</v>
      </c>
      <c r="M760" s="20">
        <v>54.91</v>
      </c>
      <c r="N760" s="20">
        <v>-28.83</v>
      </c>
      <c r="P760" s="20">
        <v>43.34</v>
      </c>
      <c r="Q760" s="20">
        <v>158.78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17</v>
      </c>
      <c r="AO760" s="20">
        <v>0.42</v>
      </c>
      <c r="AP760" s="20">
        <v>-26.15</v>
      </c>
      <c r="AS760" s="20">
        <v>383.0</v>
      </c>
      <c r="AT760" s="20" t="s">
        <v>17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M760" s="20">
        <v>117.0</v>
      </c>
      <c r="BN760" s="20">
        <v>150.3</v>
      </c>
      <c r="BW760" s="20">
        <v>-64.01</v>
      </c>
      <c r="BX760" s="20">
        <v>-31.48</v>
      </c>
      <c r="BZ760" s="20">
        <v>-49.72</v>
      </c>
      <c r="CA760" s="20">
        <v>82.41</v>
      </c>
      <c r="CO760" s="20">
        <v>29.07</v>
      </c>
      <c r="CP760" s="20">
        <v>-53.59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P761" s="20">
        <v>-43.5</v>
      </c>
      <c r="Q761" s="20">
        <v>-33.08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M761" s="20">
        <v>6.16</v>
      </c>
      <c r="BN761" s="20">
        <v>109.66</v>
      </c>
      <c r="BW761" s="20">
        <v>-57.84</v>
      </c>
      <c r="BX761" s="20">
        <v>-0.74</v>
      </c>
      <c r="BZ761" s="20">
        <v>-25.48</v>
      </c>
      <c r="CA761" s="20">
        <v>20.84</v>
      </c>
      <c r="CO761" s="20">
        <v>-18.15</v>
      </c>
      <c r="CP761" s="20">
        <v>-24.41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17</v>
      </c>
      <c r="M762" s="20">
        <v>-25.72</v>
      </c>
      <c r="N762" s="20">
        <v>0.89</v>
      </c>
      <c r="P762" s="20">
        <v>27.67</v>
      </c>
      <c r="Q762" s="20">
        <v>52.4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17</v>
      </c>
      <c r="AO762" s="20">
        <v>18.51</v>
      </c>
      <c r="AP762" s="20">
        <v>11.51</v>
      </c>
      <c r="AS762" s="20">
        <v>384.0</v>
      </c>
      <c r="AT762" s="20" t="s">
        <v>17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M762" s="20">
        <v>-8.3</v>
      </c>
      <c r="BN762" s="20">
        <v>54.5</v>
      </c>
      <c r="BW762" s="20">
        <v>-55.21</v>
      </c>
      <c r="BX762" s="20">
        <v>25.64</v>
      </c>
      <c r="BZ762" s="20">
        <v>-29.05</v>
      </c>
      <c r="CA762" s="20">
        <v>22.68</v>
      </c>
      <c r="CO762" s="20">
        <v>-29.73</v>
      </c>
      <c r="CP762" s="20">
        <v>-30.74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P763" s="20">
        <v>-30.27</v>
      </c>
      <c r="Q763" s="20">
        <v>13.98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M763" s="20">
        <v>23.62</v>
      </c>
      <c r="BN763" s="20">
        <v>110.54</v>
      </c>
      <c r="BW763" s="20">
        <v>-41.02</v>
      </c>
      <c r="BX763" s="20">
        <v>-25.38</v>
      </c>
      <c r="BZ763" s="20">
        <v>-42.41</v>
      </c>
      <c r="CA763" s="20">
        <v>53.67</v>
      </c>
      <c r="CO763" s="20">
        <v>-15.08</v>
      </c>
      <c r="CP763" s="20">
        <v>-37.63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17</v>
      </c>
      <c r="M764" s="20">
        <v>-30.35</v>
      </c>
      <c r="N764" s="20">
        <v>-22.53</v>
      </c>
      <c r="P764" s="20">
        <v>31.02</v>
      </c>
      <c r="Q764" s="20">
        <v>71.12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17</v>
      </c>
      <c r="AO764" s="20">
        <v>-56.65</v>
      </c>
      <c r="AP764" s="20">
        <v>-13.28</v>
      </c>
      <c r="AS764" s="20">
        <v>385.0</v>
      </c>
      <c r="AT764" s="20" t="s">
        <v>17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M764" s="20">
        <v>34.39</v>
      </c>
      <c r="BN764" s="20">
        <v>81.2</v>
      </c>
      <c r="BW764" s="20">
        <v>-50.38</v>
      </c>
      <c r="BX764" s="20">
        <v>-19.32</v>
      </c>
      <c r="BZ764" s="20">
        <v>-29.03</v>
      </c>
      <c r="CA764" s="20">
        <v>-5.82</v>
      </c>
      <c r="CO764" s="20">
        <v>30.08</v>
      </c>
      <c r="CP764" s="20">
        <v>-44.14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P765" s="20">
        <v>-29.25</v>
      </c>
      <c r="Q765" s="20">
        <v>36.53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M765" s="20">
        <v>16.15</v>
      </c>
      <c r="BN765" s="20">
        <v>91.75</v>
      </c>
      <c r="BW765" s="20">
        <v>-36.45</v>
      </c>
      <c r="BX765" s="20">
        <v>-11.7</v>
      </c>
      <c r="BZ765" s="20">
        <v>-0.66</v>
      </c>
      <c r="CA765" s="20">
        <v>128.56</v>
      </c>
      <c r="CO765" s="20">
        <v>-31.32</v>
      </c>
      <c r="CP765" s="20">
        <v>-46.23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17</v>
      </c>
      <c r="M766" s="20">
        <v>99.34</v>
      </c>
      <c r="N766" s="20">
        <v>17.32</v>
      </c>
      <c r="P766" s="20">
        <v>-35.84</v>
      </c>
      <c r="Q766" s="20">
        <v>9.46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17</v>
      </c>
      <c r="AO766" s="20">
        <v>13.62</v>
      </c>
      <c r="AP766" s="20">
        <v>-27.71</v>
      </c>
      <c r="AS766" s="20">
        <v>386.0</v>
      </c>
      <c r="AT766" s="20" t="s">
        <v>17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M766" s="20">
        <v>20.52</v>
      </c>
      <c r="BN766" s="20">
        <v>116.01</v>
      </c>
      <c r="BW766" s="20">
        <v>-45.57</v>
      </c>
      <c r="BX766" s="20">
        <v>-12.34</v>
      </c>
      <c r="BZ766" s="20">
        <v>-40.27</v>
      </c>
      <c r="CA766" s="20">
        <v>-13.45</v>
      </c>
      <c r="CO766" s="20">
        <v>-31.54</v>
      </c>
      <c r="CP766" s="20">
        <v>-57.56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P767" s="20">
        <v>-33.5</v>
      </c>
      <c r="Q767" s="20">
        <v>-47.62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M767" s="20">
        <v>64.87</v>
      </c>
      <c r="BN767" s="20">
        <v>148.12</v>
      </c>
      <c r="BW767" s="20">
        <v>-49.35</v>
      </c>
      <c r="BX767" s="20">
        <v>5.9</v>
      </c>
      <c r="BZ767" s="20">
        <v>-30.07</v>
      </c>
      <c r="CA767" s="20">
        <v>32.41</v>
      </c>
      <c r="CO767" s="20">
        <v>-34.16</v>
      </c>
      <c r="CP767" s="20">
        <v>-62.19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17</v>
      </c>
      <c r="M768" s="20">
        <v>-13.62</v>
      </c>
      <c r="N768" s="20">
        <v>-19.41</v>
      </c>
      <c r="P768" s="20">
        <v>32.21</v>
      </c>
      <c r="Q768" s="20">
        <v>137.29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17</v>
      </c>
      <c r="AO768" s="20">
        <v>-38.54</v>
      </c>
      <c r="AP768" s="20">
        <v>7.39</v>
      </c>
      <c r="AS768" s="20">
        <v>387.0</v>
      </c>
      <c r="AT768" s="20" t="s">
        <v>17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M768" s="20">
        <v>201.59</v>
      </c>
      <c r="BN768" s="20">
        <v>63.17</v>
      </c>
      <c r="BW768" s="20">
        <v>19.32</v>
      </c>
      <c r="BX768" s="20">
        <v>-50.02</v>
      </c>
      <c r="BZ768" s="20">
        <v>-60.34</v>
      </c>
      <c r="CA768" s="20">
        <v>27.93</v>
      </c>
      <c r="CO768" s="20">
        <v>-28.32</v>
      </c>
      <c r="CP768" s="20">
        <v>-48.95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P769" s="20">
        <v>-34.27</v>
      </c>
      <c r="Q769" s="20">
        <v>26.8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M769" s="20">
        <v>100.75</v>
      </c>
      <c r="BN769" s="20">
        <v>133.49</v>
      </c>
      <c r="BW769" s="20">
        <v>-54.5</v>
      </c>
      <c r="BX769" s="20">
        <v>-32.48</v>
      </c>
      <c r="BZ769" s="20">
        <v>-53.96</v>
      </c>
      <c r="CA769" s="20">
        <v>18.98</v>
      </c>
      <c r="CO769" s="20">
        <v>-24.28</v>
      </c>
      <c r="CP769" s="20">
        <v>-51.87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17</v>
      </c>
      <c r="M770" s="20">
        <v>61.56</v>
      </c>
      <c r="N770" s="20">
        <v>58.72</v>
      </c>
      <c r="P770" s="20">
        <v>-33.58</v>
      </c>
      <c r="Q770" s="20">
        <v>23.03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17</v>
      </c>
      <c r="AO770" s="20">
        <v>-28.24</v>
      </c>
      <c r="AP770" s="20">
        <v>21.73</v>
      </c>
      <c r="AS770" s="20">
        <v>388.0</v>
      </c>
      <c r="AT770" s="20" t="s">
        <v>17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M770" s="20">
        <v>80.83</v>
      </c>
      <c r="BN770" s="20">
        <v>105.52</v>
      </c>
      <c r="BW770" s="20">
        <v>-53.38</v>
      </c>
      <c r="BX770" s="20">
        <v>-30.94</v>
      </c>
      <c r="BZ770" s="20">
        <v>-27.39</v>
      </c>
      <c r="CA770" s="20">
        <v>-57.75</v>
      </c>
      <c r="CO770" s="20">
        <v>9.15</v>
      </c>
      <c r="CP770" s="20">
        <v>-35.46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P771" s="20">
        <v>13.41</v>
      </c>
      <c r="Q771" s="20">
        <v>20.25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M771" s="20">
        <v>133.97</v>
      </c>
      <c r="BN771" s="20">
        <v>133.74</v>
      </c>
      <c r="BW771" s="20">
        <v>-30.98</v>
      </c>
      <c r="BX771" s="20">
        <v>18.03</v>
      </c>
      <c r="BZ771" s="20">
        <v>-6.93</v>
      </c>
      <c r="CA771" s="20">
        <v>145.14</v>
      </c>
      <c r="CO771" s="20">
        <v>-29.03</v>
      </c>
      <c r="CP771" s="20">
        <v>-67.03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17</v>
      </c>
      <c r="M772" s="20">
        <v>-21.3</v>
      </c>
      <c r="N772" s="20">
        <v>59.03</v>
      </c>
      <c r="P772" s="20">
        <v>20.01</v>
      </c>
      <c r="Q772" s="20">
        <v>81.81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17</v>
      </c>
      <c r="AO772" s="20">
        <v>-8.87</v>
      </c>
      <c r="AP772" s="20">
        <v>33.33</v>
      </c>
      <c r="AS772" s="20">
        <v>389.0</v>
      </c>
      <c r="AT772" s="20" t="s">
        <v>17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M772" s="20">
        <v>109.09</v>
      </c>
      <c r="BN772" s="20">
        <v>43.59</v>
      </c>
      <c r="BW772" s="20">
        <v>-42.59</v>
      </c>
      <c r="BX772" s="20">
        <v>-16.75</v>
      </c>
      <c r="BZ772" s="20">
        <v>-20.37</v>
      </c>
      <c r="CA772" s="20">
        <v>-6.52</v>
      </c>
      <c r="CO772" s="20">
        <v>-28.31</v>
      </c>
      <c r="CP772" s="20">
        <v>-40.43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P773" s="20">
        <v>12.1</v>
      </c>
      <c r="Q773" s="20">
        <v>54.38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M773" s="20">
        <v>127.66</v>
      </c>
      <c r="BN773" s="20">
        <v>112.36</v>
      </c>
      <c r="BW773" s="20">
        <v>-51.36</v>
      </c>
      <c r="BX773" s="20">
        <v>-18.19</v>
      </c>
      <c r="BZ773" s="20">
        <v>-41.92</v>
      </c>
      <c r="CA773" s="20">
        <v>79.42</v>
      </c>
      <c r="CO773" s="20">
        <v>-26.08</v>
      </c>
      <c r="CP773" s="20">
        <v>-37.08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17</v>
      </c>
      <c r="M774" s="20">
        <v>11.29</v>
      </c>
      <c r="N774" s="20">
        <v>4.58</v>
      </c>
      <c r="P774" s="20">
        <v>14.88</v>
      </c>
      <c r="Q774" s="20">
        <v>-0.89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17</v>
      </c>
      <c r="AO774" s="20">
        <v>1.62</v>
      </c>
      <c r="AP774" s="20">
        <v>-31.01</v>
      </c>
      <c r="AS774" s="20">
        <v>390.0</v>
      </c>
      <c r="AT774" s="20" t="s">
        <v>17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M774" s="20">
        <v>197.19</v>
      </c>
      <c r="BN774" s="20">
        <v>148.12</v>
      </c>
      <c r="BW774" s="20">
        <v>-19.01</v>
      </c>
      <c r="BX774" s="20">
        <v>-46.98</v>
      </c>
      <c r="BZ774" s="20">
        <v>8.36</v>
      </c>
      <c r="CA774" s="20">
        <v>-18.03</v>
      </c>
      <c r="CO774" s="20">
        <v>-0.94</v>
      </c>
      <c r="CP774" s="20">
        <v>-36.42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P775" s="20">
        <v>7.9</v>
      </c>
      <c r="Q775" s="20">
        <v>38.25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M775" s="20">
        <v>97.86</v>
      </c>
      <c r="BN775" s="20">
        <v>51.96</v>
      </c>
      <c r="BW775" s="20">
        <v>27.35</v>
      </c>
      <c r="BX775" s="20">
        <v>-32.07</v>
      </c>
      <c r="BZ775" s="20">
        <v>-45.61</v>
      </c>
      <c r="CA775" s="20">
        <v>85.64</v>
      </c>
      <c r="CO775" s="20">
        <v>-28.43</v>
      </c>
      <c r="CP775" s="20">
        <v>-20.66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17</v>
      </c>
      <c r="M776" s="20">
        <v>-11.14</v>
      </c>
      <c r="N776" s="20">
        <v>8.72</v>
      </c>
      <c r="P776" s="20">
        <v>-9.08</v>
      </c>
      <c r="Q776" s="20">
        <v>70.09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17</v>
      </c>
      <c r="AO776" s="20">
        <v>-36.11</v>
      </c>
      <c r="AP776" s="20">
        <v>-1.57</v>
      </c>
      <c r="AS776" s="20">
        <v>391.0</v>
      </c>
      <c r="AT776" s="20" t="s">
        <v>17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M776" s="20">
        <v>41.16</v>
      </c>
      <c r="BN776" s="20">
        <v>81.65</v>
      </c>
      <c r="BW776" s="20">
        <v>-29.13</v>
      </c>
      <c r="BX776" s="20">
        <v>-17.01</v>
      </c>
      <c r="BZ776" s="20">
        <v>-50.6</v>
      </c>
      <c r="CA776" s="20">
        <v>117.91</v>
      </c>
      <c r="CO776" s="20">
        <v>-27.61</v>
      </c>
      <c r="CP776" s="20">
        <v>-34.17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P777" s="20">
        <v>1.68</v>
      </c>
      <c r="Q777" s="20">
        <v>45.71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M777" s="20">
        <v>42.49</v>
      </c>
      <c r="BN777" s="20">
        <v>130.36</v>
      </c>
      <c r="BW777" s="20">
        <v>-43.2</v>
      </c>
      <c r="BX777" s="20">
        <v>-29.58</v>
      </c>
      <c r="BZ777" s="20">
        <v>-43.55</v>
      </c>
      <c r="CA777" s="20">
        <v>33.94</v>
      </c>
      <c r="CO777" s="20">
        <v>1.34</v>
      </c>
      <c r="CP777" s="20">
        <v>-32.95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17</v>
      </c>
      <c r="M778" s="20">
        <v>17.13</v>
      </c>
      <c r="N778" s="20">
        <v>-4.56</v>
      </c>
      <c r="P778" s="20">
        <v>-24.54</v>
      </c>
      <c r="Q778" s="20">
        <v>16.32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17</v>
      </c>
      <c r="AO778" s="20">
        <v>4.43</v>
      </c>
      <c r="AP778" s="20">
        <v>-11.2</v>
      </c>
      <c r="AS778" s="20">
        <v>392.0</v>
      </c>
      <c r="AT778" s="20" t="s">
        <v>17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M778" s="20">
        <v>16.47</v>
      </c>
      <c r="BN778" s="20">
        <v>96.11</v>
      </c>
      <c r="BW778" s="20">
        <v>-24.98</v>
      </c>
      <c r="BX778" s="20">
        <v>-10.08</v>
      </c>
      <c r="BZ778" s="20">
        <v>-56.85</v>
      </c>
      <c r="CA778" s="20">
        <v>47.72</v>
      </c>
      <c r="CO778" s="20">
        <v>34.67</v>
      </c>
      <c r="CP778" s="20">
        <v>-47.13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P779" s="20">
        <v>-37.48</v>
      </c>
      <c r="Q779" s="20">
        <v>-6.26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M779" s="20">
        <v>29.47</v>
      </c>
      <c r="BN779" s="20">
        <v>33.0</v>
      </c>
      <c r="BW779" s="20">
        <v>-11.63</v>
      </c>
      <c r="BX779" s="20">
        <v>-28.81</v>
      </c>
      <c r="BZ779" s="20">
        <v>2.06</v>
      </c>
      <c r="CA779" s="20">
        <v>42.78</v>
      </c>
      <c r="CO779" s="20">
        <v>5.35</v>
      </c>
      <c r="CP779" s="20">
        <v>-35.53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17</v>
      </c>
      <c r="M780" s="20">
        <v>18.24</v>
      </c>
      <c r="N780" s="20">
        <v>6.48</v>
      </c>
      <c r="P780" s="20">
        <v>37.17</v>
      </c>
      <c r="Q780" s="20">
        <v>146.23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17</v>
      </c>
      <c r="AO780" s="20">
        <v>-21.88</v>
      </c>
      <c r="AP780" s="20">
        <v>-8.05</v>
      </c>
      <c r="AS780" s="20">
        <v>393.0</v>
      </c>
      <c r="AT780" s="20" t="s">
        <v>17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M780" s="20">
        <v>79.94</v>
      </c>
      <c r="BN780" s="20">
        <v>170.69</v>
      </c>
      <c r="BW780" s="20">
        <v>-32.45</v>
      </c>
      <c r="BX780" s="20">
        <v>-28.17</v>
      </c>
      <c r="BZ780" s="20">
        <v>-6.31</v>
      </c>
      <c r="CA780" s="20">
        <v>196.48</v>
      </c>
      <c r="CO780" s="20">
        <v>-19.51</v>
      </c>
      <c r="CP780" s="20">
        <v>-62.51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P781" s="20">
        <v>-3.9</v>
      </c>
      <c r="Q781" s="20">
        <v>10.62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M781" s="20">
        <v>129.46</v>
      </c>
      <c r="BN781" s="20">
        <v>80.92</v>
      </c>
      <c r="BW781" s="20">
        <v>-4.24</v>
      </c>
      <c r="BX781" s="20">
        <v>-44.74</v>
      </c>
      <c r="BZ781" s="20">
        <v>-35.18</v>
      </c>
      <c r="CA781" s="20">
        <v>15.0</v>
      </c>
      <c r="CO781" s="20">
        <v>-40.15</v>
      </c>
      <c r="CP781" s="20">
        <v>-46.97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17</v>
      </c>
      <c r="M782" s="20">
        <v>29.97</v>
      </c>
      <c r="N782" s="20">
        <v>18.56</v>
      </c>
      <c r="P782" s="20">
        <v>9.4</v>
      </c>
      <c r="Q782" s="20">
        <v>51.23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17</v>
      </c>
      <c r="AO782" s="20">
        <v>-1.58</v>
      </c>
      <c r="AP782" s="20">
        <v>26.04</v>
      </c>
      <c r="AS782" s="20">
        <v>394.0</v>
      </c>
      <c r="AT782" s="20" t="s">
        <v>17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M782" s="20">
        <v>83.36</v>
      </c>
      <c r="BN782" s="20">
        <v>152.64</v>
      </c>
      <c r="BW782" s="20">
        <v>-33.77</v>
      </c>
      <c r="BX782" s="20">
        <v>-10.01</v>
      </c>
      <c r="BZ782" s="20">
        <v>-40.98</v>
      </c>
      <c r="CA782" s="20">
        <v>7.84</v>
      </c>
      <c r="CO782" s="20">
        <v>-24.56</v>
      </c>
      <c r="CP782" s="20">
        <v>-45.7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P783" s="20">
        <v>3.43</v>
      </c>
      <c r="Q783" s="20">
        <v>75.23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M783" s="20">
        <v>91.05</v>
      </c>
      <c r="BN783" s="20">
        <v>72.34</v>
      </c>
      <c r="BW783" s="20">
        <v>-4.53</v>
      </c>
      <c r="BX783" s="20">
        <v>-20.06</v>
      </c>
      <c r="BZ783" s="20">
        <v>-12.52</v>
      </c>
      <c r="CA783" s="20">
        <v>91.59</v>
      </c>
      <c r="CO783" s="20">
        <v>-14.79</v>
      </c>
      <c r="CP783" s="20">
        <v>-43.86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17</v>
      </c>
      <c r="M784" s="20">
        <v>11.73</v>
      </c>
      <c r="N784" s="20">
        <v>-9.23</v>
      </c>
      <c r="P784" s="20">
        <v>36.18</v>
      </c>
      <c r="Q784" s="20">
        <v>110.4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17</v>
      </c>
      <c r="AO784" s="20">
        <v>-21.33</v>
      </c>
      <c r="AP784" s="20">
        <v>-36.96</v>
      </c>
      <c r="AS784" s="20">
        <v>395.0</v>
      </c>
      <c r="AT784" s="20" t="s">
        <v>17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M784" s="20">
        <v>25.4</v>
      </c>
      <c r="BN784" s="20">
        <v>16.13</v>
      </c>
      <c r="BW784" s="20">
        <v>-51.95</v>
      </c>
      <c r="BX784" s="20">
        <v>-41.26</v>
      </c>
      <c r="BZ784" s="20">
        <v>-65.67</v>
      </c>
      <c r="CA784" s="20">
        <v>30.77</v>
      </c>
      <c r="CO784" s="20">
        <v>21.18</v>
      </c>
      <c r="CP784" s="20">
        <v>-53.88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P785" s="20">
        <v>-20.27</v>
      </c>
      <c r="Q785" s="20">
        <v>15.3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M785" s="20">
        <v>122.96</v>
      </c>
      <c r="BN785" s="20">
        <v>126.36</v>
      </c>
      <c r="BW785" s="20">
        <v>-20.39</v>
      </c>
      <c r="BX785" s="20">
        <v>-37.61</v>
      </c>
      <c r="BZ785" s="20">
        <v>-38.84</v>
      </c>
      <c r="CA785" s="20">
        <v>-4.18</v>
      </c>
      <c r="CO785" s="20">
        <v>-18.02</v>
      </c>
      <c r="CP785" s="20">
        <v>-42.59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17</v>
      </c>
      <c r="M786" s="20">
        <v>-26.28</v>
      </c>
      <c r="N786" s="20">
        <v>-13.04</v>
      </c>
      <c r="P786" s="20">
        <v>-2.48</v>
      </c>
      <c r="Q786" s="20">
        <v>95.43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17</v>
      </c>
      <c r="AO786" s="20">
        <v>-14.14</v>
      </c>
      <c r="AP786" s="20">
        <v>1.94</v>
      </c>
      <c r="AS786" s="20">
        <v>396.0</v>
      </c>
      <c r="AT786" s="20" t="s">
        <v>17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M786" s="20">
        <v>12.39</v>
      </c>
      <c r="BN786" s="20">
        <v>132.03</v>
      </c>
      <c r="BW786" s="20">
        <v>-38.48</v>
      </c>
      <c r="BX786" s="20">
        <v>-29.23</v>
      </c>
      <c r="BZ786" s="20">
        <v>-32.78</v>
      </c>
      <c r="CA786" s="20">
        <v>-14.96</v>
      </c>
      <c r="CO786" s="20">
        <v>-34.08</v>
      </c>
      <c r="CP786" s="20">
        <v>-54.76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P787" s="20">
        <v>-6.76</v>
      </c>
      <c r="Q787" s="20">
        <v>2.95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M787" s="20">
        <v>51.72</v>
      </c>
      <c r="BN787" s="20">
        <v>115.3</v>
      </c>
      <c r="BW787" s="20">
        <v>-35.8</v>
      </c>
      <c r="BX787" s="20">
        <v>-18.99</v>
      </c>
      <c r="BZ787" s="20">
        <v>-18.66</v>
      </c>
      <c r="CA787" s="20">
        <v>84.38</v>
      </c>
      <c r="CO787" s="20">
        <v>-27.87</v>
      </c>
      <c r="CP787" s="20">
        <v>-56.27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17</v>
      </c>
      <c r="M788" s="20">
        <v>4.32</v>
      </c>
      <c r="N788" s="20">
        <v>15.9</v>
      </c>
      <c r="P788" s="20">
        <v>-7.78</v>
      </c>
      <c r="Q788" s="20">
        <v>-3.18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17</v>
      </c>
      <c r="AO788" s="20">
        <v>-22.79</v>
      </c>
      <c r="AP788" s="20">
        <v>21.5</v>
      </c>
      <c r="AS788" s="20">
        <v>397.0</v>
      </c>
      <c r="AT788" s="20" t="s">
        <v>17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M788" s="20">
        <v>86.53</v>
      </c>
      <c r="BN788" s="20">
        <v>143.19</v>
      </c>
      <c r="BW788" s="20">
        <v>-43.58</v>
      </c>
      <c r="BX788" s="20">
        <v>-22.12</v>
      </c>
      <c r="BZ788" s="20">
        <v>-39.28</v>
      </c>
      <c r="CA788" s="20">
        <v>80.84</v>
      </c>
      <c r="CO788" s="20">
        <v>-15.27</v>
      </c>
      <c r="CP788" s="20">
        <v>-52.52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P789" s="20">
        <v>3.37</v>
      </c>
      <c r="Q789" s="20">
        <v>10.41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M789" s="20">
        <v>39.4</v>
      </c>
      <c r="BN789" s="20">
        <v>110.69</v>
      </c>
      <c r="BW789" s="20">
        <v>-48.88</v>
      </c>
      <c r="BX789" s="20">
        <v>-20.71</v>
      </c>
      <c r="BZ789" s="20">
        <v>-49.82</v>
      </c>
      <c r="CA789" s="20">
        <v>38.15</v>
      </c>
      <c r="CO789" s="20">
        <v>-39.11</v>
      </c>
      <c r="CP789" s="20">
        <v>-50.9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17</v>
      </c>
      <c r="M790" s="20">
        <v>31.87</v>
      </c>
      <c r="N790" s="20">
        <v>9.12</v>
      </c>
      <c r="P790" s="20">
        <v>-2.43</v>
      </c>
      <c r="Q790" s="20">
        <v>50.55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17</v>
      </c>
      <c r="AO790" s="20">
        <v>1.16</v>
      </c>
      <c r="AP790" s="20">
        <v>-30.23</v>
      </c>
      <c r="AS790" s="20">
        <v>398.0</v>
      </c>
      <c r="AT790" s="20" t="s">
        <v>17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M790" s="20">
        <v>112.34</v>
      </c>
      <c r="BN790" s="20">
        <v>52.6</v>
      </c>
      <c r="BW790" s="20">
        <v>-44.37</v>
      </c>
      <c r="BX790" s="20">
        <v>-30.06</v>
      </c>
      <c r="BZ790" s="20">
        <v>-49.91</v>
      </c>
      <c r="CA790" s="20">
        <v>-17.33</v>
      </c>
      <c r="CO790" s="20">
        <v>-0.68</v>
      </c>
      <c r="CP790" s="20">
        <v>-45.18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P791" s="20">
        <v>-10.25</v>
      </c>
      <c r="Q791" s="20">
        <v>38.76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M791" s="20">
        <v>55.28</v>
      </c>
      <c r="BN791" s="20">
        <v>57.78</v>
      </c>
      <c r="BW791" s="20">
        <v>-37.55</v>
      </c>
      <c r="BX791" s="20">
        <v>-36.5</v>
      </c>
      <c r="BZ791" s="20">
        <v>-42.68</v>
      </c>
      <c r="CA791" s="20">
        <v>106.17</v>
      </c>
      <c r="CO791" s="20">
        <v>-12.44</v>
      </c>
      <c r="CP791" s="20">
        <v>-45.45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17</v>
      </c>
      <c r="M792" s="20">
        <v>-26.18</v>
      </c>
      <c r="N792" s="20">
        <v>12.91</v>
      </c>
      <c r="P792" s="20">
        <v>2.55</v>
      </c>
      <c r="Q792" s="20">
        <v>47.75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17</v>
      </c>
      <c r="AO792" s="20">
        <v>-17.05</v>
      </c>
      <c r="AP792" s="20">
        <v>-35.14</v>
      </c>
      <c r="AS792" s="20">
        <v>399.0</v>
      </c>
      <c r="AT792" s="20" t="s">
        <v>17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M792" s="20">
        <v>-13.79</v>
      </c>
      <c r="BN792" s="20">
        <v>45.37</v>
      </c>
      <c r="BW792" s="20">
        <v>-45.56</v>
      </c>
      <c r="BX792" s="20">
        <v>-42.91</v>
      </c>
      <c r="BZ792" s="20">
        <v>-64.61</v>
      </c>
      <c r="CA792" s="20">
        <v>66.59</v>
      </c>
      <c r="CO792" s="20">
        <v>32.26</v>
      </c>
      <c r="CP792" s="20">
        <v>-46.02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P793" s="20">
        <v>3.53</v>
      </c>
      <c r="Q793" s="20">
        <v>101.45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M793" s="20">
        <v>96.49</v>
      </c>
      <c r="BN793" s="20">
        <v>82.11</v>
      </c>
      <c r="BW793" s="20">
        <v>-43.33</v>
      </c>
      <c r="BX793" s="20">
        <v>-36.07</v>
      </c>
      <c r="BZ793" s="20">
        <v>-49.77</v>
      </c>
      <c r="CA793" s="20">
        <v>-8.91</v>
      </c>
      <c r="CO793" s="20">
        <v>-30.76</v>
      </c>
      <c r="CP793" s="20">
        <v>-59.97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17</v>
      </c>
      <c r="M794" s="20">
        <v>-15.4</v>
      </c>
      <c r="N794" s="20">
        <v>5.08</v>
      </c>
      <c r="P794" s="20">
        <v>12.65</v>
      </c>
      <c r="Q794" s="20">
        <v>55.92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17</v>
      </c>
      <c r="AO794" s="20">
        <v>-6.85</v>
      </c>
      <c r="AP794" s="20">
        <v>-24.35</v>
      </c>
      <c r="AS794" s="20">
        <v>400.0</v>
      </c>
      <c r="AT794" s="20" t="s">
        <v>17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M794" s="20">
        <v>72.69</v>
      </c>
      <c r="BN794" s="20">
        <v>138.92</v>
      </c>
      <c r="BW794" s="20">
        <v>-31.42</v>
      </c>
      <c r="BX794" s="20">
        <v>-20.27</v>
      </c>
      <c r="BZ794" s="20">
        <v>-52.3</v>
      </c>
      <c r="CA794" s="20">
        <v>6.06</v>
      </c>
      <c r="CO794" s="20">
        <v>-11.87</v>
      </c>
      <c r="CP794" s="20">
        <v>-20.51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P795" s="20">
        <v>-4.43</v>
      </c>
      <c r="Q795" s="20">
        <v>33.24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M795" s="20">
        <v>25.15</v>
      </c>
      <c r="BN795" s="20">
        <v>35.6</v>
      </c>
      <c r="BW795" s="20">
        <v>-49.66</v>
      </c>
      <c r="BX795" s="20">
        <v>-23.35</v>
      </c>
      <c r="BZ795" s="20">
        <v>-61.12</v>
      </c>
      <c r="CA795" s="20">
        <v>15.13</v>
      </c>
      <c r="CO795" s="20">
        <v>9.19</v>
      </c>
      <c r="CP795" s="20">
        <v>-63.92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17</v>
      </c>
      <c r="M796" s="20">
        <v>-10.76</v>
      </c>
      <c r="N796" s="20">
        <v>37.7</v>
      </c>
      <c r="P796" s="20">
        <v>25.27</v>
      </c>
      <c r="Q796" s="20">
        <v>50.93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17</v>
      </c>
      <c r="AO796" s="20">
        <v>-26.73</v>
      </c>
      <c r="AP796" s="20">
        <v>-33.66</v>
      </c>
      <c r="AS796" s="20">
        <v>401.0</v>
      </c>
      <c r="AT796" s="20" t="s">
        <v>17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M796" s="20">
        <v>42.88</v>
      </c>
      <c r="BN796" s="20">
        <v>117.82</v>
      </c>
      <c r="BW796" s="20">
        <v>-52.06</v>
      </c>
      <c r="BX796" s="20">
        <v>-31.91</v>
      </c>
      <c r="BZ796" s="20">
        <v>-40.38</v>
      </c>
      <c r="CA796" s="20">
        <v>37.36</v>
      </c>
      <c r="CO796" s="20">
        <v>15.22</v>
      </c>
      <c r="CP796" s="20">
        <v>-64.19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P797" s="20">
        <v>-11.79</v>
      </c>
      <c r="Q797" s="20">
        <v>20.52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M797" s="20">
        <v>154.1</v>
      </c>
      <c r="BN797" s="20">
        <v>105.4</v>
      </c>
      <c r="BW797" s="20">
        <v>-24.31</v>
      </c>
      <c r="BX797" s="20">
        <v>-24.12</v>
      </c>
      <c r="BZ797" s="20">
        <v>-19.07</v>
      </c>
      <c r="CA797" s="20">
        <v>75.16</v>
      </c>
      <c r="CO797" s="20">
        <v>-2.98</v>
      </c>
      <c r="CP797" s="20">
        <v>-55.01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17</v>
      </c>
      <c r="M798" s="20">
        <v>38.35</v>
      </c>
      <c r="N798" s="20">
        <v>20.16</v>
      </c>
      <c r="P798" s="20">
        <v>-4.68</v>
      </c>
      <c r="Q798" s="20">
        <v>25.25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17</v>
      </c>
      <c r="AO798" s="20">
        <v>-0.43</v>
      </c>
      <c r="AP798" s="20">
        <v>115.51</v>
      </c>
      <c r="AS798" s="20">
        <v>402.0</v>
      </c>
      <c r="AT798" s="20" t="s">
        <v>17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M798" s="20">
        <v>80.69</v>
      </c>
      <c r="BN798" s="20">
        <v>131.98</v>
      </c>
      <c r="BW798" s="20">
        <v>-55.31</v>
      </c>
      <c r="BX798" s="20">
        <v>10.32</v>
      </c>
      <c r="BZ798" s="20">
        <v>0.33</v>
      </c>
      <c r="CA798" s="20">
        <v>74.85</v>
      </c>
      <c r="CO798" s="20">
        <v>-12.78</v>
      </c>
      <c r="CP798" s="20">
        <v>-61.51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P799" s="20">
        <v>-12.62</v>
      </c>
      <c r="Q799" s="20">
        <v>59.5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M799" s="20">
        <v>66.5</v>
      </c>
      <c r="BN799" s="20">
        <v>56.78</v>
      </c>
      <c r="BW799" s="20">
        <v>-46.55</v>
      </c>
      <c r="BX799" s="20">
        <v>-23.15</v>
      </c>
      <c r="BZ799" s="20">
        <v>-34.2</v>
      </c>
      <c r="CA799" s="20">
        <v>115.57</v>
      </c>
      <c r="CO799" s="20">
        <v>-42.88</v>
      </c>
      <c r="CP799" s="20">
        <v>-41.69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17</v>
      </c>
      <c r="M800" s="20">
        <v>-6.86</v>
      </c>
      <c r="N800" s="20">
        <v>32.86</v>
      </c>
      <c r="P800" s="20">
        <v>-10.0</v>
      </c>
      <c r="Q800" s="20">
        <v>77.0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17</v>
      </c>
      <c r="AO800" s="20">
        <v>10.77</v>
      </c>
      <c r="AP800" s="20">
        <v>18.76</v>
      </c>
      <c r="AS800" s="20">
        <v>403.0</v>
      </c>
      <c r="AT800" s="20" t="s">
        <v>17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M800" s="20">
        <v>139.35</v>
      </c>
      <c r="BN800" s="20">
        <v>95.62</v>
      </c>
      <c r="BW800" s="20">
        <v>-36.38</v>
      </c>
      <c r="BX800" s="20">
        <v>14.62</v>
      </c>
      <c r="BZ800" s="20">
        <v>-64.47</v>
      </c>
      <c r="CA800" s="20">
        <v>61.14</v>
      </c>
      <c r="CO800" s="20">
        <v>-20.5</v>
      </c>
      <c r="CP800" s="20">
        <v>-45.55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P801" s="20">
        <v>0.52</v>
      </c>
      <c r="Q801" s="20">
        <v>36.02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M801" s="20">
        <v>166.95</v>
      </c>
      <c r="BN801" s="20">
        <v>120.14</v>
      </c>
      <c r="BW801" s="20">
        <v>-15.05</v>
      </c>
      <c r="BX801" s="20">
        <v>-11.23</v>
      </c>
      <c r="BZ801" s="20">
        <v>1.39</v>
      </c>
      <c r="CA801" s="20">
        <v>15.38</v>
      </c>
      <c r="CO801" s="20">
        <v>-34.42</v>
      </c>
      <c r="CP801" s="20">
        <v>-52.84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17</v>
      </c>
      <c r="M802" s="20">
        <v>19.32</v>
      </c>
      <c r="N802" s="20">
        <v>67.73</v>
      </c>
      <c r="P802" s="20">
        <v>-0.97</v>
      </c>
      <c r="Q802" s="20">
        <v>27.54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17</v>
      </c>
      <c r="AO802" s="20">
        <v>14.06</v>
      </c>
      <c r="AP802" s="20">
        <v>49.93</v>
      </c>
      <c r="AS802" s="20">
        <v>404.0</v>
      </c>
      <c r="AT802" s="20" t="s">
        <v>17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M802" s="20">
        <v>-31.64</v>
      </c>
      <c r="BN802" s="20">
        <v>-30.56</v>
      </c>
      <c r="BW802" s="20">
        <v>-19.5</v>
      </c>
      <c r="BX802" s="20">
        <v>-21.2</v>
      </c>
      <c r="BZ802" s="20">
        <v>-32.2</v>
      </c>
      <c r="CA802" s="20">
        <v>-53.82</v>
      </c>
      <c r="CO802" s="20">
        <v>-30.01</v>
      </c>
      <c r="CP802" s="20">
        <v>-40.69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P803" s="20">
        <v>-15.12</v>
      </c>
      <c r="Q803" s="20">
        <v>23.85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M803" s="20">
        <v>26.55</v>
      </c>
      <c r="BN803" s="20">
        <v>51.8</v>
      </c>
      <c r="BW803" s="20">
        <v>-28.44</v>
      </c>
      <c r="BX803" s="20">
        <v>-29.82</v>
      </c>
      <c r="BZ803" s="20">
        <v>-24.09</v>
      </c>
      <c r="CA803" s="20">
        <v>118.21</v>
      </c>
      <c r="CO803" s="20">
        <v>-61.49</v>
      </c>
      <c r="CP803" s="20">
        <v>-27.0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17</v>
      </c>
      <c r="M804" s="20">
        <v>-7.34</v>
      </c>
      <c r="N804" s="20">
        <v>46.49</v>
      </c>
      <c r="P804" s="20">
        <v>45.33</v>
      </c>
      <c r="Q804" s="20">
        <v>74.77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17</v>
      </c>
      <c r="AO804" s="20">
        <v>-14.97</v>
      </c>
      <c r="AP804" s="20">
        <v>-18.57</v>
      </c>
      <c r="AS804" s="20">
        <v>405.0</v>
      </c>
      <c r="AT804" s="20" t="s">
        <v>17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M804" s="20">
        <v>148.08</v>
      </c>
      <c r="BN804" s="20">
        <v>49.2</v>
      </c>
      <c r="BW804" s="20">
        <v>-40.14</v>
      </c>
      <c r="BX804" s="20">
        <v>-7.51</v>
      </c>
      <c r="BZ804" s="20">
        <v>-40.34</v>
      </c>
      <c r="CA804" s="20">
        <v>171.81</v>
      </c>
      <c r="CO804" s="20">
        <v>-59.65</v>
      </c>
      <c r="CP804" s="20">
        <v>-66.7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P805" s="20">
        <v>31.43</v>
      </c>
      <c r="Q805" s="20">
        <v>128.76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M805" s="20">
        <v>60.98</v>
      </c>
      <c r="BN805" s="20">
        <v>77.59</v>
      </c>
      <c r="BW805" s="20">
        <v>6.26</v>
      </c>
      <c r="BX805" s="20">
        <v>-23.03</v>
      </c>
      <c r="BZ805" s="20">
        <v>-46.19</v>
      </c>
      <c r="CA805" s="20">
        <v>45.13</v>
      </c>
      <c r="CO805" s="20">
        <v>-29.06</v>
      </c>
      <c r="CP805" s="20">
        <v>-38.34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17</v>
      </c>
      <c r="M806" s="20">
        <v>8.62</v>
      </c>
      <c r="N806" s="20">
        <v>7.83</v>
      </c>
      <c r="P806" s="20">
        <v>21.4</v>
      </c>
      <c r="Q806" s="20">
        <v>154.25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17</v>
      </c>
      <c r="AO806" s="20">
        <v>2.42</v>
      </c>
      <c r="AP806" s="20">
        <v>-44.01</v>
      </c>
      <c r="AS806" s="20">
        <v>406.0</v>
      </c>
      <c r="AT806" s="20" t="s">
        <v>17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M806" s="20">
        <v>152.81</v>
      </c>
      <c r="BN806" s="20">
        <v>58.55</v>
      </c>
      <c r="BW806" s="20">
        <v>-49.85</v>
      </c>
      <c r="BX806" s="20">
        <v>-27.02</v>
      </c>
      <c r="BZ806" s="20">
        <v>-24.47</v>
      </c>
      <c r="CA806" s="20">
        <v>6.57</v>
      </c>
      <c r="CO806" s="20">
        <v>-27.32</v>
      </c>
      <c r="CP806" s="20">
        <v>-25.02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P807" s="20">
        <v>-8.53</v>
      </c>
      <c r="Q807" s="20">
        <v>78.66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M807" s="20">
        <v>32.32</v>
      </c>
      <c r="BN807" s="20">
        <v>80.75</v>
      </c>
      <c r="BW807" s="20">
        <v>-11.38</v>
      </c>
      <c r="BX807" s="20">
        <v>-23.56</v>
      </c>
      <c r="BZ807" s="20">
        <v>-36.02</v>
      </c>
      <c r="CA807" s="20">
        <v>132.9</v>
      </c>
      <c r="CO807" s="20">
        <v>-28.93</v>
      </c>
      <c r="CP807" s="20">
        <v>-51.11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17</v>
      </c>
      <c r="M808" s="20">
        <v>-32.55</v>
      </c>
      <c r="N808" s="20">
        <v>33.88</v>
      </c>
      <c r="P808" s="20">
        <v>23.33</v>
      </c>
      <c r="Q808" s="20">
        <v>207.8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17</v>
      </c>
      <c r="AO808" s="20">
        <v>83.07</v>
      </c>
      <c r="AP808" s="20">
        <v>-20.98</v>
      </c>
      <c r="AS808" s="20">
        <v>407.0</v>
      </c>
      <c r="AT808" s="20" t="s">
        <v>17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M808" s="20">
        <v>106.76</v>
      </c>
      <c r="BN808" s="20">
        <v>161.71</v>
      </c>
      <c r="BW808" s="20">
        <v>-51.74</v>
      </c>
      <c r="BX808" s="20">
        <v>24.45</v>
      </c>
      <c r="BZ808" s="20">
        <v>-56.36</v>
      </c>
      <c r="CA808" s="20">
        <v>71.3</v>
      </c>
      <c r="CO808" s="20">
        <v>26.3</v>
      </c>
      <c r="CP808" s="20">
        <v>-26.26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P809" s="20">
        <v>13.5</v>
      </c>
      <c r="Q809" s="20">
        <v>109.41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M809" s="20">
        <v>124.59</v>
      </c>
      <c r="BN809" s="20">
        <v>114.11</v>
      </c>
      <c r="BW809" s="20">
        <v>-33.37</v>
      </c>
      <c r="BX809" s="20">
        <v>-11.82</v>
      </c>
      <c r="BZ809" s="20">
        <v>-40.01</v>
      </c>
      <c r="CA809" s="20">
        <v>26.32</v>
      </c>
      <c r="CO809" s="20">
        <v>-41.18</v>
      </c>
      <c r="CP809" s="20">
        <v>-33.66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17</v>
      </c>
      <c r="M810" s="20">
        <v>8.39</v>
      </c>
      <c r="N810" s="20">
        <v>41.57</v>
      </c>
      <c r="P810" s="20">
        <v>16.54</v>
      </c>
      <c r="Q810" s="20">
        <v>172.37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17</v>
      </c>
      <c r="AO810" s="20">
        <v>-3.7</v>
      </c>
      <c r="AP810" s="20">
        <v>49.48</v>
      </c>
      <c r="AS810" s="20">
        <v>408.0</v>
      </c>
      <c r="AT810" s="20" t="s">
        <v>17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M810" s="20">
        <v>132.18</v>
      </c>
      <c r="BN810" s="20">
        <v>121.47</v>
      </c>
      <c r="BW810" s="20">
        <v>-37.15</v>
      </c>
      <c r="BX810" s="20">
        <v>-21.86</v>
      </c>
      <c r="BZ810" s="20">
        <v>-37.43</v>
      </c>
      <c r="CA810" s="20">
        <v>16.08</v>
      </c>
      <c r="CO810" s="20">
        <v>-41.46</v>
      </c>
      <c r="CP810" s="20">
        <v>-40.97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P811" s="20">
        <v>-3.14</v>
      </c>
      <c r="Q811" s="20">
        <v>20.5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M811" s="20">
        <v>17.97</v>
      </c>
      <c r="BN811" s="20">
        <v>67.81</v>
      </c>
      <c r="BW811" s="20">
        <v>5.71</v>
      </c>
      <c r="BX811" s="20">
        <v>-31.74</v>
      </c>
      <c r="BZ811" s="20">
        <v>-30.04</v>
      </c>
      <c r="CA811" s="20">
        <v>-5.96</v>
      </c>
      <c r="CO811" s="20">
        <v>-21.44</v>
      </c>
      <c r="CP811" s="20">
        <v>-37.86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17</v>
      </c>
      <c r="M812" s="20">
        <v>-37.39</v>
      </c>
      <c r="N812" s="20">
        <v>-13.98</v>
      </c>
      <c r="P812" s="20">
        <v>24.51</v>
      </c>
      <c r="Q812" s="20">
        <v>66.52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17</v>
      </c>
      <c r="AO812" s="20">
        <v>-48.46</v>
      </c>
      <c r="AP812" s="20">
        <v>-21.6</v>
      </c>
      <c r="AS812" s="20">
        <v>409.0</v>
      </c>
      <c r="AT812" s="20" t="s">
        <v>17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M812" s="20">
        <v>58.62</v>
      </c>
      <c r="BN812" s="20">
        <v>168.93</v>
      </c>
      <c r="BW812" s="20">
        <v>-47.65</v>
      </c>
      <c r="BX812" s="20">
        <v>-24.04</v>
      </c>
      <c r="BZ812" s="20">
        <v>-53.02</v>
      </c>
      <c r="CA812" s="20">
        <v>33.04</v>
      </c>
      <c r="CO812" s="20">
        <v>3.3</v>
      </c>
      <c r="CP812" s="20">
        <v>-51.26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P813" s="20">
        <v>-22.6</v>
      </c>
      <c r="Q813" s="20">
        <v>-8.48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M813" s="20">
        <v>84.63</v>
      </c>
      <c r="BN813" s="20">
        <v>67.01</v>
      </c>
      <c r="BW813" s="20">
        <v>-19.33</v>
      </c>
      <c r="BX813" s="20">
        <v>-56.8</v>
      </c>
      <c r="BZ813" s="20">
        <v>-45.27</v>
      </c>
      <c r="CA813" s="20">
        <v>78.26</v>
      </c>
      <c r="CO813" s="20">
        <v>20.12</v>
      </c>
      <c r="CP813" s="20">
        <v>-44.34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17</v>
      </c>
      <c r="M814" s="20">
        <v>-13.58</v>
      </c>
      <c r="N814" s="20">
        <v>6.82</v>
      </c>
      <c r="P814" s="20">
        <v>-28.13</v>
      </c>
      <c r="Q814" s="20">
        <v>-5.49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17</v>
      </c>
      <c r="AO814" s="20">
        <v>-0.31</v>
      </c>
      <c r="AP814" s="20">
        <v>73.44</v>
      </c>
      <c r="AS814" s="20">
        <v>410.0</v>
      </c>
      <c r="AT814" s="20" t="s">
        <v>17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M814" s="20">
        <v>109.56</v>
      </c>
      <c r="BN814" s="20">
        <v>180.79</v>
      </c>
      <c r="BW814" s="20">
        <v>-34.05</v>
      </c>
      <c r="BX814" s="20">
        <v>42.81</v>
      </c>
      <c r="BZ814" s="20">
        <v>-63.24</v>
      </c>
      <c r="CA814" s="20">
        <v>-18.27</v>
      </c>
      <c r="CO814" s="20">
        <v>-6.56</v>
      </c>
      <c r="CP814" s="20">
        <v>-53.02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P815" s="20">
        <v>-26.95</v>
      </c>
      <c r="Q815" s="20">
        <v>-8.99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M815" s="20">
        <v>41.62</v>
      </c>
      <c r="BN815" s="20">
        <v>108.48</v>
      </c>
      <c r="BW815" s="20">
        <v>-40.27</v>
      </c>
      <c r="BX815" s="20">
        <v>-27.36</v>
      </c>
      <c r="BZ815" s="20">
        <v>-18.74</v>
      </c>
      <c r="CA815" s="20">
        <v>74.32</v>
      </c>
      <c r="CO815" s="20">
        <v>-13.77</v>
      </c>
      <c r="CP815" s="20">
        <v>-62.24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17</v>
      </c>
      <c r="M816" s="20">
        <v>-35.32</v>
      </c>
      <c r="N816" s="20">
        <v>-18.28</v>
      </c>
      <c r="P816" s="20">
        <v>8.65</v>
      </c>
      <c r="Q816" s="20">
        <v>76.42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17</v>
      </c>
      <c r="AO816" s="20">
        <v>19.02</v>
      </c>
      <c r="AP816" s="20">
        <v>13.73</v>
      </c>
      <c r="AS816" s="20">
        <v>411.0</v>
      </c>
      <c r="AT816" s="20" t="s">
        <v>17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M816" s="20">
        <v>103.8</v>
      </c>
      <c r="BN816" s="20">
        <v>59.85</v>
      </c>
      <c r="BW816" s="20">
        <v>-39.0</v>
      </c>
      <c r="BX816" s="20">
        <v>-56.37</v>
      </c>
      <c r="BZ816" s="20">
        <v>-51.28</v>
      </c>
      <c r="CA816" s="20">
        <v>49.87</v>
      </c>
      <c r="CO816" s="20">
        <v>-9.52</v>
      </c>
      <c r="CP816" s="20">
        <v>-51.09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P817" s="20">
        <v>5.33</v>
      </c>
      <c r="Q817" s="20">
        <v>25.74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M817" s="20">
        <v>26.66</v>
      </c>
      <c r="BN817" s="20">
        <v>167.77</v>
      </c>
      <c r="BW817" s="20">
        <v>-30.03</v>
      </c>
      <c r="BX817" s="20">
        <v>-31.34</v>
      </c>
      <c r="BZ817" s="20">
        <v>49.54</v>
      </c>
      <c r="CA817" s="20">
        <v>91.64</v>
      </c>
      <c r="CO817" s="20">
        <v>-41.78</v>
      </c>
      <c r="CP817" s="20">
        <v>-44.02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17</v>
      </c>
      <c r="M818" s="20">
        <v>-21.19</v>
      </c>
      <c r="N818" s="20">
        <v>26.54</v>
      </c>
      <c r="P818" s="20">
        <v>-36.73</v>
      </c>
      <c r="Q818" s="20">
        <v>-18.98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17</v>
      </c>
      <c r="AO818" s="20">
        <v>-14.73</v>
      </c>
      <c r="AP818" s="20">
        <v>-11.21</v>
      </c>
      <c r="AS818" s="20">
        <v>412.0</v>
      </c>
      <c r="AT818" s="20" t="s">
        <v>17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M818" s="20">
        <v>32.99</v>
      </c>
      <c r="BN818" s="20">
        <v>80.84</v>
      </c>
      <c r="BW818" s="20">
        <v>-51.35</v>
      </c>
      <c r="BX818" s="20">
        <v>-21.94</v>
      </c>
      <c r="BZ818" s="20">
        <v>-62.33</v>
      </c>
      <c r="CA818" s="20">
        <v>-8.1</v>
      </c>
      <c r="CO818" s="20">
        <v>-16.8</v>
      </c>
      <c r="CP818" s="20">
        <v>-43.06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P819" s="20">
        <v>30.98</v>
      </c>
      <c r="Q819" s="20">
        <v>49.38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M819" s="20">
        <v>101.04</v>
      </c>
      <c r="BN819" s="20">
        <v>117.43</v>
      </c>
      <c r="BW819" s="20">
        <v>-4.18</v>
      </c>
      <c r="BX819" s="20">
        <v>-13.75</v>
      </c>
      <c r="BZ819" s="20">
        <v>-21.55</v>
      </c>
      <c r="CA819" s="20">
        <v>94.02</v>
      </c>
      <c r="CO819" s="20">
        <v>-34.37</v>
      </c>
      <c r="CP819" s="20">
        <v>-56.73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17</v>
      </c>
      <c r="M820" s="20">
        <v>-30.55</v>
      </c>
      <c r="N820" s="20">
        <v>29.18</v>
      </c>
      <c r="P820" s="20">
        <v>1.67</v>
      </c>
      <c r="Q820" s="20">
        <v>86.87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17</v>
      </c>
      <c r="AO820" s="20">
        <v>-11.58</v>
      </c>
      <c r="AP820" s="20">
        <v>9.52</v>
      </c>
      <c r="AS820" s="20">
        <v>413.0</v>
      </c>
      <c r="AT820" s="20" t="s">
        <v>17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M820" s="20">
        <v>208.47</v>
      </c>
      <c r="BN820" s="20">
        <v>111.03</v>
      </c>
      <c r="BW820" s="20">
        <v>-31.93</v>
      </c>
      <c r="BX820" s="20">
        <v>-23.07</v>
      </c>
      <c r="BZ820" s="20">
        <v>-42.73</v>
      </c>
      <c r="CA820" s="20">
        <v>19.37</v>
      </c>
      <c r="CO820" s="20">
        <v>0.85</v>
      </c>
      <c r="CP820" s="20">
        <v>-39.34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P821" s="20">
        <v>28.87</v>
      </c>
      <c r="Q821" s="20">
        <v>34.15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M821" s="20">
        <v>157.13</v>
      </c>
      <c r="BN821" s="20">
        <v>155.77</v>
      </c>
      <c r="BW821" s="20">
        <v>-40.92</v>
      </c>
      <c r="BX821" s="20">
        <v>-20.06</v>
      </c>
      <c r="BZ821" s="20">
        <v>-48.11</v>
      </c>
      <c r="CA821" s="20">
        <v>120.72</v>
      </c>
      <c r="CO821" s="20">
        <v>-20.26</v>
      </c>
      <c r="CP821" s="20">
        <v>-50.24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17</v>
      </c>
      <c r="M822" s="20">
        <v>-9.67</v>
      </c>
      <c r="N822" s="20">
        <v>88.47</v>
      </c>
      <c r="P822" s="20">
        <v>-27.25</v>
      </c>
      <c r="Q822" s="20">
        <v>16.3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17</v>
      </c>
      <c r="AO822" s="20">
        <v>8.24</v>
      </c>
      <c r="AP822" s="20">
        <v>16.37</v>
      </c>
      <c r="AS822" s="20">
        <v>414.0</v>
      </c>
      <c r="AT822" s="20" t="s">
        <v>17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M822" s="20">
        <v>192.6</v>
      </c>
      <c r="BN822" s="20">
        <v>125.91</v>
      </c>
      <c r="BW822" s="20">
        <v>-44.2</v>
      </c>
      <c r="BX822" s="20">
        <v>-60.72</v>
      </c>
      <c r="BZ822" s="20">
        <v>-63.77</v>
      </c>
      <c r="CA822" s="20">
        <v>90.62</v>
      </c>
      <c r="CO822" s="20">
        <v>-3.26</v>
      </c>
      <c r="CP822" s="20">
        <v>-35.54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P823" s="20">
        <v>-14.04</v>
      </c>
      <c r="Q823" s="20">
        <v>12.44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M823" s="20">
        <v>24.46</v>
      </c>
      <c r="BN823" s="20">
        <v>60.49</v>
      </c>
      <c r="BW823" s="20">
        <v>-59.21</v>
      </c>
      <c r="BX823" s="20">
        <v>-26.6</v>
      </c>
      <c r="BZ823" s="20">
        <v>-26.0</v>
      </c>
      <c r="CA823" s="20">
        <v>73.0</v>
      </c>
      <c r="CO823" s="20">
        <v>-31.09</v>
      </c>
      <c r="CP823" s="20">
        <v>-33.47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17</v>
      </c>
      <c r="M824" s="20">
        <v>-9.03</v>
      </c>
      <c r="N824" s="20">
        <v>43.06</v>
      </c>
      <c r="P824" s="20">
        <v>-20.36</v>
      </c>
      <c r="Q824" s="20">
        <v>27.57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17</v>
      </c>
      <c r="AO824" s="20">
        <v>-26.75</v>
      </c>
      <c r="AP824" s="20">
        <v>-15.29</v>
      </c>
      <c r="AS824" s="20">
        <v>415.0</v>
      </c>
      <c r="AT824" s="20" t="s">
        <v>17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M824" s="20">
        <v>106.72</v>
      </c>
      <c r="BN824" s="20">
        <v>80.79</v>
      </c>
      <c r="BW824" s="20">
        <v>0.58</v>
      </c>
      <c r="BX824" s="20">
        <v>-31.79</v>
      </c>
      <c r="BZ824" s="20">
        <v>-54.65</v>
      </c>
      <c r="CA824" s="20">
        <v>43.7</v>
      </c>
      <c r="CO824" s="20">
        <v>-31.9</v>
      </c>
      <c r="CP824" s="20">
        <v>-33.43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P825" s="20">
        <v>0.57</v>
      </c>
      <c r="Q825" s="20">
        <v>9.13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M825" s="20">
        <v>140.88</v>
      </c>
      <c r="BN825" s="20">
        <v>129.09</v>
      </c>
      <c r="BW825" s="20">
        <v>-54.42</v>
      </c>
      <c r="BX825" s="20">
        <v>-28.2</v>
      </c>
      <c r="BZ825" s="20">
        <v>-41.17</v>
      </c>
      <c r="CA825" s="20">
        <v>223.2</v>
      </c>
      <c r="CO825" s="20">
        <v>-27.04</v>
      </c>
      <c r="CP825" s="20">
        <v>-41.73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17</v>
      </c>
      <c r="M826" s="20">
        <v>7.86</v>
      </c>
      <c r="N826" s="20">
        <v>28.21</v>
      </c>
      <c r="P826" s="20">
        <v>-17.43</v>
      </c>
      <c r="Q826" s="20">
        <v>45.08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17</v>
      </c>
      <c r="AO826" s="20">
        <v>-19.91</v>
      </c>
      <c r="AP826" s="20">
        <v>-8.14</v>
      </c>
      <c r="AS826" s="20">
        <v>416.0</v>
      </c>
      <c r="AT826" s="20" t="s">
        <v>17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M826" s="20">
        <v>134.59</v>
      </c>
      <c r="BN826" s="20">
        <v>134.38</v>
      </c>
      <c r="BW826" s="20">
        <v>-4.66</v>
      </c>
      <c r="BX826" s="20">
        <v>-21.6</v>
      </c>
      <c r="BZ826" s="20">
        <v>-63.41</v>
      </c>
      <c r="CA826" s="20">
        <v>215.03</v>
      </c>
      <c r="CO826" s="20">
        <v>-41.27</v>
      </c>
      <c r="CP826" s="20">
        <v>-46.37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P827" s="20">
        <v>-6.34</v>
      </c>
      <c r="Q827" s="20">
        <v>79.73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M827" s="20">
        <v>18.28</v>
      </c>
      <c r="BN827" s="20">
        <v>95.01</v>
      </c>
      <c r="BW827" s="20">
        <v>-39.8</v>
      </c>
      <c r="BX827" s="20">
        <v>-40.73</v>
      </c>
      <c r="BZ827" s="20">
        <v>-32.09</v>
      </c>
      <c r="CA827" s="20">
        <v>3.22</v>
      </c>
      <c r="CO827" s="20">
        <v>-30.75</v>
      </c>
      <c r="CP827" s="20">
        <v>-14.3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17</v>
      </c>
      <c r="M828" s="20">
        <v>-7.94</v>
      </c>
      <c r="N828" s="20">
        <v>-21.05</v>
      </c>
      <c r="P828" s="20">
        <v>8.09</v>
      </c>
      <c r="Q828" s="20">
        <v>126.16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17</v>
      </c>
      <c r="AO828" s="20">
        <v>-31.89</v>
      </c>
      <c r="AP828" s="20">
        <v>-2.03</v>
      </c>
      <c r="AS828" s="20">
        <v>417.0</v>
      </c>
      <c r="AT828" s="20" t="s">
        <v>17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M828" s="20">
        <v>22.03</v>
      </c>
      <c r="BN828" s="20">
        <v>66.64</v>
      </c>
      <c r="BW828" s="20">
        <v>-31.49</v>
      </c>
      <c r="BX828" s="20">
        <v>1.52</v>
      </c>
      <c r="BZ828" s="20">
        <v>13.6</v>
      </c>
      <c r="CA828" s="20">
        <v>-19.68</v>
      </c>
      <c r="CO828" s="20">
        <v>-14.24</v>
      </c>
      <c r="CP828" s="20">
        <v>-45.84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P829" s="20">
        <v>-6.25</v>
      </c>
      <c r="Q829" s="20">
        <v>21.98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M829" s="20">
        <v>109.76</v>
      </c>
      <c r="BN829" s="20">
        <v>128.4</v>
      </c>
      <c r="BW829" s="20">
        <v>27.56</v>
      </c>
      <c r="BX829" s="20">
        <v>-68.02</v>
      </c>
      <c r="BZ829" s="20">
        <v>-31.23</v>
      </c>
      <c r="CA829" s="20">
        <v>79.67</v>
      </c>
      <c r="CO829" s="20">
        <v>-34.39</v>
      </c>
      <c r="CP829" s="20">
        <v>-33.85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17</v>
      </c>
      <c r="M830" s="20">
        <v>-24.14</v>
      </c>
      <c r="N830" s="20">
        <v>11.86</v>
      </c>
      <c r="P830" s="20">
        <v>-7.38</v>
      </c>
      <c r="Q830" s="20">
        <v>36.56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17</v>
      </c>
      <c r="AO830" s="20">
        <v>55.18</v>
      </c>
      <c r="AP830" s="20">
        <v>-7.31</v>
      </c>
      <c r="AS830" s="20">
        <v>418.0</v>
      </c>
      <c r="AT830" s="20" t="s">
        <v>17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M830" s="20">
        <v>110.14</v>
      </c>
      <c r="BN830" s="20">
        <v>126.94</v>
      </c>
      <c r="BW830" s="20">
        <v>-17.85</v>
      </c>
      <c r="BX830" s="20">
        <v>-29.82</v>
      </c>
      <c r="BZ830" s="20">
        <v>-39.32</v>
      </c>
      <c r="CA830" s="20">
        <v>21.06</v>
      </c>
      <c r="CO830" s="20">
        <v>-15.01</v>
      </c>
      <c r="CP830" s="20">
        <v>-54.15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P831" s="20">
        <v>-23.57</v>
      </c>
      <c r="Q831" s="20">
        <v>71.36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M831" s="20">
        <v>80.28</v>
      </c>
      <c r="BN831" s="20">
        <v>76.27</v>
      </c>
      <c r="BW831" s="20">
        <v>-30.42</v>
      </c>
      <c r="BX831" s="20">
        <v>-22.53</v>
      </c>
      <c r="BZ831" s="20">
        <v>-39.64</v>
      </c>
      <c r="CA831" s="20">
        <v>51.2</v>
      </c>
      <c r="CO831" s="20">
        <v>-22.18</v>
      </c>
      <c r="CP831" s="20">
        <v>-32.2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17</v>
      </c>
      <c r="M832" s="20">
        <v>-26.54</v>
      </c>
      <c r="N832" s="20">
        <v>12.3</v>
      </c>
      <c r="P832" s="20">
        <v>-6.37</v>
      </c>
      <c r="Q832" s="20">
        <v>72.38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17</v>
      </c>
      <c r="AO832" s="20">
        <v>-35.73</v>
      </c>
      <c r="AP832" s="20">
        <v>-48.42</v>
      </c>
      <c r="AS832" s="20">
        <v>419.0</v>
      </c>
      <c r="AT832" s="20" t="s">
        <v>17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M832" s="20">
        <v>5.36</v>
      </c>
      <c r="BN832" s="20">
        <v>142.34</v>
      </c>
      <c r="BW832" s="20">
        <v>-51.51</v>
      </c>
      <c r="BX832" s="20">
        <v>-31.37</v>
      </c>
      <c r="BZ832" s="20">
        <v>-73.33</v>
      </c>
      <c r="CA832" s="20">
        <v>61.3</v>
      </c>
      <c r="CO832" s="20">
        <v>-1.32</v>
      </c>
      <c r="CP832" s="20">
        <v>-34.18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P833" s="20">
        <v>-15.63</v>
      </c>
      <c r="Q833" s="20">
        <v>45.16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M833" s="20">
        <v>76.12</v>
      </c>
      <c r="BN833" s="20">
        <v>187.49</v>
      </c>
      <c r="BW833" s="20">
        <v>-48.18</v>
      </c>
      <c r="BX833" s="20">
        <v>-33.13</v>
      </c>
      <c r="BZ833" s="20">
        <v>-42.47</v>
      </c>
      <c r="CA833" s="20">
        <v>2.97</v>
      </c>
      <c r="CO833" s="20">
        <v>-45.47</v>
      </c>
      <c r="CP833" s="20">
        <v>-59.51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17</v>
      </c>
      <c r="M834" s="20">
        <v>-28.16</v>
      </c>
      <c r="N834" s="20">
        <v>11.28</v>
      </c>
      <c r="P834" s="20">
        <v>-1.24</v>
      </c>
      <c r="Q834" s="20">
        <v>98.46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17</v>
      </c>
      <c r="AO834" s="20">
        <v>-23.54</v>
      </c>
      <c r="AP834" s="20">
        <v>-13.14</v>
      </c>
      <c r="AS834" s="20">
        <v>420.0</v>
      </c>
      <c r="AT834" s="20" t="s">
        <v>17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M834" s="20">
        <v>16.28</v>
      </c>
      <c r="BN834" s="20">
        <v>147.72</v>
      </c>
      <c r="BW834" s="20">
        <v>-31.83</v>
      </c>
      <c r="BX834" s="20">
        <v>-33.51</v>
      </c>
      <c r="BZ834" s="20">
        <v>-47.9</v>
      </c>
      <c r="CA834" s="20">
        <v>114.23</v>
      </c>
      <c r="CO834" s="20">
        <v>-23.85</v>
      </c>
      <c r="CP834" s="20">
        <v>-60.56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P835" s="20">
        <v>9.94</v>
      </c>
      <c r="Q835" s="20">
        <v>77.2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M835" s="20">
        <v>81.67</v>
      </c>
      <c r="BN835" s="20">
        <v>102.35</v>
      </c>
      <c r="BW835" s="20">
        <v>-46.99</v>
      </c>
      <c r="BX835" s="20">
        <v>-13.15</v>
      </c>
      <c r="BZ835" s="20">
        <v>-27.56</v>
      </c>
      <c r="CA835" s="20">
        <v>6.63</v>
      </c>
      <c r="CO835" s="20">
        <v>-13.23</v>
      </c>
      <c r="CP835" s="20">
        <v>-24.67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17</v>
      </c>
      <c r="M836" s="20">
        <v>14.97</v>
      </c>
      <c r="N836" s="20">
        <v>12.86</v>
      </c>
      <c r="P836" s="20">
        <v>80.6</v>
      </c>
      <c r="Q836" s="20">
        <v>69.52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17</v>
      </c>
      <c r="AO836" s="20">
        <v>-39.47</v>
      </c>
      <c r="AP836" s="20">
        <v>22.97</v>
      </c>
      <c r="AS836" s="20">
        <v>421.0</v>
      </c>
      <c r="AT836" s="20" t="s">
        <v>17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M836" s="20">
        <v>137.12</v>
      </c>
      <c r="BN836" s="20">
        <v>3.96</v>
      </c>
      <c r="BW836" s="20">
        <v>-38.95</v>
      </c>
      <c r="BX836" s="20">
        <v>-20.16</v>
      </c>
      <c r="BZ836" s="20">
        <v>-14.03</v>
      </c>
      <c r="CA836" s="20">
        <v>-41.44</v>
      </c>
      <c r="CO836" s="20">
        <v>-14.63</v>
      </c>
      <c r="CP836" s="20">
        <v>-51.99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P837" s="20">
        <v>-11.04</v>
      </c>
      <c r="Q837" s="20">
        <v>19.86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M837" s="20">
        <v>84.65</v>
      </c>
      <c r="BN837" s="20">
        <v>128.79</v>
      </c>
      <c r="BW837" s="20">
        <v>-26.3</v>
      </c>
      <c r="BX837" s="20">
        <v>-37.99</v>
      </c>
      <c r="BZ837" s="20">
        <v>-34.11</v>
      </c>
      <c r="CA837" s="20">
        <v>47.68</v>
      </c>
      <c r="CO837" s="20">
        <v>-35.32</v>
      </c>
      <c r="CP837" s="20">
        <v>-65.56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17</v>
      </c>
      <c r="M838" s="20">
        <v>-31.19</v>
      </c>
      <c r="N838" s="20">
        <v>-75.25</v>
      </c>
      <c r="P838" s="20">
        <v>16.89</v>
      </c>
      <c r="Q838" s="20">
        <v>17.73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17</v>
      </c>
      <c r="AO838" s="20">
        <v>-3.56</v>
      </c>
      <c r="AP838" s="20">
        <v>-32.37</v>
      </c>
      <c r="AS838" s="20">
        <v>422.0</v>
      </c>
      <c r="AT838" s="20" t="s">
        <v>17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M838" s="20">
        <v>360.09</v>
      </c>
      <c r="BN838" s="20">
        <v>52.41</v>
      </c>
      <c r="BW838" s="20">
        <v>-41.87</v>
      </c>
      <c r="BX838" s="20">
        <v>-24.81</v>
      </c>
      <c r="BZ838" s="20">
        <v>-38.44</v>
      </c>
      <c r="CA838" s="20">
        <v>118.34</v>
      </c>
      <c r="CO838" s="20">
        <v>-20.67</v>
      </c>
      <c r="CP838" s="20">
        <v>-41.35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P839" s="20">
        <v>11.17</v>
      </c>
      <c r="Q839" s="20">
        <v>25.27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M839" s="20">
        <v>14.73</v>
      </c>
      <c r="BN839" s="20">
        <v>57.94</v>
      </c>
      <c r="BW839" s="20">
        <v>-44.31</v>
      </c>
      <c r="BX839" s="20">
        <v>-32.9</v>
      </c>
      <c r="BZ839" s="20">
        <v>-37.72</v>
      </c>
      <c r="CA839" s="20">
        <v>125.91</v>
      </c>
      <c r="CO839" s="20">
        <v>-18.55</v>
      </c>
      <c r="CP839" s="20">
        <v>-54.07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17</v>
      </c>
      <c r="M840" s="20">
        <v>-9.54</v>
      </c>
      <c r="N840" s="20">
        <v>21.43</v>
      </c>
      <c r="P840" s="20">
        <v>3.31</v>
      </c>
      <c r="Q840" s="20">
        <v>89.37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17</v>
      </c>
      <c r="AO840" s="20">
        <v>-17.09</v>
      </c>
      <c r="AP840" s="20">
        <v>-42.88</v>
      </c>
      <c r="AS840" s="20">
        <v>423.0</v>
      </c>
      <c r="AT840" s="20" t="s">
        <v>17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M840" s="20">
        <v>50.02</v>
      </c>
      <c r="BN840" s="20">
        <v>60.71</v>
      </c>
      <c r="BW840" s="20">
        <v>-16.24</v>
      </c>
      <c r="BX840" s="20">
        <v>-3.15</v>
      </c>
      <c r="BZ840" s="20">
        <v>-51.11</v>
      </c>
      <c r="CA840" s="20">
        <v>130.22</v>
      </c>
      <c r="CO840" s="20">
        <v>23.14</v>
      </c>
      <c r="CP840" s="20">
        <v>-25.61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P841" s="20">
        <v>-6.66</v>
      </c>
      <c r="Q841" s="20">
        <v>59.09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M841" s="20">
        <v>90.84</v>
      </c>
      <c r="BN841" s="20">
        <v>95.74</v>
      </c>
      <c r="BW841" s="20">
        <v>-30.16</v>
      </c>
      <c r="BX841" s="20">
        <v>-20.15</v>
      </c>
      <c r="BZ841" s="20">
        <v>-30.73</v>
      </c>
      <c r="CA841" s="20">
        <v>64.41</v>
      </c>
      <c r="CO841" s="20">
        <v>-4.39</v>
      </c>
      <c r="CP841" s="20">
        <v>-58.39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17</v>
      </c>
      <c r="M842" s="20">
        <v>-19.09</v>
      </c>
      <c r="N842" s="20">
        <v>27.62</v>
      </c>
      <c r="P842" s="20">
        <v>24.15</v>
      </c>
      <c r="Q842" s="20">
        <v>118.61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17</v>
      </c>
      <c r="AO842" s="20">
        <v>2.16</v>
      </c>
      <c r="AP842" s="20">
        <v>-25.7</v>
      </c>
      <c r="AS842" s="20">
        <v>424.0</v>
      </c>
      <c r="AT842" s="20" t="s">
        <v>17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M842" s="20">
        <v>61.9</v>
      </c>
      <c r="BN842" s="20">
        <v>180.08</v>
      </c>
      <c r="BW842" s="20">
        <v>-61.83</v>
      </c>
      <c r="BX842" s="20">
        <v>-35.18</v>
      </c>
      <c r="BZ842" s="20">
        <v>-45.47</v>
      </c>
      <c r="CA842" s="20">
        <v>51.68</v>
      </c>
      <c r="CO842" s="20">
        <v>-32.59</v>
      </c>
      <c r="CP842" s="20">
        <v>-55.93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P843" s="20">
        <v>14.04</v>
      </c>
      <c r="Q843" s="20">
        <v>38.24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M843" s="20">
        <v>32.59</v>
      </c>
      <c r="BN843" s="20">
        <v>82.74</v>
      </c>
      <c r="BW843" s="20">
        <v>-39.36</v>
      </c>
      <c r="BX843" s="20">
        <v>-1.04</v>
      </c>
      <c r="BZ843" s="20">
        <v>-45.43</v>
      </c>
      <c r="CA843" s="20">
        <v>57.77</v>
      </c>
      <c r="CO843" s="20">
        <v>5.1</v>
      </c>
      <c r="CP843" s="20">
        <v>-53.52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17</v>
      </c>
      <c r="M844" s="20">
        <v>-34.55</v>
      </c>
      <c r="N844" s="20">
        <v>-29.64</v>
      </c>
      <c r="P844" s="20">
        <v>40.8</v>
      </c>
      <c r="Q844" s="20">
        <v>48.89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17</v>
      </c>
      <c r="AO844" s="20">
        <v>-15.99</v>
      </c>
      <c r="AP844" s="20">
        <v>-32.38</v>
      </c>
      <c r="AS844" s="20">
        <v>425.0</v>
      </c>
      <c r="AT844" s="20" t="s">
        <v>17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M844" s="20">
        <v>-10.31</v>
      </c>
      <c r="BN844" s="20">
        <v>97.39</v>
      </c>
      <c r="BW844" s="20">
        <v>-41.63</v>
      </c>
      <c r="BX844" s="20">
        <v>-27.54</v>
      </c>
      <c r="BZ844" s="20">
        <v>-48.18</v>
      </c>
      <c r="CA844" s="20">
        <v>43.12</v>
      </c>
      <c r="CO844" s="20">
        <v>-1.39</v>
      </c>
      <c r="CP844" s="20">
        <v>-61.82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P845" s="20">
        <v>-1.9</v>
      </c>
      <c r="Q845" s="20">
        <v>35.14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M845" s="20">
        <v>157.06</v>
      </c>
      <c r="BN845" s="20">
        <v>130.11</v>
      </c>
      <c r="BW845" s="20">
        <v>-31.18</v>
      </c>
      <c r="BX845" s="20">
        <v>-29.34</v>
      </c>
      <c r="BZ845" s="20">
        <v>-25.47</v>
      </c>
      <c r="CA845" s="20">
        <v>72.88</v>
      </c>
      <c r="CO845" s="20">
        <v>32.76</v>
      </c>
      <c r="CP845" s="20">
        <v>-49.37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17</v>
      </c>
      <c r="M846" s="20">
        <v>-16.44</v>
      </c>
      <c r="N846" s="20">
        <v>39.55</v>
      </c>
      <c r="P846" s="20">
        <v>0.21</v>
      </c>
      <c r="Q846" s="20">
        <v>28.04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17</v>
      </c>
      <c r="AO846" s="20">
        <v>-13.89</v>
      </c>
      <c r="AP846" s="20">
        <v>5.11</v>
      </c>
      <c r="AS846" s="20">
        <v>426.0</v>
      </c>
      <c r="AT846" s="20" t="s">
        <v>17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M846" s="20">
        <v>172.86</v>
      </c>
      <c r="BN846" s="20">
        <v>104.87</v>
      </c>
      <c r="BW846" s="20">
        <v>7.15</v>
      </c>
      <c r="BX846" s="20">
        <v>-19.51</v>
      </c>
      <c r="BZ846" s="20">
        <v>-45.46</v>
      </c>
      <c r="CA846" s="20">
        <v>35.23</v>
      </c>
      <c r="CO846" s="20">
        <v>5.22</v>
      </c>
      <c r="CP846" s="20">
        <v>-63.96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P847" s="20">
        <v>19.18</v>
      </c>
      <c r="Q847" s="20">
        <v>14.02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M847" s="20">
        <v>59.43</v>
      </c>
      <c r="BN847" s="20">
        <v>95.53</v>
      </c>
      <c r="BW847" s="20">
        <v>1.52</v>
      </c>
      <c r="BX847" s="20">
        <v>-26.34</v>
      </c>
      <c r="BZ847" s="20">
        <v>-31.06</v>
      </c>
      <c r="CA847" s="20">
        <v>87.23</v>
      </c>
      <c r="CO847" s="20">
        <v>51.43</v>
      </c>
      <c r="CP847" s="20">
        <v>-55.0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17</v>
      </c>
      <c r="M848" s="20">
        <v>-21.15</v>
      </c>
      <c r="N848" s="20">
        <v>28.59</v>
      </c>
      <c r="P848" s="20">
        <v>-15.02</v>
      </c>
      <c r="Q848" s="20">
        <v>53.73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17</v>
      </c>
      <c r="AO848" s="20">
        <v>28.02</v>
      </c>
      <c r="AP848" s="20">
        <v>7.89</v>
      </c>
      <c r="AS848" s="20">
        <v>427.0</v>
      </c>
      <c r="AT848" s="20" t="s">
        <v>17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M848" s="20">
        <v>113.74</v>
      </c>
      <c r="BN848" s="20">
        <v>31.05</v>
      </c>
      <c r="BW848" s="20">
        <v>11.77</v>
      </c>
      <c r="BX848" s="20">
        <v>-26.63</v>
      </c>
      <c r="BZ848" s="20">
        <v>-58.84</v>
      </c>
      <c r="CA848" s="20">
        <v>112.6</v>
      </c>
      <c r="CO848" s="20">
        <v>-9.46</v>
      </c>
      <c r="CP848" s="20">
        <v>-52.46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P849" s="20">
        <v>-5.64</v>
      </c>
      <c r="Q849" s="20">
        <v>54.35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M849" s="20">
        <v>131.73</v>
      </c>
      <c r="BN849" s="20">
        <v>163.18</v>
      </c>
      <c r="BW849" s="20">
        <v>-38.88</v>
      </c>
      <c r="BX849" s="20">
        <v>-12.02</v>
      </c>
      <c r="BZ849" s="20">
        <v>-42.97</v>
      </c>
      <c r="CA849" s="20">
        <v>47.21</v>
      </c>
      <c r="CO849" s="20">
        <v>2.65</v>
      </c>
      <c r="CP849" s="20">
        <v>-59.37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17</v>
      </c>
      <c r="M850" s="20">
        <v>-0.58</v>
      </c>
      <c r="N850" s="20">
        <v>42.24</v>
      </c>
      <c r="P850" s="20">
        <v>-0.41</v>
      </c>
      <c r="Q850" s="20">
        <v>27.92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17</v>
      </c>
      <c r="AO850" s="20">
        <v>84.78</v>
      </c>
      <c r="AP850" s="20">
        <v>-49.85</v>
      </c>
      <c r="AS850" s="20">
        <v>428.0</v>
      </c>
      <c r="AT850" s="20" t="s">
        <v>17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M850" s="20">
        <v>180.63</v>
      </c>
      <c r="BN850" s="20">
        <v>106.87</v>
      </c>
      <c r="BW850" s="20">
        <v>-47.62</v>
      </c>
      <c r="BX850" s="20">
        <v>-29.83</v>
      </c>
      <c r="BZ850" s="20">
        <v>-47.89</v>
      </c>
      <c r="CA850" s="20">
        <v>118.66</v>
      </c>
      <c r="CO850" s="20">
        <v>44.98</v>
      </c>
      <c r="CP850" s="20">
        <v>-39.7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P851" s="20">
        <v>36.86</v>
      </c>
      <c r="Q851" s="20">
        <v>153.59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M851" s="20">
        <v>19.41</v>
      </c>
      <c r="BN851" s="20">
        <v>152.52</v>
      </c>
      <c r="BW851" s="20">
        <v>-1.28</v>
      </c>
      <c r="BX851" s="20">
        <v>-17.49</v>
      </c>
      <c r="BZ851" s="20">
        <v>-45.09</v>
      </c>
      <c r="CA851" s="20">
        <v>59.96</v>
      </c>
      <c r="CO851" s="20">
        <v>15.63</v>
      </c>
      <c r="CP851" s="20">
        <v>-51.15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17</v>
      </c>
      <c r="M852" s="20">
        <v>-26.86</v>
      </c>
      <c r="N852" s="20">
        <v>-30.23</v>
      </c>
      <c r="P852" s="20">
        <v>27.46</v>
      </c>
      <c r="Q852" s="20">
        <v>189.0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17</v>
      </c>
      <c r="AO852" s="20">
        <v>47.62</v>
      </c>
      <c r="AP852" s="20">
        <v>-3.08</v>
      </c>
      <c r="AS852" s="20">
        <v>429.0</v>
      </c>
      <c r="AT852" s="20" t="s">
        <v>17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M852" s="20">
        <v>22.67</v>
      </c>
      <c r="BN852" s="20">
        <v>89.84</v>
      </c>
      <c r="BW852" s="20">
        <v>-52.96</v>
      </c>
      <c r="BX852" s="20">
        <v>-12.6</v>
      </c>
      <c r="BZ852" s="20">
        <v>-25.18</v>
      </c>
      <c r="CA852" s="20">
        <v>114.04</v>
      </c>
      <c r="CO852" s="20">
        <v>-1.99</v>
      </c>
      <c r="CP852" s="20">
        <v>-56.04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P853" s="20">
        <v>-17.72</v>
      </c>
      <c r="Q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M853" s="20">
        <v>68.96</v>
      </c>
      <c r="BN853" s="20">
        <v>97.74</v>
      </c>
      <c r="BW853" s="20">
        <v>12.78</v>
      </c>
      <c r="BX853" s="20">
        <v>-23.57</v>
      </c>
      <c r="BZ853" s="20">
        <v>-39.11</v>
      </c>
      <c r="CA853" s="20">
        <v>58.42</v>
      </c>
      <c r="CO853" s="20">
        <v>-21.11</v>
      </c>
      <c r="CP853" s="20">
        <v>-48.97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17</v>
      </c>
      <c r="M854" s="20">
        <v>10.81</v>
      </c>
      <c r="N854" s="20">
        <v>34.75</v>
      </c>
      <c r="P854" s="20">
        <v>-36.57</v>
      </c>
      <c r="Q854" s="20">
        <v>-7.0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17</v>
      </c>
      <c r="AO854" s="20">
        <v>-21.05</v>
      </c>
      <c r="AP854" s="20">
        <v>-35.87</v>
      </c>
      <c r="AS854" s="20">
        <v>430.0</v>
      </c>
      <c r="AT854" s="20" t="s">
        <v>17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M854" s="20">
        <v>216.69</v>
      </c>
      <c r="BN854" s="20">
        <v>53.42</v>
      </c>
      <c r="BW854" s="20">
        <v>-12.41</v>
      </c>
      <c r="BX854" s="20">
        <v>-20.91</v>
      </c>
      <c r="BZ854" s="20">
        <v>-52.46</v>
      </c>
      <c r="CA854" s="20">
        <v>20.99</v>
      </c>
      <c r="CO854" s="20">
        <v>-25.75</v>
      </c>
      <c r="CP854" s="20">
        <v>-61.61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P855" s="20">
        <v>-33.96</v>
      </c>
      <c r="Q855" s="20">
        <v>-46.5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M855" s="20">
        <v>12.74</v>
      </c>
      <c r="BN855" s="20">
        <v>114.73</v>
      </c>
      <c r="BW855" s="20">
        <v>-15.94</v>
      </c>
      <c r="BX855" s="20">
        <v>-37.78</v>
      </c>
      <c r="BZ855" s="20">
        <v>-17.75</v>
      </c>
      <c r="CA855" s="20">
        <v>162.36</v>
      </c>
      <c r="CO855" s="20">
        <v>14.87</v>
      </c>
      <c r="CP855" s="20">
        <v>-45.56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17</v>
      </c>
      <c r="M856" s="20">
        <v>-48.81</v>
      </c>
      <c r="N856" s="20">
        <v>-17.75</v>
      </c>
      <c r="P856" s="20">
        <v>-10.64</v>
      </c>
      <c r="Q856" s="20">
        <v>34.84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17</v>
      </c>
      <c r="AO856" s="20">
        <v>-5.59</v>
      </c>
      <c r="AP856" s="20">
        <v>20.17</v>
      </c>
      <c r="AS856" s="20">
        <v>431.0</v>
      </c>
      <c r="AT856" s="20" t="s">
        <v>17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M856" s="20">
        <v>83.45</v>
      </c>
      <c r="BN856" s="20">
        <v>177.84</v>
      </c>
      <c r="BW856" s="20">
        <v>-42.11</v>
      </c>
      <c r="BX856" s="20">
        <v>-16.26</v>
      </c>
      <c r="BZ856" s="20">
        <v>-56.52</v>
      </c>
      <c r="CA856" s="20">
        <v>44.12</v>
      </c>
      <c r="CO856" s="20">
        <v>6.56</v>
      </c>
      <c r="CP856" s="20">
        <v>-39.69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P857" s="20">
        <v>-1.43</v>
      </c>
      <c r="Q857" s="20">
        <v>35.08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M857" s="20">
        <v>20.68</v>
      </c>
      <c r="BN857" s="20">
        <v>135.71</v>
      </c>
      <c r="BW857" s="20">
        <v>-19.93</v>
      </c>
      <c r="BX857" s="20">
        <v>-27.15</v>
      </c>
      <c r="BZ857" s="20">
        <v>-36.41</v>
      </c>
      <c r="CA857" s="20">
        <v>61.82</v>
      </c>
      <c r="CO857" s="20">
        <v>-28.37</v>
      </c>
      <c r="CP857" s="20">
        <v>-63.76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17</v>
      </c>
      <c r="M858" s="20">
        <v>-10.46</v>
      </c>
      <c r="N858" s="20">
        <v>63.55</v>
      </c>
      <c r="P858" s="20">
        <v>-11.17</v>
      </c>
      <c r="Q858" s="20">
        <v>8.32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17</v>
      </c>
      <c r="AO858" s="20">
        <v>12.73</v>
      </c>
      <c r="AP858" s="20">
        <v>5.17</v>
      </c>
      <c r="AS858" s="20">
        <v>432.0</v>
      </c>
      <c r="AT858" s="20" t="s">
        <v>17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M858" s="20">
        <v>121.58</v>
      </c>
      <c r="BN858" s="20">
        <v>138.61</v>
      </c>
      <c r="BW858" s="20">
        <v>-24.41</v>
      </c>
      <c r="BX858" s="20">
        <v>-16.36</v>
      </c>
      <c r="BZ858" s="20">
        <v>-45.94</v>
      </c>
      <c r="CA858" s="20">
        <v>1.63</v>
      </c>
      <c r="CO858" s="20">
        <v>-13.9</v>
      </c>
      <c r="CP858" s="20">
        <v>-45.71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P859" s="20">
        <v>-17.04</v>
      </c>
      <c r="Q859" s="20">
        <v>16.26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M859" s="20">
        <v>-2.3</v>
      </c>
      <c r="BN859" s="20">
        <v>105.81</v>
      </c>
      <c r="BW859" s="20">
        <v>-29.54</v>
      </c>
      <c r="BX859" s="20">
        <v>10.67</v>
      </c>
      <c r="BZ859" s="20">
        <v>0.68</v>
      </c>
      <c r="CA859" s="20">
        <v>16.55</v>
      </c>
      <c r="CO859" s="20">
        <v>-16.03</v>
      </c>
      <c r="CP859" s="20">
        <v>-47.95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17</v>
      </c>
      <c r="M860" s="20">
        <v>-42.12</v>
      </c>
      <c r="N860" s="20">
        <v>-23.99</v>
      </c>
      <c r="P860" s="20">
        <v>-23.96</v>
      </c>
      <c r="Q860" s="20">
        <v>19.27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17</v>
      </c>
      <c r="AO860" s="20">
        <v>-19.71</v>
      </c>
      <c r="AP860" s="20">
        <v>-30.17</v>
      </c>
      <c r="AS860" s="20">
        <v>433.0</v>
      </c>
      <c r="AT860" s="20" t="s">
        <v>17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M860" s="20">
        <v>34.66</v>
      </c>
      <c r="BN860" s="20">
        <v>138.57</v>
      </c>
      <c r="BW860" s="20">
        <v>-38.22</v>
      </c>
      <c r="BX860" s="20">
        <v>-38.45</v>
      </c>
      <c r="BZ860" s="20">
        <v>-21.95</v>
      </c>
      <c r="CA860" s="20">
        <v>0.91</v>
      </c>
      <c r="CO860" s="20">
        <v>-32.53</v>
      </c>
      <c r="CP860" s="20">
        <v>-51.3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P861" s="20">
        <v>-5.2</v>
      </c>
      <c r="Q861" s="20">
        <v>21.09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M861" s="20">
        <v>138.6</v>
      </c>
      <c r="BN861" s="20">
        <v>71.35</v>
      </c>
      <c r="BW861" s="20">
        <v>-9.0</v>
      </c>
      <c r="BX861" s="20">
        <v>-30.35</v>
      </c>
      <c r="BZ861" s="20">
        <v>-18.03</v>
      </c>
      <c r="CA861" s="20">
        <v>78.05</v>
      </c>
      <c r="CO861" s="20">
        <v>-2.51</v>
      </c>
      <c r="CP861" s="20">
        <v>-39.32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17</v>
      </c>
      <c r="M862" s="20">
        <v>-29.99</v>
      </c>
      <c r="N862" s="20">
        <v>-4.04</v>
      </c>
      <c r="P862" s="20">
        <v>7.39</v>
      </c>
      <c r="Q862" s="20">
        <v>26.15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17</v>
      </c>
      <c r="AO862" s="20">
        <v>12.5</v>
      </c>
      <c r="AP862" s="20">
        <v>-12.16</v>
      </c>
      <c r="AS862" s="20">
        <v>434.0</v>
      </c>
      <c r="AT862" s="20" t="s">
        <v>17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M862" s="20">
        <v>48.21</v>
      </c>
      <c r="BN862" s="20">
        <v>214.31</v>
      </c>
      <c r="BW862" s="20">
        <v>-44.6</v>
      </c>
      <c r="BX862" s="20">
        <v>-28.63</v>
      </c>
      <c r="BZ862" s="20">
        <v>-45.23</v>
      </c>
      <c r="CA862" s="20">
        <v>-10.97</v>
      </c>
      <c r="CO862" s="20">
        <v>16.81</v>
      </c>
      <c r="CP862" s="20">
        <v>-25.3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P863" s="20">
        <v>-11.89</v>
      </c>
      <c r="Q863" s="20">
        <v>8.27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M863" s="20">
        <v>57.9</v>
      </c>
      <c r="BN863" s="20">
        <v>98.63</v>
      </c>
      <c r="BW863" s="20">
        <v>-44.67</v>
      </c>
      <c r="BX863" s="20">
        <v>-19.76</v>
      </c>
      <c r="BZ863" s="20">
        <v>-52.48</v>
      </c>
      <c r="CA863" s="20">
        <v>0.26</v>
      </c>
      <c r="CO863" s="20">
        <v>-47.27</v>
      </c>
      <c r="CP863" s="20">
        <v>-62.81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17</v>
      </c>
      <c r="M864" s="20">
        <v>-45.62</v>
      </c>
      <c r="N864" s="20">
        <v>-12.31</v>
      </c>
      <c r="P864" s="20">
        <v>26.38</v>
      </c>
      <c r="Q864" s="20">
        <v>20.12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17</v>
      </c>
      <c r="AO864" s="20">
        <v>-21.79</v>
      </c>
      <c r="AP864" s="20">
        <v>20.7</v>
      </c>
      <c r="AS864" s="20">
        <v>435.0</v>
      </c>
      <c r="AT864" s="20" t="s">
        <v>17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M864" s="20">
        <v>5.65</v>
      </c>
      <c r="BN864" s="20">
        <v>116.6</v>
      </c>
      <c r="BW864" s="20">
        <v>-15.65</v>
      </c>
      <c r="BX864" s="20">
        <v>-16.33</v>
      </c>
      <c r="BZ864" s="20">
        <v>-63.21</v>
      </c>
      <c r="CA864" s="20">
        <v>75.4</v>
      </c>
      <c r="CO864" s="20">
        <v>-10.36</v>
      </c>
      <c r="CP864" s="20">
        <v>-33.48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P865" s="20">
        <v>-39.66</v>
      </c>
      <c r="Q865" s="20">
        <v>10.21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M865" s="20">
        <v>55.76</v>
      </c>
      <c r="BN865" s="20">
        <v>115.65</v>
      </c>
      <c r="BW865" s="20">
        <v>-36.59</v>
      </c>
      <c r="BX865" s="20">
        <v>-50.42</v>
      </c>
      <c r="BZ865" s="20">
        <v>53.72</v>
      </c>
      <c r="CA865" s="20">
        <v>198.11</v>
      </c>
      <c r="CO865" s="20">
        <v>-26.3</v>
      </c>
      <c r="CP865" s="20">
        <v>-62.45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17</v>
      </c>
      <c r="M866" s="20">
        <v>-42.79</v>
      </c>
      <c r="N866" s="20">
        <v>-25.4</v>
      </c>
      <c r="P866" s="20">
        <v>-2.71</v>
      </c>
      <c r="Q866" s="20">
        <v>17.55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17</v>
      </c>
      <c r="AO866" s="20">
        <v>9.56</v>
      </c>
      <c r="AP866" s="20">
        <v>-1.34</v>
      </c>
      <c r="AS866" s="20">
        <v>436.0</v>
      </c>
      <c r="AT866" s="20" t="s">
        <v>17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M866" s="20">
        <v>52.95</v>
      </c>
      <c r="BN866" s="20">
        <v>98.79</v>
      </c>
      <c r="BW866" s="20">
        <v>-44.32</v>
      </c>
      <c r="BX866" s="20">
        <v>-42.93</v>
      </c>
      <c r="BZ866" s="20">
        <v>-60.17</v>
      </c>
      <c r="CA866" s="20">
        <v>-20.01</v>
      </c>
      <c r="CO866" s="20">
        <v>8.7</v>
      </c>
      <c r="CP866" s="20">
        <v>-44.93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P867" s="20">
        <v>34.7</v>
      </c>
      <c r="Q867" s="20">
        <v>31.0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M867" s="20">
        <v>-34.82</v>
      </c>
      <c r="BN867" s="20">
        <v>-19.26</v>
      </c>
      <c r="BW867" s="20">
        <v>-66.44</v>
      </c>
      <c r="BX867" s="20">
        <v>-29.11</v>
      </c>
      <c r="BZ867" s="20">
        <v>-20.42</v>
      </c>
      <c r="CA867" s="20">
        <v>136.13</v>
      </c>
      <c r="CO867" s="20">
        <v>-44.69</v>
      </c>
      <c r="CP867" s="20">
        <v>-62.25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17</v>
      </c>
      <c r="M868" s="20">
        <v>-33.82</v>
      </c>
      <c r="N868" s="20">
        <v>30.3</v>
      </c>
      <c r="P868" s="20">
        <v>-16.44</v>
      </c>
      <c r="Q868" s="20">
        <v>14.82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17</v>
      </c>
      <c r="AO868" s="20">
        <v>5.83</v>
      </c>
      <c r="AP868" s="20">
        <v>-29.31</v>
      </c>
      <c r="AS868" s="20">
        <v>437.0</v>
      </c>
      <c r="AT868" s="20" t="s">
        <v>17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M868" s="20">
        <v>41.89</v>
      </c>
      <c r="BN868" s="20">
        <v>140.81</v>
      </c>
      <c r="BW868" s="20">
        <v>-51.03</v>
      </c>
      <c r="BX868" s="20">
        <v>-12.02</v>
      </c>
      <c r="BZ868" s="20">
        <v>-16.06</v>
      </c>
      <c r="CA868" s="20">
        <v>68.23</v>
      </c>
      <c r="CO868" s="20">
        <v>-11.58</v>
      </c>
      <c r="CP868" s="20">
        <v>-27.0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P869" s="20">
        <v>-0.73</v>
      </c>
      <c r="Q869" s="20">
        <v>34.49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M869" s="20">
        <v>99.05</v>
      </c>
      <c r="BN869" s="20">
        <v>109.72</v>
      </c>
      <c r="BW869" s="20">
        <v>-51.26</v>
      </c>
      <c r="BX869" s="20">
        <v>-26.67</v>
      </c>
      <c r="BZ869" s="20">
        <v>-57.29</v>
      </c>
      <c r="CA869" s="20">
        <v>75.92</v>
      </c>
      <c r="CO869" s="20">
        <v>-0.1</v>
      </c>
      <c r="CP869" s="20">
        <v>-51.76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17</v>
      </c>
      <c r="M870" s="20">
        <v>7.47</v>
      </c>
      <c r="N870" s="20">
        <v>62.58</v>
      </c>
      <c r="P870" s="20">
        <v>-11.91</v>
      </c>
      <c r="Q870" s="20">
        <v>5.75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17</v>
      </c>
      <c r="AO870" s="20">
        <v>-2.97</v>
      </c>
      <c r="AP870" s="20">
        <v>3.7</v>
      </c>
      <c r="AS870" s="20">
        <v>438.0</v>
      </c>
      <c r="AT870" s="20" t="s">
        <v>17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M870" s="20">
        <v>36.44</v>
      </c>
      <c r="BN870" s="20">
        <v>72.18</v>
      </c>
      <c r="BW870" s="20">
        <v>-30.47</v>
      </c>
      <c r="BX870" s="20">
        <v>-52.07</v>
      </c>
      <c r="BZ870" s="20">
        <v>-75.13</v>
      </c>
      <c r="CA870" s="20">
        <v>2.12</v>
      </c>
      <c r="CO870" s="20">
        <v>8.97</v>
      </c>
      <c r="CP870" s="20">
        <v>-46.31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P871" s="20">
        <v>-4.49</v>
      </c>
      <c r="Q871" s="20">
        <v>106.46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M871" s="20">
        <v>67.36</v>
      </c>
      <c r="BN871" s="20">
        <v>70.63</v>
      </c>
      <c r="BW871" s="20">
        <v>-29.0</v>
      </c>
      <c r="BX871" s="20">
        <v>-45.93</v>
      </c>
      <c r="BZ871" s="20">
        <v>-13.85</v>
      </c>
      <c r="CA871" s="20">
        <v>59.54</v>
      </c>
      <c r="CO871" s="20">
        <v>-23.11</v>
      </c>
      <c r="CP871" s="20">
        <v>-50.51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17</v>
      </c>
      <c r="M872" s="20">
        <v>-12.39</v>
      </c>
      <c r="N872" s="20">
        <v>24.94</v>
      </c>
      <c r="P872" s="20">
        <v>-12.44</v>
      </c>
      <c r="Q872" s="20">
        <v>63.62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17</v>
      </c>
      <c r="AO872" s="20">
        <v>-29.64</v>
      </c>
      <c r="AP872" s="20">
        <v>-22.8</v>
      </c>
      <c r="AS872" s="20">
        <v>439.0</v>
      </c>
      <c r="AT872" s="20" t="s">
        <v>17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M872" s="20">
        <v>-65.01</v>
      </c>
      <c r="BN872" s="20">
        <v>-14.85</v>
      </c>
      <c r="BW872" s="20">
        <v>-47.82</v>
      </c>
      <c r="BX872" s="20">
        <v>-3.45</v>
      </c>
      <c r="BZ872" s="20">
        <v>27.86</v>
      </c>
      <c r="CA872" s="20">
        <v>135.2</v>
      </c>
      <c r="CO872" s="20">
        <v>-10.8</v>
      </c>
      <c r="CP872" s="20">
        <v>-45.2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P873" s="20">
        <v>-26.94</v>
      </c>
      <c r="Q873" s="20">
        <v>13.48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M873" s="20">
        <v>84.93</v>
      </c>
      <c r="BN873" s="20">
        <v>114.11</v>
      </c>
      <c r="BW873" s="20">
        <v>-58.85</v>
      </c>
      <c r="BX873" s="20">
        <v>-55.43</v>
      </c>
      <c r="BZ873" s="20">
        <v>-41.8</v>
      </c>
      <c r="CA873" s="20">
        <v>76.45</v>
      </c>
      <c r="CO873" s="20">
        <v>-34.88</v>
      </c>
      <c r="CP873" s="20">
        <v>-47.96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17</v>
      </c>
      <c r="M874" s="20">
        <v>4.17</v>
      </c>
      <c r="N874" s="20">
        <v>36.27</v>
      </c>
      <c r="P874" s="20">
        <v>-33.97</v>
      </c>
      <c r="Q874" s="20">
        <v>-5.76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17</v>
      </c>
      <c r="AO874" s="20">
        <v>-1.96</v>
      </c>
      <c r="AP874" s="20">
        <v>8.69</v>
      </c>
      <c r="AS874" s="20">
        <v>440.0</v>
      </c>
      <c r="AT874" s="20" t="s">
        <v>17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M874" s="20">
        <v>45.32</v>
      </c>
      <c r="BN874" s="20">
        <v>112.1</v>
      </c>
      <c r="BW874" s="20">
        <v>-38.13</v>
      </c>
      <c r="BX874" s="20">
        <v>-37.71</v>
      </c>
      <c r="BZ874" s="20">
        <v>-60.37</v>
      </c>
      <c r="CA874" s="20">
        <v>105.99</v>
      </c>
      <c r="CO874" s="20">
        <v>18.35</v>
      </c>
      <c r="CP874" s="20">
        <v>-47.32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P875" s="20">
        <v>34.51</v>
      </c>
      <c r="Q875" s="20">
        <v>27.5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M875" s="20">
        <v>56.58</v>
      </c>
      <c r="BN875" s="20">
        <v>51.62</v>
      </c>
      <c r="BW875" s="20">
        <v>-33.97</v>
      </c>
      <c r="BX875" s="20">
        <v>-23.44</v>
      </c>
      <c r="BZ875" s="20">
        <v>-30.5</v>
      </c>
      <c r="CA875" s="20">
        <v>52.32</v>
      </c>
      <c r="CO875" s="20">
        <v>-23.05</v>
      </c>
      <c r="CP875" s="20">
        <v>-54.77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17</v>
      </c>
      <c r="M876" s="20">
        <v>-41.73</v>
      </c>
      <c r="N876" s="20">
        <v>-38.4</v>
      </c>
      <c r="P876" s="20">
        <v>-1.1</v>
      </c>
      <c r="Q876" s="20">
        <v>28.37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17</v>
      </c>
      <c r="AO876" s="20">
        <v>-1.57</v>
      </c>
      <c r="AP876" s="20">
        <v>-34.61</v>
      </c>
      <c r="AS876" s="20">
        <v>441.0</v>
      </c>
      <c r="AT876" s="20" t="s">
        <v>17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M876" s="20">
        <v>80.99</v>
      </c>
      <c r="BN876" s="20">
        <v>138.43</v>
      </c>
      <c r="BW876" s="20">
        <v>-59.49</v>
      </c>
      <c r="BX876" s="20">
        <v>-19.54</v>
      </c>
      <c r="BZ876" s="20">
        <v>-51.18</v>
      </c>
      <c r="CA876" s="20">
        <v>9.82</v>
      </c>
      <c r="CO876" s="20">
        <v>-9.05</v>
      </c>
      <c r="CP876" s="20">
        <v>-56.2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P877" s="20">
        <v>47.19</v>
      </c>
      <c r="Q877" s="20">
        <v>43.8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M877" s="20">
        <v>44.56</v>
      </c>
      <c r="BN877" s="20">
        <v>67.51</v>
      </c>
      <c r="BW877" s="20">
        <v>-33.94</v>
      </c>
      <c r="BX877" s="20">
        <v>-13.91</v>
      </c>
      <c r="BZ877" s="20">
        <v>-50.92</v>
      </c>
      <c r="CA877" s="20">
        <v>12.99</v>
      </c>
      <c r="CO877" s="20">
        <v>-15.09</v>
      </c>
      <c r="CP877" s="20">
        <v>-55.35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17</v>
      </c>
      <c r="M878" s="20">
        <v>56.93</v>
      </c>
      <c r="N878" s="20">
        <v>47.18</v>
      </c>
      <c r="P878" s="20">
        <v>-4.48</v>
      </c>
      <c r="Q878" s="20">
        <v>21.13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17</v>
      </c>
      <c r="AO878" s="20">
        <v>29.42</v>
      </c>
      <c r="AP878" s="20">
        <v>1.61</v>
      </c>
      <c r="AS878" s="20">
        <v>442.0</v>
      </c>
      <c r="AT878" s="20" t="s">
        <v>17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M878" s="20">
        <v>29.81</v>
      </c>
      <c r="BN878" s="20">
        <v>48.96</v>
      </c>
      <c r="BW878" s="20">
        <v>-30.03</v>
      </c>
      <c r="BX878" s="20">
        <v>-31.53</v>
      </c>
      <c r="BZ878" s="20">
        <v>-53.39</v>
      </c>
      <c r="CA878" s="20">
        <v>38.83</v>
      </c>
      <c r="CO878" s="20">
        <v>7.19</v>
      </c>
      <c r="CP878" s="20">
        <v>-50.94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P879" s="20">
        <v>-27.29</v>
      </c>
      <c r="Q879" s="20">
        <v>-3.6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M879" s="20">
        <v>48.09</v>
      </c>
      <c r="BN879" s="20">
        <v>88.67</v>
      </c>
      <c r="BW879" s="20">
        <v>-10.74</v>
      </c>
      <c r="BX879" s="20">
        <v>-20.82</v>
      </c>
      <c r="BZ879" s="20">
        <v>-12.49</v>
      </c>
      <c r="CA879" s="20">
        <v>93.08</v>
      </c>
      <c r="CO879" s="20">
        <v>-36.51</v>
      </c>
      <c r="CP879" s="20">
        <v>-31.85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17</v>
      </c>
      <c r="M880" s="20">
        <v>37.07</v>
      </c>
      <c r="N880" s="20">
        <v>-8.25</v>
      </c>
      <c r="P880" s="20">
        <v>-1.15</v>
      </c>
      <c r="Q880" s="20">
        <v>7.89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17</v>
      </c>
      <c r="AO880" s="20">
        <v>-20.83</v>
      </c>
      <c r="AP880" s="20">
        <v>-28.65</v>
      </c>
      <c r="AS880" s="20">
        <v>443.0</v>
      </c>
      <c r="AT880" s="20" t="s">
        <v>17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M880" s="20">
        <v>20.97</v>
      </c>
      <c r="BN880" s="20">
        <v>100.33</v>
      </c>
      <c r="BW880" s="20">
        <v>-41.48</v>
      </c>
      <c r="BX880" s="20">
        <v>-26.92</v>
      </c>
      <c r="BZ880" s="20">
        <v>-35.52</v>
      </c>
      <c r="CA880" s="20">
        <v>199.82</v>
      </c>
      <c r="CO880" s="20">
        <v>21.14</v>
      </c>
      <c r="CP880" s="20">
        <v>-47.49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P881" s="20">
        <v>-22.86</v>
      </c>
      <c r="Q881" s="20">
        <v>18.96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M881" s="20">
        <v>49.1</v>
      </c>
      <c r="BN881" s="20">
        <v>128.3</v>
      </c>
      <c r="BW881" s="20">
        <v>-44.36</v>
      </c>
      <c r="BX881" s="20">
        <v>-26.96</v>
      </c>
      <c r="BZ881" s="20">
        <v>-14.17</v>
      </c>
      <c r="CA881" s="20">
        <v>32.17</v>
      </c>
      <c r="CO881" s="20">
        <v>49.15</v>
      </c>
      <c r="CP881" s="20">
        <v>-42.81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17</v>
      </c>
      <c r="M882" s="20">
        <v>-2.5</v>
      </c>
      <c r="N882" s="20">
        <v>17.75</v>
      </c>
      <c r="P882" s="20">
        <v>9.5</v>
      </c>
      <c r="Q882" s="20">
        <v>35.85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17</v>
      </c>
      <c r="AO882" s="20">
        <v>29.42</v>
      </c>
      <c r="AP882" s="20">
        <v>8.09</v>
      </c>
      <c r="AS882" s="20">
        <v>444.0</v>
      </c>
      <c r="AT882" s="20" t="s">
        <v>17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M882" s="20">
        <v>98.29</v>
      </c>
      <c r="BN882" s="20">
        <v>86.71</v>
      </c>
      <c r="BW882" s="20">
        <v>-55.24</v>
      </c>
      <c r="BX882" s="20">
        <v>-13.16</v>
      </c>
      <c r="BZ882" s="20">
        <v>-42.38</v>
      </c>
      <c r="CA882" s="20">
        <v>63.82</v>
      </c>
      <c r="CO882" s="20">
        <v>37.25</v>
      </c>
      <c r="CP882" s="20">
        <v>-59.22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P883" s="20">
        <v>8.16</v>
      </c>
      <c r="Q883" s="20">
        <v>12.96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M883" s="20">
        <v>73.91</v>
      </c>
      <c r="BN883" s="20">
        <v>67.55</v>
      </c>
      <c r="BW883" s="20">
        <v>-23.4</v>
      </c>
      <c r="BX883" s="20">
        <v>-51.58</v>
      </c>
      <c r="BZ883" s="20">
        <v>-20.86</v>
      </c>
      <c r="CA883" s="20">
        <v>98.26</v>
      </c>
      <c r="CO883" s="20">
        <v>-6.09</v>
      </c>
      <c r="CP883" s="20">
        <v>-51.8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17</v>
      </c>
      <c r="M884" s="20">
        <v>78.57</v>
      </c>
      <c r="N884" s="20">
        <v>6.14</v>
      </c>
      <c r="P884" s="20">
        <v>16.87</v>
      </c>
      <c r="Q884" s="20">
        <v>22.23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17</v>
      </c>
      <c r="AO884" s="20">
        <v>-9.96</v>
      </c>
      <c r="AP884" s="20">
        <v>26.06</v>
      </c>
      <c r="AS884" s="20">
        <v>445.0</v>
      </c>
      <c r="AT884" s="20" t="s">
        <v>17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M884" s="20">
        <v>57.73</v>
      </c>
      <c r="BN884" s="20">
        <v>65.12</v>
      </c>
      <c r="BW884" s="20">
        <v>60.45</v>
      </c>
      <c r="BX884" s="20">
        <v>-29.96</v>
      </c>
      <c r="BZ884" s="20">
        <v>-48.25</v>
      </c>
      <c r="CA884" s="20">
        <v>21.71</v>
      </c>
      <c r="CO884" s="20">
        <v>-6.02</v>
      </c>
      <c r="CP884" s="20">
        <v>-58.39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P885" s="20">
        <v>-2.63</v>
      </c>
      <c r="Q885" s="20">
        <v>1.13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M885" s="20">
        <v>55.79</v>
      </c>
      <c r="BN885" s="20">
        <v>57.03</v>
      </c>
      <c r="BW885" s="20">
        <v>-34.49</v>
      </c>
      <c r="BX885" s="20">
        <v>-34.59</v>
      </c>
      <c r="BZ885" s="20">
        <v>-24.08</v>
      </c>
      <c r="CA885" s="20">
        <v>13.24</v>
      </c>
      <c r="CO885" s="20">
        <v>-2.61</v>
      </c>
      <c r="CP885" s="20">
        <v>-60.6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17</v>
      </c>
      <c r="M886" s="20">
        <v>-6.13</v>
      </c>
      <c r="N886" s="20">
        <v>-18.23</v>
      </c>
      <c r="P886" s="20">
        <v>3.34</v>
      </c>
      <c r="Q886" s="20">
        <v>14.13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17</v>
      </c>
      <c r="AO886" s="20">
        <v>-33.83</v>
      </c>
      <c r="AP886" s="20">
        <v>-25.58</v>
      </c>
      <c r="AS886" s="20">
        <v>446.0</v>
      </c>
      <c r="AT886" s="20" t="s">
        <v>17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M886" s="20">
        <v>22.83</v>
      </c>
      <c r="BN886" s="20">
        <v>14.42</v>
      </c>
      <c r="BW886" s="20">
        <v>-38.26</v>
      </c>
      <c r="BX886" s="20">
        <v>-27.13</v>
      </c>
      <c r="BZ886" s="20">
        <v>-57.18</v>
      </c>
      <c r="CA886" s="20">
        <v>-6.44</v>
      </c>
      <c r="CO886" s="20">
        <v>-0.69</v>
      </c>
      <c r="CP886" s="20">
        <v>-61.45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P887" s="20">
        <v>-7.1</v>
      </c>
      <c r="Q887" s="20">
        <v>6.66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M887" s="20">
        <v>36.39</v>
      </c>
      <c r="BN887" s="20">
        <v>104.31</v>
      </c>
      <c r="BW887" s="20">
        <v>-33.93</v>
      </c>
      <c r="BX887" s="20">
        <v>-11.54</v>
      </c>
      <c r="BZ887" s="20">
        <v>-11.03</v>
      </c>
      <c r="CA887" s="20">
        <v>86.78</v>
      </c>
      <c r="CO887" s="20">
        <v>-26.9</v>
      </c>
      <c r="CP887" s="20">
        <v>-62.98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17</v>
      </c>
      <c r="M888" s="20">
        <v>-26.21</v>
      </c>
      <c r="N888" s="20">
        <v>14.23</v>
      </c>
      <c r="P888" s="20">
        <v>30.84</v>
      </c>
      <c r="Q888" s="20">
        <v>45.89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17</v>
      </c>
      <c r="AO888" s="20">
        <v>-22.0</v>
      </c>
      <c r="AP888" s="20">
        <v>-21.5</v>
      </c>
      <c r="AS888" s="20">
        <v>447.0</v>
      </c>
      <c r="AT888" s="20" t="s">
        <v>17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M888" s="20">
        <v>96.24</v>
      </c>
      <c r="BN888" s="20">
        <v>200.82</v>
      </c>
      <c r="BW888" s="20">
        <v>-9.44</v>
      </c>
      <c r="BX888" s="20">
        <v>-51.33</v>
      </c>
      <c r="BZ888" s="20">
        <v>-51.75</v>
      </c>
      <c r="CA888" s="20">
        <v>259.24</v>
      </c>
      <c r="CO888" s="20">
        <v>1.6</v>
      </c>
      <c r="CP888" s="20">
        <v>-50.26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P889" s="20">
        <v>2.21</v>
      </c>
      <c r="Q889" s="20">
        <v>41.37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M889" s="20">
        <v>60.28</v>
      </c>
      <c r="BN889" s="20">
        <v>64.28</v>
      </c>
      <c r="BW889" s="20">
        <v>-42.68</v>
      </c>
      <c r="BX889" s="20">
        <v>-19.25</v>
      </c>
      <c r="BZ889" s="20">
        <v>-25.42</v>
      </c>
      <c r="CA889" s="20">
        <v>85.04</v>
      </c>
      <c r="CO889" s="20">
        <v>-6.02</v>
      </c>
      <c r="CP889" s="20">
        <v>-48.74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17</v>
      </c>
      <c r="M890" s="20">
        <v>-13.01</v>
      </c>
      <c r="N890" s="20">
        <v>-12.13</v>
      </c>
      <c r="P890" s="20">
        <v>18.9</v>
      </c>
      <c r="Q890" s="20">
        <v>33.43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17</v>
      </c>
      <c r="AO890" s="20">
        <v>0.25</v>
      </c>
      <c r="AP890" s="20">
        <v>-5.34</v>
      </c>
      <c r="AS890" s="20">
        <v>448.0</v>
      </c>
      <c r="AT890" s="20" t="s">
        <v>17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M890" s="20">
        <v>41.17</v>
      </c>
      <c r="BN890" s="20">
        <v>64.01</v>
      </c>
      <c r="BW890" s="20">
        <v>-45.24</v>
      </c>
      <c r="BX890" s="20">
        <v>-34.39</v>
      </c>
      <c r="BZ890" s="20">
        <v>-53.71</v>
      </c>
      <c r="CA890" s="20">
        <v>32.15</v>
      </c>
      <c r="CO890" s="20">
        <v>-7.48</v>
      </c>
      <c r="CP890" s="20">
        <v>-54.43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P891" s="20">
        <v>25.07</v>
      </c>
      <c r="Q891" s="20">
        <v>33.2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M891" s="20">
        <v>27.75</v>
      </c>
      <c r="BN891" s="20">
        <v>66.62</v>
      </c>
      <c r="BW891" s="20">
        <v>-60.89</v>
      </c>
      <c r="BX891" s="20">
        <v>-33.06</v>
      </c>
      <c r="BZ891" s="20">
        <v>-35.16</v>
      </c>
      <c r="CA891" s="20">
        <v>96.54</v>
      </c>
      <c r="CO891" s="20">
        <v>-42.81</v>
      </c>
      <c r="CP891" s="20">
        <v>-62.69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17</v>
      </c>
      <c r="M892" s="20">
        <v>-3.03</v>
      </c>
      <c r="N892" s="20">
        <v>22.38</v>
      </c>
      <c r="P892" s="20">
        <v>1.04</v>
      </c>
      <c r="Q892" s="20">
        <v>16.78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17</v>
      </c>
      <c r="AO892" s="20">
        <v>-23.79</v>
      </c>
      <c r="AP892" s="20">
        <v>-41.61</v>
      </c>
      <c r="AS892" s="20">
        <v>449.0</v>
      </c>
      <c r="AT892" s="20" t="s">
        <v>17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M892" s="20">
        <v>48.84</v>
      </c>
      <c r="BN892" s="20">
        <v>114.39</v>
      </c>
      <c r="BW892" s="20">
        <v>-24.29</v>
      </c>
      <c r="BX892" s="20">
        <v>-9.38</v>
      </c>
      <c r="BZ892" s="20">
        <v>-43.97</v>
      </c>
      <c r="CA892" s="20">
        <v>25.28</v>
      </c>
      <c r="CO892" s="20">
        <v>43.4</v>
      </c>
      <c r="CP892" s="20">
        <v>-57.17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P893" s="20">
        <v>48.84</v>
      </c>
      <c r="Q893" s="20">
        <v>31.53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M893" s="20">
        <v>21.34</v>
      </c>
      <c r="BN893" s="20">
        <v>33.09</v>
      </c>
      <c r="BW893" s="20">
        <v>-43.77</v>
      </c>
      <c r="BX893" s="20">
        <v>-31.55</v>
      </c>
      <c r="BZ893" s="20">
        <v>-29.8</v>
      </c>
      <c r="CA893" s="20">
        <v>25.29</v>
      </c>
      <c r="CO893" s="20">
        <v>11.32</v>
      </c>
      <c r="CP893" s="20">
        <v>-51.21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17</v>
      </c>
      <c r="M894" s="20">
        <v>14.96</v>
      </c>
      <c r="N894" s="20">
        <v>31.7</v>
      </c>
      <c r="P894" s="20">
        <v>0.15</v>
      </c>
      <c r="Q894" s="20">
        <v>11.59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17</v>
      </c>
      <c r="AO894" s="20">
        <v>64.95</v>
      </c>
      <c r="AP894" s="20">
        <v>13.47</v>
      </c>
      <c r="AS894" s="20">
        <v>450.0</v>
      </c>
      <c r="AT894" s="20" t="s">
        <v>17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M894" s="20">
        <v>19.15</v>
      </c>
      <c r="BN894" s="20">
        <v>43.28</v>
      </c>
      <c r="BW894" s="20">
        <v>-42.35</v>
      </c>
      <c r="BX894" s="20">
        <v>-6.31</v>
      </c>
      <c r="BZ894" s="20">
        <v>-33.89</v>
      </c>
      <c r="CA894" s="20">
        <v>60.9</v>
      </c>
      <c r="CO894" s="20">
        <v>-8.28</v>
      </c>
      <c r="CP894" s="20">
        <v>-58.42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P895" s="20">
        <v>-1.43</v>
      </c>
      <c r="Q895" s="20">
        <v>5.45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M895" s="20">
        <v>14.99</v>
      </c>
      <c r="BN895" s="20">
        <v>31.71</v>
      </c>
      <c r="BW895" s="20">
        <v>30.41</v>
      </c>
      <c r="BX895" s="20">
        <v>8.33</v>
      </c>
      <c r="BZ895" s="20">
        <v>-39.01</v>
      </c>
      <c r="CA895" s="20">
        <v>60.87</v>
      </c>
      <c r="CO895" s="20">
        <v>18.65</v>
      </c>
      <c r="CP895" s="20">
        <v>-61.57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17</v>
      </c>
      <c r="M896" s="20">
        <v>7.69</v>
      </c>
      <c r="N896" s="20">
        <v>6.8</v>
      </c>
      <c r="P896" s="20">
        <v>11.23</v>
      </c>
      <c r="Q896" s="20">
        <v>26.42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17</v>
      </c>
      <c r="AO896" s="20">
        <v>-17.56</v>
      </c>
      <c r="AP896" s="20">
        <v>-2.97</v>
      </c>
      <c r="AS896" s="20">
        <v>451.0</v>
      </c>
      <c r="AT896" s="20" t="s">
        <v>17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M896" s="20">
        <v>36.09</v>
      </c>
      <c r="BN896" s="20">
        <v>72.07</v>
      </c>
      <c r="BW896" s="20">
        <v>-34.71</v>
      </c>
      <c r="BX896" s="20">
        <v>-36.87</v>
      </c>
      <c r="BZ896" s="20">
        <v>-59.71</v>
      </c>
      <c r="CA896" s="20">
        <v>76.47</v>
      </c>
      <c r="CO896" s="20">
        <v>-5.92</v>
      </c>
      <c r="CP896" s="20">
        <v>-62.46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P897" s="20">
        <v>13.89</v>
      </c>
      <c r="Q897" s="20">
        <v>29.48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M897" s="20">
        <v>59.3</v>
      </c>
      <c r="BN897" s="20">
        <v>86.62</v>
      </c>
      <c r="BW897" s="20">
        <v>-48.36</v>
      </c>
      <c r="BX897" s="20">
        <v>-18.24</v>
      </c>
      <c r="BZ897" s="20">
        <v>-38.04</v>
      </c>
      <c r="CA897" s="20">
        <v>88.7</v>
      </c>
      <c r="CO897" s="20">
        <v>74.18</v>
      </c>
      <c r="CP897" s="20">
        <v>-54.23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17</v>
      </c>
      <c r="M898" s="20">
        <v>29.79</v>
      </c>
      <c r="N898" s="20">
        <v>84.04</v>
      </c>
      <c r="P898" s="20">
        <v>-18.81</v>
      </c>
      <c r="Q898" s="20">
        <v>-12.01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17</v>
      </c>
      <c r="AO898" s="20">
        <v>2.29</v>
      </c>
      <c r="AP898" s="20">
        <v>9.66</v>
      </c>
      <c r="AS898" s="20">
        <v>452.0</v>
      </c>
      <c r="AT898" s="20" t="s">
        <v>17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M898" s="20">
        <v>87.04</v>
      </c>
      <c r="BN898" s="20">
        <v>74.31</v>
      </c>
      <c r="BW898" s="20">
        <v>-12.69</v>
      </c>
      <c r="BX898" s="20">
        <v>-28.02</v>
      </c>
      <c r="BZ898" s="20">
        <v>-57.58</v>
      </c>
      <c r="CA898" s="20">
        <v>84.26</v>
      </c>
      <c r="CO898" s="20">
        <v>-8.36</v>
      </c>
      <c r="CP898" s="20">
        <v>-44.16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P899" s="20">
        <v>1.47</v>
      </c>
      <c r="Q899" s="20">
        <v>48.78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M899" s="20">
        <v>-31.51</v>
      </c>
      <c r="BN899" s="20">
        <v>77.19</v>
      </c>
      <c r="BW899" s="20">
        <v>-20.03</v>
      </c>
      <c r="BX899" s="20">
        <v>-32.67</v>
      </c>
      <c r="BZ899" s="20">
        <v>-21.76</v>
      </c>
      <c r="CA899" s="20">
        <v>37.15</v>
      </c>
      <c r="CO899" s="20">
        <v>-18.46</v>
      </c>
      <c r="CP899" s="20">
        <v>-49.52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17</v>
      </c>
      <c r="M900" s="20">
        <v>20.01</v>
      </c>
      <c r="N900" s="20">
        <v>0.75</v>
      </c>
      <c r="P900" s="20">
        <v>-12.72</v>
      </c>
      <c r="Q900" s="20">
        <v>152.41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17</v>
      </c>
      <c r="AO900" s="20">
        <v>5.04</v>
      </c>
      <c r="AP900" s="20">
        <v>5.9</v>
      </c>
      <c r="AS900" s="20">
        <v>453.0</v>
      </c>
      <c r="AT900" s="20" t="s">
        <v>17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M900" s="20">
        <v>56.06</v>
      </c>
      <c r="BN900" s="20">
        <v>120.33</v>
      </c>
      <c r="BW900" s="20">
        <v>-52.63</v>
      </c>
      <c r="BX900" s="20">
        <v>-30.7</v>
      </c>
      <c r="BZ900" s="20">
        <v>-28.43</v>
      </c>
      <c r="CA900" s="20">
        <v>26.93</v>
      </c>
      <c r="CO900" s="20">
        <v>-34.79</v>
      </c>
      <c r="CP900" s="20">
        <v>-62.57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P901" s="20">
        <v>-26.73</v>
      </c>
      <c r="Q901" s="20">
        <v>-3.82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M901" s="20">
        <v>32.51</v>
      </c>
      <c r="BN901" s="20">
        <v>36.56</v>
      </c>
      <c r="BW901" s="20">
        <v>155.62</v>
      </c>
      <c r="BX901" s="20">
        <v>-5.18</v>
      </c>
      <c r="BZ901" s="20">
        <v>-31.27</v>
      </c>
      <c r="CA901" s="20">
        <v>26.38</v>
      </c>
      <c r="CO901" s="20">
        <v>-24.75</v>
      </c>
      <c r="CP901" s="20">
        <v>-67.34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17</v>
      </c>
      <c r="M902" s="20">
        <v>8.85</v>
      </c>
      <c r="N902" s="20">
        <v>8.32</v>
      </c>
      <c r="P902" s="20">
        <v>-28.74</v>
      </c>
      <c r="Q902" s="20">
        <v>37.85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17</v>
      </c>
      <c r="AO902" s="20">
        <v>-29.58</v>
      </c>
      <c r="AP902" s="20">
        <v>-39.2</v>
      </c>
      <c r="AS902" s="20">
        <v>454.0</v>
      </c>
      <c r="AT902" s="20" t="s">
        <v>17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M902" s="20">
        <v>48.92</v>
      </c>
      <c r="BN902" s="20">
        <v>75.21</v>
      </c>
      <c r="BW902" s="20">
        <v>117.23</v>
      </c>
      <c r="BX902" s="20">
        <v>-23.48</v>
      </c>
      <c r="BZ902" s="20">
        <v>-22.59</v>
      </c>
      <c r="CA902" s="20">
        <v>89.02</v>
      </c>
      <c r="CO902" s="20">
        <v>-21.49</v>
      </c>
      <c r="CP902" s="20">
        <v>-56.91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P903" s="20">
        <v>2.42</v>
      </c>
      <c r="Q903" s="20">
        <v>23.97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M903" s="20">
        <v>21.94</v>
      </c>
      <c r="BN903" s="20">
        <v>49.2</v>
      </c>
      <c r="BW903" s="20">
        <v>-46.99</v>
      </c>
      <c r="BX903" s="20">
        <v>-18.48</v>
      </c>
      <c r="BZ903" s="20">
        <v>-47.2</v>
      </c>
      <c r="CA903" s="20">
        <v>32.21</v>
      </c>
      <c r="CO903" s="20">
        <v>-8.69</v>
      </c>
      <c r="CP903" s="20">
        <v>-54.48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17</v>
      </c>
      <c r="M904" s="20">
        <v>-17.67</v>
      </c>
      <c r="N904" s="20">
        <v>12.69</v>
      </c>
      <c r="P904" s="20">
        <v>-81.92</v>
      </c>
      <c r="Q904" s="20">
        <v>-91.67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17</v>
      </c>
      <c r="AO904" s="20">
        <v>-32.93</v>
      </c>
      <c r="AP904" s="20">
        <v>-4.08</v>
      </c>
      <c r="AS904" s="20">
        <v>455.0</v>
      </c>
      <c r="AT904" s="20" t="s">
        <v>17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M904" s="20">
        <v>27.55</v>
      </c>
      <c r="BN904" s="20">
        <v>106.89</v>
      </c>
      <c r="BW904" s="20">
        <v>-39.59</v>
      </c>
      <c r="BX904" s="20">
        <v>-24.47</v>
      </c>
      <c r="BZ904" s="20">
        <v>-65.71</v>
      </c>
      <c r="CA904" s="20">
        <v>0.93</v>
      </c>
      <c r="CO904" s="20">
        <v>-8.73</v>
      </c>
      <c r="CP904" s="20">
        <v>-43.4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P905" s="20">
        <v>-35.32</v>
      </c>
      <c r="Q905" s="20">
        <v>-17.91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M905" s="20">
        <v>45.21</v>
      </c>
      <c r="BN905" s="20">
        <v>54.76</v>
      </c>
      <c r="BW905" s="20">
        <v>-18.79</v>
      </c>
      <c r="BX905" s="20">
        <v>-15.94</v>
      </c>
      <c r="BZ905" s="20">
        <v>-42.71</v>
      </c>
      <c r="CA905" s="20">
        <v>12.4</v>
      </c>
      <c r="CO905" s="20">
        <v>-23.44</v>
      </c>
      <c r="CP905" s="20">
        <v>-48.01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17</v>
      </c>
      <c r="M906" s="20">
        <v>5.05</v>
      </c>
      <c r="N906" s="20">
        <v>69.28</v>
      </c>
      <c r="P906" s="20">
        <v>-19.24</v>
      </c>
      <c r="Q906" s="20">
        <v>28.37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17</v>
      </c>
      <c r="AO906" s="20">
        <v>30.49</v>
      </c>
      <c r="AP906" s="20">
        <v>2.12</v>
      </c>
      <c r="AS906" s="20">
        <v>456.0</v>
      </c>
      <c r="AT906" s="20" t="s">
        <v>17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M906" s="20">
        <v>19.42</v>
      </c>
      <c r="BN906" s="20">
        <v>77.95</v>
      </c>
      <c r="BW906" s="20">
        <v>-25.8</v>
      </c>
      <c r="BX906" s="20">
        <v>-3.24</v>
      </c>
      <c r="BZ906" s="20">
        <v>-69.9</v>
      </c>
      <c r="CA906" s="20">
        <v>72.26</v>
      </c>
      <c r="CO906" s="20">
        <v>-28.58</v>
      </c>
      <c r="CP906" s="20">
        <v>-34.57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P907" s="20">
        <v>-21.49</v>
      </c>
      <c r="Q907" s="20">
        <v>-3.08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M907" s="20">
        <v>-2.0</v>
      </c>
      <c r="BN907" s="20">
        <v>76.34</v>
      </c>
      <c r="BW907" s="20">
        <v>-48.01</v>
      </c>
      <c r="BX907" s="20">
        <v>-53.28</v>
      </c>
      <c r="BZ907" s="20">
        <v>-56.78</v>
      </c>
      <c r="CA907" s="20">
        <v>-8.28</v>
      </c>
      <c r="CO907" s="20">
        <v>-39.18</v>
      </c>
      <c r="CP907" s="20">
        <v>-73.98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17</v>
      </c>
      <c r="M908" s="20">
        <v>-24.84</v>
      </c>
      <c r="N908" s="20">
        <v>-4.62</v>
      </c>
      <c r="P908" s="20">
        <v>11.49</v>
      </c>
      <c r="Q908" s="20">
        <v>3.15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17</v>
      </c>
      <c r="AO908" s="20">
        <v>17.9</v>
      </c>
      <c r="AP908" s="20">
        <v>-23.16</v>
      </c>
      <c r="AS908" s="20">
        <v>457.0</v>
      </c>
      <c r="AT908" s="20" t="s">
        <v>17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M908" s="20">
        <v>12.8</v>
      </c>
      <c r="BN908" s="20">
        <v>106.39</v>
      </c>
      <c r="BW908" s="20">
        <v>-16.8</v>
      </c>
      <c r="BX908" s="20">
        <v>-33.82</v>
      </c>
      <c r="BZ908" s="20">
        <v>-40.29</v>
      </c>
      <c r="CA908" s="20">
        <v>-21.87</v>
      </c>
      <c r="CO908" s="20">
        <v>-29.3</v>
      </c>
      <c r="CP908" s="20">
        <v>-61.15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P909" s="20">
        <v>-13.41</v>
      </c>
      <c r="Q909" s="20">
        <v>30.11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M909" s="20">
        <v>20.03</v>
      </c>
      <c r="BN909" s="20">
        <v>145.55</v>
      </c>
      <c r="BW909" s="20">
        <v>-45.79</v>
      </c>
      <c r="BX909" s="20">
        <v>-19.76</v>
      </c>
      <c r="BZ909" s="20">
        <v>-36.34</v>
      </c>
      <c r="CA909" s="20">
        <v>183.24</v>
      </c>
      <c r="CO909" s="20">
        <v>-36.3</v>
      </c>
      <c r="CP909" s="20">
        <v>-65.26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17</v>
      </c>
      <c r="M910" s="20">
        <v>0.37</v>
      </c>
      <c r="N910" s="20">
        <v>1.99</v>
      </c>
      <c r="P910" s="20">
        <v>-2.35</v>
      </c>
      <c r="Q910" s="20">
        <v>-4.8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17</v>
      </c>
      <c r="AO910" s="20">
        <v>43.82</v>
      </c>
      <c r="AP910" s="20">
        <v>9.12</v>
      </c>
      <c r="AS910" s="20">
        <v>458.0</v>
      </c>
      <c r="AT910" s="20" t="s">
        <v>17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M910" s="20">
        <v>13.22</v>
      </c>
      <c r="BN910" s="20">
        <v>17.78</v>
      </c>
      <c r="BW910" s="20">
        <v>-25.42</v>
      </c>
      <c r="BX910" s="20">
        <v>-23.93</v>
      </c>
      <c r="BZ910" s="20">
        <v>-54.99</v>
      </c>
      <c r="CA910" s="20">
        <v>24.45</v>
      </c>
      <c r="CO910" s="20">
        <v>-28.71</v>
      </c>
      <c r="CP910" s="20">
        <v>-49.64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P911" s="20">
        <v>-38.78</v>
      </c>
      <c r="Q911" s="20">
        <v>-3.48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M911" s="20">
        <v>117.81</v>
      </c>
      <c r="BN911" s="20">
        <v>76.78</v>
      </c>
      <c r="BW911" s="20">
        <v>-48.92</v>
      </c>
      <c r="BX911" s="20">
        <v>-30.14</v>
      </c>
      <c r="BZ911" s="20">
        <v>-57.97</v>
      </c>
      <c r="CA911" s="20">
        <v>-1.2</v>
      </c>
      <c r="CO911" s="20">
        <v>-39.5</v>
      </c>
      <c r="CP911" s="20">
        <v>-67.11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17</v>
      </c>
      <c r="M912" s="20">
        <v>-44.23</v>
      </c>
      <c r="N912" s="20">
        <v>-11.13</v>
      </c>
      <c r="P912" s="20">
        <v>-26.66</v>
      </c>
      <c r="Q912" s="20">
        <v>-8.6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17</v>
      </c>
      <c r="AO912" s="20">
        <v>-12.32</v>
      </c>
      <c r="AP912" s="20">
        <v>-9.35</v>
      </c>
      <c r="AS912" s="20">
        <v>459.0</v>
      </c>
      <c r="AT912" s="20" t="s">
        <v>17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M912" s="20">
        <v>65.95</v>
      </c>
      <c r="BN912" s="20">
        <v>77.16</v>
      </c>
      <c r="BW912" s="20">
        <v>-40.62</v>
      </c>
      <c r="BX912" s="20">
        <v>-49.57</v>
      </c>
      <c r="BZ912" s="20">
        <v>-56.08</v>
      </c>
      <c r="CA912" s="20">
        <v>-9.49</v>
      </c>
      <c r="CO912" s="20">
        <v>-15.69</v>
      </c>
      <c r="CP912" s="20">
        <v>-49.86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P913" s="20">
        <v>-2.29</v>
      </c>
      <c r="Q913" s="20">
        <v>48.28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M913" s="20">
        <v>18.48</v>
      </c>
      <c r="BN913" s="20">
        <v>158.71</v>
      </c>
      <c r="BW913" s="20">
        <v>-18.61</v>
      </c>
      <c r="BX913" s="20">
        <v>-15.98</v>
      </c>
      <c r="BZ913" s="20">
        <v>-19.79</v>
      </c>
      <c r="CA913" s="20">
        <v>193.91</v>
      </c>
      <c r="CO913" s="20">
        <v>-53.68</v>
      </c>
      <c r="CP913" s="20">
        <v>-36.14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17</v>
      </c>
      <c r="M914" s="20">
        <v>-12.64</v>
      </c>
      <c r="N914" s="20">
        <v>41.9</v>
      </c>
      <c r="P914" s="20">
        <v>-22.08</v>
      </c>
      <c r="Q914" s="20">
        <v>-1.9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17</v>
      </c>
      <c r="AO914" s="20">
        <v>-23.14</v>
      </c>
      <c r="AP914" s="20">
        <v>6.32</v>
      </c>
      <c r="AS914" s="20">
        <v>460.0</v>
      </c>
      <c r="AT914" s="20" t="s">
        <v>17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M914" s="20">
        <v>22.97</v>
      </c>
      <c r="BN914" s="20">
        <v>132.23</v>
      </c>
      <c r="BW914" s="20">
        <v>-42.9</v>
      </c>
      <c r="BX914" s="20">
        <v>-19.36</v>
      </c>
      <c r="BZ914" s="20">
        <v>-32.22</v>
      </c>
      <c r="CA914" s="20">
        <v>87.0</v>
      </c>
      <c r="CO914" s="20">
        <v>-22.98</v>
      </c>
      <c r="CP914" s="20">
        <v>-39.42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P915" s="20">
        <v>27.3</v>
      </c>
      <c r="Q915" s="20">
        <v>81.4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M915" s="20">
        <v>89.3</v>
      </c>
      <c r="BN915" s="20">
        <v>53.32</v>
      </c>
      <c r="BW915" s="20">
        <v>-68.25</v>
      </c>
      <c r="BX915" s="20">
        <v>-51.16</v>
      </c>
      <c r="BZ915" s="20">
        <v>-33.98</v>
      </c>
      <c r="CA915" s="20">
        <v>58.98</v>
      </c>
      <c r="CO915" s="20">
        <v>-47.57</v>
      </c>
      <c r="CP915" s="20">
        <v>-44.08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17</v>
      </c>
      <c r="M916" s="20">
        <v>-7.38</v>
      </c>
      <c r="N916" s="20">
        <v>22.76</v>
      </c>
      <c r="P916" s="20">
        <v>-9.6</v>
      </c>
      <c r="Q916" s="20">
        <v>23.89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17</v>
      </c>
      <c r="AO916" s="20">
        <v>3.45</v>
      </c>
      <c r="AP916" s="20">
        <v>21.62</v>
      </c>
      <c r="AS916" s="20">
        <v>461.0</v>
      </c>
      <c r="AT916" s="20" t="s">
        <v>17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M916" s="20">
        <v>-38.23</v>
      </c>
      <c r="BN916" s="20">
        <v>-20.58</v>
      </c>
      <c r="BW916" s="20">
        <v>-51.25</v>
      </c>
      <c r="BX916" s="20">
        <v>-6.92</v>
      </c>
      <c r="BZ916" s="20">
        <v>-47.56</v>
      </c>
      <c r="CA916" s="20">
        <v>78.97</v>
      </c>
      <c r="CO916" s="20">
        <v>-30.78</v>
      </c>
      <c r="CP916" s="20">
        <v>-54.21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P917" s="20">
        <v>1.82</v>
      </c>
      <c r="Q917" s="20">
        <v>19.42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M917" s="20">
        <v>111.6</v>
      </c>
      <c r="BN917" s="20">
        <v>153.22</v>
      </c>
      <c r="BW917" s="20">
        <v>-48.71</v>
      </c>
      <c r="BX917" s="20">
        <v>-15.63</v>
      </c>
      <c r="BZ917" s="20">
        <v>9.02</v>
      </c>
      <c r="CA917" s="20">
        <v>157.19</v>
      </c>
      <c r="CO917" s="20">
        <v>-20.13</v>
      </c>
      <c r="CP917" s="20">
        <v>-52.13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17</v>
      </c>
      <c r="M918" s="20">
        <v>23.57</v>
      </c>
      <c r="N918" s="20">
        <v>-39.62</v>
      </c>
      <c r="P918" s="20">
        <v>7.09</v>
      </c>
      <c r="Q918" s="20">
        <v>49.41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17</v>
      </c>
      <c r="AO918" s="20">
        <v>14.4</v>
      </c>
      <c r="AP918" s="20">
        <v>21.64</v>
      </c>
      <c r="AS918" s="20">
        <v>462.0</v>
      </c>
      <c r="AT918" s="20" t="s">
        <v>17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M918" s="20">
        <v>71.42</v>
      </c>
      <c r="BN918" s="20">
        <v>49.19</v>
      </c>
      <c r="BW918" s="20">
        <v>-47.88</v>
      </c>
      <c r="BX918" s="20">
        <v>-43.25</v>
      </c>
      <c r="BZ918" s="20">
        <v>-58.43</v>
      </c>
      <c r="CA918" s="20">
        <v>138.78</v>
      </c>
      <c r="CO918" s="20">
        <v>-9.31</v>
      </c>
      <c r="CP918" s="20">
        <v>-62.03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P919" s="20">
        <v>-3.17</v>
      </c>
      <c r="Q919" s="20">
        <v>60.79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M919" s="20">
        <v>72.44</v>
      </c>
      <c r="BN919" s="20">
        <v>119.43</v>
      </c>
      <c r="BW919" s="20">
        <v>-35.57</v>
      </c>
      <c r="BX919" s="20">
        <v>-24.73</v>
      </c>
      <c r="BZ919" s="20">
        <v>-36.54</v>
      </c>
      <c r="CA919" s="20">
        <v>72.39</v>
      </c>
      <c r="CO919" s="20">
        <v>-38.84</v>
      </c>
      <c r="CP919" s="20">
        <v>-63.35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17</v>
      </c>
      <c r="M920" s="20">
        <v>56.91</v>
      </c>
      <c r="N920" s="20">
        <v>72.97</v>
      </c>
      <c r="P920" s="20">
        <v>-33.6</v>
      </c>
      <c r="Q920" s="20">
        <v>-3.54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17</v>
      </c>
      <c r="AO920" s="20">
        <v>2.12</v>
      </c>
      <c r="AP920" s="20">
        <v>4.3</v>
      </c>
      <c r="AS920" s="20">
        <v>463.0</v>
      </c>
      <c r="AT920" s="20" t="s">
        <v>17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M920" s="20">
        <v>15.32</v>
      </c>
      <c r="BN920" s="20">
        <v>233.33</v>
      </c>
      <c r="BW920" s="20">
        <v>-23.79</v>
      </c>
      <c r="BX920" s="20">
        <v>-28.69</v>
      </c>
      <c r="BZ920" s="20">
        <v>-77.47</v>
      </c>
      <c r="CA920" s="20">
        <v>-56.36</v>
      </c>
      <c r="CO920" s="20">
        <v>-21.7</v>
      </c>
      <c r="CP920" s="20">
        <v>-48.95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P921" s="20">
        <v>-6.96</v>
      </c>
      <c r="Q921" s="20">
        <v>22.66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M921" s="20">
        <v>59.69</v>
      </c>
      <c r="BN921" s="20">
        <v>118.35</v>
      </c>
      <c r="BW921" s="20">
        <v>-28.45</v>
      </c>
      <c r="BX921" s="20">
        <v>-29.25</v>
      </c>
      <c r="BZ921" s="20">
        <v>18.69</v>
      </c>
      <c r="CA921" s="20">
        <v>131.96</v>
      </c>
      <c r="CO921" s="20">
        <v>-16.89</v>
      </c>
      <c r="CP921" s="20">
        <v>-55.88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17</v>
      </c>
      <c r="M922" s="20">
        <v>16.16</v>
      </c>
      <c r="N922" s="20">
        <v>11.8</v>
      </c>
      <c r="P922" s="20">
        <v>-60.71</v>
      </c>
      <c r="Q922" s="20">
        <v>-76.57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17</v>
      </c>
      <c r="AO922" s="20">
        <v>-28.87</v>
      </c>
      <c r="AP922" s="20">
        <v>-12.84</v>
      </c>
      <c r="AS922" s="20">
        <v>464.0</v>
      </c>
      <c r="AT922" s="20" t="s">
        <v>17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M922" s="20">
        <v>44.67</v>
      </c>
      <c r="BN922" s="20">
        <v>198.53</v>
      </c>
      <c r="BW922" s="20">
        <v>-30.33</v>
      </c>
      <c r="BX922" s="20">
        <v>-43.71</v>
      </c>
      <c r="BZ922" s="20">
        <v>-24.14</v>
      </c>
      <c r="CA922" s="20">
        <v>2.48</v>
      </c>
      <c r="CO922" s="20">
        <v>-14.63</v>
      </c>
      <c r="CP922" s="20">
        <v>-49.9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P923" s="20">
        <v>0.45</v>
      </c>
      <c r="Q923" s="20">
        <v>43.01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M923" s="20">
        <v>57.13</v>
      </c>
      <c r="BN923" s="20">
        <v>82.22</v>
      </c>
      <c r="BW923" s="20">
        <v>-22.15</v>
      </c>
      <c r="BX923" s="20">
        <v>-31.32</v>
      </c>
      <c r="BZ923" s="20">
        <v>-36.57</v>
      </c>
      <c r="CA923" s="20">
        <v>8.56</v>
      </c>
      <c r="CO923" s="20">
        <v>-8.97</v>
      </c>
      <c r="CP923" s="20">
        <v>-65.17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17</v>
      </c>
      <c r="M924" s="20">
        <v>-56.41</v>
      </c>
      <c r="N924" s="20">
        <v>-46.87</v>
      </c>
      <c r="P924" s="20">
        <v>-35.59</v>
      </c>
      <c r="Q924" s="20">
        <v>5.55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17</v>
      </c>
      <c r="AO924" s="20">
        <v>-12.23</v>
      </c>
      <c r="AP924" s="20">
        <v>-18.7</v>
      </c>
      <c r="AS924" s="20">
        <v>465.0</v>
      </c>
      <c r="AT924" s="20" t="s">
        <v>17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M924" s="20">
        <v>32.45</v>
      </c>
      <c r="BN924" s="20">
        <v>212.82</v>
      </c>
      <c r="BW924" s="20">
        <v>-62.17</v>
      </c>
      <c r="BX924" s="20">
        <v>-49.02</v>
      </c>
      <c r="BZ924" s="20">
        <v>-38.7</v>
      </c>
      <c r="CA924" s="20">
        <v>22.8</v>
      </c>
      <c r="CO924" s="20">
        <v>-17.27</v>
      </c>
      <c r="CP924" s="20">
        <v>-52.79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P925" s="20">
        <v>-15.74</v>
      </c>
      <c r="Q925" s="20">
        <v>0.83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M925" s="20">
        <v>79.77</v>
      </c>
      <c r="BN925" s="20">
        <v>95.89</v>
      </c>
      <c r="BW925" s="20">
        <v>-35.83</v>
      </c>
      <c r="BX925" s="20">
        <v>-23.19</v>
      </c>
      <c r="BZ925" s="20">
        <v>-10.86</v>
      </c>
      <c r="CA925" s="20">
        <v>141.06</v>
      </c>
      <c r="CO925" s="20">
        <v>-15.55</v>
      </c>
      <c r="CP925" s="20">
        <v>-61.61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17</v>
      </c>
      <c r="M926" s="20">
        <v>-24.33</v>
      </c>
      <c r="N926" s="20">
        <v>11.63</v>
      </c>
      <c r="P926" s="20">
        <v>-34.32</v>
      </c>
      <c r="Q926" s="20">
        <v>-15.53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17</v>
      </c>
      <c r="AO926" s="20">
        <v>25.61</v>
      </c>
      <c r="AP926" s="20">
        <v>4.84</v>
      </c>
      <c r="AS926" s="20">
        <v>466.0</v>
      </c>
      <c r="AT926" s="20" t="s">
        <v>17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M926" s="20">
        <v>45.39</v>
      </c>
      <c r="BN926" s="20">
        <v>46.31</v>
      </c>
      <c r="BW926" s="20">
        <v>-14.84</v>
      </c>
      <c r="BX926" s="20">
        <v>-39.5</v>
      </c>
      <c r="BZ926" s="20">
        <v>-59.95</v>
      </c>
      <c r="CA926" s="20">
        <v>85.19</v>
      </c>
      <c r="CO926" s="20">
        <v>-31.15</v>
      </c>
      <c r="CP926" s="20">
        <v>-61.97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P927" s="20">
        <v>4.97</v>
      </c>
      <c r="Q927" s="20">
        <v>123.58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M927" s="20">
        <v>36.46</v>
      </c>
      <c r="BN927" s="20">
        <v>129.72</v>
      </c>
      <c r="BW927" s="20">
        <v>-42.9</v>
      </c>
      <c r="BX927" s="20">
        <v>-29.59</v>
      </c>
      <c r="BZ927" s="20">
        <v>-34.63</v>
      </c>
      <c r="CA927" s="20">
        <v>55.11</v>
      </c>
      <c r="CO927" s="20">
        <v>-24.88</v>
      </c>
      <c r="CP927" s="20">
        <v>-55.59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17</v>
      </c>
      <c r="M928" s="20">
        <v>15.58</v>
      </c>
      <c r="N928" s="20">
        <v>-20.68</v>
      </c>
      <c r="P928" s="20">
        <v>-40.13</v>
      </c>
      <c r="Q928" s="20">
        <v>11.38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17</v>
      </c>
      <c r="AO928" s="20">
        <v>-24.15</v>
      </c>
      <c r="AP928" s="20">
        <v>1.35</v>
      </c>
      <c r="AS928" s="20">
        <v>467.0</v>
      </c>
      <c r="AT928" s="20" t="s">
        <v>17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M928" s="20">
        <v>83.76</v>
      </c>
      <c r="BN928" s="20">
        <v>81.83</v>
      </c>
      <c r="BW928" s="20">
        <v>-18.83</v>
      </c>
      <c r="BX928" s="20">
        <v>-32.19</v>
      </c>
      <c r="BZ928" s="20">
        <v>-21.38</v>
      </c>
      <c r="CA928" s="20">
        <v>-8.86</v>
      </c>
      <c r="CO928" s="20">
        <v>-7.77</v>
      </c>
      <c r="CP928" s="20">
        <v>-63.17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P929" s="20">
        <v>-14.98</v>
      </c>
      <c r="Q929" s="20">
        <v>5.24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M929" s="20">
        <v>164.05</v>
      </c>
      <c r="BN929" s="20">
        <v>134.51</v>
      </c>
      <c r="BW929" s="20">
        <v>-39.55</v>
      </c>
      <c r="BX929" s="20">
        <v>-8.06</v>
      </c>
      <c r="BZ929" s="20">
        <v>-32.36</v>
      </c>
      <c r="CA929" s="20">
        <v>67.32</v>
      </c>
      <c r="CO929" s="20">
        <v>-42.54</v>
      </c>
      <c r="CP929" s="20">
        <v>-48.08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17</v>
      </c>
      <c r="M930" s="20">
        <v>-22.57</v>
      </c>
      <c r="N930" s="20">
        <v>-18.9</v>
      </c>
      <c r="P930" s="20">
        <v>-24.1</v>
      </c>
      <c r="Q930" s="20">
        <v>20.66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17</v>
      </c>
      <c r="AO930" s="20">
        <v>6.07</v>
      </c>
      <c r="AP930" s="20">
        <v>10.27</v>
      </c>
      <c r="AS930" s="20">
        <v>468.0</v>
      </c>
      <c r="AT930" s="20" t="s">
        <v>17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M930" s="20">
        <v>75.95</v>
      </c>
      <c r="BN930" s="20">
        <v>137.13</v>
      </c>
      <c r="BW930" s="20">
        <v>-11.48</v>
      </c>
      <c r="BX930" s="20">
        <v>6.98</v>
      </c>
      <c r="BZ930" s="20">
        <v>-43.45</v>
      </c>
      <c r="CA930" s="20">
        <v>131.74</v>
      </c>
      <c r="CO930" s="20">
        <v>4.84</v>
      </c>
      <c r="CP930" s="20">
        <v>-64.15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P931" s="20">
        <v>-2.69</v>
      </c>
      <c r="Q931" s="20">
        <v>-1.38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M931" s="20">
        <v>10.8</v>
      </c>
      <c r="BN931" s="20">
        <v>64.13</v>
      </c>
      <c r="BW931" s="20">
        <v>-16.65</v>
      </c>
      <c r="BX931" s="20">
        <v>-30.07</v>
      </c>
      <c r="BZ931" s="20">
        <v>-47.8</v>
      </c>
      <c r="CA931" s="20">
        <v>23.6</v>
      </c>
      <c r="CO931" s="20">
        <v>-22.35</v>
      </c>
      <c r="CP931" s="20">
        <v>-60.2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17</v>
      </c>
      <c r="M932" s="20">
        <v>12.91</v>
      </c>
      <c r="N932" s="20">
        <v>-20.78</v>
      </c>
      <c r="P932" s="20">
        <v>-12.63</v>
      </c>
      <c r="Q932" s="20">
        <v>11.91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17</v>
      </c>
      <c r="AO932" s="20">
        <v>-24.91</v>
      </c>
      <c r="AP932" s="20">
        <v>53.77</v>
      </c>
      <c r="AS932" s="20">
        <v>469.0</v>
      </c>
      <c r="AT932" s="20" t="s">
        <v>17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M932" s="20">
        <v>42.73</v>
      </c>
      <c r="BN932" s="20">
        <v>102.27</v>
      </c>
      <c r="BW932" s="20">
        <v>-12.33</v>
      </c>
      <c r="BX932" s="20">
        <v>-23.08</v>
      </c>
      <c r="BZ932" s="20">
        <v>-47.48</v>
      </c>
      <c r="CA932" s="20">
        <v>-29.14</v>
      </c>
      <c r="CO932" s="20">
        <v>-19.23</v>
      </c>
      <c r="CP932" s="20">
        <v>-59.73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P933" s="20">
        <v>-16.41</v>
      </c>
      <c r="Q933" s="20">
        <v>-14.29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M933" s="20">
        <v>67.18</v>
      </c>
      <c r="BN933" s="20">
        <v>126.41</v>
      </c>
      <c r="BW933" s="20">
        <v>-35.33</v>
      </c>
      <c r="BX933" s="20">
        <v>-23.06</v>
      </c>
      <c r="BZ933" s="20">
        <v>-44.27</v>
      </c>
      <c r="CA933" s="20">
        <v>334.17</v>
      </c>
      <c r="CO933" s="20">
        <v>-17.82</v>
      </c>
      <c r="CP933" s="20">
        <v>-56.64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17</v>
      </c>
      <c r="M934" s="20">
        <v>13.83</v>
      </c>
      <c r="N934" s="20">
        <v>-3.02</v>
      </c>
      <c r="P934" s="20">
        <v>-19.37</v>
      </c>
      <c r="Q934" s="20">
        <v>-10.8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17</v>
      </c>
      <c r="AO934" s="20">
        <v>-15.33</v>
      </c>
      <c r="AP934" s="20">
        <v>-9.62</v>
      </c>
      <c r="AS934" s="20">
        <v>470.0</v>
      </c>
      <c r="AT934" s="20" t="s">
        <v>17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M934" s="20">
        <v>56.9</v>
      </c>
      <c r="BN934" s="20">
        <v>138.22</v>
      </c>
      <c r="BW934" s="20">
        <v>-38.63</v>
      </c>
      <c r="BX934" s="20">
        <v>-28.12</v>
      </c>
      <c r="BZ934" s="20">
        <v>-63.69</v>
      </c>
      <c r="CA934" s="20">
        <v>109.88</v>
      </c>
      <c r="CO934" s="20">
        <v>-11.8</v>
      </c>
      <c r="CP934" s="20">
        <v>-53.63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P935" s="20">
        <v>14.5</v>
      </c>
      <c r="Q935" s="20">
        <v>3.86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M935" s="20">
        <v>-21.35</v>
      </c>
      <c r="BN935" s="20">
        <v>21.48</v>
      </c>
      <c r="BW935" s="20">
        <v>-30.58</v>
      </c>
      <c r="BX935" s="20">
        <v>-18.28</v>
      </c>
      <c r="BZ935" s="20">
        <v>-38.56</v>
      </c>
      <c r="CA935" s="20">
        <v>14.26</v>
      </c>
      <c r="CO935" s="20">
        <v>-27.73</v>
      </c>
      <c r="CP935" s="20">
        <v>-62.78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17</v>
      </c>
      <c r="M936" s="20">
        <v>-35.34</v>
      </c>
      <c r="N936" s="20">
        <v>0.89</v>
      </c>
      <c r="P936" s="20">
        <v>-25.9</v>
      </c>
      <c r="Q936" s="20">
        <v>53.56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17</v>
      </c>
      <c r="AO936" s="20">
        <v>-20.39</v>
      </c>
      <c r="AP936" s="20">
        <v>-26.37</v>
      </c>
      <c r="AS936" s="20">
        <v>471.0</v>
      </c>
      <c r="AT936" s="20" t="s">
        <v>17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M936" s="20">
        <v>31.11</v>
      </c>
      <c r="BN936" s="20">
        <v>123.35</v>
      </c>
      <c r="BW936" s="20">
        <v>-52.47</v>
      </c>
      <c r="BX936" s="20">
        <v>-39.43</v>
      </c>
      <c r="BZ936" s="20">
        <v>-35.19</v>
      </c>
      <c r="CA936" s="20">
        <v>-14.11</v>
      </c>
      <c r="CO936" s="20">
        <v>-26.53</v>
      </c>
      <c r="CP936" s="20">
        <v>-46.89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P937" s="20">
        <v>17.67</v>
      </c>
      <c r="Q937" s="20">
        <v>30.89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M937" s="20">
        <v>36.56</v>
      </c>
      <c r="BN937" s="20">
        <v>81.42</v>
      </c>
      <c r="BW937" s="20">
        <v>-47.31</v>
      </c>
      <c r="BX937" s="20">
        <v>-38.04</v>
      </c>
      <c r="BZ937" s="20">
        <v>-27.73</v>
      </c>
      <c r="CA937" s="20">
        <v>95.92</v>
      </c>
      <c r="CO937" s="20">
        <v>-19.19</v>
      </c>
      <c r="CP937" s="20">
        <v>-62.5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17</v>
      </c>
      <c r="M938" s="20">
        <v>-0.98</v>
      </c>
      <c r="N938" s="20">
        <v>22.35</v>
      </c>
      <c r="P938" s="20">
        <v>-19.53</v>
      </c>
      <c r="Q938" s="20">
        <v>51.99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17</v>
      </c>
      <c r="AO938" s="20">
        <v>-31.34</v>
      </c>
      <c r="AP938" s="20">
        <v>7.22</v>
      </c>
      <c r="AS938" s="20">
        <v>472.0</v>
      </c>
      <c r="AT938" s="20" t="s">
        <v>17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M938" s="20">
        <v>11.14</v>
      </c>
      <c r="BN938" s="20">
        <v>124.0</v>
      </c>
      <c r="BW938" s="20">
        <v>-16.75</v>
      </c>
      <c r="BX938" s="20">
        <v>-15.05</v>
      </c>
      <c r="BZ938" s="20">
        <v>-34.87</v>
      </c>
      <c r="CA938" s="20">
        <v>114.36</v>
      </c>
      <c r="CO938" s="20">
        <v>-32.47</v>
      </c>
      <c r="CP938" s="20">
        <v>-74.01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P939" s="20">
        <v>-12.05</v>
      </c>
      <c r="Q939" s="20">
        <v>14.17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M939" s="20">
        <v>-55.45</v>
      </c>
      <c r="BN939" s="20">
        <v>-30.62</v>
      </c>
      <c r="BW939" s="20">
        <v>-50.48</v>
      </c>
      <c r="BX939" s="20">
        <v>-31.53</v>
      </c>
      <c r="BZ939" s="20">
        <v>-45.8</v>
      </c>
      <c r="CA939" s="20">
        <v>1.78</v>
      </c>
      <c r="CO939" s="20">
        <v>-36.19</v>
      </c>
      <c r="CP939" s="20">
        <v>-63.92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17</v>
      </c>
      <c r="M940" s="20">
        <v>-26.47</v>
      </c>
      <c r="N940" s="20">
        <v>64.89</v>
      </c>
      <c r="P940" s="20">
        <v>-51.87</v>
      </c>
      <c r="Q940" s="20">
        <v>-22.09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17</v>
      </c>
      <c r="AO940" s="20">
        <v>0.92</v>
      </c>
      <c r="AP940" s="20">
        <v>-18.64</v>
      </c>
      <c r="AS940" s="20">
        <v>473.0</v>
      </c>
      <c r="AT940" s="20" t="s">
        <v>17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M940" s="20">
        <v>47.65</v>
      </c>
      <c r="BN940" s="20">
        <v>89.23</v>
      </c>
      <c r="BW940" s="20">
        <v>-12.47</v>
      </c>
      <c r="BX940" s="20">
        <v>-6.93</v>
      </c>
      <c r="BZ940" s="20">
        <v>-55.79</v>
      </c>
      <c r="CA940" s="20">
        <v>-1.46</v>
      </c>
      <c r="CO940" s="20">
        <v>-40.29</v>
      </c>
      <c r="CP940" s="20">
        <v>-61.74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P941" s="20">
        <v>-12.28</v>
      </c>
      <c r="Q941" s="20">
        <v>14.31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M941" s="20">
        <v>67.19</v>
      </c>
      <c r="BN941" s="20">
        <v>90.08</v>
      </c>
      <c r="BW941" s="20">
        <v>-46.34</v>
      </c>
      <c r="BX941" s="20">
        <v>-24.41</v>
      </c>
      <c r="BZ941" s="20">
        <v>-43.58</v>
      </c>
      <c r="CA941" s="20">
        <v>135.65</v>
      </c>
      <c r="CO941" s="20">
        <v>-38.46</v>
      </c>
      <c r="CP941" s="20">
        <v>-57.05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17</v>
      </c>
      <c r="M942" s="20">
        <v>-23.32</v>
      </c>
      <c r="N942" s="20">
        <v>37.29</v>
      </c>
      <c r="P942" s="20">
        <v>-32.05</v>
      </c>
      <c r="Q942" s="20">
        <v>-30.51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17</v>
      </c>
      <c r="AO942" s="20">
        <v>-17.06</v>
      </c>
      <c r="AP942" s="20">
        <v>22.55</v>
      </c>
      <c r="AS942" s="20">
        <v>474.0</v>
      </c>
      <c r="AT942" s="20" t="s">
        <v>17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M942" s="20">
        <v>29.77</v>
      </c>
      <c r="BN942" s="20">
        <v>73.24</v>
      </c>
      <c r="BW942" s="20">
        <v>-64.57</v>
      </c>
      <c r="BX942" s="20">
        <v>-30.2</v>
      </c>
      <c r="BZ942" s="20">
        <v>-68.29</v>
      </c>
      <c r="CA942" s="20">
        <v>-0.4</v>
      </c>
      <c r="CO942" s="20">
        <v>-1.59</v>
      </c>
      <c r="CP942" s="20">
        <v>-59.47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P943" s="20">
        <v>-8.76</v>
      </c>
      <c r="Q943" s="20">
        <v>2.85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M943" s="20">
        <v>-20.34</v>
      </c>
      <c r="BN943" s="20">
        <v>16.34</v>
      </c>
      <c r="BW943" s="20">
        <v>-20.22</v>
      </c>
      <c r="BX943" s="20">
        <v>-24.56</v>
      </c>
      <c r="BZ943" s="20">
        <v>-42.2</v>
      </c>
      <c r="CA943" s="20">
        <v>14.02</v>
      </c>
      <c r="CO943" s="20">
        <v>-35.47</v>
      </c>
      <c r="CP943" s="20">
        <v>-38.89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17</v>
      </c>
      <c r="M944" s="20">
        <v>-7.73</v>
      </c>
      <c r="N944" s="20">
        <v>31.03</v>
      </c>
      <c r="P944" s="20">
        <v>-44.99</v>
      </c>
      <c r="Q944" s="20">
        <v>7.31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17</v>
      </c>
      <c r="AO944" s="20">
        <v>45.03</v>
      </c>
      <c r="AP944" s="20">
        <v>47.58</v>
      </c>
      <c r="AS944" s="20">
        <v>475.0</v>
      </c>
      <c r="AT944" s="20" t="s">
        <v>17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M944" s="20">
        <v>9.65</v>
      </c>
      <c r="BN944" s="20">
        <v>10.82</v>
      </c>
      <c r="BW944" s="20">
        <v>-4.22</v>
      </c>
      <c r="BX944" s="20">
        <v>-27.35</v>
      </c>
      <c r="BZ944" s="20">
        <v>-57.9</v>
      </c>
      <c r="CA944" s="20">
        <v>-9.08</v>
      </c>
      <c r="CO944" s="20">
        <v>-52.23</v>
      </c>
      <c r="CP944" s="20">
        <v>-55.27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P945" s="20">
        <v>-8.65</v>
      </c>
      <c r="Q945" s="20">
        <v>2.2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M945" s="20">
        <v>74.86</v>
      </c>
      <c r="BN945" s="20">
        <v>135.14</v>
      </c>
      <c r="BW945" s="20">
        <v>-50.65</v>
      </c>
      <c r="BX945" s="20">
        <v>-44.06</v>
      </c>
      <c r="BZ945" s="20">
        <v>-42.67</v>
      </c>
      <c r="CA945" s="20">
        <v>162.37</v>
      </c>
      <c r="CO945" s="20">
        <v>-0.82</v>
      </c>
      <c r="CP945" s="20">
        <v>-62.82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17</v>
      </c>
      <c r="M946" s="20">
        <v>-17.98</v>
      </c>
      <c r="N946" s="20">
        <v>16.03</v>
      </c>
      <c r="P946" s="20">
        <v>-41.34</v>
      </c>
      <c r="Q946" s="20">
        <v>-12.18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17</v>
      </c>
      <c r="AO946" s="20">
        <v>-15.72</v>
      </c>
      <c r="AP946" s="20">
        <v>32.87</v>
      </c>
      <c r="AS946" s="20">
        <v>476.0</v>
      </c>
      <c r="AT946" s="20" t="s">
        <v>17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M946" s="20">
        <v>47.77</v>
      </c>
      <c r="BN946" s="20">
        <v>75.16</v>
      </c>
      <c r="BW946" s="20">
        <v>-26.71</v>
      </c>
      <c r="BX946" s="20">
        <v>-14.09</v>
      </c>
      <c r="BZ946" s="20">
        <v>-44.9</v>
      </c>
      <c r="CA946" s="20">
        <v>107.27</v>
      </c>
      <c r="CO946" s="20">
        <v>-5.55</v>
      </c>
      <c r="CP946" s="20">
        <v>-72.71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P947" s="20">
        <v>168.33</v>
      </c>
      <c r="Q947" s="20">
        <v>33.55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M947" s="20">
        <v>23.25</v>
      </c>
      <c r="BN947" s="20">
        <v>71.78</v>
      </c>
      <c r="BW947" s="20">
        <v>-27.08</v>
      </c>
      <c r="BX947" s="20">
        <v>-44.61</v>
      </c>
      <c r="BZ947" s="20">
        <v>-34.45</v>
      </c>
      <c r="CA947" s="20">
        <v>26.53</v>
      </c>
      <c r="CO947" s="20">
        <v>-18.48</v>
      </c>
      <c r="CP947" s="20">
        <v>-48.57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17</v>
      </c>
      <c r="M948" s="20">
        <v>-46.09</v>
      </c>
      <c r="N948" s="20">
        <v>-10.91</v>
      </c>
      <c r="P948" s="20">
        <v>22.6</v>
      </c>
      <c r="Q948" s="20">
        <v>68.43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17</v>
      </c>
      <c r="AO948" s="20">
        <v>3.68</v>
      </c>
      <c r="AP948" s="20">
        <v>15.0</v>
      </c>
      <c r="AS948" s="20">
        <v>477.0</v>
      </c>
      <c r="AT948" s="20" t="s">
        <v>17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M948" s="20">
        <v>57.89</v>
      </c>
      <c r="BN948" s="20">
        <v>97.17</v>
      </c>
      <c r="BW948" s="20">
        <v>-54.18</v>
      </c>
      <c r="BX948" s="20">
        <v>-49.18</v>
      </c>
      <c r="BZ948" s="20">
        <v>-44.46</v>
      </c>
      <c r="CA948" s="20">
        <v>8.3</v>
      </c>
      <c r="CO948" s="20">
        <v>-40.41</v>
      </c>
      <c r="CP948" s="20">
        <v>-55.45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P949" s="20">
        <v>-30.25</v>
      </c>
      <c r="Q949" s="20">
        <v>54.39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M949" s="20">
        <v>60.77</v>
      </c>
      <c r="BN949" s="20">
        <v>64.86</v>
      </c>
      <c r="BW949" s="20">
        <v>-25.4</v>
      </c>
      <c r="BX949" s="20">
        <v>-4.3</v>
      </c>
      <c r="BZ949" s="20">
        <v>-35.97</v>
      </c>
      <c r="CA949" s="20">
        <v>120.76</v>
      </c>
      <c r="CO949" s="20">
        <v>-31.1</v>
      </c>
      <c r="CP949" s="20">
        <v>-56.5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17</v>
      </c>
      <c r="M950" s="20">
        <v>4.78</v>
      </c>
      <c r="N950" s="20">
        <v>37.79</v>
      </c>
      <c r="P950" s="20">
        <v>-55.94</v>
      </c>
      <c r="Q950" s="20">
        <v>-86.37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17</v>
      </c>
      <c r="AO950" s="20">
        <v>-21.14</v>
      </c>
      <c r="AP950" s="20">
        <v>-41.12</v>
      </c>
      <c r="AS950" s="20">
        <v>478.0</v>
      </c>
      <c r="AT950" s="20" t="s">
        <v>17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M950" s="20">
        <v>57.14</v>
      </c>
      <c r="BN950" s="20">
        <v>107.66</v>
      </c>
      <c r="BW950" s="20">
        <v>17.97</v>
      </c>
      <c r="BX950" s="20">
        <v>-14.92</v>
      </c>
      <c r="BZ950" s="20">
        <v>-60.55</v>
      </c>
      <c r="CA950" s="20">
        <v>112.6</v>
      </c>
      <c r="CO950" s="20">
        <v>-17.54</v>
      </c>
      <c r="CP950" s="20">
        <v>-56.13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P951" s="20">
        <v>69.31</v>
      </c>
      <c r="Q951" s="20">
        <v>95.83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M951" s="20">
        <v>19.31</v>
      </c>
      <c r="BN951" s="20">
        <v>127.94</v>
      </c>
      <c r="BW951" s="20">
        <v>-25.3</v>
      </c>
      <c r="BX951" s="20">
        <v>18.68</v>
      </c>
      <c r="BZ951" s="20">
        <v>-34.32</v>
      </c>
      <c r="CA951" s="20">
        <v>25.02</v>
      </c>
      <c r="CO951" s="20">
        <v>-25.22</v>
      </c>
      <c r="CP951" s="20">
        <v>-46.05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17</v>
      </c>
      <c r="M952" s="20">
        <v>-16.45</v>
      </c>
      <c r="N952" s="20">
        <v>-4.06</v>
      </c>
      <c r="P952" s="20">
        <v>99.02</v>
      </c>
      <c r="Q952" s="20">
        <v>143.32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17</v>
      </c>
      <c r="AO952" s="20">
        <v>-0.22</v>
      </c>
      <c r="AP952" s="20">
        <v>-32.06</v>
      </c>
      <c r="AS952" s="20">
        <v>479.0</v>
      </c>
      <c r="AT952" s="20" t="s">
        <v>17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M952" s="20">
        <v>33.13</v>
      </c>
      <c r="BN952" s="20">
        <v>99.46</v>
      </c>
      <c r="BW952" s="20">
        <v>-38.23</v>
      </c>
      <c r="BX952" s="20">
        <v>-13.06</v>
      </c>
      <c r="BZ952" s="20">
        <v>-26.23</v>
      </c>
      <c r="CA952" s="20">
        <v>-8.85</v>
      </c>
      <c r="CO952" s="20">
        <v>19.58</v>
      </c>
      <c r="CP952" s="20">
        <v>-70.94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P953" s="20">
        <v>11.43</v>
      </c>
      <c r="Q953" s="20">
        <v>27.58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M953" s="20">
        <v>115.52</v>
      </c>
      <c r="BN953" s="20">
        <v>117.25</v>
      </c>
      <c r="BW953" s="20">
        <v>-43.22</v>
      </c>
      <c r="BX953" s="20">
        <v>-24.53</v>
      </c>
      <c r="BZ953" s="20">
        <v>-47.31</v>
      </c>
      <c r="CA953" s="20">
        <v>4.06</v>
      </c>
      <c r="CO953" s="20">
        <v>-33.57</v>
      </c>
      <c r="CP953" s="20">
        <v>-13.73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17</v>
      </c>
      <c r="M954" s="20">
        <v>-17.44</v>
      </c>
      <c r="N954" s="20">
        <v>62.56</v>
      </c>
      <c r="P954" s="20">
        <v>-2.51</v>
      </c>
      <c r="Q954" s="20">
        <v>6.46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17</v>
      </c>
      <c r="AO954" s="20">
        <v>6.27</v>
      </c>
      <c r="AP954" s="20">
        <v>12.4</v>
      </c>
      <c r="AS954" s="20">
        <v>480.0</v>
      </c>
      <c r="AT954" s="20" t="s">
        <v>17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M954" s="20">
        <v>30.43</v>
      </c>
      <c r="BN954" s="20">
        <v>135.4</v>
      </c>
      <c r="BW954" s="20">
        <v>-26.61</v>
      </c>
      <c r="BX954" s="20">
        <v>5.74</v>
      </c>
      <c r="BZ954" s="20">
        <v>-74.24</v>
      </c>
      <c r="CA954" s="20">
        <v>-33.41</v>
      </c>
      <c r="CO954" s="20">
        <v>57.84</v>
      </c>
      <c r="CP954" s="20">
        <v>-43.61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P955" s="20">
        <v>40.96</v>
      </c>
      <c r="Q955" s="20">
        <v>96.92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M955" s="20">
        <v>43.39</v>
      </c>
      <c r="BN955" s="20">
        <v>62.25</v>
      </c>
      <c r="BW955" s="20">
        <v>-24.17</v>
      </c>
      <c r="BX955" s="20">
        <v>-16.96</v>
      </c>
      <c r="BZ955" s="20">
        <v>-50.75</v>
      </c>
      <c r="CA955" s="20">
        <v>-30.27</v>
      </c>
      <c r="CO955" s="20">
        <v>4.86</v>
      </c>
      <c r="CP955" s="20">
        <v>-52.02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17</v>
      </c>
      <c r="M956" s="20">
        <v>-47.41</v>
      </c>
      <c r="N956" s="20">
        <v>-27.88</v>
      </c>
      <c r="P956" s="20">
        <v>-4.82</v>
      </c>
      <c r="Q956" s="20">
        <v>37.76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17</v>
      </c>
      <c r="AO956" s="20">
        <v>20.74</v>
      </c>
      <c r="AP956" s="20">
        <v>-19.72</v>
      </c>
      <c r="AS956" s="20">
        <v>481.0</v>
      </c>
      <c r="AT956" s="20" t="s">
        <v>17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M956" s="20">
        <v>52.48</v>
      </c>
      <c r="BN956" s="20">
        <v>133.32</v>
      </c>
      <c r="BW956" s="20">
        <v>-39.66</v>
      </c>
      <c r="BX956" s="20">
        <v>-19.28</v>
      </c>
      <c r="BZ956" s="20">
        <v>-43.1</v>
      </c>
      <c r="CA956" s="20">
        <v>-33.59</v>
      </c>
      <c r="CO956" s="20">
        <v>10.79</v>
      </c>
      <c r="CP956" s="20">
        <v>-41.73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P957" s="20">
        <v>-15.55</v>
      </c>
      <c r="Q957" s="20">
        <v>89.52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M957" s="20">
        <v>1.09</v>
      </c>
      <c r="BN957" s="20">
        <v>57.91</v>
      </c>
      <c r="BW957" s="20">
        <v>-35.99</v>
      </c>
      <c r="BX957" s="20">
        <v>-30.8</v>
      </c>
      <c r="BZ957" s="20">
        <v>-40.98</v>
      </c>
      <c r="CA957" s="20">
        <v>73.86</v>
      </c>
      <c r="CO957" s="20">
        <v>-12.3</v>
      </c>
      <c r="CP957" s="20">
        <v>-61.87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17</v>
      </c>
      <c r="M958" s="20">
        <v>-42.69</v>
      </c>
      <c r="N958" s="20">
        <v>-24.48</v>
      </c>
      <c r="P958" s="20">
        <v>-35.48</v>
      </c>
      <c r="Q958" s="20">
        <v>11.91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17</v>
      </c>
      <c r="AO958" s="20">
        <v>-20.06</v>
      </c>
      <c r="AP958" s="20">
        <v>-0.31</v>
      </c>
      <c r="AS958" s="20">
        <v>482.0</v>
      </c>
      <c r="AT958" s="20" t="s">
        <v>17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M958" s="20">
        <v>15.61</v>
      </c>
      <c r="BN958" s="20">
        <v>142.59</v>
      </c>
      <c r="BW958" s="20">
        <v>-23.89</v>
      </c>
      <c r="BX958" s="20">
        <v>-36.67</v>
      </c>
      <c r="BZ958" s="20">
        <v>-57.15</v>
      </c>
      <c r="CA958" s="20">
        <v>-33.45</v>
      </c>
      <c r="CO958" s="20">
        <v>22.59</v>
      </c>
      <c r="CP958" s="20">
        <v>-56.18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P959" s="20">
        <v>-13.18</v>
      </c>
      <c r="Q959" s="20">
        <v>29.42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M959" s="20">
        <v>39.86</v>
      </c>
      <c r="BN959" s="20">
        <v>111.21</v>
      </c>
      <c r="BW959" s="20">
        <v>-54.14</v>
      </c>
      <c r="BX959" s="20">
        <v>-41.28</v>
      </c>
      <c r="BZ959" s="20">
        <v>-30.07</v>
      </c>
      <c r="CA959" s="20">
        <v>64.42</v>
      </c>
      <c r="CO959" s="20">
        <v>7.42</v>
      </c>
      <c r="CP959" s="20">
        <v>-44.2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17</v>
      </c>
      <c r="M960" s="20">
        <v>-40.37</v>
      </c>
      <c r="N960" s="20">
        <v>-6.26</v>
      </c>
      <c r="P960" s="20">
        <v>1.19</v>
      </c>
      <c r="Q960" s="20">
        <v>68.46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17</v>
      </c>
      <c r="AO960" s="20">
        <v>22.27</v>
      </c>
      <c r="AP960" s="20">
        <v>9.47</v>
      </c>
      <c r="AS960" s="20">
        <v>483.0</v>
      </c>
      <c r="AT960" s="20" t="s">
        <v>17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M960" s="20">
        <v>205.66</v>
      </c>
      <c r="BN960" s="20">
        <v>38.13</v>
      </c>
      <c r="BW960" s="20">
        <v>-43.65</v>
      </c>
      <c r="BX960" s="20">
        <v>-23.63</v>
      </c>
      <c r="BZ960" s="20">
        <v>-39.58</v>
      </c>
      <c r="CA960" s="20">
        <v>83.69</v>
      </c>
      <c r="CO960" s="20">
        <v>9.46</v>
      </c>
      <c r="CP960" s="20">
        <v>-49.71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P961" s="20">
        <v>-21.16</v>
      </c>
      <c r="Q961" s="20">
        <v>88.32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M961" s="20">
        <v>176.41</v>
      </c>
      <c r="BN961" s="20">
        <v>69.57</v>
      </c>
      <c r="BW961" s="20">
        <v>-45.88</v>
      </c>
      <c r="BX961" s="20">
        <v>-48.3</v>
      </c>
      <c r="BZ961" s="20">
        <v>-62.65</v>
      </c>
      <c r="CA961" s="20">
        <v>69.25</v>
      </c>
      <c r="CO961" s="20">
        <v>-16.2</v>
      </c>
      <c r="CP961" s="20">
        <v>-33.92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17</v>
      </c>
      <c r="M962" s="20">
        <v>-34.66</v>
      </c>
      <c r="N962" s="20">
        <v>32.41</v>
      </c>
      <c r="P962" s="20">
        <v>-19.99</v>
      </c>
      <c r="Q962" s="20">
        <v>6.11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17</v>
      </c>
      <c r="AO962" s="20">
        <v>-48.84</v>
      </c>
      <c r="AP962" s="20">
        <v>-38.82</v>
      </c>
      <c r="AS962" s="20">
        <v>484.0</v>
      </c>
      <c r="AT962" s="20" t="s">
        <v>17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M962" s="20">
        <v>205.14</v>
      </c>
      <c r="BN962" s="20">
        <v>6.37</v>
      </c>
      <c r="BW962" s="20">
        <v>-43.04</v>
      </c>
      <c r="BX962" s="20">
        <v>-35.36</v>
      </c>
      <c r="BZ962" s="20">
        <v>-69.31</v>
      </c>
      <c r="CA962" s="20">
        <v>-11.98</v>
      </c>
      <c r="CO962" s="20">
        <v>-4.98</v>
      </c>
      <c r="CP962" s="20">
        <v>-50.62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P963" s="20">
        <v>7.6</v>
      </c>
      <c r="Q963" s="20">
        <v>90.36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M963" s="20">
        <v>229.22</v>
      </c>
      <c r="BN963" s="20">
        <v>143.26</v>
      </c>
      <c r="BW963" s="20">
        <v>-60.35</v>
      </c>
      <c r="BX963" s="20">
        <v>-3.61</v>
      </c>
      <c r="BZ963" s="20">
        <v>-32.49</v>
      </c>
      <c r="CA963" s="20">
        <v>100.36</v>
      </c>
      <c r="CO963" s="20">
        <v>11.5</v>
      </c>
      <c r="CP963" s="20">
        <v>-51.51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17</v>
      </c>
      <c r="M964" s="20">
        <v>0.43</v>
      </c>
      <c r="N964" s="20">
        <v>13.67</v>
      </c>
      <c r="P964" s="20">
        <v>39.35</v>
      </c>
      <c r="Q964" s="20">
        <v>142.09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17</v>
      </c>
      <c r="AO964" s="20">
        <v>-22.24</v>
      </c>
      <c r="AP964" s="20">
        <v>19.58</v>
      </c>
      <c r="AS964" s="20">
        <v>485.0</v>
      </c>
      <c r="AT964" s="20" t="s">
        <v>17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M964" s="20">
        <v>123.47</v>
      </c>
      <c r="BN964" s="20">
        <v>84.92</v>
      </c>
      <c r="BW964" s="20">
        <v>-61.51</v>
      </c>
      <c r="BX964" s="20">
        <v>5.87</v>
      </c>
      <c r="BZ964" s="20">
        <v>-41.68</v>
      </c>
      <c r="CA964" s="20">
        <v>68.7</v>
      </c>
      <c r="CO964" s="20">
        <v>-12.38</v>
      </c>
      <c r="CP964" s="20">
        <v>-48.47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P965" s="20">
        <v>18.86</v>
      </c>
      <c r="Q965" s="20">
        <v>140.47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M965" s="20">
        <v>96.02</v>
      </c>
      <c r="BN965" s="20">
        <v>200.55</v>
      </c>
      <c r="BW965" s="20">
        <v>-53.21</v>
      </c>
      <c r="BX965" s="20">
        <v>-32.77</v>
      </c>
      <c r="BZ965" s="20">
        <v>-40.31</v>
      </c>
      <c r="CA965" s="20">
        <v>50.69</v>
      </c>
      <c r="CO965" s="20">
        <v>-36.19</v>
      </c>
      <c r="CP965" s="20">
        <v>-51.78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17</v>
      </c>
      <c r="M966" s="20">
        <v>-68.81</v>
      </c>
      <c r="N966" s="20">
        <v>-73.7</v>
      </c>
      <c r="P966" s="20">
        <v>9.3</v>
      </c>
      <c r="Q966" s="20">
        <v>99.87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17</v>
      </c>
      <c r="AO966" s="20">
        <v>-19.5</v>
      </c>
      <c r="AP966" s="20">
        <v>-22.77</v>
      </c>
      <c r="AS966" s="20">
        <v>486.0</v>
      </c>
      <c r="AT966" s="20" t="s">
        <v>17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M966" s="20">
        <v>202.32</v>
      </c>
      <c r="BN966" s="20">
        <v>18.1</v>
      </c>
      <c r="BW966" s="20">
        <v>-54.27</v>
      </c>
      <c r="BX966" s="20">
        <v>-25.7</v>
      </c>
      <c r="BZ966" s="20">
        <v>-67.56</v>
      </c>
      <c r="CA966" s="20">
        <v>-14.0</v>
      </c>
      <c r="CO966" s="20">
        <v>13.23</v>
      </c>
      <c r="CP966" s="20">
        <v>-46.69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P967" s="20">
        <v>-3.81</v>
      </c>
      <c r="Q967" s="20">
        <v>51.14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M967" s="20">
        <v>34.25</v>
      </c>
      <c r="BN967" s="20">
        <v>148.85</v>
      </c>
      <c r="BW967" s="20">
        <v>-64.55</v>
      </c>
      <c r="BX967" s="20">
        <v>-11.17</v>
      </c>
      <c r="BZ967" s="20">
        <v>47.3</v>
      </c>
      <c r="CA967" s="20">
        <v>52.89</v>
      </c>
      <c r="CO967" s="20">
        <v>-1.32</v>
      </c>
      <c r="CP967" s="20">
        <v>-37.19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17</v>
      </c>
      <c r="M968" s="20">
        <v>10.2</v>
      </c>
      <c r="N968" s="20">
        <v>33.56</v>
      </c>
      <c r="P968" s="20">
        <v>33.95</v>
      </c>
      <c r="Q968" s="20">
        <v>84.69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17</v>
      </c>
      <c r="AO968" s="20">
        <v>-32.08</v>
      </c>
      <c r="AP968" s="20">
        <v>-1.35</v>
      </c>
      <c r="AS968" s="20">
        <v>487.0</v>
      </c>
      <c r="AT968" s="20" t="s">
        <v>17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M968" s="20">
        <v>68.77</v>
      </c>
      <c r="BN968" s="20">
        <v>106.79</v>
      </c>
      <c r="BW968" s="20">
        <v>-23.56</v>
      </c>
      <c r="BX968" s="20">
        <v>-45.75</v>
      </c>
      <c r="BZ968" s="20">
        <v>-35.31</v>
      </c>
      <c r="CA968" s="20">
        <v>107.45</v>
      </c>
      <c r="CO968" s="20">
        <v>14.79</v>
      </c>
      <c r="CP968" s="20">
        <v>-46.41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P969" s="20">
        <v>12.13</v>
      </c>
      <c r="Q969" s="20">
        <v>41.32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M969" s="20">
        <v>77.97</v>
      </c>
      <c r="BN969" s="20">
        <v>58.01</v>
      </c>
      <c r="BW969" s="20">
        <v>-44.92</v>
      </c>
      <c r="BX969" s="20">
        <v>-16.52</v>
      </c>
      <c r="BZ969" s="20">
        <v>-12.76</v>
      </c>
      <c r="CA969" s="20">
        <v>17.47</v>
      </c>
      <c r="CO969" s="20">
        <v>-18.5</v>
      </c>
      <c r="CP969" s="20">
        <v>-43.77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17</v>
      </c>
      <c r="M970" s="20">
        <v>45.73</v>
      </c>
      <c r="N970" s="20">
        <v>-9.71</v>
      </c>
      <c r="P970" s="20">
        <v>-9.28</v>
      </c>
      <c r="Q970" s="20">
        <v>75.41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17</v>
      </c>
      <c r="AO970" s="20">
        <v>57.75</v>
      </c>
      <c r="AP970" s="20">
        <v>-3.29</v>
      </c>
      <c r="AS970" s="20">
        <v>488.0</v>
      </c>
      <c r="AT970" s="20" t="s">
        <v>17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M970" s="20">
        <v>92.42</v>
      </c>
      <c r="BN970" s="20">
        <v>112.53</v>
      </c>
      <c r="BW970" s="20">
        <v>-59.24</v>
      </c>
      <c r="BX970" s="20">
        <v>1.06</v>
      </c>
      <c r="BZ970" s="20">
        <v>-45.92</v>
      </c>
      <c r="CA970" s="20">
        <v>-51.93</v>
      </c>
      <c r="CO970" s="20">
        <v>-4.35</v>
      </c>
      <c r="CP970" s="20">
        <v>-51.15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P971" s="20">
        <v>-30.61</v>
      </c>
      <c r="Q971" s="20">
        <v>28.3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M971" s="20">
        <v>-20.85</v>
      </c>
      <c r="BN971" s="20">
        <v>75.25</v>
      </c>
      <c r="BW971" s="20">
        <v>-45.52</v>
      </c>
      <c r="BX971" s="20">
        <v>-3.89</v>
      </c>
      <c r="BZ971" s="20">
        <v>0.24</v>
      </c>
      <c r="CA971" s="20">
        <v>102.87</v>
      </c>
      <c r="CO971" s="20">
        <v>10.0</v>
      </c>
      <c r="CP971" s="20">
        <v>-46.73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17</v>
      </c>
      <c r="M972" s="20">
        <v>-0.22</v>
      </c>
      <c r="N972" s="20">
        <v>-13.38</v>
      </c>
      <c r="P972" s="20">
        <v>29.32</v>
      </c>
      <c r="Q972" s="20">
        <v>74.62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17</v>
      </c>
      <c r="AO972" s="20">
        <v>-22.66</v>
      </c>
      <c r="AP972" s="20">
        <v>-8.55</v>
      </c>
      <c r="AS972" s="20">
        <v>489.0</v>
      </c>
      <c r="AT972" s="20" t="s">
        <v>17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M972" s="20">
        <v>39.75</v>
      </c>
      <c r="BN972" s="20">
        <v>27.01</v>
      </c>
      <c r="BW972" s="20">
        <v>-3.54</v>
      </c>
      <c r="BX972" s="20">
        <v>-50.32</v>
      </c>
      <c r="BZ972" s="20">
        <v>-60.11</v>
      </c>
      <c r="CA972" s="20">
        <v>93.25</v>
      </c>
      <c r="CO972" s="20">
        <v>1.74</v>
      </c>
      <c r="CP972" s="20">
        <v>-60.6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P973" s="20">
        <v>-15.68</v>
      </c>
      <c r="Q973" s="20">
        <v>1.59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M973" s="20">
        <v>228.2</v>
      </c>
      <c r="BN973" s="20">
        <v>93.67</v>
      </c>
      <c r="BW973" s="20">
        <v>-42.43</v>
      </c>
      <c r="BX973" s="20">
        <v>-40.77</v>
      </c>
      <c r="BZ973" s="20">
        <v>-20.55</v>
      </c>
      <c r="CA973" s="20">
        <v>28.31</v>
      </c>
      <c r="CO973" s="20">
        <v>-42.42</v>
      </c>
      <c r="CP973" s="20">
        <v>-48.63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17</v>
      </c>
      <c r="M974" s="20">
        <v>29.48</v>
      </c>
      <c r="N974" s="20">
        <v>18.13</v>
      </c>
      <c r="P974" s="20">
        <v>-19.64</v>
      </c>
      <c r="Q974" s="20">
        <v>23.53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17</v>
      </c>
      <c r="AO974" s="20">
        <v>-5.41</v>
      </c>
      <c r="AP974" s="20">
        <v>-40.05</v>
      </c>
      <c r="AS974" s="20">
        <v>490.0</v>
      </c>
      <c r="AT974" s="20" t="s">
        <v>17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M974" s="20">
        <v>-55.17</v>
      </c>
      <c r="BN974" s="20">
        <v>-37.74</v>
      </c>
      <c r="BW974" s="20">
        <v>-51.79</v>
      </c>
      <c r="BX974" s="20">
        <v>-64.52</v>
      </c>
      <c r="BZ974" s="20">
        <v>-44.38</v>
      </c>
      <c r="CA974" s="20">
        <v>-29.21</v>
      </c>
      <c r="CO974" s="20">
        <v>-13.16</v>
      </c>
      <c r="CP974" s="20">
        <v>-46.85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P975" s="20">
        <v>-36.37</v>
      </c>
      <c r="Q975" s="20">
        <v>23.05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M975" s="20">
        <v>69.08</v>
      </c>
      <c r="BN975" s="20">
        <v>69.4</v>
      </c>
      <c r="BW975" s="20">
        <v>-29.97</v>
      </c>
      <c r="BX975" s="20">
        <v>-25.5</v>
      </c>
      <c r="BZ975" s="20">
        <v>-56.13</v>
      </c>
      <c r="CA975" s="20">
        <v>91.59</v>
      </c>
      <c r="CO975" s="20">
        <v>9.39</v>
      </c>
      <c r="CP975" s="20">
        <v>-63.54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17</v>
      </c>
      <c r="M976" s="20">
        <v>-2.59</v>
      </c>
      <c r="N976" s="20">
        <v>23.84</v>
      </c>
      <c r="P976" s="20">
        <v>-29.26</v>
      </c>
      <c r="Q976" s="20">
        <v>-7.48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17</v>
      </c>
      <c r="AO976" s="20">
        <v>-19.83</v>
      </c>
      <c r="AP976" s="20">
        <v>17.66</v>
      </c>
      <c r="AS976" s="20">
        <v>491.0</v>
      </c>
      <c r="AT976" s="20" t="s">
        <v>17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M976" s="20">
        <v>139.36</v>
      </c>
      <c r="BN976" s="20">
        <v>49.02</v>
      </c>
      <c r="BW976" s="20">
        <v>-41.19</v>
      </c>
      <c r="BX976" s="20">
        <v>27.87</v>
      </c>
      <c r="BZ976" s="20">
        <v>-51.64</v>
      </c>
      <c r="CA976" s="20">
        <v>73.6</v>
      </c>
      <c r="CO976" s="20">
        <v>-20.85</v>
      </c>
      <c r="CP976" s="20">
        <v>-45.32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P977" s="20">
        <v>-17.15</v>
      </c>
      <c r="Q977" s="20">
        <v>125.9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M977" s="20">
        <v>160.25</v>
      </c>
      <c r="BN977" s="20">
        <v>85.94</v>
      </c>
      <c r="BW977" s="20">
        <v>-42.02</v>
      </c>
      <c r="BX977" s="20">
        <v>-40.08</v>
      </c>
      <c r="BZ977" s="20">
        <v>-49.39</v>
      </c>
      <c r="CA977" s="20">
        <v>3.83</v>
      </c>
      <c r="CO977" s="20">
        <v>-21.46</v>
      </c>
      <c r="CP977" s="20">
        <v>-55.85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17</v>
      </c>
      <c r="M978" s="20">
        <v>-8.69</v>
      </c>
      <c r="N978" s="20">
        <v>-4.98</v>
      </c>
      <c r="P978" s="20">
        <v>-16.08</v>
      </c>
      <c r="Q978" s="20">
        <v>79.62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17</v>
      </c>
      <c r="AO978" s="20">
        <v>-23.13</v>
      </c>
      <c r="AP978" s="20">
        <v>-28.01</v>
      </c>
      <c r="AS978" s="20">
        <v>492.0</v>
      </c>
      <c r="AT978" s="20" t="s">
        <v>17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M978" s="20">
        <v>208.47</v>
      </c>
      <c r="BN978" s="20">
        <v>144.43</v>
      </c>
      <c r="BW978" s="20">
        <v>-57.23</v>
      </c>
      <c r="BX978" s="20">
        <v>-30.22</v>
      </c>
      <c r="BZ978" s="20">
        <v>-64.28</v>
      </c>
      <c r="CA978" s="20">
        <v>-34.74</v>
      </c>
      <c r="CO978" s="20">
        <v>-5.73</v>
      </c>
      <c r="CP978" s="20">
        <v>-53.58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P979" s="20">
        <v>29.34</v>
      </c>
      <c r="Q979" s="20">
        <v>185.39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M979" s="20">
        <v>57.83</v>
      </c>
      <c r="BN979" s="20">
        <v>54.2</v>
      </c>
      <c r="BW979" s="20">
        <v>-52.37</v>
      </c>
      <c r="BX979" s="20">
        <v>-0.7</v>
      </c>
      <c r="BZ979" s="20">
        <v>-30.89</v>
      </c>
      <c r="CA979" s="20">
        <v>189.63</v>
      </c>
      <c r="CO979" s="20">
        <v>-8.92</v>
      </c>
      <c r="CP979" s="20">
        <v>-49.77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17</v>
      </c>
      <c r="M980" s="20">
        <v>-38.04</v>
      </c>
      <c r="N980" s="20">
        <v>-8.17</v>
      </c>
      <c r="P980" s="20">
        <v>10.77</v>
      </c>
      <c r="Q980" s="20">
        <v>37.87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17</v>
      </c>
      <c r="AO980" s="20">
        <v>-17.67</v>
      </c>
      <c r="AP980" s="20">
        <v>2.72</v>
      </c>
      <c r="AS980" s="20">
        <v>493.0</v>
      </c>
      <c r="AT980" s="20" t="s">
        <v>17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M980" s="20">
        <v>130.53</v>
      </c>
      <c r="BN980" s="20">
        <v>178.84</v>
      </c>
      <c r="BW980" s="20">
        <v>-44.24</v>
      </c>
      <c r="BX980" s="20">
        <v>-1.53</v>
      </c>
      <c r="BZ980" s="20">
        <v>8.84</v>
      </c>
      <c r="CA980" s="20">
        <v>74.87</v>
      </c>
      <c r="CO980" s="20">
        <v>4.43</v>
      </c>
      <c r="CP980" s="20">
        <v>-54.06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P981" s="20">
        <v>-19.84</v>
      </c>
      <c r="Q981" s="20">
        <v>22.95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M981" s="20">
        <v>107.61</v>
      </c>
      <c r="BN981" s="20">
        <v>91.75</v>
      </c>
      <c r="BW981" s="20">
        <v>-46.89</v>
      </c>
      <c r="BX981" s="20">
        <v>-8.47</v>
      </c>
      <c r="BZ981" s="20">
        <v>-30.79</v>
      </c>
      <c r="CA981" s="20">
        <v>-2.23</v>
      </c>
      <c r="CO981" s="20">
        <v>-0.55</v>
      </c>
      <c r="CP981" s="20">
        <v>-51.08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17</v>
      </c>
      <c r="M982" s="20">
        <v>35.1</v>
      </c>
      <c r="N982" s="20">
        <v>6.95</v>
      </c>
      <c r="P982" s="20">
        <v>-18.17</v>
      </c>
      <c r="Q982" s="20">
        <v>-0.36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17</v>
      </c>
      <c r="AO982" s="20">
        <v>-8.36</v>
      </c>
      <c r="AP982" s="20">
        <v>-54.05</v>
      </c>
      <c r="AS982" s="20">
        <v>494.0</v>
      </c>
      <c r="AT982" s="20" t="s">
        <v>17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M982" s="20">
        <v>95.12</v>
      </c>
      <c r="BN982" s="20">
        <v>172.19</v>
      </c>
      <c r="BW982" s="20">
        <v>-48.44</v>
      </c>
      <c r="BX982" s="20">
        <v>-37.26</v>
      </c>
      <c r="BZ982" s="20">
        <v>-44.32</v>
      </c>
      <c r="CA982" s="20">
        <v>2.35</v>
      </c>
      <c r="CO982" s="20">
        <v>-20.07</v>
      </c>
      <c r="CP982" s="20">
        <v>-58.81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P983" s="20">
        <v>7.23</v>
      </c>
      <c r="Q983" s="20">
        <v>115.79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M983" s="20">
        <v>25.3</v>
      </c>
      <c r="BN983" s="20">
        <v>89.53</v>
      </c>
      <c r="BW983" s="20">
        <v>-42.18</v>
      </c>
      <c r="BX983" s="20">
        <v>-4.75</v>
      </c>
      <c r="BZ983" s="20">
        <v>-57.57</v>
      </c>
      <c r="CA983" s="20">
        <v>44.12</v>
      </c>
      <c r="CO983" s="20">
        <v>-0.76</v>
      </c>
      <c r="CP983" s="20">
        <v>-37.4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17</v>
      </c>
      <c r="M984" s="20">
        <v>52.7</v>
      </c>
      <c r="N984" s="20">
        <v>-64.06</v>
      </c>
      <c r="P984" s="20">
        <v>34.71</v>
      </c>
      <c r="Q984" s="20">
        <v>47.66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17</v>
      </c>
      <c r="AO984" s="20">
        <v>-41.52</v>
      </c>
      <c r="AP984" s="20">
        <v>-34.13</v>
      </c>
      <c r="AS984" s="20">
        <v>495.0</v>
      </c>
      <c r="AT984" s="20" t="s">
        <v>17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M984" s="20">
        <v>3.97</v>
      </c>
      <c r="BN984" s="20">
        <v>29.14</v>
      </c>
      <c r="BW984" s="20">
        <v>-32.98</v>
      </c>
      <c r="BX984" s="20">
        <v>-41.59</v>
      </c>
      <c r="BZ984" s="20">
        <v>-41.7</v>
      </c>
      <c r="CA984" s="20">
        <v>16.02</v>
      </c>
      <c r="CO984" s="20">
        <v>-0.06</v>
      </c>
      <c r="CP984" s="20">
        <v>-55.34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P985" s="20">
        <v>1.12</v>
      </c>
      <c r="Q985" s="20">
        <v>5.07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M985" s="20">
        <v>116.71</v>
      </c>
      <c r="BN985" s="20">
        <v>100.25</v>
      </c>
      <c r="BW985" s="20">
        <v>-53.53</v>
      </c>
      <c r="BX985" s="20">
        <v>-25.0</v>
      </c>
      <c r="BZ985" s="20">
        <v>-34.64</v>
      </c>
      <c r="CA985" s="20">
        <v>12.86</v>
      </c>
      <c r="CO985" s="20">
        <v>-32.82</v>
      </c>
      <c r="CP985" s="20">
        <v>-62.25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17</v>
      </c>
      <c r="M986" s="20">
        <v>-26.04</v>
      </c>
      <c r="N986" s="20">
        <v>11.19</v>
      </c>
      <c r="P986" s="20">
        <v>17.69</v>
      </c>
      <c r="Q986" s="20">
        <v>10.95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17</v>
      </c>
      <c r="AO986" s="20">
        <v>-20.66</v>
      </c>
      <c r="AP986" s="20">
        <v>-42.5</v>
      </c>
      <c r="AS986" s="20">
        <v>496.0</v>
      </c>
      <c r="AT986" s="20" t="s">
        <v>17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M986" s="20">
        <v>36.11</v>
      </c>
      <c r="BN986" s="20">
        <v>167.29</v>
      </c>
      <c r="BW986" s="20">
        <v>-51.17</v>
      </c>
      <c r="BX986" s="20">
        <v>-31.21</v>
      </c>
      <c r="BZ986" s="20">
        <v>-53.66</v>
      </c>
      <c r="CA986" s="20">
        <v>-43.64</v>
      </c>
      <c r="CO986" s="20">
        <v>-28.59</v>
      </c>
      <c r="CP986" s="20">
        <v>-48.09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P987" s="20">
        <v>14.26</v>
      </c>
      <c r="Q987" s="20">
        <v>-0.46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M987" s="20">
        <v>69.24</v>
      </c>
      <c r="BN987" s="20">
        <v>56.4</v>
      </c>
      <c r="BW987" s="20">
        <v>-22.73</v>
      </c>
      <c r="BX987" s="20">
        <v>-18.1</v>
      </c>
      <c r="BZ987" s="20">
        <v>-29.68</v>
      </c>
      <c r="CA987" s="20">
        <v>-3.87</v>
      </c>
      <c r="CO987" s="20">
        <v>-24.19</v>
      </c>
      <c r="CP987" s="20">
        <v>-63.51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17</v>
      </c>
      <c r="M988" s="20">
        <v>-8.24</v>
      </c>
      <c r="N988" s="20">
        <v>21.54</v>
      </c>
      <c r="P988" s="20">
        <v>52.28</v>
      </c>
      <c r="Q988" s="20">
        <v>29.57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17</v>
      </c>
      <c r="AO988" s="20">
        <v>-26.72</v>
      </c>
      <c r="AP988" s="20">
        <v>-34.48</v>
      </c>
      <c r="AS988" s="20">
        <v>497.0</v>
      </c>
      <c r="AT988" s="20" t="s">
        <v>17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M988" s="20">
        <v>-30.97</v>
      </c>
      <c r="BN988" s="20">
        <v>-17.19</v>
      </c>
      <c r="BW988" s="20">
        <v>-28.34</v>
      </c>
      <c r="BX988" s="20">
        <v>-22.56</v>
      </c>
      <c r="BZ988" s="20">
        <v>-59.24</v>
      </c>
      <c r="CA988" s="20">
        <v>13.12</v>
      </c>
      <c r="CO988" s="20">
        <v>7.85</v>
      </c>
      <c r="CP988" s="20">
        <v>-69.29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P989" s="20">
        <v>-9.05</v>
      </c>
      <c r="Q989" s="20">
        <v>23.04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M989" s="20">
        <v>81.3</v>
      </c>
      <c r="BN989" s="20">
        <v>137.43</v>
      </c>
      <c r="BW989" s="20">
        <v>-40.93</v>
      </c>
      <c r="BX989" s="20">
        <v>-10.14</v>
      </c>
      <c r="BZ989" s="20">
        <v>-59.31</v>
      </c>
      <c r="CA989" s="20">
        <v>-17.04</v>
      </c>
      <c r="CO989" s="20">
        <v>-39.82</v>
      </c>
      <c r="CP989" s="20">
        <v>-50.07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17</v>
      </c>
      <c r="M990" s="20">
        <v>35.21</v>
      </c>
      <c r="N990" s="20">
        <v>36.22</v>
      </c>
      <c r="P990" s="20">
        <v>-1.89</v>
      </c>
      <c r="Q990" s="20">
        <v>39.66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17</v>
      </c>
      <c r="AO990" s="20">
        <v>-28.23</v>
      </c>
      <c r="AP990" s="20">
        <v>-45.76</v>
      </c>
      <c r="AS990" s="20">
        <v>498.0</v>
      </c>
      <c r="AT990" s="20" t="s">
        <v>17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M990" s="20">
        <v>102.36</v>
      </c>
      <c r="BN990" s="20">
        <v>150.66</v>
      </c>
      <c r="BW990" s="20">
        <v>-39.39</v>
      </c>
      <c r="BX990" s="20">
        <v>-36.57</v>
      </c>
      <c r="BZ990" s="20">
        <v>-68.37</v>
      </c>
      <c r="CA990" s="20">
        <v>-14.31</v>
      </c>
      <c r="CO990" s="20">
        <v>-27.83</v>
      </c>
      <c r="CP990" s="20">
        <v>-59.86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P991" s="20">
        <v>-6.76</v>
      </c>
      <c r="Q991" s="20">
        <v>22.46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M991" s="20">
        <v>50.67</v>
      </c>
      <c r="BN991" s="20">
        <v>70.74</v>
      </c>
      <c r="BW991" s="20">
        <v>-26.24</v>
      </c>
      <c r="BX991" s="20">
        <v>62.94</v>
      </c>
      <c r="BZ991" s="20">
        <v>-41.5</v>
      </c>
      <c r="CA991" s="20">
        <v>41.3</v>
      </c>
      <c r="CO991" s="20">
        <v>-62.75</v>
      </c>
      <c r="CP991" s="20">
        <v>-39.15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17</v>
      </c>
      <c r="M992" s="20">
        <v>-7.18</v>
      </c>
      <c r="N992" s="20">
        <v>-20.11</v>
      </c>
      <c r="P992" s="20">
        <v>13.32</v>
      </c>
      <c r="Q992" s="20">
        <v>68.63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17</v>
      </c>
      <c r="AO992" s="20">
        <v>108.15</v>
      </c>
      <c r="AP992" s="20">
        <v>-14.49</v>
      </c>
      <c r="AS992" s="20">
        <v>499.0</v>
      </c>
      <c r="AT992" s="20" t="s">
        <v>17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M992" s="20">
        <v>111.34</v>
      </c>
      <c r="BN992" s="20">
        <v>72.49</v>
      </c>
      <c r="BW992" s="20">
        <v>-10.65</v>
      </c>
      <c r="BX992" s="20">
        <v>-53.34</v>
      </c>
      <c r="BZ992" s="20">
        <v>-53.38</v>
      </c>
      <c r="CA992" s="20">
        <v>106.27</v>
      </c>
      <c r="CO992" s="20">
        <v>-46.65</v>
      </c>
      <c r="CP992" s="20">
        <v>-35.95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P993" s="20">
        <v>-14.06</v>
      </c>
      <c r="Q993" s="20">
        <v>38.06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M993" s="20">
        <v>117.02</v>
      </c>
      <c r="BN993" s="20">
        <v>121.89</v>
      </c>
      <c r="BW993" s="20">
        <v>-43.25</v>
      </c>
      <c r="BX993" s="20">
        <v>-24.93</v>
      </c>
      <c r="BZ993" s="20">
        <v>-37.01</v>
      </c>
      <c r="CA993" s="20">
        <v>36.66</v>
      </c>
      <c r="CO993" s="20">
        <v>-32.74</v>
      </c>
      <c r="CP993" s="20">
        <v>-62.56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17</v>
      </c>
      <c r="M994" s="20">
        <v>17.45</v>
      </c>
      <c r="N994" s="20">
        <v>63.46</v>
      </c>
      <c r="P994" s="20">
        <v>-8.08</v>
      </c>
      <c r="Q994" s="20">
        <v>50.88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17</v>
      </c>
      <c r="AO994" s="20">
        <v>-17.75</v>
      </c>
      <c r="AP994" s="20">
        <v>10.54</v>
      </c>
      <c r="AS994" s="20">
        <v>500.0</v>
      </c>
      <c r="AT994" s="20" t="s">
        <v>17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M994" s="20">
        <v>68.72</v>
      </c>
      <c r="BN994" s="20">
        <v>107.13</v>
      </c>
      <c r="BW994" s="20">
        <v>-32.55</v>
      </c>
      <c r="BX994" s="20">
        <v>-11.54</v>
      </c>
      <c r="BZ994" s="20">
        <v>-30.7</v>
      </c>
      <c r="CA994" s="20">
        <v>-1.82</v>
      </c>
      <c r="CO994" s="20">
        <v>-30.1</v>
      </c>
      <c r="CP994" s="20">
        <v>-58.04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P995" s="20">
        <v>1.11</v>
      </c>
      <c r="Q995" s="20">
        <v>39.94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M995" s="20">
        <v>9.56</v>
      </c>
      <c r="BN995" s="20">
        <v>39.59</v>
      </c>
      <c r="BW995" s="20">
        <v>-33.49</v>
      </c>
      <c r="BX995" s="20">
        <v>-37.41</v>
      </c>
      <c r="BZ995" s="20">
        <v>-39.24</v>
      </c>
      <c r="CA995" s="20">
        <v>62.92</v>
      </c>
      <c r="CO995" s="20">
        <v>-31.84</v>
      </c>
      <c r="CP995" s="20">
        <v>-37.79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17</v>
      </c>
      <c r="M996" s="20">
        <v>-14.81</v>
      </c>
      <c r="N996" s="20">
        <v>-11.25</v>
      </c>
      <c r="P996" s="20">
        <v>-28.72</v>
      </c>
      <c r="Q996" s="20">
        <v>26.55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17</v>
      </c>
      <c r="AO996" s="20">
        <v>3.84</v>
      </c>
      <c r="AP996" s="20">
        <v>-20.47</v>
      </c>
      <c r="AS996" s="20">
        <v>501.0</v>
      </c>
      <c r="AT996" s="20" t="s">
        <v>17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M996" s="20">
        <v>21.72</v>
      </c>
      <c r="BN996" s="20">
        <v>30.17</v>
      </c>
      <c r="BW996" s="20">
        <v>-40.16</v>
      </c>
      <c r="BX996" s="20">
        <v>-52.89</v>
      </c>
      <c r="BZ996" s="20">
        <v>-61.59</v>
      </c>
      <c r="CA996" s="20">
        <v>39.33</v>
      </c>
      <c r="CO996" s="20">
        <v>-18.32</v>
      </c>
      <c r="CP996" s="20">
        <v>68.17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P997" s="20">
        <v>-36.93</v>
      </c>
      <c r="Q997" s="20">
        <v>118.61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M997" s="20">
        <v>79.95</v>
      </c>
      <c r="BN997" s="20">
        <v>83.56</v>
      </c>
      <c r="BW997" s="20">
        <v>-44.02</v>
      </c>
      <c r="BX997" s="20">
        <v>-21.44</v>
      </c>
      <c r="BZ997" s="20">
        <v>-33.13</v>
      </c>
      <c r="CA997" s="20">
        <v>40.95</v>
      </c>
      <c r="CO997" s="20">
        <v>-37.34</v>
      </c>
      <c r="CP997" s="20">
        <v>-60.05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17</v>
      </c>
      <c r="M998" s="20">
        <v>0.56</v>
      </c>
      <c r="N998" s="20">
        <v>14.83</v>
      </c>
      <c r="P998" s="20">
        <v>24.81</v>
      </c>
      <c r="Q998" s="20">
        <v>43.88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17</v>
      </c>
      <c r="AO998" s="20">
        <v>-0.17</v>
      </c>
      <c r="AP998" s="20">
        <v>-32.3</v>
      </c>
      <c r="AS998" s="20">
        <v>502.0</v>
      </c>
      <c r="AT998" s="20" t="s">
        <v>17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M998" s="20">
        <v>134.42</v>
      </c>
      <c r="BN998" s="20">
        <v>45.09</v>
      </c>
      <c r="BW998" s="20">
        <v>-13.28</v>
      </c>
      <c r="BX998" s="20">
        <v>-31.46</v>
      </c>
      <c r="BZ998" s="20">
        <v>-39.6</v>
      </c>
      <c r="CA998" s="20">
        <v>-7.19</v>
      </c>
      <c r="CO998" s="20">
        <v>-23.04</v>
      </c>
      <c r="CP998" s="20">
        <v>-57.41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P999" s="20">
        <v>-12.37</v>
      </c>
      <c r="Q999" s="20">
        <v>23.18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M999" s="20">
        <v>38.33</v>
      </c>
      <c r="BN999" s="20">
        <v>95.09</v>
      </c>
      <c r="BW999" s="20">
        <v>-42.1</v>
      </c>
      <c r="BX999" s="20">
        <v>-47.67</v>
      </c>
      <c r="BZ999" s="20">
        <v>-42.66</v>
      </c>
      <c r="CA999" s="20">
        <v>48.13</v>
      </c>
      <c r="CO999" s="20">
        <v>-18.28</v>
      </c>
      <c r="CP999" s="20">
        <v>-40.28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17</v>
      </c>
      <c r="M1000" s="20">
        <v>-14.29</v>
      </c>
      <c r="N1000" s="20">
        <v>32.29</v>
      </c>
      <c r="P1000" s="20">
        <v>-34.72</v>
      </c>
      <c r="Q1000" s="20">
        <v>-58.43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17</v>
      </c>
      <c r="AO1000" s="20">
        <v>32.19</v>
      </c>
      <c r="AP1000" s="20">
        <v>-22.15</v>
      </c>
      <c r="AS1000" s="20">
        <v>503.0</v>
      </c>
      <c r="AT1000" s="20" t="s">
        <v>17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M1000" s="20">
        <v>88.98</v>
      </c>
      <c r="BN1000" s="20">
        <v>177.02</v>
      </c>
      <c r="BW1000" s="20">
        <v>-11.73</v>
      </c>
      <c r="BX1000" s="20">
        <v>-21.63</v>
      </c>
      <c r="BZ1000" s="20">
        <v>-58.79</v>
      </c>
      <c r="CA1000" s="20">
        <v>-19.01</v>
      </c>
      <c r="CO1000" s="20">
        <v>10.89</v>
      </c>
      <c r="CP1000" s="20">
        <v>-34.14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P1001" s="20">
        <v>29.15</v>
      </c>
      <c r="Q1001" s="20">
        <v>30.78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M1001" s="20">
        <v>60.02</v>
      </c>
      <c r="BN1001" s="20">
        <v>83.84</v>
      </c>
      <c r="BW1001" s="20">
        <v>-38.04</v>
      </c>
      <c r="BX1001" s="20">
        <v>-26.5</v>
      </c>
      <c r="BZ1001" s="20">
        <v>-53.49</v>
      </c>
      <c r="CA1001" s="20">
        <v>24.81</v>
      </c>
      <c r="CO1001" s="20">
        <v>-69.11</v>
      </c>
      <c r="CP1001" s="20">
        <v>-68.78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17</v>
      </c>
      <c r="M1002" s="20">
        <v>-26.72</v>
      </c>
      <c r="N1002" s="20">
        <v>14.56</v>
      </c>
      <c r="P1002" s="20">
        <v>81.11</v>
      </c>
      <c r="Q1002" s="20">
        <v>217.1</v>
      </c>
      <c r="AG1002" s="43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17</v>
      </c>
      <c r="AO1002" s="20">
        <v>37.94</v>
      </c>
      <c r="AP1002" s="20">
        <v>-13.58</v>
      </c>
      <c r="AS1002" s="20">
        <v>504.0</v>
      </c>
      <c r="AT1002" s="20" t="s">
        <v>17</v>
      </c>
      <c r="AU1002" s="20">
        <v>9.34</v>
      </c>
      <c r="AV1002" s="20">
        <v>-19.27</v>
      </c>
      <c r="BE1002" s="43">
        <v>1000.0</v>
      </c>
      <c r="BF1002" s="20" t="s">
        <v>14</v>
      </c>
      <c r="BG1002" s="20">
        <v>44.26</v>
      </c>
      <c r="BH1002" s="20">
        <v>12.59</v>
      </c>
      <c r="BM1002" s="20">
        <v>57.21</v>
      </c>
      <c r="BN1002" s="20">
        <v>84.53</v>
      </c>
      <c r="BW1002" s="20">
        <v>-60.41</v>
      </c>
      <c r="BX1002" s="20">
        <v>-25.36</v>
      </c>
      <c r="BZ1002" s="20">
        <v>-75.33</v>
      </c>
      <c r="CA1002" s="20">
        <v>-38.78</v>
      </c>
      <c r="CO1002" s="20">
        <v>-22.25</v>
      </c>
      <c r="CP1002" s="20">
        <v>-44.37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P1003" s="20">
        <v>-29.83</v>
      </c>
      <c r="Q1003" s="20">
        <v>-7.96</v>
      </c>
      <c r="AG1003" s="43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3">
        <v>1001.0</v>
      </c>
      <c r="BF1003" s="20" t="s">
        <v>14</v>
      </c>
      <c r="BG1003" s="20">
        <v>-20.64</v>
      </c>
      <c r="BH1003" s="20">
        <v>25.2</v>
      </c>
      <c r="BM1003" s="20">
        <v>64.41</v>
      </c>
      <c r="BN1003" s="20">
        <v>22.58</v>
      </c>
      <c r="BW1003" s="20">
        <v>-62.26</v>
      </c>
      <c r="BX1003" s="20">
        <v>-42.21</v>
      </c>
      <c r="BZ1003" s="20">
        <v>-61.35</v>
      </c>
      <c r="CA1003" s="20">
        <v>3.45</v>
      </c>
      <c r="CO1003" s="20">
        <v>-17.71</v>
      </c>
      <c r="CP1003" s="20">
        <v>-44.01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17</v>
      </c>
      <c r="M1004" s="20">
        <v>-33.37</v>
      </c>
      <c r="N1004" s="20">
        <v>-10.86</v>
      </c>
      <c r="P1004" s="20">
        <v>-5.12</v>
      </c>
      <c r="Q1004" s="20">
        <v>27.86</v>
      </c>
      <c r="AG1004" s="43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17</v>
      </c>
      <c r="AO1004" s="20">
        <v>-39.24</v>
      </c>
      <c r="AP1004" s="20">
        <v>-22.35</v>
      </c>
      <c r="AS1004" s="20">
        <v>505.0</v>
      </c>
      <c r="AT1004" s="20" t="s">
        <v>17</v>
      </c>
      <c r="AU1004" s="20">
        <v>21.28</v>
      </c>
      <c r="AV1004" s="20">
        <v>-40.48</v>
      </c>
      <c r="BE1004" s="43">
        <v>1002.0</v>
      </c>
      <c r="BF1004" s="20" t="s">
        <v>14</v>
      </c>
      <c r="BG1004" s="20">
        <v>29.29</v>
      </c>
      <c r="BH1004" s="20">
        <v>30.32</v>
      </c>
      <c r="BM1004" s="20">
        <v>38.89</v>
      </c>
      <c r="BN1004" s="20">
        <v>82.98</v>
      </c>
      <c r="BW1004" s="20">
        <v>45.8</v>
      </c>
      <c r="BX1004" s="20">
        <v>-32.31</v>
      </c>
      <c r="BZ1004" s="20">
        <v>-56.81</v>
      </c>
      <c r="CA1004" s="20">
        <v>19.48</v>
      </c>
      <c r="CO1004" s="20">
        <v>-40.24</v>
      </c>
      <c r="CP1004" s="20">
        <v>-43.31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P1005" s="20">
        <v>-39.52</v>
      </c>
      <c r="Q1005" s="20">
        <v>54.4</v>
      </c>
      <c r="AG1005" s="43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3">
        <v>1003.0</v>
      </c>
      <c r="BF1005" s="20" t="s">
        <v>14</v>
      </c>
      <c r="BG1005" s="20">
        <v>-5.1</v>
      </c>
      <c r="BH1005" s="20">
        <v>-21.08</v>
      </c>
      <c r="BM1005" s="20">
        <v>86.97</v>
      </c>
      <c r="BN1005" s="20">
        <v>121.85</v>
      </c>
      <c r="BW1005" s="20">
        <v>-56.7</v>
      </c>
      <c r="BX1005" s="20">
        <v>-48.79</v>
      </c>
      <c r="BZ1005" s="20">
        <v>-31.59</v>
      </c>
      <c r="CA1005" s="20">
        <v>210.15</v>
      </c>
      <c r="CO1005" s="20">
        <v>-29.68</v>
      </c>
      <c r="CP1005" s="20">
        <v>-75.02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17</v>
      </c>
      <c r="M1006" s="20">
        <v>-5.5</v>
      </c>
      <c r="N1006" s="20">
        <v>1.61</v>
      </c>
      <c r="P1006" s="20">
        <v>-37.75</v>
      </c>
      <c r="Q1006" s="20">
        <v>-3.5</v>
      </c>
      <c r="AG1006" s="43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17</v>
      </c>
      <c r="AO1006" s="20">
        <v>-2.21</v>
      </c>
      <c r="AP1006" s="20">
        <v>15.68</v>
      </c>
      <c r="AS1006" s="20">
        <v>506.0</v>
      </c>
      <c r="AT1006" s="20" t="s">
        <v>17</v>
      </c>
      <c r="AU1006" s="20">
        <v>0.96</v>
      </c>
      <c r="AV1006" s="20">
        <v>-32.15</v>
      </c>
      <c r="BE1006" s="43">
        <v>1004.0</v>
      </c>
      <c r="BF1006" s="20" t="s">
        <v>14</v>
      </c>
      <c r="BG1006" s="20">
        <v>-5.75</v>
      </c>
      <c r="BH1006" s="20">
        <v>18.72</v>
      </c>
      <c r="BM1006" s="20">
        <v>85.61</v>
      </c>
      <c r="BN1006" s="20">
        <v>141.29</v>
      </c>
      <c r="BW1006" s="20">
        <v>-41.23</v>
      </c>
      <c r="BX1006" s="20">
        <v>-27.1</v>
      </c>
      <c r="BZ1006" s="20">
        <v>-73.27</v>
      </c>
      <c r="CA1006" s="20">
        <v>27.16</v>
      </c>
      <c r="CO1006" s="20">
        <v>9.06</v>
      </c>
      <c r="CP1006" s="20">
        <v>-63.23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P1007" s="20">
        <v>-10.98</v>
      </c>
      <c r="Q1007" s="20">
        <v>27.14</v>
      </c>
      <c r="AG1007" s="43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3">
        <v>1005.0</v>
      </c>
      <c r="BF1007" s="20" t="s">
        <v>14</v>
      </c>
      <c r="BG1007" s="20">
        <v>35.81</v>
      </c>
      <c r="BH1007" s="20">
        <v>17.85</v>
      </c>
      <c r="BM1007" s="20">
        <v>141.08</v>
      </c>
      <c r="BN1007" s="20">
        <v>99.5</v>
      </c>
      <c r="BW1007" s="20">
        <v>-49.73</v>
      </c>
      <c r="BX1007" s="20">
        <v>-32.28</v>
      </c>
      <c r="BZ1007" s="20">
        <v>-6.61</v>
      </c>
      <c r="CA1007" s="20">
        <v>15.35</v>
      </c>
      <c r="CO1007" s="20">
        <v>-18.69</v>
      </c>
      <c r="CP1007" s="20">
        <v>-66.54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17</v>
      </c>
      <c r="M1008" s="20">
        <v>-42.98</v>
      </c>
      <c r="N1008" s="20">
        <v>-28.9</v>
      </c>
      <c r="P1008" s="20">
        <v>6.77</v>
      </c>
      <c r="Q1008" s="20">
        <v>81.36</v>
      </c>
      <c r="AG1008" s="43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17</v>
      </c>
      <c r="AO1008" s="20">
        <v>13.71</v>
      </c>
      <c r="AP1008" s="20">
        <v>16.7</v>
      </c>
      <c r="AS1008" s="20">
        <v>507.0</v>
      </c>
      <c r="AT1008" s="20" t="s">
        <v>17</v>
      </c>
      <c r="AU1008" s="20">
        <v>-50.58</v>
      </c>
      <c r="AV1008" s="20">
        <v>-26.73</v>
      </c>
      <c r="BE1008" s="43">
        <v>1006.0</v>
      </c>
      <c r="BF1008" s="20" t="s">
        <v>14</v>
      </c>
      <c r="BG1008" s="20">
        <v>43.59</v>
      </c>
      <c r="BH1008" s="20">
        <v>13.61</v>
      </c>
      <c r="BM1008" s="20">
        <v>127.89</v>
      </c>
      <c r="BN1008" s="20">
        <v>73.12</v>
      </c>
      <c r="BW1008" s="20">
        <v>-27.53</v>
      </c>
      <c r="BX1008" s="20">
        <v>-48.55</v>
      </c>
      <c r="BZ1008" s="20">
        <v>-55.53</v>
      </c>
      <c r="CA1008" s="20">
        <v>-67.16</v>
      </c>
      <c r="CO1008" s="20">
        <v>-38.56</v>
      </c>
      <c r="CP1008" s="20">
        <v>-63.95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P1009" s="20">
        <v>-15.2</v>
      </c>
      <c r="Q1009" s="20">
        <v>8.03</v>
      </c>
      <c r="AG1009" s="43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3">
        <v>1007.0</v>
      </c>
      <c r="BF1009" s="20" t="s">
        <v>14</v>
      </c>
      <c r="BG1009" s="20">
        <v>-5.55</v>
      </c>
      <c r="BH1009" s="20">
        <v>-11.47</v>
      </c>
      <c r="BM1009" s="20">
        <v>131.97</v>
      </c>
      <c r="BN1009" s="20">
        <v>143.59</v>
      </c>
      <c r="BW1009" s="20">
        <v>-26.73</v>
      </c>
      <c r="BX1009" s="20">
        <v>-54.47</v>
      </c>
      <c r="BZ1009" s="20">
        <v>-47.87</v>
      </c>
      <c r="CA1009" s="20">
        <v>37.36</v>
      </c>
      <c r="CO1009" s="20">
        <v>-31.75</v>
      </c>
      <c r="CP1009" s="20">
        <v>-60.81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17</v>
      </c>
      <c r="M1010" s="20">
        <v>-1.92</v>
      </c>
      <c r="N1010" s="20">
        <v>-0.38</v>
      </c>
      <c r="P1010" s="20">
        <v>-28.17</v>
      </c>
      <c r="Q1010" s="20">
        <v>-57.46</v>
      </c>
      <c r="AG1010" s="43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17</v>
      </c>
      <c r="AO1010" s="20">
        <v>-12.27</v>
      </c>
      <c r="AP1010" s="20">
        <v>2.22</v>
      </c>
      <c r="AS1010" s="20">
        <v>508.0</v>
      </c>
      <c r="AT1010" s="20" t="s">
        <v>17</v>
      </c>
      <c r="AU1010" s="20">
        <v>17.7</v>
      </c>
      <c r="AV1010" s="20">
        <v>-31.97</v>
      </c>
      <c r="BE1010" s="43">
        <v>1008.0</v>
      </c>
      <c r="BF1010" s="20" t="s">
        <v>14</v>
      </c>
      <c r="BG1010" s="20">
        <v>19.01</v>
      </c>
      <c r="BH1010" s="20">
        <v>6.09</v>
      </c>
      <c r="BM1010" s="20">
        <v>161.74</v>
      </c>
      <c r="BN1010" s="20">
        <v>35.83</v>
      </c>
      <c r="BW1010" s="20">
        <v>-75.9</v>
      </c>
      <c r="BX1010" s="20">
        <v>-50.46</v>
      </c>
      <c r="BZ1010" s="20">
        <v>-4.04</v>
      </c>
      <c r="CA1010" s="20">
        <v>-42.92</v>
      </c>
      <c r="CO1010" s="20">
        <v>-29.12</v>
      </c>
      <c r="CP1010" s="20">
        <v>-46.56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P1011" s="20">
        <v>40.23</v>
      </c>
      <c r="Q1011" s="20">
        <v>146.68</v>
      </c>
      <c r="AG1011" s="43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3">
        <v>1009.0</v>
      </c>
      <c r="BF1011" s="20" t="s">
        <v>14</v>
      </c>
      <c r="BG1011" s="20">
        <v>2.31</v>
      </c>
      <c r="BH1011" s="20">
        <v>15.37</v>
      </c>
      <c r="BM1011" s="20">
        <v>154.78</v>
      </c>
      <c r="BN1011" s="20">
        <v>121.5</v>
      </c>
      <c r="BW1011" s="20">
        <v>-63.31</v>
      </c>
      <c r="BX1011" s="20">
        <v>-25.69</v>
      </c>
      <c r="BZ1011" s="20">
        <v>-28.01</v>
      </c>
      <c r="CA1011" s="20">
        <v>19.07</v>
      </c>
      <c r="CO1011" s="20">
        <v>-29.11</v>
      </c>
      <c r="CP1011" s="20">
        <v>-44.46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17</v>
      </c>
      <c r="M1012" s="20">
        <v>33.31</v>
      </c>
      <c r="N1012" s="20">
        <v>-15.93</v>
      </c>
      <c r="P1012" s="20">
        <v>64.0</v>
      </c>
      <c r="Q1012" s="20">
        <v>115.82</v>
      </c>
      <c r="AG1012" s="43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17</v>
      </c>
      <c r="AO1012" s="20">
        <v>20.4</v>
      </c>
      <c r="AP1012" s="20">
        <v>-0.22</v>
      </c>
      <c r="AS1012" s="20">
        <v>509.0</v>
      </c>
      <c r="AT1012" s="20" t="s">
        <v>17</v>
      </c>
      <c r="AU1012" s="20">
        <v>43.05</v>
      </c>
      <c r="AV1012" s="20">
        <v>-48.2</v>
      </c>
      <c r="BE1012" s="43">
        <v>1010.0</v>
      </c>
      <c r="BF1012" s="20" t="s">
        <v>14</v>
      </c>
      <c r="BG1012" s="20">
        <v>33.69</v>
      </c>
      <c r="BH1012" s="20">
        <v>40.97</v>
      </c>
      <c r="BM1012" s="20">
        <v>79.06</v>
      </c>
      <c r="BN1012" s="20">
        <v>40.86</v>
      </c>
      <c r="BW1012" s="20">
        <v>-62.1</v>
      </c>
      <c r="BX1012" s="20">
        <v>12.68</v>
      </c>
      <c r="BZ1012" s="20">
        <v>-16.11</v>
      </c>
      <c r="CA1012" s="20">
        <v>143.72</v>
      </c>
      <c r="CO1012" s="20">
        <v>-3.46</v>
      </c>
      <c r="CP1012" s="20">
        <v>-44.41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P1013" s="20">
        <v>-10.5</v>
      </c>
      <c r="Q1013" s="20">
        <v>26.7</v>
      </c>
      <c r="AG1013" s="43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3">
        <v>1011.0</v>
      </c>
      <c r="BF1013" s="20" t="s">
        <v>14</v>
      </c>
      <c r="BG1013" s="20">
        <v>-4.05</v>
      </c>
      <c r="BH1013" s="20">
        <v>27.51</v>
      </c>
      <c r="BM1013" s="20">
        <v>244.85</v>
      </c>
      <c r="BN1013" s="20">
        <v>17.71</v>
      </c>
      <c r="BW1013" s="20">
        <v>-51.63</v>
      </c>
      <c r="BX1013" s="20">
        <v>32.09</v>
      </c>
      <c r="BZ1013" s="20">
        <v>-48.48</v>
      </c>
      <c r="CA1013" s="20">
        <v>98.63</v>
      </c>
      <c r="CO1013" s="20">
        <v>-41.0</v>
      </c>
      <c r="CP1013" s="20">
        <v>-58.44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17</v>
      </c>
      <c r="M1014" s="20">
        <v>-39.19</v>
      </c>
      <c r="N1014" s="20">
        <v>-75.42</v>
      </c>
      <c r="P1014" s="20">
        <v>-19.33</v>
      </c>
      <c r="Q1014" s="20">
        <v>56.72</v>
      </c>
      <c r="AG1014" s="43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17</v>
      </c>
      <c r="AO1014" s="20">
        <v>14.19</v>
      </c>
      <c r="AP1014" s="20">
        <v>-20.05</v>
      </c>
      <c r="AS1014" s="20">
        <v>510.0</v>
      </c>
      <c r="AT1014" s="20" t="s">
        <v>17</v>
      </c>
      <c r="AU1014" s="20">
        <v>-5.41</v>
      </c>
      <c r="AV1014" s="20">
        <v>-53.6</v>
      </c>
      <c r="BE1014" s="43">
        <v>1012.0</v>
      </c>
      <c r="BF1014" s="20" t="s">
        <v>14</v>
      </c>
      <c r="BG1014" s="20">
        <v>2.46</v>
      </c>
      <c r="BH1014" s="20">
        <v>15.05</v>
      </c>
      <c r="BM1014" s="20">
        <v>226.13</v>
      </c>
      <c r="BN1014" s="20">
        <v>32.58</v>
      </c>
      <c r="BW1014" s="20">
        <v>-71.67</v>
      </c>
      <c r="BX1014" s="20">
        <v>-36.09</v>
      </c>
      <c r="BZ1014" s="20">
        <v>-38.03</v>
      </c>
      <c r="CA1014" s="20">
        <v>105.09</v>
      </c>
      <c r="CO1014" s="20">
        <v>-29.11</v>
      </c>
      <c r="CP1014" s="20">
        <v>-42.79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P1015" s="20">
        <v>-27.83</v>
      </c>
      <c r="Q1015" s="20">
        <v>-23.24</v>
      </c>
      <c r="AG1015" s="43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3">
        <v>1013.0</v>
      </c>
      <c r="BF1015" s="20" t="s">
        <v>14</v>
      </c>
      <c r="BG1015" s="20">
        <v>22.88</v>
      </c>
      <c r="BH1015" s="20">
        <v>75.48</v>
      </c>
      <c r="BM1015" s="20">
        <v>-1.71</v>
      </c>
      <c r="BN1015" s="20">
        <v>190.68</v>
      </c>
      <c r="BW1015" s="20">
        <v>-51.61</v>
      </c>
      <c r="BX1015" s="20">
        <v>-4.92</v>
      </c>
      <c r="BZ1015" s="20">
        <v>-24.39</v>
      </c>
      <c r="CA1015" s="20">
        <v>30.01</v>
      </c>
      <c r="CO1015" s="20">
        <v>-30.48</v>
      </c>
      <c r="CP1015" s="20">
        <v>-39.39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17</v>
      </c>
      <c r="M1016" s="20">
        <v>-26.28</v>
      </c>
      <c r="N1016" s="20">
        <v>-55.48</v>
      </c>
      <c r="P1016" s="20">
        <v>20.32</v>
      </c>
      <c r="Q1016" s="20">
        <v>-41.03</v>
      </c>
      <c r="AG1016" s="43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17</v>
      </c>
      <c r="AO1016" s="20">
        <v>-25.84</v>
      </c>
      <c r="AP1016" s="20">
        <v>-24.85</v>
      </c>
      <c r="AS1016" s="20">
        <v>511.0</v>
      </c>
      <c r="AT1016" s="20" t="s">
        <v>17</v>
      </c>
      <c r="AU1016" s="20">
        <v>-23.93</v>
      </c>
      <c r="AV1016" s="20">
        <v>-45.05</v>
      </c>
      <c r="BE1016" s="43">
        <v>1014.0</v>
      </c>
      <c r="BF1016" s="20" t="s">
        <v>14</v>
      </c>
      <c r="BG1016" s="20">
        <v>40.09</v>
      </c>
      <c r="BH1016" s="20">
        <v>28.15</v>
      </c>
      <c r="BM1016" s="20">
        <v>44.8</v>
      </c>
      <c r="BN1016" s="20">
        <v>152.1</v>
      </c>
      <c r="BW1016" s="20">
        <v>-18.03</v>
      </c>
      <c r="BX1016" s="20">
        <v>-27.88</v>
      </c>
      <c r="BZ1016" s="20">
        <v>-54.91</v>
      </c>
      <c r="CA1016" s="20">
        <v>29.17</v>
      </c>
      <c r="CO1016" s="20">
        <v>-17.88</v>
      </c>
      <c r="CP1016" s="20">
        <v>-26.56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P1017" s="20">
        <v>-5.79</v>
      </c>
      <c r="Q1017" s="20">
        <v>36.91</v>
      </c>
      <c r="AG1017" s="43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3">
        <v>1015.0</v>
      </c>
      <c r="BF1017" s="20" t="s">
        <v>14</v>
      </c>
      <c r="BG1017" s="20">
        <v>-3.6</v>
      </c>
      <c r="BH1017" s="20">
        <v>26.71</v>
      </c>
      <c r="BM1017" s="20">
        <v>174.83</v>
      </c>
      <c r="BN1017" s="20">
        <v>86.66</v>
      </c>
      <c r="BW1017" s="20">
        <v>-66.72</v>
      </c>
      <c r="BX1017" s="20">
        <v>-39.79</v>
      </c>
      <c r="BZ1017" s="20">
        <v>-37.47</v>
      </c>
      <c r="CA1017" s="20">
        <v>21.95</v>
      </c>
      <c r="CO1017" s="20">
        <v>-28.46</v>
      </c>
      <c r="CP1017" s="20">
        <v>-51.43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17</v>
      </c>
      <c r="M1018" s="20">
        <v>-55.94</v>
      </c>
      <c r="N1018" s="20">
        <v>-74.61</v>
      </c>
      <c r="P1018" s="20">
        <v>-0.32</v>
      </c>
      <c r="Q1018" s="20">
        <v>62.45</v>
      </c>
      <c r="AG1018" s="43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17</v>
      </c>
      <c r="AO1018" s="20">
        <v>-6.08</v>
      </c>
      <c r="AP1018" s="20">
        <v>51.0</v>
      </c>
      <c r="AS1018" s="20">
        <v>512.0</v>
      </c>
      <c r="AT1018" s="20" t="s">
        <v>17</v>
      </c>
      <c r="AU1018" s="20">
        <v>8.43</v>
      </c>
      <c r="AV1018" s="20">
        <v>-18.15</v>
      </c>
      <c r="BE1018" s="43">
        <v>1016.0</v>
      </c>
      <c r="BF1018" s="20" t="s">
        <v>14</v>
      </c>
      <c r="BG1018" s="20">
        <v>-7.83</v>
      </c>
      <c r="BH1018" s="20">
        <v>41.4</v>
      </c>
      <c r="BM1018" s="20">
        <v>187.17</v>
      </c>
      <c r="BN1018" s="20">
        <v>52.98</v>
      </c>
      <c r="BW1018" s="20">
        <v>-53.8</v>
      </c>
      <c r="BX1018" s="20">
        <v>-22.6</v>
      </c>
      <c r="BZ1018" s="20">
        <v>-55.23</v>
      </c>
      <c r="CA1018" s="20">
        <v>104.86</v>
      </c>
      <c r="CO1018" s="20">
        <v>-44.97</v>
      </c>
      <c r="CP1018" s="20">
        <v>-37.69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P1019" s="20">
        <v>-19.95</v>
      </c>
      <c r="Q1019" s="20">
        <v>34.54</v>
      </c>
      <c r="AG1019" s="43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3">
        <v>1017.0</v>
      </c>
      <c r="BF1019" s="20" t="s">
        <v>14</v>
      </c>
      <c r="BG1019" s="20">
        <v>5.53</v>
      </c>
      <c r="BH1019" s="20">
        <v>27.63</v>
      </c>
      <c r="BM1019" s="20">
        <v>-11.7</v>
      </c>
      <c r="BN1019" s="20">
        <v>42.98</v>
      </c>
      <c r="BW1019" s="20">
        <v>1.46</v>
      </c>
      <c r="BX1019" s="20">
        <v>-25.05</v>
      </c>
      <c r="BZ1019" s="20">
        <v>2.41</v>
      </c>
      <c r="CA1019" s="20">
        <v>53.65</v>
      </c>
      <c r="CO1019" s="20">
        <v>-5.77</v>
      </c>
      <c r="CP1019" s="20">
        <v>-59.35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17</v>
      </c>
      <c r="M1020" s="20">
        <v>-9.66</v>
      </c>
      <c r="N1020" s="20">
        <v>-13.9</v>
      </c>
      <c r="P1020" s="20">
        <v>22.57</v>
      </c>
      <c r="Q1020" s="20">
        <v>114.13</v>
      </c>
      <c r="AG1020" s="43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17</v>
      </c>
      <c r="AO1020" s="20">
        <v>-31.41</v>
      </c>
      <c r="AP1020" s="20">
        <v>-1.15</v>
      </c>
      <c r="AS1020" s="20">
        <v>513.0</v>
      </c>
      <c r="AT1020" s="20" t="s">
        <v>17</v>
      </c>
      <c r="AU1020" s="20">
        <v>-6.37</v>
      </c>
      <c r="AV1020" s="20">
        <v>-44.26</v>
      </c>
      <c r="BE1020" s="43">
        <v>1018.0</v>
      </c>
      <c r="BF1020" s="20" t="s">
        <v>14</v>
      </c>
      <c r="BG1020" s="20">
        <v>9.56</v>
      </c>
      <c r="BH1020" s="20">
        <v>38.26</v>
      </c>
      <c r="BM1020" s="20">
        <v>44.21</v>
      </c>
      <c r="BN1020" s="20">
        <v>65.74</v>
      </c>
      <c r="BW1020" s="20">
        <v>-47.79</v>
      </c>
      <c r="BX1020" s="20">
        <v>-29.95</v>
      </c>
      <c r="BZ1020" s="20">
        <v>-21.3</v>
      </c>
      <c r="CA1020" s="20">
        <v>33.83</v>
      </c>
      <c r="CO1020" s="20">
        <v>-10.79</v>
      </c>
      <c r="CP1020" s="20">
        <v>-72.01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P1021" s="20">
        <v>-18.42</v>
      </c>
      <c r="Q1021" s="20">
        <v>13.51</v>
      </c>
      <c r="AG1021" s="43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3">
        <v>1019.0</v>
      </c>
      <c r="BF1021" s="20" t="s">
        <v>14</v>
      </c>
      <c r="BG1021" s="20">
        <v>2.39</v>
      </c>
      <c r="BH1021" s="20">
        <v>-5.49</v>
      </c>
      <c r="BM1021" s="20">
        <v>132.42</v>
      </c>
      <c r="BN1021" s="20">
        <v>125.79</v>
      </c>
      <c r="BW1021" s="20">
        <v>-58.31</v>
      </c>
      <c r="BX1021" s="20">
        <v>-20.19</v>
      </c>
      <c r="BZ1021" s="20">
        <v>-52.4</v>
      </c>
      <c r="CA1021" s="20">
        <v>48.88</v>
      </c>
      <c r="CO1021" s="20">
        <v>-40.54</v>
      </c>
      <c r="CP1021" s="20">
        <v>-57.26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17</v>
      </c>
      <c r="M1022" s="20">
        <v>5.34</v>
      </c>
      <c r="N1022" s="20">
        <v>20.28</v>
      </c>
      <c r="P1022" s="20">
        <v>-28.93</v>
      </c>
      <c r="Q1022" s="20">
        <v>9.99</v>
      </c>
      <c r="AG1022" s="43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17</v>
      </c>
      <c r="AO1022" s="20">
        <v>9.77</v>
      </c>
      <c r="AP1022" s="20">
        <v>12.33</v>
      </c>
      <c r="AS1022" s="20">
        <v>514.0</v>
      </c>
      <c r="AT1022" s="20" t="s">
        <v>17</v>
      </c>
      <c r="AU1022" s="20">
        <v>33.83</v>
      </c>
      <c r="AV1022" s="20">
        <v>-0.71</v>
      </c>
      <c r="BE1022" s="43">
        <v>1020.0</v>
      </c>
      <c r="BF1022" s="20" t="s">
        <v>14</v>
      </c>
      <c r="BG1022" s="20">
        <v>19.84</v>
      </c>
      <c r="BH1022" s="20">
        <v>-0.38</v>
      </c>
      <c r="BM1022" s="20">
        <v>134.15</v>
      </c>
      <c r="BN1022" s="20">
        <v>145.83</v>
      </c>
      <c r="BW1022" s="20">
        <v>-28.54</v>
      </c>
      <c r="BX1022" s="20">
        <v>-36.6</v>
      </c>
      <c r="BZ1022" s="20">
        <v>-62.65</v>
      </c>
      <c r="CA1022" s="20">
        <v>125.66</v>
      </c>
      <c r="CO1022" s="20">
        <v>-45.28</v>
      </c>
      <c r="CP1022" s="20">
        <v>-70.88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P1023" s="20">
        <v>-33.32</v>
      </c>
      <c r="Q1023" s="20">
        <v>26.67</v>
      </c>
      <c r="AG1023" s="43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3">
        <v>1021.0</v>
      </c>
      <c r="BF1023" s="20" t="s">
        <v>14</v>
      </c>
      <c r="BG1023" s="20">
        <v>27.21</v>
      </c>
      <c r="BH1023" s="20">
        <v>34.49</v>
      </c>
      <c r="BM1023" s="20">
        <v>38.28</v>
      </c>
      <c r="BN1023" s="20">
        <v>72.48</v>
      </c>
      <c r="BW1023" s="20">
        <v>-20.55</v>
      </c>
      <c r="BX1023" s="20">
        <v>-33.0</v>
      </c>
      <c r="BZ1023" s="20">
        <v>-35.39</v>
      </c>
      <c r="CA1023" s="20">
        <v>58.53</v>
      </c>
      <c r="CO1023" s="20">
        <v>-24.53</v>
      </c>
      <c r="CP1023" s="20">
        <v>-57.07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17</v>
      </c>
      <c r="M1024" s="20">
        <v>2.34</v>
      </c>
      <c r="N1024" s="20">
        <v>-6.88</v>
      </c>
      <c r="P1024" s="20">
        <v>-25.77</v>
      </c>
      <c r="Q1024" s="20">
        <v>49.5</v>
      </c>
      <c r="AG1024" s="43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17</v>
      </c>
      <c r="AO1024" s="20">
        <v>-23.8</v>
      </c>
      <c r="AP1024" s="20">
        <v>23.67</v>
      </c>
      <c r="AS1024" s="20">
        <v>515.0</v>
      </c>
      <c r="AT1024" s="20" t="s">
        <v>17</v>
      </c>
      <c r="AU1024" s="20">
        <v>38.96</v>
      </c>
      <c r="AV1024" s="20">
        <v>-9.41</v>
      </c>
      <c r="BE1024" s="43">
        <v>1022.0</v>
      </c>
      <c r="BF1024" s="20" t="s">
        <v>14</v>
      </c>
      <c r="BG1024" s="20">
        <v>14.75</v>
      </c>
      <c r="BH1024" s="20">
        <v>3.58</v>
      </c>
      <c r="BM1024" s="20">
        <v>72.1</v>
      </c>
      <c r="BN1024" s="20">
        <v>137.4</v>
      </c>
      <c r="BW1024" s="20">
        <v>-28.79</v>
      </c>
      <c r="BX1024" s="20">
        <v>-14.84</v>
      </c>
      <c r="BZ1024" s="20">
        <v>-59.34</v>
      </c>
      <c r="CA1024" s="20">
        <v>55.33</v>
      </c>
      <c r="CO1024" s="20">
        <v>-17.21</v>
      </c>
      <c r="CP1024" s="20">
        <v>-41.3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P1025" s="20">
        <v>-6.51</v>
      </c>
      <c r="Q1025" s="20">
        <v>28.32</v>
      </c>
      <c r="AG1025" s="43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3">
        <v>1023.0</v>
      </c>
      <c r="BF1025" s="20" t="s">
        <v>14</v>
      </c>
      <c r="BG1025" s="20">
        <v>20.98</v>
      </c>
      <c r="BH1025" s="20">
        <v>64.68</v>
      </c>
      <c r="BM1025" s="20">
        <v>211.88</v>
      </c>
      <c r="BN1025" s="20">
        <v>136.89</v>
      </c>
      <c r="BW1025" s="20">
        <v>-31.44</v>
      </c>
      <c r="BX1025" s="20">
        <v>8.61</v>
      </c>
      <c r="BZ1025" s="20">
        <v>-39.04</v>
      </c>
      <c r="CA1025" s="20">
        <v>13.41</v>
      </c>
      <c r="CO1025" s="20">
        <v>-47.9</v>
      </c>
      <c r="CP1025" s="20">
        <v>-34.36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17</v>
      </c>
      <c r="M1026" s="20">
        <v>-15.72</v>
      </c>
      <c r="N1026" s="20">
        <v>-3.95</v>
      </c>
      <c r="P1026" s="20">
        <v>-0.52</v>
      </c>
      <c r="Q1026" s="20">
        <v>73.26</v>
      </c>
      <c r="AG1026" s="43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17</v>
      </c>
      <c r="AO1026" s="20">
        <v>53.85</v>
      </c>
      <c r="AP1026" s="20">
        <v>10.58</v>
      </c>
      <c r="AS1026" s="20">
        <v>516.0</v>
      </c>
      <c r="AT1026" s="20" t="s">
        <v>17</v>
      </c>
      <c r="AU1026" s="20">
        <v>-39.32</v>
      </c>
      <c r="AV1026" s="20">
        <v>-49.95</v>
      </c>
      <c r="BE1026" s="43">
        <v>1024.0</v>
      </c>
      <c r="BF1026" s="20" t="s">
        <v>14</v>
      </c>
      <c r="BG1026" s="20">
        <v>45.23</v>
      </c>
      <c r="BH1026" s="20">
        <v>34.03</v>
      </c>
      <c r="BM1026" s="20">
        <v>313.68</v>
      </c>
      <c r="BN1026" s="20">
        <v>92.63</v>
      </c>
      <c r="BW1026" s="20">
        <v>-56.31</v>
      </c>
      <c r="BX1026" s="20">
        <v>7.94</v>
      </c>
      <c r="BZ1026" s="20">
        <v>-55.0</v>
      </c>
      <c r="CA1026" s="20">
        <v>73.54</v>
      </c>
      <c r="CO1026" s="20">
        <v>-14.21</v>
      </c>
      <c r="CP1026" s="20">
        <v>-57.88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P1027" s="20">
        <v>16.19</v>
      </c>
      <c r="Q1027" s="20">
        <v>1.61</v>
      </c>
      <c r="AG1027" s="43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3">
        <v>1025.0</v>
      </c>
      <c r="BF1027" s="20" t="s">
        <v>14</v>
      </c>
      <c r="BG1027" s="20">
        <v>14.32</v>
      </c>
      <c r="BH1027" s="20">
        <v>0.43</v>
      </c>
      <c r="BM1027" s="20">
        <v>7.17</v>
      </c>
      <c r="BN1027" s="20">
        <v>75.98</v>
      </c>
      <c r="BW1027" s="20">
        <v>-49.28</v>
      </c>
      <c r="BX1027" s="20">
        <v>-46.97</v>
      </c>
      <c r="BZ1027" s="20">
        <v>-37.82</v>
      </c>
      <c r="CA1027" s="20">
        <v>87.3</v>
      </c>
      <c r="CO1027" s="20">
        <v>-17.72</v>
      </c>
      <c r="CP1027" s="20">
        <v>-46.92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17</v>
      </c>
      <c r="M1028" s="20">
        <v>-33.97</v>
      </c>
      <c r="N1028" s="20">
        <v>-6.51</v>
      </c>
      <c r="P1028" s="20">
        <v>8.68</v>
      </c>
      <c r="Q1028" s="20">
        <v>36.27</v>
      </c>
      <c r="AG1028" s="43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17</v>
      </c>
      <c r="AO1028" s="20">
        <v>-44.86</v>
      </c>
      <c r="AP1028" s="20">
        <v>28.39</v>
      </c>
      <c r="AS1028" s="20">
        <v>517.0</v>
      </c>
      <c r="AT1028" s="20" t="s">
        <v>17</v>
      </c>
      <c r="AU1028" s="20">
        <v>-4.56</v>
      </c>
      <c r="AV1028" s="20">
        <v>-20.46</v>
      </c>
      <c r="BE1028" s="43">
        <v>1026.0</v>
      </c>
      <c r="BF1028" s="20" t="s">
        <v>14</v>
      </c>
      <c r="BG1028" s="20">
        <v>27.18</v>
      </c>
      <c r="BH1028" s="20">
        <v>1.38</v>
      </c>
      <c r="BM1028" s="20">
        <v>73.34</v>
      </c>
      <c r="BN1028" s="20">
        <v>124.28</v>
      </c>
      <c r="BW1028" s="20">
        <v>-55.22</v>
      </c>
      <c r="BX1028" s="20">
        <v>2.29</v>
      </c>
      <c r="BZ1028" s="20">
        <v>-5.4</v>
      </c>
      <c r="CA1028" s="20">
        <v>76.15</v>
      </c>
      <c r="CO1028" s="20">
        <v>-8.02</v>
      </c>
      <c r="CP1028" s="20">
        <v>-49.96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P1029" s="20">
        <v>-19.38</v>
      </c>
      <c r="Q1029" s="20">
        <v>11.07</v>
      </c>
      <c r="AG1029" s="43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3">
        <v>1027.0</v>
      </c>
      <c r="BF1029" s="20" t="s">
        <v>14</v>
      </c>
      <c r="BG1029" s="20">
        <v>-50.57</v>
      </c>
      <c r="BH1029" s="20">
        <v>11.96</v>
      </c>
      <c r="BM1029" s="20">
        <v>294.88</v>
      </c>
      <c r="BN1029" s="20">
        <v>207.38</v>
      </c>
      <c r="BW1029" s="20">
        <v>-10.63</v>
      </c>
      <c r="BX1029" s="20">
        <v>-54.87</v>
      </c>
      <c r="BZ1029" s="20">
        <v>-7.72</v>
      </c>
      <c r="CA1029" s="20">
        <v>205.91</v>
      </c>
      <c r="CO1029" s="20">
        <v>4.38</v>
      </c>
      <c r="CP1029" s="20">
        <v>-63.53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17</v>
      </c>
      <c r="M1030" s="20">
        <v>1.98</v>
      </c>
      <c r="N1030" s="20">
        <v>8.94</v>
      </c>
      <c r="P1030" s="20">
        <v>-16.12</v>
      </c>
      <c r="Q1030" s="20">
        <v>17.58</v>
      </c>
      <c r="AG1030" s="43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17</v>
      </c>
      <c r="AO1030" s="20">
        <v>-4.64</v>
      </c>
      <c r="AP1030" s="20">
        <v>-20.03</v>
      </c>
      <c r="AS1030" s="20">
        <v>518.0</v>
      </c>
      <c r="AT1030" s="20" t="s">
        <v>17</v>
      </c>
      <c r="AU1030" s="20">
        <v>-25.39</v>
      </c>
      <c r="AV1030" s="20">
        <v>-43.66</v>
      </c>
      <c r="BE1030" s="43">
        <v>1028.0</v>
      </c>
      <c r="BF1030" s="20" t="s">
        <v>14</v>
      </c>
      <c r="BG1030" s="20">
        <v>23.41</v>
      </c>
      <c r="BH1030" s="20">
        <v>-10.18</v>
      </c>
      <c r="BM1030" s="20">
        <v>196.27</v>
      </c>
      <c r="BN1030" s="20">
        <v>103.68</v>
      </c>
      <c r="BW1030" s="20">
        <v>-53.93</v>
      </c>
      <c r="BX1030" s="20">
        <v>-21.03</v>
      </c>
      <c r="BZ1030" s="20">
        <v>-40.75</v>
      </c>
      <c r="CA1030" s="20">
        <v>68.2</v>
      </c>
      <c r="CO1030" s="20">
        <v>-35.42</v>
      </c>
      <c r="CP1030" s="20">
        <v>-63.7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P1031" s="20">
        <v>15.04</v>
      </c>
      <c r="Q1031" s="20">
        <v>83.24</v>
      </c>
      <c r="AG1031" s="43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3">
        <v>1029.0</v>
      </c>
      <c r="BF1031" s="20" t="s">
        <v>14</v>
      </c>
      <c r="BG1031" s="20">
        <v>-25.34</v>
      </c>
      <c r="BH1031" s="20">
        <v>21.49</v>
      </c>
      <c r="BM1031" s="20">
        <v>39.91</v>
      </c>
      <c r="BN1031" s="20">
        <v>84.96</v>
      </c>
      <c r="BW1031" s="20">
        <v>-37.02</v>
      </c>
      <c r="BX1031" s="20">
        <v>-7.63</v>
      </c>
      <c r="BZ1031" s="20">
        <v>-46.17</v>
      </c>
      <c r="CA1031" s="20">
        <v>33.56</v>
      </c>
      <c r="CO1031" s="20">
        <v>-36.38</v>
      </c>
      <c r="CP1031" s="20">
        <v>-59.97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17</v>
      </c>
      <c r="M1032" s="20">
        <v>-67.12</v>
      </c>
      <c r="N1032" s="20">
        <v>-63.72</v>
      </c>
      <c r="P1032" s="20">
        <v>-41.5</v>
      </c>
      <c r="Q1032" s="20">
        <v>48.66</v>
      </c>
      <c r="AG1032" s="43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17</v>
      </c>
      <c r="AO1032" s="20">
        <v>-27.42</v>
      </c>
      <c r="AP1032" s="20">
        <v>-33.64</v>
      </c>
      <c r="AS1032" s="20">
        <v>519.0</v>
      </c>
      <c r="AT1032" s="20" t="s">
        <v>17</v>
      </c>
      <c r="AU1032" s="20">
        <v>-16.79</v>
      </c>
      <c r="AV1032" s="20">
        <v>-33.44</v>
      </c>
      <c r="BE1032" s="43">
        <v>1030.0</v>
      </c>
      <c r="BF1032" s="20" t="s">
        <v>14</v>
      </c>
      <c r="BG1032" s="20">
        <v>-18.4</v>
      </c>
      <c r="BH1032" s="20">
        <v>-5.86</v>
      </c>
      <c r="BM1032" s="20">
        <v>35.4</v>
      </c>
      <c r="BN1032" s="20">
        <v>157.02</v>
      </c>
      <c r="BW1032" s="20">
        <v>-20.5</v>
      </c>
      <c r="BX1032" s="20">
        <v>-17.84</v>
      </c>
      <c r="BZ1032" s="20">
        <v>-44.75</v>
      </c>
      <c r="CA1032" s="20">
        <v>69.63</v>
      </c>
      <c r="CO1032" s="20">
        <v>31.62</v>
      </c>
      <c r="CP1032" s="20">
        <v>-41.41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P1033" s="20">
        <v>2.7</v>
      </c>
      <c r="Q1033" s="20">
        <v>16.17</v>
      </c>
      <c r="AG1033" s="43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3">
        <v>1031.0</v>
      </c>
      <c r="BF1033" s="20" t="s">
        <v>14</v>
      </c>
      <c r="BG1033" s="20">
        <v>33.77</v>
      </c>
      <c r="BH1033" s="20">
        <v>2.89</v>
      </c>
      <c r="BM1033" s="20">
        <v>116.02</v>
      </c>
      <c r="BN1033" s="20">
        <v>121.77</v>
      </c>
      <c r="BW1033" s="20">
        <v>-54.79</v>
      </c>
      <c r="BX1033" s="20">
        <v>-38.68</v>
      </c>
      <c r="BZ1033" s="20">
        <v>-31.78</v>
      </c>
      <c r="CA1033" s="20">
        <v>88.09</v>
      </c>
      <c r="CO1033" s="20">
        <v>-10.39</v>
      </c>
      <c r="CP1033" s="20">
        <v>-58.54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17</v>
      </c>
      <c r="M1034" s="20">
        <v>-14.19</v>
      </c>
      <c r="N1034" s="20">
        <v>29.49</v>
      </c>
      <c r="P1034" s="20">
        <v>44.56</v>
      </c>
      <c r="Q1034" s="20">
        <v>78.52</v>
      </c>
      <c r="AG1034" s="43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17</v>
      </c>
      <c r="AO1034" s="20">
        <v>44.41</v>
      </c>
      <c r="AP1034" s="20">
        <v>-18.62</v>
      </c>
      <c r="AS1034" s="20">
        <v>520.0</v>
      </c>
      <c r="AT1034" s="20" t="s">
        <v>17</v>
      </c>
      <c r="AU1034" s="20">
        <v>-1.53</v>
      </c>
      <c r="AV1034" s="20">
        <v>-68.69</v>
      </c>
      <c r="BE1034" s="43">
        <v>1032.0</v>
      </c>
      <c r="BF1034" s="20" t="s">
        <v>14</v>
      </c>
      <c r="BG1034" s="20">
        <v>10.17</v>
      </c>
      <c r="BH1034" s="20">
        <v>5.01</v>
      </c>
      <c r="BM1034" s="20">
        <v>113.15</v>
      </c>
      <c r="BN1034" s="20">
        <v>199.37</v>
      </c>
      <c r="BW1034" s="20">
        <v>-64.58</v>
      </c>
      <c r="BX1034" s="20">
        <v>-40.89</v>
      </c>
      <c r="BZ1034" s="20">
        <v>-51.64</v>
      </c>
      <c r="CA1034" s="20">
        <v>92.18</v>
      </c>
      <c r="CO1034" s="20">
        <v>-27.35</v>
      </c>
      <c r="CP1034" s="20">
        <v>-64.74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P1035" s="20">
        <v>32.35</v>
      </c>
      <c r="Q1035" s="20">
        <v>22.81</v>
      </c>
      <c r="AG1035" s="43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3">
        <v>1033.0</v>
      </c>
      <c r="BF1035" s="20" t="s">
        <v>14</v>
      </c>
      <c r="BG1035" s="20">
        <v>-13.51</v>
      </c>
      <c r="BH1035" s="20">
        <v>-5.21</v>
      </c>
      <c r="BM1035" s="20">
        <v>77.44</v>
      </c>
      <c r="BN1035" s="20">
        <v>126.04</v>
      </c>
      <c r="BW1035" s="20">
        <v>66.75</v>
      </c>
      <c r="BX1035" s="20">
        <v>12.57</v>
      </c>
      <c r="BZ1035" s="20">
        <v>-42.04</v>
      </c>
      <c r="CA1035" s="20">
        <v>101.41</v>
      </c>
      <c r="CO1035" s="20">
        <v>-2.62</v>
      </c>
      <c r="CP1035" s="20">
        <v>-59.02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17</v>
      </c>
      <c r="M1036" s="20">
        <v>-0.95</v>
      </c>
      <c r="N1036" s="20">
        <v>-30.88</v>
      </c>
      <c r="P1036" s="20">
        <v>36.87</v>
      </c>
      <c r="Q1036" s="20">
        <v>47.98</v>
      </c>
      <c r="AG1036" s="43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17</v>
      </c>
      <c r="AO1036" s="20">
        <v>-26.66</v>
      </c>
      <c r="AP1036" s="20">
        <v>-49.05</v>
      </c>
      <c r="AS1036" s="20">
        <v>521.0</v>
      </c>
      <c r="AT1036" s="20" t="s">
        <v>17</v>
      </c>
      <c r="AU1036" s="20">
        <v>-17.45</v>
      </c>
      <c r="AV1036" s="20">
        <v>-19.41</v>
      </c>
      <c r="BE1036" s="43">
        <v>1034.0</v>
      </c>
      <c r="BF1036" s="20" t="s">
        <v>14</v>
      </c>
      <c r="BG1036" s="20">
        <v>-19.15</v>
      </c>
      <c r="BH1036" s="20">
        <v>-43.68</v>
      </c>
      <c r="BM1036" s="20">
        <v>34.83</v>
      </c>
      <c r="BN1036" s="20">
        <v>86.09</v>
      </c>
      <c r="BW1036" s="20">
        <v>-64.01</v>
      </c>
      <c r="BX1036" s="20">
        <v>38.39</v>
      </c>
      <c r="BZ1036" s="20">
        <v>-73.81</v>
      </c>
      <c r="CA1036" s="20">
        <v>-29.41</v>
      </c>
      <c r="CO1036" s="20">
        <v>-11.44</v>
      </c>
      <c r="CP1036" s="20">
        <v>-65.8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P1037" s="20">
        <v>-0.64</v>
      </c>
      <c r="Q1037" s="20">
        <v>38.36</v>
      </c>
      <c r="AG1037" s="43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3">
        <v>1035.0</v>
      </c>
      <c r="BF1037" s="20" t="s">
        <v>14</v>
      </c>
      <c r="BG1037" s="20">
        <v>-12.23</v>
      </c>
      <c r="BH1037" s="20">
        <v>-0.63</v>
      </c>
      <c r="BM1037" s="20">
        <v>131.28</v>
      </c>
      <c r="BN1037" s="20">
        <v>143.72</v>
      </c>
      <c r="BW1037" s="20">
        <v>-31.67</v>
      </c>
      <c r="BX1037" s="20">
        <v>5.55</v>
      </c>
      <c r="BZ1037" s="20">
        <v>-48.93</v>
      </c>
      <c r="CA1037" s="20">
        <v>31.52</v>
      </c>
      <c r="CO1037" s="20">
        <v>50.95</v>
      </c>
      <c r="CP1037" s="20">
        <v>-54.32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17</v>
      </c>
      <c r="M1038" s="20">
        <v>5.19</v>
      </c>
      <c r="N1038" s="20">
        <v>16.02</v>
      </c>
      <c r="P1038" s="20">
        <v>5.89</v>
      </c>
      <c r="Q1038" s="20">
        <v>23.86</v>
      </c>
      <c r="AG1038" s="43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17</v>
      </c>
      <c r="AO1038" s="20">
        <v>0.9</v>
      </c>
      <c r="AP1038" s="20">
        <v>4.24</v>
      </c>
      <c r="AS1038" s="20">
        <v>522.0</v>
      </c>
      <c r="AT1038" s="20" t="s">
        <v>17</v>
      </c>
      <c r="AU1038" s="20">
        <v>-17.72</v>
      </c>
      <c r="AV1038" s="20">
        <v>2.64</v>
      </c>
      <c r="BE1038" s="43">
        <v>1036.0</v>
      </c>
      <c r="BF1038" s="20" t="s">
        <v>14</v>
      </c>
      <c r="BG1038" s="20">
        <v>15.38</v>
      </c>
      <c r="BH1038" s="20">
        <v>17.11</v>
      </c>
      <c r="BM1038" s="20">
        <v>49.57</v>
      </c>
      <c r="BN1038" s="20">
        <v>151.39</v>
      </c>
      <c r="BW1038" s="20">
        <v>24.18</v>
      </c>
      <c r="BX1038" s="20">
        <v>-67.35</v>
      </c>
      <c r="BZ1038" s="20">
        <v>-68.83</v>
      </c>
      <c r="CA1038" s="20">
        <v>63.59</v>
      </c>
      <c r="CO1038" s="20">
        <v>26.15</v>
      </c>
      <c r="CP1038" s="20">
        <v>-18.89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P1039" s="20">
        <v>36.02</v>
      </c>
      <c r="Q1039" s="20">
        <v>25.62</v>
      </c>
      <c r="AG1039" s="43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3">
        <v>1037.0</v>
      </c>
      <c r="BF1039" s="20" t="s">
        <v>14</v>
      </c>
      <c r="BG1039" s="20">
        <v>-26.57</v>
      </c>
      <c r="BH1039" s="20">
        <v>-0.22</v>
      </c>
      <c r="BM1039" s="20">
        <v>72.77</v>
      </c>
      <c r="BN1039" s="20">
        <v>57.53</v>
      </c>
      <c r="BW1039" s="20">
        <v>-52.0</v>
      </c>
      <c r="BX1039" s="20">
        <v>49.43</v>
      </c>
      <c r="BZ1039" s="20">
        <v>-47.24</v>
      </c>
      <c r="CA1039" s="20">
        <v>52.91</v>
      </c>
      <c r="CO1039" s="20">
        <v>-26.81</v>
      </c>
      <c r="CP1039" s="20">
        <v>-55.38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17</v>
      </c>
      <c r="M1040" s="20">
        <v>-16.87</v>
      </c>
      <c r="N1040" s="20">
        <v>-25.18</v>
      </c>
      <c r="P1040" s="20">
        <v>-2.47</v>
      </c>
      <c r="Q1040" s="20">
        <v>31.82</v>
      </c>
      <c r="AG1040" s="43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17</v>
      </c>
      <c r="AO1040" s="20">
        <v>-15.28</v>
      </c>
      <c r="AP1040" s="20">
        <v>2.92</v>
      </c>
      <c r="AS1040" s="20">
        <v>523.0</v>
      </c>
      <c r="AT1040" s="20" t="s">
        <v>17</v>
      </c>
      <c r="AU1040" s="20">
        <v>-17.28</v>
      </c>
      <c r="AV1040" s="20">
        <v>-52.51</v>
      </c>
      <c r="BE1040" s="43">
        <v>1038.0</v>
      </c>
      <c r="BF1040" s="20" t="s">
        <v>14</v>
      </c>
      <c r="BG1040" s="20">
        <v>5.04</v>
      </c>
      <c r="BH1040" s="20">
        <v>37.11</v>
      </c>
      <c r="BM1040" s="20">
        <v>-22.19</v>
      </c>
      <c r="BN1040" s="20">
        <v>26.89</v>
      </c>
      <c r="BW1040" s="20">
        <v>-25.31</v>
      </c>
      <c r="BX1040" s="20">
        <v>-54.35</v>
      </c>
      <c r="BZ1040" s="20">
        <v>-1.6</v>
      </c>
      <c r="CA1040" s="20">
        <v>64.32</v>
      </c>
      <c r="CO1040" s="20">
        <v>33.23</v>
      </c>
      <c r="CP1040" s="20">
        <v>-58.54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P1041" s="20">
        <v>-16.11</v>
      </c>
      <c r="Q1041" s="20">
        <v>19.17</v>
      </c>
      <c r="AG1041" s="43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3">
        <v>1039.0</v>
      </c>
      <c r="BF1041" s="20" t="s">
        <v>14</v>
      </c>
      <c r="BG1041" s="20">
        <v>3.54</v>
      </c>
      <c r="BH1041" s="20">
        <v>21.35</v>
      </c>
      <c r="BM1041" s="20">
        <v>140.91</v>
      </c>
      <c r="BN1041" s="20">
        <v>143.54</v>
      </c>
      <c r="BW1041" s="20">
        <v>-56.02</v>
      </c>
      <c r="BX1041" s="20">
        <v>-5.04</v>
      </c>
      <c r="BZ1041" s="20">
        <v>-41.71</v>
      </c>
      <c r="CA1041" s="20">
        <v>31.09</v>
      </c>
      <c r="CO1041" s="20">
        <v>2.87</v>
      </c>
      <c r="CP1041" s="20">
        <v>-48.77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17</v>
      </c>
      <c r="M1042" s="20">
        <v>15.96</v>
      </c>
      <c r="N1042" s="20">
        <v>61.29</v>
      </c>
      <c r="P1042" s="20">
        <v>-6.26</v>
      </c>
      <c r="Q1042" s="20">
        <v>74.95</v>
      </c>
      <c r="AG1042" s="43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17</v>
      </c>
      <c r="AO1042" s="20">
        <v>-42.0</v>
      </c>
      <c r="AP1042" s="20">
        <v>-18.51</v>
      </c>
      <c r="AS1042" s="20">
        <v>524.0</v>
      </c>
      <c r="AT1042" s="20" t="s">
        <v>17</v>
      </c>
      <c r="AU1042" s="20">
        <v>0.12</v>
      </c>
      <c r="AV1042" s="20">
        <v>-44.89</v>
      </c>
      <c r="BE1042" s="43">
        <v>1040.0</v>
      </c>
      <c r="BF1042" s="20" t="s">
        <v>14</v>
      </c>
      <c r="BG1042" s="20">
        <v>0.35</v>
      </c>
      <c r="BH1042" s="20">
        <v>11.63</v>
      </c>
      <c r="BM1042" s="20">
        <v>111.94</v>
      </c>
      <c r="BN1042" s="20">
        <v>106.41</v>
      </c>
      <c r="BW1042" s="20">
        <v>-29.77</v>
      </c>
      <c r="BX1042" s="20">
        <v>-19.78</v>
      </c>
      <c r="BZ1042" s="20">
        <v>-48.37</v>
      </c>
      <c r="CA1042" s="20">
        <v>6.37</v>
      </c>
      <c r="CO1042" s="20">
        <v>-5.69</v>
      </c>
      <c r="CP1042" s="20">
        <v>-71.76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P1043" s="20">
        <v>-3.19</v>
      </c>
      <c r="Q1043" s="20">
        <v>29.27</v>
      </c>
      <c r="AG1043" s="43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3">
        <v>1041.0</v>
      </c>
      <c r="BF1043" s="20" t="s">
        <v>14</v>
      </c>
      <c r="BG1043" s="20">
        <v>11.98</v>
      </c>
      <c r="BH1043" s="20">
        <v>33.22</v>
      </c>
      <c r="BM1043" s="20">
        <v>63.7</v>
      </c>
      <c r="BN1043" s="20">
        <v>69.69</v>
      </c>
      <c r="BW1043" s="20">
        <v>-34.36</v>
      </c>
      <c r="BX1043" s="20">
        <v>-7.55</v>
      </c>
      <c r="BZ1043" s="20">
        <v>-38.77</v>
      </c>
      <c r="CA1043" s="20">
        <v>34.64</v>
      </c>
      <c r="CO1043" s="20">
        <v>63.48</v>
      </c>
      <c r="CP1043" s="20">
        <v>-36.18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17</v>
      </c>
      <c r="M1044" s="20">
        <v>-16.59</v>
      </c>
      <c r="N1044" s="20">
        <v>-0.5</v>
      </c>
      <c r="P1044" s="20">
        <v>3.53</v>
      </c>
      <c r="Q1044" s="20">
        <v>25.46</v>
      </c>
      <c r="AG1044" s="43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17</v>
      </c>
      <c r="AO1044" s="20">
        <v>-13.69</v>
      </c>
      <c r="AP1044" s="20">
        <v>-24.77</v>
      </c>
      <c r="AS1044" s="20">
        <v>525.0</v>
      </c>
      <c r="AT1044" s="20" t="s">
        <v>17</v>
      </c>
      <c r="AU1044" s="20">
        <v>-10.1</v>
      </c>
      <c r="AV1044" s="20">
        <v>-33.69</v>
      </c>
      <c r="BE1044" s="43">
        <v>1042.0</v>
      </c>
      <c r="BF1044" s="20" t="s">
        <v>14</v>
      </c>
      <c r="BG1044" s="20">
        <v>-0.26</v>
      </c>
      <c r="BH1044" s="20">
        <v>-15.43</v>
      </c>
      <c r="BM1044" s="20">
        <v>64.45</v>
      </c>
      <c r="BN1044" s="20">
        <v>119.38</v>
      </c>
      <c r="BW1044" s="20">
        <v>-41.01</v>
      </c>
      <c r="BX1044" s="20">
        <v>-16.65</v>
      </c>
      <c r="BZ1044" s="20">
        <v>-39.21</v>
      </c>
      <c r="CA1044" s="20">
        <v>14.37</v>
      </c>
      <c r="CO1044" s="20">
        <v>-6.72</v>
      </c>
      <c r="CP1044" s="20">
        <v>-63.19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P1045" s="20">
        <v>3.1</v>
      </c>
      <c r="Q1045" s="20">
        <v>39.48</v>
      </c>
      <c r="AG1045" s="43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3">
        <v>1043.0</v>
      </c>
      <c r="BF1045" s="20" t="s">
        <v>14</v>
      </c>
      <c r="BG1045" s="20">
        <v>26.27</v>
      </c>
      <c r="BH1045" s="20">
        <v>49.27</v>
      </c>
      <c r="BM1045" s="20">
        <v>56.53</v>
      </c>
      <c r="BN1045" s="20">
        <v>57.3</v>
      </c>
      <c r="BW1045" s="20">
        <v>-32.9</v>
      </c>
      <c r="BX1045" s="20">
        <v>-36.74</v>
      </c>
      <c r="BZ1045" s="20">
        <v>-43.5</v>
      </c>
      <c r="CA1045" s="20">
        <v>22.67</v>
      </c>
      <c r="CO1045" s="20">
        <v>-21.71</v>
      </c>
      <c r="CP1045" s="20">
        <v>-46.4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17</v>
      </c>
      <c r="M1046" s="20">
        <v>6.19</v>
      </c>
      <c r="N1046" s="20">
        <v>60.42</v>
      </c>
      <c r="P1046" s="20">
        <v>-11.05</v>
      </c>
      <c r="Q1046" s="20">
        <v>38.48</v>
      </c>
      <c r="AG1046" s="43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17</v>
      </c>
      <c r="AO1046" s="20">
        <v>8.89</v>
      </c>
      <c r="AP1046" s="20">
        <v>-9.99</v>
      </c>
      <c r="AS1046" s="20">
        <v>526.0</v>
      </c>
      <c r="AT1046" s="20" t="s">
        <v>17</v>
      </c>
      <c r="AU1046" s="20">
        <v>-26.79</v>
      </c>
      <c r="AV1046" s="20">
        <v>-48.52</v>
      </c>
      <c r="BE1046" s="43">
        <v>1044.0</v>
      </c>
      <c r="BF1046" s="20" t="s">
        <v>14</v>
      </c>
      <c r="BG1046" s="20">
        <v>-5.85</v>
      </c>
      <c r="BH1046" s="20">
        <v>-19.82</v>
      </c>
      <c r="BM1046" s="20">
        <v>38.07</v>
      </c>
      <c r="BN1046" s="20">
        <v>181.53</v>
      </c>
      <c r="BW1046" s="20">
        <v>19.9</v>
      </c>
      <c r="BX1046" s="20">
        <v>-63.64</v>
      </c>
      <c r="BZ1046" s="20">
        <v>-44.57</v>
      </c>
      <c r="CA1046" s="20">
        <v>77.74</v>
      </c>
      <c r="CO1046" s="20">
        <v>6.92</v>
      </c>
      <c r="CP1046" s="20">
        <v>-34.41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P1047" s="20">
        <v>74.89</v>
      </c>
      <c r="Q1047" s="20">
        <v>50.82</v>
      </c>
      <c r="AG1047" s="43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3">
        <v>1045.0</v>
      </c>
      <c r="BF1047" s="20" t="s">
        <v>14</v>
      </c>
      <c r="BG1047" s="20">
        <v>4.51</v>
      </c>
      <c r="BH1047" s="20">
        <v>6.08</v>
      </c>
      <c r="BM1047" s="20">
        <v>31.07</v>
      </c>
      <c r="BN1047" s="20">
        <v>123.99</v>
      </c>
      <c r="BW1047" s="20">
        <v>-20.2</v>
      </c>
      <c r="BX1047" s="20">
        <v>-12.73</v>
      </c>
      <c r="BZ1047" s="20">
        <v>-7.18</v>
      </c>
      <c r="CA1047" s="20">
        <v>14.11</v>
      </c>
      <c r="CO1047" s="20">
        <v>-23.74</v>
      </c>
      <c r="CP1047" s="20">
        <v>-51.68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17</v>
      </c>
      <c r="M1048" s="20">
        <v>-12.14</v>
      </c>
      <c r="N1048" s="20">
        <v>-1.76</v>
      </c>
      <c r="P1048" s="20">
        <v>-4.4</v>
      </c>
      <c r="Q1048" s="20">
        <v>-19.86</v>
      </c>
      <c r="AG1048" s="43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17</v>
      </c>
      <c r="AO1048" s="20">
        <v>-7.67</v>
      </c>
      <c r="AP1048" s="20">
        <v>11.1</v>
      </c>
      <c r="AS1048" s="20">
        <v>527.0</v>
      </c>
      <c r="AT1048" s="20" t="s">
        <v>17</v>
      </c>
      <c r="AU1048" s="20">
        <v>-4.57</v>
      </c>
      <c r="AV1048" s="20">
        <v>-26.22</v>
      </c>
      <c r="BE1048" s="43">
        <v>1046.0</v>
      </c>
      <c r="BF1048" s="20" t="s">
        <v>14</v>
      </c>
      <c r="BG1048" s="20">
        <v>37.43</v>
      </c>
      <c r="BH1048" s="20">
        <v>12.98</v>
      </c>
      <c r="BM1048" s="20">
        <v>59.23</v>
      </c>
      <c r="BN1048" s="20">
        <v>262.31</v>
      </c>
      <c r="BW1048" s="20">
        <v>-51.17</v>
      </c>
      <c r="BX1048" s="20">
        <v>-14.01</v>
      </c>
      <c r="BZ1048" s="20">
        <v>-47.68</v>
      </c>
      <c r="CA1048" s="20">
        <v>-18.24</v>
      </c>
      <c r="CO1048" s="20">
        <v>21.24</v>
      </c>
      <c r="CP1048" s="20">
        <v>-55.62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P1049" s="20">
        <v>-33.72</v>
      </c>
      <c r="Q1049" s="20">
        <v>-1.23</v>
      </c>
      <c r="AG1049" s="43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3">
        <v>1047.0</v>
      </c>
      <c r="BF1049" s="20" t="s">
        <v>14</v>
      </c>
      <c r="BG1049" s="20">
        <v>-6.42</v>
      </c>
      <c r="BH1049" s="20">
        <v>2.21</v>
      </c>
      <c r="BM1049" s="20">
        <v>40.07</v>
      </c>
      <c r="BN1049" s="20">
        <v>166.67</v>
      </c>
      <c r="BW1049" s="20">
        <v>-47.97</v>
      </c>
      <c r="BX1049" s="20">
        <v>-22.57</v>
      </c>
      <c r="BZ1049" s="20">
        <v>-23.98</v>
      </c>
      <c r="CA1049" s="20">
        <v>41.75</v>
      </c>
      <c r="CO1049" s="20">
        <v>-21.56</v>
      </c>
      <c r="CP1049" s="20">
        <v>-58.8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17</v>
      </c>
      <c r="M1050" s="20">
        <v>-17.96</v>
      </c>
      <c r="N1050" s="20">
        <v>27.28</v>
      </c>
      <c r="P1050" s="20">
        <v>-11.72</v>
      </c>
      <c r="Q1050" s="20">
        <v>5.86</v>
      </c>
      <c r="AG1050" s="43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17</v>
      </c>
      <c r="AO1050" s="20">
        <v>-11.55</v>
      </c>
      <c r="AP1050" s="20">
        <v>-15.09</v>
      </c>
      <c r="AS1050" s="20">
        <v>528.0</v>
      </c>
      <c r="AT1050" s="20" t="s">
        <v>17</v>
      </c>
      <c r="AU1050" s="20">
        <v>-25.71</v>
      </c>
      <c r="AV1050" s="20">
        <v>-41.48</v>
      </c>
      <c r="BE1050" s="43">
        <v>1048.0</v>
      </c>
      <c r="BF1050" s="20" t="s">
        <v>14</v>
      </c>
      <c r="BG1050" s="20">
        <v>2.65</v>
      </c>
      <c r="BH1050" s="20">
        <v>0.02</v>
      </c>
      <c r="BM1050" s="20">
        <v>117.99</v>
      </c>
      <c r="BN1050" s="20">
        <v>288.42</v>
      </c>
      <c r="BW1050" s="20">
        <v>-41.26</v>
      </c>
      <c r="BX1050" s="20">
        <v>-24.91</v>
      </c>
      <c r="BZ1050" s="20">
        <v>-68.53</v>
      </c>
      <c r="CA1050" s="20">
        <v>-20.01</v>
      </c>
      <c r="CO1050" s="20">
        <v>-19.06</v>
      </c>
      <c r="CP1050" s="20">
        <v>-65.14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P1051" s="20">
        <v>-23.76</v>
      </c>
      <c r="Q1051" s="20">
        <v>23.46</v>
      </c>
      <c r="AG1051" s="43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3">
        <v>1049.0</v>
      </c>
      <c r="BF1051" s="20" t="s">
        <v>14</v>
      </c>
      <c r="BG1051" s="20">
        <v>5.68</v>
      </c>
      <c r="BH1051" s="20">
        <v>16.67</v>
      </c>
      <c r="BM1051" s="20">
        <v>38.56</v>
      </c>
      <c r="BN1051" s="20">
        <v>34.88</v>
      </c>
      <c r="BW1051" s="20">
        <v>-53.54</v>
      </c>
      <c r="BX1051" s="20">
        <v>-39.62</v>
      </c>
      <c r="BZ1051" s="20">
        <v>-53.56</v>
      </c>
      <c r="CA1051" s="20">
        <v>-0.39</v>
      </c>
      <c r="CO1051" s="20">
        <v>-25.49</v>
      </c>
      <c r="CP1051" s="20">
        <v>-53.24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17</v>
      </c>
      <c r="M1052" s="20">
        <v>-38.69</v>
      </c>
      <c r="N1052" s="20">
        <v>-18.44</v>
      </c>
      <c r="P1052" s="20">
        <v>-11.64</v>
      </c>
      <c r="Q1052" s="20">
        <v>38.94</v>
      </c>
      <c r="AG1052" s="43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17</v>
      </c>
      <c r="AO1052" s="20">
        <v>38.06</v>
      </c>
      <c r="AP1052" s="20">
        <v>15.49</v>
      </c>
      <c r="AS1052" s="20">
        <v>529.0</v>
      </c>
      <c r="AT1052" s="20" t="s">
        <v>17</v>
      </c>
      <c r="AU1052" s="20">
        <v>-20.58</v>
      </c>
      <c r="AV1052" s="20">
        <v>-6.75</v>
      </c>
      <c r="BE1052" s="43">
        <v>1050.0</v>
      </c>
      <c r="BF1052" s="20" t="s">
        <v>14</v>
      </c>
      <c r="BG1052" s="20">
        <v>44.54</v>
      </c>
      <c r="BH1052" s="20">
        <v>-7.1</v>
      </c>
      <c r="BM1052" s="20">
        <v>51.45</v>
      </c>
      <c r="BN1052" s="20">
        <v>133.02</v>
      </c>
      <c r="BW1052" s="20">
        <v>-48.09</v>
      </c>
      <c r="BX1052" s="20">
        <v>-30.37</v>
      </c>
      <c r="BZ1052" s="20">
        <v>-52.35</v>
      </c>
      <c r="CA1052" s="20">
        <v>8.93</v>
      </c>
      <c r="CO1052" s="20">
        <v>-35.16</v>
      </c>
      <c r="CP1052" s="20">
        <v>-56.2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P1053" s="20">
        <v>-19.09</v>
      </c>
      <c r="Q1053" s="20">
        <v>21.8</v>
      </c>
      <c r="AG1053" s="43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3">
        <v>1051.0</v>
      </c>
      <c r="BF1053" s="20" t="s">
        <v>14</v>
      </c>
      <c r="BG1053" s="20">
        <v>8.37</v>
      </c>
      <c r="BH1053" s="20">
        <v>-0.58</v>
      </c>
      <c r="BM1053" s="20">
        <v>63.6</v>
      </c>
      <c r="BN1053" s="20">
        <v>119.16</v>
      </c>
      <c r="BW1053" s="20">
        <v>-47.36</v>
      </c>
      <c r="BX1053" s="20">
        <v>-30.08</v>
      </c>
      <c r="BZ1053" s="20">
        <v>-10.82</v>
      </c>
      <c r="CA1053" s="20">
        <v>110.52</v>
      </c>
      <c r="CO1053" s="20">
        <v>-27.75</v>
      </c>
      <c r="CP1053" s="20">
        <v>-40.91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17</v>
      </c>
      <c r="M1054" s="20">
        <v>-42.82</v>
      </c>
      <c r="N1054" s="20">
        <v>-22.18</v>
      </c>
      <c r="P1054" s="20">
        <v>-4.09</v>
      </c>
      <c r="Q1054" s="20">
        <v>17.38</v>
      </c>
      <c r="AG1054" s="43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17</v>
      </c>
      <c r="AO1054" s="20">
        <v>-29.05</v>
      </c>
      <c r="AP1054" s="20">
        <v>13.59</v>
      </c>
      <c r="AS1054" s="20">
        <v>530.0</v>
      </c>
      <c r="AT1054" s="20" t="s">
        <v>17</v>
      </c>
      <c r="AU1054" s="20">
        <v>32.2</v>
      </c>
      <c r="AV1054" s="20">
        <v>-63.53</v>
      </c>
      <c r="BE1054" s="43">
        <v>1052.0</v>
      </c>
      <c r="BF1054" s="20" t="s">
        <v>14</v>
      </c>
      <c r="BG1054" s="20">
        <v>-10.67</v>
      </c>
      <c r="BH1054" s="20">
        <v>25.16</v>
      </c>
      <c r="BM1054" s="20">
        <v>45.64</v>
      </c>
      <c r="BN1054" s="20">
        <v>124.31</v>
      </c>
      <c r="BW1054" s="20">
        <v>-45.07</v>
      </c>
      <c r="BX1054" s="20">
        <v>-45.07</v>
      </c>
      <c r="BZ1054" s="20">
        <v>-49.03</v>
      </c>
      <c r="CA1054" s="20">
        <v>-32.64</v>
      </c>
      <c r="CO1054" s="20">
        <v>-65.51</v>
      </c>
      <c r="CP1054" s="20">
        <v>-72.49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P1055" s="20">
        <v>28.71</v>
      </c>
      <c r="Q1055" s="20">
        <v>-4.56</v>
      </c>
      <c r="AG1055" s="43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3">
        <v>1053.0</v>
      </c>
      <c r="BF1055" s="20" t="s">
        <v>14</v>
      </c>
      <c r="BG1055" s="20">
        <v>20.73</v>
      </c>
      <c r="BH1055" s="20">
        <v>-13.42</v>
      </c>
      <c r="BM1055" s="20">
        <v>13.53</v>
      </c>
      <c r="BN1055" s="20">
        <v>95.87</v>
      </c>
      <c r="BW1055" s="20">
        <v>-42.68</v>
      </c>
      <c r="BX1055" s="20">
        <v>-39.16</v>
      </c>
      <c r="BZ1055" s="20">
        <v>-21.06</v>
      </c>
      <c r="CA1055" s="20">
        <v>18.35</v>
      </c>
      <c r="CO1055" s="20">
        <v>-19.91</v>
      </c>
      <c r="CP1055" s="20">
        <v>-60.86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17</v>
      </c>
      <c r="M1056" s="20">
        <v>-31.87</v>
      </c>
      <c r="N1056" s="20">
        <v>-21.3</v>
      </c>
      <c r="P1056" s="20">
        <v>69.03</v>
      </c>
      <c r="Q1056" s="20">
        <v>37.95</v>
      </c>
      <c r="AG1056" s="43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17</v>
      </c>
      <c r="AO1056" s="20">
        <v>-13.16</v>
      </c>
      <c r="AP1056" s="20">
        <v>-7.31</v>
      </c>
      <c r="AS1056" s="20">
        <v>531.0</v>
      </c>
      <c r="AT1056" s="20" t="s">
        <v>17</v>
      </c>
      <c r="AU1056" s="20">
        <v>-38.33</v>
      </c>
      <c r="AV1056" s="20">
        <v>-37.43</v>
      </c>
      <c r="BE1056" s="43">
        <v>1054.0</v>
      </c>
      <c r="BF1056" s="20" t="s">
        <v>14</v>
      </c>
      <c r="BG1056" s="20">
        <v>-8.58</v>
      </c>
      <c r="BH1056" s="20">
        <v>-3.85</v>
      </c>
      <c r="BM1056" s="20">
        <v>7.89</v>
      </c>
      <c r="BN1056" s="20">
        <v>114.77</v>
      </c>
      <c r="BW1056" s="20">
        <v>-52.91</v>
      </c>
      <c r="BX1056" s="20">
        <v>-18.59</v>
      </c>
      <c r="BZ1056" s="20">
        <v>-55.79</v>
      </c>
      <c r="CA1056" s="20">
        <v>-13.89</v>
      </c>
      <c r="CO1056" s="20">
        <v>-1.25</v>
      </c>
      <c r="CP1056" s="20">
        <v>-29.36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P1057" s="20">
        <v>-9.24</v>
      </c>
      <c r="Q1057" s="20">
        <v>13.71</v>
      </c>
      <c r="AG1057" s="43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3">
        <v>1055.0</v>
      </c>
      <c r="BF1057" s="20" t="s">
        <v>14</v>
      </c>
      <c r="BG1057" s="20">
        <v>51.5</v>
      </c>
      <c r="BH1057" s="20">
        <v>28.52</v>
      </c>
      <c r="BM1057" s="20">
        <v>24.63</v>
      </c>
      <c r="BN1057" s="20">
        <v>129.03</v>
      </c>
      <c r="BW1057" s="20">
        <v>-55.59</v>
      </c>
      <c r="BX1057" s="20">
        <v>-37.99</v>
      </c>
      <c r="BZ1057" s="20">
        <v>-38.17</v>
      </c>
      <c r="CA1057" s="20">
        <v>169.27</v>
      </c>
      <c r="CO1057" s="20">
        <v>-1.57</v>
      </c>
      <c r="CP1057" s="20">
        <v>-43.27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17</v>
      </c>
      <c r="M1058" s="20">
        <v>-36.0</v>
      </c>
      <c r="N1058" s="20">
        <v>0.1</v>
      </c>
      <c r="P1058" s="20">
        <v>-3.83</v>
      </c>
      <c r="Q1058" s="20">
        <v>-5.16</v>
      </c>
      <c r="AG1058" s="43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17</v>
      </c>
      <c r="AO1058" s="20">
        <v>5.83</v>
      </c>
      <c r="AP1058" s="20">
        <v>-4.21</v>
      </c>
      <c r="AS1058" s="20">
        <v>532.0</v>
      </c>
      <c r="AT1058" s="20" t="s">
        <v>17</v>
      </c>
      <c r="AU1058" s="20">
        <v>38.14</v>
      </c>
      <c r="AV1058" s="20">
        <v>-48.76</v>
      </c>
      <c r="BE1058" s="43">
        <v>1056.0</v>
      </c>
      <c r="BF1058" s="20" t="s">
        <v>14</v>
      </c>
      <c r="BG1058" s="20">
        <v>-0.59</v>
      </c>
      <c r="BH1058" s="20">
        <v>-19.21</v>
      </c>
      <c r="BM1058" s="20">
        <v>-18.61</v>
      </c>
      <c r="BN1058" s="20">
        <v>59.38</v>
      </c>
      <c r="BW1058" s="20">
        <v>-67.68</v>
      </c>
      <c r="BX1058" s="20">
        <v>-39.47</v>
      </c>
      <c r="BZ1058" s="20">
        <v>-12.31</v>
      </c>
      <c r="CA1058" s="20">
        <v>-16.48</v>
      </c>
      <c r="CO1058" s="20">
        <v>12.95</v>
      </c>
      <c r="CP1058" s="20">
        <v>-38.62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P1059" s="20">
        <v>32.26</v>
      </c>
      <c r="Q1059" s="20">
        <v>38.93</v>
      </c>
      <c r="AG1059" s="43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3">
        <v>1057.0</v>
      </c>
      <c r="BF1059" s="20" t="s">
        <v>14</v>
      </c>
      <c r="BG1059" s="20">
        <v>-0.3</v>
      </c>
      <c r="BH1059" s="20">
        <v>9.9</v>
      </c>
      <c r="BM1059" s="20">
        <v>102.9</v>
      </c>
      <c r="BN1059" s="20">
        <v>71.62</v>
      </c>
      <c r="BW1059" s="20">
        <v>-81.87</v>
      </c>
      <c r="BX1059" s="20">
        <v>-24.24</v>
      </c>
      <c r="BZ1059" s="20">
        <v>-13.96</v>
      </c>
      <c r="CA1059" s="20">
        <v>59.3</v>
      </c>
      <c r="CO1059" s="20">
        <v>-51.76</v>
      </c>
      <c r="CP1059" s="20">
        <v>-63.86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17</v>
      </c>
      <c r="M1060" s="20">
        <v>-26.89</v>
      </c>
      <c r="N1060" s="20">
        <v>13.1</v>
      </c>
      <c r="P1060" s="20">
        <v>44.03</v>
      </c>
      <c r="Q1060" s="20">
        <v>125.64</v>
      </c>
      <c r="AG1060" s="43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17</v>
      </c>
      <c r="AO1060" s="20">
        <v>-17.01</v>
      </c>
      <c r="AP1060" s="20">
        <v>5.31</v>
      </c>
      <c r="AS1060" s="20">
        <v>533.0</v>
      </c>
      <c r="AT1060" s="20" t="s">
        <v>17</v>
      </c>
      <c r="AU1060" s="20">
        <v>13.07</v>
      </c>
      <c r="AV1060" s="20">
        <v>-66.42</v>
      </c>
      <c r="BE1060" s="43">
        <v>1058.0</v>
      </c>
      <c r="BF1060" s="20" t="s">
        <v>14</v>
      </c>
      <c r="BG1060" s="20">
        <v>63.85</v>
      </c>
      <c r="BH1060" s="20">
        <v>5.4</v>
      </c>
      <c r="BM1060" s="20">
        <v>50.0</v>
      </c>
      <c r="BN1060" s="20">
        <v>26.34</v>
      </c>
      <c r="BW1060" s="20">
        <v>-52.24</v>
      </c>
      <c r="BX1060" s="20">
        <v>-20.26</v>
      </c>
      <c r="BZ1060" s="20">
        <v>-66.71</v>
      </c>
      <c r="CA1060" s="20">
        <v>54.35</v>
      </c>
      <c r="CO1060" s="20">
        <v>16.95</v>
      </c>
      <c r="CP1060" s="20">
        <v>-46.97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P1061" s="20">
        <v>25.27</v>
      </c>
      <c r="Q1061" s="20">
        <v>39.42</v>
      </c>
      <c r="AG1061" s="43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3">
        <v>1059.0</v>
      </c>
      <c r="BF1061" s="20" t="s">
        <v>14</v>
      </c>
      <c r="BG1061" s="20">
        <v>42.77</v>
      </c>
      <c r="BH1061" s="20">
        <v>27.68</v>
      </c>
      <c r="BM1061" s="20">
        <v>53.07</v>
      </c>
      <c r="BN1061" s="20">
        <v>51.32</v>
      </c>
      <c r="BW1061" s="20">
        <v>-21.81</v>
      </c>
      <c r="BX1061" s="20">
        <v>-31.81</v>
      </c>
      <c r="BZ1061" s="20">
        <v>-45.04</v>
      </c>
      <c r="CA1061" s="20">
        <v>17.95</v>
      </c>
      <c r="CO1061" s="20">
        <v>26.48</v>
      </c>
      <c r="CP1061" s="20">
        <v>-47.04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17</v>
      </c>
      <c r="M1062" s="20">
        <v>-9.48</v>
      </c>
      <c r="N1062" s="20">
        <v>8.73</v>
      </c>
      <c r="P1062" s="20">
        <v>-10.51</v>
      </c>
      <c r="Q1062" s="20">
        <v>-15.87</v>
      </c>
      <c r="AG1062" s="43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17</v>
      </c>
      <c r="AO1062" s="20">
        <v>10.57</v>
      </c>
      <c r="AP1062" s="20">
        <v>-0.46</v>
      </c>
      <c r="AS1062" s="20">
        <v>534.0</v>
      </c>
      <c r="AT1062" s="20" t="s">
        <v>17</v>
      </c>
      <c r="AU1062" s="20">
        <v>-3.8</v>
      </c>
      <c r="AV1062" s="20">
        <v>-8.07</v>
      </c>
      <c r="BE1062" s="43">
        <v>1060.0</v>
      </c>
      <c r="BF1062" s="20" t="s">
        <v>14</v>
      </c>
      <c r="BG1062" s="20">
        <v>9.85</v>
      </c>
      <c r="BH1062" s="20">
        <v>60.83</v>
      </c>
      <c r="BM1062" s="20">
        <v>15.26</v>
      </c>
      <c r="BN1062" s="20">
        <v>60.43</v>
      </c>
      <c r="BW1062" s="20">
        <v>-49.61</v>
      </c>
      <c r="BX1062" s="20">
        <v>-5.63</v>
      </c>
      <c r="BZ1062" s="20">
        <v>-63.0</v>
      </c>
      <c r="CA1062" s="20">
        <v>-1.47</v>
      </c>
      <c r="CO1062" s="20">
        <v>28.37</v>
      </c>
      <c r="CP1062" s="20">
        <v>-36.34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P1063" s="20">
        <v>30.74</v>
      </c>
      <c r="Q1063" s="20">
        <v>27.84</v>
      </c>
      <c r="AG1063" s="43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3">
        <v>1061.0</v>
      </c>
      <c r="BF1063" s="20" t="s">
        <v>14</v>
      </c>
      <c r="BG1063" s="20">
        <v>34.31</v>
      </c>
      <c r="BH1063" s="20">
        <v>-4.78</v>
      </c>
      <c r="BM1063" s="20">
        <v>5.23</v>
      </c>
      <c r="BN1063" s="20">
        <v>28.5</v>
      </c>
      <c r="BW1063" s="20">
        <v>-72.83</v>
      </c>
      <c r="BX1063" s="20">
        <v>-29.55</v>
      </c>
      <c r="BZ1063" s="20">
        <v>-26.71</v>
      </c>
      <c r="CA1063" s="20">
        <v>2.06</v>
      </c>
      <c r="CO1063" s="20">
        <v>-16.7</v>
      </c>
      <c r="CP1063" s="20">
        <v>-55.65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17</v>
      </c>
      <c r="M1064" s="20">
        <v>14.67</v>
      </c>
      <c r="N1064" s="20">
        <v>29.08</v>
      </c>
      <c r="P1064" s="20">
        <v>2.17</v>
      </c>
      <c r="Q1064" s="20">
        <v>28.27</v>
      </c>
      <c r="AG1064" s="43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17</v>
      </c>
      <c r="AO1064" s="20">
        <v>-31.1</v>
      </c>
      <c r="AP1064" s="20">
        <v>-30.06</v>
      </c>
      <c r="AS1064" s="20">
        <v>535.0</v>
      </c>
      <c r="AT1064" s="20" t="s">
        <v>17</v>
      </c>
      <c r="AU1064" s="20">
        <v>-13.86</v>
      </c>
      <c r="AV1064" s="20">
        <v>-38.6</v>
      </c>
      <c r="BE1064" s="43">
        <v>1062.0</v>
      </c>
      <c r="BF1064" s="20" t="s">
        <v>14</v>
      </c>
      <c r="BG1064" s="20">
        <v>45.84</v>
      </c>
      <c r="BH1064" s="20">
        <v>-10.52</v>
      </c>
      <c r="BM1064" s="20">
        <v>33.05</v>
      </c>
      <c r="BN1064" s="20">
        <v>79.04</v>
      </c>
      <c r="BW1064" s="20">
        <v>-69.19</v>
      </c>
      <c r="BX1064" s="20">
        <v>-42.85</v>
      </c>
      <c r="BZ1064" s="20">
        <v>-52.81</v>
      </c>
      <c r="CA1064" s="20">
        <v>-24.88</v>
      </c>
      <c r="CO1064" s="20">
        <v>-2.8</v>
      </c>
      <c r="CP1064" s="20">
        <v>-52.9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P1065" s="20">
        <v>-8.47</v>
      </c>
      <c r="Q1065" s="20">
        <v>22.19</v>
      </c>
      <c r="AG1065" s="43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3">
        <v>1063.0</v>
      </c>
      <c r="BF1065" s="20" t="s">
        <v>14</v>
      </c>
      <c r="BG1065" s="20">
        <v>-24.94</v>
      </c>
      <c r="BH1065" s="20">
        <v>63.02</v>
      </c>
      <c r="BM1065" s="20">
        <v>1.86</v>
      </c>
      <c r="BN1065" s="20">
        <v>63.73</v>
      </c>
      <c r="BW1065" s="20">
        <v>-21.27</v>
      </c>
      <c r="BX1065" s="20">
        <v>-35.82</v>
      </c>
      <c r="BZ1065" s="20">
        <v>-43.72</v>
      </c>
      <c r="CA1065" s="20">
        <v>15.53</v>
      </c>
      <c r="CO1065" s="20">
        <v>-0.18</v>
      </c>
      <c r="CP1065" s="20">
        <v>-50.68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17</v>
      </c>
      <c r="M1066" s="20">
        <v>58.91</v>
      </c>
      <c r="N1066" s="20">
        <v>-24.04</v>
      </c>
      <c r="P1066" s="20">
        <v>-29.77</v>
      </c>
      <c r="Q1066" s="20">
        <v>-68.72</v>
      </c>
      <c r="AG1066" s="43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17</v>
      </c>
      <c r="AO1066" s="20">
        <v>37.16</v>
      </c>
      <c r="AP1066" s="20">
        <v>-14.39</v>
      </c>
      <c r="AS1066" s="20">
        <v>536.0</v>
      </c>
      <c r="AT1066" s="20" t="s">
        <v>17</v>
      </c>
      <c r="AU1066" s="20">
        <v>-8.89</v>
      </c>
      <c r="AV1066" s="20">
        <v>-44.1</v>
      </c>
      <c r="BE1066" s="43">
        <v>1064.0</v>
      </c>
      <c r="BF1066" s="20" t="s">
        <v>14</v>
      </c>
      <c r="BG1066" s="20">
        <v>11.15</v>
      </c>
      <c r="BH1066" s="20">
        <v>46.22</v>
      </c>
      <c r="BM1066" s="20">
        <v>-0.5</v>
      </c>
      <c r="BN1066" s="20">
        <v>204.18</v>
      </c>
      <c r="BW1066" s="20">
        <v>-39.21</v>
      </c>
      <c r="BX1066" s="20">
        <v>-31.24</v>
      </c>
      <c r="BZ1066" s="20">
        <v>-61.44</v>
      </c>
      <c r="CA1066" s="20">
        <v>49.29</v>
      </c>
      <c r="CO1066" s="20">
        <v>-51.42</v>
      </c>
      <c r="CP1066" s="20">
        <v>-59.41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P1067" s="20">
        <v>0.94</v>
      </c>
      <c r="Q1067" s="20">
        <v>78.67</v>
      </c>
      <c r="AG1067" s="43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3">
        <v>1065.0</v>
      </c>
      <c r="BF1067" s="20" t="s">
        <v>14</v>
      </c>
      <c r="BG1067" s="20">
        <v>17.21</v>
      </c>
      <c r="BH1067" s="20">
        <v>15.7</v>
      </c>
      <c r="BM1067" s="20">
        <v>23.17</v>
      </c>
      <c r="BN1067" s="20">
        <v>69.8</v>
      </c>
      <c r="BW1067" s="20">
        <v>-40.88</v>
      </c>
      <c r="BX1067" s="20">
        <v>-7.56</v>
      </c>
      <c r="BZ1067" s="20">
        <v>-20.31</v>
      </c>
      <c r="CA1067" s="20">
        <v>51.3</v>
      </c>
      <c r="CO1067" s="20">
        <v>-30.5</v>
      </c>
      <c r="CP1067" s="20">
        <v>-59.4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17</v>
      </c>
      <c r="M1068" s="20">
        <v>-6.36</v>
      </c>
      <c r="N1068" s="20">
        <v>-0.61</v>
      </c>
      <c r="P1068" s="20">
        <v>-25.95</v>
      </c>
      <c r="Q1068" s="20">
        <v>42.56</v>
      </c>
      <c r="AG1068" s="43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17</v>
      </c>
      <c r="AO1068" s="20">
        <v>-4.48</v>
      </c>
      <c r="AP1068" s="20">
        <v>-23.98</v>
      </c>
      <c r="AS1068" s="20">
        <v>537.0</v>
      </c>
      <c r="AT1068" s="20" t="s">
        <v>17</v>
      </c>
      <c r="AU1068" s="20">
        <v>-2.94</v>
      </c>
      <c r="AV1068" s="20">
        <v>-38.44</v>
      </c>
      <c r="BE1068" s="43">
        <v>1066.0</v>
      </c>
      <c r="BF1068" s="20" t="s">
        <v>14</v>
      </c>
      <c r="BG1068" s="20">
        <v>-33.75</v>
      </c>
      <c r="BH1068" s="20">
        <v>111.25</v>
      </c>
      <c r="BM1068" s="20">
        <v>-70.72</v>
      </c>
      <c r="BN1068" s="20">
        <v>-49.38</v>
      </c>
      <c r="BW1068" s="20">
        <v>-46.71</v>
      </c>
      <c r="BX1068" s="20">
        <v>-37.12</v>
      </c>
      <c r="BZ1068" s="20">
        <v>-67.61</v>
      </c>
      <c r="CA1068" s="20">
        <v>32.46</v>
      </c>
      <c r="CO1068" s="20">
        <v>-7.96</v>
      </c>
      <c r="CP1068" s="20">
        <v>-29.5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P1069" s="20">
        <v>10.68</v>
      </c>
      <c r="Q1069" s="20">
        <v>45.9</v>
      </c>
      <c r="AG1069" s="43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3">
        <v>1067.0</v>
      </c>
      <c r="BF1069" s="20" t="s">
        <v>14</v>
      </c>
      <c r="BG1069" s="20">
        <v>2.74</v>
      </c>
      <c r="BH1069" s="20">
        <v>26.69</v>
      </c>
      <c r="BM1069" s="20">
        <v>39.37</v>
      </c>
      <c r="BN1069" s="20">
        <v>38.2</v>
      </c>
      <c r="BW1069" s="20">
        <v>-43.01</v>
      </c>
      <c r="BX1069" s="20">
        <v>-20.96</v>
      </c>
      <c r="BZ1069" s="20">
        <v>-31.12</v>
      </c>
      <c r="CA1069" s="20">
        <v>41.56</v>
      </c>
      <c r="CO1069" s="20">
        <v>-5.8</v>
      </c>
      <c r="CP1069" s="20">
        <v>-58.73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17</v>
      </c>
      <c r="M1070" s="20">
        <v>34.19</v>
      </c>
      <c r="N1070" s="20">
        <v>24.05</v>
      </c>
      <c r="P1070" s="20">
        <v>-14.14</v>
      </c>
      <c r="Q1070" s="20">
        <v>33.53</v>
      </c>
      <c r="AG1070" s="43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17</v>
      </c>
      <c r="AO1070" s="20">
        <v>5.16</v>
      </c>
      <c r="AP1070" s="20">
        <v>-24.76</v>
      </c>
      <c r="AS1070" s="20">
        <v>538.0</v>
      </c>
      <c r="AT1070" s="20" t="s">
        <v>17</v>
      </c>
      <c r="AU1070" s="20">
        <v>6.72</v>
      </c>
      <c r="AV1070" s="20">
        <v>-47.11</v>
      </c>
      <c r="BE1070" s="43">
        <v>1068.0</v>
      </c>
      <c r="BF1070" s="20" t="s">
        <v>14</v>
      </c>
      <c r="BG1070" s="20">
        <v>38.06</v>
      </c>
      <c r="BH1070" s="20">
        <v>38.8</v>
      </c>
      <c r="BM1070" s="20">
        <v>38.05</v>
      </c>
      <c r="BN1070" s="20">
        <v>29.54</v>
      </c>
      <c r="BW1070" s="20">
        <v>-27.65</v>
      </c>
      <c r="BX1070" s="20">
        <v>-50.78</v>
      </c>
      <c r="BZ1070" s="20">
        <v>-52.03</v>
      </c>
      <c r="CA1070" s="20">
        <v>6.29</v>
      </c>
      <c r="CO1070" s="20">
        <v>-18.62</v>
      </c>
      <c r="CP1070" s="20">
        <v>-59.76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P1071" s="20">
        <v>0.73</v>
      </c>
      <c r="Q1071" s="20">
        <v>86.51</v>
      </c>
      <c r="AG1071" s="43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3">
        <v>1069.0</v>
      </c>
      <c r="BF1071" s="20" t="s">
        <v>14</v>
      </c>
      <c r="BG1071" s="20">
        <v>40.26</v>
      </c>
      <c r="BH1071" s="20">
        <v>-14.17</v>
      </c>
      <c r="BM1071" s="20">
        <v>44.6</v>
      </c>
      <c r="BN1071" s="20">
        <v>89.0</v>
      </c>
      <c r="BW1071" s="20">
        <v>-60.07</v>
      </c>
      <c r="BX1071" s="20">
        <v>-55.88</v>
      </c>
      <c r="BZ1071" s="20">
        <v>-36.94</v>
      </c>
      <c r="CA1071" s="20">
        <v>25.5</v>
      </c>
      <c r="CO1071" s="20">
        <v>-24.03</v>
      </c>
      <c r="CP1071" s="20">
        <v>-35.96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17</v>
      </c>
      <c r="M1072" s="20">
        <v>46.09</v>
      </c>
      <c r="N1072" s="20">
        <v>36.05</v>
      </c>
      <c r="P1072" s="20">
        <v>8.18</v>
      </c>
      <c r="Q1072" s="20">
        <v>41.71</v>
      </c>
      <c r="AG1072" s="43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17</v>
      </c>
      <c r="AO1072" s="20">
        <v>-13.29</v>
      </c>
      <c r="AP1072" s="20">
        <v>4.02</v>
      </c>
      <c r="AS1072" s="20">
        <v>539.0</v>
      </c>
      <c r="AT1072" s="20" t="s">
        <v>17</v>
      </c>
      <c r="AU1072" s="20">
        <v>-0.57</v>
      </c>
      <c r="AV1072" s="20">
        <v>-45.06</v>
      </c>
      <c r="BE1072" s="43">
        <v>1070.0</v>
      </c>
      <c r="BF1072" s="20" t="s">
        <v>14</v>
      </c>
      <c r="BG1072" s="20">
        <v>19.48</v>
      </c>
      <c r="BH1072" s="20">
        <v>-15.69</v>
      </c>
      <c r="BM1072" s="20">
        <v>-5.56</v>
      </c>
      <c r="BN1072" s="20">
        <v>175.73</v>
      </c>
      <c r="BW1072" s="20">
        <v>-57.86</v>
      </c>
      <c r="BX1072" s="20">
        <v>-10.48</v>
      </c>
      <c r="BZ1072" s="20">
        <v>-29.83</v>
      </c>
      <c r="CA1072" s="20">
        <v>62.32</v>
      </c>
      <c r="CO1072" s="20">
        <v>-8.46</v>
      </c>
      <c r="CP1072" s="20">
        <v>-54.52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P1073" s="20">
        <v>2.45</v>
      </c>
      <c r="Q1073" s="20">
        <v>29.21</v>
      </c>
      <c r="AG1073" s="43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3">
        <v>1071.0</v>
      </c>
      <c r="BF1073" s="20" t="s">
        <v>14</v>
      </c>
      <c r="BG1073" s="20">
        <v>72.8</v>
      </c>
      <c r="BH1073" s="20">
        <v>43.98</v>
      </c>
      <c r="BM1073" s="20">
        <v>83.86</v>
      </c>
      <c r="BN1073" s="20">
        <v>112.96</v>
      </c>
      <c r="BW1073" s="20">
        <v>-47.81</v>
      </c>
      <c r="BX1073" s="20">
        <v>-4.28</v>
      </c>
      <c r="BZ1073" s="20">
        <v>-45.51</v>
      </c>
      <c r="CA1073" s="20">
        <v>8.16</v>
      </c>
      <c r="CO1073" s="20">
        <v>-22.44</v>
      </c>
      <c r="CP1073" s="20">
        <v>-47.6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17</v>
      </c>
      <c r="M1074" s="20">
        <v>-17.26</v>
      </c>
      <c r="N1074" s="20">
        <v>-13.52</v>
      </c>
      <c r="P1074" s="20">
        <v>-1.0</v>
      </c>
      <c r="Q1074" s="20">
        <v>22.2</v>
      </c>
      <c r="AG1074" s="43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17</v>
      </c>
      <c r="AO1074" s="20">
        <v>28.58</v>
      </c>
      <c r="AP1074" s="20">
        <v>-15.98</v>
      </c>
      <c r="AS1074" s="20">
        <v>540.0</v>
      </c>
      <c r="AT1074" s="20" t="s">
        <v>17</v>
      </c>
      <c r="AU1074" s="20">
        <v>20.92</v>
      </c>
      <c r="AV1074" s="20">
        <v>-8.55</v>
      </c>
      <c r="BE1074" s="43">
        <v>1072.0</v>
      </c>
      <c r="BF1074" s="20" t="s">
        <v>14</v>
      </c>
      <c r="BG1074" s="20">
        <v>-13.0</v>
      </c>
      <c r="BH1074" s="20">
        <v>8.33</v>
      </c>
      <c r="BM1074" s="20">
        <v>13.2</v>
      </c>
      <c r="BN1074" s="20">
        <v>71.66</v>
      </c>
      <c r="BW1074" s="20">
        <v>-56.26</v>
      </c>
      <c r="BX1074" s="20">
        <v>16.58</v>
      </c>
      <c r="BZ1074" s="20">
        <v>-44.69</v>
      </c>
      <c r="CA1074" s="20">
        <v>13.61</v>
      </c>
      <c r="CO1074" s="20">
        <v>13.76</v>
      </c>
      <c r="CP1074" s="20">
        <v>-69.88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P1075" s="20">
        <v>4.01</v>
      </c>
      <c r="Q1075" s="20">
        <v>-10.61</v>
      </c>
      <c r="AG1075" s="43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3">
        <v>1073.0</v>
      </c>
      <c r="BF1075" s="20" t="s">
        <v>14</v>
      </c>
      <c r="BG1075" s="20">
        <v>66.57</v>
      </c>
      <c r="BH1075" s="20">
        <v>3.98</v>
      </c>
      <c r="BM1075" s="20">
        <v>44.96</v>
      </c>
      <c r="BN1075" s="20">
        <v>85.67</v>
      </c>
      <c r="BW1075" s="20">
        <v>-37.34</v>
      </c>
      <c r="BX1075" s="20">
        <v>-13.11</v>
      </c>
      <c r="BZ1075" s="20">
        <v>-40.11</v>
      </c>
      <c r="CA1075" s="20">
        <v>60.52</v>
      </c>
      <c r="CO1075" s="20">
        <v>-19.46</v>
      </c>
      <c r="CP1075" s="20">
        <v>-42.28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17</v>
      </c>
      <c r="M1076" s="20">
        <v>-51.51</v>
      </c>
      <c r="N1076" s="20">
        <v>7.74</v>
      </c>
      <c r="P1076" s="20">
        <v>25.86</v>
      </c>
      <c r="Q1076" s="20">
        <v>30.18</v>
      </c>
      <c r="AG1076" s="43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17</v>
      </c>
      <c r="AO1076" s="20">
        <v>-34.53</v>
      </c>
      <c r="AP1076" s="20">
        <v>-35.01</v>
      </c>
      <c r="AS1076" s="20">
        <v>541.0</v>
      </c>
      <c r="AT1076" s="20" t="s">
        <v>17</v>
      </c>
      <c r="AU1076" s="20">
        <v>-5.5</v>
      </c>
      <c r="AV1076" s="20">
        <v>-53.99</v>
      </c>
      <c r="BE1076" s="43">
        <v>1074.0</v>
      </c>
      <c r="BF1076" s="20" t="s">
        <v>14</v>
      </c>
      <c r="BG1076" s="20">
        <v>43.63</v>
      </c>
      <c r="BH1076" s="20">
        <v>-6.4</v>
      </c>
      <c r="BM1076" s="20">
        <v>42.73</v>
      </c>
      <c r="BN1076" s="20">
        <v>54.14</v>
      </c>
      <c r="BW1076" s="20">
        <v>-45.65</v>
      </c>
      <c r="BX1076" s="20">
        <v>-5.73</v>
      </c>
      <c r="BZ1076" s="20">
        <v>-60.87</v>
      </c>
      <c r="CA1076" s="20">
        <v>-34.04</v>
      </c>
      <c r="CO1076" s="20">
        <v>8.46</v>
      </c>
      <c r="CP1076" s="20">
        <v>-58.74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P1077" s="20">
        <v>8.98</v>
      </c>
      <c r="Q1077" s="20">
        <v>10.58</v>
      </c>
      <c r="AG1077" s="43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3">
        <v>1075.0</v>
      </c>
      <c r="BF1077" s="20" t="s">
        <v>14</v>
      </c>
      <c r="BG1077" s="20">
        <v>11.74</v>
      </c>
      <c r="BH1077" s="20">
        <v>79.29</v>
      </c>
      <c r="BM1077" s="20">
        <v>50.25</v>
      </c>
      <c r="BN1077" s="20">
        <v>96.12</v>
      </c>
      <c r="BW1077" s="20">
        <v>-44.14</v>
      </c>
      <c r="BX1077" s="20">
        <v>-40.86</v>
      </c>
      <c r="BZ1077" s="20">
        <v>-27.28</v>
      </c>
      <c r="CA1077" s="20">
        <v>45.76</v>
      </c>
      <c r="CO1077" s="20">
        <v>-7.85</v>
      </c>
      <c r="CP1077" s="20">
        <v>-62.09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17</v>
      </c>
      <c r="M1078" s="20">
        <v>18.65</v>
      </c>
      <c r="N1078" s="20">
        <v>22.39</v>
      </c>
      <c r="P1078" s="20">
        <v>12.46</v>
      </c>
      <c r="Q1078" s="20">
        <v>-11.73</v>
      </c>
      <c r="AG1078" s="43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17</v>
      </c>
      <c r="AO1078" s="20">
        <v>-7.18</v>
      </c>
      <c r="AP1078" s="20">
        <v>-34.79</v>
      </c>
      <c r="AS1078" s="20">
        <v>542.0</v>
      </c>
      <c r="AT1078" s="20" t="s">
        <v>17</v>
      </c>
      <c r="AU1078" s="20">
        <v>-24.47</v>
      </c>
      <c r="AV1078" s="20">
        <v>-34.78</v>
      </c>
      <c r="BE1078" s="43">
        <v>1076.0</v>
      </c>
      <c r="BF1078" s="20" t="s">
        <v>14</v>
      </c>
      <c r="BG1078" s="20">
        <v>21.47</v>
      </c>
      <c r="BH1078" s="20">
        <v>5.64</v>
      </c>
      <c r="BM1078" s="20">
        <v>42.69</v>
      </c>
      <c r="BN1078" s="20">
        <v>79.68</v>
      </c>
      <c r="BW1078" s="20">
        <v>-41.74</v>
      </c>
      <c r="BX1078" s="20">
        <v>-13.46</v>
      </c>
      <c r="BZ1078" s="20">
        <v>-54.69</v>
      </c>
      <c r="CA1078" s="20">
        <v>7.52</v>
      </c>
      <c r="CO1078" s="20">
        <v>61.64</v>
      </c>
      <c r="CP1078" s="20">
        <v>-55.83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P1079" s="20">
        <v>-24.46</v>
      </c>
      <c r="Q1079" s="20">
        <v>1.44</v>
      </c>
      <c r="AG1079" s="43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3">
        <v>1077.0</v>
      </c>
      <c r="BF1079" s="20" t="s">
        <v>14</v>
      </c>
      <c r="BG1079" s="20">
        <v>7.77</v>
      </c>
      <c r="BH1079" s="20">
        <v>28.83</v>
      </c>
      <c r="BM1079" s="20">
        <v>55.49</v>
      </c>
      <c r="BN1079" s="20">
        <v>62.22</v>
      </c>
      <c r="BW1079" s="20">
        <v>-42.47</v>
      </c>
      <c r="BX1079" s="20">
        <v>-35.96</v>
      </c>
      <c r="BZ1079" s="20">
        <v>-39.12</v>
      </c>
      <c r="CA1079" s="20">
        <v>21.28</v>
      </c>
      <c r="CO1079" s="20">
        <v>-39.77</v>
      </c>
      <c r="CP1079" s="20">
        <v>-70.35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17</v>
      </c>
      <c r="M1080" s="20">
        <v>74.88</v>
      </c>
      <c r="N1080" s="20">
        <v>172.19</v>
      </c>
      <c r="P1080" s="20">
        <v>-17.31</v>
      </c>
      <c r="Q1080" s="20">
        <v>28.21</v>
      </c>
      <c r="AG1080" s="43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17</v>
      </c>
      <c r="AO1080" s="20">
        <v>-21.89</v>
      </c>
      <c r="AP1080" s="20">
        <v>-28.07</v>
      </c>
      <c r="AS1080" s="20">
        <v>543.0</v>
      </c>
      <c r="AT1080" s="20" t="s">
        <v>17</v>
      </c>
      <c r="AU1080" s="20">
        <v>-8.78</v>
      </c>
      <c r="AV1080" s="20">
        <v>-39.38</v>
      </c>
      <c r="BE1080" s="43">
        <v>1078.0</v>
      </c>
      <c r="BF1080" s="20" t="s">
        <v>14</v>
      </c>
      <c r="BG1080" s="20">
        <v>15.29</v>
      </c>
      <c r="BH1080" s="20">
        <v>15.67</v>
      </c>
      <c r="BM1080" s="20">
        <v>56.55</v>
      </c>
      <c r="BN1080" s="20">
        <v>127.13</v>
      </c>
      <c r="BW1080" s="20">
        <v>-48.27</v>
      </c>
      <c r="BX1080" s="20">
        <v>-36.95</v>
      </c>
      <c r="BZ1080" s="20">
        <v>-47.65</v>
      </c>
      <c r="CA1080" s="20">
        <v>123.34</v>
      </c>
      <c r="CO1080" s="20">
        <v>-31.42</v>
      </c>
      <c r="CP1080" s="20">
        <v>-54.27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P1081" s="20">
        <v>-21.95</v>
      </c>
      <c r="Q1081" s="20">
        <v>4.25</v>
      </c>
      <c r="AG1081" s="43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3">
        <v>1079.0</v>
      </c>
      <c r="BF1081" s="20" t="s">
        <v>14</v>
      </c>
      <c r="BG1081" s="20">
        <v>-6.05</v>
      </c>
      <c r="BH1081" s="20">
        <v>51.05</v>
      </c>
      <c r="BM1081" s="20">
        <v>33.52</v>
      </c>
      <c r="BN1081" s="20">
        <v>90.63</v>
      </c>
      <c r="BW1081" s="20">
        <v>-60.9</v>
      </c>
      <c r="BX1081" s="20">
        <v>-21.54</v>
      </c>
      <c r="BZ1081" s="20">
        <v>-41.07</v>
      </c>
      <c r="CA1081" s="20">
        <v>49.01</v>
      </c>
      <c r="CO1081" s="20">
        <v>-13.07</v>
      </c>
      <c r="CP1081" s="20">
        <v>-51.36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17</v>
      </c>
      <c r="M1082" s="20">
        <v>-36.8</v>
      </c>
      <c r="N1082" s="20">
        <v>26.13</v>
      </c>
      <c r="P1082" s="20">
        <v>-4.48</v>
      </c>
      <c r="Q1082" s="20">
        <v>29.81</v>
      </c>
      <c r="AG1082" s="43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17</v>
      </c>
      <c r="AO1082" s="20">
        <v>-1.9</v>
      </c>
      <c r="AP1082" s="20">
        <v>-18.22</v>
      </c>
      <c r="AS1082" s="20">
        <v>544.0</v>
      </c>
      <c r="AT1082" s="20" t="s">
        <v>17</v>
      </c>
      <c r="AU1082" s="20">
        <v>-33.07</v>
      </c>
      <c r="AV1082" s="20">
        <v>-38.43</v>
      </c>
      <c r="BE1082" s="43">
        <v>1080.0</v>
      </c>
      <c r="BF1082" s="20" t="s">
        <v>14</v>
      </c>
      <c r="BG1082" s="20">
        <v>27.78</v>
      </c>
      <c r="BH1082" s="20">
        <v>17.32</v>
      </c>
      <c r="BM1082" s="20">
        <v>36.3</v>
      </c>
      <c r="BN1082" s="20">
        <v>120.1</v>
      </c>
      <c r="BW1082" s="20">
        <v>-48.84</v>
      </c>
      <c r="BX1082" s="20">
        <v>-25.87</v>
      </c>
      <c r="BZ1082" s="20">
        <v>-50.53</v>
      </c>
      <c r="CA1082" s="20">
        <v>107.0</v>
      </c>
      <c r="CO1082" s="20">
        <v>-28.46</v>
      </c>
      <c r="CP1082" s="20">
        <v>-60.34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P1083" s="20">
        <v>-5.66</v>
      </c>
      <c r="Q1083" s="20">
        <v>-0.65</v>
      </c>
      <c r="AG1083" s="43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3">
        <v>1081.0</v>
      </c>
      <c r="BF1083" s="20" t="s">
        <v>14</v>
      </c>
      <c r="BG1083" s="20">
        <v>9.47</v>
      </c>
      <c r="BH1083" s="20">
        <v>-33.32</v>
      </c>
      <c r="BM1083" s="20">
        <v>37.92</v>
      </c>
      <c r="BN1083" s="20">
        <v>41.81</v>
      </c>
      <c r="BW1083" s="20">
        <v>-53.76</v>
      </c>
      <c r="BX1083" s="20">
        <v>-10.99</v>
      </c>
      <c r="BZ1083" s="20">
        <v>-37.26</v>
      </c>
      <c r="CA1083" s="20">
        <v>112.66</v>
      </c>
      <c r="CO1083" s="20">
        <v>-19.1</v>
      </c>
      <c r="CP1083" s="20">
        <v>-50.99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17</v>
      </c>
      <c r="M1084" s="20">
        <v>11.54</v>
      </c>
      <c r="N1084" s="20">
        <v>-24.93</v>
      </c>
      <c r="P1084" s="20">
        <v>-15.12</v>
      </c>
      <c r="Q1084" s="20">
        <v>-2.35</v>
      </c>
      <c r="AG1084" s="43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17</v>
      </c>
      <c r="AO1084" s="20">
        <v>-31.76</v>
      </c>
      <c r="AP1084" s="20">
        <v>-42.86</v>
      </c>
      <c r="AS1084" s="20">
        <v>545.0</v>
      </c>
      <c r="AT1084" s="20" t="s">
        <v>17</v>
      </c>
      <c r="AU1084" s="20">
        <v>-22.7</v>
      </c>
      <c r="AV1084" s="20">
        <v>-27.67</v>
      </c>
      <c r="BE1084" s="43">
        <v>1082.0</v>
      </c>
      <c r="BF1084" s="20" t="s">
        <v>14</v>
      </c>
      <c r="BG1084" s="20">
        <v>0.21</v>
      </c>
      <c r="BH1084" s="20">
        <v>-41.08</v>
      </c>
      <c r="BM1084" s="20">
        <v>16.28</v>
      </c>
      <c r="BN1084" s="20">
        <v>90.92</v>
      </c>
      <c r="BW1084" s="20">
        <v>-48.51</v>
      </c>
      <c r="BX1084" s="20">
        <v>64.7</v>
      </c>
      <c r="BZ1084" s="20">
        <v>-63.82</v>
      </c>
      <c r="CA1084" s="20">
        <v>-0.02</v>
      </c>
      <c r="CO1084" s="20">
        <v>4.08</v>
      </c>
      <c r="CP1084" s="20">
        <v>-52.94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P1085" s="20">
        <v>26.74</v>
      </c>
      <c r="Q1085" s="20">
        <v>34.02</v>
      </c>
      <c r="AG1085" s="43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3">
        <v>1083.0</v>
      </c>
      <c r="BF1085" s="20" t="s">
        <v>14</v>
      </c>
      <c r="BG1085" s="20">
        <v>159.11</v>
      </c>
      <c r="BH1085" s="20">
        <v>1.63</v>
      </c>
      <c r="BM1085" s="20">
        <v>-5.58</v>
      </c>
      <c r="BN1085" s="20">
        <v>49.12</v>
      </c>
      <c r="BW1085" s="20">
        <v>-26.23</v>
      </c>
      <c r="BX1085" s="20">
        <v>-46.88</v>
      </c>
      <c r="BZ1085" s="20">
        <v>-26.29</v>
      </c>
      <c r="CA1085" s="20">
        <v>67.95</v>
      </c>
      <c r="CO1085" s="20">
        <v>26.71</v>
      </c>
      <c r="CP1085" s="20">
        <v>-62.97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17</v>
      </c>
      <c r="M1086" s="20">
        <v>21.11</v>
      </c>
      <c r="N1086" s="20">
        <v>44.38</v>
      </c>
      <c r="P1086" s="20">
        <v>-9.04</v>
      </c>
      <c r="Q1086" s="20">
        <v>0.86</v>
      </c>
      <c r="AG1086" s="43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17</v>
      </c>
      <c r="AO1086" s="20">
        <v>0.7</v>
      </c>
      <c r="AP1086" s="20">
        <v>12.62</v>
      </c>
      <c r="AS1086" s="20">
        <v>546.0</v>
      </c>
      <c r="AT1086" s="20" t="s">
        <v>17</v>
      </c>
      <c r="AU1086" s="20">
        <v>-12.6</v>
      </c>
      <c r="AV1086" s="20">
        <v>-49.84</v>
      </c>
      <c r="BE1086" s="43">
        <v>1084.0</v>
      </c>
      <c r="BF1086" s="20" t="s">
        <v>14</v>
      </c>
      <c r="BG1086" s="20">
        <v>-27.31</v>
      </c>
      <c r="BH1086" s="20">
        <v>-2.8</v>
      </c>
      <c r="BM1086" s="20">
        <v>7.66</v>
      </c>
      <c r="BN1086" s="20">
        <v>54.74</v>
      </c>
      <c r="BW1086" s="20">
        <v>-70.33</v>
      </c>
      <c r="BX1086" s="20">
        <v>-28.31</v>
      </c>
      <c r="BZ1086" s="20">
        <v>-54.17</v>
      </c>
      <c r="CA1086" s="20">
        <v>80.49</v>
      </c>
      <c r="CO1086" s="20">
        <v>-5.64</v>
      </c>
      <c r="CP1086" s="20">
        <v>-64.88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P1087" s="20">
        <v>-8.99</v>
      </c>
      <c r="Q1087" s="20">
        <v>17.72</v>
      </c>
      <c r="AG1087" s="43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3">
        <v>1085.0</v>
      </c>
      <c r="BF1087" s="20" t="s">
        <v>14</v>
      </c>
      <c r="BG1087" s="20">
        <v>3.68</v>
      </c>
      <c r="BH1087" s="20">
        <v>-12.42</v>
      </c>
      <c r="BM1087" s="20">
        <v>28.26</v>
      </c>
      <c r="BN1087" s="20">
        <v>48.4</v>
      </c>
      <c r="BW1087" s="20">
        <v>-41.85</v>
      </c>
      <c r="BX1087" s="20">
        <v>-27.45</v>
      </c>
      <c r="BZ1087" s="20">
        <v>-45.68</v>
      </c>
      <c r="CA1087" s="20">
        <v>65.13</v>
      </c>
      <c r="CO1087" s="20">
        <v>4.27</v>
      </c>
      <c r="CP1087" s="20">
        <v>-55.41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17</v>
      </c>
      <c r="M1088" s="20">
        <v>-14.57</v>
      </c>
      <c r="N1088" s="20">
        <v>14.26</v>
      </c>
      <c r="P1088" s="20">
        <v>-2.95</v>
      </c>
      <c r="Q1088" s="20">
        <v>24.25</v>
      </c>
      <c r="AG1088" s="43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17</v>
      </c>
      <c r="AO1088" s="20">
        <v>-12.81</v>
      </c>
      <c r="AP1088" s="20">
        <v>-14.26</v>
      </c>
      <c r="AS1088" s="20">
        <v>547.0</v>
      </c>
      <c r="AT1088" s="20" t="s">
        <v>17</v>
      </c>
      <c r="AU1088" s="20">
        <v>-51.16</v>
      </c>
      <c r="AV1088" s="20">
        <v>-64.5</v>
      </c>
      <c r="BE1088" s="43">
        <v>1086.0</v>
      </c>
      <c r="BF1088" s="20" t="s">
        <v>14</v>
      </c>
      <c r="BG1088" s="20">
        <v>11.12</v>
      </c>
      <c r="BH1088" s="20">
        <v>-5.65</v>
      </c>
      <c r="BM1088" s="20">
        <v>47.21</v>
      </c>
      <c r="BN1088" s="20">
        <v>21.28</v>
      </c>
      <c r="BW1088" s="20">
        <v>-50.31</v>
      </c>
      <c r="BX1088" s="20">
        <v>55.43</v>
      </c>
      <c r="BZ1088" s="20">
        <v>-26.72</v>
      </c>
      <c r="CA1088" s="20">
        <v>40.88</v>
      </c>
      <c r="CO1088" s="20">
        <v>-6.08</v>
      </c>
      <c r="CP1088" s="20">
        <v>-61.68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P1089" s="20">
        <v>1.9</v>
      </c>
      <c r="Q1089" s="20">
        <v>19.5</v>
      </c>
      <c r="AG1089" s="43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3">
        <v>1087.0</v>
      </c>
      <c r="BF1089" s="20" t="s">
        <v>14</v>
      </c>
      <c r="BG1089" s="20">
        <v>3.25</v>
      </c>
      <c r="BH1089" s="20">
        <v>23.02</v>
      </c>
      <c r="BM1089" s="20">
        <v>61.33</v>
      </c>
      <c r="BN1089" s="20">
        <v>71.86</v>
      </c>
      <c r="BW1089" s="20">
        <v>-63.72</v>
      </c>
      <c r="BX1089" s="20">
        <v>-46.29</v>
      </c>
      <c r="BZ1089" s="20">
        <v>-45.63</v>
      </c>
      <c r="CA1089" s="20">
        <v>15.08</v>
      </c>
      <c r="CO1089" s="20">
        <v>-10.28</v>
      </c>
      <c r="CP1089" s="20">
        <v>-59.15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17</v>
      </c>
      <c r="M1090" s="20">
        <v>4.2</v>
      </c>
      <c r="N1090" s="20">
        <v>60.99</v>
      </c>
      <c r="P1090" s="20">
        <v>-8.39</v>
      </c>
      <c r="Q1090" s="20">
        <v>14.53</v>
      </c>
      <c r="AG1090" s="43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17</v>
      </c>
      <c r="AO1090" s="20">
        <v>-20.87</v>
      </c>
      <c r="AP1090" s="20">
        <v>17.79</v>
      </c>
      <c r="AS1090" s="20">
        <v>548.0</v>
      </c>
      <c r="AT1090" s="20" t="s">
        <v>17</v>
      </c>
      <c r="AU1090" s="20">
        <v>-15.81</v>
      </c>
      <c r="AV1090" s="20">
        <v>-10.98</v>
      </c>
      <c r="BE1090" s="43">
        <v>1088.0</v>
      </c>
      <c r="BF1090" s="20" t="s">
        <v>14</v>
      </c>
      <c r="BG1090" s="20">
        <v>17.25</v>
      </c>
      <c r="BH1090" s="20">
        <v>-18.26</v>
      </c>
      <c r="BM1090" s="20">
        <v>56.31</v>
      </c>
      <c r="BN1090" s="20">
        <v>57.04</v>
      </c>
      <c r="BW1090" s="20">
        <v>-10.6</v>
      </c>
      <c r="BX1090" s="20">
        <v>-10.79</v>
      </c>
      <c r="BZ1090" s="20">
        <v>-51.72</v>
      </c>
      <c r="CA1090" s="20">
        <v>49.83</v>
      </c>
      <c r="CO1090" s="20">
        <v>-55.74</v>
      </c>
      <c r="CP1090" s="20">
        <v>-6.75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P1091" s="20">
        <v>-31.24</v>
      </c>
      <c r="Q1091" s="20">
        <v>-17.2</v>
      </c>
      <c r="AG1091" s="43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3">
        <v>1089.0</v>
      </c>
      <c r="BF1091" s="20" t="s">
        <v>14</v>
      </c>
      <c r="BG1091" s="20">
        <v>21.8</v>
      </c>
      <c r="BH1091" s="20">
        <v>4.77</v>
      </c>
      <c r="BM1091" s="20">
        <v>52.91</v>
      </c>
      <c r="BN1091" s="20">
        <v>81.19</v>
      </c>
      <c r="BW1091" s="20">
        <v>-16.31</v>
      </c>
      <c r="BX1091" s="20">
        <v>-23.59</v>
      </c>
      <c r="BZ1091" s="20">
        <v>-46.78</v>
      </c>
      <c r="CA1091" s="20">
        <v>35.36</v>
      </c>
      <c r="CO1091" s="20">
        <v>-45.31</v>
      </c>
      <c r="CP1091" s="20">
        <v>-57.38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17</v>
      </c>
      <c r="M1092" s="20">
        <v>-17.0</v>
      </c>
      <c r="N1092" s="20">
        <v>-15.04</v>
      </c>
      <c r="P1092" s="20">
        <v>-12.91</v>
      </c>
      <c r="Q1092" s="20">
        <v>16.64</v>
      </c>
      <c r="AG1092" s="43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17</v>
      </c>
      <c r="AO1092" s="20">
        <v>-3.11</v>
      </c>
      <c r="AP1092" s="20">
        <v>33.06</v>
      </c>
      <c r="AS1092" s="20">
        <v>549.0</v>
      </c>
      <c r="AT1092" s="20" t="s">
        <v>17</v>
      </c>
      <c r="AU1092" s="20">
        <v>-27.61</v>
      </c>
      <c r="AV1092" s="20">
        <v>-25.74</v>
      </c>
      <c r="BE1092" s="43">
        <v>1090.0</v>
      </c>
      <c r="BF1092" s="20" t="s">
        <v>14</v>
      </c>
      <c r="BG1092" s="20">
        <v>-29.33</v>
      </c>
      <c r="BH1092" s="20">
        <v>7.86</v>
      </c>
      <c r="BM1092" s="20">
        <v>60.9</v>
      </c>
      <c r="BN1092" s="20">
        <v>82.33</v>
      </c>
      <c r="BW1092" s="20">
        <v>-36.57</v>
      </c>
      <c r="BX1092" s="20">
        <v>-35.7</v>
      </c>
      <c r="BZ1092" s="20">
        <v>-58.06</v>
      </c>
      <c r="CA1092" s="20">
        <v>6.52</v>
      </c>
      <c r="CO1092" s="20">
        <v>-12.51</v>
      </c>
      <c r="CP1092" s="20">
        <v>-72.89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P1093" s="20">
        <v>-8.71</v>
      </c>
      <c r="Q1093" s="20">
        <v>64.68</v>
      </c>
      <c r="AG1093" s="43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3">
        <v>1091.0</v>
      </c>
      <c r="BF1093" s="20" t="s">
        <v>14</v>
      </c>
      <c r="BG1093" s="20">
        <v>37.15</v>
      </c>
      <c r="BH1093" s="20">
        <v>54.76</v>
      </c>
      <c r="BM1093" s="20">
        <v>44.6</v>
      </c>
      <c r="BN1093" s="20">
        <v>46.87</v>
      </c>
      <c r="BW1093" s="20">
        <v>-43.12</v>
      </c>
      <c r="BX1093" s="20">
        <v>-20.52</v>
      </c>
      <c r="BZ1093" s="20">
        <v>-48.3</v>
      </c>
      <c r="CA1093" s="20">
        <v>12.11</v>
      </c>
      <c r="CO1093" s="20">
        <v>-27.43</v>
      </c>
      <c r="CP1093" s="20">
        <v>-48.37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17</v>
      </c>
      <c r="M1094" s="20">
        <v>-21.64</v>
      </c>
      <c r="N1094" s="20">
        <v>-7.6</v>
      </c>
      <c r="P1094" s="20">
        <v>16.61</v>
      </c>
      <c r="Q1094" s="20">
        <v>53.1</v>
      </c>
      <c r="AG1094" s="43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17</v>
      </c>
      <c r="AO1094" s="20">
        <v>-5.38</v>
      </c>
      <c r="AP1094" s="20">
        <v>-28.56</v>
      </c>
      <c r="AS1094" s="20">
        <v>550.0</v>
      </c>
      <c r="AT1094" s="20" t="s">
        <v>17</v>
      </c>
      <c r="AU1094" s="20">
        <v>1.91</v>
      </c>
      <c r="AV1094" s="20">
        <v>-47.93</v>
      </c>
      <c r="BE1094" s="43">
        <v>1092.0</v>
      </c>
      <c r="BF1094" s="20" t="s">
        <v>14</v>
      </c>
      <c r="BG1094" s="20">
        <v>50.92</v>
      </c>
      <c r="BH1094" s="20">
        <v>50.81</v>
      </c>
      <c r="BM1094" s="20">
        <v>82.1</v>
      </c>
      <c r="BN1094" s="20">
        <v>76.0</v>
      </c>
      <c r="BW1094" s="20">
        <v>-54.31</v>
      </c>
      <c r="BX1094" s="20">
        <v>-17.76</v>
      </c>
      <c r="BZ1094" s="20">
        <v>-65.46</v>
      </c>
      <c r="CA1094" s="20">
        <v>17.26</v>
      </c>
      <c r="CO1094" s="20">
        <v>-48.56</v>
      </c>
      <c r="CP1094" s="20">
        <v>-18.11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P1095" s="20">
        <v>-29.57</v>
      </c>
      <c r="Q1095" s="20">
        <v>-8.98</v>
      </c>
      <c r="AG1095" s="43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3">
        <v>1093.0</v>
      </c>
      <c r="BF1095" s="20" t="s">
        <v>14</v>
      </c>
      <c r="BG1095" s="20">
        <v>1.21</v>
      </c>
      <c r="BH1095" s="20">
        <v>-6.64</v>
      </c>
      <c r="BM1095" s="20">
        <v>33.82</v>
      </c>
      <c r="BN1095" s="20">
        <v>45.1</v>
      </c>
      <c r="BW1095" s="20">
        <v>-43.6</v>
      </c>
      <c r="BX1095" s="20">
        <v>0.24</v>
      </c>
      <c r="BZ1095" s="20">
        <v>47.16</v>
      </c>
      <c r="CA1095" s="20">
        <v>-5.9</v>
      </c>
      <c r="CO1095" s="20">
        <v>-36.19</v>
      </c>
      <c r="CP1095" s="20">
        <v>-63.76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17</v>
      </c>
      <c r="M1096" s="20">
        <v>-14.07</v>
      </c>
      <c r="N1096" s="20">
        <v>34.65</v>
      </c>
      <c r="P1096" s="20">
        <v>-3.0</v>
      </c>
      <c r="Q1096" s="20">
        <v>-14.63</v>
      </c>
      <c r="AG1096" s="43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17</v>
      </c>
      <c r="AO1096" s="20">
        <v>-13.81</v>
      </c>
      <c r="AP1096" s="20">
        <v>-36.59</v>
      </c>
      <c r="AS1096" s="20">
        <v>551.0</v>
      </c>
      <c r="AT1096" s="20" t="s">
        <v>17</v>
      </c>
      <c r="AU1096" s="20">
        <v>-20.75</v>
      </c>
      <c r="AV1096" s="20">
        <v>-27.92</v>
      </c>
      <c r="BE1096" s="43">
        <v>1094.0</v>
      </c>
      <c r="BF1096" s="20" t="s">
        <v>14</v>
      </c>
      <c r="BG1096" s="20">
        <v>-25.23</v>
      </c>
      <c r="BH1096" s="20">
        <v>-16.35</v>
      </c>
      <c r="BM1096" s="20">
        <v>29.87</v>
      </c>
      <c r="BN1096" s="20">
        <v>56.51</v>
      </c>
      <c r="BW1096" s="20">
        <v>-51.66</v>
      </c>
      <c r="BX1096" s="20">
        <v>-10.12</v>
      </c>
      <c r="BZ1096" s="20">
        <v>-12.14</v>
      </c>
      <c r="CA1096" s="20">
        <v>11.81</v>
      </c>
      <c r="CO1096" s="20">
        <v>-28.99</v>
      </c>
      <c r="CP1096" s="20">
        <v>-45.95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P1097" s="20">
        <v>-17.18</v>
      </c>
      <c r="Q1097" s="20">
        <v>2.81</v>
      </c>
      <c r="AG1097" s="43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3">
        <v>1095.0</v>
      </c>
      <c r="BF1097" s="20" t="s">
        <v>14</v>
      </c>
      <c r="BG1097" s="20">
        <v>-25.54</v>
      </c>
      <c r="BH1097" s="20">
        <v>2.85</v>
      </c>
      <c r="BM1097" s="20">
        <v>50.64</v>
      </c>
      <c r="BN1097" s="20">
        <v>54.51</v>
      </c>
      <c r="BW1097" s="20">
        <v>-35.0</v>
      </c>
      <c r="BX1097" s="20">
        <v>-39.19</v>
      </c>
      <c r="BZ1097" s="20">
        <v>-27.72</v>
      </c>
      <c r="CA1097" s="20">
        <v>31.92</v>
      </c>
      <c r="CO1097" s="20">
        <v>-12.1</v>
      </c>
      <c r="CP1097" s="20">
        <v>-49.63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17</v>
      </c>
      <c r="M1098" s="20">
        <v>-0.52</v>
      </c>
      <c r="N1098" s="20">
        <v>28.19</v>
      </c>
      <c r="P1098" s="20">
        <v>3.58</v>
      </c>
      <c r="Q1098" s="20">
        <v>34.6</v>
      </c>
      <c r="AG1098" s="43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17</v>
      </c>
      <c r="AO1098" s="20">
        <v>-13.98</v>
      </c>
      <c r="AP1098" s="20">
        <v>21.25</v>
      </c>
      <c r="AS1098" s="20">
        <v>552.0</v>
      </c>
      <c r="AT1098" s="20" t="s">
        <v>17</v>
      </c>
      <c r="AU1098" s="20">
        <v>-4.62</v>
      </c>
      <c r="AV1098" s="20">
        <v>-16.06</v>
      </c>
      <c r="BE1098" s="43">
        <v>1096.0</v>
      </c>
      <c r="BF1098" s="20" t="s">
        <v>14</v>
      </c>
      <c r="BG1098" s="20">
        <v>-7.04</v>
      </c>
      <c r="BH1098" s="20">
        <v>16.53</v>
      </c>
      <c r="BM1098" s="20">
        <v>-4.29</v>
      </c>
      <c r="BN1098" s="20">
        <v>81.53</v>
      </c>
      <c r="BW1098" s="20">
        <v>-55.12</v>
      </c>
      <c r="BX1098" s="20">
        <v>23.69</v>
      </c>
      <c r="BZ1098" s="20">
        <v>-7.45</v>
      </c>
      <c r="CA1098" s="20">
        <v>-9.26</v>
      </c>
      <c r="CO1098" s="20">
        <v>-56.29</v>
      </c>
      <c r="CP1098" s="20">
        <v>-65.38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P1099" s="20">
        <v>28.84</v>
      </c>
      <c r="Q1099" s="20">
        <v>85.38</v>
      </c>
      <c r="AG1099" s="43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3">
        <v>1097.0</v>
      </c>
      <c r="BF1099" s="20" t="s">
        <v>14</v>
      </c>
      <c r="BG1099" s="20">
        <v>30.3</v>
      </c>
      <c r="BH1099" s="20">
        <v>-7.91</v>
      </c>
      <c r="BM1099" s="20">
        <v>12.43</v>
      </c>
      <c r="BN1099" s="20">
        <v>62.75</v>
      </c>
      <c r="BW1099" s="20">
        <v>-63.41</v>
      </c>
      <c r="BX1099" s="20">
        <v>-10.11</v>
      </c>
      <c r="BZ1099" s="20">
        <v>-72.56</v>
      </c>
      <c r="CA1099" s="20">
        <v>11.93</v>
      </c>
      <c r="CO1099" s="20">
        <v>-39.55</v>
      </c>
      <c r="CP1099" s="20">
        <v>-69.02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17</v>
      </c>
      <c r="M1100" s="20">
        <v>-25.69</v>
      </c>
      <c r="N1100" s="20">
        <v>-0.66</v>
      </c>
      <c r="P1100" s="20">
        <v>31.9</v>
      </c>
      <c r="Q1100" s="20">
        <v>28.53</v>
      </c>
      <c r="AG1100" s="43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17</v>
      </c>
      <c r="AO1100" s="20">
        <v>26.28</v>
      </c>
      <c r="AP1100" s="20">
        <v>20.26</v>
      </c>
      <c r="AS1100" s="20">
        <v>553.0</v>
      </c>
      <c r="AT1100" s="20" t="s">
        <v>17</v>
      </c>
      <c r="AU1100" s="20">
        <v>265.58</v>
      </c>
      <c r="AV1100" s="20">
        <v>-44.17</v>
      </c>
      <c r="BE1100" s="43">
        <v>1098.0</v>
      </c>
      <c r="BF1100" s="20" t="s">
        <v>14</v>
      </c>
      <c r="BG1100" s="20">
        <v>5.85</v>
      </c>
      <c r="BH1100" s="20">
        <v>-23.85</v>
      </c>
      <c r="BM1100" s="20">
        <v>9.2</v>
      </c>
      <c r="BN1100" s="20">
        <v>148.29</v>
      </c>
      <c r="BW1100" s="20">
        <v>-55.47</v>
      </c>
      <c r="BX1100" s="20">
        <v>-35.38</v>
      </c>
      <c r="BZ1100" s="20">
        <v>-68.14</v>
      </c>
      <c r="CA1100" s="20">
        <v>-1.27</v>
      </c>
      <c r="CO1100" s="20">
        <v>-27.29</v>
      </c>
      <c r="CP1100" s="20">
        <v>-51.51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P1101" s="20">
        <v>-12.1</v>
      </c>
      <c r="Q1101" s="20">
        <v>8.99</v>
      </c>
      <c r="AG1101" s="43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3">
        <v>1099.0</v>
      </c>
      <c r="BF1101" s="20" t="s">
        <v>14</v>
      </c>
      <c r="BG1101" s="20">
        <v>-29.82</v>
      </c>
      <c r="BH1101" s="20">
        <v>-13.28</v>
      </c>
      <c r="BM1101" s="20">
        <v>25.65</v>
      </c>
      <c r="BN1101" s="20">
        <v>85.44</v>
      </c>
      <c r="BW1101" s="20">
        <v>-37.06</v>
      </c>
      <c r="BX1101" s="20">
        <v>-0.59</v>
      </c>
      <c r="BZ1101" s="20">
        <v>-18.12</v>
      </c>
      <c r="CA1101" s="20">
        <v>86.89</v>
      </c>
      <c r="CO1101" s="20">
        <v>-40.65</v>
      </c>
      <c r="CP1101" s="20">
        <v>-65.21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17</v>
      </c>
      <c r="M1102" s="20">
        <v>-0.18</v>
      </c>
      <c r="N1102" s="20">
        <v>5.58</v>
      </c>
      <c r="P1102" s="20">
        <v>26.51</v>
      </c>
      <c r="Q1102" s="20">
        <v>6.4</v>
      </c>
      <c r="AG1102" s="43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17</v>
      </c>
      <c r="AO1102" s="20">
        <v>11.74</v>
      </c>
      <c r="AP1102" s="20">
        <v>0.66</v>
      </c>
      <c r="AS1102" s="20">
        <v>554.0</v>
      </c>
      <c r="AT1102" s="20" t="s">
        <v>17</v>
      </c>
      <c r="AU1102" s="20">
        <v>30.63</v>
      </c>
      <c r="AV1102" s="20">
        <v>-55.14</v>
      </c>
      <c r="BE1102" s="43">
        <v>1100.0</v>
      </c>
      <c r="BF1102" s="20" t="s">
        <v>14</v>
      </c>
      <c r="BG1102" s="20">
        <v>-2.35</v>
      </c>
      <c r="BH1102" s="20">
        <v>48.44</v>
      </c>
      <c r="BM1102" s="20">
        <v>-6.17</v>
      </c>
      <c r="BN1102" s="20">
        <v>92.39</v>
      </c>
      <c r="BW1102" s="20">
        <v>-63.58</v>
      </c>
      <c r="BX1102" s="20">
        <v>-40.13</v>
      </c>
      <c r="BZ1102" s="20">
        <v>-35.08</v>
      </c>
      <c r="CA1102" s="20">
        <v>98.07</v>
      </c>
      <c r="CO1102" s="20">
        <v>-28.52</v>
      </c>
      <c r="CP1102" s="20">
        <v>-71.17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P1103" s="20">
        <v>-13.74</v>
      </c>
      <c r="Q1103" s="20">
        <v>25.09</v>
      </c>
      <c r="AG1103" s="43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3">
        <v>1101.0</v>
      </c>
      <c r="BF1103" s="20" t="s">
        <v>14</v>
      </c>
      <c r="BG1103" s="20">
        <v>-12.05</v>
      </c>
      <c r="BH1103" s="20">
        <v>18.07</v>
      </c>
      <c r="BM1103" s="20">
        <v>87.47</v>
      </c>
      <c r="BN1103" s="20">
        <v>40.38</v>
      </c>
      <c r="BW1103" s="20">
        <v>-60.62</v>
      </c>
      <c r="BX1103" s="20">
        <v>-28.75</v>
      </c>
      <c r="BZ1103" s="20">
        <v>-38.62</v>
      </c>
      <c r="CA1103" s="20">
        <v>32.19</v>
      </c>
      <c r="CO1103" s="20">
        <v>-47.58</v>
      </c>
      <c r="CP1103" s="20">
        <v>-61.07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17</v>
      </c>
      <c r="M1104" s="20">
        <v>-11.18</v>
      </c>
      <c r="N1104" s="20">
        <v>13.83</v>
      </c>
      <c r="P1104" s="20">
        <v>15.42</v>
      </c>
      <c r="Q1104" s="20">
        <v>9.14</v>
      </c>
      <c r="AG1104" s="43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17</v>
      </c>
      <c r="AO1104" s="20">
        <v>-21.02</v>
      </c>
      <c r="AP1104" s="20">
        <v>4.32</v>
      </c>
      <c r="AS1104" s="20">
        <v>555.0</v>
      </c>
      <c r="AT1104" s="20" t="s">
        <v>17</v>
      </c>
      <c r="AU1104" s="20">
        <v>-37.57</v>
      </c>
      <c r="AV1104" s="20">
        <v>-21.09</v>
      </c>
      <c r="BE1104" s="43">
        <v>1102.0</v>
      </c>
      <c r="BF1104" s="20" t="s">
        <v>14</v>
      </c>
      <c r="BG1104" s="20">
        <v>27.85</v>
      </c>
      <c r="BH1104" s="20">
        <v>28.25</v>
      </c>
      <c r="BM1104" s="20">
        <v>31.83</v>
      </c>
      <c r="BN1104" s="20">
        <v>42.43</v>
      </c>
      <c r="BW1104" s="20">
        <v>-25.36</v>
      </c>
      <c r="BX1104" s="20">
        <v>-49.52</v>
      </c>
      <c r="BZ1104" s="20">
        <v>-35.82</v>
      </c>
      <c r="CA1104" s="20">
        <v>-2.52</v>
      </c>
      <c r="CO1104" s="20">
        <v>-43.86</v>
      </c>
      <c r="CP1104" s="20">
        <v>-71.21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P1105" s="20">
        <v>-35.16</v>
      </c>
      <c r="Q1105" s="20">
        <v>-4.62</v>
      </c>
      <c r="AG1105" s="43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3">
        <v>1103.0</v>
      </c>
      <c r="BF1105" s="20" t="s">
        <v>14</v>
      </c>
      <c r="BG1105" s="20">
        <v>24.14</v>
      </c>
      <c r="BH1105" s="20">
        <v>-8.1</v>
      </c>
      <c r="BM1105" s="20">
        <v>40.96</v>
      </c>
      <c r="BN1105" s="20">
        <v>127.33</v>
      </c>
      <c r="BW1105" s="20">
        <v>-46.23</v>
      </c>
      <c r="BX1105" s="20">
        <v>-29.35</v>
      </c>
      <c r="BZ1105" s="20">
        <v>-7.65</v>
      </c>
      <c r="CA1105" s="20">
        <v>102.46</v>
      </c>
      <c r="CO1105" s="20">
        <v>-33.19</v>
      </c>
      <c r="CP1105" s="20">
        <v>-57.01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17</v>
      </c>
      <c r="M1106" s="20">
        <v>2.58</v>
      </c>
      <c r="N1106" s="20">
        <v>59.88</v>
      </c>
      <c r="P1106" s="20">
        <v>-10.87</v>
      </c>
      <c r="Q1106" s="20">
        <v>-10.78</v>
      </c>
      <c r="AG1106" s="43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17</v>
      </c>
      <c r="AO1106" s="20">
        <v>7.97</v>
      </c>
      <c r="AP1106" s="20">
        <v>-14.56</v>
      </c>
      <c r="AS1106" s="20">
        <v>556.0</v>
      </c>
      <c r="AT1106" s="20" t="s">
        <v>17</v>
      </c>
      <c r="AU1106" s="20">
        <v>-33.0</v>
      </c>
      <c r="AV1106" s="20">
        <v>-0.12</v>
      </c>
      <c r="BE1106" s="43">
        <v>1104.0</v>
      </c>
      <c r="BF1106" s="20" t="s">
        <v>14</v>
      </c>
      <c r="BG1106" s="20">
        <v>13.24</v>
      </c>
      <c r="BH1106" s="20">
        <v>1.96</v>
      </c>
      <c r="BM1106" s="20">
        <v>-13.93</v>
      </c>
      <c r="BN1106" s="20">
        <v>1.61</v>
      </c>
      <c r="BW1106" s="20">
        <v>-56.39</v>
      </c>
      <c r="BX1106" s="20">
        <v>-23.65</v>
      </c>
      <c r="BZ1106" s="20">
        <v>-16.6</v>
      </c>
      <c r="CA1106" s="20">
        <v>72.38</v>
      </c>
      <c r="CO1106" s="20">
        <v>-15.76</v>
      </c>
      <c r="CP1106" s="20">
        <v>-68.77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P1107" s="20">
        <v>33.17</v>
      </c>
      <c r="Q1107" s="20">
        <v>65.05</v>
      </c>
      <c r="AG1107" s="43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3">
        <v>1105.0</v>
      </c>
      <c r="BF1107" s="20" t="s">
        <v>14</v>
      </c>
      <c r="BG1107" s="20">
        <v>1.48</v>
      </c>
      <c r="BH1107" s="20">
        <v>29.95</v>
      </c>
      <c r="BM1107" s="20">
        <v>106.19</v>
      </c>
      <c r="BN1107" s="20">
        <v>67.27</v>
      </c>
      <c r="BW1107" s="20">
        <v>-70.71</v>
      </c>
      <c r="BX1107" s="20">
        <v>8.57</v>
      </c>
      <c r="BZ1107" s="20">
        <v>-53.92</v>
      </c>
      <c r="CA1107" s="20">
        <v>58.23</v>
      </c>
      <c r="CO1107" s="20">
        <v>-40.19</v>
      </c>
      <c r="CP1107" s="20">
        <v>-67.06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17</v>
      </c>
      <c r="M1108" s="20">
        <v>-24.0</v>
      </c>
      <c r="N1108" s="20">
        <v>42.14</v>
      </c>
      <c r="P1108" s="20">
        <v>15.83</v>
      </c>
      <c r="Q1108" s="20">
        <v>107.24</v>
      </c>
      <c r="AG1108" s="43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17</v>
      </c>
      <c r="AO1108" s="20">
        <v>-2.25</v>
      </c>
      <c r="AP1108" s="20">
        <v>-3.97</v>
      </c>
      <c r="AS1108" s="20">
        <v>557.0</v>
      </c>
      <c r="AT1108" s="20" t="s">
        <v>17</v>
      </c>
      <c r="AU1108" s="20">
        <v>6.39</v>
      </c>
      <c r="AV1108" s="20">
        <v>-42.72</v>
      </c>
      <c r="BE1108" s="43">
        <v>1106.0</v>
      </c>
      <c r="BF1108" s="20" t="s">
        <v>14</v>
      </c>
      <c r="BG1108" s="20">
        <v>1.96</v>
      </c>
      <c r="BH1108" s="20">
        <v>-19.49</v>
      </c>
      <c r="BM1108" s="20">
        <v>128.32</v>
      </c>
      <c r="BN1108" s="20">
        <v>74.31</v>
      </c>
      <c r="BW1108" s="20">
        <v>-69.64</v>
      </c>
      <c r="BX1108" s="20">
        <v>-24.84</v>
      </c>
      <c r="BZ1108" s="20">
        <v>-59.87</v>
      </c>
      <c r="CA1108" s="20">
        <v>-9.54</v>
      </c>
      <c r="CO1108" s="20">
        <v>5.08</v>
      </c>
      <c r="CP1108" s="20">
        <v>-39.72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P1109" s="20">
        <v>34.85</v>
      </c>
      <c r="Q1109" s="20">
        <v>47.37</v>
      </c>
      <c r="AG1109" s="43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3">
        <v>1107.0</v>
      </c>
      <c r="BF1109" s="20" t="s">
        <v>14</v>
      </c>
      <c r="BG1109" s="20">
        <v>12.47</v>
      </c>
      <c r="BH1109" s="20">
        <v>4.26</v>
      </c>
      <c r="BM1109" s="20">
        <v>26.15</v>
      </c>
      <c r="BN1109" s="20">
        <v>104.56</v>
      </c>
      <c r="BW1109" s="20">
        <v>-44.55</v>
      </c>
      <c r="BX1109" s="20">
        <v>-53.29</v>
      </c>
      <c r="BZ1109" s="20">
        <v>-54.11</v>
      </c>
      <c r="CA1109" s="20">
        <v>80.65</v>
      </c>
      <c r="CO1109" s="20">
        <v>-29.85</v>
      </c>
      <c r="CP1109" s="20">
        <v>-64.94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17</v>
      </c>
      <c r="M1110" s="20">
        <v>-23.68</v>
      </c>
      <c r="N1110" s="20">
        <v>46.42</v>
      </c>
      <c r="P1110" s="20">
        <v>-13.67</v>
      </c>
      <c r="Q1110" s="20">
        <v>13.95</v>
      </c>
      <c r="AG1110" s="43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17</v>
      </c>
      <c r="AO1110" s="20">
        <v>-29.58</v>
      </c>
      <c r="AP1110" s="20">
        <v>2.9</v>
      </c>
      <c r="AS1110" s="20">
        <v>558.0</v>
      </c>
      <c r="AT1110" s="20" t="s">
        <v>17</v>
      </c>
      <c r="AU1110" s="20">
        <v>-16.6</v>
      </c>
      <c r="AV1110" s="20">
        <v>-50.55</v>
      </c>
      <c r="BE1110" s="43">
        <v>1108.0</v>
      </c>
      <c r="BF1110" s="20" t="s">
        <v>14</v>
      </c>
      <c r="BG1110" s="20">
        <v>14.66</v>
      </c>
      <c r="BH1110" s="20">
        <v>14.28</v>
      </c>
      <c r="BM1110" s="20">
        <v>60.98</v>
      </c>
      <c r="BN1110" s="20">
        <v>80.6</v>
      </c>
      <c r="BW1110" s="20">
        <v>-65.45</v>
      </c>
      <c r="BX1110" s="20">
        <v>-40.25</v>
      </c>
      <c r="BZ1110" s="20">
        <v>-43.59</v>
      </c>
      <c r="CA1110" s="20">
        <v>25.61</v>
      </c>
      <c r="CO1110" s="20">
        <v>-9.27</v>
      </c>
      <c r="CP1110" s="20">
        <v>-33.95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P1111" s="20">
        <v>-4.83</v>
      </c>
      <c r="Q1111" s="20">
        <v>-6.39</v>
      </c>
      <c r="AG1111" s="43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3">
        <v>1109.0</v>
      </c>
      <c r="BF1111" s="20" t="s">
        <v>14</v>
      </c>
      <c r="BG1111" s="20">
        <v>24.73</v>
      </c>
      <c r="BH1111" s="20">
        <v>11.71</v>
      </c>
      <c r="BM1111" s="20">
        <v>41.05</v>
      </c>
      <c r="BN1111" s="20">
        <v>68.71</v>
      </c>
      <c r="BW1111" s="20">
        <v>-51.71</v>
      </c>
      <c r="BX1111" s="20">
        <v>45.31</v>
      </c>
      <c r="BZ1111" s="20">
        <v>-42.78</v>
      </c>
      <c r="CA1111" s="20">
        <v>13.62</v>
      </c>
      <c r="CO1111" s="20">
        <v>-21.87</v>
      </c>
      <c r="CP1111" s="20">
        <v>-43.16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17</v>
      </c>
      <c r="M1112" s="20">
        <v>-5.39</v>
      </c>
      <c r="N1112" s="20">
        <v>-63.61</v>
      </c>
      <c r="P1112" s="20">
        <v>-32.97</v>
      </c>
      <c r="Q1112" s="20">
        <v>32.8</v>
      </c>
      <c r="AG1112" s="43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17</v>
      </c>
      <c r="AO1112" s="20">
        <v>-32.28</v>
      </c>
      <c r="AP1112" s="20">
        <v>-23.47</v>
      </c>
      <c r="AS1112" s="20">
        <v>559.0</v>
      </c>
      <c r="AT1112" s="20" t="s">
        <v>17</v>
      </c>
      <c r="AU1112" s="20">
        <v>92.09</v>
      </c>
      <c r="AV1112" s="20">
        <v>39.22</v>
      </c>
      <c r="BE1112" s="43">
        <v>1110.0</v>
      </c>
      <c r="BF1112" s="20" t="s">
        <v>14</v>
      </c>
      <c r="BG1112" s="20">
        <v>-9.85</v>
      </c>
      <c r="BH1112" s="20">
        <v>17.81</v>
      </c>
      <c r="BM1112" s="20">
        <v>57.6</v>
      </c>
      <c r="BN1112" s="20">
        <v>52.51</v>
      </c>
      <c r="BW1112" s="20">
        <v>-65.15</v>
      </c>
      <c r="BX1112" s="20">
        <v>-34.37</v>
      </c>
      <c r="BZ1112" s="20">
        <v>-64.92</v>
      </c>
      <c r="CA1112" s="20">
        <v>27.8</v>
      </c>
      <c r="CO1112" s="20">
        <v>-7.45</v>
      </c>
      <c r="CP1112" s="20">
        <v>-61.63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P1113" s="20">
        <v>1.1</v>
      </c>
      <c r="Q1113" s="20">
        <v>46.44</v>
      </c>
      <c r="AG1113" s="43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3">
        <v>1111.0</v>
      </c>
      <c r="BF1113" s="20" t="s">
        <v>14</v>
      </c>
      <c r="BG1113" s="20">
        <v>-14.15</v>
      </c>
      <c r="BH1113" s="20">
        <v>71.7</v>
      </c>
      <c r="BM1113" s="20">
        <v>-9.32</v>
      </c>
      <c r="BN1113" s="20">
        <v>51.38</v>
      </c>
      <c r="BW1113" s="20">
        <v>-71.23</v>
      </c>
      <c r="BX1113" s="20">
        <v>-27.27</v>
      </c>
      <c r="BZ1113" s="20">
        <v>-51.66</v>
      </c>
      <c r="CA1113" s="20">
        <v>46.01</v>
      </c>
      <c r="CO1113" s="20">
        <v>-37.53</v>
      </c>
      <c r="CP1113" s="20">
        <v>-62.39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17</v>
      </c>
      <c r="M1114" s="20">
        <v>12.02</v>
      </c>
      <c r="N1114" s="20">
        <v>22.8</v>
      </c>
      <c r="P1114" s="20">
        <v>-30.81</v>
      </c>
      <c r="Q1114" s="20">
        <v>-72.28</v>
      </c>
      <c r="AG1114" s="43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17</v>
      </c>
      <c r="AO1114" s="20">
        <v>11.73</v>
      </c>
      <c r="AP1114" s="20">
        <v>-29.21</v>
      </c>
      <c r="AS1114" s="20">
        <v>560.0</v>
      </c>
      <c r="AT1114" s="20" t="s">
        <v>17</v>
      </c>
      <c r="AU1114" s="20">
        <v>42.06</v>
      </c>
      <c r="AV1114" s="20">
        <v>-45.99</v>
      </c>
      <c r="BE1114" s="43">
        <v>1112.0</v>
      </c>
      <c r="BF1114" s="20" t="s">
        <v>14</v>
      </c>
      <c r="BG1114" s="20">
        <v>9.99</v>
      </c>
      <c r="BH1114" s="20">
        <v>36.72</v>
      </c>
      <c r="BM1114" s="20">
        <v>3.69</v>
      </c>
      <c r="BN1114" s="20">
        <v>78.23</v>
      </c>
      <c r="BW1114" s="20">
        <v>-59.44</v>
      </c>
      <c r="BX1114" s="20">
        <v>-8.3</v>
      </c>
      <c r="BZ1114" s="20">
        <v>-65.68</v>
      </c>
      <c r="CA1114" s="20">
        <v>49.58</v>
      </c>
      <c r="CO1114" s="20">
        <v>-1.16</v>
      </c>
      <c r="CP1114" s="20">
        <v>-47.08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P1115" s="20">
        <v>-29.95</v>
      </c>
      <c r="Q1115" s="20">
        <v>82.36</v>
      </c>
      <c r="AG1115" s="43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3">
        <v>1113.0</v>
      </c>
      <c r="BF1115" s="20" t="s">
        <v>14</v>
      </c>
      <c r="BG1115" s="20">
        <v>39.98</v>
      </c>
      <c r="BH1115" s="20">
        <v>28.9</v>
      </c>
      <c r="BM1115" s="20">
        <v>-20.82</v>
      </c>
      <c r="BN1115" s="20">
        <v>16.58</v>
      </c>
      <c r="BW1115" s="20">
        <v>-57.37</v>
      </c>
      <c r="BX1115" s="20">
        <v>-31.35</v>
      </c>
      <c r="BZ1115" s="20">
        <v>-69.36</v>
      </c>
      <c r="CA1115" s="20">
        <v>31.51</v>
      </c>
      <c r="CO1115" s="20">
        <v>-30.63</v>
      </c>
      <c r="CP1115" s="20">
        <v>-67.55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17</v>
      </c>
      <c r="M1116" s="20">
        <v>-15.18</v>
      </c>
      <c r="N1116" s="20">
        <v>-9.04</v>
      </c>
      <c r="P1116" s="20">
        <v>-44.63</v>
      </c>
      <c r="Q1116" s="20">
        <v>-8.64</v>
      </c>
      <c r="AG1116" s="43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17</v>
      </c>
      <c r="AO1116" s="20">
        <v>-5.86</v>
      </c>
      <c r="AP1116" s="20">
        <v>-41.43</v>
      </c>
      <c r="AS1116" s="20">
        <v>561.0</v>
      </c>
      <c r="AT1116" s="20" t="s">
        <v>17</v>
      </c>
      <c r="AU1116" s="20">
        <v>-59.96</v>
      </c>
      <c r="AV1116" s="20">
        <v>-82.4</v>
      </c>
      <c r="BE1116" s="43">
        <v>1114.0</v>
      </c>
      <c r="BF1116" s="20" t="s">
        <v>14</v>
      </c>
      <c r="BG1116" s="20">
        <v>-19.84</v>
      </c>
      <c r="BH1116" s="20">
        <v>60.74</v>
      </c>
      <c r="BM1116" s="20">
        <v>-43.82</v>
      </c>
      <c r="BN1116" s="20">
        <v>-17.72</v>
      </c>
      <c r="BW1116" s="20">
        <v>-52.64</v>
      </c>
      <c r="BX1116" s="20">
        <v>-35.07</v>
      </c>
      <c r="BZ1116" s="20">
        <v>-63.39</v>
      </c>
      <c r="CA1116" s="20">
        <v>41.09</v>
      </c>
      <c r="CO1116" s="20">
        <v>-20.5</v>
      </c>
      <c r="CP1116" s="20">
        <v>-54.17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P1117" s="20">
        <v>-12.73</v>
      </c>
      <c r="Q1117" s="20">
        <v>16.91</v>
      </c>
      <c r="AG1117" s="43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3">
        <v>1115.0</v>
      </c>
      <c r="BF1117" s="20" t="s">
        <v>14</v>
      </c>
      <c r="BG1117" s="20">
        <v>-18.97</v>
      </c>
      <c r="BH1117" s="20">
        <v>-3.98</v>
      </c>
      <c r="BM1117" s="20">
        <v>67.76</v>
      </c>
      <c r="BN1117" s="20">
        <v>71.24</v>
      </c>
      <c r="BW1117" s="20">
        <v>-19.61</v>
      </c>
      <c r="BX1117" s="20">
        <v>23.76</v>
      </c>
      <c r="BZ1117" s="20">
        <v>-40.66</v>
      </c>
      <c r="CA1117" s="20">
        <v>63.31</v>
      </c>
      <c r="CO1117" s="20">
        <v>-26.33</v>
      </c>
      <c r="CP1117" s="20">
        <v>-61.25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17</v>
      </c>
      <c r="M1118" s="20">
        <v>-11.84</v>
      </c>
      <c r="N1118" s="20">
        <v>-9.9</v>
      </c>
      <c r="P1118" s="20">
        <v>-33.71</v>
      </c>
      <c r="Q1118" s="20">
        <v>29.44</v>
      </c>
      <c r="AG1118" s="43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17</v>
      </c>
      <c r="AO1118" s="20">
        <v>-0.68</v>
      </c>
      <c r="AP1118" s="20">
        <v>-8.79</v>
      </c>
      <c r="AS1118" s="20">
        <v>562.0</v>
      </c>
      <c r="AT1118" s="20" t="s">
        <v>17</v>
      </c>
      <c r="AU1118" s="20">
        <v>6.35</v>
      </c>
      <c r="AV1118" s="20">
        <v>-15.04</v>
      </c>
      <c r="BE1118" s="43">
        <v>1116.0</v>
      </c>
      <c r="BF1118" s="20" t="s">
        <v>14</v>
      </c>
      <c r="BG1118" s="20">
        <v>25.24</v>
      </c>
      <c r="BH1118" s="20">
        <v>86.91</v>
      </c>
      <c r="BM1118" s="20">
        <v>37.44</v>
      </c>
      <c r="BN1118" s="20">
        <v>74.36</v>
      </c>
      <c r="BW1118" s="20">
        <v>-37.03</v>
      </c>
      <c r="BX1118" s="20">
        <v>-28.38</v>
      </c>
      <c r="BZ1118" s="20">
        <v>-57.61</v>
      </c>
      <c r="CA1118" s="20">
        <v>-12.83</v>
      </c>
      <c r="CO1118" s="20">
        <v>-38.49</v>
      </c>
      <c r="CP1118" s="20">
        <v>-63.78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P1119" s="20">
        <v>-10.79</v>
      </c>
      <c r="Q1119" s="20">
        <v>22.34</v>
      </c>
      <c r="AG1119" s="43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3">
        <v>1117.0</v>
      </c>
      <c r="BF1119" s="20" t="s">
        <v>14</v>
      </c>
      <c r="BG1119" s="20">
        <v>-11.74</v>
      </c>
      <c r="BH1119" s="20">
        <v>-12.52</v>
      </c>
      <c r="BM1119" s="20">
        <v>65.18</v>
      </c>
      <c r="BN1119" s="20">
        <v>139.81</v>
      </c>
      <c r="BW1119" s="20">
        <v>-41.91</v>
      </c>
      <c r="BX1119" s="20">
        <v>-11.13</v>
      </c>
      <c r="BZ1119" s="20">
        <v>-33.37</v>
      </c>
      <c r="CA1119" s="20">
        <v>16.51</v>
      </c>
      <c r="CO1119" s="20">
        <v>-29.13</v>
      </c>
      <c r="CP1119" s="20">
        <v>-52.24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17</v>
      </c>
      <c r="M1120" s="20">
        <v>-1.21</v>
      </c>
      <c r="N1120" s="20">
        <v>-32.3</v>
      </c>
      <c r="P1120" s="20">
        <v>-44.19</v>
      </c>
      <c r="Q1120" s="20">
        <v>49.18</v>
      </c>
      <c r="AG1120" s="43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17</v>
      </c>
      <c r="AO1120" s="20">
        <v>-38.27</v>
      </c>
      <c r="AP1120" s="20">
        <v>-18.72</v>
      </c>
      <c r="AS1120" s="20">
        <v>563.0</v>
      </c>
      <c r="AT1120" s="20" t="s">
        <v>17</v>
      </c>
      <c r="AU1120" s="20">
        <v>-54.15</v>
      </c>
      <c r="AV1120" s="20">
        <v>-68.4</v>
      </c>
      <c r="BE1120" s="43">
        <v>1118.0</v>
      </c>
      <c r="BF1120" s="20" t="s">
        <v>14</v>
      </c>
      <c r="BG1120" s="20">
        <v>24.39</v>
      </c>
      <c r="BH1120" s="20">
        <v>-20.92</v>
      </c>
      <c r="BM1120" s="20">
        <v>60.81</v>
      </c>
      <c r="BN1120" s="20">
        <v>43.05</v>
      </c>
      <c r="BW1120" s="20">
        <v>-65.38</v>
      </c>
      <c r="BX1120" s="20">
        <v>-19.53</v>
      </c>
      <c r="BZ1120" s="20">
        <v>-63.94</v>
      </c>
      <c r="CA1120" s="20">
        <v>21.94</v>
      </c>
      <c r="CO1120" s="20">
        <v>9.09</v>
      </c>
      <c r="CP1120" s="20">
        <v>-69.85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P1121" s="20">
        <v>-25.59</v>
      </c>
      <c r="Q1121" s="20">
        <v>12.2</v>
      </c>
      <c r="AG1121" s="43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3">
        <v>1119.0</v>
      </c>
      <c r="BF1121" s="20" t="s">
        <v>14</v>
      </c>
      <c r="BG1121" s="20">
        <v>42.1</v>
      </c>
      <c r="BH1121" s="20">
        <v>-9.7</v>
      </c>
      <c r="BM1121" s="20">
        <v>42.23</v>
      </c>
      <c r="BN1121" s="20">
        <v>41.64</v>
      </c>
      <c r="BW1121" s="20">
        <v>-54.48</v>
      </c>
      <c r="BX1121" s="20">
        <v>-34.05</v>
      </c>
      <c r="BZ1121" s="20">
        <v>-29.32</v>
      </c>
      <c r="CA1121" s="20">
        <v>56.73</v>
      </c>
      <c r="CO1121" s="20">
        <v>-15.49</v>
      </c>
      <c r="CP1121" s="20">
        <v>-61.45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17</v>
      </c>
      <c r="M1122" s="20">
        <v>-13.18</v>
      </c>
      <c r="N1122" s="20">
        <v>30.61</v>
      </c>
      <c r="P1122" s="20">
        <v>-45.45</v>
      </c>
      <c r="Q1122" s="20">
        <v>-5.14</v>
      </c>
      <c r="AG1122" s="43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17</v>
      </c>
      <c r="AO1122" s="20">
        <v>27.86</v>
      </c>
      <c r="AP1122" s="20">
        <v>28.14</v>
      </c>
      <c r="AS1122" s="20">
        <v>564.0</v>
      </c>
      <c r="AT1122" s="20" t="s">
        <v>17</v>
      </c>
      <c r="AU1122" s="20">
        <v>-14.59</v>
      </c>
      <c r="AV1122" s="20">
        <v>-53.63</v>
      </c>
      <c r="BE1122" s="43">
        <v>1120.0</v>
      </c>
      <c r="BF1122" s="20" t="s">
        <v>14</v>
      </c>
      <c r="BG1122" s="20">
        <v>-21.61</v>
      </c>
      <c r="BH1122" s="20">
        <v>44.16</v>
      </c>
      <c r="BM1122" s="20">
        <v>-63.42</v>
      </c>
      <c r="BN1122" s="20">
        <v>-45.93</v>
      </c>
      <c r="BW1122" s="20">
        <v>-63.16</v>
      </c>
      <c r="BX1122" s="20">
        <v>-26.94</v>
      </c>
      <c r="BZ1122" s="20">
        <v>-26.12</v>
      </c>
      <c r="CA1122" s="20">
        <v>133.66</v>
      </c>
      <c r="CO1122" s="20">
        <v>-53.38</v>
      </c>
      <c r="CP1122" s="20">
        <v>-53.14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P1123" s="20">
        <v>-5.71</v>
      </c>
      <c r="Q1123" s="20">
        <v>-3.75</v>
      </c>
      <c r="AG1123" s="43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3">
        <v>1121.0</v>
      </c>
      <c r="BF1123" s="20" t="s">
        <v>14</v>
      </c>
      <c r="BG1123" s="20">
        <v>-11.27</v>
      </c>
      <c r="BH1123" s="20">
        <v>-41.16</v>
      </c>
      <c r="BM1123" s="20">
        <v>73.77</v>
      </c>
      <c r="BN1123" s="20">
        <v>75.49</v>
      </c>
      <c r="BW1123" s="20">
        <v>-42.13</v>
      </c>
      <c r="BX1123" s="20">
        <v>-39.37</v>
      </c>
      <c r="BZ1123" s="20">
        <v>-41.74</v>
      </c>
      <c r="CA1123" s="20">
        <v>42.89</v>
      </c>
      <c r="CO1123" s="20">
        <v>-22.78</v>
      </c>
      <c r="CP1123" s="20">
        <v>-47.07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17</v>
      </c>
      <c r="M1124" s="20">
        <v>-24.03</v>
      </c>
      <c r="N1124" s="20">
        <v>71.83</v>
      </c>
      <c r="P1124" s="20">
        <v>-10.55</v>
      </c>
      <c r="Q1124" s="20">
        <v>16.72</v>
      </c>
      <c r="AG1124" s="43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17</v>
      </c>
      <c r="AO1124" s="20">
        <v>-36.52</v>
      </c>
      <c r="AP1124" s="20">
        <v>-9.3</v>
      </c>
      <c r="AS1124" s="20">
        <v>565.0</v>
      </c>
      <c r="AT1124" s="20" t="s">
        <v>17</v>
      </c>
      <c r="AU1124" s="20">
        <v>-11.07</v>
      </c>
      <c r="AV1124" s="20">
        <v>-19.59</v>
      </c>
      <c r="BE1124" s="43">
        <v>1122.0</v>
      </c>
      <c r="BF1124" s="20" t="s">
        <v>14</v>
      </c>
      <c r="BG1124" s="20">
        <v>24.51</v>
      </c>
      <c r="BH1124" s="20">
        <v>14.61</v>
      </c>
      <c r="BM1124" s="20">
        <v>65.88</v>
      </c>
      <c r="BN1124" s="20">
        <v>82.15</v>
      </c>
      <c r="BW1124" s="20">
        <v>-29.7</v>
      </c>
      <c r="BX1124" s="20">
        <v>-50.87</v>
      </c>
      <c r="BZ1124" s="20">
        <v>-42.42</v>
      </c>
      <c r="CA1124" s="20">
        <v>54.34</v>
      </c>
      <c r="CO1124" s="20">
        <v>-8.49</v>
      </c>
      <c r="CP1124" s="20">
        <v>-70.01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P1125" s="20">
        <v>-16.1</v>
      </c>
      <c r="Q1125" s="20">
        <v>-28.67</v>
      </c>
      <c r="AG1125" s="43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3">
        <v>1123.0</v>
      </c>
      <c r="BF1125" s="20" t="s">
        <v>14</v>
      </c>
      <c r="BG1125" s="20">
        <v>42.66</v>
      </c>
      <c r="BH1125" s="20">
        <v>68.88</v>
      </c>
      <c r="BM1125" s="20">
        <v>66.4</v>
      </c>
      <c r="BN1125" s="20">
        <v>78.17</v>
      </c>
      <c r="BW1125" s="20">
        <v>-45.63</v>
      </c>
      <c r="BX1125" s="20">
        <v>-16.26</v>
      </c>
      <c r="BZ1125" s="20">
        <v>-46.07</v>
      </c>
      <c r="CA1125" s="20">
        <v>43.35</v>
      </c>
      <c r="CO1125" s="20">
        <v>-28.4</v>
      </c>
      <c r="CP1125" s="20">
        <v>-60.11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17</v>
      </c>
      <c r="M1126" s="20">
        <v>20.53</v>
      </c>
      <c r="N1126" s="20">
        <v>19.16</v>
      </c>
      <c r="P1126" s="20">
        <v>-8.84</v>
      </c>
      <c r="Q1126" s="20">
        <v>0.29</v>
      </c>
      <c r="AG1126" s="43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17</v>
      </c>
      <c r="AO1126" s="20">
        <v>-11.64</v>
      </c>
      <c r="AP1126" s="20">
        <v>-23.88</v>
      </c>
      <c r="AS1126" s="20">
        <v>566.0</v>
      </c>
      <c r="AT1126" s="20" t="s">
        <v>17</v>
      </c>
      <c r="AU1126" s="20">
        <v>-22.67</v>
      </c>
      <c r="AV1126" s="20">
        <v>-33.59</v>
      </c>
      <c r="BE1126" s="43">
        <v>1124.0</v>
      </c>
      <c r="BF1126" s="20" t="s">
        <v>14</v>
      </c>
      <c r="BG1126" s="20">
        <v>23.46</v>
      </c>
      <c r="BH1126" s="20">
        <v>12.09</v>
      </c>
      <c r="BM1126" s="20">
        <v>45.42</v>
      </c>
      <c r="BN1126" s="20">
        <v>107.5</v>
      </c>
      <c r="BW1126" s="20">
        <v>-40.89</v>
      </c>
      <c r="BX1126" s="20">
        <v>-34.36</v>
      </c>
      <c r="BZ1126" s="20">
        <v>-45.22</v>
      </c>
      <c r="CA1126" s="20">
        <v>9.59</v>
      </c>
      <c r="CO1126" s="20">
        <v>-6.07</v>
      </c>
      <c r="CP1126" s="20">
        <v>-58.65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P1127" s="20">
        <v>45.7</v>
      </c>
      <c r="Q1127" s="20">
        <v>107.35</v>
      </c>
      <c r="AG1127" s="43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3">
        <v>1125.0</v>
      </c>
      <c r="BF1127" s="20" t="s">
        <v>14</v>
      </c>
      <c r="BG1127" s="20">
        <v>0.99</v>
      </c>
      <c r="BH1127" s="20">
        <v>6.65</v>
      </c>
      <c r="BM1127" s="20">
        <v>11.59</v>
      </c>
      <c r="BN1127" s="20">
        <v>69.5</v>
      </c>
      <c r="BW1127" s="20">
        <v>-47.13</v>
      </c>
      <c r="BX1127" s="20">
        <v>-41.67</v>
      </c>
      <c r="BZ1127" s="20">
        <v>-63.71</v>
      </c>
      <c r="CA1127" s="20">
        <v>71.94</v>
      </c>
      <c r="CO1127" s="20">
        <v>-30.82</v>
      </c>
      <c r="CP1127" s="20">
        <v>-54.42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17</v>
      </c>
      <c r="M1128" s="20">
        <v>-55.25</v>
      </c>
      <c r="N1128" s="20">
        <v>-69.47</v>
      </c>
      <c r="P1128" s="20">
        <v>-2.04</v>
      </c>
      <c r="Q1128" s="20">
        <v>32.4</v>
      </c>
      <c r="AG1128" s="43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17</v>
      </c>
      <c r="AO1128" s="20">
        <v>-18.64</v>
      </c>
      <c r="AP1128" s="20">
        <v>-28.77</v>
      </c>
      <c r="AS1128" s="20">
        <v>567.0</v>
      </c>
      <c r="AT1128" s="20" t="s">
        <v>17</v>
      </c>
      <c r="AU1128" s="20">
        <v>8.0</v>
      </c>
      <c r="AV1128" s="20">
        <v>-10.13</v>
      </c>
      <c r="BE1128" s="43">
        <v>1126.0</v>
      </c>
      <c r="BF1128" s="20" t="s">
        <v>14</v>
      </c>
      <c r="BG1128" s="20">
        <v>40.46</v>
      </c>
      <c r="BH1128" s="20">
        <v>39.43</v>
      </c>
      <c r="BM1128" s="20">
        <v>-2.19</v>
      </c>
      <c r="BN1128" s="20">
        <v>126.68</v>
      </c>
      <c r="BW1128" s="20">
        <v>-54.91</v>
      </c>
      <c r="BX1128" s="20">
        <v>3.4</v>
      </c>
      <c r="BZ1128" s="20">
        <v>-65.95</v>
      </c>
      <c r="CA1128" s="20">
        <v>83.33</v>
      </c>
      <c r="CO1128" s="20">
        <v>-28.0</v>
      </c>
      <c r="CP1128" s="20">
        <v>-56.94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P1129" s="20">
        <v>-15.69</v>
      </c>
      <c r="Q1129" s="20">
        <v>5.51</v>
      </c>
      <c r="AG1129" s="43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3">
        <v>1127.0</v>
      </c>
      <c r="BF1129" s="20" t="s">
        <v>14</v>
      </c>
      <c r="BG1129" s="20">
        <v>17.49</v>
      </c>
      <c r="BH1129" s="20">
        <v>14.21</v>
      </c>
      <c r="BM1129" s="20">
        <v>10.46</v>
      </c>
      <c r="BN1129" s="20">
        <v>111.93</v>
      </c>
      <c r="BW1129" s="20">
        <v>-49.33</v>
      </c>
      <c r="BX1129" s="20">
        <v>-29.85</v>
      </c>
      <c r="BZ1129" s="20">
        <v>-70.29</v>
      </c>
      <c r="CA1129" s="20">
        <v>141.46</v>
      </c>
      <c r="CO1129" s="20">
        <v>-20.09</v>
      </c>
      <c r="CP1129" s="20">
        <v>-62.52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17</v>
      </c>
      <c r="M1130" s="20">
        <v>-39.73</v>
      </c>
      <c r="N1130" s="20">
        <v>-10.24</v>
      </c>
      <c r="P1130" s="20">
        <v>-0.72</v>
      </c>
      <c r="Q1130" s="20">
        <v>31.29</v>
      </c>
      <c r="AG1130" s="43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17</v>
      </c>
      <c r="AO1130" s="20">
        <v>-22.78</v>
      </c>
      <c r="AP1130" s="20">
        <v>0.43</v>
      </c>
      <c r="AS1130" s="20">
        <v>568.0</v>
      </c>
      <c r="AT1130" s="20" t="s">
        <v>17</v>
      </c>
      <c r="AU1130" s="20">
        <v>-19.92</v>
      </c>
      <c r="AV1130" s="20">
        <v>-43.67</v>
      </c>
      <c r="BE1130" s="43">
        <v>1128.0</v>
      </c>
      <c r="BF1130" s="20" t="s">
        <v>14</v>
      </c>
      <c r="BG1130" s="20">
        <v>5.23</v>
      </c>
      <c r="BH1130" s="20">
        <v>-2.03</v>
      </c>
      <c r="BM1130" s="20">
        <v>22.29</v>
      </c>
      <c r="BN1130" s="20">
        <v>149.83</v>
      </c>
      <c r="BW1130" s="20">
        <v>-52.03</v>
      </c>
      <c r="BX1130" s="20">
        <v>-39.33</v>
      </c>
      <c r="BZ1130" s="20">
        <v>-76.17</v>
      </c>
      <c r="CA1130" s="20">
        <v>152.29</v>
      </c>
      <c r="CO1130" s="20">
        <v>-56.28</v>
      </c>
      <c r="CP1130" s="20">
        <v>-57.94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P1131" s="20">
        <v>-2.13</v>
      </c>
      <c r="Q1131" s="20">
        <v>-4.41</v>
      </c>
      <c r="AG1131" s="43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3">
        <v>1129.0</v>
      </c>
      <c r="BF1131" s="20" t="s">
        <v>14</v>
      </c>
      <c r="BG1131" s="20">
        <v>117.31</v>
      </c>
      <c r="BH1131" s="20">
        <v>25.67</v>
      </c>
      <c r="BM1131" s="20">
        <v>56.97</v>
      </c>
      <c r="BN1131" s="20">
        <v>68.49</v>
      </c>
      <c r="BW1131" s="20">
        <v>-38.66</v>
      </c>
      <c r="BX1131" s="20">
        <v>33.14</v>
      </c>
      <c r="BZ1131" s="20">
        <v>-65.8</v>
      </c>
      <c r="CA1131" s="20">
        <v>46.15</v>
      </c>
      <c r="CO1131" s="20">
        <v>-41.81</v>
      </c>
      <c r="CP1131" s="20">
        <v>-60.8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17</v>
      </c>
      <c r="M1132" s="20">
        <v>-34.42</v>
      </c>
      <c r="N1132" s="20">
        <v>-19.55</v>
      </c>
      <c r="P1132" s="20">
        <v>-42.67</v>
      </c>
      <c r="Q1132" s="20">
        <v>-17.16</v>
      </c>
      <c r="AG1132" s="43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17</v>
      </c>
      <c r="AO1132" s="20">
        <v>-8.2</v>
      </c>
      <c r="AP1132" s="20">
        <v>-13.78</v>
      </c>
      <c r="AS1132" s="20">
        <v>569.0</v>
      </c>
      <c r="AT1132" s="20" t="s">
        <v>17</v>
      </c>
      <c r="AU1132" s="20">
        <v>-26.4</v>
      </c>
      <c r="AV1132" s="20">
        <v>-25.85</v>
      </c>
      <c r="BE1132" s="43">
        <v>1130.0</v>
      </c>
      <c r="BF1132" s="20" t="s">
        <v>14</v>
      </c>
      <c r="BG1132" s="20">
        <v>-0.75</v>
      </c>
      <c r="BH1132" s="20">
        <v>-35.56</v>
      </c>
      <c r="BM1132" s="20">
        <v>83.61</v>
      </c>
      <c r="BN1132" s="20">
        <v>141.39</v>
      </c>
      <c r="BW1132" s="20">
        <v>-57.38</v>
      </c>
      <c r="BX1132" s="20">
        <v>49.86</v>
      </c>
      <c r="BZ1132" s="20">
        <v>-48.04</v>
      </c>
      <c r="CA1132" s="20">
        <v>46.58</v>
      </c>
      <c r="CO1132" s="20">
        <v>-24.2</v>
      </c>
      <c r="CP1132" s="20">
        <v>-64.97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P1133" s="20">
        <v>8.71</v>
      </c>
      <c r="Q1133" s="20">
        <v>17.79</v>
      </c>
      <c r="AG1133" s="43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3">
        <v>1131.0</v>
      </c>
      <c r="BF1133" s="20" t="s">
        <v>14</v>
      </c>
      <c r="BG1133" s="20">
        <v>-5.53</v>
      </c>
      <c r="BH1133" s="20">
        <v>-35.4</v>
      </c>
      <c r="BM1133" s="20">
        <v>67.38</v>
      </c>
      <c r="BN1133" s="20">
        <v>69.59</v>
      </c>
      <c r="BW1133" s="20">
        <v>-3.41</v>
      </c>
      <c r="BX1133" s="20">
        <v>-31.79</v>
      </c>
      <c r="BZ1133" s="20">
        <v>-41.25</v>
      </c>
      <c r="CA1133" s="20">
        <v>33.23</v>
      </c>
      <c r="CO1133" s="20">
        <v>7.79</v>
      </c>
      <c r="CP1133" s="20">
        <v>-14.74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17</v>
      </c>
      <c r="M1134" s="20">
        <v>-20.7</v>
      </c>
      <c r="N1134" s="20">
        <v>28.8</v>
      </c>
      <c r="P1134" s="20">
        <v>-25.87</v>
      </c>
      <c r="Q1134" s="20">
        <v>3.51</v>
      </c>
      <c r="AG1134" s="43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17</v>
      </c>
      <c r="AO1134" s="20">
        <v>-19.84</v>
      </c>
      <c r="AP1134" s="20">
        <v>12.33</v>
      </c>
      <c r="AS1134" s="20">
        <v>570.0</v>
      </c>
      <c r="AT1134" s="20" t="s">
        <v>17</v>
      </c>
      <c r="AU1134" s="20">
        <v>-4.46</v>
      </c>
      <c r="AV1134" s="20">
        <v>12.42</v>
      </c>
      <c r="BE1134" s="43">
        <v>1132.0</v>
      </c>
      <c r="BF1134" s="20" t="s">
        <v>14</v>
      </c>
      <c r="BG1134" s="20">
        <v>-6.45</v>
      </c>
      <c r="BH1134" s="20">
        <v>4.2</v>
      </c>
      <c r="BM1134" s="20">
        <v>31.51</v>
      </c>
      <c r="BN1134" s="20">
        <v>132.05</v>
      </c>
      <c r="BW1134" s="20">
        <v>-78.3</v>
      </c>
      <c r="BX1134" s="20">
        <v>-11.56</v>
      </c>
      <c r="BZ1134" s="20">
        <v>-64.63</v>
      </c>
      <c r="CA1134" s="20">
        <v>65.3</v>
      </c>
      <c r="CO1134" s="20">
        <v>24.8</v>
      </c>
      <c r="CP1134" s="20">
        <v>-26.85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P1135" s="20">
        <v>1.36</v>
      </c>
      <c r="Q1135" s="20">
        <v>13.98</v>
      </c>
      <c r="AG1135" s="43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3">
        <v>1133.0</v>
      </c>
      <c r="BF1135" s="20" t="s">
        <v>14</v>
      </c>
      <c r="BG1135" s="20">
        <v>-17.36</v>
      </c>
      <c r="BH1135" s="20">
        <v>-18.47</v>
      </c>
      <c r="BM1135" s="20">
        <v>46.56</v>
      </c>
      <c r="BN1135" s="20">
        <v>110.3</v>
      </c>
      <c r="BW1135" s="20">
        <v>-61.54</v>
      </c>
      <c r="BX1135" s="20">
        <v>-6.75</v>
      </c>
      <c r="BZ1135" s="20">
        <v>-28.44</v>
      </c>
      <c r="CA1135" s="20">
        <v>52.05</v>
      </c>
      <c r="CO1135" s="20">
        <v>55.51</v>
      </c>
      <c r="CP1135" s="20">
        <v>118.64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17</v>
      </c>
      <c r="M1136" s="20">
        <v>-19.06</v>
      </c>
      <c r="N1136" s="20">
        <v>-22.2</v>
      </c>
      <c r="P1136" s="20">
        <v>-26.6</v>
      </c>
      <c r="Q1136" s="20">
        <v>-5.35</v>
      </c>
      <c r="AG1136" s="43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17</v>
      </c>
      <c r="AO1136" s="20">
        <v>22.94</v>
      </c>
      <c r="AP1136" s="20">
        <v>-19.03</v>
      </c>
      <c r="AS1136" s="20">
        <v>571.0</v>
      </c>
      <c r="AT1136" s="20" t="s">
        <v>17</v>
      </c>
      <c r="AU1136" s="20">
        <v>-4.63</v>
      </c>
      <c r="AV1136" s="20">
        <v>-27.54</v>
      </c>
      <c r="BE1136" s="43">
        <v>1134.0</v>
      </c>
      <c r="BF1136" s="20" t="s">
        <v>14</v>
      </c>
      <c r="BG1136" s="20">
        <v>150.28</v>
      </c>
      <c r="BH1136" s="20">
        <v>-14.57</v>
      </c>
      <c r="BM1136" s="20">
        <v>58.22</v>
      </c>
      <c r="BN1136" s="20">
        <v>37.09</v>
      </c>
      <c r="BW1136" s="20">
        <v>-57.8</v>
      </c>
      <c r="BX1136" s="20">
        <v>-59.26</v>
      </c>
      <c r="BZ1136" s="20">
        <v>-47.47</v>
      </c>
      <c r="CA1136" s="20">
        <v>62.46</v>
      </c>
      <c r="CO1136" s="20">
        <v>33.94</v>
      </c>
      <c r="CP1136" s="20">
        <v>10.42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P1137" s="20">
        <v>1.37</v>
      </c>
      <c r="Q1137" s="20">
        <v>16.03</v>
      </c>
      <c r="AG1137" s="43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3">
        <v>1135.0</v>
      </c>
      <c r="BF1137" s="20" t="s">
        <v>14</v>
      </c>
      <c r="BG1137" s="20">
        <v>-27.17</v>
      </c>
      <c r="BH1137" s="20">
        <v>42.21</v>
      </c>
      <c r="BM1137" s="20">
        <v>51.17</v>
      </c>
      <c r="BN1137" s="20">
        <v>70.26</v>
      </c>
      <c r="BW1137" s="20">
        <v>-45.73</v>
      </c>
      <c r="BX1137" s="20">
        <v>-25.98</v>
      </c>
      <c r="BZ1137" s="20">
        <v>-40.03</v>
      </c>
      <c r="CA1137" s="20">
        <v>99.85</v>
      </c>
      <c r="CO1137" s="20">
        <v>-52.85</v>
      </c>
      <c r="CP1137" s="20">
        <v>-55.11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17</v>
      </c>
      <c r="M1138" s="20">
        <v>-1.61</v>
      </c>
      <c r="N1138" s="20">
        <v>37.35</v>
      </c>
      <c r="P1138" s="20">
        <v>-29.89</v>
      </c>
      <c r="Q1138" s="20">
        <v>8.46</v>
      </c>
      <c r="AG1138" s="43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17</v>
      </c>
      <c r="AO1138" s="20">
        <v>62.71</v>
      </c>
      <c r="AP1138" s="20">
        <v>-11.93</v>
      </c>
      <c r="AS1138" s="20">
        <v>572.0</v>
      </c>
      <c r="AT1138" s="20" t="s">
        <v>17</v>
      </c>
      <c r="AU1138" s="20">
        <v>-26.85</v>
      </c>
      <c r="AV1138" s="20">
        <v>-24.37</v>
      </c>
      <c r="BE1138" s="43">
        <v>1136.0</v>
      </c>
      <c r="BF1138" s="20" t="s">
        <v>14</v>
      </c>
      <c r="BG1138" s="20">
        <v>15.35</v>
      </c>
      <c r="BH1138" s="20">
        <v>66.14</v>
      </c>
      <c r="BM1138" s="20">
        <v>-37.13</v>
      </c>
      <c r="BN1138" s="20">
        <v>30.96</v>
      </c>
      <c r="BW1138" s="20">
        <v>-15.64</v>
      </c>
      <c r="BX1138" s="20">
        <v>6.61</v>
      </c>
      <c r="BZ1138" s="20">
        <v>-50.55</v>
      </c>
      <c r="CA1138" s="20">
        <v>194.92</v>
      </c>
      <c r="CO1138" s="20">
        <v>-48.62</v>
      </c>
      <c r="CP1138" s="20">
        <v>-66.08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P1139" s="20">
        <v>-4.79</v>
      </c>
      <c r="Q1139" s="20">
        <v>26.87</v>
      </c>
      <c r="AG1139" s="43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3">
        <v>1137.0</v>
      </c>
      <c r="BF1139" s="20" t="s">
        <v>14</v>
      </c>
      <c r="BG1139" s="20">
        <v>15.06</v>
      </c>
      <c r="BH1139" s="20">
        <v>10.77</v>
      </c>
      <c r="BM1139" s="20">
        <v>40.15</v>
      </c>
      <c r="BN1139" s="20">
        <v>89.57</v>
      </c>
      <c r="BW1139" s="20">
        <v>-32.5</v>
      </c>
      <c r="BX1139" s="20">
        <v>-5.52</v>
      </c>
      <c r="BZ1139" s="20">
        <v>-41.08</v>
      </c>
      <c r="CA1139" s="20">
        <v>38.65</v>
      </c>
      <c r="CO1139" s="20">
        <v>29.8</v>
      </c>
      <c r="CP1139" s="20">
        <v>-55.04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17</v>
      </c>
      <c r="M1140" s="20">
        <v>-29.44</v>
      </c>
      <c r="N1140" s="20">
        <v>-14.03</v>
      </c>
      <c r="P1140" s="20">
        <v>-54.88</v>
      </c>
      <c r="Q1140" s="20">
        <v>-73.64</v>
      </c>
      <c r="AG1140" s="43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17</v>
      </c>
      <c r="AO1140" s="20">
        <v>5.53</v>
      </c>
      <c r="AP1140" s="20">
        <v>-5.45</v>
      </c>
      <c r="AS1140" s="20">
        <v>573.0</v>
      </c>
      <c r="AT1140" s="20" t="s">
        <v>17</v>
      </c>
      <c r="AU1140" s="20">
        <v>-1.73</v>
      </c>
      <c r="AV1140" s="20">
        <v>-19.52</v>
      </c>
      <c r="BE1140" s="43">
        <v>1138.0</v>
      </c>
      <c r="BF1140" s="20" t="s">
        <v>14</v>
      </c>
      <c r="BG1140" s="20">
        <v>-27.53</v>
      </c>
      <c r="BH1140" s="20">
        <v>17.18</v>
      </c>
      <c r="BM1140" s="20">
        <v>39.08</v>
      </c>
      <c r="BN1140" s="20">
        <v>82.56</v>
      </c>
      <c r="BW1140" s="20">
        <v>-59.28</v>
      </c>
      <c r="BX1140" s="20">
        <v>-39.13</v>
      </c>
      <c r="BZ1140" s="20">
        <v>-52.67</v>
      </c>
      <c r="CA1140" s="20">
        <v>12.87</v>
      </c>
      <c r="CO1140" s="20">
        <v>-19.98</v>
      </c>
      <c r="CP1140" s="20">
        <v>-11.95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P1141" s="20">
        <v>-29.68</v>
      </c>
      <c r="Q1141" s="20">
        <v>-3.17</v>
      </c>
      <c r="AG1141" s="43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3">
        <v>1139.0</v>
      </c>
      <c r="BF1141" s="20" t="s">
        <v>14</v>
      </c>
      <c r="BG1141" s="20">
        <v>-13.09</v>
      </c>
      <c r="BH1141" s="20">
        <v>-0.52</v>
      </c>
      <c r="BM1141" s="20">
        <v>33.65</v>
      </c>
      <c r="BN1141" s="20">
        <v>124.93</v>
      </c>
      <c r="BW1141" s="20">
        <v>-12.48</v>
      </c>
      <c r="BX1141" s="20">
        <v>-9.24</v>
      </c>
      <c r="BZ1141" s="20">
        <v>48.46</v>
      </c>
      <c r="CA1141" s="20">
        <v>-17.02</v>
      </c>
      <c r="CO1141" s="20">
        <v>-5.21</v>
      </c>
      <c r="CP1141" s="20">
        <v>-48.06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17</v>
      </c>
      <c r="M1142" s="20">
        <v>-8.09</v>
      </c>
      <c r="N1142" s="20">
        <v>65.66</v>
      </c>
      <c r="P1142" s="20">
        <v>-33.99</v>
      </c>
      <c r="Q1142" s="20">
        <v>-3.72</v>
      </c>
      <c r="AG1142" s="43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17</v>
      </c>
      <c r="AO1142" s="20">
        <v>-6.39</v>
      </c>
      <c r="AP1142" s="20">
        <v>-14.03</v>
      </c>
      <c r="AS1142" s="20">
        <v>574.0</v>
      </c>
      <c r="AT1142" s="20" t="s">
        <v>17</v>
      </c>
      <c r="AU1142" s="20">
        <v>2.74</v>
      </c>
      <c r="AV1142" s="20">
        <v>-20.81</v>
      </c>
      <c r="BE1142" s="43">
        <v>1140.0</v>
      </c>
      <c r="BF1142" s="20" t="s">
        <v>14</v>
      </c>
      <c r="BG1142" s="20">
        <v>48.77</v>
      </c>
      <c r="BH1142" s="20">
        <v>30.08</v>
      </c>
      <c r="BM1142" s="20">
        <v>60.59</v>
      </c>
      <c r="BN1142" s="20">
        <v>125.1</v>
      </c>
      <c r="BW1142" s="20">
        <v>-5.02</v>
      </c>
      <c r="BX1142" s="20">
        <v>24.93</v>
      </c>
      <c r="BZ1142" s="20">
        <v>-56.4</v>
      </c>
      <c r="CA1142" s="20">
        <v>-20.72</v>
      </c>
      <c r="CO1142" s="20">
        <v>5.9</v>
      </c>
      <c r="CP1142" s="20">
        <v>-56.4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P1143" s="20">
        <v>-9.69</v>
      </c>
      <c r="Q1143" s="20">
        <v>59.45</v>
      </c>
      <c r="AG1143" s="43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3">
        <v>1141.0</v>
      </c>
      <c r="BF1143" s="20" t="s">
        <v>14</v>
      </c>
      <c r="BG1143" s="20">
        <v>-2.88</v>
      </c>
      <c r="BH1143" s="20">
        <v>-5.03</v>
      </c>
      <c r="BM1143" s="20">
        <v>-7.37</v>
      </c>
      <c r="BN1143" s="20">
        <v>122.68</v>
      </c>
      <c r="BW1143" s="20">
        <v>15.17</v>
      </c>
      <c r="BX1143" s="20">
        <v>20.62</v>
      </c>
      <c r="BZ1143" s="20">
        <v>-22.33</v>
      </c>
      <c r="CA1143" s="20">
        <v>70.72</v>
      </c>
      <c r="CO1143" s="20">
        <v>-26.7</v>
      </c>
      <c r="CP1143" s="20">
        <v>-46.6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17</v>
      </c>
      <c r="M1144" s="20">
        <v>-33.15</v>
      </c>
      <c r="N1144" s="20">
        <v>-18.82</v>
      </c>
      <c r="P1144" s="20">
        <v>-30.43</v>
      </c>
      <c r="Q1144" s="20">
        <v>-22.64</v>
      </c>
      <c r="AG1144" s="43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17</v>
      </c>
      <c r="AO1144" s="20">
        <v>-15.7</v>
      </c>
      <c r="AP1144" s="20">
        <v>7.78</v>
      </c>
      <c r="AS1144" s="20">
        <v>575.0</v>
      </c>
      <c r="AT1144" s="20" t="s">
        <v>17</v>
      </c>
      <c r="AU1144" s="20">
        <v>-2.25</v>
      </c>
      <c r="AV1144" s="20">
        <v>-27.91</v>
      </c>
      <c r="BE1144" s="43">
        <v>1142.0</v>
      </c>
      <c r="BF1144" s="20" t="s">
        <v>14</v>
      </c>
      <c r="BG1144" s="20">
        <v>12.76</v>
      </c>
      <c r="BH1144" s="20">
        <v>-19.02</v>
      </c>
      <c r="BM1144" s="20">
        <v>65.32</v>
      </c>
      <c r="BN1144" s="20">
        <v>163.89</v>
      </c>
      <c r="BW1144" s="20">
        <v>-39.55</v>
      </c>
      <c r="BX1144" s="20">
        <v>28.8</v>
      </c>
      <c r="BZ1144" s="20">
        <v>20.14</v>
      </c>
      <c r="CA1144" s="20">
        <v>-19.64</v>
      </c>
      <c r="CO1144" s="20">
        <v>1.72</v>
      </c>
      <c r="CP1144" s="20">
        <v>-40.5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P1145" s="20">
        <v>26.02</v>
      </c>
      <c r="Q1145" s="20">
        <v>110.76</v>
      </c>
      <c r="AG1145" s="43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3">
        <v>1143.0</v>
      </c>
      <c r="BF1145" s="20" t="s">
        <v>14</v>
      </c>
      <c r="BG1145" s="20">
        <v>16.04</v>
      </c>
      <c r="BH1145" s="20">
        <v>-19.6</v>
      </c>
      <c r="BM1145" s="20">
        <v>67.57</v>
      </c>
      <c r="BN1145" s="20">
        <v>85.17</v>
      </c>
      <c r="BW1145" s="20">
        <v>-26.5</v>
      </c>
      <c r="BX1145" s="20">
        <v>-34.67</v>
      </c>
      <c r="BZ1145" s="20">
        <v>-53.39</v>
      </c>
      <c r="CA1145" s="20">
        <v>32.74</v>
      </c>
      <c r="CO1145" s="20">
        <v>-14.59</v>
      </c>
      <c r="CP1145" s="20">
        <v>-52.05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17</v>
      </c>
      <c r="M1146" s="20">
        <v>-21.83</v>
      </c>
      <c r="N1146" s="20">
        <v>19.74</v>
      </c>
      <c r="P1146" s="20">
        <v>-55.14</v>
      </c>
      <c r="Q1146" s="20">
        <v>-77.27</v>
      </c>
      <c r="AG1146" s="43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17</v>
      </c>
      <c r="AO1146" s="20">
        <v>4.34</v>
      </c>
      <c r="AP1146" s="20">
        <v>-19.86</v>
      </c>
      <c r="AS1146" s="20">
        <v>576.0</v>
      </c>
      <c r="AT1146" s="20" t="s">
        <v>17</v>
      </c>
      <c r="AU1146" s="20">
        <v>-6.66</v>
      </c>
      <c r="AV1146" s="20">
        <v>-38.98</v>
      </c>
      <c r="BE1146" s="43">
        <v>1144.0</v>
      </c>
      <c r="BF1146" s="20" t="s">
        <v>14</v>
      </c>
      <c r="BG1146" s="20">
        <v>-2.37</v>
      </c>
      <c r="BH1146" s="20">
        <v>-20.02</v>
      </c>
      <c r="BM1146" s="20">
        <v>14.3</v>
      </c>
      <c r="BN1146" s="20">
        <v>183.05</v>
      </c>
      <c r="BW1146" s="20">
        <v>-49.07</v>
      </c>
      <c r="BX1146" s="20">
        <v>22.2</v>
      </c>
      <c r="BZ1146" s="20">
        <v>-64.45</v>
      </c>
      <c r="CA1146" s="20">
        <v>-43.97</v>
      </c>
      <c r="CO1146" s="20">
        <v>-39.1</v>
      </c>
      <c r="CP1146" s="20">
        <v>-67.31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P1147" s="20">
        <v>-14.69</v>
      </c>
      <c r="Q1147" s="20">
        <v>-8.94</v>
      </c>
      <c r="AG1147" s="43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3">
        <v>1145.0</v>
      </c>
      <c r="BF1147" s="20" t="s">
        <v>14</v>
      </c>
      <c r="BG1147" s="20">
        <v>22.45</v>
      </c>
      <c r="BH1147" s="20">
        <v>-23.64</v>
      </c>
      <c r="BM1147" s="20">
        <v>-16.11</v>
      </c>
      <c r="BN1147" s="20">
        <v>110.49</v>
      </c>
      <c r="BW1147" s="20">
        <v>-59.05</v>
      </c>
      <c r="BX1147" s="20">
        <v>4.34</v>
      </c>
      <c r="BZ1147" s="20">
        <v>-24.74</v>
      </c>
      <c r="CA1147" s="20">
        <v>44.5</v>
      </c>
      <c r="CO1147" s="20">
        <v>9.14</v>
      </c>
      <c r="CP1147" s="20">
        <v>-16.89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17</v>
      </c>
      <c r="M1148" s="20">
        <v>-38.33</v>
      </c>
      <c r="N1148" s="20">
        <v>-23.06</v>
      </c>
      <c r="P1148" s="20">
        <v>-24.5</v>
      </c>
      <c r="Q1148" s="20">
        <v>8.28</v>
      </c>
      <c r="AG1148" s="43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17</v>
      </c>
      <c r="AO1148" s="20">
        <v>-1.89</v>
      </c>
      <c r="AP1148" s="20">
        <v>-16.77</v>
      </c>
      <c r="AS1148" s="20">
        <v>577.0</v>
      </c>
      <c r="AT1148" s="20" t="s">
        <v>17</v>
      </c>
      <c r="AU1148" s="20">
        <v>-37.36</v>
      </c>
      <c r="AV1148" s="20">
        <v>-54.25</v>
      </c>
      <c r="BE1148" s="43">
        <v>1146.0</v>
      </c>
      <c r="BF1148" s="20" t="s">
        <v>14</v>
      </c>
      <c r="BG1148" s="20">
        <v>46.66</v>
      </c>
      <c r="BH1148" s="20">
        <v>-14.47</v>
      </c>
      <c r="BM1148" s="20">
        <v>53.26</v>
      </c>
      <c r="BN1148" s="20">
        <v>127.89</v>
      </c>
      <c r="BW1148" s="20">
        <v>-60.1</v>
      </c>
      <c r="BX1148" s="20">
        <v>-41.03</v>
      </c>
      <c r="BZ1148" s="20">
        <v>-32.11</v>
      </c>
      <c r="CA1148" s="20">
        <v>32.76</v>
      </c>
      <c r="CO1148" s="20">
        <v>-16.47</v>
      </c>
      <c r="CP1148" s="20">
        <v>-54.47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P1149" s="20">
        <v>-23.49</v>
      </c>
      <c r="Q1149" s="20">
        <v>23.04</v>
      </c>
      <c r="AG1149" s="43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3">
        <v>1147.0</v>
      </c>
      <c r="BF1149" s="20" t="s">
        <v>14</v>
      </c>
      <c r="BG1149" s="20">
        <v>-17.03</v>
      </c>
      <c r="BH1149" s="20">
        <v>6.69</v>
      </c>
      <c r="BM1149" s="20">
        <v>25.71</v>
      </c>
      <c r="BN1149" s="20">
        <v>57.73</v>
      </c>
      <c r="BW1149" s="20">
        <v>-46.56</v>
      </c>
      <c r="BX1149" s="20">
        <v>-39.77</v>
      </c>
      <c r="BZ1149" s="20">
        <v>-47.11</v>
      </c>
      <c r="CA1149" s="20">
        <v>-8.41</v>
      </c>
      <c r="CO1149" s="20">
        <v>14.73</v>
      </c>
      <c r="CP1149" s="20">
        <v>-37.53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17</v>
      </c>
      <c r="M1150" s="20">
        <v>-34.71</v>
      </c>
      <c r="N1150" s="20">
        <v>-14.41</v>
      </c>
      <c r="P1150" s="20">
        <v>-21.58</v>
      </c>
      <c r="Q1150" s="20">
        <v>106.63</v>
      </c>
      <c r="AG1150" s="43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17</v>
      </c>
      <c r="AO1150" s="20">
        <v>8.6</v>
      </c>
      <c r="AP1150" s="20">
        <v>25.44</v>
      </c>
      <c r="AS1150" s="20">
        <v>578.0</v>
      </c>
      <c r="AT1150" s="20" t="s">
        <v>17</v>
      </c>
      <c r="AU1150" s="20">
        <v>-51.66</v>
      </c>
      <c r="AV1150" s="20">
        <v>-37.77</v>
      </c>
      <c r="BE1150" s="43">
        <v>1148.0</v>
      </c>
      <c r="BF1150" s="20" t="s">
        <v>14</v>
      </c>
      <c r="BG1150" s="20">
        <v>-5.02</v>
      </c>
      <c r="BH1150" s="20">
        <v>10.8</v>
      </c>
      <c r="BM1150" s="20">
        <v>56.88</v>
      </c>
      <c r="BN1150" s="20">
        <v>84.66</v>
      </c>
      <c r="BW1150" s="20">
        <v>-55.53</v>
      </c>
      <c r="BX1150" s="20">
        <v>-53.06</v>
      </c>
      <c r="BZ1150" s="20">
        <v>-69.17</v>
      </c>
      <c r="CA1150" s="20">
        <v>-28.64</v>
      </c>
      <c r="CO1150" s="20">
        <v>-21.39</v>
      </c>
      <c r="CP1150" s="20">
        <v>-12.68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P1151" s="20">
        <v>3.27</v>
      </c>
      <c r="Q1151" s="20">
        <v>32.91</v>
      </c>
      <c r="AG1151" s="43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3">
        <v>1149.0</v>
      </c>
      <c r="BF1151" s="20" t="s">
        <v>14</v>
      </c>
      <c r="BG1151" s="20">
        <v>3.13</v>
      </c>
      <c r="BH1151" s="20">
        <v>11.32</v>
      </c>
      <c r="BM1151" s="20">
        <v>22.45</v>
      </c>
      <c r="BN1151" s="20">
        <v>42.47</v>
      </c>
      <c r="BW1151" s="20">
        <v>-42.04</v>
      </c>
      <c r="BX1151" s="20">
        <v>-15.85</v>
      </c>
      <c r="BZ1151" s="20">
        <v>-7.26</v>
      </c>
      <c r="CA1151" s="20">
        <v>205.27</v>
      </c>
      <c r="CO1151" s="20">
        <v>30.64</v>
      </c>
      <c r="CP1151" s="20">
        <v>-24.79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17</v>
      </c>
      <c r="M1152" s="20">
        <v>-43.1</v>
      </c>
      <c r="N1152" s="20">
        <v>-27.42</v>
      </c>
      <c r="P1152" s="20">
        <v>35.33</v>
      </c>
      <c r="Q1152" s="20">
        <v>108.83</v>
      </c>
      <c r="AG1152" s="43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17</v>
      </c>
      <c r="AO1152" s="20">
        <v>-22.12</v>
      </c>
      <c r="AP1152" s="20">
        <v>32.78</v>
      </c>
      <c r="AS1152" s="20">
        <v>579.0</v>
      </c>
      <c r="AT1152" s="20" t="s">
        <v>17</v>
      </c>
      <c r="AU1152" s="20">
        <v>-27.31</v>
      </c>
      <c r="AV1152" s="20">
        <v>-37.65</v>
      </c>
      <c r="BE1152" s="43">
        <v>1150.0</v>
      </c>
      <c r="BF1152" s="20" t="s">
        <v>14</v>
      </c>
      <c r="BG1152" s="20">
        <v>18.54</v>
      </c>
      <c r="BH1152" s="20">
        <v>24.49</v>
      </c>
      <c r="BM1152" s="20">
        <v>46.35</v>
      </c>
      <c r="BN1152" s="20">
        <v>46.59</v>
      </c>
      <c r="BW1152" s="20">
        <v>-37.81</v>
      </c>
      <c r="BX1152" s="20">
        <v>-11.18</v>
      </c>
      <c r="BZ1152" s="20">
        <v>-48.94</v>
      </c>
      <c r="CA1152" s="20">
        <v>171.96</v>
      </c>
      <c r="CO1152" s="20">
        <v>114.13</v>
      </c>
      <c r="CP1152" s="20">
        <v>-12.77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P1153" s="20">
        <v>-22.13</v>
      </c>
      <c r="Q1153" s="20">
        <v>24.33</v>
      </c>
      <c r="AG1153" s="43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3">
        <v>1151.0</v>
      </c>
      <c r="BF1153" s="20" t="s">
        <v>14</v>
      </c>
      <c r="BG1153" s="20">
        <v>10.39</v>
      </c>
      <c r="BH1153" s="20">
        <v>24.98</v>
      </c>
      <c r="BM1153" s="20">
        <v>110.71</v>
      </c>
      <c r="BN1153" s="20">
        <v>108.13</v>
      </c>
      <c r="BW1153" s="20">
        <v>-49.01</v>
      </c>
      <c r="BX1153" s="20">
        <v>-31.36</v>
      </c>
      <c r="BZ1153" s="20">
        <v>-49.44</v>
      </c>
      <c r="CA1153" s="20">
        <v>44.24</v>
      </c>
      <c r="CO1153" s="20">
        <v>-39.64</v>
      </c>
      <c r="CP1153" s="20">
        <v>-57.19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17</v>
      </c>
      <c r="M1154" s="20">
        <v>-34.81</v>
      </c>
      <c r="N1154" s="20">
        <v>2.41</v>
      </c>
      <c r="P1154" s="20">
        <v>-28.33</v>
      </c>
      <c r="Q1154" s="20">
        <v>79.24</v>
      </c>
      <c r="AG1154" s="43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17</v>
      </c>
      <c r="AO1154" s="20">
        <v>-37.44</v>
      </c>
      <c r="AP1154" s="20">
        <v>-35.94</v>
      </c>
      <c r="AS1154" s="20">
        <v>580.0</v>
      </c>
      <c r="AT1154" s="20" t="s">
        <v>17</v>
      </c>
      <c r="AU1154" s="20">
        <v>-15.99</v>
      </c>
      <c r="AV1154" s="20">
        <v>-25.63</v>
      </c>
      <c r="BE1154" s="43">
        <v>1152.0</v>
      </c>
      <c r="BF1154" s="20" t="s">
        <v>14</v>
      </c>
      <c r="BG1154" s="20">
        <v>-0.22</v>
      </c>
      <c r="BH1154" s="20">
        <v>-3.36</v>
      </c>
      <c r="BM1154" s="20">
        <v>165.23</v>
      </c>
      <c r="BN1154" s="20">
        <v>81.01</v>
      </c>
      <c r="BW1154" s="20">
        <v>-56.57</v>
      </c>
      <c r="BX1154" s="20">
        <v>-27.17</v>
      </c>
      <c r="BZ1154" s="20">
        <v>-46.29</v>
      </c>
      <c r="CA1154" s="20">
        <v>-53.7</v>
      </c>
      <c r="CO1154" s="20">
        <v>-58.7</v>
      </c>
      <c r="CP1154" s="20">
        <v>-53.19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P1155" s="20">
        <v>-18.0</v>
      </c>
      <c r="Q1155" s="20">
        <v>-7.08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  <c r="BM1155" s="20">
        <v>134.36</v>
      </c>
      <c r="BN1155" s="20">
        <v>78.29</v>
      </c>
      <c r="BZ1155" s="20">
        <v>-51.16</v>
      </c>
      <c r="CA1155" s="20">
        <v>45.77</v>
      </c>
      <c r="CO1155" s="20">
        <v>-12.88</v>
      </c>
      <c r="CP1155" s="20">
        <v>-44.06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17</v>
      </c>
      <c r="M1156" s="20">
        <v>-5.4</v>
      </c>
      <c r="N1156" s="20">
        <v>69.49</v>
      </c>
      <c r="P1156" s="20">
        <v>-33.41</v>
      </c>
      <c r="Q1156" s="20">
        <v>-48.02</v>
      </c>
      <c r="AM1156" s="20">
        <v>588.0</v>
      </c>
      <c r="AN1156" s="20" t="s">
        <v>17</v>
      </c>
      <c r="AO1156" s="20">
        <v>-20.86</v>
      </c>
      <c r="AP1156" s="20">
        <v>-7.03</v>
      </c>
      <c r="AS1156" s="20">
        <v>581.0</v>
      </c>
      <c r="AT1156" s="20" t="s">
        <v>17</v>
      </c>
      <c r="AU1156" s="20">
        <v>9.45</v>
      </c>
      <c r="AV1156" s="20">
        <v>0.83</v>
      </c>
      <c r="BM1156" s="20">
        <v>17.21</v>
      </c>
      <c r="BN1156" s="20">
        <v>-56.46</v>
      </c>
      <c r="BZ1156" s="20">
        <v>-67.12</v>
      </c>
      <c r="CA1156" s="20">
        <v>83.49</v>
      </c>
      <c r="CO1156" s="20">
        <v>-27.95</v>
      </c>
      <c r="CP1156" s="20">
        <v>-36.66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P1157" s="20">
        <v>-30.9</v>
      </c>
      <c r="Q1157" s="20">
        <v>60.47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  <c r="BM1157" s="20">
        <v>133.57</v>
      </c>
      <c r="BN1157" s="20">
        <v>28.96</v>
      </c>
      <c r="BZ1157" s="20">
        <v>-64.09</v>
      </c>
      <c r="CA1157" s="20">
        <v>64.76</v>
      </c>
      <c r="CO1157" s="20">
        <v>-7.85</v>
      </c>
      <c r="CP1157" s="20">
        <v>-57.96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17</v>
      </c>
      <c r="M1158" s="20">
        <v>-6.56</v>
      </c>
      <c r="N1158" s="20">
        <v>31.05</v>
      </c>
      <c r="P1158" s="20">
        <v>-3.11</v>
      </c>
      <c r="Q1158" s="20">
        <v>69.46</v>
      </c>
      <c r="AM1158" s="20">
        <v>589.0</v>
      </c>
      <c r="AN1158" s="20" t="s">
        <v>17</v>
      </c>
      <c r="AO1158" s="20">
        <v>6.88</v>
      </c>
      <c r="AP1158" s="20">
        <v>-17.27</v>
      </c>
      <c r="AS1158" s="20">
        <v>582.0</v>
      </c>
      <c r="AT1158" s="20" t="s">
        <v>17</v>
      </c>
      <c r="AU1158" s="20">
        <v>38.91</v>
      </c>
      <c r="AV1158" s="20">
        <v>-11.52</v>
      </c>
      <c r="BM1158" s="20">
        <v>152.75</v>
      </c>
      <c r="BN1158" s="20">
        <v>39.94</v>
      </c>
      <c r="BZ1158" s="20">
        <v>-66.88</v>
      </c>
      <c r="CA1158" s="20">
        <v>12.6</v>
      </c>
      <c r="CO1158" s="20">
        <v>-10.54</v>
      </c>
      <c r="CP1158" s="20">
        <v>-62.65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P1159" s="20">
        <v>-38.88</v>
      </c>
      <c r="Q1159" s="20">
        <v>-21.39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  <c r="BM1159" s="20">
        <v>66.07</v>
      </c>
      <c r="BN1159" s="20">
        <v>47.41</v>
      </c>
      <c r="BZ1159" s="20">
        <v>-73.25</v>
      </c>
      <c r="CA1159" s="20">
        <v>59.42</v>
      </c>
      <c r="CO1159" s="20">
        <v>8.57</v>
      </c>
      <c r="CP1159" s="20">
        <v>-46.54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17</v>
      </c>
      <c r="M1160" s="20">
        <v>27.22</v>
      </c>
      <c r="N1160" s="20">
        <v>83.9</v>
      </c>
      <c r="P1160" s="20">
        <v>-29.14</v>
      </c>
      <c r="Q1160" s="20">
        <v>-10.13</v>
      </c>
      <c r="AM1160" s="20">
        <v>590.0</v>
      </c>
      <c r="AN1160" s="20" t="s">
        <v>17</v>
      </c>
      <c r="AO1160" s="20">
        <v>-18.74</v>
      </c>
      <c r="AP1160" s="20">
        <v>-26.91</v>
      </c>
      <c r="AS1160" s="20">
        <v>583.0</v>
      </c>
      <c r="AT1160" s="20" t="s">
        <v>17</v>
      </c>
      <c r="AU1160" s="20">
        <v>21.98</v>
      </c>
      <c r="AV1160" s="20">
        <v>-21.51</v>
      </c>
      <c r="BM1160" s="20">
        <v>188.76</v>
      </c>
      <c r="BN1160" s="20">
        <v>110.2</v>
      </c>
      <c r="BZ1160" s="20">
        <v>-57.95</v>
      </c>
      <c r="CA1160" s="20">
        <v>-5.89</v>
      </c>
      <c r="CO1160" s="20">
        <v>-24.14</v>
      </c>
      <c r="CP1160" s="20">
        <v>-21.81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P1161" s="20">
        <v>-21.53</v>
      </c>
      <c r="Q1161" s="20">
        <v>7.24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  <c r="BM1161" s="20">
        <v>147.65</v>
      </c>
      <c r="BN1161" s="20">
        <v>101.54</v>
      </c>
      <c r="BZ1161" s="20">
        <v>-71.67</v>
      </c>
      <c r="CA1161" s="20">
        <v>39.32</v>
      </c>
      <c r="CO1161" s="20">
        <v>39.06</v>
      </c>
      <c r="CP1161" s="20">
        <v>-37.96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17</v>
      </c>
      <c r="M1162" s="20">
        <v>-7.03</v>
      </c>
      <c r="N1162" s="20">
        <v>5.65</v>
      </c>
      <c r="P1162" s="20">
        <v>-64.8</v>
      </c>
      <c r="Q1162" s="20">
        <v>-60.82</v>
      </c>
      <c r="AM1162" s="20">
        <v>591.0</v>
      </c>
      <c r="AN1162" s="20" t="s">
        <v>17</v>
      </c>
      <c r="AO1162" s="20">
        <v>-4.25</v>
      </c>
      <c r="AP1162" s="20">
        <v>-25.0</v>
      </c>
      <c r="AS1162" s="20">
        <v>584.0</v>
      </c>
      <c r="AT1162" s="20" t="s">
        <v>17</v>
      </c>
      <c r="AU1162" s="20">
        <v>-17.44</v>
      </c>
      <c r="AV1162" s="20">
        <v>-6.31</v>
      </c>
      <c r="BM1162" s="20">
        <v>109.66</v>
      </c>
      <c r="BN1162" s="20">
        <v>106.04</v>
      </c>
      <c r="BZ1162" s="20">
        <v>-54.6</v>
      </c>
      <c r="CA1162" s="20">
        <v>-39.43</v>
      </c>
      <c r="CO1162" s="20">
        <v>47.25</v>
      </c>
      <c r="CP1162" s="20">
        <v>-39.15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P1163" s="20">
        <v>-7.97</v>
      </c>
      <c r="Q1163" s="20">
        <v>26.13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  <c r="BM1163" s="20">
        <v>91.58</v>
      </c>
      <c r="BN1163" s="20">
        <v>53.35</v>
      </c>
      <c r="BZ1163" s="20">
        <v>-28.36</v>
      </c>
      <c r="CA1163" s="20">
        <v>91.92</v>
      </c>
      <c r="CO1163" s="20">
        <v>-24.4</v>
      </c>
      <c r="CP1163" s="20">
        <v>-44.73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17</v>
      </c>
      <c r="M1164" s="20">
        <v>-12.84</v>
      </c>
      <c r="N1164" s="20">
        <v>19.02</v>
      </c>
      <c r="P1164" s="20">
        <v>10.1</v>
      </c>
      <c r="Q1164" s="20">
        <v>69.82</v>
      </c>
      <c r="AM1164" s="20">
        <v>592.0</v>
      </c>
      <c r="AN1164" s="20" t="s">
        <v>17</v>
      </c>
      <c r="AO1164" s="20">
        <v>-24.69</v>
      </c>
      <c r="AP1164" s="20">
        <v>-32.78</v>
      </c>
      <c r="AS1164" s="20">
        <v>585.0</v>
      </c>
      <c r="AT1164" s="20" t="s">
        <v>17</v>
      </c>
      <c r="AU1164" s="20">
        <v>-24.34</v>
      </c>
      <c r="AV1164" s="20">
        <v>-35.3</v>
      </c>
      <c r="BM1164" s="20">
        <v>18.83</v>
      </c>
      <c r="BN1164" s="20">
        <v>18.4</v>
      </c>
      <c r="BZ1164" s="20">
        <v>-44.72</v>
      </c>
      <c r="CA1164" s="20">
        <v>81.72</v>
      </c>
      <c r="CO1164" s="20">
        <v>-49.18</v>
      </c>
      <c r="CP1164" s="20">
        <v>-51.89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P1165" s="20">
        <v>-25.64</v>
      </c>
      <c r="Q1165" s="20">
        <v>-3.16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  <c r="BM1165" s="20">
        <v>196.87</v>
      </c>
      <c r="BN1165" s="20">
        <v>93.95</v>
      </c>
      <c r="BZ1165" s="20">
        <v>-32.82</v>
      </c>
      <c r="CA1165" s="20">
        <v>58.64</v>
      </c>
      <c r="CO1165" s="20">
        <v>-18.94</v>
      </c>
      <c r="CP1165" s="20">
        <v>-32.4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17</v>
      </c>
      <c r="M1166" s="20">
        <v>-66.79</v>
      </c>
      <c r="N1166" s="20">
        <v>-61.86</v>
      </c>
      <c r="P1166" s="20">
        <v>12.22</v>
      </c>
      <c r="Q1166" s="20">
        <v>37.27</v>
      </c>
      <c r="AM1166" s="20">
        <v>593.0</v>
      </c>
      <c r="AN1166" s="20" t="s">
        <v>17</v>
      </c>
      <c r="AO1166" s="20">
        <v>-9.47</v>
      </c>
      <c r="AP1166" s="20">
        <v>7.65</v>
      </c>
      <c r="AS1166" s="20">
        <v>586.0</v>
      </c>
      <c r="AT1166" s="20" t="s">
        <v>17</v>
      </c>
      <c r="AU1166" s="20">
        <v>-12.95</v>
      </c>
      <c r="AV1166" s="20">
        <v>-51.3</v>
      </c>
      <c r="BM1166" s="20">
        <v>173.77</v>
      </c>
      <c r="BN1166" s="20">
        <v>110.73</v>
      </c>
      <c r="BZ1166" s="20">
        <v>-61.35</v>
      </c>
      <c r="CA1166" s="20">
        <v>18.61</v>
      </c>
      <c r="CO1166" s="20">
        <v>-18.19</v>
      </c>
      <c r="CP1166" s="20">
        <v>-52.13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P1167" s="20">
        <v>-6.44</v>
      </c>
      <c r="Q1167" s="20">
        <v>52.59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  <c r="BM1167" s="20">
        <v>38.37</v>
      </c>
      <c r="BN1167" s="20">
        <v>50.88</v>
      </c>
      <c r="BZ1167" s="20">
        <v>-57.31</v>
      </c>
      <c r="CA1167" s="20">
        <v>75.37</v>
      </c>
      <c r="CO1167" s="20">
        <v>-19.25</v>
      </c>
      <c r="CP1167" s="20">
        <v>-42.82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17</v>
      </c>
      <c r="M1168" s="20">
        <v>-1.35</v>
      </c>
      <c r="N1168" s="20">
        <v>45.6</v>
      </c>
      <c r="P1168" s="20">
        <v>5.41</v>
      </c>
      <c r="Q1168" s="20">
        <v>21.08</v>
      </c>
      <c r="AM1168" s="20">
        <v>594.0</v>
      </c>
      <c r="AN1168" s="20" t="s">
        <v>17</v>
      </c>
      <c r="AO1168" s="20">
        <v>-29.85</v>
      </c>
      <c r="AP1168" s="20">
        <v>-2.16</v>
      </c>
      <c r="AS1168" s="20">
        <v>587.0</v>
      </c>
      <c r="AT1168" s="20" t="s">
        <v>17</v>
      </c>
      <c r="AU1168" s="20">
        <v>-41.52</v>
      </c>
      <c r="AV1168" s="20">
        <v>-23.81</v>
      </c>
      <c r="BM1168" s="20">
        <v>86.09</v>
      </c>
      <c r="BN1168" s="20">
        <v>128.22</v>
      </c>
      <c r="BZ1168" s="20">
        <v>-53.25</v>
      </c>
      <c r="CA1168" s="20">
        <v>51.96</v>
      </c>
      <c r="CO1168" s="20">
        <v>-45.62</v>
      </c>
      <c r="CP1168" s="20">
        <v>-65.67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P1169" s="20">
        <v>11.16</v>
      </c>
      <c r="Q1169" s="20">
        <v>80.55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  <c r="BM1169" s="20">
        <v>121.3</v>
      </c>
      <c r="BN1169" s="20">
        <v>157.16</v>
      </c>
      <c r="BZ1169" s="20">
        <v>-30.73</v>
      </c>
      <c r="CA1169" s="20">
        <v>34.37</v>
      </c>
      <c r="CO1169" s="20">
        <v>-4.27</v>
      </c>
      <c r="CP1169" s="20">
        <v>-51.15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17</v>
      </c>
      <c r="M1170" s="20">
        <v>-12.51</v>
      </c>
      <c r="N1170" s="20">
        <v>34.17</v>
      </c>
      <c r="P1170" s="20">
        <v>6.49</v>
      </c>
      <c r="Q1170" s="20">
        <v>73.25</v>
      </c>
      <c r="AM1170" s="20">
        <v>595.0</v>
      </c>
      <c r="AN1170" s="20" t="s">
        <v>17</v>
      </c>
      <c r="AO1170" s="20">
        <v>-24.53</v>
      </c>
      <c r="AP1170" s="20">
        <v>7.17</v>
      </c>
      <c r="AS1170" s="20">
        <v>588.0</v>
      </c>
      <c r="AT1170" s="20" t="s">
        <v>17</v>
      </c>
      <c r="AU1170" s="20">
        <v>-26.36</v>
      </c>
      <c r="AV1170" s="20">
        <v>-19.69</v>
      </c>
      <c r="BM1170" s="20">
        <v>-24.76</v>
      </c>
      <c r="BN1170" s="20">
        <v>49.23</v>
      </c>
      <c r="BZ1170" s="20">
        <v>-45.61</v>
      </c>
      <c r="CA1170" s="20">
        <v>-23.89</v>
      </c>
      <c r="CO1170" s="20">
        <v>-0.93</v>
      </c>
      <c r="CP1170" s="20">
        <v>-51.75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P1171" s="20">
        <v>19.8</v>
      </c>
      <c r="Q1171" s="20">
        <v>73.41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  <c r="BM1171" s="20">
        <v>66.58</v>
      </c>
      <c r="BN1171" s="20">
        <v>223.46</v>
      </c>
      <c r="BZ1171" s="20">
        <v>-58.06</v>
      </c>
      <c r="CA1171" s="20">
        <v>114.46</v>
      </c>
      <c r="CO1171" s="20">
        <v>-38.05</v>
      </c>
      <c r="CP1171" s="20">
        <v>-55.2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17</v>
      </c>
      <c r="M1172" s="20">
        <v>-39.92</v>
      </c>
      <c r="N1172" s="20">
        <v>2.28</v>
      </c>
      <c r="P1172" s="20">
        <v>29.91</v>
      </c>
      <c r="Q1172" s="20">
        <v>126.32</v>
      </c>
      <c r="AM1172" s="20">
        <v>596.0</v>
      </c>
      <c r="AN1172" s="20" t="s">
        <v>17</v>
      </c>
      <c r="AO1172" s="20">
        <v>-31.91</v>
      </c>
      <c r="AP1172" s="20">
        <v>35.29</v>
      </c>
      <c r="AS1172" s="20">
        <v>589.0</v>
      </c>
      <c r="AT1172" s="20" t="s">
        <v>17</v>
      </c>
      <c r="AU1172" s="20">
        <v>-19.3</v>
      </c>
      <c r="AV1172" s="20">
        <v>-30.95</v>
      </c>
      <c r="BM1172" s="20">
        <v>77.77</v>
      </c>
      <c r="BN1172" s="20">
        <v>164.05</v>
      </c>
      <c r="BZ1172" s="20">
        <v>-42.88</v>
      </c>
      <c r="CA1172" s="20">
        <v>15.01</v>
      </c>
      <c r="CO1172" s="20">
        <v>2.05</v>
      </c>
      <c r="CP1172" s="20">
        <v>-54.88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P1173" s="20">
        <v>11.51</v>
      </c>
      <c r="Q1173" s="20">
        <v>40.7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  <c r="BM1173" s="20">
        <v>80.85</v>
      </c>
      <c r="BN1173" s="20">
        <v>97.8</v>
      </c>
      <c r="BZ1173" s="20">
        <v>-55.36</v>
      </c>
      <c r="CA1173" s="20">
        <v>123.28</v>
      </c>
      <c r="CO1173" s="20">
        <v>12.15</v>
      </c>
      <c r="CP1173" s="20">
        <v>-63.52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17</v>
      </c>
      <c r="M1174" s="20">
        <v>9.76</v>
      </c>
      <c r="N1174" s="20">
        <v>17.57</v>
      </c>
      <c r="P1174" s="20">
        <v>33.79</v>
      </c>
      <c r="Q1174" s="20">
        <v>106.59</v>
      </c>
      <c r="AM1174" s="20">
        <v>597.0</v>
      </c>
      <c r="AN1174" s="20" t="s">
        <v>17</v>
      </c>
      <c r="AO1174" s="20">
        <v>-14.14</v>
      </c>
      <c r="AP1174" s="20">
        <v>-29.94</v>
      </c>
      <c r="AS1174" s="20">
        <v>590.0</v>
      </c>
      <c r="AT1174" s="20" t="s">
        <v>17</v>
      </c>
      <c r="AU1174" s="20">
        <v>17.59</v>
      </c>
      <c r="AV1174" s="20">
        <v>-30.03</v>
      </c>
      <c r="BM1174" s="20">
        <v>102.17</v>
      </c>
      <c r="BN1174" s="20">
        <v>72.74</v>
      </c>
      <c r="BZ1174" s="20">
        <v>-68.73</v>
      </c>
      <c r="CA1174" s="20">
        <v>25.16</v>
      </c>
      <c r="CO1174" s="20">
        <v>-26.98</v>
      </c>
      <c r="CP1174" s="20">
        <v>-62.72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P1175" s="20">
        <v>-5.72</v>
      </c>
      <c r="Q1175" s="20">
        <v>46.79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  <c r="BM1175" s="20">
        <v>46.84</v>
      </c>
      <c r="BN1175" s="20">
        <v>126.36</v>
      </c>
      <c r="BZ1175" s="20">
        <v>-59.3</v>
      </c>
      <c r="CA1175" s="20">
        <v>69.27</v>
      </c>
      <c r="CO1175" s="20">
        <v>11.35</v>
      </c>
      <c r="CP1175" s="20">
        <v>-51.09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17</v>
      </c>
      <c r="M1176" s="20">
        <v>-14.56</v>
      </c>
      <c r="N1176" s="20">
        <v>-40.64</v>
      </c>
      <c r="P1176" s="20">
        <v>19.56</v>
      </c>
      <c r="Q1176" s="20">
        <v>66.01</v>
      </c>
      <c r="AM1176" s="20">
        <v>598.0</v>
      </c>
      <c r="AN1176" s="20" t="s">
        <v>17</v>
      </c>
      <c r="AO1176" s="20">
        <v>-14.76</v>
      </c>
      <c r="AP1176" s="20">
        <v>-27.22</v>
      </c>
      <c r="AS1176" s="20">
        <v>591.0</v>
      </c>
      <c r="AT1176" s="20" t="s">
        <v>17</v>
      </c>
      <c r="AU1176" s="20">
        <v>-29.91</v>
      </c>
      <c r="AV1176" s="20">
        <v>-35.08</v>
      </c>
      <c r="BM1176" s="20">
        <v>33.41</v>
      </c>
      <c r="BN1176" s="20">
        <v>58.33</v>
      </c>
      <c r="BZ1176" s="20">
        <v>-65.86</v>
      </c>
      <c r="CA1176" s="20">
        <v>-18.65</v>
      </c>
      <c r="CO1176" s="20">
        <v>7.22</v>
      </c>
      <c r="CP1176" s="20">
        <v>-40.26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P1177" s="20">
        <v>17.4</v>
      </c>
      <c r="Q1177" s="20">
        <v>35.33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  <c r="BM1177" s="20">
        <v>112.11</v>
      </c>
      <c r="BN1177" s="20">
        <v>94.81</v>
      </c>
      <c r="BZ1177" s="20">
        <v>-40.37</v>
      </c>
      <c r="CA1177" s="20">
        <v>46.39</v>
      </c>
      <c r="CO1177" s="20">
        <v>-14.35</v>
      </c>
      <c r="CP1177" s="20">
        <v>-58.13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17</v>
      </c>
      <c r="M1178" s="20">
        <v>-31.71</v>
      </c>
      <c r="N1178" s="20">
        <v>8.41</v>
      </c>
      <c r="P1178" s="20">
        <v>-47.67</v>
      </c>
      <c r="Q1178" s="20">
        <v>-2.08</v>
      </c>
      <c r="AM1178" s="20">
        <v>599.0</v>
      </c>
      <c r="AN1178" s="20" t="s">
        <v>17</v>
      </c>
      <c r="AO1178" s="20">
        <v>-28.36</v>
      </c>
      <c r="AP1178" s="20">
        <v>-1.59</v>
      </c>
      <c r="AS1178" s="20">
        <v>592.0</v>
      </c>
      <c r="AT1178" s="20" t="s">
        <v>17</v>
      </c>
      <c r="AU1178" s="20">
        <v>-11.25</v>
      </c>
      <c r="AV1178" s="20">
        <v>-30.26</v>
      </c>
      <c r="BM1178" s="20">
        <v>34.69</v>
      </c>
      <c r="BN1178" s="20">
        <v>164.06</v>
      </c>
      <c r="BZ1178" s="20">
        <v>-43.61</v>
      </c>
      <c r="CA1178" s="20">
        <v>69.89</v>
      </c>
      <c r="CO1178" s="20">
        <v>-5.01</v>
      </c>
      <c r="CP1178" s="20">
        <v>-49.97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P1179" s="20">
        <v>35.91</v>
      </c>
      <c r="Q1179" s="20">
        <v>33.46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  <c r="BM1179" s="20">
        <v>113.32</v>
      </c>
      <c r="BN1179" s="20">
        <v>151.4</v>
      </c>
      <c r="BZ1179" s="20">
        <v>-52.6</v>
      </c>
      <c r="CA1179" s="20">
        <v>47.7</v>
      </c>
      <c r="CO1179" s="20">
        <v>-56.11</v>
      </c>
      <c r="CP1179" s="20">
        <v>-58.28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17</v>
      </c>
      <c r="M1180" s="20">
        <v>-8.03</v>
      </c>
      <c r="N1180" s="20">
        <v>-18.0</v>
      </c>
      <c r="P1180" s="20">
        <v>24.03</v>
      </c>
      <c r="Q1180" s="20">
        <v>44.86</v>
      </c>
      <c r="AM1180" s="20">
        <v>600.0</v>
      </c>
      <c r="AN1180" s="20" t="s">
        <v>17</v>
      </c>
      <c r="AO1180" s="20">
        <v>-4.08</v>
      </c>
      <c r="AP1180" s="20">
        <v>-24.3</v>
      </c>
      <c r="AS1180" s="20">
        <v>593.0</v>
      </c>
      <c r="AT1180" s="20" t="s">
        <v>17</v>
      </c>
      <c r="AU1180" s="20">
        <v>-33.95</v>
      </c>
      <c r="AV1180" s="20">
        <v>-42.24</v>
      </c>
      <c r="BM1180" s="20">
        <v>47.75</v>
      </c>
      <c r="BN1180" s="20">
        <v>151.74</v>
      </c>
      <c r="BZ1180" s="20">
        <v>-37.59</v>
      </c>
      <c r="CA1180" s="20">
        <v>31.78</v>
      </c>
      <c r="CO1180" s="20">
        <v>8.25</v>
      </c>
      <c r="CP1180" s="20">
        <v>-3.44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P1181" s="20">
        <v>-11.19</v>
      </c>
      <c r="Q1181" s="20">
        <v>41.8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  <c r="BM1181" s="20">
        <v>86.1</v>
      </c>
      <c r="BN1181" s="20">
        <v>68.58</v>
      </c>
      <c r="BZ1181" s="20">
        <v>-48.62</v>
      </c>
      <c r="CA1181" s="20">
        <v>30.8</v>
      </c>
      <c r="CO1181" s="20">
        <v>-51.91</v>
      </c>
      <c r="CP1181" s="20">
        <v>-54.19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17</v>
      </c>
      <c r="M1182" s="20">
        <v>13.47</v>
      </c>
      <c r="N1182" s="20">
        <v>33.92</v>
      </c>
      <c r="P1182" s="20">
        <v>25.82</v>
      </c>
      <c r="Q1182" s="20">
        <v>148.46</v>
      </c>
      <c r="AM1182" s="20">
        <v>601.0</v>
      </c>
      <c r="AN1182" s="20" t="s">
        <v>17</v>
      </c>
      <c r="AO1182" s="20">
        <v>39.99</v>
      </c>
      <c r="AP1182" s="20">
        <v>10.97</v>
      </c>
      <c r="AS1182" s="20">
        <v>594.0</v>
      </c>
      <c r="AT1182" s="20" t="s">
        <v>17</v>
      </c>
      <c r="AU1182" s="20">
        <v>8.7</v>
      </c>
      <c r="AV1182" s="20">
        <v>-23.96</v>
      </c>
      <c r="BM1182" s="20">
        <v>167.48</v>
      </c>
      <c r="BN1182" s="20">
        <v>123.47</v>
      </c>
      <c r="BZ1182" s="20">
        <v>-53.03</v>
      </c>
      <c r="CA1182" s="20">
        <v>8.39</v>
      </c>
      <c r="CO1182" s="20">
        <v>-24.14</v>
      </c>
      <c r="CP1182" s="20">
        <v>-47.51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P1183" s="20">
        <v>4.64</v>
      </c>
      <c r="Q1183" s="20">
        <v>111.75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  <c r="BM1183" s="20">
        <v>78.88</v>
      </c>
      <c r="BN1183" s="20">
        <v>186.27</v>
      </c>
      <c r="BZ1183" s="20">
        <v>-32.26</v>
      </c>
      <c r="CA1183" s="20">
        <v>137.33</v>
      </c>
      <c r="CO1183" s="20">
        <v>-53.7</v>
      </c>
      <c r="CP1183" s="20">
        <v>-55.94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17</v>
      </c>
      <c r="M1184" s="20">
        <v>-19.18</v>
      </c>
      <c r="N1184" s="20">
        <v>20.83</v>
      </c>
      <c r="P1184" s="20">
        <v>-13.65</v>
      </c>
      <c r="Q1184" s="20">
        <v>25.8</v>
      </c>
      <c r="AM1184" s="20">
        <v>602.0</v>
      </c>
      <c r="AN1184" s="20" t="s">
        <v>17</v>
      </c>
      <c r="AO1184" s="20">
        <v>-9.7</v>
      </c>
      <c r="AP1184" s="20">
        <v>-27.32</v>
      </c>
      <c r="AS1184" s="20">
        <v>595.0</v>
      </c>
      <c r="AT1184" s="20" t="s">
        <v>17</v>
      </c>
      <c r="AU1184" s="20">
        <v>-38.32</v>
      </c>
      <c r="AV1184" s="20">
        <v>-59.91</v>
      </c>
      <c r="BM1184" s="20">
        <v>-0.54</v>
      </c>
      <c r="BN1184" s="20">
        <v>15.38</v>
      </c>
      <c r="BZ1184" s="20">
        <v>-52.51</v>
      </c>
      <c r="CA1184" s="20">
        <v>111.74</v>
      </c>
      <c r="CO1184" s="20">
        <v>177.16</v>
      </c>
      <c r="CP1184" s="20">
        <v>29.53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P1185" s="20">
        <v>-4.07</v>
      </c>
      <c r="Q1185" s="20">
        <v>25.11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  <c r="BM1185" s="20">
        <v>131.18</v>
      </c>
      <c r="BN1185" s="20">
        <v>134.22</v>
      </c>
      <c r="BZ1185" s="20">
        <v>-39.16</v>
      </c>
      <c r="CA1185" s="20">
        <v>36.95</v>
      </c>
      <c r="CO1185" s="20">
        <v>-2.75</v>
      </c>
      <c r="CP1185" s="20">
        <v>-59.25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17</v>
      </c>
      <c r="M1186" s="20">
        <v>-17.17</v>
      </c>
      <c r="N1186" s="20">
        <v>36.69</v>
      </c>
      <c r="P1186" s="20">
        <v>53.02</v>
      </c>
      <c r="Q1186" s="20">
        <v>60.53</v>
      </c>
      <c r="AM1186" s="20">
        <v>603.0</v>
      </c>
      <c r="AN1186" s="20" t="s">
        <v>17</v>
      </c>
      <c r="AO1186" s="20">
        <v>-19.27</v>
      </c>
      <c r="AP1186" s="20">
        <v>-13.15</v>
      </c>
      <c r="AS1186" s="20">
        <v>596.0</v>
      </c>
      <c r="AT1186" s="20" t="s">
        <v>17</v>
      </c>
      <c r="AU1186" s="20">
        <v>29.64</v>
      </c>
      <c r="AV1186" s="20">
        <v>-7.42</v>
      </c>
      <c r="BM1186" s="20">
        <v>47.6</v>
      </c>
      <c r="BN1186" s="20">
        <v>73.48</v>
      </c>
      <c r="BZ1186" s="20">
        <v>-64.24</v>
      </c>
      <c r="CA1186" s="20">
        <v>64.45</v>
      </c>
      <c r="CO1186" s="20">
        <v>-25.25</v>
      </c>
      <c r="CP1186" s="20">
        <v>-38.38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P1187" s="20">
        <v>22.04</v>
      </c>
      <c r="Q1187" s="20">
        <v>31.13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  <c r="BM1187" s="20">
        <v>-35.89</v>
      </c>
      <c r="BN1187" s="20">
        <v>45.49</v>
      </c>
      <c r="BZ1187" s="20">
        <v>-19.33</v>
      </c>
      <c r="CA1187" s="20">
        <v>0.78</v>
      </c>
      <c r="CO1187" s="20">
        <v>31.92</v>
      </c>
      <c r="CP1187" s="20">
        <v>-42.38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17</v>
      </c>
      <c r="M1188" s="20">
        <v>-37.47</v>
      </c>
      <c r="N1188" s="20">
        <v>-28.57</v>
      </c>
      <c r="P1188" s="20">
        <v>15.66</v>
      </c>
      <c r="Q1188" s="20">
        <v>23.32</v>
      </c>
      <c r="AM1188" s="20">
        <v>604.0</v>
      </c>
      <c r="AN1188" s="20" t="s">
        <v>17</v>
      </c>
      <c r="AO1188" s="20">
        <v>-18.95</v>
      </c>
      <c r="AP1188" s="20">
        <v>-40.59</v>
      </c>
      <c r="AS1188" s="20">
        <v>597.0</v>
      </c>
      <c r="AT1188" s="20" t="s">
        <v>17</v>
      </c>
      <c r="AU1188" s="20">
        <v>-43.68</v>
      </c>
      <c r="AV1188" s="20">
        <v>-44.87</v>
      </c>
      <c r="BM1188" s="20">
        <v>18.61</v>
      </c>
      <c r="BN1188" s="20">
        <v>33.01</v>
      </c>
      <c r="BZ1188" s="20">
        <v>-5.27</v>
      </c>
      <c r="CA1188" s="20">
        <v>-25.76</v>
      </c>
      <c r="CO1188" s="20">
        <v>-6.53</v>
      </c>
      <c r="CP1188" s="20">
        <v>-61.12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P1189" s="20">
        <v>-20.88</v>
      </c>
      <c r="Q1189" s="20">
        <v>27.33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  <c r="BM1189" s="20">
        <v>69.5</v>
      </c>
      <c r="BN1189" s="20">
        <v>46.96</v>
      </c>
      <c r="BZ1189" s="20">
        <v>-40.51</v>
      </c>
      <c r="CA1189" s="20">
        <v>-41.08</v>
      </c>
      <c r="CO1189" s="20">
        <v>-11.41</v>
      </c>
      <c r="CP1189" s="20">
        <v>-60.38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17</v>
      </c>
      <c r="M1190" s="20">
        <v>-9.97</v>
      </c>
      <c r="N1190" s="20">
        <v>-4.15</v>
      </c>
      <c r="P1190" s="20">
        <v>56.55</v>
      </c>
      <c r="Q1190" s="20">
        <v>187.57</v>
      </c>
      <c r="AM1190" s="20">
        <v>605.0</v>
      </c>
      <c r="AN1190" s="20" t="s">
        <v>17</v>
      </c>
      <c r="AO1190" s="20">
        <v>-34.33</v>
      </c>
      <c r="AP1190" s="20">
        <v>0.55</v>
      </c>
      <c r="AS1190" s="20">
        <v>598.0</v>
      </c>
      <c r="AT1190" s="20" t="s">
        <v>17</v>
      </c>
      <c r="AU1190" s="20">
        <v>-13.25</v>
      </c>
      <c r="AV1190" s="20">
        <v>-38.27</v>
      </c>
      <c r="BM1190" s="20">
        <v>-62.5</v>
      </c>
      <c r="BN1190" s="20">
        <v>-4.37</v>
      </c>
      <c r="BZ1190" s="20">
        <v>-61.07</v>
      </c>
      <c r="CA1190" s="20">
        <v>-54.11</v>
      </c>
      <c r="CO1190" s="20">
        <v>-25.04</v>
      </c>
      <c r="CP1190" s="20">
        <v>-39.37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P1191" s="20">
        <v>-17.65</v>
      </c>
      <c r="Q1191" s="20">
        <v>29.28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  <c r="BM1191" s="20">
        <v>60.81</v>
      </c>
      <c r="BN1191" s="20">
        <v>177.77</v>
      </c>
      <c r="BZ1191" s="20">
        <v>-2.68</v>
      </c>
      <c r="CA1191" s="20">
        <v>-39.81</v>
      </c>
      <c r="CO1191" s="20">
        <v>-31.84</v>
      </c>
      <c r="CP1191" s="20">
        <v>-43.76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17</v>
      </c>
      <c r="M1192" s="20">
        <v>-38.73</v>
      </c>
      <c r="N1192" s="20">
        <v>-16.72</v>
      </c>
      <c r="P1192" s="20">
        <v>-57.08</v>
      </c>
      <c r="Q1192" s="20">
        <v>-53.33</v>
      </c>
      <c r="AM1192" s="20">
        <v>606.0</v>
      </c>
      <c r="AN1192" s="20" t="s">
        <v>17</v>
      </c>
      <c r="AO1192" s="20">
        <v>8.02</v>
      </c>
      <c r="AP1192" s="20">
        <v>6.28</v>
      </c>
      <c r="AS1192" s="20">
        <v>599.0</v>
      </c>
      <c r="AT1192" s="20" t="s">
        <v>17</v>
      </c>
      <c r="AU1192" s="20">
        <v>-4.38</v>
      </c>
      <c r="AV1192" s="20">
        <v>-39.93</v>
      </c>
      <c r="BM1192" s="20">
        <v>43.49</v>
      </c>
      <c r="BN1192" s="20">
        <v>249.08</v>
      </c>
      <c r="BZ1192" s="20">
        <v>-50.36</v>
      </c>
      <c r="CA1192" s="20">
        <v>-19.11</v>
      </c>
      <c r="CO1192" s="20">
        <v>5.64</v>
      </c>
      <c r="CP1192" s="20">
        <v>-45.67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P1193" s="20">
        <v>-38.0</v>
      </c>
      <c r="Q1193" s="20">
        <v>6.68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  <c r="BM1193" s="20">
        <v>64.64</v>
      </c>
      <c r="BN1193" s="20">
        <v>145.79</v>
      </c>
      <c r="BZ1193" s="20">
        <v>-49.56</v>
      </c>
      <c r="CA1193" s="20">
        <v>53.23</v>
      </c>
      <c r="CO1193" s="20">
        <v>-8.14</v>
      </c>
      <c r="CP1193" s="20">
        <v>-37.56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17</v>
      </c>
      <c r="M1194" s="20">
        <v>-23.15</v>
      </c>
      <c r="N1194" s="20">
        <v>18.53</v>
      </c>
      <c r="P1194" s="20">
        <v>-7.52</v>
      </c>
      <c r="Q1194" s="20">
        <v>-47.25</v>
      </c>
      <c r="AM1194" s="20">
        <v>607.0</v>
      </c>
      <c r="AN1194" s="20" t="s">
        <v>17</v>
      </c>
      <c r="AO1194" s="20">
        <v>7.99</v>
      </c>
      <c r="AP1194" s="20">
        <v>-22.5</v>
      </c>
      <c r="AS1194" s="20">
        <v>600.0</v>
      </c>
      <c r="AT1194" s="20" t="s">
        <v>17</v>
      </c>
      <c r="AU1194" s="20">
        <v>-2.64</v>
      </c>
      <c r="AV1194" s="20">
        <v>-21.31</v>
      </c>
      <c r="BM1194" s="20">
        <v>98.35</v>
      </c>
      <c r="BN1194" s="20">
        <v>118.03</v>
      </c>
      <c r="BZ1194" s="20">
        <v>-53.36</v>
      </c>
      <c r="CA1194" s="20">
        <v>-2.78</v>
      </c>
      <c r="CO1194" s="20">
        <v>-2.69</v>
      </c>
      <c r="CP1194" s="20">
        <v>-57.38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P1195" s="20">
        <v>-17.29</v>
      </c>
      <c r="Q1195" s="20">
        <v>-7.74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  <c r="BM1195" s="20">
        <v>14.93</v>
      </c>
      <c r="BN1195" s="20">
        <v>59.01</v>
      </c>
      <c r="BZ1195" s="20">
        <v>-1.64</v>
      </c>
      <c r="CA1195" s="20">
        <v>113.98</v>
      </c>
      <c r="CO1195" s="20">
        <v>-28.66</v>
      </c>
      <c r="CP1195" s="20">
        <v>-33.55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17</v>
      </c>
      <c r="M1196" s="20">
        <v>-11.18</v>
      </c>
      <c r="N1196" s="20">
        <v>-24.01</v>
      </c>
      <c r="P1196" s="20">
        <v>24.14</v>
      </c>
      <c r="Q1196" s="20">
        <v>11.15</v>
      </c>
      <c r="AM1196" s="20">
        <v>608.0</v>
      </c>
      <c r="AN1196" s="20" t="s">
        <v>17</v>
      </c>
      <c r="AO1196" s="20">
        <v>-8.55</v>
      </c>
      <c r="AP1196" s="20">
        <v>-32.12</v>
      </c>
      <c r="AS1196" s="20">
        <v>601.0</v>
      </c>
      <c r="AT1196" s="20" t="s">
        <v>17</v>
      </c>
      <c r="AU1196" s="20">
        <v>14.5</v>
      </c>
      <c r="AV1196" s="20">
        <v>-34.53</v>
      </c>
      <c r="BM1196" s="20">
        <v>50.29</v>
      </c>
      <c r="BN1196" s="20">
        <v>137.97</v>
      </c>
      <c r="BZ1196" s="20">
        <v>-33.56</v>
      </c>
      <c r="CA1196" s="20">
        <v>-13.35</v>
      </c>
      <c r="CO1196" s="20">
        <v>-38.13</v>
      </c>
      <c r="CP1196" s="20">
        <v>-55.31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P1197" s="20">
        <v>-34.39</v>
      </c>
      <c r="Q1197" s="20">
        <v>36.79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  <c r="BM1197" s="20">
        <v>62.68</v>
      </c>
      <c r="BN1197" s="20">
        <v>115.99</v>
      </c>
      <c r="BZ1197" s="20">
        <v>-33.44</v>
      </c>
      <c r="CA1197" s="20">
        <v>57.08</v>
      </c>
      <c r="CO1197" s="20">
        <v>-15.56</v>
      </c>
      <c r="CP1197" s="20">
        <v>-49.69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17</v>
      </c>
      <c r="M1198" s="20">
        <v>16.18</v>
      </c>
      <c r="N1198" s="20">
        <v>12.36</v>
      </c>
      <c r="P1198" s="20">
        <v>-19.85</v>
      </c>
      <c r="Q1198" s="20">
        <v>25.15</v>
      </c>
      <c r="AM1198" s="20">
        <v>609.0</v>
      </c>
      <c r="AN1198" s="20" t="s">
        <v>17</v>
      </c>
      <c r="AO1198" s="20">
        <v>45.15</v>
      </c>
      <c r="AP1198" s="20">
        <v>34.78</v>
      </c>
      <c r="AS1198" s="20">
        <v>602.0</v>
      </c>
      <c r="AT1198" s="20" t="s">
        <v>17</v>
      </c>
      <c r="AU1198" s="20">
        <v>-16.72</v>
      </c>
      <c r="AV1198" s="20">
        <v>-13.12</v>
      </c>
      <c r="BM1198" s="20">
        <v>75.99</v>
      </c>
      <c r="BN1198" s="20">
        <v>165.74</v>
      </c>
      <c r="BZ1198" s="20">
        <v>-20.31</v>
      </c>
      <c r="CA1198" s="20">
        <v>24.13</v>
      </c>
      <c r="CO1198" s="20">
        <v>19.78</v>
      </c>
      <c r="CP1198" s="20">
        <v>-19.97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P1199" s="20">
        <v>18.87</v>
      </c>
      <c r="Q1199" s="20">
        <v>1.08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  <c r="BM1199" s="20">
        <v>90.55</v>
      </c>
      <c r="BN1199" s="20">
        <v>109.78</v>
      </c>
      <c r="BZ1199" s="20">
        <v>-7.23</v>
      </c>
      <c r="CA1199" s="20">
        <v>107.25</v>
      </c>
      <c r="CO1199" s="20">
        <v>-12.72</v>
      </c>
      <c r="CP1199" s="20">
        <v>-54.79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17</v>
      </c>
      <c r="M1200" s="20">
        <v>-25.48</v>
      </c>
      <c r="N1200" s="20">
        <v>-25.32</v>
      </c>
      <c r="P1200" s="20">
        <v>38.69</v>
      </c>
      <c r="Q1200" s="20">
        <v>129.86</v>
      </c>
      <c r="AM1200" s="20">
        <v>610.0</v>
      </c>
      <c r="AN1200" s="20" t="s">
        <v>17</v>
      </c>
      <c r="AO1200" s="20">
        <v>-29.12</v>
      </c>
      <c r="AP1200" s="20">
        <v>14.86</v>
      </c>
      <c r="AS1200" s="20">
        <v>603.0</v>
      </c>
      <c r="AT1200" s="20" t="s">
        <v>17</v>
      </c>
      <c r="AU1200" s="20">
        <v>-45.77</v>
      </c>
      <c r="AV1200" s="20">
        <v>-53.17</v>
      </c>
      <c r="BM1200" s="20">
        <v>66.14</v>
      </c>
      <c r="BN1200" s="20">
        <v>48.6</v>
      </c>
      <c r="BZ1200" s="20">
        <v>37.33</v>
      </c>
      <c r="CA1200" s="20">
        <v>223.64</v>
      </c>
      <c r="CO1200" s="20">
        <v>13.14</v>
      </c>
      <c r="CP1200" s="20">
        <v>-55.84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P1201" s="20">
        <v>-21.0</v>
      </c>
      <c r="Q1201" s="20">
        <v>62.42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  <c r="BM1201" s="20">
        <v>265.1</v>
      </c>
      <c r="BN1201" s="20">
        <v>67.18</v>
      </c>
      <c r="BZ1201" s="20">
        <v>-57.8</v>
      </c>
      <c r="CA1201" s="20">
        <v>22.0</v>
      </c>
      <c r="CO1201" s="20">
        <v>-18.62</v>
      </c>
      <c r="CP1201" s="20">
        <v>-35.22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17</v>
      </c>
      <c r="M1202" s="20">
        <v>-10.62</v>
      </c>
      <c r="N1202" s="20">
        <v>16.94</v>
      </c>
      <c r="P1202" s="20">
        <v>-29.5</v>
      </c>
      <c r="Q1202" s="20">
        <v>34.29</v>
      </c>
      <c r="AM1202" s="20">
        <v>611.0</v>
      </c>
      <c r="AN1202" s="20" t="s">
        <v>17</v>
      </c>
      <c r="AO1202" s="20">
        <v>51.89</v>
      </c>
      <c r="AP1202" s="20">
        <v>49.34</v>
      </c>
      <c r="AS1202" s="20">
        <v>604.0</v>
      </c>
      <c r="AT1202" s="20" t="s">
        <v>17</v>
      </c>
      <c r="AU1202" s="20">
        <v>46.17</v>
      </c>
      <c r="AV1202" s="20">
        <v>-22.5</v>
      </c>
      <c r="BM1202" s="20">
        <v>158.69</v>
      </c>
      <c r="BN1202" s="20">
        <v>57.67</v>
      </c>
      <c r="BZ1202" s="20">
        <v>-9.33</v>
      </c>
      <c r="CA1202" s="20">
        <v>-49.84</v>
      </c>
      <c r="CO1202" s="20">
        <v>-26.98</v>
      </c>
      <c r="CP1202" s="20">
        <v>-54.23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P1203" s="20">
        <v>-20.93</v>
      </c>
      <c r="Q1203" s="20">
        <v>7.83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  <c r="BM1203" s="20">
        <v>138.24</v>
      </c>
      <c r="BN1203" s="20">
        <v>85.8</v>
      </c>
      <c r="BZ1203" s="20">
        <v>-15.27</v>
      </c>
      <c r="CA1203" s="20">
        <v>35.86</v>
      </c>
      <c r="CO1203" s="20">
        <v>-8.35</v>
      </c>
      <c r="CP1203" s="20">
        <v>-62.98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17</v>
      </c>
      <c r="M1204" s="20">
        <v>-59.38</v>
      </c>
      <c r="N1204" s="20">
        <v>-63.13</v>
      </c>
      <c r="P1204" s="20">
        <v>-33.32</v>
      </c>
      <c r="Q1204" s="20">
        <v>-5.78</v>
      </c>
      <c r="AM1204" s="20">
        <v>612.0</v>
      </c>
      <c r="AN1204" s="20" t="s">
        <v>17</v>
      </c>
      <c r="AO1204" s="20">
        <v>-34.91</v>
      </c>
      <c r="AP1204" s="20">
        <v>-22.38</v>
      </c>
      <c r="AS1204" s="20">
        <v>605.0</v>
      </c>
      <c r="AT1204" s="20" t="s">
        <v>17</v>
      </c>
      <c r="AU1204" s="20">
        <v>0.37</v>
      </c>
      <c r="AV1204" s="20">
        <v>-66.31</v>
      </c>
      <c r="BM1204" s="20">
        <v>82.47</v>
      </c>
      <c r="BN1204" s="20">
        <v>88.68</v>
      </c>
      <c r="BZ1204" s="20">
        <v>-18.05</v>
      </c>
      <c r="CA1204" s="20">
        <v>32.41</v>
      </c>
      <c r="CO1204" s="20">
        <v>-18.02</v>
      </c>
      <c r="CP1204" s="20">
        <v>-53.15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P1205" s="20">
        <v>-14.98</v>
      </c>
      <c r="Q1205" s="20">
        <v>-11.98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  <c r="BM1205" s="20">
        <v>298.39</v>
      </c>
      <c r="BN1205" s="20">
        <v>73.68</v>
      </c>
      <c r="BZ1205" s="20">
        <v>-2.27</v>
      </c>
      <c r="CA1205" s="20">
        <v>126.38</v>
      </c>
      <c r="CO1205" s="20">
        <v>2.43</v>
      </c>
      <c r="CP1205" s="20">
        <v>-47.52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17</v>
      </c>
      <c r="M1206" s="20">
        <v>-4.9</v>
      </c>
      <c r="N1206" s="20">
        <v>19.6</v>
      </c>
      <c r="P1206" s="20">
        <v>-21.05</v>
      </c>
      <c r="Q1206" s="20">
        <v>-20.78</v>
      </c>
      <c r="AM1206" s="20">
        <v>613.0</v>
      </c>
      <c r="AN1206" s="20" t="s">
        <v>17</v>
      </c>
      <c r="AO1206" s="20">
        <v>4.95</v>
      </c>
      <c r="AP1206" s="20">
        <v>-3.27</v>
      </c>
      <c r="AS1206" s="20">
        <v>606.0</v>
      </c>
      <c r="AT1206" s="20" t="s">
        <v>17</v>
      </c>
      <c r="AU1206" s="20">
        <v>-20.13</v>
      </c>
      <c r="AV1206" s="20">
        <v>-51.07</v>
      </c>
      <c r="BM1206" s="20">
        <v>163.66</v>
      </c>
      <c r="BN1206" s="20">
        <v>71.5</v>
      </c>
      <c r="BZ1206" s="20">
        <v>-28.85</v>
      </c>
      <c r="CA1206" s="20">
        <v>46.21</v>
      </c>
      <c r="CO1206" s="20">
        <v>-11.92</v>
      </c>
      <c r="CP1206" s="20">
        <v>-44.54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P1207" s="20">
        <v>-45.17</v>
      </c>
      <c r="Q1207" s="20">
        <v>-9.3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  <c r="BM1207" s="20">
        <v>18.76</v>
      </c>
      <c r="BN1207" s="20">
        <v>84.88</v>
      </c>
      <c r="BZ1207" s="20">
        <v>-43.97</v>
      </c>
      <c r="CA1207" s="20">
        <v>43.66</v>
      </c>
      <c r="CO1207" s="20">
        <v>4.92</v>
      </c>
      <c r="CP1207" s="20">
        <v>-49.01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17</v>
      </c>
      <c r="M1208" s="20">
        <v>34.15</v>
      </c>
      <c r="N1208" s="20">
        <v>67.41</v>
      </c>
      <c r="P1208" s="20">
        <v>-56.44</v>
      </c>
      <c r="Q1208" s="20">
        <v>-53.41</v>
      </c>
      <c r="AM1208" s="20">
        <v>614.0</v>
      </c>
      <c r="AN1208" s="20" t="s">
        <v>17</v>
      </c>
      <c r="AO1208" s="20">
        <v>-26.34</v>
      </c>
      <c r="AP1208" s="20">
        <v>-15.0</v>
      </c>
      <c r="AS1208" s="20">
        <v>607.0</v>
      </c>
      <c r="AT1208" s="20" t="s">
        <v>17</v>
      </c>
      <c r="AU1208" s="20">
        <v>59.99</v>
      </c>
      <c r="AV1208" s="20">
        <v>-8.59</v>
      </c>
      <c r="BM1208" s="20">
        <v>2.22</v>
      </c>
      <c r="BN1208" s="20">
        <v>110.07</v>
      </c>
      <c r="BZ1208" s="20">
        <v>-46.53</v>
      </c>
      <c r="CA1208" s="20">
        <v>66.49</v>
      </c>
      <c r="CO1208" s="20">
        <v>16.08</v>
      </c>
      <c r="CP1208" s="20">
        <v>-55.38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P1209" s="20">
        <v>-11.89</v>
      </c>
      <c r="Q1209" s="20">
        <v>16.27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  <c r="BM1209" s="20">
        <v>164.34</v>
      </c>
      <c r="BN1209" s="20">
        <v>75.39</v>
      </c>
      <c r="BZ1209" s="20">
        <v>-41.84</v>
      </c>
      <c r="CA1209" s="20">
        <v>66.37</v>
      </c>
      <c r="CO1209" s="20">
        <v>-31.44</v>
      </c>
      <c r="CP1209" s="20">
        <v>-32.03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17</v>
      </c>
      <c r="M1210" s="20">
        <v>-21.4</v>
      </c>
      <c r="N1210" s="20">
        <v>18.19</v>
      </c>
      <c r="P1210" s="20">
        <v>-12.89</v>
      </c>
      <c r="Q1210" s="20">
        <v>17.09</v>
      </c>
      <c r="AM1210" s="20">
        <v>615.0</v>
      </c>
      <c r="AN1210" s="20" t="s">
        <v>17</v>
      </c>
      <c r="AO1210" s="20">
        <v>-25.86</v>
      </c>
      <c r="AP1210" s="20">
        <v>-39.57</v>
      </c>
      <c r="AS1210" s="20">
        <v>608.0</v>
      </c>
      <c r="AT1210" s="20" t="s">
        <v>17</v>
      </c>
      <c r="AU1210" s="20">
        <v>-4.03</v>
      </c>
      <c r="AV1210" s="20">
        <v>-12.64</v>
      </c>
      <c r="BM1210" s="20">
        <v>-26.72</v>
      </c>
      <c r="BN1210" s="20">
        <v>-33.14</v>
      </c>
      <c r="BZ1210" s="20">
        <v>-49.93</v>
      </c>
      <c r="CA1210" s="20">
        <v>113.18</v>
      </c>
      <c r="CO1210" s="20">
        <v>39.24</v>
      </c>
      <c r="CP1210" s="20">
        <v>-23.87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P1211" s="20">
        <v>-25.82</v>
      </c>
      <c r="Q1211" s="20">
        <v>72.61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  <c r="BM1211" s="20">
        <v>-16.78</v>
      </c>
      <c r="BN1211" s="20">
        <v>111.1</v>
      </c>
      <c r="BZ1211" s="20">
        <v>-39.01</v>
      </c>
      <c r="CA1211" s="20">
        <v>64.01</v>
      </c>
      <c r="CO1211" s="20">
        <v>-24.44</v>
      </c>
      <c r="CP1211" s="20">
        <v>-48.41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17</v>
      </c>
      <c r="M1212" s="20">
        <v>-24.25</v>
      </c>
      <c r="N1212" s="20">
        <v>14.1</v>
      </c>
      <c r="P1212" s="20">
        <v>23.66</v>
      </c>
      <c r="Q1212" s="20">
        <v>97.37</v>
      </c>
      <c r="AM1212" s="20">
        <v>616.0</v>
      </c>
      <c r="AN1212" s="20" t="s">
        <v>17</v>
      </c>
      <c r="AO1212" s="20">
        <v>-29.06</v>
      </c>
      <c r="AP1212" s="20">
        <v>-33.83</v>
      </c>
      <c r="AS1212" s="20">
        <v>609.0</v>
      </c>
      <c r="AT1212" s="20" t="s">
        <v>17</v>
      </c>
      <c r="AU1212" s="20">
        <v>-6.95</v>
      </c>
      <c r="AV1212" s="20">
        <v>-23.87</v>
      </c>
      <c r="BM1212" s="20">
        <v>22.99</v>
      </c>
      <c r="BN1212" s="20">
        <v>153.36</v>
      </c>
      <c r="BZ1212" s="20">
        <v>-63.84</v>
      </c>
      <c r="CA1212" s="20">
        <v>30.13</v>
      </c>
      <c r="CO1212" s="20">
        <v>-16.78</v>
      </c>
      <c r="CP1212" s="20">
        <v>-44.18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P1213" s="20">
        <v>12.45</v>
      </c>
      <c r="Q1213" s="20">
        <v>55.67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  <c r="BM1213" s="20">
        <v>191.89</v>
      </c>
      <c r="BN1213" s="20">
        <v>113.09</v>
      </c>
      <c r="BZ1213" s="20">
        <v>-41.59</v>
      </c>
      <c r="CA1213" s="20">
        <v>85.48</v>
      </c>
      <c r="CO1213" s="20">
        <v>-6.01</v>
      </c>
      <c r="CP1213" s="20">
        <v>-35.65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17</v>
      </c>
      <c r="M1214" s="20">
        <v>-9.93</v>
      </c>
      <c r="N1214" s="20">
        <v>-10.25</v>
      </c>
      <c r="P1214" s="20">
        <v>8.31</v>
      </c>
      <c r="Q1214" s="20">
        <v>64.85</v>
      </c>
      <c r="AM1214" s="20">
        <v>617.0</v>
      </c>
      <c r="AN1214" s="20" t="s">
        <v>17</v>
      </c>
      <c r="AO1214" s="20">
        <v>-37.79</v>
      </c>
      <c r="AP1214" s="20">
        <v>-19.81</v>
      </c>
      <c r="AS1214" s="20">
        <v>610.0</v>
      </c>
      <c r="AT1214" s="20" t="s">
        <v>17</v>
      </c>
      <c r="AU1214" s="20">
        <v>26.17</v>
      </c>
      <c r="AV1214" s="20">
        <v>14.06</v>
      </c>
      <c r="BM1214" s="20">
        <v>17.0</v>
      </c>
      <c r="BN1214" s="20">
        <v>-6.49</v>
      </c>
      <c r="BZ1214" s="20">
        <v>-50.01</v>
      </c>
      <c r="CA1214" s="20">
        <v>51.12</v>
      </c>
      <c r="CO1214" s="20">
        <v>34.02</v>
      </c>
      <c r="CP1214" s="20">
        <v>-42.94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P1215" s="20">
        <v>-6.25</v>
      </c>
      <c r="Q1215" s="20">
        <v>51.15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  <c r="BM1215" s="20">
        <v>86.98</v>
      </c>
      <c r="BN1215" s="20">
        <v>115.22</v>
      </c>
      <c r="BZ1215" s="20">
        <v>-29.37</v>
      </c>
      <c r="CA1215" s="20">
        <v>29.32</v>
      </c>
      <c r="CO1215" s="20">
        <v>-15.85</v>
      </c>
      <c r="CP1215" s="20">
        <v>-33.34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17</v>
      </c>
      <c r="M1216" s="20">
        <v>-1.0</v>
      </c>
      <c r="N1216" s="20">
        <v>66.61</v>
      </c>
      <c r="P1216" s="20">
        <v>12.33</v>
      </c>
      <c r="Q1216" s="20">
        <v>58.13</v>
      </c>
      <c r="AM1216" s="20">
        <v>618.0</v>
      </c>
      <c r="AN1216" s="20" t="s">
        <v>17</v>
      </c>
      <c r="AO1216" s="20">
        <v>-25.99</v>
      </c>
      <c r="AP1216" s="20">
        <v>-4.7</v>
      </c>
      <c r="AS1216" s="20">
        <v>611.0</v>
      </c>
      <c r="AT1216" s="20" t="s">
        <v>17</v>
      </c>
      <c r="AU1216" s="20">
        <v>-17.15</v>
      </c>
      <c r="AV1216" s="20">
        <v>29.06</v>
      </c>
      <c r="BM1216" s="20">
        <v>124.24</v>
      </c>
      <c r="BN1216" s="20">
        <v>115.94</v>
      </c>
      <c r="BZ1216" s="20">
        <v>-21.33</v>
      </c>
      <c r="CA1216" s="20">
        <v>103.98</v>
      </c>
      <c r="CO1216" s="20">
        <v>2.28</v>
      </c>
      <c r="CP1216" s="20">
        <v>5.87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P1217" s="20">
        <v>-2.77</v>
      </c>
      <c r="Q1217" s="20">
        <v>11.2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  <c r="BM1217" s="20">
        <v>66.16</v>
      </c>
      <c r="BN1217" s="20">
        <v>96.86</v>
      </c>
      <c r="BZ1217" s="20">
        <v>-21.71</v>
      </c>
      <c r="CA1217" s="20">
        <v>70.41</v>
      </c>
      <c r="CO1217" s="20">
        <v>-22.79</v>
      </c>
      <c r="CP1217" s="20">
        <v>-59.76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17</v>
      </c>
      <c r="M1218" s="20">
        <v>-31.77</v>
      </c>
      <c r="N1218" s="20">
        <v>-11.89</v>
      </c>
      <c r="P1218" s="20">
        <v>17.08</v>
      </c>
      <c r="Q1218" s="20">
        <v>100.28</v>
      </c>
      <c r="AM1218" s="20">
        <v>619.0</v>
      </c>
      <c r="AN1218" s="20" t="s">
        <v>17</v>
      </c>
      <c r="AO1218" s="20">
        <v>15.89</v>
      </c>
      <c r="AP1218" s="20">
        <v>-18.46</v>
      </c>
      <c r="AS1218" s="20">
        <v>612.0</v>
      </c>
      <c r="AT1218" s="20" t="s">
        <v>17</v>
      </c>
      <c r="AU1218" s="20">
        <v>-26.05</v>
      </c>
      <c r="AV1218" s="20">
        <v>13.46</v>
      </c>
      <c r="BM1218" s="20">
        <v>-19.16</v>
      </c>
      <c r="BN1218" s="20">
        <v>79.92</v>
      </c>
      <c r="BZ1218" s="20">
        <v>-41.39</v>
      </c>
      <c r="CA1218" s="20">
        <v>80.35</v>
      </c>
      <c r="CO1218" s="20">
        <v>-13.24</v>
      </c>
      <c r="CP1218" s="20">
        <v>-60.45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P1219" s="20">
        <v>27.6</v>
      </c>
      <c r="Q1219" s="20">
        <v>71.81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  <c r="BM1219" s="20">
        <v>60.39</v>
      </c>
      <c r="BN1219" s="20">
        <v>66.88</v>
      </c>
      <c r="BZ1219" s="20">
        <v>-44.32</v>
      </c>
      <c r="CA1219" s="20">
        <v>8.01</v>
      </c>
      <c r="CO1219" s="20">
        <v>-15.41</v>
      </c>
      <c r="CP1219" s="20">
        <v>-36.09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17</v>
      </c>
      <c r="M1220" s="20">
        <v>-31.0</v>
      </c>
      <c r="N1220" s="20">
        <v>4.56</v>
      </c>
      <c r="P1220" s="20">
        <v>41.53</v>
      </c>
      <c r="Q1220" s="20">
        <v>122.21</v>
      </c>
      <c r="AM1220" s="20">
        <v>620.0</v>
      </c>
      <c r="AN1220" s="20" t="s">
        <v>17</v>
      </c>
      <c r="AO1220" s="20">
        <v>-42.1</v>
      </c>
      <c r="AP1220" s="20">
        <v>64.48</v>
      </c>
      <c r="AS1220" s="20">
        <v>613.0</v>
      </c>
      <c r="AT1220" s="20" t="s">
        <v>17</v>
      </c>
      <c r="AU1220" s="20">
        <v>-7.99</v>
      </c>
      <c r="AV1220" s="20">
        <v>-29.59</v>
      </c>
      <c r="BM1220" s="20">
        <v>95.3</v>
      </c>
      <c r="BN1220" s="20">
        <v>101.18</v>
      </c>
      <c r="BZ1220" s="20">
        <v>-44.79</v>
      </c>
      <c r="CA1220" s="20">
        <v>-20.01</v>
      </c>
      <c r="CO1220" s="20">
        <v>-14.4</v>
      </c>
      <c r="CP1220" s="20">
        <v>-46.35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P1221" s="20">
        <v>-16.25</v>
      </c>
      <c r="Q1221" s="20">
        <v>22.39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  <c r="BM1221" s="20">
        <v>159.13</v>
      </c>
      <c r="BN1221" s="20">
        <v>101.04</v>
      </c>
      <c r="BZ1221" s="20">
        <v>-47.38</v>
      </c>
      <c r="CA1221" s="20">
        <v>3.16</v>
      </c>
      <c r="CO1221" s="20">
        <v>-16.54</v>
      </c>
      <c r="CP1221" s="20">
        <v>-75.01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17</v>
      </c>
      <c r="M1222" s="20">
        <v>-15.64</v>
      </c>
      <c r="N1222" s="20">
        <v>29.24</v>
      </c>
      <c r="P1222" s="20">
        <v>-21.92</v>
      </c>
      <c r="Q1222" s="20">
        <v>175.67</v>
      </c>
      <c r="AM1222" s="20">
        <v>621.0</v>
      </c>
      <c r="AN1222" s="20" t="s">
        <v>17</v>
      </c>
      <c r="AO1222" s="20">
        <v>-1.18</v>
      </c>
      <c r="AP1222" s="20">
        <v>0.78</v>
      </c>
      <c r="AS1222" s="20">
        <v>614.0</v>
      </c>
      <c r="AT1222" s="20" t="s">
        <v>17</v>
      </c>
      <c r="AU1222" s="20">
        <v>9.18</v>
      </c>
      <c r="AV1222" s="20">
        <v>-48.51</v>
      </c>
      <c r="BM1222" s="20">
        <v>49.0</v>
      </c>
      <c r="BN1222" s="20">
        <v>59.8</v>
      </c>
      <c r="BZ1222" s="20">
        <v>-55.33</v>
      </c>
      <c r="CA1222" s="20">
        <v>-2.8</v>
      </c>
      <c r="CO1222" s="20">
        <v>-14.59</v>
      </c>
      <c r="CP1222" s="20">
        <v>-48.14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P1223" s="20">
        <v>-8.91</v>
      </c>
      <c r="Q1223" s="20">
        <v>7.87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  <c r="BM1223" s="20">
        <v>0.48</v>
      </c>
      <c r="BN1223" s="20">
        <v>67.71</v>
      </c>
      <c r="BZ1223" s="20">
        <v>-4.37</v>
      </c>
      <c r="CA1223" s="20">
        <v>86.93</v>
      </c>
      <c r="CO1223" s="20">
        <v>-12.59</v>
      </c>
      <c r="CP1223" s="20">
        <v>-44.49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17</v>
      </c>
      <c r="M1224" s="20">
        <v>-66.33</v>
      </c>
      <c r="N1224" s="20">
        <v>-80.64</v>
      </c>
      <c r="P1224" s="20">
        <v>21.65</v>
      </c>
      <c r="Q1224" s="20">
        <v>93.83</v>
      </c>
      <c r="AM1224" s="20">
        <v>622.0</v>
      </c>
      <c r="AN1224" s="20" t="s">
        <v>17</v>
      </c>
      <c r="AO1224" s="20">
        <v>-17.83</v>
      </c>
      <c r="AP1224" s="20">
        <v>-9.96</v>
      </c>
      <c r="AS1224" s="20">
        <v>615.0</v>
      </c>
      <c r="AT1224" s="20" t="s">
        <v>17</v>
      </c>
      <c r="AU1224" s="20">
        <v>-37.53</v>
      </c>
      <c r="AV1224" s="20">
        <v>-43.0</v>
      </c>
      <c r="BM1224" s="20">
        <v>24.47</v>
      </c>
      <c r="BN1224" s="20">
        <v>68.29</v>
      </c>
      <c r="BZ1224" s="20">
        <v>-56.4</v>
      </c>
      <c r="CA1224" s="20">
        <v>110.42</v>
      </c>
      <c r="CO1224" s="20">
        <v>-18.44</v>
      </c>
      <c r="CP1224" s="20">
        <v>-49.73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P1225" s="20">
        <v>-9.94</v>
      </c>
      <c r="Q1225" s="20">
        <v>3.04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  <c r="BM1225" s="20">
        <v>123.32</v>
      </c>
      <c r="BN1225" s="20">
        <v>136.1</v>
      </c>
      <c r="BZ1225" s="20">
        <v>-45.1</v>
      </c>
      <c r="CA1225" s="20">
        <v>42.44</v>
      </c>
      <c r="CO1225" s="20">
        <v>-11.44</v>
      </c>
      <c r="CP1225" s="20">
        <v>-56.64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17</v>
      </c>
      <c r="M1226" s="20">
        <v>-23.77</v>
      </c>
      <c r="N1226" s="20">
        <v>21.34</v>
      </c>
      <c r="P1226" s="20">
        <v>-14.84</v>
      </c>
      <c r="Q1226" s="20">
        <v>75.2</v>
      </c>
      <c r="AM1226" s="20">
        <v>623.0</v>
      </c>
      <c r="AN1226" s="20" t="s">
        <v>17</v>
      </c>
      <c r="AO1226" s="20">
        <v>-5.89</v>
      </c>
      <c r="AP1226" s="20">
        <v>-9.24</v>
      </c>
      <c r="AS1226" s="20">
        <v>616.0</v>
      </c>
      <c r="AT1226" s="20" t="s">
        <v>17</v>
      </c>
      <c r="AU1226" s="20">
        <v>-31.21</v>
      </c>
      <c r="AV1226" s="20">
        <v>6.14</v>
      </c>
      <c r="BM1226" s="20">
        <v>119.06</v>
      </c>
      <c r="BN1226" s="20">
        <v>157.88</v>
      </c>
      <c r="BZ1226" s="20">
        <v>-47.39</v>
      </c>
      <c r="CA1226" s="20">
        <v>61.83</v>
      </c>
      <c r="CO1226" s="20">
        <v>13.38</v>
      </c>
      <c r="CP1226" s="20">
        <v>-56.25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P1227" s="20">
        <v>8.96</v>
      </c>
      <c r="Q1227" s="20">
        <v>-0.92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  <c r="BM1227" s="20">
        <v>18.32</v>
      </c>
      <c r="BN1227" s="20">
        <v>104.36</v>
      </c>
      <c r="BZ1227" s="20">
        <v>-0.98</v>
      </c>
      <c r="CA1227" s="20">
        <v>71.87</v>
      </c>
      <c r="CO1227" s="20">
        <v>-35.34</v>
      </c>
      <c r="CP1227" s="20">
        <v>-51.57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17</v>
      </c>
      <c r="M1228" s="20">
        <v>1.86</v>
      </c>
      <c r="N1228" s="20">
        <v>13.28</v>
      </c>
      <c r="P1228" s="20">
        <v>17.34</v>
      </c>
      <c r="Q1228" s="20">
        <v>60.49</v>
      </c>
      <c r="AM1228" s="20">
        <v>624.0</v>
      </c>
      <c r="AN1228" s="20" t="s">
        <v>17</v>
      </c>
      <c r="AO1228" s="20">
        <v>-14.75</v>
      </c>
      <c r="AP1228" s="20">
        <v>-46.21</v>
      </c>
      <c r="AS1228" s="20">
        <v>617.0</v>
      </c>
      <c r="AT1228" s="20" t="s">
        <v>17</v>
      </c>
      <c r="AU1228" s="20">
        <v>9.59</v>
      </c>
      <c r="AV1228" s="20">
        <v>-24.91</v>
      </c>
      <c r="BM1228" s="20">
        <v>-4.93</v>
      </c>
      <c r="BN1228" s="20">
        <v>109.02</v>
      </c>
      <c r="BZ1228" s="20">
        <v>-36.35</v>
      </c>
      <c r="CA1228" s="20">
        <v>41.05</v>
      </c>
      <c r="CO1228" s="20">
        <v>-9.78</v>
      </c>
      <c r="CP1228" s="20">
        <v>-38.54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P1229" s="20">
        <v>30.6</v>
      </c>
      <c r="Q1229" s="20">
        <v>22.16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  <c r="BM1229" s="20">
        <v>158.77</v>
      </c>
      <c r="BN1229" s="20">
        <v>169.87</v>
      </c>
      <c r="BZ1229" s="20">
        <v>-58.82</v>
      </c>
      <c r="CA1229" s="20">
        <v>25.4</v>
      </c>
      <c r="CO1229" s="20">
        <v>-25.75</v>
      </c>
      <c r="CP1229" s="20">
        <v>-57.78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17</v>
      </c>
      <c r="M1230" s="20">
        <v>13.69</v>
      </c>
      <c r="N1230" s="20">
        <v>17.19</v>
      </c>
      <c r="P1230" s="20">
        <v>-3.95</v>
      </c>
      <c r="Q1230" s="20">
        <v>28.2</v>
      </c>
      <c r="AM1230" s="20">
        <v>625.0</v>
      </c>
      <c r="AN1230" s="20" t="s">
        <v>17</v>
      </c>
      <c r="AO1230" s="20">
        <v>-34.78</v>
      </c>
      <c r="AP1230" s="20">
        <v>31.12</v>
      </c>
      <c r="AS1230" s="20">
        <v>618.0</v>
      </c>
      <c r="AT1230" s="20" t="s">
        <v>17</v>
      </c>
      <c r="AU1230" s="20">
        <v>0.4</v>
      </c>
      <c r="AV1230" s="20">
        <v>-0.06</v>
      </c>
      <c r="BM1230" s="20">
        <v>149.15</v>
      </c>
      <c r="BN1230" s="20">
        <v>133.59</v>
      </c>
      <c r="BZ1230" s="20">
        <v>-18.39</v>
      </c>
      <c r="CA1230" s="20">
        <v>27.91</v>
      </c>
      <c r="CO1230" s="20">
        <v>-23.65</v>
      </c>
      <c r="CP1230" s="20">
        <v>-61.12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P1231" s="20">
        <v>-6.53</v>
      </c>
      <c r="Q1231" s="20">
        <v>21.49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  <c r="BM1231" s="20">
        <v>75.04</v>
      </c>
      <c r="BN1231" s="20">
        <v>62.53</v>
      </c>
      <c r="BZ1231" s="20">
        <v>-33.38</v>
      </c>
      <c r="CA1231" s="20">
        <v>48.77</v>
      </c>
      <c r="CO1231" s="20">
        <v>-36.5</v>
      </c>
      <c r="CP1231" s="20">
        <v>-52.8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17</v>
      </c>
      <c r="M1232" s="20">
        <v>-30.88</v>
      </c>
      <c r="N1232" s="20">
        <v>6.26</v>
      </c>
      <c r="P1232" s="20">
        <v>-3.88</v>
      </c>
      <c r="Q1232" s="20">
        <v>42.27</v>
      </c>
      <c r="AM1232" s="20">
        <v>626.0</v>
      </c>
      <c r="AN1232" s="20" t="s">
        <v>17</v>
      </c>
      <c r="AO1232" s="20">
        <v>8.98</v>
      </c>
      <c r="AP1232" s="20">
        <v>17.57</v>
      </c>
      <c r="AS1232" s="20">
        <v>619.0</v>
      </c>
      <c r="AT1232" s="20" t="s">
        <v>17</v>
      </c>
      <c r="AU1232" s="20">
        <v>7.92</v>
      </c>
      <c r="AV1232" s="20">
        <v>-15.47</v>
      </c>
      <c r="BM1232" s="20">
        <v>23.3</v>
      </c>
      <c r="BN1232" s="20">
        <v>45.94</v>
      </c>
      <c r="BZ1232" s="20">
        <v>-43.95</v>
      </c>
      <c r="CA1232" s="20">
        <v>46.07</v>
      </c>
      <c r="CO1232" s="20">
        <v>-21.83</v>
      </c>
      <c r="CP1232" s="20">
        <v>-47.87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P1233" s="20">
        <v>7.58</v>
      </c>
      <c r="Q1233" s="20">
        <v>49.58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  <c r="BM1233" s="20">
        <v>98.93</v>
      </c>
      <c r="BN1233" s="20">
        <v>134.78</v>
      </c>
      <c r="BZ1233" s="20">
        <v>-25.14</v>
      </c>
      <c r="CA1233" s="20">
        <v>137.75</v>
      </c>
      <c r="CO1233" s="20">
        <v>-7.92</v>
      </c>
      <c r="CP1233" s="20">
        <v>-53.27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17</v>
      </c>
      <c r="M1234" s="20">
        <v>-18.53</v>
      </c>
      <c r="N1234" s="20">
        <v>15.42</v>
      </c>
      <c r="P1234" s="20">
        <v>-6.72</v>
      </c>
      <c r="Q1234" s="20">
        <v>54.61</v>
      </c>
      <c r="AM1234" s="20">
        <v>627.0</v>
      </c>
      <c r="AN1234" s="20" t="s">
        <v>17</v>
      </c>
      <c r="AO1234" s="20">
        <v>-3.92</v>
      </c>
      <c r="AP1234" s="20">
        <v>36.08</v>
      </c>
      <c r="AS1234" s="20">
        <v>620.0</v>
      </c>
      <c r="AT1234" s="20" t="s">
        <v>17</v>
      </c>
      <c r="AU1234" s="20">
        <v>-33.69</v>
      </c>
      <c r="AV1234" s="20">
        <v>-7.52</v>
      </c>
      <c r="BM1234" s="20">
        <v>186.2</v>
      </c>
      <c r="BN1234" s="20">
        <v>105.6</v>
      </c>
      <c r="BZ1234" s="20">
        <v>-33.39</v>
      </c>
      <c r="CA1234" s="20">
        <v>25.91</v>
      </c>
      <c r="CO1234" s="20">
        <v>-13.61</v>
      </c>
      <c r="CP1234" s="20">
        <v>-65.57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P1235" s="20">
        <v>-30.53</v>
      </c>
      <c r="Q1235" s="20">
        <v>9.59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  <c r="BM1235" s="20">
        <v>50.66</v>
      </c>
      <c r="BN1235" s="20">
        <v>106.43</v>
      </c>
      <c r="BZ1235" s="20">
        <v>-40.43</v>
      </c>
      <c r="CA1235" s="20">
        <v>-43.52</v>
      </c>
      <c r="CO1235" s="20">
        <v>-29.7</v>
      </c>
      <c r="CP1235" s="20">
        <v>-62.25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17</v>
      </c>
      <c r="M1236" s="20">
        <v>-29.77</v>
      </c>
      <c r="N1236" s="20">
        <v>-22.3</v>
      </c>
      <c r="P1236" s="20">
        <v>-19.88</v>
      </c>
      <c r="Q1236" s="20">
        <v>76.16</v>
      </c>
      <c r="AM1236" s="20">
        <v>628.0</v>
      </c>
      <c r="AN1236" s="20" t="s">
        <v>17</v>
      </c>
      <c r="AO1236" s="20">
        <v>-38.03</v>
      </c>
      <c r="AP1236" s="20">
        <v>4.71</v>
      </c>
      <c r="AS1236" s="20">
        <v>621.0</v>
      </c>
      <c r="AT1236" s="20" t="s">
        <v>17</v>
      </c>
      <c r="AU1236" s="20">
        <v>19.09</v>
      </c>
      <c r="AV1236" s="20">
        <v>-34.17</v>
      </c>
      <c r="BM1236" s="20">
        <v>48.87</v>
      </c>
      <c r="BN1236" s="20">
        <v>112.07</v>
      </c>
      <c r="BZ1236" s="20">
        <v>-16.63</v>
      </c>
      <c r="CA1236" s="20">
        <v>-21.57</v>
      </c>
      <c r="CO1236" s="20">
        <v>-1.64</v>
      </c>
      <c r="CP1236" s="20">
        <v>-52.32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P1237" s="20">
        <v>-25.72</v>
      </c>
      <c r="Q1237" s="20">
        <v>14.01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  <c r="BM1237" s="20">
        <v>222.83</v>
      </c>
      <c r="BN1237" s="20">
        <v>121.49</v>
      </c>
      <c r="BZ1237" s="20">
        <v>-41.08</v>
      </c>
      <c r="CA1237" s="20">
        <v>-14.65</v>
      </c>
      <c r="CO1237" s="20">
        <v>-6.92</v>
      </c>
      <c r="CP1237" s="20">
        <v>-66.3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17</v>
      </c>
      <c r="M1238" s="20">
        <v>-46.99</v>
      </c>
      <c r="N1238" s="20">
        <v>-18.62</v>
      </c>
      <c r="P1238" s="20">
        <v>30.34</v>
      </c>
      <c r="Q1238" s="20">
        <v>74.42</v>
      </c>
      <c r="AM1238" s="20">
        <v>629.0</v>
      </c>
      <c r="AN1238" s="20" t="s">
        <v>17</v>
      </c>
      <c r="AO1238" s="20">
        <v>-28.63</v>
      </c>
      <c r="AP1238" s="20">
        <v>-5.5</v>
      </c>
      <c r="AS1238" s="20">
        <v>622.0</v>
      </c>
      <c r="AT1238" s="20" t="s">
        <v>17</v>
      </c>
      <c r="AU1238" s="20">
        <v>-8.32</v>
      </c>
      <c r="AV1238" s="20">
        <v>-19.34</v>
      </c>
      <c r="BM1238" s="20">
        <v>285.55</v>
      </c>
      <c r="BN1238" s="20">
        <v>79.13</v>
      </c>
      <c r="BZ1238" s="20">
        <v>-37.47</v>
      </c>
      <c r="CA1238" s="20">
        <v>-40.17</v>
      </c>
      <c r="CO1238" s="20">
        <v>-15.35</v>
      </c>
      <c r="CP1238" s="20">
        <v>-40.94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P1239" s="20">
        <v>-8.64</v>
      </c>
      <c r="Q1239" s="20">
        <v>62.17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  <c r="BM1239" s="20">
        <v>19.74</v>
      </c>
      <c r="BN1239" s="20">
        <v>79.39</v>
      </c>
      <c r="BZ1239" s="20">
        <v>-13.75</v>
      </c>
      <c r="CA1239" s="20">
        <v>-31.28</v>
      </c>
      <c r="CO1239" s="20">
        <v>-8.7</v>
      </c>
      <c r="CP1239" s="20">
        <v>-54.08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17</v>
      </c>
      <c r="M1240" s="20">
        <v>-45.14</v>
      </c>
      <c r="N1240" s="20">
        <v>-18.86</v>
      </c>
      <c r="P1240" s="20">
        <v>-32.52</v>
      </c>
      <c r="Q1240" s="20">
        <v>-36.58</v>
      </c>
      <c r="AM1240" s="20">
        <v>630.0</v>
      </c>
      <c r="AN1240" s="20" t="s">
        <v>17</v>
      </c>
      <c r="AO1240" s="20">
        <v>-36.04</v>
      </c>
      <c r="AP1240" s="20">
        <v>-43.17</v>
      </c>
      <c r="AS1240" s="20">
        <v>623.0</v>
      </c>
      <c r="AT1240" s="20" t="s">
        <v>17</v>
      </c>
      <c r="AU1240" s="20">
        <v>-23.32</v>
      </c>
      <c r="AV1240" s="20">
        <v>-48.57</v>
      </c>
      <c r="BM1240" s="20">
        <v>55.84</v>
      </c>
      <c r="BN1240" s="20">
        <v>101.79</v>
      </c>
      <c r="BZ1240" s="20">
        <v>-61.38</v>
      </c>
      <c r="CA1240" s="20">
        <v>0.81</v>
      </c>
      <c r="CO1240" s="20">
        <v>1.28</v>
      </c>
      <c r="CP1240" s="20">
        <v>-55.38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P1241" s="20">
        <v>44.1</v>
      </c>
      <c r="Q1241" s="20">
        <v>294.55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  <c r="BM1241" s="20">
        <v>129.13</v>
      </c>
      <c r="BN1241" s="20">
        <v>90.76</v>
      </c>
      <c r="BZ1241" s="20">
        <v>-63.33</v>
      </c>
      <c r="CA1241" s="20">
        <v>-15.21</v>
      </c>
      <c r="CO1241" s="20">
        <v>-38.5</v>
      </c>
      <c r="CP1241" s="20">
        <v>-60.33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17</v>
      </c>
      <c r="M1242" s="20">
        <v>-40.25</v>
      </c>
      <c r="N1242" s="20">
        <v>-11.93</v>
      </c>
      <c r="P1242" s="20">
        <v>-14.37</v>
      </c>
      <c r="Q1242" s="20">
        <v>31.56</v>
      </c>
      <c r="AM1242" s="20">
        <v>631.0</v>
      </c>
      <c r="AN1242" s="20" t="s">
        <v>17</v>
      </c>
      <c r="AO1242" s="20">
        <v>18.43</v>
      </c>
      <c r="AP1242" s="20">
        <v>-24.84</v>
      </c>
      <c r="AS1242" s="20">
        <v>624.0</v>
      </c>
      <c r="AT1242" s="20" t="s">
        <v>17</v>
      </c>
      <c r="AU1242" s="20">
        <v>-14.56</v>
      </c>
      <c r="AV1242" s="20">
        <v>-34.97</v>
      </c>
      <c r="BM1242" s="20">
        <v>89.77</v>
      </c>
      <c r="BN1242" s="20">
        <v>123.16</v>
      </c>
      <c r="BZ1242" s="20">
        <v>-29.45</v>
      </c>
      <c r="CA1242" s="20">
        <v>-9.2</v>
      </c>
      <c r="CO1242" s="20">
        <v>-44.84</v>
      </c>
      <c r="CP1242" s="20">
        <v>-38.52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P1243" s="20">
        <v>-16.11</v>
      </c>
      <c r="Q1243" s="20">
        <v>-18.55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  <c r="BM1243" s="20">
        <v>19.28</v>
      </c>
      <c r="BN1243" s="20">
        <v>76.09</v>
      </c>
      <c r="BZ1243" s="20">
        <v>5.05</v>
      </c>
      <c r="CA1243" s="20">
        <v>51.63</v>
      </c>
      <c r="CO1243" s="20">
        <v>-39.39</v>
      </c>
      <c r="CP1243" s="20">
        <v>-66.17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17</v>
      </c>
      <c r="M1244" s="20">
        <v>-37.12</v>
      </c>
      <c r="N1244" s="20">
        <v>-25.48</v>
      </c>
      <c r="P1244" s="20">
        <v>-7.8</v>
      </c>
      <c r="Q1244" s="20">
        <v>6.89</v>
      </c>
      <c r="AM1244" s="20">
        <v>632.0</v>
      </c>
      <c r="AN1244" s="20" t="s">
        <v>17</v>
      </c>
      <c r="AO1244" s="20">
        <v>22.65</v>
      </c>
      <c r="AP1244" s="20">
        <v>-14.41</v>
      </c>
      <c r="AS1244" s="20">
        <v>625.0</v>
      </c>
      <c r="AT1244" s="20" t="s">
        <v>17</v>
      </c>
      <c r="AU1244" s="20">
        <v>-62.1</v>
      </c>
      <c r="AV1244" s="20">
        <v>-45.19</v>
      </c>
      <c r="BM1244" s="20">
        <v>24.97</v>
      </c>
      <c r="BN1244" s="20">
        <v>142.24</v>
      </c>
      <c r="BZ1244" s="20">
        <v>-24.54</v>
      </c>
      <c r="CA1244" s="20">
        <v>-15.36</v>
      </c>
      <c r="CO1244" s="20">
        <v>-58.27</v>
      </c>
      <c r="CP1244" s="20">
        <v>-66.74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P1245" s="20">
        <v>-23.68</v>
      </c>
      <c r="Q1245" s="20">
        <v>-0.66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  <c r="BM1245" s="20">
        <v>38.66</v>
      </c>
      <c r="BN1245" s="20">
        <v>129.91</v>
      </c>
      <c r="BZ1245" s="20">
        <v>-42.25</v>
      </c>
      <c r="CA1245" s="20">
        <v>3.8</v>
      </c>
      <c r="CO1245" s="20">
        <v>-36.87</v>
      </c>
      <c r="CP1245" s="20">
        <v>-61.64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17</v>
      </c>
      <c r="M1246" s="20">
        <v>-31.44</v>
      </c>
      <c r="N1246" s="20">
        <v>-14.59</v>
      </c>
      <c r="P1246" s="20">
        <v>-11.06</v>
      </c>
      <c r="Q1246" s="20">
        <v>-22.83</v>
      </c>
      <c r="AM1246" s="20">
        <v>633.0</v>
      </c>
      <c r="AN1246" s="20" t="s">
        <v>17</v>
      </c>
      <c r="AO1246" s="20">
        <v>-15.59</v>
      </c>
      <c r="AP1246" s="20">
        <v>-27.05</v>
      </c>
      <c r="AS1246" s="20">
        <v>626.0</v>
      </c>
      <c r="AT1246" s="20" t="s">
        <v>17</v>
      </c>
      <c r="AU1246" s="20">
        <v>-38.38</v>
      </c>
      <c r="AV1246" s="20">
        <v>-49.44</v>
      </c>
      <c r="BM1246" s="20">
        <v>35.92</v>
      </c>
      <c r="BN1246" s="20">
        <v>135.21</v>
      </c>
      <c r="BZ1246" s="20">
        <v>-49.27</v>
      </c>
      <c r="CA1246" s="20">
        <v>84.11</v>
      </c>
      <c r="CO1246" s="20">
        <v>31.12</v>
      </c>
      <c r="CP1246" s="20">
        <v>-57.77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P1247" s="20">
        <v>-14.58</v>
      </c>
      <c r="Q1247" s="20">
        <v>2.08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  <c r="BM1247" s="20">
        <v>115.19</v>
      </c>
      <c r="BN1247" s="20">
        <v>114.84</v>
      </c>
      <c r="BZ1247" s="20">
        <v>7.01</v>
      </c>
      <c r="CA1247" s="20">
        <v>71.27</v>
      </c>
      <c r="CO1247" s="20">
        <v>-17.71</v>
      </c>
      <c r="CP1247" s="20">
        <v>-39.94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17</v>
      </c>
      <c r="M1248" s="20">
        <v>-36.79</v>
      </c>
      <c r="N1248" s="20">
        <v>-18.28</v>
      </c>
      <c r="P1248" s="20">
        <v>-13.44</v>
      </c>
      <c r="Q1248" s="20">
        <v>18.35</v>
      </c>
      <c r="AM1248" s="20">
        <v>634.0</v>
      </c>
      <c r="AN1248" s="20" t="s">
        <v>17</v>
      </c>
      <c r="AO1248" s="20">
        <v>-41.21</v>
      </c>
      <c r="AP1248" s="20">
        <v>-44.99</v>
      </c>
      <c r="AS1248" s="20">
        <v>627.0</v>
      </c>
      <c r="AT1248" s="20" t="s">
        <v>17</v>
      </c>
      <c r="AU1248" s="20">
        <v>-50.48</v>
      </c>
      <c r="AV1248" s="20">
        <v>-15.51</v>
      </c>
      <c r="BM1248" s="20">
        <v>35.8</v>
      </c>
      <c r="BN1248" s="20">
        <v>100.93</v>
      </c>
      <c r="BZ1248" s="20">
        <v>-8.79</v>
      </c>
      <c r="CA1248" s="20">
        <v>9.75</v>
      </c>
      <c r="CO1248" s="20">
        <v>22.93</v>
      </c>
      <c r="CP1248" s="20">
        <v>-49.66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P1249" s="20">
        <v>-27.85</v>
      </c>
      <c r="Q1249" s="20">
        <v>-14.95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  <c r="BM1249" s="20">
        <v>49.48</v>
      </c>
      <c r="BN1249" s="20">
        <v>93.74</v>
      </c>
      <c r="BZ1249" s="20">
        <v>-33.44</v>
      </c>
      <c r="CA1249" s="20">
        <v>81.9</v>
      </c>
      <c r="CO1249" s="20">
        <v>-8.39</v>
      </c>
      <c r="CP1249" s="20">
        <v>-53.48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17</v>
      </c>
      <c r="M1250" s="20">
        <v>-40.6</v>
      </c>
      <c r="N1250" s="20">
        <v>-11.66</v>
      </c>
      <c r="P1250" s="20">
        <v>-29.22</v>
      </c>
      <c r="Q1250" s="20">
        <v>-4.65</v>
      </c>
      <c r="AM1250" s="20">
        <v>635.0</v>
      </c>
      <c r="AN1250" s="20" t="s">
        <v>17</v>
      </c>
      <c r="AO1250" s="20">
        <v>-42.07</v>
      </c>
      <c r="AP1250" s="20">
        <v>-12.63</v>
      </c>
      <c r="AS1250" s="20">
        <v>628.0</v>
      </c>
      <c r="AT1250" s="20" t="s">
        <v>17</v>
      </c>
      <c r="AU1250" s="20">
        <v>-41.96</v>
      </c>
      <c r="AV1250" s="20">
        <v>-45.91</v>
      </c>
      <c r="BM1250" s="20">
        <v>6.67</v>
      </c>
      <c r="BN1250" s="20">
        <v>132.71</v>
      </c>
      <c r="BZ1250" s="20">
        <v>-63.72</v>
      </c>
      <c r="CA1250" s="20">
        <v>43.37</v>
      </c>
      <c r="CO1250" s="20">
        <v>17.03</v>
      </c>
      <c r="CP1250" s="20">
        <v>-56.45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P1251" s="20">
        <v>1.79</v>
      </c>
      <c r="Q1251" s="20">
        <v>63.59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  <c r="BM1251" s="20">
        <v>74.95</v>
      </c>
      <c r="BN1251" s="20">
        <v>138.9</v>
      </c>
      <c r="BZ1251" s="20">
        <v>-27.01</v>
      </c>
      <c r="CA1251" s="20">
        <v>84.94</v>
      </c>
      <c r="CO1251" s="20">
        <v>-3.08</v>
      </c>
      <c r="CP1251" s="20">
        <v>-43.5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17</v>
      </c>
      <c r="M1252" s="20">
        <v>-41.4</v>
      </c>
      <c r="N1252" s="20">
        <v>-73.6</v>
      </c>
      <c r="P1252" s="20">
        <v>-42.34</v>
      </c>
      <c r="Q1252" s="20">
        <v>-13.34</v>
      </c>
      <c r="AM1252" s="20">
        <v>636.0</v>
      </c>
      <c r="AN1252" s="20" t="s">
        <v>17</v>
      </c>
      <c r="AO1252" s="20">
        <v>-31.97</v>
      </c>
      <c r="AP1252" s="20">
        <v>-10.28</v>
      </c>
      <c r="AS1252" s="20">
        <v>629.0</v>
      </c>
      <c r="AT1252" s="20" t="s">
        <v>17</v>
      </c>
      <c r="AU1252" s="20">
        <v>-0.01</v>
      </c>
      <c r="AV1252" s="20">
        <v>-37.19</v>
      </c>
      <c r="BM1252" s="20">
        <v>13.1</v>
      </c>
      <c r="BN1252" s="20">
        <v>-29.9</v>
      </c>
      <c r="BZ1252" s="20">
        <v>-10.96</v>
      </c>
      <c r="CA1252" s="20">
        <v>92.25</v>
      </c>
      <c r="CO1252" s="20">
        <v>10.64</v>
      </c>
      <c r="CP1252" s="20">
        <v>-45.77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P1253" s="20">
        <v>-15.41</v>
      </c>
      <c r="Q1253" s="20">
        <v>2.8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  <c r="BM1253" s="20">
        <v>-15.66</v>
      </c>
      <c r="BN1253" s="20">
        <v>85.75</v>
      </c>
      <c r="BZ1253" s="20">
        <v>-27.16</v>
      </c>
      <c r="CA1253" s="20">
        <v>15.09</v>
      </c>
      <c r="CO1253" s="20">
        <v>-16.85</v>
      </c>
      <c r="CP1253" s="20">
        <v>-58.85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17</v>
      </c>
      <c r="M1254" s="20">
        <v>23.2</v>
      </c>
      <c r="N1254" s="20">
        <v>58.21</v>
      </c>
      <c r="P1254" s="20">
        <v>0.13</v>
      </c>
      <c r="Q1254" s="20">
        <v>14.98</v>
      </c>
      <c r="AM1254" s="20">
        <v>637.0</v>
      </c>
      <c r="AN1254" s="20" t="s">
        <v>17</v>
      </c>
      <c r="AO1254" s="20">
        <v>4.87</v>
      </c>
      <c r="AP1254" s="20">
        <v>16.55</v>
      </c>
      <c r="AS1254" s="20">
        <v>630.0</v>
      </c>
      <c r="AT1254" s="20" t="s">
        <v>17</v>
      </c>
      <c r="AU1254" s="20">
        <v>21.41</v>
      </c>
      <c r="AV1254" s="20">
        <v>-33.9</v>
      </c>
      <c r="BM1254" s="20">
        <v>11.75</v>
      </c>
      <c r="BN1254" s="20">
        <v>-0.23</v>
      </c>
      <c r="BZ1254" s="20">
        <v>-37.93</v>
      </c>
      <c r="CA1254" s="20">
        <v>-19.21</v>
      </c>
      <c r="CO1254" s="20">
        <v>-4.02</v>
      </c>
      <c r="CP1254" s="20">
        <v>-48.8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P1255" s="20">
        <v>1.06</v>
      </c>
      <c r="Q1255" s="20">
        <v>-12.29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  <c r="BM1255" s="20">
        <v>32.61</v>
      </c>
      <c r="BN1255" s="20">
        <v>59.98</v>
      </c>
      <c r="BZ1255" s="20">
        <v>-18.99</v>
      </c>
      <c r="CA1255" s="20">
        <v>82.35</v>
      </c>
      <c r="CO1255" s="20">
        <v>11.6</v>
      </c>
      <c r="CP1255" s="20">
        <v>-61.29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17</v>
      </c>
      <c r="M1256" s="20">
        <v>43.06</v>
      </c>
      <c r="N1256" s="20">
        <v>74.76</v>
      </c>
      <c r="P1256" s="20">
        <v>-57.25</v>
      </c>
      <c r="Q1256" s="20">
        <v>-37.74</v>
      </c>
      <c r="AM1256" s="20">
        <v>638.0</v>
      </c>
      <c r="AN1256" s="20" t="s">
        <v>17</v>
      </c>
      <c r="AO1256" s="20">
        <v>-10.05</v>
      </c>
      <c r="AP1256" s="20">
        <v>-26.73</v>
      </c>
      <c r="AS1256" s="20">
        <v>631.0</v>
      </c>
      <c r="AT1256" s="20" t="s">
        <v>17</v>
      </c>
      <c r="AU1256" s="20">
        <v>32.91</v>
      </c>
      <c r="AV1256" s="20">
        <v>-63.27</v>
      </c>
      <c r="BM1256" s="20">
        <v>22.9</v>
      </c>
      <c r="BN1256" s="20">
        <v>133.74</v>
      </c>
      <c r="BZ1256" s="20">
        <v>40.13</v>
      </c>
      <c r="CA1256" s="20">
        <v>-17.84</v>
      </c>
      <c r="CO1256" s="20">
        <v>-10.61</v>
      </c>
      <c r="CP1256" s="20">
        <v>-43.02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P1257" s="20">
        <v>-8.06</v>
      </c>
      <c r="Q1257" s="20">
        <v>17.31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  <c r="BM1257" s="20">
        <v>46.42</v>
      </c>
      <c r="BN1257" s="20">
        <v>54.64</v>
      </c>
      <c r="BZ1257" s="20">
        <v>-44.24</v>
      </c>
      <c r="CA1257" s="20">
        <v>55.22</v>
      </c>
      <c r="CO1257" s="20">
        <v>-29.49</v>
      </c>
      <c r="CP1257" s="20">
        <v>-55.8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17</v>
      </c>
      <c r="M1258" s="20">
        <v>-19.64</v>
      </c>
      <c r="N1258" s="20">
        <v>10.02</v>
      </c>
      <c r="P1258" s="20">
        <v>-24.22</v>
      </c>
      <c r="Q1258" s="20">
        <v>23.25</v>
      </c>
      <c r="AM1258" s="20">
        <v>639.0</v>
      </c>
      <c r="AN1258" s="20" t="s">
        <v>17</v>
      </c>
      <c r="AO1258" s="20">
        <v>-27.89</v>
      </c>
      <c r="AP1258" s="20">
        <v>-5.3</v>
      </c>
      <c r="AS1258" s="20">
        <v>632.0</v>
      </c>
      <c r="AT1258" s="20" t="s">
        <v>17</v>
      </c>
      <c r="AU1258" s="20">
        <v>-16.74</v>
      </c>
      <c r="AV1258" s="20">
        <v>-16.74</v>
      </c>
      <c r="BM1258" s="20">
        <v>7.01</v>
      </c>
      <c r="BN1258" s="20">
        <v>33.03</v>
      </c>
      <c r="BZ1258" s="20">
        <v>-64.82</v>
      </c>
      <c r="CA1258" s="20">
        <v>48.81</v>
      </c>
      <c r="CO1258" s="20">
        <v>-1.7</v>
      </c>
      <c r="CP1258" s="20">
        <v>-58.13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P1259" s="20">
        <v>-3.98</v>
      </c>
      <c r="Q1259" s="20">
        <v>43.59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  <c r="BM1259" s="20">
        <v>26.93</v>
      </c>
      <c r="BN1259" s="20">
        <v>52.87</v>
      </c>
      <c r="BZ1259" s="20">
        <v>-7.33</v>
      </c>
      <c r="CA1259" s="20">
        <v>105.04</v>
      </c>
      <c r="CO1259" s="20">
        <v>-10.35</v>
      </c>
      <c r="CP1259" s="20">
        <v>-49.34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17</v>
      </c>
      <c r="M1260" s="20">
        <v>-37.88</v>
      </c>
      <c r="N1260" s="20">
        <v>-28.94</v>
      </c>
      <c r="P1260" s="20">
        <v>-34.55</v>
      </c>
      <c r="Q1260" s="20">
        <v>4.23</v>
      </c>
      <c r="AM1260" s="20">
        <v>640.0</v>
      </c>
      <c r="AN1260" s="20" t="s">
        <v>17</v>
      </c>
      <c r="AO1260" s="20">
        <v>-13.16</v>
      </c>
      <c r="AP1260" s="20">
        <v>-16.6</v>
      </c>
      <c r="AS1260" s="20">
        <v>633.0</v>
      </c>
      <c r="AT1260" s="20" t="s">
        <v>17</v>
      </c>
      <c r="AU1260" s="20">
        <v>-23.46</v>
      </c>
      <c r="AV1260" s="20">
        <v>-41.18</v>
      </c>
      <c r="BM1260" s="20">
        <v>10.17</v>
      </c>
      <c r="BN1260" s="20">
        <v>219.08</v>
      </c>
      <c r="BZ1260" s="20">
        <v>-59.18</v>
      </c>
      <c r="CA1260" s="20">
        <v>-4.34</v>
      </c>
      <c r="CO1260" s="20">
        <v>6.28</v>
      </c>
      <c r="CP1260" s="20">
        <v>-57.93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P1261" s="20">
        <v>4.57</v>
      </c>
      <c r="Q1261" s="20">
        <v>2.47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  <c r="BM1261" s="20">
        <v>85.02</v>
      </c>
      <c r="BN1261" s="20">
        <v>69.03</v>
      </c>
      <c r="BZ1261" s="20">
        <v>-29.94</v>
      </c>
      <c r="CA1261" s="20">
        <v>58.47</v>
      </c>
      <c r="CO1261" s="20">
        <v>-31.35</v>
      </c>
      <c r="CP1261" s="20">
        <v>-61.22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17</v>
      </c>
      <c r="M1262" s="20">
        <v>7.74</v>
      </c>
      <c r="N1262" s="20">
        <v>-9.97</v>
      </c>
      <c r="P1262" s="20">
        <v>-6.62</v>
      </c>
      <c r="Q1262" s="20">
        <v>-0.57</v>
      </c>
      <c r="AM1262" s="20">
        <v>641.0</v>
      </c>
      <c r="AN1262" s="20" t="s">
        <v>17</v>
      </c>
      <c r="AO1262" s="20">
        <v>-27.72</v>
      </c>
      <c r="AP1262" s="20">
        <v>-19.49</v>
      </c>
      <c r="AS1262" s="20">
        <v>634.0</v>
      </c>
      <c r="AT1262" s="20" t="s">
        <v>17</v>
      </c>
      <c r="AU1262" s="20">
        <v>5.7</v>
      </c>
      <c r="AV1262" s="20">
        <v>-34.81</v>
      </c>
      <c r="BM1262" s="20">
        <v>52.84</v>
      </c>
      <c r="BN1262" s="20">
        <v>81.23</v>
      </c>
      <c r="BZ1262" s="20">
        <v>-36.65</v>
      </c>
      <c r="CA1262" s="20">
        <v>75.97</v>
      </c>
      <c r="CO1262" s="20">
        <v>1.34</v>
      </c>
      <c r="CP1262" s="20">
        <v>-42.76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P1263" s="20">
        <v>-41.47</v>
      </c>
      <c r="Q1263" s="20">
        <v>2.49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  <c r="BM1263" s="20">
        <v>78.53</v>
      </c>
      <c r="BN1263" s="20">
        <v>69.36</v>
      </c>
      <c r="BZ1263" s="20">
        <v>-18.81</v>
      </c>
      <c r="CA1263" s="20">
        <v>59.79</v>
      </c>
      <c r="CO1263" s="20">
        <v>1.53</v>
      </c>
      <c r="CP1263" s="20">
        <v>-61.95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17</v>
      </c>
      <c r="M1264" s="20">
        <v>2.07</v>
      </c>
      <c r="N1264" s="20">
        <v>38.46</v>
      </c>
      <c r="P1264" s="20">
        <v>-22.28</v>
      </c>
      <c r="Q1264" s="20">
        <v>7.95</v>
      </c>
      <c r="AM1264" s="20">
        <v>642.0</v>
      </c>
      <c r="AN1264" s="20" t="s">
        <v>17</v>
      </c>
      <c r="AO1264" s="20">
        <v>0.6</v>
      </c>
      <c r="AP1264" s="20">
        <v>-24.5</v>
      </c>
      <c r="AS1264" s="20">
        <v>635.0</v>
      </c>
      <c r="AT1264" s="20" t="s">
        <v>17</v>
      </c>
      <c r="AU1264" s="20">
        <v>-18.47</v>
      </c>
      <c r="AV1264" s="20">
        <v>-18.5</v>
      </c>
      <c r="BM1264" s="20">
        <v>108.6</v>
      </c>
      <c r="BN1264" s="20">
        <v>108.09</v>
      </c>
      <c r="BZ1264" s="20">
        <v>-45.69</v>
      </c>
      <c r="CA1264" s="20">
        <v>100.88</v>
      </c>
      <c r="CO1264" s="20">
        <v>-15.8</v>
      </c>
      <c r="CP1264" s="20">
        <v>-56.71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P1265" s="20">
        <v>-7.35</v>
      </c>
      <c r="Q1265" s="20">
        <v>13.81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  <c r="BM1265" s="20">
        <v>14.56</v>
      </c>
      <c r="BN1265" s="20">
        <v>20.63</v>
      </c>
      <c r="BZ1265" s="20">
        <v>7.64</v>
      </c>
      <c r="CA1265" s="20">
        <v>66.94</v>
      </c>
      <c r="CO1265" s="20">
        <v>2.98</v>
      </c>
      <c r="CP1265" s="20">
        <v>-61.0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17</v>
      </c>
      <c r="M1266" s="20">
        <v>-11.61</v>
      </c>
      <c r="N1266" s="20">
        <v>22.96</v>
      </c>
      <c r="P1266" s="20">
        <v>-23.77</v>
      </c>
      <c r="Q1266" s="20">
        <v>-4.15</v>
      </c>
      <c r="AM1266" s="20">
        <v>643.0</v>
      </c>
      <c r="AN1266" s="20" t="s">
        <v>17</v>
      </c>
      <c r="AO1266" s="20">
        <v>-20.92</v>
      </c>
      <c r="AP1266" s="20">
        <v>-26.62</v>
      </c>
      <c r="AS1266" s="20">
        <v>636.0</v>
      </c>
      <c r="AT1266" s="20" t="s">
        <v>17</v>
      </c>
      <c r="AU1266" s="20">
        <v>-2.14</v>
      </c>
      <c r="AV1266" s="20">
        <v>-42.38</v>
      </c>
      <c r="BM1266" s="20">
        <v>35.13</v>
      </c>
      <c r="BN1266" s="20">
        <v>91.12</v>
      </c>
      <c r="BZ1266" s="20">
        <v>-50.38</v>
      </c>
      <c r="CA1266" s="20">
        <v>79.67</v>
      </c>
      <c r="CO1266" s="20">
        <v>-24.9</v>
      </c>
      <c r="CP1266" s="20">
        <v>-56.89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P1267" s="20">
        <v>-28.8</v>
      </c>
      <c r="Q1267" s="20">
        <v>5.15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  <c r="BM1267" s="20">
        <v>62.88</v>
      </c>
      <c r="BN1267" s="20">
        <v>68.79</v>
      </c>
      <c r="BZ1267" s="20">
        <v>-7.67</v>
      </c>
      <c r="CA1267" s="20">
        <v>-25.64</v>
      </c>
      <c r="CO1267" s="20">
        <v>-42.48</v>
      </c>
      <c r="CP1267" s="20">
        <v>-54.5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17</v>
      </c>
      <c r="M1268" s="20">
        <v>-20.27</v>
      </c>
      <c r="N1268" s="20">
        <v>43.25</v>
      </c>
      <c r="P1268" s="20">
        <v>-33.26</v>
      </c>
      <c r="Q1268" s="20">
        <v>2.04</v>
      </c>
      <c r="AM1268" s="20">
        <v>644.0</v>
      </c>
      <c r="AN1268" s="20" t="s">
        <v>17</v>
      </c>
      <c r="AO1268" s="20">
        <v>-12.1</v>
      </c>
      <c r="AP1268" s="20">
        <v>-3.87</v>
      </c>
      <c r="AS1268" s="20">
        <v>637.0</v>
      </c>
      <c r="AT1268" s="20" t="s">
        <v>17</v>
      </c>
      <c r="AU1268" s="20">
        <v>-5.02</v>
      </c>
      <c r="AV1268" s="20">
        <v>-32.53</v>
      </c>
      <c r="BM1268" s="20">
        <v>9.56</v>
      </c>
      <c r="BN1268" s="20">
        <v>127.01</v>
      </c>
      <c r="BZ1268" s="20">
        <v>9.48</v>
      </c>
      <c r="CA1268" s="20">
        <v>50.36</v>
      </c>
      <c r="CO1268" s="20">
        <v>-0.75</v>
      </c>
      <c r="CP1268" s="20">
        <v>-58.31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P1269" s="20">
        <v>-13.01</v>
      </c>
      <c r="Q1269" s="20">
        <v>-0.33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  <c r="BM1269" s="20">
        <v>57.33</v>
      </c>
      <c r="BN1269" s="20">
        <v>50.16</v>
      </c>
      <c r="BZ1269" s="20">
        <v>-37.91</v>
      </c>
      <c r="CA1269" s="20">
        <v>19.65</v>
      </c>
      <c r="CO1269" s="20">
        <v>-15.22</v>
      </c>
      <c r="CP1269" s="20">
        <v>-56.65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17</v>
      </c>
      <c r="M1270" s="20">
        <v>-12.97</v>
      </c>
      <c r="N1270" s="20">
        <v>2.24</v>
      </c>
      <c r="P1270" s="20">
        <v>-16.06</v>
      </c>
      <c r="Q1270" s="20">
        <v>25.4</v>
      </c>
      <c r="AM1270" s="20">
        <v>645.0</v>
      </c>
      <c r="AN1270" s="20" t="s">
        <v>17</v>
      </c>
      <c r="AO1270" s="20">
        <v>-14.34</v>
      </c>
      <c r="AP1270" s="20">
        <v>-20.18</v>
      </c>
      <c r="AS1270" s="20">
        <v>638.0</v>
      </c>
      <c r="AT1270" s="20" t="s">
        <v>17</v>
      </c>
      <c r="AU1270" s="20">
        <v>4.52</v>
      </c>
      <c r="AV1270" s="20">
        <v>-39.82</v>
      </c>
      <c r="BM1270" s="20">
        <v>63.64</v>
      </c>
      <c r="BN1270" s="20">
        <v>89.84</v>
      </c>
      <c r="BZ1270" s="20">
        <v>-57.88</v>
      </c>
      <c r="CA1270" s="20">
        <v>42.15</v>
      </c>
      <c r="CO1270" s="20">
        <v>-11.42</v>
      </c>
      <c r="CP1270" s="20">
        <v>-69.63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P1271" s="20">
        <v>18.47</v>
      </c>
      <c r="Q1271" s="20">
        <v>28.89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  <c r="BM1271" s="20">
        <v>38.34</v>
      </c>
      <c r="BN1271" s="20">
        <v>83.1</v>
      </c>
      <c r="BZ1271" s="20">
        <v>-46.3</v>
      </c>
      <c r="CA1271" s="20">
        <v>6.49</v>
      </c>
      <c r="CO1271" s="20">
        <v>-42.63</v>
      </c>
      <c r="CP1271" s="20">
        <v>-61.71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17</v>
      </c>
      <c r="M1272" s="20">
        <v>-42.87</v>
      </c>
      <c r="N1272" s="20">
        <v>1.26</v>
      </c>
      <c r="P1272" s="20">
        <v>10.03</v>
      </c>
      <c r="Q1272" s="20">
        <v>18.37</v>
      </c>
      <c r="AM1272" s="20">
        <v>646.0</v>
      </c>
      <c r="AN1272" s="20" t="s">
        <v>17</v>
      </c>
      <c r="AO1272" s="20">
        <v>-22.67</v>
      </c>
      <c r="AP1272" s="20">
        <v>-29.44</v>
      </c>
      <c r="AS1272" s="20">
        <v>639.0</v>
      </c>
      <c r="AT1272" s="20" t="s">
        <v>17</v>
      </c>
      <c r="AU1272" s="20">
        <v>-43.81</v>
      </c>
      <c r="AV1272" s="20">
        <v>-52.02</v>
      </c>
      <c r="BM1272" s="20">
        <v>41.38</v>
      </c>
      <c r="BN1272" s="20">
        <v>138.58</v>
      </c>
      <c r="BZ1272" s="20">
        <v>-46.45</v>
      </c>
      <c r="CA1272" s="20">
        <v>29.43</v>
      </c>
      <c r="CO1272" s="20">
        <v>1.84</v>
      </c>
      <c r="CP1272" s="20">
        <v>-56.26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P1273" s="20">
        <v>6.57</v>
      </c>
      <c r="Q1273" s="20">
        <v>16.48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  <c r="BM1273" s="20">
        <v>50.05</v>
      </c>
      <c r="BN1273" s="20">
        <v>41.71</v>
      </c>
      <c r="BZ1273" s="20">
        <v>-52.02</v>
      </c>
      <c r="CA1273" s="20">
        <v>14.65</v>
      </c>
      <c r="CO1273" s="20">
        <v>18.36</v>
      </c>
      <c r="CP1273" s="20">
        <v>-55.75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17</v>
      </c>
      <c r="M1274" s="20">
        <v>-26.28</v>
      </c>
      <c r="N1274" s="20">
        <v>3.52</v>
      </c>
      <c r="P1274" s="20">
        <v>20.02</v>
      </c>
      <c r="Q1274" s="20">
        <v>28.87</v>
      </c>
      <c r="AM1274" s="20">
        <v>647.0</v>
      </c>
      <c r="AN1274" s="20" t="s">
        <v>17</v>
      </c>
      <c r="AO1274" s="20">
        <v>-28.6</v>
      </c>
      <c r="AP1274" s="20">
        <v>-20.67</v>
      </c>
      <c r="AS1274" s="20">
        <v>640.0</v>
      </c>
      <c r="AT1274" s="20" t="s">
        <v>17</v>
      </c>
      <c r="AU1274" s="20">
        <v>-46.21</v>
      </c>
      <c r="AV1274" s="20">
        <v>-52.14</v>
      </c>
      <c r="BM1274" s="20">
        <v>24.69</v>
      </c>
      <c r="BN1274" s="20">
        <v>85.56</v>
      </c>
      <c r="BZ1274" s="20">
        <v>-58.07</v>
      </c>
      <c r="CA1274" s="20">
        <v>52.76</v>
      </c>
      <c r="CO1274" s="20">
        <v>-18.77</v>
      </c>
      <c r="CP1274" s="20">
        <v>-62.1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P1275" s="20">
        <v>34.06</v>
      </c>
      <c r="Q1275" s="20">
        <v>13.9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  <c r="BM1275" s="20">
        <v>-35.49</v>
      </c>
      <c r="BN1275" s="20">
        <v>-4.16</v>
      </c>
      <c r="BZ1275" s="20">
        <v>-25.67</v>
      </c>
      <c r="CA1275" s="20">
        <v>58.56</v>
      </c>
      <c r="CO1275" s="20">
        <v>-5.19</v>
      </c>
      <c r="CP1275" s="20">
        <v>-50.23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17</v>
      </c>
      <c r="M1276" s="20">
        <v>14.64</v>
      </c>
      <c r="N1276" s="20">
        <v>-33.54</v>
      </c>
      <c r="P1276" s="20">
        <v>12.16</v>
      </c>
      <c r="Q1276" s="20">
        <v>37.4</v>
      </c>
      <c r="AM1276" s="20">
        <v>648.0</v>
      </c>
      <c r="AN1276" s="20" t="s">
        <v>17</v>
      </c>
      <c r="AO1276" s="20">
        <v>14.21</v>
      </c>
      <c r="AP1276" s="20">
        <v>-38.02</v>
      </c>
      <c r="AS1276" s="20">
        <v>641.0</v>
      </c>
      <c r="AT1276" s="20" t="s">
        <v>17</v>
      </c>
      <c r="AU1276" s="20">
        <v>-31.5</v>
      </c>
      <c r="AV1276" s="20">
        <v>-45.91</v>
      </c>
      <c r="BM1276" s="20">
        <v>-2.87</v>
      </c>
      <c r="BN1276" s="20">
        <v>151.82</v>
      </c>
      <c r="BZ1276" s="20">
        <v>-32.66</v>
      </c>
      <c r="CA1276" s="20">
        <v>46.42</v>
      </c>
      <c r="CO1276" s="20">
        <v>-14.94</v>
      </c>
      <c r="CP1276" s="20">
        <v>-60.47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P1277" s="20">
        <v>8.86</v>
      </c>
      <c r="Q1277" s="20">
        <v>13.25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  <c r="BM1277" s="20">
        <v>91.61</v>
      </c>
      <c r="BN1277" s="20">
        <v>94.88</v>
      </c>
      <c r="BZ1277" s="20">
        <v>-48.99</v>
      </c>
      <c r="CA1277" s="20">
        <v>53.13</v>
      </c>
      <c r="CO1277" s="20">
        <v>8.06</v>
      </c>
      <c r="CP1277" s="20">
        <v>-49.01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17</v>
      </c>
      <c r="M1278" s="20">
        <v>-18.77</v>
      </c>
      <c r="N1278" s="20">
        <v>0.52</v>
      </c>
      <c r="P1278" s="20">
        <v>-39.81</v>
      </c>
      <c r="Q1278" s="20">
        <v>-32.54</v>
      </c>
      <c r="AM1278" s="20">
        <v>649.0</v>
      </c>
      <c r="AN1278" s="20" t="s">
        <v>17</v>
      </c>
      <c r="AO1278" s="20">
        <v>-30.25</v>
      </c>
      <c r="AP1278" s="20">
        <v>18.2</v>
      </c>
      <c r="AS1278" s="20">
        <v>642.0</v>
      </c>
      <c r="AT1278" s="20" t="s">
        <v>17</v>
      </c>
      <c r="AU1278" s="20">
        <v>-20.49</v>
      </c>
      <c r="AV1278" s="20">
        <v>-25.02</v>
      </c>
      <c r="BM1278" s="20">
        <v>20.41</v>
      </c>
      <c r="BN1278" s="20">
        <v>104.14</v>
      </c>
      <c r="BZ1278" s="20">
        <v>-40.54</v>
      </c>
      <c r="CA1278" s="20">
        <v>25.8</v>
      </c>
      <c r="CO1278" s="20">
        <v>-1.08</v>
      </c>
      <c r="CP1278" s="20">
        <v>-52.22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P1279" s="20">
        <v>-6.35</v>
      </c>
      <c r="Q1279" s="20">
        <v>18.97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  <c r="BM1279" s="20">
        <v>54.63</v>
      </c>
      <c r="BN1279" s="20">
        <v>47.31</v>
      </c>
      <c r="BZ1279" s="20">
        <v>-11.5</v>
      </c>
      <c r="CA1279" s="20">
        <v>79.2</v>
      </c>
      <c r="CO1279" s="20">
        <v>-22.97</v>
      </c>
      <c r="CP1279" s="20">
        <v>-54.6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17</v>
      </c>
      <c r="M1280" s="20">
        <v>-14.87</v>
      </c>
      <c r="N1280" s="20">
        <v>2.68</v>
      </c>
      <c r="P1280" s="20">
        <v>-0.04</v>
      </c>
      <c r="Q1280" s="20">
        <v>23.61</v>
      </c>
      <c r="AM1280" s="20">
        <v>650.0</v>
      </c>
      <c r="AN1280" s="20" t="s">
        <v>17</v>
      </c>
      <c r="AO1280" s="20">
        <v>24.5</v>
      </c>
      <c r="AP1280" s="20">
        <v>67.61</v>
      </c>
      <c r="AS1280" s="20">
        <v>643.0</v>
      </c>
      <c r="AT1280" s="20" t="s">
        <v>17</v>
      </c>
      <c r="AU1280" s="20">
        <v>-44.72</v>
      </c>
      <c r="AV1280" s="20">
        <v>-42.28</v>
      </c>
      <c r="BM1280" s="20">
        <v>8.77</v>
      </c>
      <c r="BN1280" s="20">
        <v>212.09</v>
      </c>
      <c r="BZ1280" s="20">
        <v>-53.94</v>
      </c>
      <c r="CA1280" s="20">
        <v>99.71</v>
      </c>
      <c r="CO1280" s="20">
        <v>-11.27</v>
      </c>
      <c r="CP1280" s="20">
        <v>-70.9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P1281" s="20">
        <v>20.38</v>
      </c>
      <c r="Q1281" s="20">
        <v>56.09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  <c r="BM1281" s="20">
        <v>65.72</v>
      </c>
      <c r="BN1281" s="20">
        <v>55.41</v>
      </c>
      <c r="BZ1281" s="20">
        <v>-36.44</v>
      </c>
      <c r="CA1281" s="20">
        <v>62.39</v>
      </c>
      <c r="CO1281" s="20">
        <v>1.23</v>
      </c>
      <c r="CP1281" s="20">
        <v>-58.29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17</v>
      </c>
      <c r="M1282" s="20">
        <v>33.01</v>
      </c>
      <c r="N1282" s="20">
        <v>101.6</v>
      </c>
      <c r="P1282" s="20">
        <v>12.9</v>
      </c>
      <c r="Q1282" s="20">
        <v>-9.24</v>
      </c>
      <c r="AM1282" s="20">
        <v>651.0</v>
      </c>
      <c r="AN1282" s="20" t="s">
        <v>17</v>
      </c>
      <c r="AO1282" s="20">
        <v>-11.0</v>
      </c>
      <c r="AP1282" s="20">
        <v>4.46</v>
      </c>
      <c r="AS1282" s="20">
        <v>644.0</v>
      </c>
      <c r="AT1282" s="20" t="s">
        <v>17</v>
      </c>
      <c r="AU1282" s="20">
        <v>31.56</v>
      </c>
      <c r="AV1282" s="20">
        <v>-2.99</v>
      </c>
      <c r="BM1282" s="20">
        <v>-22.73</v>
      </c>
      <c r="BN1282" s="20">
        <v>30.39</v>
      </c>
      <c r="BZ1282" s="20">
        <v>-62.45</v>
      </c>
      <c r="CA1282" s="20">
        <v>31.5</v>
      </c>
      <c r="CO1282" s="20">
        <v>15.07</v>
      </c>
      <c r="CP1282" s="20">
        <v>-51.67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P1283" s="20">
        <v>11.07</v>
      </c>
      <c r="Q1283" s="20">
        <v>63.93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  <c r="BM1283" s="20">
        <v>6.32</v>
      </c>
      <c r="BN1283" s="20">
        <v>19.98</v>
      </c>
      <c r="BZ1283" s="20">
        <v>-79.73</v>
      </c>
      <c r="CA1283" s="20">
        <v>-34.37</v>
      </c>
      <c r="CO1283" s="20">
        <v>4.7</v>
      </c>
      <c r="CP1283" s="20">
        <v>-42.62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17</v>
      </c>
      <c r="M1284" s="20">
        <v>-25.62</v>
      </c>
      <c r="N1284" s="20">
        <v>-36.77</v>
      </c>
      <c r="P1284" s="20">
        <v>4.63</v>
      </c>
      <c r="Q1284" s="20">
        <v>37.6</v>
      </c>
      <c r="AM1284" s="20">
        <v>652.0</v>
      </c>
      <c r="AN1284" s="20" t="s">
        <v>17</v>
      </c>
      <c r="AO1284" s="20">
        <v>-43.1</v>
      </c>
      <c r="AP1284" s="20">
        <v>10.38</v>
      </c>
      <c r="AS1284" s="20">
        <v>645.0</v>
      </c>
      <c r="AT1284" s="20" t="s">
        <v>17</v>
      </c>
      <c r="AU1284" s="20">
        <v>-2.86</v>
      </c>
      <c r="AV1284" s="20">
        <v>-37.72</v>
      </c>
      <c r="BM1284" s="20">
        <v>69.66</v>
      </c>
      <c r="BN1284" s="20">
        <v>108.8</v>
      </c>
      <c r="BZ1284" s="20">
        <v>-30.24</v>
      </c>
      <c r="CA1284" s="20">
        <v>0.05</v>
      </c>
      <c r="CO1284" s="20">
        <v>-10.43</v>
      </c>
      <c r="CP1284" s="20">
        <v>-44.75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P1285" s="20">
        <v>-11.76</v>
      </c>
      <c r="Q1285" s="20">
        <v>-8.82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  <c r="BM1285" s="20">
        <v>-12.41</v>
      </c>
      <c r="BN1285" s="20">
        <v>19.13</v>
      </c>
      <c r="BZ1285" s="20">
        <v>75.26</v>
      </c>
      <c r="CA1285" s="20">
        <v>-46.84</v>
      </c>
      <c r="CO1285" s="20">
        <v>-9.93</v>
      </c>
      <c r="CP1285" s="20">
        <v>-61.53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17</v>
      </c>
      <c r="M1286" s="20">
        <v>-1.07</v>
      </c>
      <c r="N1286" s="20">
        <v>-15.79</v>
      </c>
      <c r="P1286" s="20">
        <v>-19.03</v>
      </c>
      <c r="Q1286" s="20">
        <v>-10.39</v>
      </c>
      <c r="AM1286" s="20">
        <v>653.0</v>
      </c>
      <c r="AN1286" s="20" t="s">
        <v>17</v>
      </c>
      <c r="AO1286" s="20">
        <v>8.64</v>
      </c>
      <c r="AP1286" s="20">
        <v>-21.92</v>
      </c>
      <c r="AS1286" s="20">
        <v>646.0</v>
      </c>
      <c r="AT1286" s="20" t="s">
        <v>17</v>
      </c>
      <c r="AU1286" s="20">
        <v>13.09</v>
      </c>
      <c r="AV1286" s="20">
        <v>-3.88</v>
      </c>
      <c r="BM1286" s="20">
        <v>33.03</v>
      </c>
      <c r="BN1286" s="20">
        <v>128.34</v>
      </c>
      <c r="BZ1286" s="20">
        <v>-30.35</v>
      </c>
      <c r="CA1286" s="20">
        <v>-31.28</v>
      </c>
      <c r="CO1286" s="20">
        <v>-23.05</v>
      </c>
      <c r="CP1286" s="20">
        <v>-46.56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P1287" s="20">
        <v>14.19</v>
      </c>
      <c r="Q1287" s="20">
        <v>78.01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  <c r="BM1287" s="20">
        <v>6.26</v>
      </c>
      <c r="BN1287" s="20">
        <v>177.57</v>
      </c>
      <c r="BZ1287" s="20">
        <v>-51.8</v>
      </c>
      <c r="CA1287" s="20">
        <v>6.18</v>
      </c>
      <c r="CO1287" s="20">
        <v>-28.89</v>
      </c>
      <c r="CP1287" s="20">
        <v>-69.74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17</v>
      </c>
      <c r="M1288" s="20">
        <v>-28.32</v>
      </c>
      <c r="N1288" s="20">
        <v>2.6</v>
      </c>
      <c r="P1288" s="20">
        <v>-10.94</v>
      </c>
      <c r="Q1288" s="20">
        <v>60.96</v>
      </c>
      <c r="AM1288" s="20">
        <v>654.0</v>
      </c>
      <c r="AN1288" s="20" t="s">
        <v>17</v>
      </c>
      <c r="AO1288" s="20">
        <v>-33.44</v>
      </c>
      <c r="AP1288" s="20">
        <v>-24.63</v>
      </c>
      <c r="AS1288" s="20">
        <v>647.0</v>
      </c>
      <c r="AT1288" s="20" t="s">
        <v>17</v>
      </c>
      <c r="AU1288" s="20">
        <v>-7.49</v>
      </c>
      <c r="AV1288" s="20">
        <v>-21.54</v>
      </c>
      <c r="BM1288" s="20">
        <v>40.72</v>
      </c>
      <c r="BN1288" s="20">
        <v>87.27</v>
      </c>
      <c r="BZ1288" s="20">
        <v>-47.75</v>
      </c>
      <c r="CA1288" s="20">
        <v>32.31</v>
      </c>
      <c r="CO1288" s="20">
        <v>-30.75</v>
      </c>
      <c r="CP1288" s="20">
        <v>-33.38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P1289" s="20">
        <v>-4.64</v>
      </c>
      <c r="Q1289" s="20">
        <v>36.36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  <c r="BM1289" s="20">
        <v>72.86</v>
      </c>
      <c r="BN1289" s="20">
        <v>105.93</v>
      </c>
      <c r="BZ1289" s="20">
        <v>-53.62</v>
      </c>
      <c r="CA1289" s="20">
        <v>85.43</v>
      </c>
      <c r="CO1289" s="20">
        <v>-32.36</v>
      </c>
      <c r="CP1289" s="20">
        <v>-61.27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17</v>
      </c>
      <c r="M1290" s="20">
        <v>-1.69</v>
      </c>
      <c r="N1290" s="20">
        <v>17.19</v>
      </c>
      <c r="P1290" s="20">
        <v>-25.27</v>
      </c>
      <c r="Q1290" s="20">
        <v>8.45</v>
      </c>
      <c r="AM1290" s="20">
        <v>655.0</v>
      </c>
      <c r="AN1290" s="20" t="s">
        <v>17</v>
      </c>
      <c r="AO1290" s="20">
        <v>-45.41</v>
      </c>
      <c r="AP1290" s="20">
        <v>-24.5</v>
      </c>
      <c r="AS1290" s="20">
        <v>648.0</v>
      </c>
      <c r="AT1290" s="20" t="s">
        <v>17</v>
      </c>
      <c r="AU1290" s="20">
        <v>17.59</v>
      </c>
      <c r="AV1290" s="20">
        <v>-12.06</v>
      </c>
      <c r="BM1290" s="20">
        <v>28.75</v>
      </c>
      <c r="BN1290" s="20">
        <v>152.94</v>
      </c>
      <c r="BZ1290" s="20">
        <v>-66.48</v>
      </c>
      <c r="CA1290" s="20">
        <v>90.89</v>
      </c>
      <c r="CO1290" s="20">
        <v>2.14</v>
      </c>
      <c r="CP1290" s="20">
        <v>-52.25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P1291" s="20">
        <v>-3.9</v>
      </c>
      <c r="Q1291" s="20">
        <v>-3.13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  <c r="BM1291" s="20">
        <v>-25.35</v>
      </c>
      <c r="BN1291" s="20">
        <v>89.45</v>
      </c>
      <c r="BZ1291" s="20">
        <v>-35.29</v>
      </c>
      <c r="CA1291" s="20">
        <v>-41.6</v>
      </c>
      <c r="CO1291" s="20">
        <v>-46.11</v>
      </c>
      <c r="CP1291" s="20">
        <v>-68.21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17</v>
      </c>
      <c r="M1292" s="20">
        <v>-23.02</v>
      </c>
      <c r="N1292" s="20">
        <v>-16.18</v>
      </c>
      <c r="P1292" s="20">
        <v>-15.57</v>
      </c>
      <c r="Q1292" s="20">
        <v>13.37</v>
      </c>
      <c r="AM1292" s="20">
        <v>656.0</v>
      </c>
      <c r="AN1292" s="20" t="s">
        <v>17</v>
      </c>
      <c r="AO1292" s="20">
        <v>41.81</v>
      </c>
      <c r="AP1292" s="20">
        <v>40.9</v>
      </c>
      <c r="AS1292" s="20">
        <v>649.0</v>
      </c>
      <c r="AT1292" s="20" t="s">
        <v>17</v>
      </c>
      <c r="AU1292" s="20">
        <v>-41.43</v>
      </c>
      <c r="AV1292" s="20">
        <v>-48.82</v>
      </c>
      <c r="BM1292" s="20">
        <v>31.97</v>
      </c>
      <c r="BN1292" s="20">
        <v>160.44</v>
      </c>
      <c r="BZ1292" s="20">
        <v>-44.73</v>
      </c>
      <c r="CA1292" s="20">
        <v>-32.58</v>
      </c>
      <c r="CO1292" s="20">
        <v>19.49</v>
      </c>
      <c r="CP1292" s="20">
        <v>-49.15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P1293" s="20">
        <v>-0.19</v>
      </c>
      <c r="Q1293" s="20">
        <v>21.65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  <c r="BM1293" s="20">
        <v>54.69</v>
      </c>
      <c r="BN1293" s="20">
        <v>182.15</v>
      </c>
      <c r="BZ1293" s="20">
        <v>-39.17</v>
      </c>
      <c r="CA1293" s="20">
        <v>19.04</v>
      </c>
      <c r="CO1293" s="20">
        <v>-40.99</v>
      </c>
      <c r="CP1293" s="20">
        <v>-67.43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17</v>
      </c>
      <c r="M1294" s="20">
        <v>-16.03</v>
      </c>
      <c r="N1294" s="20">
        <v>-12.95</v>
      </c>
      <c r="P1294" s="20">
        <v>2.69</v>
      </c>
      <c r="Q1294" s="20">
        <v>21.56</v>
      </c>
      <c r="AM1294" s="20">
        <v>657.0</v>
      </c>
      <c r="AN1294" s="20" t="s">
        <v>17</v>
      </c>
      <c r="AO1294" s="20">
        <v>27.75</v>
      </c>
      <c r="AP1294" s="20">
        <v>26.58</v>
      </c>
      <c r="AS1294" s="20">
        <v>650.0</v>
      </c>
      <c r="AT1294" s="20" t="s">
        <v>17</v>
      </c>
      <c r="AU1294" s="20">
        <v>-21.72</v>
      </c>
      <c r="AV1294" s="20">
        <v>-36.39</v>
      </c>
      <c r="BM1294" s="20">
        <v>23.95</v>
      </c>
      <c r="BN1294" s="20">
        <v>82.21</v>
      </c>
      <c r="BZ1294" s="20">
        <v>-35.94</v>
      </c>
      <c r="CA1294" s="20">
        <v>91.36</v>
      </c>
      <c r="CO1294" s="20">
        <v>-14.78</v>
      </c>
      <c r="CP1294" s="20">
        <v>-51.98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P1295" s="20">
        <v>3.76</v>
      </c>
      <c r="Q1295" s="20">
        <v>36.38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  <c r="BM1295" s="20">
        <v>81.99</v>
      </c>
      <c r="BN1295" s="20">
        <v>80.03</v>
      </c>
      <c r="BZ1295" s="20">
        <v>-21.32</v>
      </c>
      <c r="CA1295" s="20">
        <v>71.87</v>
      </c>
      <c r="CO1295" s="20">
        <v>-34.68</v>
      </c>
      <c r="CP1295" s="20">
        <v>-63.48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17</v>
      </c>
      <c r="M1296" s="20">
        <v>-29.2</v>
      </c>
      <c r="N1296" s="20">
        <v>-42.9</v>
      </c>
      <c r="P1296" s="20">
        <v>-34.02</v>
      </c>
      <c r="Q1296" s="20">
        <v>5.08</v>
      </c>
      <c r="AM1296" s="20">
        <v>658.0</v>
      </c>
      <c r="AN1296" s="20" t="s">
        <v>17</v>
      </c>
      <c r="AO1296" s="20">
        <v>-17.84</v>
      </c>
      <c r="AP1296" s="20">
        <v>10.97</v>
      </c>
      <c r="AS1296" s="20">
        <v>651.0</v>
      </c>
      <c r="AT1296" s="20" t="s">
        <v>17</v>
      </c>
      <c r="AU1296" s="20">
        <v>-0.18</v>
      </c>
      <c r="AV1296" s="20">
        <v>-38.63</v>
      </c>
      <c r="BM1296" s="20">
        <v>170.0</v>
      </c>
      <c r="BN1296" s="20">
        <v>132.42</v>
      </c>
      <c r="BZ1296" s="20">
        <v>20.99</v>
      </c>
      <c r="CA1296" s="20">
        <v>-50.8</v>
      </c>
      <c r="CO1296" s="20">
        <v>-17.15</v>
      </c>
      <c r="CP1296" s="20">
        <v>-34.08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P1297" s="20">
        <v>-2.61</v>
      </c>
      <c r="Q1297" s="20">
        <v>-5.87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  <c r="BM1297" s="20">
        <v>-9.75</v>
      </c>
      <c r="BN1297" s="20">
        <v>22.92</v>
      </c>
      <c r="BZ1297" s="20">
        <v>2.63</v>
      </c>
      <c r="CA1297" s="20">
        <v>168.33</v>
      </c>
      <c r="CO1297" s="20">
        <v>11.59</v>
      </c>
      <c r="CP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17</v>
      </c>
      <c r="M1298" s="20">
        <v>-8.81</v>
      </c>
      <c r="N1298" s="20">
        <v>21.62</v>
      </c>
      <c r="P1298" s="20">
        <v>-39.15</v>
      </c>
      <c r="Q1298" s="20">
        <v>-4.18</v>
      </c>
      <c r="AM1298" s="20">
        <v>659.0</v>
      </c>
      <c r="AN1298" s="20" t="s">
        <v>17</v>
      </c>
      <c r="AO1298" s="20">
        <v>-29.98</v>
      </c>
      <c r="AP1298" s="20">
        <v>-40.06</v>
      </c>
      <c r="AS1298" s="20">
        <v>652.0</v>
      </c>
      <c r="AT1298" s="20" t="s">
        <v>17</v>
      </c>
      <c r="AU1298" s="20">
        <v>-41.78</v>
      </c>
      <c r="AV1298" s="20">
        <v>-34.25</v>
      </c>
      <c r="BM1298" s="20">
        <v>20.44</v>
      </c>
      <c r="BN1298" s="20">
        <v>-15.37</v>
      </c>
      <c r="BZ1298" s="20">
        <v>24.48</v>
      </c>
      <c r="CA1298" s="20">
        <v>145.81</v>
      </c>
      <c r="CO1298" s="20">
        <v>-18.08</v>
      </c>
      <c r="CP1298" s="20">
        <v>-26.08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P1299" s="20">
        <v>1.97</v>
      </c>
      <c r="Q1299" s="20">
        <v>7.2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  <c r="BM1299" s="20">
        <v>5.28</v>
      </c>
      <c r="BN1299" s="20">
        <v>109.08</v>
      </c>
      <c r="BZ1299" s="20">
        <v>-44.4</v>
      </c>
      <c r="CA1299" s="20">
        <v>42.51</v>
      </c>
      <c r="CO1299" s="20">
        <v>-9.56</v>
      </c>
      <c r="CP1299" s="20">
        <v>-56.35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17</v>
      </c>
      <c r="M1300" s="20">
        <v>-19.05</v>
      </c>
      <c r="N1300" s="20">
        <v>-12.06</v>
      </c>
      <c r="P1300" s="20">
        <v>-17.97</v>
      </c>
      <c r="Q1300" s="20">
        <v>-10.66</v>
      </c>
      <c r="AM1300" s="20">
        <v>660.0</v>
      </c>
      <c r="AN1300" s="20" t="s">
        <v>17</v>
      </c>
      <c r="AO1300" s="20">
        <v>38.8</v>
      </c>
      <c r="AP1300" s="20">
        <v>1.15</v>
      </c>
      <c r="AS1300" s="20">
        <v>653.0</v>
      </c>
      <c r="AT1300" s="20" t="s">
        <v>17</v>
      </c>
      <c r="AU1300" s="20">
        <v>-45.05</v>
      </c>
      <c r="AV1300" s="20">
        <v>-66.59</v>
      </c>
      <c r="BM1300" s="20">
        <v>-49.41</v>
      </c>
      <c r="BN1300" s="20">
        <v>-32.58</v>
      </c>
      <c r="BZ1300" s="20">
        <v>-43.3</v>
      </c>
      <c r="CA1300" s="20">
        <v>13.65</v>
      </c>
      <c r="CO1300" s="20">
        <v>4.83</v>
      </c>
      <c r="CP1300" s="20">
        <v>-54.63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P1301" s="20">
        <v>9.78</v>
      </c>
      <c r="Q1301" s="20">
        <v>33.38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  <c r="BM1301" s="20">
        <v>16.39</v>
      </c>
      <c r="BN1301" s="20">
        <v>95.9</v>
      </c>
      <c r="BZ1301" s="20">
        <v>5.19</v>
      </c>
      <c r="CA1301" s="20">
        <v>153.3</v>
      </c>
      <c r="CO1301" s="20">
        <v>-24.28</v>
      </c>
      <c r="CP1301" s="20">
        <v>-68.62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17</v>
      </c>
      <c r="M1302" s="20">
        <v>-23.56</v>
      </c>
      <c r="N1302" s="20">
        <v>22.45</v>
      </c>
      <c r="P1302" s="20">
        <v>-0.63</v>
      </c>
      <c r="Q1302" s="20">
        <v>11.02</v>
      </c>
      <c r="AM1302" s="20">
        <v>661.0</v>
      </c>
      <c r="AN1302" s="20" t="s">
        <v>17</v>
      </c>
      <c r="AO1302" s="20">
        <v>-16.28</v>
      </c>
      <c r="AP1302" s="20">
        <v>-0.97</v>
      </c>
      <c r="AS1302" s="20">
        <v>654.0</v>
      </c>
      <c r="AT1302" s="20" t="s">
        <v>17</v>
      </c>
      <c r="AU1302" s="20">
        <v>-19.01</v>
      </c>
      <c r="AV1302" s="20">
        <v>23.98</v>
      </c>
      <c r="BM1302" s="20">
        <v>-19.31</v>
      </c>
      <c r="BN1302" s="20">
        <v>32.39</v>
      </c>
      <c r="BZ1302" s="20">
        <v>-56.73</v>
      </c>
      <c r="CA1302" s="20">
        <v>123.75</v>
      </c>
      <c r="CO1302" s="20">
        <v>-27.09</v>
      </c>
      <c r="CP1302" s="20">
        <v>-39.12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P1303" s="20">
        <v>-4.09</v>
      </c>
      <c r="Q1303" s="20">
        <v>28.36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  <c r="BM1303" s="20">
        <v>33.95</v>
      </c>
      <c r="BN1303" s="20">
        <v>95.2</v>
      </c>
      <c r="BZ1303" s="20">
        <v>-41.92</v>
      </c>
      <c r="CA1303" s="20">
        <v>139.4</v>
      </c>
      <c r="CO1303" s="20">
        <v>-23.62</v>
      </c>
      <c r="CP1303" s="20">
        <v>-64.22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17</v>
      </c>
      <c r="M1304" s="20">
        <v>18.06</v>
      </c>
      <c r="N1304" s="20">
        <v>48.05</v>
      </c>
      <c r="P1304" s="20">
        <v>-45.67</v>
      </c>
      <c r="Q1304" s="20">
        <v>-23.03</v>
      </c>
      <c r="AM1304" s="20">
        <v>662.0</v>
      </c>
      <c r="AN1304" s="20" t="s">
        <v>17</v>
      </c>
      <c r="AO1304" s="20">
        <v>0.1</v>
      </c>
      <c r="AP1304" s="20">
        <v>-9.44</v>
      </c>
      <c r="AS1304" s="20">
        <v>655.0</v>
      </c>
      <c r="AT1304" s="20" t="s">
        <v>17</v>
      </c>
      <c r="AU1304" s="20">
        <v>1.17</v>
      </c>
      <c r="AV1304" s="20">
        <v>-40.9</v>
      </c>
      <c r="BM1304" s="20">
        <v>40.71</v>
      </c>
      <c r="BN1304" s="20">
        <v>72.72</v>
      </c>
      <c r="BZ1304" s="20">
        <v>-50.17</v>
      </c>
      <c r="CA1304" s="20">
        <v>131.13</v>
      </c>
      <c r="CO1304" s="20">
        <v>0.15</v>
      </c>
      <c r="CP1304" s="20">
        <v>-49.47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P1305" s="20">
        <v>-5.21</v>
      </c>
      <c r="Q1305" s="20">
        <v>15.64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  <c r="BM1305" s="20">
        <v>36.23</v>
      </c>
      <c r="BN1305" s="20">
        <v>83.67</v>
      </c>
      <c r="BZ1305" s="20">
        <v>2.79</v>
      </c>
      <c r="CA1305" s="20">
        <v>-10.52</v>
      </c>
      <c r="CO1305" s="20">
        <v>-16.5</v>
      </c>
      <c r="CP1305" s="20">
        <v>-58.23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17</v>
      </c>
      <c r="M1306" s="20">
        <v>37.81</v>
      </c>
      <c r="N1306" s="20">
        <v>9.38</v>
      </c>
      <c r="P1306" s="20">
        <v>-37.64</v>
      </c>
      <c r="Q1306" s="20">
        <v>11.32</v>
      </c>
      <c r="AM1306" s="20">
        <v>663.0</v>
      </c>
      <c r="AN1306" s="20" t="s">
        <v>17</v>
      </c>
      <c r="AO1306" s="20">
        <v>-20.24</v>
      </c>
      <c r="AP1306" s="20">
        <v>15.14</v>
      </c>
      <c r="AS1306" s="20">
        <v>656.0</v>
      </c>
      <c r="AT1306" s="20" t="s">
        <v>17</v>
      </c>
      <c r="AU1306" s="20">
        <v>6.55</v>
      </c>
      <c r="AV1306" s="20">
        <v>83.75</v>
      </c>
      <c r="BM1306" s="20">
        <v>11.43</v>
      </c>
      <c r="BN1306" s="20">
        <v>55.45</v>
      </c>
      <c r="BZ1306" s="20">
        <v>-6.14</v>
      </c>
      <c r="CA1306" s="20">
        <v>-50.32</v>
      </c>
      <c r="CO1306" s="20">
        <v>11.57</v>
      </c>
      <c r="CP1306" s="20">
        <v>-45.94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P1307" s="20">
        <v>-6.57</v>
      </c>
      <c r="Q1307" s="20">
        <v>42.95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  <c r="BM1307" s="20">
        <v>-33.24</v>
      </c>
      <c r="BN1307" s="20">
        <v>-5.34</v>
      </c>
      <c r="BZ1307" s="20">
        <v>-21.24</v>
      </c>
      <c r="CA1307" s="20">
        <v>66.85</v>
      </c>
      <c r="CO1307" s="20">
        <v>-22.49</v>
      </c>
      <c r="CP1307" s="20">
        <v>-58.25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17</v>
      </c>
      <c r="M1308" s="20">
        <v>4.28</v>
      </c>
      <c r="N1308" s="20">
        <v>44.4</v>
      </c>
      <c r="P1308" s="20">
        <v>-39.8</v>
      </c>
      <c r="Q1308" s="20">
        <v>-10.45</v>
      </c>
      <c r="AM1308" s="20">
        <v>664.0</v>
      </c>
      <c r="AN1308" s="20" t="s">
        <v>17</v>
      </c>
      <c r="AO1308" s="20">
        <v>-7.96</v>
      </c>
      <c r="AP1308" s="20">
        <v>-29.75</v>
      </c>
      <c r="AS1308" s="20">
        <v>657.0</v>
      </c>
      <c r="AT1308" s="20" t="s">
        <v>17</v>
      </c>
      <c r="AU1308" s="20">
        <v>-26.81</v>
      </c>
      <c r="AV1308" s="20">
        <v>-34.43</v>
      </c>
      <c r="BM1308" s="20">
        <v>-45.02</v>
      </c>
      <c r="BN1308" s="20">
        <v>-23.42</v>
      </c>
      <c r="BZ1308" s="20">
        <v>28.65</v>
      </c>
      <c r="CA1308" s="20">
        <v>-3.0</v>
      </c>
      <c r="CO1308" s="20">
        <v>-8.22</v>
      </c>
      <c r="CP1308" s="20">
        <v>-55.33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P1309" s="20">
        <v>1.02</v>
      </c>
      <c r="Q1309" s="20">
        <v>24.82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  <c r="BM1309" s="20">
        <v>-15.06</v>
      </c>
      <c r="BN1309" s="20">
        <v>87.96</v>
      </c>
      <c r="BZ1309" s="20">
        <v>-67.79</v>
      </c>
      <c r="CA1309" s="20">
        <v>23.18</v>
      </c>
      <c r="CO1309" s="20">
        <v>-24.71</v>
      </c>
      <c r="CP1309" s="20">
        <v>-59.78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17</v>
      </c>
      <c r="M1310" s="20">
        <v>5.69</v>
      </c>
      <c r="N1310" s="20">
        <v>5.24</v>
      </c>
      <c r="P1310" s="20">
        <v>-17.25</v>
      </c>
      <c r="Q1310" s="20">
        <v>-3.83</v>
      </c>
      <c r="AM1310" s="20">
        <v>665.0</v>
      </c>
      <c r="AN1310" s="20" t="s">
        <v>17</v>
      </c>
      <c r="AO1310" s="20">
        <v>-0.03</v>
      </c>
      <c r="AP1310" s="20">
        <v>-19.57</v>
      </c>
      <c r="AS1310" s="20">
        <v>658.0</v>
      </c>
      <c r="AT1310" s="20" t="s">
        <v>17</v>
      </c>
      <c r="AU1310" s="20">
        <v>2.43</v>
      </c>
      <c r="AV1310" s="20">
        <v>18.43</v>
      </c>
      <c r="BM1310" s="20">
        <v>47.79</v>
      </c>
      <c r="BN1310" s="20">
        <v>93.96</v>
      </c>
      <c r="BZ1310" s="20">
        <v>-57.61</v>
      </c>
      <c r="CA1310" s="20">
        <v>30.77</v>
      </c>
      <c r="CO1310" s="20">
        <v>23.77</v>
      </c>
      <c r="CP1310" s="20">
        <v>-50.9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P1311" s="20">
        <v>-31.19</v>
      </c>
      <c r="Q1311" s="20">
        <v>26.22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  <c r="BM1311" s="20">
        <v>16.93</v>
      </c>
      <c r="BN1311" s="20">
        <v>24.59</v>
      </c>
      <c r="BZ1311" s="20">
        <v>-34.99</v>
      </c>
      <c r="CA1311" s="20">
        <v>1.39</v>
      </c>
      <c r="CO1311" s="20">
        <v>-34.57</v>
      </c>
      <c r="CP1311" s="20">
        <v>-58.23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17</v>
      </c>
      <c r="M1312" s="20">
        <v>-8.28</v>
      </c>
      <c r="N1312" s="20">
        <v>31.28</v>
      </c>
      <c r="P1312" s="20">
        <v>-43.02</v>
      </c>
      <c r="Q1312" s="20">
        <v>-13.89</v>
      </c>
      <c r="AM1312" s="20">
        <v>666.0</v>
      </c>
      <c r="AN1312" s="20" t="s">
        <v>17</v>
      </c>
      <c r="AO1312" s="20">
        <v>-12.95</v>
      </c>
      <c r="AP1312" s="20">
        <v>-20.03</v>
      </c>
      <c r="AS1312" s="20">
        <v>659.0</v>
      </c>
      <c r="AT1312" s="20" t="s">
        <v>17</v>
      </c>
      <c r="AU1312" s="20">
        <v>-41.63</v>
      </c>
      <c r="AV1312" s="20">
        <v>-11.06</v>
      </c>
      <c r="BM1312" s="20">
        <v>26.7</v>
      </c>
      <c r="BN1312" s="20">
        <v>154.87</v>
      </c>
      <c r="BZ1312" s="20">
        <v>-64.62</v>
      </c>
      <c r="CA1312" s="20">
        <v>61.4</v>
      </c>
      <c r="CO1312" s="20">
        <v>-5.61</v>
      </c>
      <c r="CP1312" s="20">
        <v>-53.68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P1313" s="20">
        <v>-31.95</v>
      </c>
      <c r="Q1313" s="20">
        <v>2.67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  <c r="BM1313" s="20">
        <v>30.21</v>
      </c>
      <c r="BN1313" s="20">
        <v>13.88</v>
      </c>
      <c r="BZ1313" s="20">
        <v>-37.4</v>
      </c>
      <c r="CA1313" s="20">
        <v>58.22</v>
      </c>
      <c r="CO1313" s="20">
        <v>1.46</v>
      </c>
      <c r="CP1313" s="20">
        <v>-48.22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17</v>
      </c>
      <c r="M1314" s="20">
        <v>-19.93</v>
      </c>
      <c r="N1314" s="20">
        <v>24.88</v>
      </c>
      <c r="P1314" s="20">
        <v>-49.5</v>
      </c>
      <c r="Q1314" s="20">
        <v>-3.93</v>
      </c>
      <c r="AM1314" s="20">
        <v>667.0</v>
      </c>
      <c r="AN1314" s="20" t="s">
        <v>17</v>
      </c>
      <c r="AO1314" s="20">
        <v>-14.52</v>
      </c>
      <c r="AP1314" s="20">
        <v>-18.07</v>
      </c>
      <c r="AS1314" s="20">
        <v>660.0</v>
      </c>
      <c r="AT1314" s="20" t="s">
        <v>17</v>
      </c>
      <c r="AU1314" s="20">
        <v>-28.05</v>
      </c>
      <c r="AV1314" s="20">
        <v>14.81</v>
      </c>
      <c r="BM1314" s="20">
        <v>55.83</v>
      </c>
      <c r="BN1314" s="20">
        <v>102.12</v>
      </c>
      <c r="BZ1314" s="20">
        <v>-32.67</v>
      </c>
      <c r="CA1314" s="20">
        <v>64.28</v>
      </c>
      <c r="CO1314" s="20">
        <v>-10.24</v>
      </c>
      <c r="CP1314" s="20">
        <v>-35.97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P1315" s="20">
        <v>0.55</v>
      </c>
      <c r="Q1315" s="20">
        <v>-10.62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  <c r="BM1315" s="20">
        <v>18.88</v>
      </c>
      <c r="BN1315" s="20">
        <v>58.28</v>
      </c>
      <c r="BZ1315" s="20">
        <v>-49.33</v>
      </c>
      <c r="CA1315" s="20">
        <v>96.53</v>
      </c>
      <c r="CO1315" s="20">
        <v>-24.99</v>
      </c>
      <c r="CP1315" s="20">
        <v>-63.56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17</v>
      </c>
      <c r="M1316" s="20">
        <v>-39.9</v>
      </c>
      <c r="N1316" s="20">
        <v>-9.97</v>
      </c>
      <c r="P1316" s="20">
        <v>-36.19</v>
      </c>
      <c r="Q1316" s="20">
        <v>17.45</v>
      </c>
      <c r="AM1316" s="20">
        <v>668.0</v>
      </c>
      <c r="AN1316" s="20" t="s">
        <v>17</v>
      </c>
      <c r="AO1316" s="20">
        <v>-8.11</v>
      </c>
      <c r="AP1316" s="20">
        <v>47.13</v>
      </c>
      <c r="AS1316" s="20">
        <v>661.0</v>
      </c>
      <c r="AT1316" s="20" t="s">
        <v>17</v>
      </c>
      <c r="AU1316" s="20">
        <v>-13.27</v>
      </c>
      <c r="AV1316" s="20">
        <v>-45.76</v>
      </c>
      <c r="BM1316" s="20">
        <v>44.79</v>
      </c>
      <c r="BN1316" s="20">
        <v>75.68</v>
      </c>
      <c r="BZ1316" s="20">
        <v>-37.54</v>
      </c>
      <c r="CA1316" s="20">
        <v>125.17</v>
      </c>
      <c r="CO1316" s="20">
        <v>-36.72</v>
      </c>
      <c r="CP1316" s="20">
        <v>-47.89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P1317" s="20">
        <v>6.38</v>
      </c>
      <c r="Q1317" s="20">
        <v>8.17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  <c r="BM1317" s="20">
        <v>-17.08</v>
      </c>
      <c r="BN1317" s="20">
        <v>2.43</v>
      </c>
      <c r="BZ1317" s="20">
        <v>-43.81</v>
      </c>
      <c r="CA1317" s="20">
        <v>75.66</v>
      </c>
      <c r="CO1317" s="20">
        <v>-28.71</v>
      </c>
      <c r="CP1317" s="20">
        <v>-53.07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17</v>
      </c>
      <c r="M1318" s="20">
        <v>-6.09</v>
      </c>
      <c r="N1318" s="20">
        <v>37.0</v>
      </c>
      <c r="P1318" s="20">
        <v>6.71</v>
      </c>
      <c r="Q1318" s="20">
        <v>-2.16</v>
      </c>
      <c r="AM1318" s="20">
        <v>669.0</v>
      </c>
      <c r="AN1318" s="20" t="s">
        <v>17</v>
      </c>
      <c r="AO1318" s="20">
        <v>-14.85</v>
      </c>
      <c r="AP1318" s="20">
        <v>-9.25</v>
      </c>
      <c r="AS1318" s="20">
        <v>662.0</v>
      </c>
      <c r="AT1318" s="20" t="s">
        <v>17</v>
      </c>
      <c r="AU1318" s="20">
        <v>-18.77</v>
      </c>
      <c r="AV1318" s="20">
        <v>-36.94</v>
      </c>
      <c r="BM1318" s="20">
        <v>19.1</v>
      </c>
      <c r="BN1318" s="20">
        <v>118.81</v>
      </c>
      <c r="BZ1318" s="20">
        <v>-59.59</v>
      </c>
      <c r="CA1318" s="20">
        <v>102.2</v>
      </c>
      <c r="CO1318" s="20">
        <v>-26.13</v>
      </c>
      <c r="CP1318" s="20">
        <v>-70.63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P1319" s="20">
        <v>-5.26</v>
      </c>
      <c r="Q1319" s="20">
        <v>-6.28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  <c r="BM1319" s="20">
        <v>23.82</v>
      </c>
      <c r="BN1319" s="20">
        <v>66.71</v>
      </c>
      <c r="BZ1319" s="20">
        <v>-7.2</v>
      </c>
      <c r="CA1319" s="20">
        <v>-28.07</v>
      </c>
      <c r="CO1319" s="20">
        <v>-36.98</v>
      </c>
      <c r="CP1319" s="20">
        <v>-66.91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17</v>
      </c>
      <c r="M1320" s="20">
        <v>-47.5</v>
      </c>
      <c r="N1320" s="20">
        <v>-16.13</v>
      </c>
      <c r="P1320" s="20">
        <v>-31.2</v>
      </c>
      <c r="Q1320" s="20">
        <v>50.64</v>
      </c>
      <c r="AM1320" s="20">
        <v>670.0</v>
      </c>
      <c r="AN1320" s="20" t="s">
        <v>17</v>
      </c>
      <c r="AO1320" s="20">
        <v>-11.38</v>
      </c>
      <c r="AP1320" s="20">
        <v>-20.48</v>
      </c>
      <c r="AS1320" s="20">
        <v>663.0</v>
      </c>
      <c r="AT1320" s="20" t="s">
        <v>17</v>
      </c>
      <c r="AU1320" s="20">
        <v>-25.79</v>
      </c>
      <c r="AV1320" s="20">
        <v>2.46</v>
      </c>
      <c r="BM1320" s="20">
        <v>8.82</v>
      </c>
      <c r="BN1320" s="20">
        <v>48.12</v>
      </c>
      <c r="BZ1320" s="20">
        <v>-33.03</v>
      </c>
      <c r="CA1320" s="20">
        <v>-1.53</v>
      </c>
      <c r="CO1320" s="20">
        <v>-23.51</v>
      </c>
      <c r="CP1320" s="20">
        <v>-54.72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P1321" s="20">
        <v>18.67</v>
      </c>
      <c r="Q1321" s="20">
        <v>16.62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  <c r="BM1321" s="20">
        <v>62.81</v>
      </c>
      <c r="BN1321" s="20">
        <v>63.37</v>
      </c>
      <c r="BZ1321" s="20">
        <v>-59.92</v>
      </c>
      <c r="CA1321" s="20">
        <v>-39.56</v>
      </c>
      <c r="CO1321" s="20">
        <v>-54.86</v>
      </c>
      <c r="CP1321" s="20">
        <v>-57.07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17</v>
      </c>
      <c r="M1322" s="20">
        <v>-29.2</v>
      </c>
      <c r="N1322" s="20">
        <v>-3.19</v>
      </c>
      <c r="P1322" s="20">
        <v>-39.01</v>
      </c>
      <c r="Q1322" s="20">
        <v>16.55</v>
      </c>
      <c r="AM1322" s="20">
        <v>671.0</v>
      </c>
      <c r="AN1322" s="20" t="s">
        <v>17</v>
      </c>
      <c r="AO1322" s="20">
        <v>-33.03</v>
      </c>
      <c r="AP1322" s="20">
        <v>-33.2</v>
      </c>
      <c r="AS1322" s="20">
        <v>664.0</v>
      </c>
      <c r="AT1322" s="20" t="s">
        <v>17</v>
      </c>
      <c r="AU1322" s="20">
        <v>-22.15</v>
      </c>
      <c r="AV1322" s="20">
        <v>-17.3</v>
      </c>
      <c r="BM1322" s="20">
        <v>-0.93</v>
      </c>
      <c r="BN1322" s="20">
        <v>90.17</v>
      </c>
      <c r="BZ1322" s="20">
        <v>-39.42</v>
      </c>
      <c r="CA1322" s="20">
        <v>-56.82</v>
      </c>
      <c r="CO1322" s="20">
        <v>-75.86</v>
      </c>
      <c r="CP1322" s="20">
        <v>-67.44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P1323" s="20">
        <v>8.2</v>
      </c>
      <c r="Q1323" s="20">
        <v>-1.91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  <c r="BM1323" s="20">
        <v>36.03</v>
      </c>
      <c r="BN1323" s="20">
        <v>40.89</v>
      </c>
      <c r="BZ1323" s="20">
        <v>-31.38</v>
      </c>
      <c r="CA1323" s="20">
        <v>107.24</v>
      </c>
      <c r="CO1323" s="20">
        <v>37.94</v>
      </c>
      <c r="CP1323" s="20">
        <v>-42.34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17</v>
      </c>
      <c r="M1324" s="20">
        <v>6.73</v>
      </c>
      <c r="N1324" s="20">
        <v>-11.21</v>
      </c>
      <c r="P1324" s="20">
        <v>-38.3</v>
      </c>
      <c r="Q1324" s="20">
        <v>-16.81</v>
      </c>
      <c r="AM1324" s="20">
        <v>672.0</v>
      </c>
      <c r="AN1324" s="20" t="s">
        <v>17</v>
      </c>
      <c r="AO1324" s="20">
        <v>13.66</v>
      </c>
      <c r="AP1324" s="20">
        <v>-30.52</v>
      </c>
      <c r="AS1324" s="20">
        <v>665.0</v>
      </c>
      <c r="AT1324" s="20" t="s">
        <v>17</v>
      </c>
      <c r="AU1324" s="20">
        <v>-32.53</v>
      </c>
      <c r="AV1324" s="20">
        <v>-48.41</v>
      </c>
      <c r="BM1324" s="20">
        <v>32.96</v>
      </c>
      <c r="BN1324" s="20">
        <v>126.35</v>
      </c>
      <c r="BZ1324" s="20">
        <v>-53.88</v>
      </c>
      <c r="CA1324" s="20">
        <v>62.36</v>
      </c>
      <c r="CO1324" s="20">
        <v>7.73</v>
      </c>
      <c r="CP1324" s="20">
        <v>-61.08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P1325" s="20">
        <v>31.65</v>
      </c>
      <c r="Q1325" s="20">
        <v>18.32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  <c r="BM1325" s="20">
        <v>71.89</v>
      </c>
      <c r="BN1325" s="20">
        <v>135.23</v>
      </c>
      <c r="BZ1325" s="20">
        <v>-64.37</v>
      </c>
      <c r="CA1325" s="20">
        <v>115.77</v>
      </c>
      <c r="CO1325" s="20">
        <v>34.43</v>
      </c>
      <c r="CP1325" s="20">
        <v>-41.78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17</v>
      </c>
      <c r="M1326" s="20">
        <v>7.42</v>
      </c>
      <c r="N1326" s="20">
        <v>20.52</v>
      </c>
      <c r="P1326" s="20">
        <v>-9.56</v>
      </c>
      <c r="Q1326" s="20">
        <v>-7.35</v>
      </c>
      <c r="AM1326" s="20">
        <v>674.0</v>
      </c>
      <c r="AN1326" s="20" t="s">
        <v>17</v>
      </c>
      <c r="AO1326" s="20">
        <v>-37.17</v>
      </c>
      <c r="AP1326" s="20">
        <v>-69.19</v>
      </c>
      <c r="AS1326" s="20">
        <v>666.0</v>
      </c>
      <c r="AT1326" s="20" t="s">
        <v>17</v>
      </c>
      <c r="AU1326" s="20">
        <v>7.56</v>
      </c>
      <c r="AV1326" s="20">
        <v>3.62</v>
      </c>
      <c r="BM1326" s="20">
        <v>60.75</v>
      </c>
      <c r="BN1326" s="20">
        <v>206.25</v>
      </c>
      <c r="BZ1326" s="20">
        <v>-45.05</v>
      </c>
      <c r="CA1326" s="20">
        <v>98.96</v>
      </c>
      <c r="CO1326" s="20">
        <v>-1.95</v>
      </c>
      <c r="CP1326" s="20">
        <v>-54.63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P1327" s="20">
        <v>2.38</v>
      </c>
      <c r="Q1327" s="20">
        <v>24.48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  <c r="BM1327" s="20">
        <v>34.0</v>
      </c>
      <c r="BN1327" s="20">
        <v>41.98</v>
      </c>
      <c r="BZ1327" s="20">
        <v>26.02</v>
      </c>
      <c r="CA1327" s="20">
        <v>-13.05</v>
      </c>
      <c r="CO1327" s="20">
        <v>28.54</v>
      </c>
      <c r="CP1327" s="20">
        <v>-31.89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17</v>
      </c>
      <c r="M1328" s="20">
        <v>-30.41</v>
      </c>
      <c r="N1328" s="20">
        <v>30.38</v>
      </c>
      <c r="P1328" s="20">
        <v>-46.74</v>
      </c>
      <c r="Q1328" s="20">
        <v>-7.94</v>
      </c>
      <c r="AM1328" s="20">
        <v>677.0</v>
      </c>
      <c r="AN1328" s="20" t="s">
        <v>17</v>
      </c>
      <c r="AO1328" s="20">
        <v>-0.27</v>
      </c>
      <c r="AP1328" s="20">
        <v>-7.85</v>
      </c>
      <c r="AS1328" s="20">
        <v>667.0</v>
      </c>
      <c r="AT1328" s="20" t="s">
        <v>17</v>
      </c>
      <c r="AU1328" s="20">
        <v>-40.71</v>
      </c>
      <c r="AV1328" s="20">
        <v>-0.47</v>
      </c>
      <c r="BM1328" s="20">
        <v>23.81</v>
      </c>
      <c r="BN1328" s="20">
        <v>133.65</v>
      </c>
      <c r="BZ1328" s="20">
        <v>118.12</v>
      </c>
      <c r="CA1328" s="20">
        <v>27.95</v>
      </c>
      <c r="CO1328" s="20">
        <v>12.24</v>
      </c>
      <c r="CP1328" s="20">
        <v>-66.81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P1329" s="20">
        <v>-8.19</v>
      </c>
      <c r="Q1329" s="20">
        <v>3.49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  <c r="BM1329" s="20">
        <v>11.1</v>
      </c>
      <c r="BN1329" s="20">
        <v>48.22</v>
      </c>
      <c r="BZ1329" s="20">
        <v>-3.62</v>
      </c>
      <c r="CA1329" s="20">
        <v>80.04</v>
      </c>
      <c r="CO1329" s="20">
        <v>40.45</v>
      </c>
      <c r="CP1329" s="20">
        <v>-28.46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17</v>
      </c>
      <c r="M1330" s="20">
        <v>-8.3</v>
      </c>
      <c r="N1330" s="20">
        <v>30.72</v>
      </c>
      <c r="P1330" s="20">
        <v>-31.1</v>
      </c>
      <c r="Q1330" s="20">
        <v>9.47</v>
      </c>
      <c r="AM1330" s="20">
        <v>678.0</v>
      </c>
      <c r="AN1330" s="20" t="s">
        <v>17</v>
      </c>
      <c r="AO1330" s="20">
        <v>14.93</v>
      </c>
      <c r="AP1330" s="20">
        <v>14.17</v>
      </c>
      <c r="AS1330" s="20">
        <v>668.0</v>
      </c>
      <c r="AT1330" s="20" t="s">
        <v>17</v>
      </c>
      <c r="AU1330" s="20">
        <v>-8.15</v>
      </c>
      <c r="AV1330" s="20">
        <v>1.7</v>
      </c>
      <c r="BM1330" s="20">
        <v>0.12</v>
      </c>
      <c r="BN1330" s="20">
        <v>85.88</v>
      </c>
      <c r="BZ1330" s="20">
        <v>-47.37</v>
      </c>
      <c r="CA1330" s="20">
        <v>150.71</v>
      </c>
      <c r="CO1330" s="20">
        <v>-41.93</v>
      </c>
      <c r="CP1330" s="20">
        <v>-62.97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P1331" s="20">
        <v>-2.95</v>
      </c>
      <c r="Q1331" s="20">
        <v>2.21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  <c r="BM1331" s="20">
        <v>9.52</v>
      </c>
      <c r="BN1331" s="20">
        <v>47.86</v>
      </c>
      <c r="BZ1331" s="20">
        <v>-41.3</v>
      </c>
      <c r="CA1331" s="20">
        <v>116.59</v>
      </c>
      <c r="CO1331" s="20">
        <v>-12.02</v>
      </c>
      <c r="CP1331" s="20">
        <v>-41.7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17</v>
      </c>
      <c r="M1332" s="20">
        <v>-35.82</v>
      </c>
      <c r="N1332" s="20">
        <v>-18.82</v>
      </c>
      <c r="P1332" s="20">
        <v>-24.38</v>
      </c>
      <c r="Q1332" s="20">
        <v>-15.56</v>
      </c>
      <c r="AM1332" s="20">
        <v>679.0</v>
      </c>
      <c r="AN1332" s="20" t="s">
        <v>17</v>
      </c>
      <c r="AO1332" s="20">
        <v>-24.11</v>
      </c>
      <c r="AP1332" s="20">
        <v>-15.33</v>
      </c>
      <c r="AS1332" s="20">
        <v>669.0</v>
      </c>
      <c r="AT1332" s="20" t="s">
        <v>17</v>
      </c>
      <c r="AU1332" s="20">
        <v>-18.48</v>
      </c>
      <c r="AV1332" s="20">
        <v>-41.3</v>
      </c>
      <c r="BM1332" s="20">
        <v>91.98</v>
      </c>
      <c r="BN1332" s="20">
        <v>111.24</v>
      </c>
      <c r="BZ1332" s="20">
        <v>-14.97</v>
      </c>
      <c r="CA1332" s="20">
        <v>-4.31</v>
      </c>
      <c r="CO1332" s="20">
        <v>37.69</v>
      </c>
      <c r="CP1332" s="20">
        <v>-38.02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P1333" s="20">
        <v>-18.09</v>
      </c>
      <c r="Q1333" s="20">
        <v>16.05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  <c r="BM1333" s="20">
        <v>20.61</v>
      </c>
      <c r="BN1333" s="20">
        <v>116.1</v>
      </c>
      <c r="BZ1333" s="20">
        <v>-22.21</v>
      </c>
      <c r="CA1333" s="20">
        <v>86.39</v>
      </c>
      <c r="CO1333" s="20">
        <v>-33.83</v>
      </c>
      <c r="CP1333" s="20">
        <v>-56.83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17</v>
      </c>
      <c r="M1334" s="20">
        <v>-44.36</v>
      </c>
      <c r="N1334" s="20">
        <v>-31.24</v>
      </c>
      <c r="P1334" s="20">
        <v>-59.52</v>
      </c>
      <c r="Q1334" s="20">
        <v>-61.06</v>
      </c>
      <c r="AM1334" s="20">
        <v>680.0</v>
      </c>
      <c r="AN1334" s="20" t="s">
        <v>17</v>
      </c>
      <c r="AO1334" s="20">
        <v>37.72</v>
      </c>
      <c r="AP1334" s="20">
        <v>-22.88</v>
      </c>
      <c r="AS1334" s="20">
        <v>670.0</v>
      </c>
      <c r="AT1334" s="20" t="s">
        <v>17</v>
      </c>
      <c r="AU1334" s="20">
        <v>-45.86</v>
      </c>
      <c r="AV1334" s="20">
        <v>-48.34</v>
      </c>
      <c r="BM1334" s="20">
        <v>53.82</v>
      </c>
      <c r="BN1334" s="20">
        <v>69.07</v>
      </c>
      <c r="BZ1334" s="20">
        <v>-13.72</v>
      </c>
      <c r="CA1334" s="20">
        <v>142.02</v>
      </c>
      <c r="CO1334" s="20">
        <v>-43.29</v>
      </c>
      <c r="CP1334" s="20">
        <v>-57.33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P1335" s="20">
        <v>-34.98</v>
      </c>
      <c r="Q1335" s="20">
        <v>-15.44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  <c r="BM1335" s="20">
        <v>10.64</v>
      </c>
      <c r="BN1335" s="20">
        <v>101.46</v>
      </c>
      <c r="BZ1335" s="20">
        <v>-44.34</v>
      </c>
      <c r="CA1335" s="20">
        <v>47.4</v>
      </c>
      <c r="CO1335" s="20">
        <v>9.64</v>
      </c>
      <c r="CP1335" s="20">
        <v>-33.48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17</v>
      </c>
      <c r="M1336" s="20">
        <v>-20.54</v>
      </c>
      <c r="N1336" s="20">
        <v>-9.71</v>
      </c>
      <c r="P1336" s="20">
        <v>69.01</v>
      </c>
      <c r="Q1336" s="20">
        <v>112.99</v>
      </c>
      <c r="AM1336" s="20">
        <v>681.0</v>
      </c>
      <c r="AN1336" s="20" t="s">
        <v>17</v>
      </c>
      <c r="AO1336" s="20">
        <v>5.39</v>
      </c>
      <c r="AP1336" s="20">
        <v>-30.69</v>
      </c>
      <c r="AS1336" s="20">
        <v>671.0</v>
      </c>
      <c r="AT1336" s="20" t="s">
        <v>17</v>
      </c>
      <c r="AU1336" s="20">
        <v>-20.57</v>
      </c>
      <c r="AV1336" s="20">
        <v>-29.31</v>
      </c>
      <c r="BM1336" s="20">
        <v>70.82</v>
      </c>
      <c r="BN1336" s="20">
        <v>102.51</v>
      </c>
      <c r="BZ1336" s="20">
        <v>-46.84</v>
      </c>
      <c r="CA1336" s="20">
        <v>22.8</v>
      </c>
      <c r="CO1336" s="20">
        <v>-23.72</v>
      </c>
      <c r="CP1336" s="20">
        <v>-56.35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P1337" s="20">
        <v>34.34</v>
      </c>
      <c r="Q1337" s="20">
        <v>76.86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  <c r="BM1337" s="20">
        <v>61.77</v>
      </c>
      <c r="BN1337" s="20">
        <v>64.74</v>
      </c>
      <c r="BZ1337" s="20">
        <v>-37.55</v>
      </c>
      <c r="CA1337" s="20">
        <v>44.15</v>
      </c>
      <c r="CO1337" s="20">
        <v>-18.62</v>
      </c>
      <c r="CP1337" s="20">
        <v>-41.86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17</v>
      </c>
      <c r="M1338" s="20">
        <v>-40.23</v>
      </c>
      <c r="N1338" s="20">
        <v>-12.37</v>
      </c>
      <c r="P1338" s="20">
        <v>33.7</v>
      </c>
      <c r="Q1338" s="20">
        <v>135.03</v>
      </c>
      <c r="AM1338" s="20">
        <v>682.0</v>
      </c>
      <c r="AN1338" s="20" t="s">
        <v>17</v>
      </c>
      <c r="AO1338" s="20">
        <v>-17.11</v>
      </c>
      <c r="AP1338" s="20">
        <v>5.34</v>
      </c>
      <c r="AS1338" s="20">
        <v>672.0</v>
      </c>
      <c r="AT1338" s="20" t="s">
        <v>17</v>
      </c>
      <c r="AU1338" s="20">
        <v>-28.03</v>
      </c>
      <c r="AV1338" s="20">
        <v>-13.02</v>
      </c>
      <c r="BM1338" s="20">
        <v>27.14</v>
      </c>
      <c r="BN1338" s="20">
        <v>149.43</v>
      </c>
      <c r="BZ1338" s="20">
        <v>-45.45</v>
      </c>
      <c r="CA1338" s="20">
        <v>67.86</v>
      </c>
      <c r="CO1338" s="20">
        <v>29.32</v>
      </c>
      <c r="CP1338" s="20">
        <v>-42.26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P1339" s="20">
        <v>-22.42</v>
      </c>
      <c r="Q1339" s="20">
        <v>31.13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  <c r="BM1339" s="20">
        <v>-25.1</v>
      </c>
      <c r="BN1339" s="20">
        <v>96.78</v>
      </c>
      <c r="BZ1339" s="20">
        <v>-59.27</v>
      </c>
      <c r="CA1339" s="20">
        <v>77.62</v>
      </c>
      <c r="CO1339" s="20">
        <v>0.91</v>
      </c>
      <c r="CP1339" s="20">
        <v>-44.61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17</v>
      </c>
      <c r="M1340" s="20">
        <v>-41.64</v>
      </c>
      <c r="N1340" s="20">
        <v>-23.13</v>
      </c>
      <c r="P1340" s="20">
        <v>27.16</v>
      </c>
      <c r="Q1340" s="20">
        <v>127.9</v>
      </c>
      <c r="AM1340" s="20">
        <v>683.0</v>
      </c>
      <c r="AN1340" s="20" t="s">
        <v>17</v>
      </c>
      <c r="AO1340" s="20">
        <v>-22.85</v>
      </c>
      <c r="AP1340" s="20">
        <v>-2.23</v>
      </c>
      <c r="AS1340" s="20">
        <v>673.0</v>
      </c>
      <c r="AT1340" s="20" t="s">
        <v>17</v>
      </c>
      <c r="AU1340" s="20">
        <v>0.47</v>
      </c>
      <c r="AV1340" s="20">
        <v>-35.39</v>
      </c>
      <c r="BM1340" s="20">
        <v>73.19</v>
      </c>
      <c r="BN1340" s="20">
        <v>179.81</v>
      </c>
      <c r="BZ1340" s="20">
        <v>-58.09</v>
      </c>
      <c r="CA1340" s="20">
        <v>35.72</v>
      </c>
      <c r="CO1340" s="20">
        <v>-6.49</v>
      </c>
      <c r="CP1340" s="20">
        <v>-41.47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P1341" s="20">
        <v>-19.73</v>
      </c>
      <c r="Q1341" s="20">
        <v>51.12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  <c r="BM1341" s="20">
        <v>62.28</v>
      </c>
      <c r="BN1341" s="20">
        <v>85.18</v>
      </c>
      <c r="BZ1341" s="20">
        <v>-32.78</v>
      </c>
      <c r="CA1341" s="20">
        <v>-65.87</v>
      </c>
      <c r="CO1341" s="20">
        <v>26.59</v>
      </c>
      <c r="CP1341" s="20">
        <v>-44.89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17</v>
      </c>
      <c r="M1342" s="20">
        <v>-39.39</v>
      </c>
      <c r="N1342" s="20">
        <v>-3.97</v>
      </c>
      <c r="P1342" s="20">
        <v>26.01</v>
      </c>
      <c r="Q1342" s="20">
        <v>44.63</v>
      </c>
      <c r="AM1342" s="20">
        <v>684.0</v>
      </c>
      <c r="AN1342" s="20" t="s">
        <v>17</v>
      </c>
      <c r="AO1342" s="20">
        <v>-1.09</v>
      </c>
      <c r="AP1342" s="20">
        <v>6.11</v>
      </c>
      <c r="AS1342" s="20">
        <v>674.0</v>
      </c>
      <c r="AT1342" s="20" t="s">
        <v>17</v>
      </c>
      <c r="AU1342" s="20">
        <v>-41.72</v>
      </c>
      <c r="AV1342" s="20">
        <v>-55.49</v>
      </c>
      <c r="BM1342" s="20">
        <v>19.03</v>
      </c>
      <c r="BN1342" s="20">
        <v>96.27</v>
      </c>
      <c r="BZ1342" s="20">
        <v>-66.88</v>
      </c>
      <c r="CA1342" s="20">
        <v>-63.97</v>
      </c>
      <c r="CO1342" s="20">
        <v>-9.11</v>
      </c>
      <c r="CP1342" s="20">
        <v>-34.83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P1343" s="20">
        <v>13.81</v>
      </c>
      <c r="Q1343" s="20">
        <v>25.04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  <c r="BM1343" s="20">
        <v>-22.66</v>
      </c>
      <c r="BN1343" s="20">
        <v>-58.99</v>
      </c>
      <c r="BZ1343" s="20">
        <v>-51.77</v>
      </c>
      <c r="CA1343" s="20">
        <v>40.3</v>
      </c>
      <c r="CO1343" s="20">
        <v>13.65</v>
      </c>
      <c r="CP1343" s="20">
        <v>-48.05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17</v>
      </c>
      <c r="M1344" s="20">
        <v>-37.54</v>
      </c>
      <c r="N1344" s="20">
        <v>-4.48</v>
      </c>
      <c r="P1344" s="20">
        <v>-52.85</v>
      </c>
      <c r="Q1344" s="20">
        <v>-34.02</v>
      </c>
      <c r="AM1344" s="20">
        <v>685.0</v>
      </c>
      <c r="AN1344" s="20" t="s">
        <v>17</v>
      </c>
      <c r="AO1344" s="20">
        <v>-2.9</v>
      </c>
      <c r="AP1344" s="20">
        <v>16.73</v>
      </c>
      <c r="AS1344" s="20">
        <v>675.0</v>
      </c>
      <c r="AT1344" s="20" t="s">
        <v>17</v>
      </c>
      <c r="AU1344" s="20">
        <v>-62.49</v>
      </c>
      <c r="AV1344" s="20">
        <v>-26.87</v>
      </c>
      <c r="BM1344" s="20">
        <v>47.65</v>
      </c>
      <c r="BN1344" s="20">
        <v>-16.19</v>
      </c>
      <c r="BZ1344" s="20">
        <v>-34.7</v>
      </c>
      <c r="CA1344" s="20">
        <v>0.46</v>
      </c>
      <c r="CO1344" s="20">
        <v>47.9</v>
      </c>
      <c r="CP1344" s="20">
        <v>-40.07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P1345" s="20">
        <v>-32.59</v>
      </c>
      <c r="Q1345" s="20">
        <v>-10.69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  <c r="BM1345" s="20">
        <v>154.18</v>
      </c>
      <c r="BN1345" s="20">
        <v>31.85</v>
      </c>
      <c r="BZ1345" s="20">
        <v>35.06</v>
      </c>
      <c r="CA1345" s="20">
        <v>-2.0</v>
      </c>
      <c r="CO1345" s="20">
        <v>-6.03</v>
      </c>
      <c r="CP1345" s="20">
        <v>-61.01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17</v>
      </c>
      <c r="M1346" s="20">
        <v>-41.38</v>
      </c>
      <c r="N1346" s="20">
        <v>-12.01</v>
      </c>
      <c r="P1346" s="20">
        <v>-33.31</v>
      </c>
      <c r="Q1346" s="20">
        <v>-12.64</v>
      </c>
      <c r="AM1346" s="20">
        <v>686.0</v>
      </c>
      <c r="AN1346" s="20" t="s">
        <v>17</v>
      </c>
      <c r="AO1346" s="20">
        <v>-37.33</v>
      </c>
      <c r="AP1346" s="20">
        <v>-32.76</v>
      </c>
      <c r="AS1346" s="20">
        <v>676.0</v>
      </c>
      <c r="AT1346" s="20" t="s">
        <v>17</v>
      </c>
      <c r="AU1346" s="20">
        <v>-46.09</v>
      </c>
      <c r="AV1346" s="20">
        <v>4.81</v>
      </c>
      <c r="BM1346" s="20">
        <v>162.0</v>
      </c>
      <c r="BN1346" s="20">
        <v>11.93</v>
      </c>
      <c r="BZ1346" s="20">
        <v>-48.65</v>
      </c>
      <c r="CA1346" s="20">
        <v>37.7</v>
      </c>
      <c r="CO1346" s="20">
        <v>13.26</v>
      </c>
      <c r="CP1346" s="20">
        <v>-42.83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P1347" s="20">
        <v>-17.66</v>
      </c>
      <c r="Q1347" s="20">
        <v>12.69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  <c r="BM1347" s="20">
        <v>118.25</v>
      </c>
      <c r="BN1347" s="20">
        <v>71.31</v>
      </c>
      <c r="BZ1347" s="20">
        <v>-40.17</v>
      </c>
      <c r="CA1347" s="20">
        <v>34.92</v>
      </c>
      <c r="CO1347" s="20">
        <v>-30.0</v>
      </c>
      <c r="CP1347" s="20">
        <v>-44.41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17</v>
      </c>
      <c r="M1348" s="20">
        <v>-2.64</v>
      </c>
      <c r="N1348" s="20">
        <v>2.4</v>
      </c>
      <c r="P1348" s="20">
        <v>-1.1</v>
      </c>
      <c r="Q1348" s="20">
        <v>58.91</v>
      </c>
      <c r="AM1348" s="20">
        <v>687.0</v>
      </c>
      <c r="AN1348" s="20" t="s">
        <v>17</v>
      </c>
      <c r="AO1348" s="20">
        <v>-30.25</v>
      </c>
      <c r="AP1348" s="20">
        <v>-23.69</v>
      </c>
      <c r="AS1348" s="20">
        <v>677.0</v>
      </c>
      <c r="AT1348" s="20" t="s">
        <v>17</v>
      </c>
      <c r="AU1348" s="20">
        <v>46.89</v>
      </c>
      <c r="AV1348" s="20">
        <v>61.14</v>
      </c>
      <c r="BM1348" s="20">
        <v>248.07</v>
      </c>
      <c r="BN1348" s="20">
        <v>25.78</v>
      </c>
      <c r="BZ1348" s="20">
        <v>-63.19</v>
      </c>
      <c r="CA1348" s="20">
        <v>21.14</v>
      </c>
      <c r="CO1348" s="20">
        <v>-5.75</v>
      </c>
      <c r="CP1348" s="20">
        <v>-57.76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P1349" s="20">
        <v>-21.95</v>
      </c>
      <c r="Q1349" s="20">
        <v>8.18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  <c r="BM1349" s="20">
        <v>53.46</v>
      </c>
      <c r="BN1349" s="20">
        <v>92.82</v>
      </c>
      <c r="BZ1349" s="20">
        <v>-44.68</v>
      </c>
      <c r="CA1349" s="20">
        <v>15.33</v>
      </c>
      <c r="CO1349" s="20">
        <v>-32.92</v>
      </c>
      <c r="CP1349" s="20">
        <v>-54.67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17</v>
      </c>
      <c r="M1350" s="20">
        <v>-22.67</v>
      </c>
      <c r="N1350" s="20">
        <v>17.73</v>
      </c>
      <c r="P1350" s="20">
        <v>-22.71</v>
      </c>
      <c r="Q1350" s="20">
        <v>-22.17</v>
      </c>
      <c r="AM1350" s="20">
        <v>688.0</v>
      </c>
      <c r="AN1350" s="20" t="s">
        <v>17</v>
      </c>
      <c r="AO1350" s="20">
        <v>-43.43</v>
      </c>
      <c r="AP1350" s="20">
        <v>-29.24</v>
      </c>
      <c r="AS1350" s="20">
        <v>678.0</v>
      </c>
      <c r="AT1350" s="20" t="s">
        <v>17</v>
      </c>
      <c r="AU1350" s="20">
        <v>-56.64</v>
      </c>
      <c r="AV1350" s="20">
        <v>-48.38</v>
      </c>
      <c r="BM1350" s="20">
        <v>99.34</v>
      </c>
      <c r="BN1350" s="20">
        <v>101.63</v>
      </c>
      <c r="BZ1350" s="20">
        <v>-33.45</v>
      </c>
      <c r="CA1350" s="20">
        <v>9.24</v>
      </c>
      <c r="CO1350" s="20">
        <v>3.75</v>
      </c>
      <c r="CP1350" s="20">
        <v>-45.2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P1351" s="20">
        <v>-21.07</v>
      </c>
      <c r="Q1351" s="20">
        <v>-21.55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  <c r="BM1351" s="20">
        <v>161.5</v>
      </c>
      <c r="BN1351" s="20">
        <v>73.45</v>
      </c>
      <c r="BZ1351" s="20">
        <v>-43.11</v>
      </c>
      <c r="CA1351" s="20">
        <v>29.35</v>
      </c>
      <c r="CO1351" s="20">
        <v>-26.7</v>
      </c>
      <c r="CP1351" s="20">
        <v>-52.97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17</v>
      </c>
      <c r="M1352" s="20">
        <v>39.72</v>
      </c>
      <c r="N1352" s="20">
        <v>-28.28</v>
      </c>
      <c r="P1352" s="20">
        <v>-19.12</v>
      </c>
      <c r="Q1352" s="20">
        <v>-8.22</v>
      </c>
      <c r="AM1352" s="20">
        <v>689.0</v>
      </c>
      <c r="AN1352" s="20" t="s">
        <v>17</v>
      </c>
      <c r="AO1352" s="20">
        <v>34.03</v>
      </c>
      <c r="AP1352" s="20">
        <v>-15.63</v>
      </c>
      <c r="AS1352" s="20">
        <v>679.0</v>
      </c>
      <c r="AT1352" s="20" t="s">
        <v>17</v>
      </c>
      <c r="AU1352" s="20">
        <v>-45.75</v>
      </c>
      <c r="AV1352" s="20">
        <v>-58.99</v>
      </c>
      <c r="BM1352" s="20">
        <v>50.1</v>
      </c>
      <c r="BN1352" s="20">
        <v>104.86</v>
      </c>
      <c r="BZ1352" s="20">
        <v>-50.6</v>
      </c>
      <c r="CA1352" s="20">
        <v>106.63</v>
      </c>
      <c r="CO1352" s="20">
        <v>-7.22</v>
      </c>
      <c r="CP1352" s="20">
        <v>-16.39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P1353" s="20">
        <v>36.26</v>
      </c>
      <c r="Q1353" s="20">
        <v>99.86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  <c r="BM1353" s="20">
        <v>72.46</v>
      </c>
      <c r="BN1353" s="20">
        <v>73.97</v>
      </c>
      <c r="BZ1353" s="20">
        <v>-38.98</v>
      </c>
      <c r="CA1353" s="20">
        <v>14.4</v>
      </c>
      <c r="CO1353" s="20">
        <v>-3.58</v>
      </c>
      <c r="CP1353" s="20">
        <v>-55.01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17</v>
      </c>
      <c r="M1354" s="20">
        <v>-25.44</v>
      </c>
      <c r="N1354" s="20">
        <v>5.04</v>
      </c>
      <c r="P1354" s="20">
        <v>54.18</v>
      </c>
      <c r="Q1354" s="20">
        <v>146.84</v>
      </c>
      <c r="AM1354" s="20">
        <v>690.0</v>
      </c>
      <c r="AN1354" s="20" t="s">
        <v>17</v>
      </c>
      <c r="AO1354" s="20">
        <v>4.32</v>
      </c>
      <c r="AP1354" s="20">
        <v>-3.53</v>
      </c>
      <c r="AS1354" s="20">
        <v>680.0</v>
      </c>
      <c r="AT1354" s="20" t="s">
        <v>17</v>
      </c>
      <c r="AU1354" s="20">
        <v>-5.16</v>
      </c>
      <c r="AV1354" s="20">
        <v>-39.97</v>
      </c>
      <c r="BM1354" s="20">
        <v>66.97</v>
      </c>
      <c r="BN1354" s="20">
        <v>51.39</v>
      </c>
      <c r="BZ1354" s="20">
        <v>-65.63</v>
      </c>
      <c r="CA1354" s="20">
        <v>-1.16</v>
      </c>
      <c r="CO1354" s="20">
        <v>93.75</v>
      </c>
      <c r="CP1354" s="20">
        <v>-34.03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P1355" s="20">
        <v>3.48</v>
      </c>
      <c r="Q1355" s="20">
        <v>44.1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  <c r="BM1355" s="20">
        <v>58.19</v>
      </c>
      <c r="BN1355" s="20">
        <v>115.01</v>
      </c>
      <c r="BZ1355" s="20">
        <v>85.22</v>
      </c>
      <c r="CA1355" s="20">
        <v>-18.3</v>
      </c>
      <c r="CO1355" s="20">
        <v>-7.4</v>
      </c>
      <c r="CP1355" s="20">
        <v>-52.62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17</v>
      </c>
      <c r="M1356" s="20">
        <v>-44.0</v>
      </c>
      <c r="N1356" s="20">
        <v>-7.69</v>
      </c>
      <c r="P1356" s="20">
        <v>12.79</v>
      </c>
      <c r="Q1356" s="20">
        <v>18.54</v>
      </c>
      <c r="AM1356" s="20">
        <v>691.0</v>
      </c>
      <c r="AN1356" s="20" t="s">
        <v>17</v>
      </c>
      <c r="AO1356" s="20">
        <v>-53.99</v>
      </c>
      <c r="AP1356" s="20">
        <v>-56.53</v>
      </c>
      <c r="AS1356" s="20">
        <v>681.0</v>
      </c>
      <c r="AT1356" s="20" t="s">
        <v>17</v>
      </c>
      <c r="AU1356" s="20">
        <v>74.51</v>
      </c>
      <c r="AV1356" s="20">
        <v>-6.88</v>
      </c>
      <c r="BM1356" s="20">
        <v>154.35</v>
      </c>
      <c r="BN1356" s="20">
        <v>249.55</v>
      </c>
      <c r="BZ1356" s="20">
        <v>-65.67</v>
      </c>
      <c r="CA1356" s="20">
        <v>-2.59</v>
      </c>
      <c r="CO1356" s="20">
        <v>-8.2</v>
      </c>
      <c r="CP1356" s="20">
        <v>-55.61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P1357" s="20">
        <v>12.07</v>
      </c>
      <c r="Q1357" s="20">
        <v>25.69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  <c r="BM1357" s="20">
        <v>129.19</v>
      </c>
      <c r="BN1357" s="20">
        <v>133.49</v>
      </c>
      <c r="BZ1357" s="20">
        <v>18.19</v>
      </c>
      <c r="CA1357" s="20">
        <v>160.79</v>
      </c>
      <c r="CO1357" s="20">
        <v>30.98</v>
      </c>
      <c r="CP1357" s="20">
        <v>-50.54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17</v>
      </c>
      <c r="M1358" s="20">
        <v>-9.6</v>
      </c>
      <c r="N1358" s="20">
        <v>44.43</v>
      </c>
      <c r="P1358" s="20">
        <v>-6.94</v>
      </c>
      <c r="Q1358" s="20">
        <v>95.57</v>
      </c>
      <c r="AM1358" s="20">
        <v>692.0</v>
      </c>
      <c r="AN1358" s="20" t="s">
        <v>17</v>
      </c>
      <c r="AO1358" s="20">
        <v>-61.45</v>
      </c>
      <c r="AP1358" s="20">
        <v>-27.53</v>
      </c>
      <c r="AS1358" s="20">
        <v>682.0</v>
      </c>
      <c r="AT1358" s="20" t="s">
        <v>17</v>
      </c>
      <c r="AU1358" s="20">
        <v>-30.5</v>
      </c>
      <c r="AV1358" s="20">
        <v>-43.39</v>
      </c>
      <c r="BM1358" s="20">
        <v>192.45</v>
      </c>
      <c r="BN1358" s="20">
        <v>105.2</v>
      </c>
      <c r="BZ1358" s="20">
        <v>16.82</v>
      </c>
      <c r="CA1358" s="20">
        <v>108.78</v>
      </c>
      <c r="CO1358" s="20">
        <v>19.33</v>
      </c>
      <c r="CP1358" s="20">
        <v>-33.66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P1359" s="20">
        <v>1.89</v>
      </c>
      <c r="Q1359" s="20">
        <v>67.18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  <c r="BM1359" s="20">
        <v>110.93</v>
      </c>
      <c r="BN1359" s="20">
        <v>110.82</v>
      </c>
      <c r="BZ1359" s="20">
        <v>21.81</v>
      </c>
      <c r="CA1359" s="20">
        <v>33.42</v>
      </c>
      <c r="CO1359" s="20">
        <v>10.29</v>
      </c>
      <c r="CP1359" s="20">
        <v>-35.27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17</v>
      </c>
      <c r="M1360" s="20">
        <v>-27.51</v>
      </c>
      <c r="N1360" s="20">
        <v>-16.38</v>
      </c>
      <c r="P1360" s="20">
        <v>-12.47</v>
      </c>
      <c r="Q1360" s="20">
        <v>44.39</v>
      </c>
      <c r="AM1360" s="20">
        <v>693.0</v>
      </c>
      <c r="AN1360" s="20" t="s">
        <v>17</v>
      </c>
      <c r="AO1360" s="20">
        <v>29.78</v>
      </c>
      <c r="AP1360" s="20">
        <v>-8.08</v>
      </c>
      <c r="AS1360" s="20">
        <v>683.0</v>
      </c>
      <c r="AT1360" s="20" t="s">
        <v>17</v>
      </c>
      <c r="AU1360" s="20">
        <v>-16.74</v>
      </c>
      <c r="AV1360" s="20">
        <v>-58.07</v>
      </c>
      <c r="BM1360" s="20">
        <v>59.3</v>
      </c>
      <c r="BN1360" s="20">
        <v>122.32</v>
      </c>
      <c r="BZ1360" s="20">
        <v>-10.42</v>
      </c>
      <c r="CA1360" s="20">
        <v>35.81</v>
      </c>
      <c r="CO1360" s="20">
        <v>-12.11</v>
      </c>
      <c r="CP1360" s="20">
        <v>-59.07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P1361" s="20">
        <v>-39.55</v>
      </c>
      <c r="Q1361" s="20">
        <v>7.9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  <c r="BM1361" s="20">
        <v>220.63</v>
      </c>
      <c r="BN1361" s="20">
        <v>110.74</v>
      </c>
      <c r="BZ1361" s="20">
        <v>-28.11</v>
      </c>
      <c r="CA1361" s="20">
        <v>47.87</v>
      </c>
      <c r="CO1361" s="20">
        <v>33.0</v>
      </c>
      <c r="CP1361" s="20">
        <v>-57.15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17</v>
      </c>
      <c r="M1362" s="20">
        <v>-35.3</v>
      </c>
      <c r="N1362" s="20">
        <v>14.64</v>
      </c>
      <c r="P1362" s="20">
        <v>-86.45</v>
      </c>
      <c r="Q1362" s="20">
        <v>-75.33</v>
      </c>
      <c r="AM1362" s="20">
        <v>694.0</v>
      </c>
      <c r="AN1362" s="20" t="s">
        <v>17</v>
      </c>
      <c r="AO1362" s="20">
        <v>-32.29</v>
      </c>
      <c r="AP1362" s="20">
        <v>-29.9</v>
      </c>
      <c r="AS1362" s="20">
        <v>684.0</v>
      </c>
      <c r="AT1362" s="20" t="s">
        <v>17</v>
      </c>
      <c r="AU1362" s="20">
        <v>-24.81</v>
      </c>
      <c r="AV1362" s="20">
        <v>-10.03</v>
      </c>
      <c r="BM1362" s="20">
        <v>132.74</v>
      </c>
      <c r="BN1362" s="20">
        <v>61.3</v>
      </c>
      <c r="BZ1362" s="20">
        <v>-37.45</v>
      </c>
      <c r="CA1362" s="20">
        <v>49.36</v>
      </c>
      <c r="CO1362" s="20">
        <v>-17.02</v>
      </c>
      <c r="CP1362" s="20">
        <v>-53.55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P1363" s="20">
        <v>-19.06</v>
      </c>
      <c r="Q1363" s="20">
        <v>5.69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  <c r="BM1363" s="20">
        <v>88.74</v>
      </c>
      <c r="BN1363" s="20">
        <v>214.89</v>
      </c>
      <c r="BZ1363" s="20">
        <v>57.18</v>
      </c>
      <c r="CA1363" s="20">
        <v>245.83</v>
      </c>
      <c r="CO1363" s="20">
        <v>9.86</v>
      </c>
      <c r="CP1363" s="20">
        <v>-60.78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17</v>
      </c>
      <c r="M1364" s="20">
        <v>-27.17</v>
      </c>
      <c r="N1364" s="20">
        <v>-17.84</v>
      </c>
      <c r="P1364" s="20">
        <v>-58.71</v>
      </c>
      <c r="Q1364" s="20">
        <v>-70.84</v>
      </c>
      <c r="AM1364" s="20">
        <v>695.0</v>
      </c>
      <c r="AN1364" s="20" t="s">
        <v>17</v>
      </c>
      <c r="AO1364" s="20">
        <v>-23.7</v>
      </c>
      <c r="AP1364" s="20">
        <v>-4.87</v>
      </c>
      <c r="AS1364" s="20">
        <v>685.0</v>
      </c>
      <c r="AT1364" s="20" t="s">
        <v>17</v>
      </c>
      <c r="AU1364" s="20">
        <v>-36.72</v>
      </c>
      <c r="AV1364" s="20">
        <v>-40.7</v>
      </c>
      <c r="BM1364" s="20">
        <v>89.63</v>
      </c>
      <c r="BN1364" s="20">
        <v>7.64</v>
      </c>
      <c r="BZ1364" s="20">
        <v>3.59</v>
      </c>
      <c r="CA1364" s="20">
        <v>246.1</v>
      </c>
      <c r="CO1364" s="20">
        <v>8.66</v>
      </c>
      <c r="CP1364" s="20">
        <v>-54.73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P1365" s="20">
        <v>-21.27</v>
      </c>
      <c r="Q1365" s="20">
        <v>-8.93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  <c r="BM1365" s="20">
        <v>86.67</v>
      </c>
      <c r="BN1365" s="20">
        <v>80.47</v>
      </c>
      <c r="BZ1365" s="20">
        <v>15.85</v>
      </c>
      <c r="CA1365" s="20">
        <v>78.22</v>
      </c>
      <c r="CO1365" s="20">
        <v>0.48</v>
      </c>
      <c r="CP1365" s="20">
        <v>-29.29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17</v>
      </c>
      <c r="M1366" s="20">
        <v>-20.19</v>
      </c>
      <c r="N1366" s="20">
        <v>-6.38</v>
      </c>
      <c r="P1366" s="20">
        <v>-66.94</v>
      </c>
      <c r="Q1366" s="20">
        <v>-39.81</v>
      </c>
      <c r="AM1366" s="20">
        <v>696.0</v>
      </c>
      <c r="AN1366" s="20" t="s">
        <v>17</v>
      </c>
      <c r="AO1366" s="20">
        <v>-4.83</v>
      </c>
      <c r="AP1366" s="20">
        <v>0.5</v>
      </c>
      <c r="AS1366" s="20">
        <v>686.0</v>
      </c>
      <c r="AT1366" s="20" t="s">
        <v>17</v>
      </c>
      <c r="AU1366" s="20">
        <v>-3.89</v>
      </c>
      <c r="AV1366" s="20">
        <v>-5.1</v>
      </c>
      <c r="BM1366" s="20">
        <v>122.97</v>
      </c>
      <c r="BN1366" s="20">
        <v>115.19</v>
      </c>
      <c r="BZ1366" s="20">
        <v>-50.39</v>
      </c>
      <c r="CA1366" s="20">
        <v>85.66</v>
      </c>
      <c r="CO1366" s="20">
        <v>7.3</v>
      </c>
      <c r="CP1366" s="20">
        <v>8.4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P1367" s="20">
        <v>-28.6</v>
      </c>
      <c r="Q1367" s="20">
        <v>69.49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  <c r="BM1367" s="20">
        <v>104.53</v>
      </c>
      <c r="BN1367" s="20">
        <v>95.26</v>
      </c>
      <c r="BZ1367" s="20">
        <v>-62.08</v>
      </c>
      <c r="CA1367" s="20">
        <v>137.11</v>
      </c>
      <c r="CO1367" s="20">
        <v>-0.51</v>
      </c>
      <c r="CP1367" s="20">
        <v>-58.25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17</v>
      </c>
      <c r="M1368" s="20">
        <v>-32.34</v>
      </c>
      <c r="N1368" s="20">
        <v>4.91</v>
      </c>
      <c r="P1368" s="20">
        <v>-23.86</v>
      </c>
      <c r="Q1368" s="20">
        <v>94.69</v>
      </c>
      <c r="AM1368" s="20">
        <v>698.0</v>
      </c>
      <c r="AN1368" s="20" t="s">
        <v>17</v>
      </c>
      <c r="AO1368" s="20">
        <v>3.86</v>
      </c>
      <c r="AP1368" s="20">
        <v>-60.49</v>
      </c>
      <c r="AS1368" s="20">
        <v>687.0</v>
      </c>
      <c r="AT1368" s="20" t="s">
        <v>17</v>
      </c>
      <c r="AU1368" s="20">
        <v>-26.94</v>
      </c>
      <c r="AV1368" s="20">
        <v>-42.41</v>
      </c>
      <c r="BM1368" s="20">
        <v>35.82</v>
      </c>
      <c r="BN1368" s="20">
        <v>146.31</v>
      </c>
      <c r="BZ1368" s="20">
        <v>-65.68</v>
      </c>
      <c r="CA1368" s="20">
        <v>75.71</v>
      </c>
      <c r="CO1368" s="20">
        <v>10.09</v>
      </c>
      <c r="CP1368" s="20">
        <v>-63.64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P1369" s="20">
        <v>-20.26</v>
      </c>
      <c r="Q1369" s="20">
        <v>-3.54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  <c r="BM1369" s="20">
        <v>38.05</v>
      </c>
      <c r="BN1369" s="20">
        <v>61.19</v>
      </c>
      <c r="BZ1369" s="20">
        <v>-41.66</v>
      </c>
      <c r="CA1369" s="20">
        <v>75.63</v>
      </c>
      <c r="CO1369" s="20">
        <v>-31.49</v>
      </c>
      <c r="CP1369" s="20">
        <v>-61.42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17</v>
      </c>
      <c r="M1370" s="20">
        <v>-3.94</v>
      </c>
      <c r="N1370" s="20">
        <v>45.62</v>
      </c>
      <c r="P1370" s="20">
        <v>-29.69</v>
      </c>
      <c r="Q1370" s="20">
        <v>17.4</v>
      </c>
      <c r="AM1370" s="20">
        <v>701.0</v>
      </c>
      <c r="AN1370" s="20" t="s">
        <v>17</v>
      </c>
      <c r="AO1370" s="20">
        <v>-10.36</v>
      </c>
      <c r="AP1370" s="20">
        <v>11.59</v>
      </c>
      <c r="AS1370" s="20">
        <v>688.0</v>
      </c>
      <c r="AT1370" s="20" t="s">
        <v>17</v>
      </c>
      <c r="AU1370" s="20">
        <v>0.85</v>
      </c>
      <c r="AV1370" s="20">
        <v>-9.49</v>
      </c>
      <c r="BM1370" s="20">
        <v>71.44</v>
      </c>
      <c r="BN1370" s="20">
        <v>57.55</v>
      </c>
      <c r="BZ1370" s="20">
        <v>-34.02</v>
      </c>
      <c r="CA1370" s="20">
        <v>46.6</v>
      </c>
      <c r="CO1370" s="20">
        <v>-45.82</v>
      </c>
      <c r="CP1370" s="20">
        <v>-66.26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P1371" s="20">
        <v>-30.26</v>
      </c>
      <c r="Q1371" s="20">
        <v>9.66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  <c r="BM1371" s="20">
        <v>63.27</v>
      </c>
      <c r="BN1371" s="20">
        <v>48.09</v>
      </c>
      <c r="BZ1371" s="20">
        <v>-44.7</v>
      </c>
      <c r="CA1371" s="20">
        <v>220.08</v>
      </c>
      <c r="CO1371" s="20">
        <v>-37.14</v>
      </c>
      <c r="CP1371" s="20">
        <v>-43.73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17</v>
      </c>
      <c r="M1372" s="20">
        <v>-36.28</v>
      </c>
      <c r="N1372" s="20">
        <v>-20.95</v>
      </c>
      <c r="P1372" s="20">
        <v>-21.44</v>
      </c>
      <c r="Q1372" s="20">
        <v>-32.8</v>
      </c>
      <c r="AM1372" s="20">
        <v>702.0</v>
      </c>
      <c r="AN1372" s="20" t="s">
        <v>17</v>
      </c>
      <c r="AO1372" s="20">
        <v>-18.41</v>
      </c>
      <c r="AP1372" s="20">
        <v>-1.96</v>
      </c>
      <c r="AS1372" s="20">
        <v>689.0</v>
      </c>
      <c r="AT1372" s="20" t="s">
        <v>17</v>
      </c>
      <c r="AU1372" s="20">
        <v>-40.36</v>
      </c>
      <c r="AV1372" s="20">
        <v>-28.49</v>
      </c>
      <c r="BM1372" s="20">
        <v>135.49</v>
      </c>
      <c r="BN1372" s="20">
        <v>162.6</v>
      </c>
      <c r="BZ1372" s="20">
        <v>-56.35</v>
      </c>
      <c r="CA1372" s="20">
        <v>19.37</v>
      </c>
      <c r="CO1372" s="20">
        <v>-33.47</v>
      </c>
      <c r="CP1372" s="20">
        <v>-20.18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P1373" s="20">
        <v>-6.73</v>
      </c>
      <c r="Q1373" s="20">
        <v>-7.27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  <c r="BM1373" s="20">
        <v>113.31</v>
      </c>
      <c r="BN1373" s="20">
        <v>31.11</v>
      </c>
      <c r="BZ1373" s="20">
        <v>-11.95</v>
      </c>
      <c r="CA1373" s="20">
        <v>219.9</v>
      </c>
      <c r="CO1373" s="20">
        <v>-40.61</v>
      </c>
      <c r="CP1373" s="20">
        <v>-34.43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17</v>
      </c>
      <c r="M1374" s="20">
        <v>-6.42</v>
      </c>
      <c r="N1374" s="20">
        <v>12.43</v>
      </c>
      <c r="P1374" s="20">
        <v>-18.05</v>
      </c>
      <c r="Q1374" s="20">
        <v>18.11</v>
      </c>
      <c r="AM1374" s="20">
        <v>703.0</v>
      </c>
      <c r="AN1374" s="20" t="s">
        <v>17</v>
      </c>
      <c r="AO1374" s="20">
        <v>-39.64</v>
      </c>
      <c r="AP1374" s="20">
        <v>-32.67</v>
      </c>
      <c r="AS1374" s="20">
        <v>690.0</v>
      </c>
      <c r="AT1374" s="20" t="s">
        <v>17</v>
      </c>
      <c r="AU1374" s="20">
        <v>27.34</v>
      </c>
      <c r="AV1374" s="20">
        <v>-29.68</v>
      </c>
      <c r="BM1374" s="20">
        <v>50.52</v>
      </c>
      <c r="BN1374" s="20">
        <v>39.84</v>
      </c>
      <c r="BZ1374" s="20">
        <v>6.07</v>
      </c>
      <c r="CA1374" s="20">
        <v>-19.69</v>
      </c>
      <c r="CO1374" s="20">
        <v>-6.32</v>
      </c>
      <c r="CP1374" s="20">
        <v>6.18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P1375" s="20">
        <v>-12.42</v>
      </c>
      <c r="Q1375" s="20">
        <v>18.8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  <c r="BM1375" s="20">
        <v>112.1</v>
      </c>
      <c r="BN1375" s="20">
        <v>89.68</v>
      </c>
      <c r="BZ1375" s="20">
        <v>-34.71</v>
      </c>
      <c r="CA1375" s="20">
        <v>71.1</v>
      </c>
      <c r="CO1375" s="20">
        <v>45.76</v>
      </c>
      <c r="CP1375" s="20">
        <v>-45.73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17</v>
      </c>
      <c r="M1376" s="20">
        <v>-36.82</v>
      </c>
      <c r="N1376" s="20">
        <v>-7.35</v>
      </c>
      <c r="P1376" s="20">
        <v>2.48</v>
      </c>
      <c r="Q1376" s="20">
        <v>55.95</v>
      </c>
      <c r="AM1376" s="20">
        <v>704.0</v>
      </c>
      <c r="AN1376" s="20" t="s">
        <v>17</v>
      </c>
      <c r="AO1376" s="20">
        <v>37.09</v>
      </c>
      <c r="AP1376" s="20">
        <v>-16.17</v>
      </c>
      <c r="AS1376" s="20">
        <v>691.0</v>
      </c>
      <c r="AT1376" s="20" t="s">
        <v>17</v>
      </c>
      <c r="AU1376" s="20">
        <v>-23.24</v>
      </c>
      <c r="AV1376" s="20">
        <v>-42.87</v>
      </c>
      <c r="BM1376" s="20">
        <v>119.0</v>
      </c>
      <c r="BN1376" s="20">
        <v>139.44</v>
      </c>
      <c r="BZ1376" s="20">
        <v>5.79</v>
      </c>
      <c r="CA1376" s="20">
        <v>5.73</v>
      </c>
      <c r="CO1376" s="20">
        <v>-23.61</v>
      </c>
      <c r="CP1376" s="20">
        <v>-60.11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P1377" s="20">
        <v>28.59</v>
      </c>
      <c r="Q1377" s="20">
        <v>-0.5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  <c r="BM1377" s="20">
        <v>40.03</v>
      </c>
      <c r="BN1377" s="20">
        <v>86.42</v>
      </c>
      <c r="BZ1377" s="20">
        <v>-57.28</v>
      </c>
      <c r="CA1377" s="20">
        <v>171.9</v>
      </c>
      <c r="CO1377" s="20">
        <v>40.78</v>
      </c>
      <c r="CP1377" s="20">
        <v>-41.82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17</v>
      </c>
      <c r="M1378" s="20">
        <v>-15.27</v>
      </c>
      <c r="N1378" s="20">
        <v>6.28</v>
      </c>
      <c r="P1378" s="20">
        <v>33.36</v>
      </c>
      <c r="Q1378" s="20">
        <v>-10.63</v>
      </c>
      <c r="AM1378" s="20">
        <v>705.0</v>
      </c>
      <c r="AN1378" s="20" t="s">
        <v>17</v>
      </c>
      <c r="AO1378" s="20">
        <v>3.25</v>
      </c>
      <c r="AP1378" s="20">
        <v>6.42</v>
      </c>
      <c r="AS1378" s="20">
        <v>692.0</v>
      </c>
      <c r="AT1378" s="20" t="s">
        <v>17</v>
      </c>
      <c r="AU1378" s="20">
        <v>1.94</v>
      </c>
      <c r="AV1378" s="20">
        <v>-43.49</v>
      </c>
      <c r="BM1378" s="20">
        <v>192.06</v>
      </c>
      <c r="BN1378" s="20">
        <v>107.2</v>
      </c>
      <c r="BZ1378" s="20">
        <v>-52.26</v>
      </c>
      <c r="CA1378" s="20">
        <v>93.49</v>
      </c>
      <c r="CO1378" s="20">
        <v>-6.66</v>
      </c>
      <c r="CP1378" s="20">
        <v>-61.24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P1379" s="20">
        <v>-26.66</v>
      </c>
      <c r="Q1379" s="20">
        <v>7.38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  <c r="BM1379" s="20">
        <v>120.81</v>
      </c>
      <c r="BN1379" s="20">
        <v>149.47</v>
      </c>
      <c r="BZ1379" s="20">
        <v>-50.24</v>
      </c>
      <c r="CA1379" s="20">
        <v>18.36</v>
      </c>
      <c r="CO1379" s="20">
        <v>-26.51</v>
      </c>
      <c r="CP1379" s="20">
        <v>-67.55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17</v>
      </c>
      <c r="M1380" s="20">
        <v>-27.68</v>
      </c>
      <c r="N1380" s="20">
        <v>-9.21</v>
      </c>
      <c r="P1380" s="20">
        <v>-68.4</v>
      </c>
      <c r="Q1380" s="20">
        <v>-74.38</v>
      </c>
      <c r="AM1380" s="20">
        <v>706.0</v>
      </c>
      <c r="AN1380" s="20" t="s">
        <v>17</v>
      </c>
      <c r="AO1380" s="20">
        <v>34.1</v>
      </c>
      <c r="AP1380" s="20">
        <v>4.11</v>
      </c>
      <c r="AS1380" s="20">
        <v>693.0</v>
      </c>
      <c r="AT1380" s="20" t="s">
        <v>17</v>
      </c>
      <c r="AU1380" s="20">
        <v>0.92</v>
      </c>
      <c r="AV1380" s="20">
        <v>-44.01</v>
      </c>
      <c r="BM1380" s="20">
        <v>157.63</v>
      </c>
      <c r="BN1380" s="20">
        <v>12.27</v>
      </c>
      <c r="BZ1380" s="20">
        <v>42.76</v>
      </c>
      <c r="CA1380" s="20">
        <v>40.98</v>
      </c>
      <c r="CO1380" s="20">
        <v>-11.91</v>
      </c>
      <c r="CP1380" s="20">
        <v>-63.37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P1381" s="20">
        <v>9.6</v>
      </c>
      <c r="Q1381" s="20">
        <v>57.43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  <c r="BM1381" s="20">
        <v>73.15</v>
      </c>
      <c r="BN1381" s="20">
        <v>63.76</v>
      </c>
      <c r="BZ1381" s="20">
        <v>-29.95</v>
      </c>
      <c r="CA1381" s="20">
        <v>42.66</v>
      </c>
      <c r="CO1381" s="20">
        <v>19.88</v>
      </c>
      <c r="CP1381" s="20">
        <v>-38.97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17</v>
      </c>
      <c r="M1382" s="20">
        <v>2.74</v>
      </c>
      <c r="N1382" s="20">
        <v>28.59</v>
      </c>
      <c r="P1382" s="20">
        <v>0.11</v>
      </c>
      <c r="Q1382" s="20">
        <v>13.98</v>
      </c>
      <c r="AM1382" s="20">
        <v>707.0</v>
      </c>
      <c r="AN1382" s="20" t="s">
        <v>17</v>
      </c>
      <c r="AO1382" s="20">
        <v>11.3</v>
      </c>
      <c r="AP1382" s="20">
        <v>-23.56</v>
      </c>
      <c r="AS1382" s="20">
        <v>694.0</v>
      </c>
      <c r="AT1382" s="20" t="s">
        <v>17</v>
      </c>
      <c r="AU1382" s="20">
        <v>-6.8</v>
      </c>
      <c r="AV1382" s="20">
        <v>-29.84</v>
      </c>
      <c r="BM1382" s="20">
        <v>128.18</v>
      </c>
      <c r="BN1382" s="20">
        <v>154.02</v>
      </c>
      <c r="BZ1382" s="20">
        <v>-19.56</v>
      </c>
      <c r="CA1382" s="20">
        <v>88.39</v>
      </c>
      <c r="CO1382" s="20">
        <v>0.7</v>
      </c>
      <c r="CP1382" s="20">
        <v>-57.83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P1383" s="20">
        <v>41.93</v>
      </c>
      <c r="Q1383" s="20">
        <v>28.94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  <c r="BM1383" s="20">
        <v>166.16</v>
      </c>
      <c r="BN1383" s="20">
        <v>166.54</v>
      </c>
      <c r="BZ1383" s="20">
        <v>-40.61</v>
      </c>
      <c r="CA1383" s="20">
        <v>182.82</v>
      </c>
      <c r="CO1383" s="20">
        <v>13.55</v>
      </c>
      <c r="CP1383" s="20">
        <v>-39.37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17</v>
      </c>
      <c r="M1384" s="20">
        <v>-12.93</v>
      </c>
      <c r="N1384" s="20">
        <v>58.4</v>
      </c>
      <c r="P1384" s="20">
        <v>27.06</v>
      </c>
      <c r="Q1384" s="20">
        <v>102.26</v>
      </c>
      <c r="AM1384" s="20">
        <v>708.0</v>
      </c>
      <c r="AN1384" s="20" t="s">
        <v>17</v>
      </c>
      <c r="AO1384" s="20">
        <v>10.11</v>
      </c>
      <c r="AP1384" s="20">
        <v>-13.13</v>
      </c>
      <c r="AS1384" s="20">
        <v>695.0</v>
      </c>
      <c r="AT1384" s="20" t="s">
        <v>17</v>
      </c>
      <c r="AU1384" s="20">
        <v>-12.91</v>
      </c>
      <c r="AV1384" s="20">
        <v>-31.47</v>
      </c>
      <c r="BM1384" s="20">
        <v>137.03</v>
      </c>
      <c r="BN1384" s="20">
        <v>205.99</v>
      </c>
      <c r="BZ1384" s="20">
        <v>-29.66</v>
      </c>
      <c r="CA1384" s="20">
        <v>108.35</v>
      </c>
      <c r="CO1384" s="20">
        <v>-29.62</v>
      </c>
      <c r="CP1384" s="20">
        <v>-65.68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P1385" s="20">
        <v>-25.47</v>
      </c>
      <c r="Q1385" s="20">
        <v>26.31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  <c r="BM1385" s="20">
        <v>37.5</v>
      </c>
      <c r="BN1385" s="20">
        <v>69.14</v>
      </c>
      <c r="BZ1385" s="20">
        <v>-43.11</v>
      </c>
      <c r="CA1385" s="20">
        <v>142.45</v>
      </c>
      <c r="CO1385" s="20">
        <v>-17.36</v>
      </c>
      <c r="CP1385" s="20">
        <v>-26.6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17</v>
      </c>
      <c r="M1386" s="20">
        <v>1.49</v>
      </c>
      <c r="N1386" s="20">
        <v>40.89</v>
      </c>
      <c r="P1386" s="20">
        <v>4.85</v>
      </c>
      <c r="Q1386" s="20">
        <v>57.48</v>
      </c>
      <c r="AM1386" s="20">
        <v>709.0</v>
      </c>
      <c r="AN1386" s="20" t="s">
        <v>17</v>
      </c>
      <c r="AO1386" s="20">
        <v>2.97</v>
      </c>
      <c r="AP1386" s="20">
        <v>-11.9</v>
      </c>
      <c r="AS1386" s="20">
        <v>696.0</v>
      </c>
      <c r="AT1386" s="20" t="s">
        <v>17</v>
      </c>
      <c r="AU1386" s="20">
        <v>-3.13</v>
      </c>
      <c r="AV1386" s="20">
        <v>15.3</v>
      </c>
      <c r="BM1386" s="20">
        <v>89.21</v>
      </c>
      <c r="BN1386" s="20">
        <v>80.22</v>
      </c>
      <c r="BZ1386" s="20">
        <v>-28.12</v>
      </c>
      <c r="CA1386" s="20">
        <v>-28.55</v>
      </c>
      <c r="CO1386" s="20">
        <v>-32.75</v>
      </c>
      <c r="CP1386" s="20">
        <v>-42.76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P1387" s="20">
        <v>26.92</v>
      </c>
      <c r="Q1387" s="20">
        <v>108.67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  <c r="BM1387" s="20">
        <v>62.45</v>
      </c>
      <c r="BN1387" s="20">
        <v>90.89</v>
      </c>
      <c r="BZ1387" s="20">
        <v>-60.14</v>
      </c>
      <c r="CA1387" s="20">
        <v>283.09</v>
      </c>
      <c r="CO1387" s="20">
        <v>-27.94</v>
      </c>
      <c r="CP1387" s="20">
        <v>-22.53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17</v>
      </c>
      <c r="M1388" s="20">
        <v>-41.54</v>
      </c>
      <c r="N1388" s="20">
        <v>-39.69</v>
      </c>
      <c r="P1388" s="20">
        <v>2.62</v>
      </c>
      <c r="Q1388" s="20">
        <v>95.65</v>
      </c>
      <c r="AM1388" s="20">
        <v>710.0</v>
      </c>
      <c r="AN1388" s="20" t="s">
        <v>17</v>
      </c>
      <c r="AO1388" s="20">
        <v>-30.5</v>
      </c>
      <c r="AP1388" s="20">
        <v>-20.38</v>
      </c>
      <c r="AS1388" s="20">
        <v>697.0</v>
      </c>
      <c r="AT1388" s="20" t="s">
        <v>17</v>
      </c>
      <c r="AU1388" s="20">
        <v>-52.39</v>
      </c>
      <c r="AV1388" s="20">
        <v>-25.95</v>
      </c>
      <c r="BM1388" s="20">
        <v>95.02</v>
      </c>
      <c r="BN1388" s="20">
        <v>152.2</v>
      </c>
      <c r="BZ1388" s="20">
        <v>-21.29</v>
      </c>
      <c r="CA1388" s="20">
        <v>149.06</v>
      </c>
      <c r="CO1388" s="20">
        <v>-45.74</v>
      </c>
      <c r="CP1388" s="20">
        <v>-47.23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P1389" s="20">
        <v>-33.25</v>
      </c>
      <c r="Q1389" s="20">
        <v>31.16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  <c r="BM1389" s="20">
        <v>96.03</v>
      </c>
      <c r="BN1389" s="20">
        <v>59.68</v>
      </c>
      <c r="BZ1389" s="20">
        <v>-75.13</v>
      </c>
      <c r="CA1389" s="20">
        <v>106.14</v>
      </c>
      <c r="CO1389" s="20">
        <v>-10.0</v>
      </c>
      <c r="CP1389" s="20">
        <v>-39.64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17</v>
      </c>
      <c r="M1390" s="20">
        <v>-17.47</v>
      </c>
      <c r="N1390" s="20">
        <v>-4.8</v>
      </c>
      <c r="P1390" s="20">
        <v>-35.83</v>
      </c>
      <c r="Q1390" s="20">
        <v>15.26</v>
      </c>
      <c r="AM1390" s="20">
        <v>711.0</v>
      </c>
      <c r="AN1390" s="20" t="s">
        <v>17</v>
      </c>
      <c r="AO1390" s="20">
        <v>6.97</v>
      </c>
      <c r="AP1390" s="20">
        <v>-13.51</v>
      </c>
      <c r="AS1390" s="20">
        <v>698.0</v>
      </c>
      <c r="AT1390" s="20" t="s">
        <v>17</v>
      </c>
      <c r="AU1390" s="20">
        <v>48.5</v>
      </c>
      <c r="AV1390" s="20">
        <v>-19.75</v>
      </c>
      <c r="BM1390" s="20">
        <v>238.11</v>
      </c>
      <c r="BN1390" s="20">
        <v>114.03</v>
      </c>
      <c r="BZ1390" s="20">
        <v>-62.76</v>
      </c>
      <c r="CA1390" s="20">
        <v>85.99</v>
      </c>
      <c r="CO1390" s="20">
        <v>-29.16</v>
      </c>
      <c r="CP1390" s="20">
        <v>-35.91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P1391" s="20">
        <v>-26.09</v>
      </c>
      <c r="Q1391" s="20">
        <v>-7.17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  <c r="BM1391" s="20">
        <v>85.96</v>
      </c>
      <c r="BN1391" s="20">
        <v>-28.27</v>
      </c>
      <c r="BZ1391" s="20">
        <v>-38.48</v>
      </c>
      <c r="CA1391" s="20">
        <v>8.12</v>
      </c>
      <c r="CO1391" s="20">
        <v>-21.51</v>
      </c>
      <c r="CP1391" s="20">
        <v>-11.5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17</v>
      </c>
      <c r="M1392" s="20">
        <v>-45.63</v>
      </c>
      <c r="N1392" s="20">
        <v>-22.56</v>
      </c>
      <c r="P1392" s="20">
        <v>-22.25</v>
      </c>
      <c r="Q1392" s="20">
        <v>-1.08</v>
      </c>
      <c r="AM1392" s="20">
        <v>712.0</v>
      </c>
      <c r="AN1392" s="20" t="s">
        <v>17</v>
      </c>
      <c r="AO1392" s="20">
        <v>-25.3</v>
      </c>
      <c r="AP1392" s="20">
        <v>-24.89</v>
      </c>
      <c r="AS1392" s="20">
        <v>699.0</v>
      </c>
      <c r="AT1392" s="20" t="s">
        <v>17</v>
      </c>
      <c r="AU1392" s="20">
        <v>64.17</v>
      </c>
      <c r="AV1392" s="20">
        <v>-11.23</v>
      </c>
      <c r="BM1392" s="20">
        <v>81.96</v>
      </c>
      <c r="BN1392" s="20">
        <v>-31.6</v>
      </c>
      <c r="BZ1392" s="20">
        <v>14.05</v>
      </c>
      <c r="CA1392" s="20">
        <v>30.2</v>
      </c>
      <c r="CO1392" s="20">
        <v>-49.68</v>
      </c>
      <c r="CP1392" s="20">
        <v>11.75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P1393" s="20">
        <v>-35.72</v>
      </c>
      <c r="Q1393" s="20">
        <v>-1.48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  <c r="BM1393" s="20">
        <v>262.84</v>
      </c>
      <c r="BN1393" s="20">
        <v>92.72</v>
      </c>
      <c r="BZ1393" s="20">
        <v>-49.39</v>
      </c>
      <c r="CA1393" s="20">
        <v>67.04</v>
      </c>
      <c r="CO1393" s="20">
        <v>9.44</v>
      </c>
      <c r="CP1393" s="20">
        <v>-55.96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17</v>
      </c>
      <c r="M1394" s="20">
        <v>-28.67</v>
      </c>
      <c r="N1394" s="20">
        <v>1.63</v>
      </c>
      <c r="P1394" s="20">
        <v>-34.35</v>
      </c>
      <c r="Q1394" s="20">
        <v>45.04</v>
      </c>
      <c r="AM1394" s="20">
        <v>713.0</v>
      </c>
      <c r="AN1394" s="20" t="s">
        <v>17</v>
      </c>
      <c r="AO1394" s="20">
        <v>54.37</v>
      </c>
      <c r="AP1394" s="20">
        <v>-14.66</v>
      </c>
      <c r="AS1394" s="20">
        <v>700.0</v>
      </c>
      <c r="AT1394" s="20" t="s">
        <v>17</v>
      </c>
      <c r="AU1394" s="20">
        <v>75.67</v>
      </c>
      <c r="AV1394" s="20">
        <v>-9.89</v>
      </c>
      <c r="BM1394" s="20">
        <v>99.61</v>
      </c>
      <c r="BN1394" s="20">
        <v>11.01</v>
      </c>
      <c r="BZ1394" s="20">
        <v>-14.68</v>
      </c>
      <c r="CA1394" s="20">
        <v>180.65</v>
      </c>
      <c r="CO1394" s="20">
        <v>7.21</v>
      </c>
      <c r="CP1394" s="20">
        <v>-44.89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P1395" s="20">
        <v>-36.66</v>
      </c>
      <c r="Q1395" s="20">
        <v>-30.61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  <c r="BM1395" s="20">
        <v>183.08</v>
      </c>
      <c r="BN1395" s="20">
        <v>119.57</v>
      </c>
      <c r="BZ1395" s="20">
        <v>2.63</v>
      </c>
      <c r="CA1395" s="20">
        <v>77.94</v>
      </c>
      <c r="CO1395" s="20">
        <v>-20.91</v>
      </c>
      <c r="CP1395" s="20">
        <v>-58.22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17</v>
      </c>
      <c r="M1396" s="20">
        <v>-9.52</v>
      </c>
      <c r="N1396" s="20">
        <v>14.05</v>
      </c>
      <c r="P1396" s="20">
        <v>-18.74</v>
      </c>
      <c r="Q1396" s="20">
        <v>-66.11</v>
      </c>
      <c r="AM1396" s="20">
        <v>714.0</v>
      </c>
      <c r="AN1396" s="20" t="s">
        <v>17</v>
      </c>
      <c r="AO1396" s="20">
        <v>1.76</v>
      </c>
      <c r="AP1396" s="20">
        <v>7.34</v>
      </c>
      <c r="AS1396" s="20">
        <v>701.0</v>
      </c>
      <c r="AT1396" s="20" t="s">
        <v>17</v>
      </c>
      <c r="AU1396" s="20">
        <v>-6.08</v>
      </c>
      <c r="AV1396" s="20">
        <v>-58.32</v>
      </c>
      <c r="BM1396" s="20">
        <v>154.63</v>
      </c>
      <c r="BN1396" s="20">
        <v>24.84</v>
      </c>
      <c r="BZ1396" s="20">
        <v>-58.8</v>
      </c>
      <c r="CA1396" s="20">
        <v>69.08</v>
      </c>
      <c r="CO1396" s="20">
        <v>-32.17</v>
      </c>
      <c r="CP1396" s="20">
        <v>-54.13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P1397" s="20">
        <v>-6.94</v>
      </c>
      <c r="Q1397" s="20">
        <v>27.49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  <c r="BM1397" s="20">
        <v>162.68</v>
      </c>
      <c r="BN1397" s="20">
        <v>102.2</v>
      </c>
      <c r="BZ1397" s="20">
        <v>-31.87</v>
      </c>
      <c r="CA1397" s="20">
        <v>101.87</v>
      </c>
      <c r="CO1397" s="20">
        <v>-16.14</v>
      </c>
      <c r="CP1397" s="20">
        <v>-60.99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17</v>
      </c>
      <c r="M1398" s="20">
        <v>-10.03</v>
      </c>
      <c r="N1398" s="20">
        <v>30.8</v>
      </c>
      <c r="P1398" s="20">
        <v>-4.17</v>
      </c>
      <c r="Q1398" s="20">
        <v>36.0</v>
      </c>
      <c r="AM1398" s="20">
        <v>715.0</v>
      </c>
      <c r="AN1398" s="20" t="s">
        <v>17</v>
      </c>
      <c r="AO1398" s="20">
        <v>-32.07</v>
      </c>
      <c r="AP1398" s="20">
        <v>-16.9</v>
      </c>
      <c r="AS1398" s="20">
        <v>702.0</v>
      </c>
      <c r="AT1398" s="20" t="s">
        <v>17</v>
      </c>
      <c r="AU1398" s="20">
        <v>15.55</v>
      </c>
      <c r="AV1398" s="20">
        <v>-39.72</v>
      </c>
      <c r="BM1398" s="20">
        <v>81.83</v>
      </c>
      <c r="BN1398" s="20">
        <v>-22.67</v>
      </c>
      <c r="BZ1398" s="20">
        <v>-34.36</v>
      </c>
      <c r="CA1398" s="20">
        <v>33.75</v>
      </c>
      <c r="CO1398" s="20">
        <v>-18.97</v>
      </c>
      <c r="CP1398" s="20">
        <v>-58.47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P1399" s="20">
        <v>3.3</v>
      </c>
      <c r="Q1399" s="20">
        <v>34.22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  <c r="BM1399" s="20">
        <v>45.01</v>
      </c>
      <c r="BN1399" s="20">
        <v>47.04</v>
      </c>
      <c r="BZ1399" s="20">
        <v>116.85</v>
      </c>
      <c r="CA1399" s="20">
        <v>8.67</v>
      </c>
      <c r="CO1399" s="20">
        <v>12.05</v>
      </c>
      <c r="CP1399" s="20">
        <v>-39.47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17</v>
      </c>
      <c r="M1400" s="20">
        <v>-15.18</v>
      </c>
      <c r="N1400" s="20">
        <v>2.14</v>
      </c>
      <c r="P1400" s="20">
        <v>19.75</v>
      </c>
      <c r="Q1400" s="20">
        <v>122.5</v>
      </c>
      <c r="AM1400" s="20">
        <v>716.0</v>
      </c>
      <c r="AN1400" s="20" t="s">
        <v>17</v>
      </c>
      <c r="AO1400" s="20">
        <v>-35.87</v>
      </c>
      <c r="AP1400" s="20">
        <v>-19.75</v>
      </c>
      <c r="AS1400" s="20">
        <v>703.0</v>
      </c>
      <c r="AT1400" s="20" t="s">
        <v>17</v>
      </c>
      <c r="AU1400" s="20">
        <v>-14.79</v>
      </c>
      <c r="AV1400" s="20">
        <v>-8.71</v>
      </c>
      <c r="BM1400" s="20">
        <v>62.09</v>
      </c>
      <c r="BN1400" s="20">
        <v>17.32</v>
      </c>
      <c r="BZ1400" s="20">
        <v>-58.16</v>
      </c>
      <c r="CA1400" s="20">
        <v>-2.1</v>
      </c>
      <c r="CO1400" s="20">
        <v>-35.18</v>
      </c>
      <c r="CP1400" s="20">
        <v>-62.1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P1401" s="20">
        <v>-24.18</v>
      </c>
      <c r="Q1401" s="20">
        <v>53.6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  <c r="BM1401" s="20">
        <v>8.41</v>
      </c>
      <c r="BN1401" s="20">
        <v>122.26</v>
      </c>
      <c r="BZ1401" s="20">
        <v>-50.15</v>
      </c>
      <c r="CA1401" s="20">
        <v>-16.79</v>
      </c>
      <c r="CO1401" s="20">
        <v>-55.13</v>
      </c>
      <c r="CP1401" s="20">
        <v>-51.2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17</v>
      </c>
      <c r="M1402" s="20">
        <v>-9.31</v>
      </c>
      <c r="N1402" s="20">
        <v>-5.94</v>
      </c>
      <c r="P1402" s="20">
        <v>3.22</v>
      </c>
      <c r="Q1402" s="20">
        <v>58.39</v>
      </c>
      <c r="AM1402" s="20">
        <v>717.0</v>
      </c>
      <c r="AN1402" s="20" t="s">
        <v>17</v>
      </c>
      <c r="AO1402" s="20">
        <v>40.13</v>
      </c>
      <c r="AP1402" s="20">
        <v>-18.8</v>
      </c>
      <c r="AS1402" s="20">
        <v>704.0</v>
      </c>
      <c r="AT1402" s="20" t="s">
        <v>17</v>
      </c>
      <c r="AU1402" s="20">
        <v>-4.49</v>
      </c>
      <c r="AV1402" s="20">
        <v>-19.09</v>
      </c>
      <c r="BM1402" s="20">
        <v>232.24</v>
      </c>
      <c r="BN1402" s="20">
        <v>49.99</v>
      </c>
      <c r="BZ1402" s="20">
        <v>-39.18</v>
      </c>
      <c r="CA1402" s="20">
        <v>109.22</v>
      </c>
      <c r="CO1402" s="20">
        <v>-32.37</v>
      </c>
      <c r="CP1402" s="20">
        <v>-37.41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P1403" s="20">
        <v>37.14</v>
      </c>
      <c r="Q1403" s="20">
        <v>115.28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  <c r="BM1403" s="20">
        <v>133.72</v>
      </c>
      <c r="BN1403" s="20">
        <v>120.8</v>
      </c>
      <c r="BZ1403" s="20">
        <v>-17.68</v>
      </c>
      <c r="CA1403" s="20">
        <v>28.17</v>
      </c>
      <c r="CO1403" s="20">
        <v>-23.1</v>
      </c>
      <c r="CP1403" s="20">
        <v>-53.77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17</v>
      </c>
      <c r="M1404" s="20">
        <v>5.97</v>
      </c>
      <c r="N1404" s="20">
        <v>-31.28</v>
      </c>
      <c r="P1404" s="20">
        <v>29.99</v>
      </c>
      <c r="Q1404" s="20">
        <v>142.85</v>
      </c>
      <c r="AM1404" s="20">
        <v>718.0</v>
      </c>
      <c r="AN1404" s="20" t="s">
        <v>17</v>
      </c>
      <c r="AO1404" s="20">
        <v>-28.96</v>
      </c>
      <c r="AP1404" s="20">
        <v>-11.9</v>
      </c>
      <c r="AS1404" s="20">
        <v>705.0</v>
      </c>
      <c r="AT1404" s="20" t="s">
        <v>17</v>
      </c>
      <c r="AU1404" s="20">
        <v>57.77</v>
      </c>
      <c r="AV1404" s="20">
        <v>-9.86</v>
      </c>
      <c r="BM1404" s="20">
        <v>52.82</v>
      </c>
      <c r="BN1404" s="20">
        <v>92.99</v>
      </c>
      <c r="BZ1404" s="20">
        <v>-22.16</v>
      </c>
      <c r="CA1404" s="20">
        <v>-28.99</v>
      </c>
      <c r="CO1404" s="20">
        <v>-12.39</v>
      </c>
      <c r="CP1404" s="20">
        <v>-47.47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P1405" s="20">
        <v>-14.16</v>
      </c>
      <c r="Q1405" s="20">
        <v>51.45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  <c r="BM1405" s="20">
        <v>128.18</v>
      </c>
      <c r="BN1405" s="20">
        <v>177.67</v>
      </c>
      <c r="BZ1405" s="20">
        <v>-3.94</v>
      </c>
      <c r="CA1405" s="20">
        <v>31.42</v>
      </c>
      <c r="CO1405" s="20">
        <v>-54.22</v>
      </c>
      <c r="CP1405" s="20">
        <v>-50.17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17</v>
      </c>
      <c r="M1406" s="20">
        <v>-5.2</v>
      </c>
      <c r="N1406" s="20">
        <v>22.49</v>
      </c>
      <c r="P1406" s="20">
        <v>-12.04</v>
      </c>
      <c r="Q1406" s="20">
        <v>56.58</v>
      </c>
      <c r="AM1406" s="20">
        <v>719.0</v>
      </c>
      <c r="AN1406" s="20" t="s">
        <v>17</v>
      </c>
      <c r="AO1406" s="20">
        <v>-27.85</v>
      </c>
      <c r="AP1406" s="20">
        <v>-27.58</v>
      </c>
      <c r="AS1406" s="20">
        <v>706.0</v>
      </c>
      <c r="AT1406" s="20" t="s">
        <v>17</v>
      </c>
      <c r="AU1406" s="20">
        <v>-17.58</v>
      </c>
      <c r="AV1406" s="20">
        <v>-25.65</v>
      </c>
      <c r="BM1406" s="20">
        <v>204.96</v>
      </c>
      <c r="BN1406" s="20">
        <v>133.0</v>
      </c>
      <c r="BZ1406" s="20">
        <v>1.01</v>
      </c>
      <c r="CA1406" s="20">
        <v>-30.72</v>
      </c>
      <c r="CO1406" s="20">
        <v>-30.96</v>
      </c>
      <c r="CP1406" s="20">
        <v>-60.44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P1407" s="20">
        <v>-43.37</v>
      </c>
      <c r="Q1407" s="20">
        <v>-13.83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  <c r="BM1407" s="20">
        <v>74.58</v>
      </c>
      <c r="BN1407" s="20">
        <v>95.45</v>
      </c>
      <c r="BZ1407" s="20">
        <v>-8.03</v>
      </c>
      <c r="CA1407" s="20">
        <v>139.45</v>
      </c>
      <c r="CO1407" s="20">
        <v>-59.21</v>
      </c>
      <c r="CP1407" s="20">
        <v>-63.63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17</v>
      </c>
      <c r="M1408" s="20">
        <v>-27.94</v>
      </c>
      <c r="N1408" s="20">
        <v>-13.15</v>
      </c>
      <c r="P1408" s="20">
        <v>-40.64</v>
      </c>
      <c r="Q1408" s="20">
        <v>-29.33</v>
      </c>
      <c r="AM1408" s="20">
        <v>720.0</v>
      </c>
      <c r="AN1408" s="20" t="s">
        <v>17</v>
      </c>
      <c r="AO1408" s="20">
        <v>2.29</v>
      </c>
      <c r="AP1408" s="20">
        <v>1.27</v>
      </c>
      <c r="AS1408" s="20">
        <v>707.0</v>
      </c>
      <c r="AT1408" s="20" t="s">
        <v>17</v>
      </c>
      <c r="AU1408" s="20">
        <v>-13.97</v>
      </c>
      <c r="AV1408" s="20">
        <v>-29.68</v>
      </c>
      <c r="BM1408" s="20">
        <v>107.56</v>
      </c>
      <c r="BN1408" s="20">
        <v>114.54</v>
      </c>
      <c r="BZ1408" s="20">
        <v>-34.94</v>
      </c>
      <c r="CA1408" s="20">
        <v>96.09</v>
      </c>
      <c r="CO1408" s="20">
        <v>-21.9</v>
      </c>
      <c r="CP1408" s="20">
        <v>-43.91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P1409" s="20">
        <v>-10.56</v>
      </c>
      <c r="Q1409" s="20">
        <v>27.79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  <c r="BM1409" s="20">
        <v>178.43</v>
      </c>
      <c r="BN1409" s="20">
        <v>56.3</v>
      </c>
      <c r="BZ1409" s="20">
        <v>-53.05</v>
      </c>
      <c r="CA1409" s="20">
        <v>33.22</v>
      </c>
      <c r="CO1409" s="20">
        <v>7.9</v>
      </c>
      <c r="CP1409" s="20">
        <v>-60.12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17</v>
      </c>
      <c r="M1410" s="20">
        <v>-29.28</v>
      </c>
      <c r="N1410" s="20">
        <v>-24.44</v>
      </c>
      <c r="P1410" s="20">
        <v>-34.47</v>
      </c>
      <c r="Q1410" s="20">
        <v>-31.03</v>
      </c>
      <c r="AM1410" s="20">
        <v>721.0</v>
      </c>
      <c r="AN1410" s="20" t="s">
        <v>17</v>
      </c>
      <c r="AO1410" s="20">
        <v>-25.57</v>
      </c>
      <c r="AP1410" s="20">
        <v>-14.46</v>
      </c>
      <c r="AS1410" s="20">
        <v>708.0</v>
      </c>
      <c r="AT1410" s="20" t="s">
        <v>17</v>
      </c>
      <c r="AU1410" s="20">
        <v>-30.14</v>
      </c>
      <c r="AV1410" s="20">
        <v>-15.37</v>
      </c>
      <c r="BM1410" s="20">
        <v>325.08</v>
      </c>
      <c r="BN1410" s="20">
        <v>30.7</v>
      </c>
      <c r="BZ1410" s="20">
        <v>-57.47</v>
      </c>
      <c r="CA1410" s="20">
        <v>76.09</v>
      </c>
      <c r="CO1410" s="20">
        <v>2.95</v>
      </c>
      <c r="CP1410" s="20">
        <v>-62.69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P1411" s="20">
        <v>-33.16</v>
      </c>
      <c r="Q1411" s="20">
        <v>-10.45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  <c r="BM1411" s="20">
        <v>34.53</v>
      </c>
      <c r="BN1411" s="20">
        <v>52.51</v>
      </c>
      <c r="BZ1411" s="20">
        <v>-13.46</v>
      </c>
      <c r="CA1411" s="20">
        <v>15.9</v>
      </c>
      <c r="CO1411" s="20">
        <v>-13.12</v>
      </c>
      <c r="CP1411" s="20">
        <v>-64.56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17</v>
      </c>
      <c r="M1412" s="20">
        <v>-5.12</v>
      </c>
      <c r="N1412" s="20">
        <v>-14.32</v>
      </c>
      <c r="P1412" s="20">
        <v>-67.34</v>
      </c>
      <c r="Q1412" s="20">
        <v>-82.4</v>
      </c>
      <c r="AM1412" s="20">
        <v>722.0</v>
      </c>
      <c r="AN1412" s="20" t="s">
        <v>17</v>
      </c>
      <c r="AO1412" s="20">
        <v>56.05</v>
      </c>
      <c r="AP1412" s="20">
        <v>-18.56</v>
      </c>
      <c r="AS1412" s="20">
        <v>709.0</v>
      </c>
      <c r="AT1412" s="20" t="s">
        <v>17</v>
      </c>
      <c r="AU1412" s="20">
        <v>-35.67</v>
      </c>
      <c r="AV1412" s="20">
        <v>-52.17</v>
      </c>
      <c r="BM1412" s="20">
        <v>114.87</v>
      </c>
      <c r="BN1412" s="20">
        <v>128.24</v>
      </c>
      <c r="BZ1412" s="20">
        <v>-19.7</v>
      </c>
      <c r="CA1412" s="20">
        <v>24.15</v>
      </c>
      <c r="CO1412" s="20">
        <v>-3.75</v>
      </c>
      <c r="CP1412" s="20">
        <v>-60.24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P1413" s="20">
        <v>5.38</v>
      </c>
      <c r="Q1413" s="20">
        <v>80.59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  <c r="BM1413" s="20">
        <v>81.91</v>
      </c>
      <c r="BN1413" s="20">
        <v>86.36</v>
      </c>
      <c r="BZ1413" s="20">
        <v>-14.78</v>
      </c>
      <c r="CA1413" s="20">
        <v>173.21</v>
      </c>
      <c r="CO1413" s="20">
        <v>-7.0</v>
      </c>
      <c r="CP1413" s="20">
        <v>-44.34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17</v>
      </c>
      <c r="M1414" s="20">
        <v>1.99</v>
      </c>
      <c r="N1414" s="20">
        <v>24.06</v>
      </c>
      <c r="P1414" s="20">
        <v>-16.12</v>
      </c>
      <c r="Q1414" s="20">
        <v>-27.17</v>
      </c>
      <c r="AM1414" s="20">
        <v>723.0</v>
      </c>
      <c r="AN1414" s="20" t="s">
        <v>17</v>
      </c>
      <c r="AO1414" s="20">
        <v>-27.22</v>
      </c>
      <c r="AP1414" s="20">
        <v>65.9</v>
      </c>
      <c r="AS1414" s="20">
        <v>710.0</v>
      </c>
      <c r="AT1414" s="20" t="s">
        <v>17</v>
      </c>
      <c r="AU1414" s="20">
        <v>-13.52</v>
      </c>
      <c r="AV1414" s="20">
        <v>-9.99</v>
      </c>
      <c r="BM1414" s="20">
        <v>11.72</v>
      </c>
      <c r="BN1414" s="20">
        <v>16.84</v>
      </c>
      <c r="BZ1414" s="20">
        <v>-40.69</v>
      </c>
      <c r="CA1414" s="20">
        <v>83.33</v>
      </c>
      <c r="CO1414" s="20">
        <v>9.58</v>
      </c>
      <c r="CP1414" s="20">
        <v>-62.89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P1415" s="20">
        <v>-29.15</v>
      </c>
      <c r="Q1415" s="20">
        <v>8.54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  <c r="BM1415" s="20">
        <v>2.91</v>
      </c>
      <c r="BN1415" s="20">
        <v>37.62</v>
      </c>
      <c r="BZ1415" s="20">
        <v>-49.62</v>
      </c>
      <c r="CA1415" s="20">
        <v>207.6</v>
      </c>
      <c r="CO1415" s="20">
        <v>6.29</v>
      </c>
      <c r="CP1415" s="20">
        <v>-57.83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17</v>
      </c>
      <c r="M1416" s="20">
        <v>-23.77</v>
      </c>
      <c r="N1416" s="20">
        <v>-11.63</v>
      </c>
      <c r="P1416" s="20">
        <v>-8.88</v>
      </c>
      <c r="Q1416" s="20">
        <v>-22.37</v>
      </c>
      <c r="AM1416" s="20">
        <v>724.0</v>
      </c>
      <c r="AN1416" s="20" t="s">
        <v>17</v>
      </c>
      <c r="AO1416" s="20">
        <v>-23.2</v>
      </c>
      <c r="AP1416" s="20">
        <v>21.01</v>
      </c>
      <c r="AS1416" s="20">
        <v>711.0</v>
      </c>
      <c r="AT1416" s="20" t="s">
        <v>17</v>
      </c>
      <c r="AU1416" s="20">
        <v>-28.17</v>
      </c>
      <c r="AV1416" s="20">
        <v>-56.64</v>
      </c>
      <c r="BM1416" s="20">
        <v>27.69</v>
      </c>
      <c r="BN1416" s="20">
        <v>75.34</v>
      </c>
      <c r="BZ1416" s="20">
        <v>-46.87</v>
      </c>
      <c r="CA1416" s="20">
        <v>24.69</v>
      </c>
      <c r="CO1416" s="20">
        <v>-5.41</v>
      </c>
      <c r="CP1416" s="20">
        <v>-57.28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P1417" s="20">
        <v>-20.17</v>
      </c>
      <c r="Q1417" s="20">
        <v>-0.17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  <c r="BM1417" s="20">
        <v>122.37</v>
      </c>
      <c r="BN1417" s="20">
        <v>149.1</v>
      </c>
      <c r="BZ1417" s="20">
        <v>-41.57</v>
      </c>
      <c r="CA1417" s="20">
        <v>105.84</v>
      </c>
      <c r="CO1417" s="20">
        <v>-32.28</v>
      </c>
      <c r="CP1417" s="20">
        <v>-43.73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17</v>
      </c>
      <c r="M1418" s="20">
        <v>-29.71</v>
      </c>
      <c r="N1418" s="20">
        <v>1.26</v>
      </c>
      <c r="P1418" s="20">
        <v>-0.91</v>
      </c>
      <c r="Q1418" s="20">
        <v>9.67</v>
      </c>
      <c r="AM1418" s="20">
        <v>725.0</v>
      </c>
      <c r="AN1418" s="20" t="s">
        <v>17</v>
      </c>
      <c r="AO1418" s="20">
        <v>-13.43</v>
      </c>
      <c r="AP1418" s="20">
        <v>10.38</v>
      </c>
      <c r="AS1418" s="20">
        <v>712.0</v>
      </c>
      <c r="AT1418" s="20" t="s">
        <v>17</v>
      </c>
      <c r="AU1418" s="20">
        <v>-19.14</v>
      </c>
      <c r="AV1418" s="20">
        <v>-13.15</v>
      </c>
      <c r="BM1418" s="20">
        <v>140.33</v>
      </c>
      <c r="BN1418" s="20">
        <v>107.98</v>
      </c>
      <c r="BZ1418" s="20">
        <v>-13.72</v>
      </c>
      <c r="CA1418" s="20">
        <v>77.16</v>
      </c>
      <c r="CO1418" s="20">
        <v>-42.68</v>
      </c>
      <c r="CP1418" s="20">
        <v>-4.6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P1419" s="20">
        <v>-2.14</v>
      </c>
      <c r="Q1419" s="20">
        <v>38.22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  <c r="BM1419" s="20">
        <v>37.88</v>
      </c>
      <c r="BN1419" s="20">
        <v>112.95</v>
      </c>
      <c r="BZ1419" s="20">
        <v>-24.74</v>
      </c>
      <c r="CA1419" s="20">
        <v>41.98</v>
      </c>
      <c r="CO1419" s="20">
        <v>-20.18</v>
      </c>
      <c r="CP1419" s="20">
        <v>-37.23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17</v>
      </c>
      <c r="M1420" s="20">
        <v>-28.4</v>
      </c>
      <c r="N1420" s="20">
        <v>-25.87</v>
      </c>
      <c r="P1420" s="20">
        <v>-1.31</v>
      </c>
      <c r="Q1420" s="20">
        <v>41.08</v>
      </c>
      <c r="AM1420" s="20">
        <v>726.0</v>
      </c>
      <c r="AN1420" s="20" t="s">
        <v>17</v>
      </c>
      <c r="AO1420" s="20">
        <v>-17.41</v>
      </c>
      <c r="AP1420" s="20">
        <v>-6.1</v>
      </c>
      <c r="AS1420" s="20">
        <v>713.0</v>
      </c>
      <c r="AT1420" s="20" t="s">
        <v>17</v>
      </c>
      <c r="AU1420" s="20">
        <v>-11.7</v>
      </c>
      <c r="AV1420" s="20">
        <v>-54.71</v>
      </c>
      <c r="BM1420" s="20">
        <v>93.03</v>
      </c>
      <c r="BN1420" s="20">
        <v>52.07</v>
      </c>
      <c r="BZ1420" s="20">
        <v>13.84</v>
      </c>
      <c r="CA1420" s="20">
        <v>1.41</v>
      </c>
      <c r="CO1420" s="20">
        <v>10.64</v>
      </c>
      <c r="CP1420" s="20">
        <v>-45.66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P1421" s="20">
        <v>-20.96</v>
      </c>
      <c r="Q1421" s="20">
        <v>38.08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  <c r="BM1421" s="20">
        <v>187.26</v>
      </c>
      <c r="BN1421" s="20">
        <v>107.69</v>
      </c>
      <c r="BZ1421" s="20">
        <v>-40.48</v>
      </c>
      <c r="CA1421" s="20">
        <v>81.63</v>
      </c>
      <c r="CO1421" s="20">
        <v>-22.34</v>
      </c>
      <c r="CP1421" s="20">
        <v>-45.24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17</v>
      </c>
      <c r="M1422" s="20">
        <v>-9.28</v>
      </c>
      <c r="N1422" s="20">
        <v>44.06</v>
      </c>
      <c r="P1422" s="20">
        <v>-9.48</v>
      </c>
      <c r="Q1422" s="20">
        <v>54.8</v>
      </c>
      <c r="AM1422" s="20">
        <v>727.0</v>
      </c>
      <c r="AN1422" s="20" t="s">
        <v>17</v>
      </c>
      <c r="AO1422" s="20">
        <v>-2.56</v>
      </c>
      <c r="AP1422" s="20">
        <v>2.66</v>
      </c>
      <c r="AS1422" s="20">
        <v>714.0</v>
      </c>
      <c r="AT1422" s="20" t="s">
        <v>17</v>
      </c>
      <c r="AU1422" s="20">
        <v>-36.65</v>
      </c>
      <c r="AV1422" s="20">
        <v>-11.51</v>
      </c>
      <c r="BM1422" s="20">
        <v>72.6</v>
      </c>
      <c r="BN1422" s="20">
        <v>134.1</v>
      </c>
      <c r="BZ1422" s="20">
        <v>-58.07</v>
      </c>
      <c r="CA1422" s="20">
        <v>103.4</v>
      </c>
      <c r="CO1422" s="20">
        <v>3.93</v>
      </c>
      <c r="CP1422" s="20">
        <v>8.93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P1423" s="20">
        <v>-20.23</v>
      </c>
      <c r="Q1423" s="20">
        <v>-4.18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  <c r="BM1423" s="20">
        <v>82.99</v>
      </c>
      <c r="BN1423" s="20">
        <v>218.04</v>
      </c>
      <c r="BZ1423" s="20">
        <v>-41.05</v>
      </c>
      <c r="CA1423" s="20">
        <v>40.3</v>
      </c>
      <c r="CO1423" s="20">
        <v>5.66</v>
      </c>
      <c r="CP1423" s="20">
        <v>-45.59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17</v>
      </c>
      <c r="M1424" s="20">
        <v>-38.73</v>
      </c>
      <c r="N1424" s="20">
        <v>-12.66</v>
      </c>
      <c r="P1424" s="20">
        <v>-55.2</v>
      </c>
      <c r="Q1424" s="20">
        <v>-29.05</v>
      </c>
      <c r="AM1424" s="20">
        <v>728.0</v>
      </c>
      <c r="AN1424" s="20" t="s">
        <v>17</v>
      </c>
      <c r="AO1424" s="20">
        <v>-34.05</v>
      </c>
      <c r="AP1424" s="20">
        <v>-16.02</v>
      </c>
      <c r="AS1424" s="20">
        <v>715.0</v>
      </c>
      <c r="AT1424" s="20" t="s">
        <v>17</v>
      </c>
      <c r="AU1424" s="20">
        <v>18.04</v>
      </c>
      <c r="AV1424" s="20">
        <v>-4.05</v>
      </c>
      <c r="BM1424" s="20">
        <v>108.71</v>
      </c>
      <c r="BN1424" s="20">
        <v>251.66</v>
      </c>
      <c r="BZ1424" s="20">
        <v>-6.6</v>
      </c>
      <c r="CA1424" s="20">
        <v>84.51</v>
      </c>
      <c r="CO1424" s="20">
        <v>32.42</v>
      </c>
      <c r="CP1424" s="20">
        <v>-32.72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P1425" s="20">
        <v>-26.07</v>
      </c>
      <c r="Q1425" s="20">
        <v>-13.69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  <c r="BM1425" s="20">
        <v>60.54</v>
      </c>
      <c r="BN1425" s="20">
        <v>28.27</v>
      </c>
      <c r="BZ1425" s="20">
        <v>84.05</v>
      </c>
      <c r="CA1425" s="20">
        <v>202.54</v>
      </c>
      <c r="CO1425" s="20">
        <v>-19.83</v>
      </c>
      <c r="CP1425" s="20">
        <v>-49.9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17</v>
      </c>
      <c r="M1426" s="20">
        <v>-34.54</v>
      </c>
      <c r="N1426" s="20">
        <v>4.33</v>
      </c>
      <c r="P1426" s="20">
        <v>4.56</v>
      </c>
      <c r="Q1426" s="20">
        <v>9.04</v>
      </c>
      <c r="AM1426" s="20">
        <v>729.0</v>
      </c>
      <c r="AN1426" s="20" t="s">
        <v>17</v>
      </c>
      <c r="AO1426" s="20">
        <v>-36.59</v>
      </c>
      <c r="AP1426" s="20">
        <v>5.6</v>
      </c>
      <c r="AS1426" s="20">
        <v>716.0</v>
      </c>
      <c r="AT1426" s="20" t="s">
        <v>17</v>
      </c>
      <c r="AU1426" s="20">
        <v>0.31</v>
      </c>
      <c r="AV1426" s="20">
        <v>-3.31</v>
      </c>
      <c r="BM1426" s="20">
        <v>188.7</v>
      </c>
      <c r="BN1426" s="20">
        <v>52.96</v>
      </c>
      <c r="BZ1426" s="20">
        <v>-39.41</v>
      </c>
      <c r="CA1426" s="20">
        <v>-12.34</v>
      </c>
      <c r="CO1426" s="20">
        <v>21.95</v>
      </c>
      <c r="CP1426" s="20">
        <v>23.78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P1427" s="20">
        <v>31.18</v>
      </c>
      <c r="Q1427" s="20">
        <v>-17.74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  <c r="BM1427" s="20">
        <v>78.98</v>
      </c>
      <c r="BN1427" s="20">
        <v>61.58</v>
      </c>
      <c r="BZ1427" s="20">
        <v>-10.09</v>
      </c>
      <c r="CA1427" s="20">
        <v>75.14</v>
      </c>
      <c r="CO1427" s="20">
        <v>-30.92</v>
      </c>
      <c r="CP1427" s="20">
        <v>-55.72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17</v>
      </c>
      <c r="M1428" s="20">
        <v>24.98</v>
      </c>
      <c r="N1428" s="20">
        <v>-10.57</v>
      </c>
      <c r="P1428" s="20">
        <v>-4.96</v>
      </c>
      <c r="Q1428" s="20">
        <v>-53.54</v>
      </c>
      <c r="AM1428" s="20">
        <v>730.0</v>
      </c>
      <c r="AN1428" s="20" t="s">
        <v>17</v>
      </c>
      <c r="AO1428" s="20">
        <v>15.57</v>
      </c>
      <c r="AP1428" s="20">
        <v>32.56</v>
      </c>
      <c r="AS1428" s="20">
        <v>717.0</v>
      </c>
      <c r="AT1428" s="20" t="s">
        <v>17</v>
      </c>
      <c r="AU1428" s="20">
        <v>-15.68</v>
      </c>
      <c r="AV1428" s="20">
        <v>-44.82</v>
      </c>
      <c r="BM1428" s="20">
        <v>72.79</v>
      </c>
      <c r="BN1428" s="20">
        <v>153.44</v>
      </c>
      <c r="BZ1428" s="20">
        <v>-13.32</v>
      </c>
      <c r="CA1428" s="20">
        <v>53.55</v>
      </c>
      <c r="CO1428" s="20">
        <v>21.34</v>
      </c>
      <c r="CP1428" s="20">
        <v>-45.27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P1429" s="20">
        <v>-2.48</v>
      </c>
      <c r="Q1429" s="20">
        <v>0.05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  <c r="BM1429" s="20">
        <v>51.23</v>
      </c>
      <c r="BN1429" s="20">
        <v>209.89</v>
      </c>
      <c r="BZ1429" s="20">
        <v>-45.2</v>
      </c>
      <c r="CA1429" s="20">
        <v>-10.15</v>
      </c>
      <c r="CO1429" s="20">
        <v>24.23</v>
      </c>
      <c r="CP1429" s="20">
        <v>-54.17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17</v>
      </c>
      <c r="M1430" s="20">
        <v>-8.24</v>
      </c>
      <c r="N1430" s="20">
        <v>-6.49</v>
      </c>
      <c r="P1430" s="20">
        <v>9.44</v>
      </c>
      <c r="Q1430" s="20">
        <v>21.67</v>
      </c>
      <c r="AM1430" s="20">
        <v>731.0</v>
      </c>
      <c r="AN1430" s="20" t="s">
        <v>17</v>
      </c>
      <c r="AO1430" s="20">
        <v>-44.38</v>
      </c>
      <c r="AP1430" s="20">
        <v>-14.04</v>
      </c>
      <c r="AS1430" s="20">
        <v>718.0</v>
      </c>
      <c r="AT1430" s="20" t="s">
        <v>17</v>
      </c>
      <c r="AU1430" s="20">
        <v>-23.64</v>
      </c>
      <c r="AV1430" s="20">
        <v>-66.84</v>
      </c>
      <c r="BM1430" s="20">
        <v>56.18</v>
      </c>
      <c r="BN1430" s="20">
        <v>199.22</v>
      </c>
      <c r="BZ1430" s="20">
        <v>-35.66</v>
      </c>
      <c r="CA1430" s="20">
        <v>37.98</v>
      </c>
      <c r="CO1430" s="20">
        <v>30.88</v>
      </c>
      <c r="CP1430" s="20">
        <v>-36.26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P1431" s="20">
        <v>-4.73</v>
      </c>
      <c r="Q1431" s="20">
        <v>1.49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  <c r="BM1431" s="20">
        <v>47.91</v>
      </c>
      <c r="BN1431" s="20">
        <v>46.5</v>
      </c>
      <c r="BZ1431" s="20">
        <v>-39.99</v>
      </c>
      <c r="CA1431" s="20">
        <v>278.72</v>
      </c>
      <c r="CO1431" s="20">
        <v>-14.59</v>
      </c>
      <c r="CP1431" s="20">
        <v>-53.44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17</v>
      </c>
      <c r="M1432" s="20">
        <v>-35.34</v>
      </c>
      <c r="N1432" s="20">
        <v>-10.02</v>
      </c>
      <c r="P1432" s="20">
        <v>-6.47</v>
      </c>
      <c r="Q1432" s="20">
        <v>-1.25</v>
      </c>
      <c r="AM1432" s="20">
        <v>732.0</v>
      </c>
      <c r="AN1432" s="20" t="s">
        <v>17</v>
      </c>
      <c r="AO1432" s="20">
        <v>12.1</v>
      </c>
      <c r="AP1432" s="20">
        <v>-6.07</v>
      </c>
      <c r="AS1432" s="20">
        <v>719.0</v>
      </c>
      <c r="AT1432" s="20" t="s">
        <v>17</v>
      </c>
      <c r="AU1432" s="20">
        <v>3.38</v>
      </c>
      <c r="AV1432" s="20">
        <v>-38.43</v>
      </c>
      <c r="BM1432" s="20">
        <v>110.0</v>
      </c>
      <c r="BN1432" s="20">
        <v>157.39</v>
      </c>
      <c r="BZ1432" s="20">
        <v>-30.43</v>
      </c>
      <c r="CA1432" s="20">
        <v>176.94</v>
      </c>
      <c r="CO1432" s="20">
        <v>-11.65</v>
      </c>
      <c r="CP1432" s="20">
        <v>-40.11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P1433" s="20">
        <v>-7.61</v>
      </c>
      <c r="Q1433" s="20">
        <v>11.18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  <c r="BM1433" s="20">
        <v>64.99</v>
      </c>
      <c r="BN1433" s="20">
        <v>117.24</v>
      </c>
      <c r="BZ1433" s="20">
        <v>-54.76</v>
      </c>
      <c r="CA1433" s="20">
        <v>208.16</v>
      </c>
      <c r="CO1433" s="20">
        <v>-13.04</v>
      </c>
      <c r="CP1433" s="20">
        <v>-33.34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17</v>
      </c>
      <c r="M1434" s="20">
        <v>-24.85</v>
      </c>
      <c r="N1434" s="20">
        <v>-0.59</v>
      </c>
      <c r="P1434" s="20">
        <v>5.12</v>
      </c>
      <c r="Q1434" s="20">
        <v>38.37</v>
      </c>
      <c r="AM1434" s="20">
        <v>733.0</v>
      </c>
      <c r="AN1434" s="20" t="s">
        <v>17</v>
      </c>
      <c r="AO1434" s="20">
        <v>-24.94</v>
      </c>
      <c r="AP1434" s="20">
        <v>-33.62</v>
      </c>
      <c r="AS1434" s="20">
        <v>720.0</v>
      </c>
      <c r="AT1434" s="20" t="s">
        <v>17</v>
      </c>
      <c r="AU1434" s="20">
        <v>-14.13</v>
      </c>
      <c r="AV1434" s="20">
        <v>-18.64</v>
      </c>
      <c r="BM1434" s="20">
        <v>72.16</v>
      </c>
      <c r="BN1434" s="20">
        <v>117.87</v>
      </c>
      <c r="BZ1434" s="20">
        <v>-52.36</v>
      </c>
      <c r="CA1434" s="20">
        <v>179.6</v>
      </c>
      <c r="CO1434" s="20">
        <v>70.23</v>
      </c>
      <c r="CP1434" s="20">
        <v>-43.5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P1435" s="20">
        <v>2.62</v>
      </c>
      <c r="Q1435" s="20">
        <v>24.47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  <c r="BM1435" s="20">
        <v>65.64</v>
      </c>
      <c r="BN1435" s="20">
        <v>56.32</v>
      </c>
      <c r="BZ1435" s="20">
        <v>-19.01</v>
      </c>
      <c r="CA1435" s="20">
        <v>111.32</v>
      </c>
      <c r="CO1435" s="20">
        <v>-2.42</v>
      </c>
      <c r="CP1435" s="20">
        <v>-40.64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17</v>
      </c>
      <c r="M1436" s="20">
        <v>-31.26</v>
      </c>
      <c r="N1436" s="20">
        <v>-12.97</v>
      </c>
      <c r="P1436" s="20">
        <v>17.88</v>
      </c>
      <c r="Q1436" s="20">
        <v>43.08</v>
      </c>
      <c r="AM1436" s="20">
        <v>734.0</v>
      </c>
      <c r="AN1436" s="20" t="s">
        <v>17</v>
      </c>
      <c r="AO1436" s="20">
        <v>-26.11</v>
      </c>
      <c r="AP1436" s="20">
        <v>-26.21</v>
      </c>
      <c r="AS1436" s="20">
        <v>721.0</v>
      </c>
      <c r="AT1436" s="20" t="s">
        <v>17</v>
      </c>
      <c r="AU1436" s="20">
        <v>-7.4</v>
      </c>
      <c r="AV1436" s="20">
        <v>-20.27</v>
      </c>
      <c r="BM1436" s="20">
        <v>-27.06</v>
      </c>
      <c r="BN1436" s="20">
        <v>-34.81</v>
      </c>
      <c r="BZ1436" s="20">
        <v>-37.03</v>
      </c>
      <c r="CA1436" s="20">
        <v>-27.64</v>
      </c>
      <c r="CO1436" s="20">
        <v>4.21</v>
      </c>
      <c r="CP1436" s="20">
        <v>-48.79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P1437" s="20">
        <v>11.25</v>
      </c>
      <c r="Q1437" s="20">
        <v>-15.97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  <c r="BM1437" s="20">
        <v>171.21</v>
      </c>
      <c r="BN1437" s="20">
        <v>32.88</v>
      </c>
      <c r="BZ1437" s="20">
        <v>-56.26</v>
      </c>
      <c r="CA1437" s="20">
        <v>29.23</v>
      </c>
      <c r="CO1437" s="20">
        <v>-18.37</v>
      </c>
      <c r="CP1437" s="20">
        <v>-39.8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17</v>
      </c>
      <c r="M1438" s="20">
        <v>-38.17</v>
      </c>
      <c r="N1438" s="20">
        <v>-37.7</v>
      </c>
      <c r="P1438" s="20">
        <v>-12.21</v>
      </c>
      <c r="Q1438" s="20">
        <v>-8.77</v>
      </c>
      <c r="AM1438" s="20">
        <v>735.0</v>
      </c>
      <c r="AN1438" s="20" t="s">
        <v>17</v>
      </c>
      <c r="AO1438" s="20">
        <v>-19.44</v>
      </c>
      <c r="AP1438" s="20">
        <v>-7.73</v>
      </c>
      <c r="AS1438" s="20">
        <v>722.0</v>
      </c>
      <c r="AT1438" s="20" t="s">
        <v>17</v>
      </c>
      <c r="AU1438" s="20">
        <v>5.23</v>
      </c>
      <c r="AV1438" s="20">
        <v>-57.07</v>
      </c>
      <c r="BM1438" s="20">
        <v>177.65</v>
      </c>
      <c r="BN1438" s="20">
        <v>51.65</v>
      </c>
      <c r="BZ1438" s="20">
        <v>-52.06</v>
      </c>
      <c r="CA1438" s="20">
        <v>50.65</v>
      </c>
      <c r="CO1438" s="20">
        <v>46.54</v>
      </c>
      <c r="CP1438" s="20">
        <v>-25.22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P1439" s="20">
        <v>-6.91</v>
      </c>
      <c r="Q1439" s="20">
        <v>12.08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  <c r="BM1439" s="20">
        <v>12.12</v>
      </c>
      <c r="BN1439" s="20">
        <v>13.46</v>
      </c>
      <c r="BZ1439" s="20">
        <v>-8.88</v>
      </c>
      <c r="CA1439" s="20">
        <v>117.8</v>
      </c>
      <c r="CO1439" s="20">
        <v>30.58</v>
      </c>
      <c r="CP1439" s="20">
        <v>-24.8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17</v>
      </c>
      <c r="M1440" s="20">
        <v>-48.23</v>
      </c>
      <c r="N1440" s="20">
        <v>-28.6</v>
      </c>
      <c r="P1440" s="20">
        <v>-6.58</v>
      </c>
      <c r="Q1440" s="20">
        <v>-81.83</v>
      </c>
      <c r="AM1440" s="20">
        <v>736.0</v>
      </c>
      <c r="AN1440" s="20" t="s">
        <v>17</v>
      </c>
      <c r="AO1440" s="20">
        <v>5.39</v>
      </c>
      <c r="AP1440" s="20">
        <v>-26.74</v>
      </c>
      <c r="AS1440" s="20">
        <v>723.0</v>
      </c>
      <c r="AT1440" s="20" t="s">
        <v>17</v>
      </c>
      <c r="AU1440" s="20">
        <v>-29.73</v>
      </c>
      <c r="AV1440" s="20">
        <v>-11.0</v>
      </c>
      <c r="BM1440" s="20">
        <v>-3.59</v>
      </c>
      <c r="BN1440" s="20">
        <v>-21.21</v>
      </c>
      <c r="BZ1440" s="20">
        <v>-45.42</v>
      </c>
      <c r="CA1440" s="20">
        <v>120.31</v>
      </c>
      <c r="CO1440" s="20">
        <v>23.24</v>
      </c>
      <c r="CP1440" s="20">
        <v>-48.98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P1441" s="20">
        <v>-20.04</v>
      </c>
      <c r="Q1441" s="20">
        <v>1.05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  <c r="BM1441" s="20">
        <v>139.71</v>
      </c>
      <c r="BN1441" s="20">
        <v>67.15</v>
      </c>
      <c r="BZ1441" s="20">
        <v>16.32</v>
      </c>
      <c r="CA1441" s="20">
        <v>50.02</v>
      </c>
      <c r="CO1441" s="20">
        <v>14.5</v>
      </c>
      <c r="CP1441" s="20">
        <v>-42.98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17</v>
      </c>
      <c r="M1442" s="20">
        <v>-33.94</v>
      </c>
      <c r="N1442" s="20">
        <v>-17.72</v>
      </c>
      <c r="P1442" s="20">
        <v>2.43</v>
      </c>
      <c r="Q1442" s="20">
        <v>-39.81</v>
      </c>
      <c r="AM1442" s="20">
        <v>737.0</v>
      </c>
      <c r="AN1442" s="20" t="s">
        <v>17</v>
      </c>
      <c r="AO1442" s="20">
        <v>-43.54</v>
      </c>
      <c r="AP1442" s="20">
        <v>-24.39</v>
      </c>
      <c r="AS1442" s="20">
        <v>724.0</v>
      </c>
      <c r="AT1442" s="20" t="s">
        <v>17</v>
      </c>
      <c r="AU1442" s="20">
        <v>-4.95</v>
      </c>
      <c r="AV1442" s="20">
        <v>-8.96</v>
      </c>
      <c r="BM1442" s="20">
        <v>141.3</v>
      </c>
      <c r="BN1442" s="20">
        <v>69.98</v>
      </c>
      <c r="BZ1442" s="20">
        <v>-44.28</v>
      </c>
      <c r="CA1442" s="20">
        <v>-7.33</v>
      </c>
      <c r="CO1442" s="20">
        <v>46.49</v>
      </c>
      <c r="CP1442" s="20">
        <v>-45.4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P1443" s="20">
        <v>-2.96</v>
      </c>
      <c r="Q1443" s="20">
        <v>2.23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  <c r="BM1443" s="20">
        <v>27.67</v>
      </c>
      <c r="BN1443" s="20">
        <v>101.92</v>
      </c>
      <c r="CO1443" s="20">
        <v>-8.72</v>
      </c>
      <c r="CP1443" s="20">
        <v>-60.41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17</v>
      </c>
      <c r="M1444" s="20">
        <v>-17.38</v>
      </c>
      <c r="N1444" s="20">
        <v>23.27</v>
      </c>
      <c r="P1444" s="20">
        <v>44.17</v>
      </c>
      <c r="Q1444" s="20">
        <v>-12.49</v>
      </c>
      <c r="AM1444" s="20">
        <v>738.0</v>
      </c>
      <c r="AN1444" s="20" t="s">
        <v>17</v>
      </c>
      <c r="AO1444" s="20">
        <v>-24.86</v>
      </c>
      <c r="AP1444" s="20">
        <v>-14.83</v>
      </c>
      <c r="AS1444" s="20">
        <v>725.0</v>
      </c>
      <c r="AT1444" s="20" t="s">
        <v>17</v>
      </c>
      <c r="AU1444" s="20">
        <v>-19.47</v>
      </c>
      <c r="AV1444" s="20">
        <v>-35.05</v>
      </c>
      <c r="BM1444" s="20">
        <v>32.78</v>
      </c>
      <c r="BN1444" s="20">
        <v>101.1</v>
      </c>
      <c r="CO1444" s="20">
        <v>7.15</v>
      </c>
      <c r="CP1444" s="20">
        <v>-48.78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P1445" s="20">
        <v>-21.29</v>
      </c>
      <c r="Q1445" s="20">
        <v>-18.07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  <c r="BM1445" s="20">
        <v>67.0</v>
      </c>
      <c r="BN1445" s="20">
        <v>125.39</v>
      </c>
      <c r="CO1445" s="20">
        <v>-14.93</v>
      </c>
      <c r="CP1445" s="20">
        <v>-45.02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17</v>
      </c>
      <c r="M1446" s="20">
        <v>-33.37</v>
      </c>
      <c r="N1446" s="20">
        <v>27.31</v>
      </c>
      <c r="P1446" s="20">
        <v>-9.36</v>
      </c>
      <c r="Q1446" s="20">
        <v>3.83</v>
      </c>
      <c r="AM1446" s="20">
        <v>739.0</v>
      </c>
      <c r="AN1446" s="20" t="s">
        <v>17</v>
      </c>
      <c r="AO1446" s="20">
        <v>-15.76</v>
      </c>
      <c r="AP1446" s="20">
        <v>-39.76</v>
      </c>
      <c r="AS1446" s="20">
        <v>726.0</v>
      </c>
      <c r="AT1446" s="20" t="s">
        <v>17</v>
      </c>
      <c r="AU1446" s="20">
        <v>109.59</v>
      </c>
      <c r="AV1446" s="20">
        <v>-55.27</v>
      </c>
      <c r="BM1446" s="20">
        <v>26.56</v>
      </c>
      <c r="BN1446" s="20">
        <v>69.33</v>
      </c>
      <c r="CO1446" s="20">
        <v>20.59</v>
      </c>
      <c r="CP1446" s="20">
        <v>-57.35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P1447" s="20">
        <v>0.34</v>
      </c>
      <c r="Q1447" s="20">
        <v>-5.13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  <c r="BM1447" s="20">
        <v>50.16</v>
      </c>
      <c r="BN1447" s="20">
        <v>180.97</v>
      </c>
      <c r="CO1447" s="20">
        <v>19.42</v>
      </c>
      <c r="CP1447" s="20">
        <v>-49.87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17</v>
      </c>
      <c r="M1448" s="20">
        <v>-25.82</v>
      </c>
      <c r="N1448" s="20">
        <v>11.89</v>
      </c>
      <c r="P1448" s="20">
        <v>-24.16</v>
      </c>
      <c r="Q1448" s="20">
        <v>-20.84</v>
      </c>
      <c r="AM1448" s="20">
        <v>740.0</v>
      </c>
      <c r="AN1448" s="20" t="s">
        <v>17</v>
      </c>
      <c r="AO1448" s="20">
        <v>-34.29</v>
      </c>
      <c r="AP1448" s="20">
        <v>2.11</v>
      </c>
      <c r="AS1448" s="20">
        <v>727.0</v>
      </c>
      <c r="AT1448" s="20" t="s">
        <v>17</v>
      </c>
      <c r="AU1448" s="20">
        <v>9.88</v>
      </c>
      <c r="AV1448" s="20">
        <v>30.77</v>
      </c>
      <c r="BM1448" s="20">
        <v>42.28</v>
      </c>
      <c r="BN1448" s="20">
        <v>120.09</v>
      </c>
      <c r="CO1448" s="20">
        <v>4.25</v>
      </c>
      <c r="CP1448" s="20">
        <v>-42.73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P1449" s="20">
        <v>-3.54</v>
      </c>
      <c r="Q1449" s="20">
        <v>-5.92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  <c r="BM1449" s="20">
        <v>53.91</v>
      </c>
      <c r="BN1449" s="20">
        <v>123.42</v>
      </c>
      <c r="CO1449" s="20">
        <v>95.31</v>
      </c>
      <c r="CP1449" s="20">
        <v>-49.66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17</v>
      </c>
      <c r="M1450" s="20">
        <v>2.34</v>
      </c>
      <c r="N1450" s="20">
        <v>6.99</v>
      </c>
      <c r="P1450" s="20">
        <v>6.88</v>
      </c>
      <c r="Q1450" s="20">
        <v>-0.68</v>
      </c>
      <c r="AM1450" s="20">
        <v>741.0</v>
      </c>
      <c r="AN1450" s="20" t="s">
        <v>17</v>
      </c>
      <c r="AO1450" s="20">
        <v>12.12</v>
      </c>
      <c r="AP1450" s="20">
        <v>-17.66</v>
      </c>
      <c r="AS1450" s="20">
        <v>728.0</v>
      </c>
      <c r="AT1450" s="20" t="s">
        <v>17</v>
      </c>
      <c r="AU1450" s="20">
        <v>-38.13</v>
      </c>
      <c r="AV1450" s="20">
        <v>-25.26</v>
      </c>
      <c r="BM1450" s="20">
        <v>43.24</v>
      </c>
      <c r="BN1450" s="20">
        <v>96.13</v>
      </c>
      <c r="CO1450" s="20">
        <v>15.12</v>
      </c>
      <c r="CP1450" s="20">
        <v>-43.45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P1451" s="20">
        <v>-10.4</v>
      </c>
      <c r="Q1451" s="20">
        <v>8.39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  <c r="BM1451" s="20">
        <v>56.16</v>
      </c>
      <c r="BN1451" s="20">
        <v>147.41</v>
      </c>
      <c r="CO1451" s="20">
        <v>21.86</v>
      </c>
      <c r="CP1451" s="20">
        <v>-53.25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17</v>
      </c>
      <c r="M1452" s="20">
        <v>-20.62</v>
      </c>
      <c r="N1452" s="20">
        <v>-3.75</v>
      </c>
      <c r="P1452" s="20">
        <v>-20.9</v>
      </c>
      <c r="Q1452" s="20">
        <v>6.64</v>
      </c>
      <c r="AM1452" s="20">
        <v>742.0</v>
      </c>
      <c r="AN1452" s="20" t="s">
        <v>17</v>
      </c>
      <c r="AO1452" s="20">
        <v>-8.0</v>
      </c>
      <c r="AP1452" s="20">
        <v>-33.44</v>
      </c>
      <c r="AS1452" s="20">
        <v>729.0</v>
      </c>
      <c r="AT1452" s="20" t="s">
        <v>17</v>
      </c>
      <c r="AU1452" s="20">
        <v>25.21</v>
      </c>
      <c r="AV1452" s="20">
        <v>-1.19</v>
      </c>
      <c r="BM1452" s="20">
        <v>103.87</v>
      </c>
      <c r="BN1452" s="20">
        <v>152.01</v>
      </c>
      <c r="CO1452" s="20">
        <v>15.68</v>
      </c>
      <c r="CP1452" s="20">
        <v>-47.21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P1453" s="20">
        <v>-17.28</v>
      </c>
      <c r="Q1453" s="20">
        <v>9.17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  <c r="BM1453" s="20">
        <v>33.42</v>
      </c>
      <c r="BN1453" s="20">
        <v>80.73</v>
      </c>
      <c r="CO1453" s="20">
        <v>48.85</v>
      </c>
      <c r="CP1453" s="20">
        <v>-42.95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17</v>
      </c>
      <c r="M1454" s="20">
        <v>-0.54</v>
      </c>
      <c r="N1454" s="20">
        <v>17.72</v>
      </c>
      <c r="P1454" s="20">
        <v>1.76</v>
      </c>
      <c r="Q1454" s="20">
        <v>33.76</v>
      </c>
      <c r="AM1454" s="20">
        <v>743.0</v>
      </c>
      <c r="AN1454" s="20" t="s">
        <v>17</v>
      </c>
      <c r="AO1454" s="20">
        <v>-11.23</v>
      </c>
      <c r="AP1454" s="20">
        <v>-7.17</v>
      </c>
      <c r="AS1454" s="20">
        <v>730.0</v>
      </c>
      <c r="AT1454" s="20" t="s">
        <v>17</v>
      </c>
      <c r="AU1454" s="20">
        <v>24.48</v>
      </c>
      <c r="AV1454" s="20">
        <v>-46.33</v>
      </c>
      <c r="BM1454" s="20">
        <v>81.09</v>
      </c>
      <c r="BN1454" s="20">
        <v>132.39</v>
      </c>
      <c r="CO1454" s="20">
        <v>-20.12</v>
      </c>
      <c r="CP1454" s="20">
        <v>-49.9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P1455" s="20">
        <v>-31.39</v>
      </c>
      <c r="Q1455" s="20">
        <v>-22.17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  <c r="BM1455" s="20">
        <v>65.98</v>
      </c>
      <c r="BN1455" s="20">
        <v>97.53</v>
      </c>
      <c r="CO1455" s="20">
        <v>35.59</v>
      </c>
      <c r="CP1455" s="20">
        <v>-34.76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17</v>
      </c>
      <c r="M1456" s="20">
        <v>-33.91</v>
      </c>
      <c r="N1456" s="20">
        <v>-4.2</v>
      </c>
      <c r="P1456" s="20">
        <v>-26.91</v>
      </c>
      <c r="Q1456" s="20">
        <v>-16.11</v>
      </c>
      <c r="AM1456" s="20">
        <v>744.0</v>
      </c>
      <c r="AN1456" s="20" t="s">
        <v>17</v>
      </c>
      <c r="AO1456" s="20">
        <v>-11.26</v>
      </c>
      <c r="AP1456" s="20">
        <v>-28.0</v>
      </c>
      <c r="AS1456" s="20">
        <v>731.0</v>
      </c>
      <c r="AT1456" s="20" t="s">
        <v>17</v>
      </c>
      <c r="AU1456" s="20">
        <v>-36.58</v>
      </c>
      <c r="AV1456" s="20">
        <v>-34.05</v>
      </c>
      <c r="BM1456" s="20">
        <v>91.7</v>
      </c>
      <c r="BN1456" s="20">
        <v>91.54</v>
      </c>
      <c r="CO1456" s="20">
        <v>0.84</v>
      </c>
      <c r="CP1456" s="20">
        <v>-55.61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P1457" s="20">
        <v>-10.91</v>
      </c>
      <c r="Q1457" s="20">
        <v>-24.55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  <c r="BM1457" s="20">
        <v>22.64</v>
      </c>
      <c r="BN1457" s="20">
        <v>49.6</v>
      </c>
      <c r="CO1457" s="20">
        <v>-5.54</v>
      </c>
      <c r="CP1457" s="20">
        <v>-55.44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17</v>
      </c>
      <c r="M1458" s="20">
        <v>4.3</v>
      </c>
      <c r="N1458" s="20">
        <v>55.26</v>
      </c>
      <c r="P1458" s="20">
        <v>-29.79</v>
      </c>
      <c r="Q1458" s="20">
        <v>-12.51</v>
      </c>
      <c r="AM1458" s="20">
        <v>745.0</v>
      </c>
      <c r="AN1458" s="20" t="s">
        <v>17</v>
      </c>
      <c r="AO1458" s="20">
        <v>-12.32</v>
      </c>
      <c r="AP1458" s="20">
        <v>-38.76</v>
      </c>
      <c r="AS1458" s="20">
        <v>732.0</v>
      </c>
      <c r="AT1458" s="20" t="s">
        <v>17</v>
      </c>
      <c r="AU1458" s="20">
        <v>-8.41</v>
      </c>
      <c r="AV1458" s="20">
        <v>26.62</v>
      </c>
      <c r="BM1458" s="20">
        <v>15.41</v>
      </c>
      <c r="BN1458" s="20">
        <v>113.3</v>
      </c>
      <c r="CO1458" s="20">
        <v>-15.22</v>
      </c>
      <c r="CP1458" s="20">
        <v>-64.14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P1459" s="20">
        <v>-8.66</v>
      </c>
      <c r="Q1459" s="20">
        <v>-3.09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  <c r="BM1459" s="20">
        <v>76.93</v>
      </c>
      <c r="BN1459" s="20">
        <v>79.02</v>
      </c>
      <c r="CO1459" s="20">
        <v>-10.55</v>
      </c>
      <c r="CP1459" s="20">
        <v>-64.19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17</v>
      </c>
      <c r="M1460" s="20">
        <v>-18.17</v>
      </c>
      <c r="N1460" s="20">
        <v>24.87</v>
      </c>
      <c r="P1460" s="20">
        <v>-40.86</v>
      </c>
      <c r="Q1460" s="20">
        <v>-20.01</v>
      </c>
      <c r="AM1460" s="20">
        <v>746.0</v>
      </c>
      <c r="AN1460" s="20" t="s">
        <v>17</v>
      </c>
      <c r="AO1460" s="20">
        <v>-16.05</v>
      </c>
      <c r="AP1460" s="20">
        <v>-18.84</v>
      </c>
      <c r="AS1460" s="20">
        <v>733.0</v>
      </c>
      <c r="AT1460" s="20" t="s">
        <v>17</v>
      </c>
      <c r="AU1460" s="20">
        <v>-31.08</v>
      </c>
      <c r="AV1460" s="20">
        <v>-5.81</v>
      </c>
      <c r="BM1460" s="20">
        <v>150.59</v>
      </c>
      <c r="BN1460" s="20">
        <v>164.97</v>
      </c>
      <c r="CO1460" s="20">
        <v>-18.72</v>
      </c>
      <c r="CP1460" s="20">
        <v>-53.59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P1461" s="20">
        <v>9.64</v>
      </c>
      <c r="Q1461" s="20">
        <v>-7.5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  <c r="BM1461" s="20">
        <v>47.1</v>
      </c>
      <c r="BN1461" s="20">
        <v>64.23</v>
      </c>
      <c r="CO1461" s="20">
        <v>-7.13</v>
      </c>
      <c r="CP1461" s="20">
        <v>-52.96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17</v>
      </c>
      <c r="M1462" s="20">
        <v>-21.85</v>
      </c>
      <c r="N1462" s="20">
        <v>-6.42</v>
      </c>
      <c r="P1462" s="20">
        <v>-32.23</v>
      </c>
      <c r="Q1462" s="20">
        <v>-25.06</v>
      </c>
      <c r="AM1462" s="20">
        <v>747.0</v>
      </c>
      <c r="AN1462" s="20" t="s">
        <v>17</v>
      </c>
      <c r="AO1462" s="20">
        <v>8.63</v>
      </c>
      <c r="AP1462" s="20">
        <v>24.68</v>
      </c>
      <c r="AS1462" s="20">
        <v>734.0</v>
      </c>
      <c r="AT1462" s="20" t="s">
        <v>17</v>
      </c>
      <c r="AU1462" s="20">
        <v>-45.97</v>
      </c>
      <c r="AV1462" s="20">
        <v>-74.22</v>
      </c>
      <c r="BM1462" s="20">
        <v>-16.81</v>
      </c>
      <c r="BN1462" s="20">
        <v>121.34</v>
      </c>
      <c r="CO1462" s="20">
        <v>19.16</v>
      </c>
      <c r="CP1462" s="20">
        <v>-50.4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P1463" s="20">
        <v>-23.19</v>
      </c>
      <c r="Q1463" s="20">
        <v>-1.91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  <c r="BM1463" s="20">
        <v>48.76</v>
      </c>
      <c r="BN1463" s="20">
        <v>60.2</v>
      </c>
      <c r="CO1463" s="20">
        <v>-28.86</v>
      </c>
      <c r="CP1463" s="20">
        <v>-72.49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17</v>
      </c>
      <c r="M1464" s="20">
        <v>-28.16</v>
      </c>
      <c r="N1464" s="20">
        <v>9.27</v>
      </c>
      <c r="P1464" s="20">
        <v>-0.76</v>
      </c>
      <c r="Q1464" s="20">
        <v>0.26</v>
      </c>
      <c r="AM1464" s="20">
        <v>748.0</v>
      </c>
      <c r="AN1464" s="20" t="s">
        <v>17</v>
      </c>
      <c r="AO1464" s="20">
        <v>-19.43</v>
      </c>
      <c r="AP1464" s="20">
        <v>78.59</v>
      </c>
      <c r="AS1464" s="20">
        <v>735.0</v>
      </c>
      <c r="AT1464" s="20" t="s">
        <v>17</v>
      </c>
      <c r="AU1464" s="20">
        <v>-6.27</v>
      </c>
      <c r="AV1464" s="20">
        <v>-36.75</v>
      </c>
      <c r="BM1464" s="20">
        <v>34.75</v>
      </c>
      <c r="BN1464" s="20">
        <v>133.05</v>
      </c>
      <c r="CO1464" s="20">
        <v>-19.37</v>
      </c>
      <c r="CP1464" s="20">
        <v>-42.49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P1465" s="20">
        <v>13.68</v>
      </c>
      <c r="Q1465" s="20">
        <v>18.82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  <c r="BM1465" s="20">
        <v>15.38</v>
      </c>
      <c r="BN1465" s="20">
        <v>98.63</v>
      </c>
      <c r="CO1465" s="20">
        <v>19.28</v>
      </c>
      <c r="CP1465" s="20">
        <v>-48.28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17</v>
      </c>
      <c r="M1466" s="20">
        <v>-28.11</v>
      </c>
      <c r="N1466" s="20">
        <v>44.49</v>
      </c>
      <c r="P1466" s="20">
        <v>-39.01</v>
      </c>
      <c r="Q1466" s="20">
        <v>-12.87</v>
      </c>
      <c r="AM1466" s="20">
        <v>749.0</v>
      </c>
      <c r="AN1466" s="20" t="s">
        <v>17</v>
      </c>
      <c r="AO1466" s="20">
        <v>-24.99</v>
      </c>
      <c r="AP1466" s="20">
        <v>-13.93</v>
      </c>
      <c r="AS1466" s="20">
        <v>736.0</v>
      </c>
      <c r="AT1466" s="20" t="s">
        <v>17</v>
      </c>
      <c r="AU1466" s="20">
        <v>-7.56</v>
      </c>
      <c r="AV1466" s="20">
        <v>14.47</v>
      </c>
      <c r="BM1466" s="20">
        <v>28.1</v>
      </c>
      <c r="BN1466" s="20">
        <v>70.96</v>
      </c>
      <c r="CO1466" s="20">
        <v>19.53</v>
      </c>
      <c r="CP1466" s="20">
        <v>-47.87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P1467" s="20">
        <v>-2.85</v>
      </c>
      <c r="Q1467" s="20">
        <v>46.8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  <c r="BM1467" s="20">
        <v>2.21</v>
      </c>
      <c r="BN1467" s="20">
        <v>102.79</v>
      </c>
      <c r="CO1467" s="20">
        <v>-47.19</v>
      </c>
      <c r="CP1467" s="20">
        <v>-54.17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17</v>
      </c>
      <c r="M1468" s="20">
        <v>-43.0</v>
      </c>
      <c r="N1468" s="20">
        <v>-35.44</v>
      </c>
      <c r="P1468" s="20">
        <v>-21.81</v>
      </c>
      <c r="Q1468" s="20">
        <v>-16.78</v>
      </c>
      <c r="AM1468" s="20">
        <v>750.0</v>
      </c>
      <c r="AN1468" s="20" t="s">
        <v>17</v>
      </c>
      <c r="AO1468" s="20">
        <v>-11.27</v>
      </c>
      <c r="AP1468" s="20">
        <v>-11.06</v>
      </c>
      <c r="AS1468" s="20">
        <v>737.0</v>
      </c>
      <c r="AT1468" s="20" t="s">
        <v>17</v>
      </c>
      <c r="AU1468" s="20">
        <v>-13.34</v>
      </c>
      <c r="AV1468" s="20">
        <v>-52.25</v>
      </c>
      <c r="BM1468" s="20">
        <v>-15.53</v>
      </c>
      <c r="BN1468" s="20">
        <v>91.95</v>
      </c>
      <c r="CO1468" s="20">
        <v>-19.81</v>
      </c>
      <c r="CP1468" s="20">
        <v>-46.79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P1469" s="20">
        <v>-37.69</v>
      </c>
      <c r="Q1469" s="20">
        <v>7.86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  <c r="BM1469" s="20">
        <v>5.95</v>
      </c>
      <c r="BN1469" s="20">
        <v>22.99</v>
      </c>
      <c r="CO1469" s="20">
        <v>-31.16</v>
      </c>
      <c r="CP1469" s="20">
        <v>-46.16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17</v>
      </c>
      <c r="M1470" s="20">
        <v>-29.43</v>
      </c>
      <c r="N1470" s="20">
        <v>-2.04</v>
      </c>
      <c r="P1470" s="20">
        <v>8.59</v>
      </c>
      <c r="Q1470" s="20">
        <v>32.14</v>
      </c>
      <c r="AM1470" s="20">
        <v>751.0</v>
      </c>
      <c r="AN1470" s="20" t="s">
        <v>17</v>
      </c>
      <c r="AO1470" s="20">
        <v>-47.9</v>
      </c>
      <c r="AP1470" s="20">
        <v>-46.46</v>
      </c>
      <c r="AS1470" s="20">
        <v>738.0</v>
      </c>
      <c r="AT1470" s="20" t="s">
        <v>17</v>
      </c>
      <c r="AU1470" s="20">
        <v>53.45</v>
      </c>
      <c r="AV1470" s="20">
        <v>-40.5</v>
      </c>
      <c r="BM1470" s="20">
        <v>-14.79</v>
      </c>
      <c r="BN1470" s="20">
        <v>49.44</v>
      </c>
      <c r="CO1470" s="20">
        <v>-9.49</v>
      </c>
      <c r="CP1470" s="20">
        <v>-52.01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P1471" s="20">
        <v>-36.33</v>
      </c>
      <c r="Q1471" s="20">
        <v>2.97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  <c r="BM1471" s="20">
        <v>26.24</v>
      </c>
      <c r="BN1471" s="20">
        <v>139.59</v>
      </c>
      <c r="CO1471" s="20">
        <v>-47.76</v>
      </c>
      <c r="CP1471" s="20">
        <v>-46.14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17</v>
      </c>
      <c r="M1472" s="20">
        <v>-49.52</v>
      </c>
      <c r="N1472" s="20">
        <v>-22.6</v>
      </c>
      <c r="P1472" s="20">
        <v>-37.24</v>
      </c>
      <c r="Q1472" s="20">
        <v>-10.9</v>
      </c>
      <c r="AM1472" s="20">
        <v>752.0</v>
      </c>
      <c r="AN1472" s="20" t="s">
        <v>17</v>
      </c>
      <c r="AO1472" s="20">
        <v>-2.43</v>
      </c>
      <c r="AP1472" s="20">
        <v>34.05</v>
      </c>
      <c r="AS1472" s="20">
        <v>739.0</v>
      </c>
      <c r="AT1472" s="20" t="s">
        <v>17</v>
      </c>
      <c r="AU1472" s="20">
        <v>-26.14</v>
      </c>
      <c r="AV1472" s="20">
        <v>-14.5</v>
      </c>
      <c r="BM1472" s="20">
        <v>33.66</v>
      </c>
      <c r="BN1472" s="20">
        <v>104.71</v>
      </c>
      <c r="CO1472" s="20">
        <v>-9.93</v>
      </c>
      <c r="CP1472" s="20">
        <v>-49.34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P1473" s="20">
        <v>-23.39</v>
      </c>
      <c r="Q1473" s="20">
        <v>-8.1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  <c r="BM1473" s="20">
        <v>43.94</v>
      </c>
      <c r="BN1473" s="20">
        <v>81.98</v>
      </c>
      <c r="CO1473" s="20">
        <v>-8.88</v>
      </c>
      <c r="CP1473" s="20">
        <v>-57.23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17</v>
      </c>
      <c r="M1474" s="20">
        <v>-27.24</v>
      </c>
      <c r="N1474" s="20">
        <v>15.3</v>
      </c>
      <c r="P1474" s="20">
        <v>-54.05</v>
      </c>
      <c r="Q1474" s="20">
        <v>-75.02</v>
      </c>
      <c r="AM1474" s="20">
        <v>753.0</v>
      </c>
      <c r="AN1474" s="20" t="s">
        <v>17</v>
      </c>
      <c r="AO1474" s="20">
        <v>-24.2</v>
      </c>
      <c r="AP1474" s="20">
        <v>16.24</v>
      </c>
      <c r="AS1474" s="20">
        <v>740.0</v>
      </c>
      <c r="AT1474" s="20" t="s">
        <v>17</v>
      </c>
      <c r="AU1474" s="20">
        <v>62.94</v>
      </c>
      <c r="AV1474" s="20">
        <v>-5.36</v>
      </c>
      <c r="BM1474" s="20">
        <v>-17.53</v>
      </c>
      <c r="BN1474" s="20">
        <v>2.93</v>
      </c>
      <c r="CO1474" s="20">
        <v>-33.22</v>
      </c>
      <c r="CP1474" s="20">
        <v>-48.89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P1475" s="20">
        <v>17.57</v>
      </c>
      <c r="Q1475" s="20">
        <v>18.89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  <c r="BM1475" s="20">
        <v>25.66</v>
      </c>
      <c r="BN1475" s="20">
        <v>109.92</v>
      </c>
      <c r="CO1475" s="20">
        <v>-39.71</v>
      </c>
      <c r="CP1475" s="20">
        <v>-61.88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17</v>
      </c>
      <c r="M1476" s="20">
        <v>-30.36</v>
      </c>
      <c r="N1476" s="20">
        <v>-10.21</v>
      </c>
      <c r="P1476" s="20">
        <v>-1.25</v>
      </c>
      <c r="Q1476" s="20">
        <v>27.8</v>
      </c>
      <c r="AM1476" s="20">
        <v>754.0</v>
      </c>
      <c r="AN1476" s="20" t="s">
        <v>17</v>
      </c>
      <c r="AO1476" s="20">
        <v>-33.37</v>
      </c>
      <c r="AP1476" s="20">
        <v>-9.66</v>
      </c>
      <c r="AS1476" s="20">
        <v>741.0</v>
      </c>
      <c r="AT1476" s="20" t="s">
        <v>17</v>
      </c>
      <c r="AU1476" s="20">
        <v>-15.78</v>
      </c>
      <c r="AV1476" s="20">
        <v>-45.05</v>
      </c>
      <c r="BM1476" s="20">
        <v>17.31</v>
      </c>
      <c r="BN1476" s="20">
        <v>97.37</v>
      </c>
      <c r="CO1476" s="20">
        <v>-27.77</v>
      </c>
      <c r="CP1476" s="20">
        <v>-60.44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P1477" s="20">
        <v>-15.4</v>
      </c>
      <c r="Q1477" s="20">
        <v>9.98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  <c r="BM1477" s="20">
        <v>86.94</v>
      </c>
      <c r="BN1477" s="20">
        <v>92.2</v>
      </c>
      <c r="CO1477" s="20">
        <v>-1.89</v>
      </c>
      <c r="CP1477" s="20">
        <v>-55.16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17</v>
      </c>
      <c r="M1478" s="20">
        <v>2.59</v>
      </c>
      <c r="N1478" s="20">
        <v>-13.98</v>
      </c>
      <c r="P1478" s="20">
        <v>-8.88</v>
      </c>
      <c r="Q1478" s="20">
        <v>29.81</v>
      </c>
      <c r="AM1478" s="20">
        <v>755.0</v>
      </c>
      <c r="AN1478" s="20" t="s">
        <v>17</v>
      </c>
      <c r="AO1478" s="20">
        <v>-8.18</v>
      </c>
      <c r="AP1478" s="20">
        <v>4.87</v>
      </c>
      <c r="AS1478" s="20">
        <v>742.0</v>
      </c>
      <c r="AT1478" s="20" t="s">
        <v>17</v>
      </c>
      <c r="AU1478" s="20">
        <v>-28.18</v>
      </c>
      <c r="AV1478" s="20">
        <v>-32.02</v>
      </c>
      <c r="BM1478" s="20">
        <v>3.84</v>
      </c>
      <c r="BN1478" s="20">
        <v>98.44</v>
      </c>
      <c r="CO1478" s="20">
        <v>-2.83</v>
      </c>
      <c r="CP1478" s="20">
        <v>-56.58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P1479" s="20">
        <v>-25.04</v>
      </c>
      <c r="Q1479" s="20">
        <v>25.65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  <c r="BM1479" s="20">
        <v>-9.18</v>
      </c>
      <c r="BN1479" s="20">
        <v>94.89</v>
      </c>
      <c r="CO1479" s="20">
        <v>-35.36</v>
      </c>
      <c r="CP1479" s="20">
        <v>-71.49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17</v>
      </c>
      <c r="M1480" s="20">
        <v>-43.13</v>
      </c>
      <c r="N1480" s="20">
        <v>3.91</v>
      </c>
      <c r="P1480" s="20">
        <v>-14.97</v>
      </c>
      <c r="Q1480" s="20">
        <v>1.86</v>
      </c>
      <c r="AM1480" s="20">
        <v>756.0</v>
      </c>
      <c r="AN1480" s="20" t="s">
        <v>17</v>
      </c>
      <c r="AO1480" s="20">
        <v>10.37</v>
      </c>
      <c r="AP1480" s="20">
        <v>52.84</v>
      </c>
      <c r="AS1480" s="20">
        <v>743.0</v>
      </c>
      <c r="AT1480" s="20" t="s">
        <v>17</v>
      </c>
      <c r="AU1480" s="20">
        <v>-14.57</v>
      </c>
      <c r="AV1480" s="20">
        <v>-10.15</v>
      </c>
      <c r="BM1480" s="20">
        <v>9.34</v>
      </c>
      <c r="BN1480" s="20">
        <v>52.74</v>
      </c>
      <c r="CO1480" s="20">
        <v>-18.45</v>
      </c>
      <c r="CP1480" s="20">
        <v>-61.15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P1481" s="20">
        <v>2.44</v>
      </c>
      <c r="Q1481" s="20">
        <v>34.79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  <c r="BM1481" s="20">
        <v>79.67</v>
      </c>
      <c r="BN1481" s="20">
        <v>83.47</v>
      </c>
      <c r="CO1481" s="20">
        <v>10.09</v>
      </c>
      <c r="CP1481" s="20">
        <v>-54.79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17</v>
      </c>
      <c r="M1482" s="20">
        <v>-14.12</v>
      </c>
      <c r="N1482" s="20">
        <v>13.36</v>
      </c>
      <c r="P1482" s="20">
        <v>-11.75</v>
      </c>
      <c r="Q1482" s="20">
        <v>32.14</v>
      </c>
      <c r="AM1482" s="20">
        <v>757.0</v>
      </c>
      <c r="AN1482" s="20" t="s">
        <v>17</v>
      </c>
      <c r="AO1482" s="20">
        <v>-33.76</v>
      </c>
      <c r="AP1482" s="20">
        <v>-54.45</v>
      </c>
      <c r="AS1482" s="20">
        <v>744.0</v>
      </c>
      <c r="AT1482" s="20" t="s">
        <v>17</v>
      </c>
      <c r="AU1482" s="20">
        <v>1.62</v>
      </c>
      <c r="AV1482" s="20">
        <v>21.87</v>
      </c>
      <c r="BM1482" s="20">
        <v>24.72</v>
      </c>
      <c r="BN1482" s="20">
        <v>60.6</v>
      </c>
      <c r="CO1482" s="20">
        <v>21.4</v>
      </c>
      <c r="CP1482" s="20">
        <v>-45.09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P1483" s="20">
        <v>10.59</v>
      </c>
      <c r="Q1483" s="20">
        <v>54.71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  <c r="BM1483" s="20">
        <v>72.33</v>
      </c>
      <c r="BN1483" s="20">
        <v>40.15</v>
      </c>
      <c r="CO1483" s="20">
        <v>-15.33</v>
      </c>
      <c r="CP1483" s="20">
        <v>-51.43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17</v>
      </c>
      <c r="M1484" s="20">
        <v>-28.95</v>
      </c>
      <c r="N1484" s="20">
        <v>-24.65</v>
      </c>
      <c r="P1484" s="20">
        <v>-5.02</v>
      </c>
      <c r="Q1484" s="20">
        <v>5.6</v>
      </c>
      <c r="AM1484" s="20">
        <v>758.0</v>
      </c>
      <c r="AN1484" s="20" t="s">
        <v>17</v>
      </c>
      <c r="AO1484" s="20">
        <v>-20.95</v>
      </c>
      <c r="AP1484" s="20">
        <v>-1.86</v>
      </c>
      <c r="AS1484" s="20">
        <v>745.0</v>
      </c>
      <c r="AT1484" s="20" t="s">
        <v>17</v>
      </c>
      <c r="AU1484" s="20">
        <v>-23.84</v>
      </c>
      <c r="AV1484" s="20">
        <v>-41.93</v>
      </c>
      <c r="BM1484" s="20">
        <v>120.13</v>
      </c>
      <c r="BN1484" s="20">
        <v>113.0</v>
      </c>
      <c r="CO1484" s="20">
        <v>-6.93</v>
      </c>
      <c r="CP1484" s="20">
        <v>-51.16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P1485" s="20">
        <v>-0.36</v>
      </c>
      <c r="Q1485" s="20">
        <v>12.27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  <c r="BM1485" s="20">
        <v>-18.05</v>
      </c>
      <c r="BN1485" s="20">
        <v>-52.2</v>
      </c>
      <c r="CO1485" s="20">
        <v>-2.25</v>
      </c>
      <c r="CP1485" s="20">
        <v>-44.28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17</v>
      </c>
      <c r="M1486" s="20">
        <v>-33.74</v>
      </c>
      <c r="N1486" s="20">
        <v>-29.07</v>
      </c>
      <c r="P1486" s="20">
        <v>-32.56</v>
      </c>
      <c r="Q1486" s="20">
        <v>-58.86</v>
      </c>
      <c r="AM1486" s="20">
        <v>759.0</v>
      </c>
      <c r="AN1486" s="20" t="s">
        <v>17</v>
      </c>
      <c r="AO1486" s="20">
        <v>-44.15</v>
      </c>
      <c r="AP1486" s="20">
        <v>-34.38</v>
      </c>
      <c r="AS1486" s="20">
        <v>746.0</v>
      </c>
      <c r="AT1486" s="20" t="s">
        <v>17</v>
      </c>
      <c r="AU1486" s="20">
        <v>11.3</v>
      </c>
      <c r="AV1486" s="20">
        <v>-19.71</v>
      </c>
      <c r="BM1486" s="20">
        <v>94.33</v>
      </c>
      <c r="BN1486" s="20">
        <v>26.99</v>
      </c>
      <c r="CO1486" s="20">
        <v>59.57</v>
      </c>
      <c r="CP1486" s="20">
        <v>-67.0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P1487" s="20">
        <v>-22.57</v>
      </c>
      <c r="Q1487" s="20">
        <v>0.73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  <c r="BM1487" s="20">
        <v>69.93</v>
      </c>
      <c r="BN1487" s="20">
        <v>28.22</v>
      </c>
      <c r="CO1487" s="20">
        <v>-39.76</v>
      </c>
      <c r="CP1487" s="20">
        <v>-41.99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17</v>
      </c>
      <c r="M1488" s="20">
        <v>-24.31</v>
      </c>
      <c r="N1488" s="20">
        <v>-6.61</v>
      </c>
      <c r="P1488" s="20">
        <v>29.89</v>
      </c>
      <c r="Q1488" s="20">
        <v>-42.64</v>
      </c>
      <c r="AM1488" s="20">
        <v>760.0</v>
      </c>
      <c r="AN1488" s="20" t="s">
        <v>17</v>
      </c>
      <c r="AO1488" s="20">
        <v>-25.62</v>
      </c>
      <c r="AP1488" s="20">
        <v>-20.53</v>
      </c>
      <c r="AS1488" s="20">
        <v>747.0</v>
      </c>
      <c r="AT1488" s="20" t="s">
        <v>17</v>
      </c>
      <c r="AU1488" s="20">
        <v>-48.28</v>
      </c>
      <c r="AV1488" s="20">
        <v>-56.69</v>
      </c>
      <c r="BM1488" s="20">
        <v>-23.9</v>
      </c>
      <c r="BN1488" s="20">
        <v>47.75</v>
      </c>
      <c r="CO1488" s="20">
        <v>20.57</v>
      </c>
      <c r="CP1488" s="20">
        <v>-51.67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P1489" s="20">
        <v>-29.73</v>
      </c>
      <c r="Q1489" s="20">
        <v>11.02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  <c r="BM1489" s="20">
        <v>125.06</v>
      </c>
      <c r="BN1489" s="20">
        <v>88.53</v>
      </c>
      <c r="CO1489" s="20">
        <v>-9.11</v>
      </c>
      <c r="CP1489" s="20">
        <v>-50.66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17</v>
      </c>
      <c r="M1490" s="20">
        <v>-25.74</v>
      </c>
      <c r="N1490" s="20">
        <v>-1.52</v>
      </c>
      <c r="P1490" s="20">
        <v>-44.63</v>
      </c>
      <c r="Q1490" s="20">
        <v>-38.73</v>
      </c>
      <c r="AM1490" s="20">
        <v>761.0</v>
      </c>
      <c r="AN1490" s="20" t="s">
        <v>17</v>
      </c>
      <c r="AO1490" s="20">
        <v>-53.62</v>
      </c>
      <c r="AP1490" s="20">
        <v>5.98</v>
      </c>
      <c r="AS1490" s="20">
        <v>748.0</v>
      </c>
      <c r="AT1490" s="20" t="s">
        <v>17</v>
      </c>
      <c r="AU1490" s="20">
        <v>-20.46</v>
      </c>
      <c r="AV1490" s="20">
        <v>-26.49</v>
      </c>
      <c r="BM1490" s="20">
        <v>105.09</v>
      </c>
      <c r="BN1490" s="20">
        <v>76.14</v>
      </c>
      <c r="CO1490" s="20">
        <v>-33.21</v>
      </c>
      <c r="CP1490" s="20">
        <v>-62.2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P1491" s="20">
        <v>-6.1</v>
      </c>
      <c r="Q1491" s="20">
        <v>-3.54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  <c r="BM1491" s="20">
        <v>51.17</v>
      </c>
      <c r="BN1491" s="20">
        <v>83.46</v>
      </c>
      <c r="CO1491" s="20">
        <v>-24.2</v>
      </c>
      <c r="CP1491" s="20">
        <v>-58.03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17</v>
      </c>
      <c r="M1492" s="20">
        <v>-12.41</v>
      </c>
      <c r="N1492" s="20">
        <v>0.4</v>
      </c>
      <c r="P1492" s="20">
        <v>-33.02</v>
      </c>
      <c r="Q1492" s="20">
        <v>1.29</v>
      </c>
      <c r="AM1492" s="20">
        <v>762.0</v>
      </c>
      <c r="AN1492" s="20" t="s">
        <v>17</v>
      </c>
      <c r="AO1492" s="20">
        <v>12.97</v>
      </c>
      <c r="AP1492" s="20">
        <v>-7.62</v>
      </c>
      <c r="AS1492" s="20">
        <v>749.0</v>
      </c>
      <c r="AT1492" s="20" t="s">
        <v>17</v>
      </c>
      <c r="AU1492" s="20">
        <v>-14.4</v>
      </c>
      <c r="AV1492" s="20">
        <v>-50.04</v>
      </c>
      <c r="BM1492" s="20">
        <v>41.28</v>
      </c>
      <c r="BN1492" s="20">
        <v>65.52</v>
      </c>
      <c r="CO1492" s="20">
        <v>-31.3</v>
      </c>
      <c r="CP1492" s="20">
        <v>-67.79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P1493" s="20">
        <v>-11.8</v>
      </c>
      <c r="Q1493" s="20">
        <v>29.61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  <c r="BM1493" s="20">
        <v>-1.2</v>
      </c>
      <c r="BN1493" s="20">
        <v>46.83</v>
      </c>
      <c r="CO1493" s="20">
        <v>-46.18</v>
      </c>
      <c r="CP1493" s="20">
        <v>-52.68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17</v>
      </c>
      <c r="M1494" s="20">
        <v>-9.81</v>
      </c>
      <c r="N1494" s="20">
        <v>-35.61</v>
      </c>
      <c r="P1494" s="20">
        <v>-20.33</v>
      </c>
      <c r="Q1494" s="20">
        <v>-7.26</v>
      </c>
      <c r="AM1494" s="20">
        <v>763.0</v>
      </c>
      <c r="AN1494" s="20" t="s">
        <v>17</v>
      </c>
      <c r="AO1494" s="20">
        <v>-19.02</v>
      </c>
      <c r="AP1494" s="20">
        <v>-26.1</v>
      </c>
      <c r="AS1494" s="20">
        <v>750.0</v>
      </c>
      <c r="AT1494" s="20" t="s">
        <v>17</v>
      </c>
      <c r="AU1494" s="20">
        <v>32.9</v>
      </c>
      <c r="AV1494" s="20">
        <v>-49.17</v>
      </c>
      <c r="BM1494" s="20">
        <v>64.36</v>
      </c>
      <c r="BN1494" s="20">
        <v>27.32</v>
      </c>
      <c r="CO1494" s="20">
        <v>17.88</v>
      </c>
      <c r="CP1494" s="20">
        <v>-55.86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P1495" s="20">
        <v>-7.69</v>
      </c>
      <c r="Q1495" s="20">
        <v>23.13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  <c r="BM1495" s="20">
        <v>90.79</v>
      </c>
      <c r="BN1495" s="20">
        <v>208.7</v>
      </c>
      <c r="CO1495" s="20">
        <v>-33.92</v>
      </c>
      <c r="CP1495" s="20">
        <v>-55.95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17</v>
      </c>
      <c r="M1496" s="20">
        <v>14.43</v>
      </c>
      <c r="N1496" s="20">
        <v>0.88</v>
      </c>
      <c r="P1496" s="20">
        <v>-43.44</v>
      </c>
      <c r="Q1496" s="20">
        <v>-12.15</v>
      </c>
      <c r="AM1496" s="20">
        <v>764.0</v>
      </c>
      <c r="AN1496" s="20" t="s">
        <v>17</v>
      </c>
      <c r="AO1496" s="20">
        <v>-7.02</v>
      </c>
      <c r="AP1496" s="20">
        <v>14.48</v>
      </c>
      <c r="AS1496" s="20">
        <v>751.0</v>
      </c>
      <c r="AT1496" s="20" t="s">
        <v>17</v>
      </c>
      <c r="AU1496" s="20">
        <v>-38.32</v>
      </c>
      <c r="AV1496" s="20">
        <v>14.66</v>
      </c>
      <c r="BM1496" s="20">
        <v>78.9</v>
      </c>
      <c r="BN1496" s="20">
        <v>101.46</v>
      </c>
      <c r="CO1496" s="20">
        <v>-35.5</v>
      </c>
      <c r="CP1496" s="20">
        <v>-67.28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P1497" s="20">
        <v>-7.01</v>
      </c>
      <c r="Q1497" s="20">
        <v>15.56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  <c r="BM1497" s="20">
        <v>88.3</v>
      </c>
      <c r="BN1497" s="20">
        <v>150.07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17</v>
      </c>
      <c r="M1498" s="20">
        <v>-3.29</v>
      </c>
      <c r="N1498" s="20">
        <v>55.34</v>
      </c>
      <c r="P1498" s="20">
        <v>-47.76</v>
      </c>
      <c r="Q1498" s="20">
        <v>0.07</v>
      </c>
      <c r="AM1498" s="20">
        <v>765.0</v>
      </c>
      <c r="AN1498" s="20" t="s">
        <v>17</v>
      </c>
      <c r="AO1498" s="20">
        <v>-31.38</v>
      </c>
      <c r="AP1498" s="20">
        <v>-18.09</v>
      </c>
      <c r="AS1498" s="20">
        <v>752.0</v>
      </c>
      <c r="AT1498" s="20" t="s">
        <v>17</v>
      </c>
      <c r="AU1498" s="20">
        <v>-0.49</v>
      </c>
      <c r="AV1498" s="20">
        <v>-36.76</v>
      </c>
      <c r="BM1498" s="20">
        <v>63.69</v>
      </c>
      <c r="BN1498" s="20">
        <v>135.46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P1499" s="20">
        <v>-35.07</v>
      </c>
      <c r="Q1499" s="20">
        <v>-12.77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  <c r="BM1499" s="20">
        <v>-4.97</v>
      </c>
      <c r="BN1499" s="20">
        <v>87.39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17</v>
      </c>
      <c r="M1500" s="20">
        <v>13.27</v>
      </c>
      <c r="N1500" s="20">
        <v>-27.34</v>
      </c>
      <c r="P1500" s="20">
        <v>6.14</v>
      </c>
      <c r="Q1500" s="20">
        <v>11.25</v>
      </c>
      <c r="AM1500" s="20">
        <v>766.0</v>
      </c>
      <c r="AN1500" s="20" t="s">
        <v>17</v>
      </c>
      <c r="AO1500" s="20">
        <v>-4.92</v>
      </c>
      <c r="AP1500" s="20">
        <v>-9.29</v>
      </c>
      <c r="AS1500" s="20">
        <v>753.0</v>
      </c>
      <c r="AT1500" s="20" t="s">
        <v>17</v>
      </c>
      <c r="AU1500" s="20">
        <v>34.25</v>
      </c>
      <c r="AV1500" s="20">
        <v>-42.13</v>
      </c>
      <c r="BM1500" s="20">
        <v>74.25</v>
      </c>
      <c r="BN1500" s="20">
        <v>167.9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P1501" s="20">
        <v>-19.29</v>
      </c>
      <c r="Q1501" s="20">
        <v>-13.59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  <c r="BM1501" s="20">
        <v>12.92</v>
      </c>
      <c r="BN1501" s="20">
        <v>54.36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17</v>
      </c>
      <c r="M1502" s="20">
        <v>-12.99</v>
      </c>
      <c r="N1502" s="20">
        <v>4.47</v>
      </c>
      <c r="P1502" s="20">
        <v>-36.13</v>
      </c>
      <c r="Q1502" s="20">
        <v>-5.01</v>
      </c>
      <c r="AM1502" s="20">
        <v>767.0</v>
      </c>
      <c r="AN1502" s="20" t="s">
        <v>17</v>
      </c>
      <c r="AO1502" s="20">
        <v>-26.99</v>
      </c>
      <c r="AP1502" s="20">
        <v>25.43</v>
      </c>
      <c r="AS1502" s="20">
        <v>754.0</v>
      </c>
      <c r="AT1502" s="20" t="s">
        <v>17</v>
      </c>
      <c r="AU1502" s="20">
        <v>9.38</v>
      </c>
      <c r="AV1502" s="20">
        <v>-0.46</v>
      </c>
      <c r="BM1502" s="20">
        <v>91.22</v>
      </c>
      <c r="BN1502" s="20">
        <v>234.57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P1503" s="20">
        <v>-9.94</v>
      </c>
      <c r="Q1503" s="20">
        <v>-25.74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  <c r="BM1503" s="20">
        <v>91.9</v>
      </c>
      <c r="BN1503" s="20">
        <v>127.7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17</v>
      </c>
      <c r="M1504" s="20">
        <v>-9.69</v>
      </c>
      <c r="N1504" s="20">
        <v>2.14</v>
      </c>
      <c r="P1504" s="20">
        <v>7.8</v>
      </c>
      <c r="Q1504" s="20">
        <v>-36.87</v>
      </c>
      <c r="AM1504" s="20">
        <v>768.0</v>
      </c>
      <c r="AN1504" s="20" t="s">
        <v>17</v>
      </c>
      <c r="AO1504" s="20">
        <v>-26.56</v>
      </c>
      <c r="AP1504" s="20">
        <v>-10.87</v>
      </c>
      <c r="AS1504" s="20">
        <v>755.0</v>
      </c>
      <c r="AT1504" s="20" t="s">
        <v>17</v>
      </c>
      <c r="AU1504" s="20">
        <v>0.63</v>
      </c>
      <c r="AV1504" s="20">
        <v>13.48</v>
      </c>
      <c r="BM1504" s="20">
        <v>88.45</v>
      </c>
      <c r="BN1504" s="20">
        <v>109.9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P1505" s="20">
        <v>6.96</v>
      </c>
      <c r="Q1505" s="20">
        <v>5.49</v>
      </c>
      <c r="AS1505" s="20">
        <v>756.0</v>
      </c>
      <c r="AT1505" s="20" t="s">
        <v>14</v>
      </c>
      <c r="AU1505" s="20">
        <v>-10.65</v>
      </c>
      <c r="AV1505" s="20">
        <v>-14.93</v>
      </c>
      <c r="BM1505" s="20">
        <v>60.07</v>
      </c>
      <c r="BN1505" s="20">
        <v>100.37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17</v>
      </c>
      <c r="M1506" s="20">
        <v>-16.96</v>
      </c>
      <c r="N1506" s="20">
        <v>26.32</v>
      </c>
      <c r="P1506" s="20">
        <v>-0.27</v>
      </c>
      <c r="Q1506" s="20">
        <v>-42.61</v>
      </c>
      <c r="AS1506" s="20">
        <v>756.0</v>
      </c>
      <c r="AT1506" s="20" t="s">
        <v>17</v>
      </c>
      <c r="AU1506" s="20">
        <v>2.8</v>
      </c>
      <c r="AV1506" s="20">
        <v>-18.75</v>
      </c>
      <c r="BM1506" s="20">
        <v>46.48</v>
      </c>
      <c r="BN1506" s="20">
        <v>84.99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P1507" s="20">
        <v>5.0</v>
      </c>
      <c r="Q1507" s="20">
        <v>-6.36</v>
      </c>
      <c r="AS1507" s="20">
        <v>757.0</v>
      </c>
      <c r="AT1507" s="20" t="s">
        <v>14</v>
      </c>
      <c r="AU1507" s="20">
        <v>-6.15</v>
      </c>
      <c r="AV1507" s="20">
        <v>-40.07</v>
      </c>
      <c r="BM1507" s="20">
        <v>76.33</v>
      </c>
      <c r="BN1507" s="20">
        <v>96.54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17</v>
      </c>
      <c r="M1508" s="20">
        <v>-14.36</v>
      </c>
      <c r="N1508" s="20">
        <v>-5.32</v>
      </c>
      <c r="P1508" s="20">
        <v>-44.86</v>
      </c>
      <c r="Q1508" s="20">
        <v>-8.21</v>
      </c>
      <c r="AS1508" s="20">
        <v>757.0</v>
      </c>
      <c r="AT1508" s="20" t="s">
        <v>17</v>
      </c>
      <c r="AU1508" s="20">
        <v>-26.17</v>
      </c>
      <c r="AV1508" s="20">
        <v>-50.44</v>
      </c>
      <c r="BM1508" s="20">
        <v>102.98</v>
      </c>
      <c r="BN1508" s="20">
        <v>148.94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P1509" s="20">
        <v>-6.59</v>
      </c>
      <c r="Q1509" s="20">
        <v>-7.16</v>
      </c>
      <c r="AS1509" s="20">
        <v>758.0</v>
      </c>
      <c r="AT1509" s="20" t="s">
        <v>14</v>
      </c>
      <c r="AU1509" s="20">
        <v>-3.47</v>
      </c>
      <c r="AV1509" s="20">
        <v>-8.56</v>
      </c>
      <c r="BM1509" s="20">
        <v>86.85</v>
      </c>
      <c r="BN1509" s="20">
        <v>121.65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17</v>
      </c>
      <c r="M1510" s="20">
        <v>21.97</v>
      </c>
      <c r="N1510" s="20">
        <v>-3.7</v>
      </c>
      <c r="P1510" s="20">
        <v>-35.23</v>
      </c>
      <c r="Q1510" s="20">
        <v>-23.86</v>
      </c>
      <c r="AS1510" s="20">
        <v>758.0</v>
      </c>
      <c r="AT1510" s="20" t="s">
        <v>17</v>
      </c>
      <c r="AU1510" s="20">
        <v>-18.97</v>
      </c>
      <c r="AV1510" s="20">
        <v>-55.04</v>
      </c>
      <c r="BM1510" s="20">
        <v>42.02</v>
      </c>
      <c r="BN1510" s="20">
        <v>136.54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P1511" s="20">
        <v>-31.55</v>
      </c>
      <c r="Q1511" s="20">
        <v>3.99</v>
      </c>
      <c r="AS1511" s="20">
        <v>759.0</v>
      </c>
      <c r="AT1511" s="20" t="s">
        <v>14</v>
      </c>
      <c r="AU1511" s="20">
        <v>-25.11</v>
      </c>
      <c r="AV1511" s="20">
        <v>-13.44</v>
      </c>
      <c r="BM1511" s="20">
        <v>40.61</v>
      </c>
      <c r="BN1511" s="20">
        <v>87.01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17</v>
      </c>
      <c r="M1512" s="20">
        <v>-27.05</v>
      </c>
      <c r="N1512" s="20">
        <v>-7.36</v>
      </c>
      <c r="P1512" s="20">
        <v>-48.92</v>
      </c>
      <c r="Q1512" s="20">
        <v>-28.4</v>
      </c>
      <c r="AS1512" s="20">
        <v>759.0</v>
      </c>
      <c r="AT1512" s="20" t="s">
        <v>17</v>
      </c>
      <c r="AU1512" s="20">
        <v>-14.61</v>
      </c>
      <c r="AV1512" s="20">
        <v>27.27</v>
      </c>
      <c r="BM1512" s="20">
        <v>67.31</v>
      </c>
      <c r="BN1512" s="20">
        <v>107.75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P1513" s="20">
        <v>-23.21</v>
      </c>
      <c r="Q1513" s="20">
        <v>-3.24</v>
      </c>
      <c r="AS1513" s="20">
        <v>760.0</v>
      </c>
      <c r="AT1513" s="20" t="s">
        <v>14</v>
      </c>
      <c r="AU1513" s="20">
        <v>-5.02</v>
      </c>
      <c r="AV1513" s="20">
        <v>-18.01</v>
      </c>
      <c r="BM1513" s="20">
        <v>46.95</v>
      </c>
      <c r="BN1513" s="20">
        <v>53.66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17</v>
      </c>
      <c r="M1514" s="20">
        <v>-40.61</v>
      </c>
      <c r="N1514" s="20">
        <v>-9.43</v>
      </c>
      <c r="P1514" s="20">
        <v>-42.84</v>
      </c>
      <c r="Q1514" s="20">
        <v>-9.36</v>
      </c>
      <c r="AS1514" s="20">
        <v>760.0</v>
      </c>
      <c r="AT1514" s="20" t="s">
        <v>17</v>
      </c>
      <c r="AU1514" s="20">
        <v>-7.06</v>
      </c>
      <c r="AV1514" s="20">
        <v>14.15</v>
      </c>
      <c r="BM1514" s="20">
        <v>29.73</v>
      </c>
      <c r="BN1514" s="20">
        <v>204.02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  <c r="BM1515" s="20">
        <v>91.36</v>
      </c>
      <c r="BN1515" s="20">
        <v>133.17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17</v>
      </c>
      <c r="M1516" s="20">
        <v>-44.99</v>
      </c>
      <c r="N1516" s="20">
        <v>-24.35</v>
      </c>
      <c r="AS1516" s="20">
        <v>761.0</v>
      </c>
      <c r="AT1516" s="20" t="s">
        <v>17</v>
      </c>
      <c r="AU1516" s="20">
        <v>11.73</v>
      </c>
      <c r="AV1516" s="20">
        <v>-32.11</v>
      </c>
      <c r="BM1516" s="20">
        <v>30.13</v>
      </c>
      <c r="BN1516" s="20">
        <v>146.01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  <c r="BM1517" s="20">
        <v>74.41</v>
      </c>
      <c r="BN1517" s="20">
        <v>85.41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17</v>
      </c>
      <c r="M1518" s="20">
        <v>-14.85</v>
      </c>
      <c r="N1518" s="20">
        <v>9.2</v>
      </c>
      <c r="AS1518" s="20">
        <v>762.0</v>
      </c>
      <c r="AT1518" s="20" t="s">
        <v>17</v>
      </c>
      <c r="AU1518" s="20">
        <v>26.2</v>
      </c>
      <c r="AV1518" s="20">
        <v>55.22</v>
      </c>
      <c r="BM1518" s="20">
        <v>-8.0</v>
      </c>
      <c r="BN1518" s="20">
        <v>78.57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  <c r="BM1519" s="20">
        <v>9.58</v>
      </c>
      <c r="BN1519" s="20">
        <v>188.41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17</v>
      </c>
      <c r="M1520" s="20">
        <v>-44.19</v>
      </c>
      <c r="N1520" s="20">
        <v>-19.26</v>
      </c>
      <c r="AS1520" s="20">
        <v>763.0</v>
      </c>
      <c r="AT1520" s="20" t="s">
        <v>17</v>
      </c>
      <c r="AU1520" s="20">
        <v>-36.15</v>
      </c>
      <c r="AV1520" s="20">
        <v>-19.91</v>
      </c>
      <c r="BM1520" s="20">
        <v>31.02</v>
      </c>
      <c r="BN1520" s="20">
        <v>142.24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  <c r="BM1521" s="20">
        <v>30.05</v>
      </c>
      <c r="BN1521" s="20">
        <v>124.04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17</v>
      </c>
      <c r="M1522" s="20">
        <v>-37.21</v>
      </c>
      <c r="N1522" s="20">
        <v>0.34</v>
      </c>
      <c r="AS1522" s="20">
        <v>764.0</v>
      </c>
      <c r="AT1522" s="20" t="s">
        <v>17</v>
      </c>
      <c r="AU1522" s="20">
        <v>22.68</v>
      </c>
      <c r="AV1522" s="20">
        <v>-39.49</v>
      </c>
      <c r="BM1522" s="20">
        <v>55.88</v>
      </c>
      <c r="BN1522" s="20">
        <v>102.54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  <c r="BM1523" s="20">
        <v>63.32</v>
      </c>
      <c r="BN1523" s="20">
        <v>92.25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17</v>
      </c>
      <c r="M1524" s="20">
        <v>-22.71</v>
      </c>
      <c r="N1524" s="20">
        <v>1.7</v>
      </c>
      <c r="AS1524" s="20">
        <v>765.0</v>
      </c>
      <c r="AT1524" s="20" t="s">
        <v>17</v>
      </c>
      <c r="AU1524" s="20">
        <v>-34.43</v>
      </c>
      <c r="AV1524" s="20">
        <v>-57.65</v>
      </c>
      <c r="BM1524" s="20">
        <v>85.03</v>
      </c>
      <c r="BN1524" s="20">
        <v>149.32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  <c r="BM1525" s="20">
        <v>78.82</v>
      </c>
      <c r="BN1525" s="20">
        <v>127.11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17</v>
      </c>
      <c r="M1526" s="20">
        <v>-5.86</v>
      </c>
      <c r="N1526" s="20">
        <v>16.39</v>
      </c>
      <c r="AS1526" s="20">
        <v>766.0</v>
      </c>
      <c r="AT1526" s="20" t="s">
        <v>17</v>
      </c>
      <c r="AU1526" s="20">
        <v>-38.42</v>
      </c>
      <c r="AV1526" s="20">
        <v>-68.17</v>
      </c>
      <c r="BM1526" s="20">
        <v>24.12</v>
      </c>
      <c r="BN1526" s="20">
        <v>139.9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  <c r="BM1527" s="20">
        <v>29.79</v>
      </c>
      <c r="BN1527" s="20">
        <v>45.02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17</v>
      </c>
      <c r="M1528" s="20">
        <v>-31.13</v>
      </c>
      <c r="N1528" s="20">
        <v>29.06</v>
      </c>
      <c r="AS1528" s="20">
        <v>767.0</v>
      </c>
      <c r="AT1528" s="20" t="s">
        <v>17</v>
      </c>
      <c r="AU1528" s="20">
        <v>-6.45</v>
      </c>
      <c r="AV1528" s="20">
        <v>-23.76</v>
      </c>
      <c r="BM1528" s="20">
        <v>56.53</v>
      </c>
      <c r="BN1528" s="20">
        <v>145.3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  <c r="BM1529" s="20">
        <v>5.04</v>
      </c>
      <c r="BN1529" s="20">
        <v>149.13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17</v>
      </c>
      <c r="M1530" s="20">
        <v>-42.61</v>
      </c>
      <c r="N1530" s="20">
        <v>11.76</v>
      </c>
      <c r="AS1530" s="20">
        <v>768.0</v>
      </c>
      <c r="AT1530" s="20" t="s">
        <v>17</v>
      </c>
      <c r="AU1530" s="20">
        <v>-2.78</v>
      </c>
      <c r="AV1530" s="20">
        <v>-27.35</v>
      </c>
      <c r="BM1530" s="20">
        <v>55.78</v>
      </c>
      <c r="BN1530" s="20">
        <v>178.71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17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17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17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17</v>
      </c>
      <c r="M1538" s="20">
        <v>-42.15</v>
      </c>
      <c r="N1538" s="20">
        <v>-9.11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1"/>
      <c r="B1" s="142" t="s">
        <v>204</v>
      </c>
      <c r="C1" s="143"/>
      <c r="D1" s="143"/>
      <c r="E1" s="143"/>
      <c r="F1" s="143"/>
      <c r="G1" s="144" t="s">
        <v>205</v>
      </c>
      <c r="H1" s="143"/>
      <c r="I1" s="143"/>
      <c r="J1" s="143"/>
      <c r="K1" s="143"/>
      <c r="L1" s="143"/>
      <c r="M1" s="145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>
      <c r="A2" s="121" t="s">
        <v>3</v>
      </c>
      <c r="B2" s="147" t="s">
        <v>206</v>
      </c>
      <c r="C2" s="148" t="s">
        <v>207</v>
      </c>
      <c r="D2" s="148" t="s">
        <v>179</v>
      </c>
      <c r="E2" s="148" t="s">
        <v>208</v>
      </c>
      <c r="F2" s="149" t="s">
        <v>209</v>
      </c>
      <c r="G2" s="147">
        <v>1.0</v>
      </c>
      <c r="H2" s="148" t="s">
        <v>131</v>
      </c>
      <c r="I2" s="148">
        <v>2.0</v>
      </c>
      <c r="J2" s="148" t="s">
        <v>210</v>
      </c>
      <c r="K2" s="150" t="s">
        <v>211</v>
      </c>
      <c r="L2" s="148" t="s">
        <v>212</v>
      </c>
      <c r="M2" s="151" t="s">
        <v>213</v>
      </c>
      <c r="N2" s="122" t="s">
        <v>214</v>
      </c>
      <c r="O2" s="122" t="s">
        <v>215</v>
      </c>
      <c r="P2" s="122" t="s">
        <v>216</v>
      </c>
      <c r="Q2" s="146"/>
      <c r="R2" s="146"/>
      <c r="S2" s="102" t="s">
        <v>217</v>
      </c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>
      <c r="A3" s="122"/>
      <c r="B3" s="152"/>
      <c r="C3" s="153"/>
      <c r="D3" s="153"/>
      <c r="E3" s="153"/>
      <c r="F3" s="154" t="str">
        <f t="shared" ref="F3:F22" si="1">IFERROR((E3-C3)/abs(C3),"")</f>
        <v/>
      </c>
      <c r="G3" s="146"/>
      <c r="H3" s="146"/>
      <c r="I3" s="146"/>
      <c r="J3" s="122"/>
      <c r="K3" s="155" t="str">
        <f t="shared" ref="K3:K22" si="2">IF(ISNUMBER(J3),J3/$E$29,"")</f>
        <v/>
      </c>
      <c r="L3" s="122"/>
      <c r="M3" s="155" t="str">
        <f t="shared" ref="M3:M22" si="3">IF(ISNUMBER(L3),L3/H3,"")</f>
        <v/>
      </c>
      <c r="N3" s="141"/>
      <c r="O3" s="122"/>
      <c r="P3" s="15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  <c r="AG3" s="146"/>
    </row>
    <row r="4">
      <c r="A4" s="122"/>
      <c r="B4" s="152"/>
      <c r="C4" s="153"/>
      <c r="D4" s="153"/>
      <c r="E4" s="153"/>
      <c r="F4" s="154" t="str">
        <f t="shared" si="1"/>
        <v/>
      </c>
      <c r="G4" s="146"/>
      <c r="H4" s="146"/>
      <c r="I4" s="146"/>
      <c r="J4" s="122"/>
      <c r="K4" s="155" t="str">
        <f t="shared" si="2"/>
        <v/>
      </c>
      <c r="L4" s="122"/>
      <c r="M4" s="155" t="str">
        <f t="shared" si="3"/>
        <v/>
      </c>
      <c r="N4" s="141"/>
      <c r="O4" s="122"/>
      <c r="P4" s="156"/>
      <c r="Q4" s="146"/>
      <c r="R4" s="146"/>
      <c r="S4" s="157" t="s">
        <v>218</v>
      </c>
      <c r="T4" s="158"/>
      <c r="Z4" s="30"/>
      <c r="AA4" s="30"/>
      <c r="AB4" s="30"/>
      <c r="AC4" s="30"/>
    </row>
    <row r="5">
      <c r="A5" s="16"/>
      <c r="B5" s="159"/>
      <c r="C5" s="82"/>
      <c r="D5" s="82"/>
      <c r="E5" s="82"/>
      <c r="F5" s="154" t="str">
        <f t="shared" si="1"/>
        <v/>
      </c>
      <c r="G5" s="146"/>
      <c r="H5" s="146"/>
      <c r="I5" s="146"/>
      <c r="J5" s="16"/>
      <c r="K5" s="155" t="str">
        <f t="shared" si="2"/>
        <v/>
      </c>
      <c r="L5" s="16"/>
      <c r="M5" s="155" t="str">
        <f t="shared" si="3"/>
        <v/>
      </c>
      <c r="N5" s="122"/>
      <c r="O5" s="75"/>
      <c r="P5" s="160"/>
      <c r="S5" s="158"/>
      <c r="T5" s="161" t="s">
        <v>219</v>
      </c>
    </row>
    <row r="6">
      <c r="A6" s="122"/>
      <c r="B6" s="152"/>
      <c r="C6" s="153"/>
      <c r="D6" s="153"/>
      <c r="E6" s="153"/>
      <c r="F6" s="154" t="str">
        <f t="shared" si="1"/>
        <v/>
      </c>
      <c r="G6" s="146"/>
      <c r="H6" s="146"/>
      <c r="I6" s="146"/>
      <c r="J6" s="122"/>
      <c r="K6" s="155" t="str">
        <f t="shared" si="2"/>
        <v/>
      </c>
      <c r="L6" s="122"/>
      <c r="M6" s="155" t="str">
        <f t="shared" si="3"/>
        <v/>
      </c>
      <c r="N6" s="141"/>
      <c r="O6" s="122"/>
      <c r="P6" s="156"/>
      <c r="Q6" s="146"/>
      <c r="R6" s="146"/>
      <c r="S6" s="158"/>
      <c r="T6" s="161" t="s">
        <v>220</v>
      </c>
      <c r="Z6" s="85"/>
      <c r="AD6" s="20" t="s">
        <v>221</v>
      </c>
    </row>
    <row r="7">
      <c r="A7" s="16"/>
      <c r="B7" s="159"/>
      <c r="C7" s="82"/>
      <c r="D7" s="82"/>
      <c r="E7" s="82"/>
      <c r="F7" s="154" t="str">
        <f t="shared" si="1"/>
        <v/>
      </c>
      <c r="G7" s="162"/>
      <c r="H7" s="75"/>
      <c r="I7" s="75"/>
      <c r="J7" s="75"/>
      <c r="K7" s="155" t="str">
        <f t="shared" si="2"/>
        <v/>
      </c>
      <c r="L7" s="75"/>
      <c r="M7" s="155" t="str">
        <f t="shared" si="3"/>
        <v/>
      </c>
      <c r="N7" s="16"/>
      <c r="O7" s="75"/>
      <c r="P7" s="163"/>
      <c r="AD7" s="161" t="s">
        <v>222</v>
      </c>
      <c r="AE7" s="158"/>
      <c r="AF7" s="158"/>
      <c r="AG7" s="158"/>
    </row>
    <row r="8">
      <c r="A8" s="16"/>
      <c r="B8" s="159"/>
      <c r="C8" s="82"/>
      <c r="D8" s="82"/>
      <c r="E8" s="82"/>
      <c r="F8" s="154" t="str">
        <f t="shared" si="1"/>
        <v/>
      </c>
      <c r="G8" s="162"/>
      <c r="H8" s="75"/>
      <c r="I8" s="75"/>
      <c r="J8" s="75"/>
      <c r="K8" s="155" t="str">
        <f t="shared" si="2"/>
        <v/>
      </c>
      <c r="L8" s="75"/>
      <c r="M8" s="155" t="str">
        <f t="shared" si="3"/>
        <v/>
      </c>
      <c r="N8" s="16"/>
      <c r="O8" s="75"/>
      <c r="P8" s="163"/>
      <c r="S8" s="161" t="s">
        <v>223</v>
      </c>
      <c r="AA8" s="85"/>
      <c r="AD8" s="161" t="s">
        <v>224</v>
      </c>
    </row>
    <row r="9">
      <c r="A9" s="122"/>
      <c r="B9" s="152"/>
      <c r="C9" s="153"/>
      <c r="D9" s="153"/>
      <c r="E9" s="153"/>
      <c r="F9" s="154" t="str">
        <f t="shared" si="1"/>
        <v/>
      </c>
      <c r="G9" s="146"/>
      <c r="H9" s="146"/>
      <c r="I9" s="146"/>
      <c r="J9" s="122"/>
      <c r="K9" s="155" t="str">
        <f t="shared" si="2"/>
        <v/>
      </c>
      <c r="L9" s="122"/>
      <c r="M9" s="155" t="str">
        <f t="shared" si="3"/>
        <v/>
      </c>
      <c r="N9" s="141"/>
      <c r="O9" s="122"/>
      <c r="P9" s="156"/>
      <c r="Q9" s="146"/>
      <c r="R9" s="146"/>
    </row>
    <row r="10">
      <c r="A10" s="16"/>
      <c r="B10" s="159"/>
      <c r="C10" s="82"/>
      <c r="D10" s="82"/>
      <c r="E10" s="82"/>
      <c r="F10" s="154" t="str">
        <f t="shared" si="1"/>
        <v/>
      </c>
      <c r="G10" s="146"/>
      <c r="H10" s="141"/>
      <c r="I10" s="146"/>
      <c r="J10" s="16"/>
      <c r="K10" s="155" t="str">
        <f t="shared" si="2"/>
        <v/>
      </c>
      <c r="L10" s="16"/>
      <c r="M10" s="155" t="str">
        <f t="shared" si="3"/>
        <v/>
      </c>
      <c r="N10" s="122"/>
      <c r="O10" s="75"/>
      <c r="P10" s="163"/>
      <c r="Z10" s="85"/>
    </row>
    <row r="11">
      <c r="A11" s="122"/>
      <c r="B11" s="152"/>
      <c r="C11" s="153"/>
      <c r="D11" s="153"/>
      <c r="E11" s="153"/>
      <c r="F11" s="154" t="str">
        <f t="shared" si="1"/>
        <v/>
      </c>
      <c r="G11" s="164"/>
      <c r="H11" s="141"/>
      <c r="I11" s="141"/>
      <c r="J11" s="122"/>
      <c r="K11" s="155" t="str">
        <f t="shared" si="2"/>
        <v/>
      </c>
      <c r="L11" s="122"/>
      <c r="M11" s="155" t="str">
        <f t="shared" si="3"/>
        <v/>
      </c>
      <c r="N11" s="122"/>
      <c r="O11" s="141"/>
      <c r="P11" s="165"/>
      <c r="Q11" s="146"/>
      <c r="R11" s="146"/>
    </row>
    <row r="12">
      <c r="A12" s="16"/>
      <c r="B12" s="159"/>
      <c r="C12" s="82"/>
      <c r="D12" s="82"/>
      <c r="E12" s="82"/>
      <c r="F12" s="154" t="str">
        <f t="shared" si="1"/>
        <v/>
      </c>
      <c r="G12" s="146"/>
      <c r="H12" s="146"/>
      <c r="I12" s="146"/>
      <c r="J12" s="16"/>
      <c r="K12" s="155" t="str">
        <f t="shared" si="2"/>
        <v/>
      </c>
      <c r="L12" s="16"/>
      <c r="M12" s="155" t="str">
        <f t="shared" si="3"/>
        <v/>
      </c>
      <c r="N12" s="122"/>
      <c r="O12" s="75"/>
      <c r="P12" s="163"/>
    </row>
    <row r="13">
      <c r="A13" s="122"/>
      <c r="B13" s="152"/>
      <c r="C13" s="153"/>
      <c r="D13" s="153"/>
      <c r="E13" s="153"/>
      <c r="F13" s="154" t="str">
        <f t="shared" si="1"/>
        <v/>
      </c>
      <c r="G13" s="164"/>
      <c r="H13" s="141"/>
      <c r="I13" s="141"/>
      <c r="J13" s="141"/>
      <c r="K13" s="155" t="str">
        <f t="shared" si="2"/>
        <v/>
      </c>
      <c r="L13" s="141"/>
      <c r="M13" s="155" t="str">
        <f t="shared" si="3"/>
        <v/>
      </c>
      <c r="N13" s="122"/>
      <c r="O13" s="141"/>
      <c r="P13" s="165"/>
      <c r="Q13" s="146"/>
      <c r="R13" s="146"/>
    </row>
    <row r="14">
      <c r="A14" s="16"/>
      <c r="B14" s="159"/>
      <c r="C14" s="82"/>
      <c r="D14" s="82"/>
      <c r="E14" s="82"/>
      <c r="F14" s="154" t="str">
        <f t="shared" si="1"/>
        <v/>
      </c>
      <c r="G14" s="162"/>
      <c r="H14" s="75"/>
      <c r="I14" s="75"/>
      <c r="J14" s="75"/>
      <c r="K14" s="155" t="str">
        <f t="shared" si="2"/>
        <v/>
      </c>
      <c r="L14" s="75"/>
      <c r="M14" s="155" t="str">
        <f t="shared" si="3"/>
        <v/>
      </c>
      <c r="N14" s="16"/>
      <c r="O14" s="75"/>
      <c r="P14" s="163"/>
    </row>
    <row r="15">
      <c r="A15" s="16"/>
      <c r="B15" s="159"/>
      <c r="C15" s="82"/>
      <c r="D15" s="82"/>
      <c r="E15" s="82"/>
      <c r="F15" s="154" t="str">
        <f t="shared" si="1"/>
        <v/>
      </c>
      <c r="G15" s="162"/>
      <c r="H15" s="75"/>
      <c r="I15" s="75"/>
      <c r="J15" s="75"/>
      <c r="K15" s="155" t="str">
        <f t="shared" si="2"/>
        <v/>
      </c>
      <c r="L15" s="75"/>
      <c r="M15" s="155" t="str">
        <f t="shared" si="3"/>
        <v/>
      </c>
      <c r="N15" s="122"/>
      <c r="O15" s="75"/>
      <c r="P15" s="163"/>
      <c r="S15" s="20" t="s">
        <v>225</v>
      </c>
    </row>
    <row r="16">
      <c r="A16" s="16"/>
      <c r="B16" s="159"/>
      <c r="C16" s="82"/>
      <c r="D16" s="82"/>
      <c r="E16" s="82"/>
      <c r="F16" s="154" t="str">
        <f t="shared" si="1"/>
        <v/>
      </c>
      <c r="G16" s="162"/>
      <c r="H16" s="75"/>
      <c r="I16" s="75"/>
      <c r="J16" s="75"/>
      <c r="K16" s="155" t="str">
        <f t="shared" si="2"/>
        <v/>
      </c>
      <c r="L16" s="75"/>
      <c r="M16" s="155" t="str">
        <f t="shared" si="3"/>
        <v/>
      </c>
      <c r="N16" s="122"/>
      <c r="O16" s="75"/>
      <c r="P16" s="163"/>
    </row>
    <row r="17">
      <c r="A17" s="16"/>
      <c r="B17" s="159"/>
      <c r="C17" s="82"/>
      <c r="D17" s="82"/>
      <c r="E17" s="82"/>
      <c r="F17" s="154" t="str">
        <f t="shared" si="1"/>
        <v/>
      </c>
      <c r="G17" s="162"/>
      <c r="H17" s="75"/>
      <c r="I17" s="75"/>
      <c r="J17" s="75"/>
      <c r="K17" s="155" t="str">
        <f t="shared" si="2"/>
        <v/>
      </c>
      <c r="L17" s="75"/>
      <c r="M17" s="155" t="str">
        <f t="shared" si="3"/>
        <v/>
      </c>
      <c r="N17" s="122"/>
      <c r="O17" s="75"/>
      <c r="P17" s="163"/>
    </row>
    <row r="18">
      <c r="A18" s="16"/>
      <c r="B18" s="159"/>
      <c r="C18" s="82"/>
      <c r="D18" s="82"/>
      <c r="E18" s="82"/>
      <c r="F18" s="154" t="str">
        <f t="shared" si="1"/>
        <v/>
      </c>
      <c r="G18" s="162"/>
      <c r="H18" s="75"/>
      <c r="I18" s="75"/>
      <c r="J18" s="75"/>
      <c r="K18" s="155" t="str">
        <f t="shared" si="2"/>
        <v/>
      </c>
      <c r="L18" s="75"/>
      <c r="M18" s="155" t="str">
        <f t="shared" si="3"/>
        <v/>
      </c>
      <c r="N18" s="16"/>
      <c r="O18" s="75"/>
      <c r="P18" s="163"/>
    </row>
    <row r="19">
      <c r="A19" s="122"/>
      <c r="B19" s="152"/>
      <c r="C19" s="153"/>
      <c r="D19" s="153"/>
      <c r="E19" s="153"/>
      <c r="F19" s="154" t="str">
        <f t="shared" si="1"/>
        <v/>
      </c>
      <c r="G19" s="164"/>
      <c r="H19" s="141"/>
      <c r="I19" s="141"/>
      <c r="J19" s="122"/>
      <c r="K19" s="155" t="str">
        <f t="shared" si="2"/>
        <v/>
      </c>
      <c r="L19" s="122"/>
      <c r="M19" s="155" t="str">
        <f t="shared" si="3"/>
        <v/>
      </c>
      <c r="N19" s="16"/>
      <c r="O19" s="141"/>
      <c r="P19" s="165"/>
      <c r="Q19" s="146"/>
      <c r="R19" s="146"/>
      <c r="S19" s="20" t="s">
        <v>226</v>
      </c>
    </row>
    <row r="20">
      <c r="A20" s="21"/>
      <c r="B20" s="13"/>
      <c r="C20" s="13"/>
      <c r="D20" s="13"/>
      <c r="E20" s="13"/>
      <c r="F20" s="154" t="str">
        <f t="shared" si="1"/>
        <v/>
      </c>
      <c r="G20" s="17"/>
      <c r="H20" s="17"/>
      <c r="I20" s="17"/>
      <c r="J20" s="17"/>
      <c r="K20" s="155" t="str">
        <f t="shared" si="2"/>
        <v/>
      </c>
      <c r="L20" s="17"/>
      <c r="M20" s="155" t="str">
        <f t="shared" si="3"/>
        <v/>
      </c>
      <c r="N20" s="16"/>
      <c r="O20" s="17"/>
      <c r="P20" s="166"/>
    </row>
    <row r="21">
      <c r="A21" s="21"/>
      <c r="B21" s="13"/>
      <c r="C21" s="13"/>
      <c r="D21" s="13"/>
      <c r="E21" s="13"/>
      <c r="F21" s="154" t="str">
        <f t="shared" si="1"/>
        <v/>
      </c>
      <c r="G21" s="17"/>
      <c r="H21" s="17"/>
      <c r="I21" s="17"/>
      <c r="J21" s="17"/>
      <c r="K21" s="155" t="str">
        <f t="shared" si="2"/>
        <v/>
      </c>
      <c r="L21" s="17"/>
      <c r="M21" s="155" t="str">
        <f t="shared" si="3"/>
        <v/>
      </c>
      <c r="N21" s="16"/>
      <c r="O21" s="17"/>
      <c r="P21" s="166"/>
    </row>
    <row r="22">
      <c r="A22" s="4"/>
      <c r="B22" s="61"/>
      <c r="C22" s="61"/>
      <c r="D22" s="61"/>
      <c r="E22" s="61"/>
      <c r="F22" s="154" t="str">
        <f t="shared" si="1"/>
        <v/>
      </c>
      <c r="G22" s="146"/>
      <c r="H22" s="146"/>
      <c r="I22" s="146"/>
      <c r="J22" s="146"/>
      <c r="K22" s="155" t="str">
        <f t="shared" si="2"/>
        <v/>
      </c>
      <c r="L22" s="146"/>
      <c r="M22" s="155" t="str">
        <f t="shared" si="3"/>
        <v/>
      </c>
      <c r="N22" s="122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</row>
    <row r="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</row>
    <row r="24">
      <c r="A24" s="102" t="s">
        <v>171</v>
      </c>
      <c r="B24" s="167" t="str">
        <f t="shared" ref="B24:F24" si="4">IFERROR(AVERAGE(B3:B22),"")</f>
        <v/>
      </c>
      <c r="C24" s="167" t="str">
        <f t="shared" si="4"/>
        <v/>
      </c>
      <c r="D24" s="167" t="str">
        <f t="shared" si="4"/>
        <v/>
      </c>
      <c r="E24" s="167" t="str">
        <f t="shared" si="4"/>
        <v/>
      </c>
      <c r="F24" s="167" t="str">
        <f t="shared" si="4"/>
        <v/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9" t="s">
        <v>16</v>
      </c>
      <c r="T24" s="20">
        <v>145.0</v>
      </c>
      <c r="U24" s="20">
        <v>145.0</v>
      </c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</row>
    <row r="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9" t="s">
        <v>18</v>
      </c>
      <c r="T25" s="20">
        <v>1172.0</v>
      </c>
      <c r="U25" s="20">
        <v>518.0</v>
      </c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</row>
    <row r="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" t="s">
        <v>19</v>
      </c>
      <c r="T26" s="20">
        <v>411.0</v>
      </c>
      <c r="U26" s="20">
        <v>812.0</v>
      </c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</row>
    <row r="27">
      <c r="A27" s="146"/>
      <c r="B27" s="146"/>
      <c r="C27" s="146"/>
      <c r="D27" s="146"/>
      <c r="E27" s="146"/>
      <c r="F27" s="146"/>
      <c r="G27" s="168" t="s">
        <v>227</v>
      </c>
      <c r="H27" s="146"/>
      <c r="I27" s="146"/>
      <c r="J27" s="146"/>
      <c r="K27" s="146"/>
      <c r="L27" s="146"/>
      <c r="M27" s="146"/>
      <c r="O27" s="146"/>
      <c r="P27" s="146"/>
      <c r="Q27" s="146"/>
      <c r="R27" s="146"/>
      <c r="S27" s="16" t="s">
        <v>20</v>
      </c>
      <c r="T27" s="20">
        <v>1267.0</v>
      </c>
      <c r="U27" s="20">
        <v>1023.0</v>
      </c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</row>
    <row r="28">
      <c r="A28" s="146"/>
      <c r="B28" s="146"/>
      <c r="C28" s="146"/>
      <c r="D28" s="146"/>
      <c r="E28" s="146"/>
      <c r="F28" s="146"/>
      <c r="G28" s="169">
        <v>1.0</v>
      </c>
      <c r="H28" s="169" t="s">
        <v>131</v>
      </c>
      <c r="I28" s="169">
        <v>2.0</v>
      </c>
      <c r="J28" s="146"/>
      <c r="K28" s="146"/>
      <c r="L28" s="146"/>
      <c r="M28" s="146"/>
      <c r="O28" s="146"/>
      <c r="P28" s="146"/>
      <c r="Q28" s="146"/>
      <c r="R28" s="146"/>
      <c r="S28" s="16" t="s">
        <v>21</v>
      </c>
      <c r="T28" s="20">
        <v>770.0</v>
      </c>
      <c r="U28" s="20">
        <v>1263.0</v>
      </c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</row>
    <row r="29">
      <c r="A29" s="146"/>
      <c r="B29" s="146"/>
      <c r="C29" s="146"/>
      <c r="D29" s="4" t="s">
        <v>228</v>
      </c>
      <c r="E29" s="4">
        <f>J29</f>
        <v>146</v>
      </c>
      <c r="F29" s="146"/>
      <c r="G29" s="170">
        <v>59.0</v>
      </c>
      <c r="H29" s="170">
        <v>33.0</v>
      </c>
      <c r="I29" s="170">
        <v>54.0</v>
      </c>
      <c r="J29" s="146">
        <f>SUM(G29:I29)</f>
        <v>146</v>
      </c>
      <c r="K29" s="146"/>
      <c r="L29" s="102" t="s">
        <v>229</v>
      </c>
      <c r="M29" s="102" t="s">
        <v>230</v>
      </c>
      <c r="O29" s="4">
        <v>1.0</v>
      </c>
      <c r="P29" s="146">
        <f t="shared" ref="P29:P31" si="6">COUNTIF($M$30:$M1001,O29)</f>
        <v>54</v>
      </c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</row>
    <row r="30">
      <c r="A30" s="146"/>
      <c r="B30" s="146"/>
      <c r="C30" s="146"/>
      <c r="D30" s="146"/>
      <c r="E30" s="146"/>
      <c r="F30" s="146"/>
      <c r="G30" s="171">
        <f t="shared" ref="G30:I30" si="5">G29/$J$29</f>
        <v>0.404109589</v>
      </c>
      <c r="H30" s="171">
        <f t="shared" si="5"/>
        <v>0.2260273973</v>
      </c>
      <c r="I30" s="171">
        <f t="shared" si="5"/>
        <v>0.3698630137</v>
      </c>
      <c r="J30" s="146"/>
      <c r="K30" s="146"/>
      <c r="L30" s="4">
        <v>0.0</v>
      </c>
      <c r="M30" s="4">
        <v>2.0</v>
      </c>
      <c r="O30" s="4">
        <v>0.0</v>
      </c>
      <c r="P30" s="146">
        <f t="shared" si="6"/>
        <v>23</v>
      </c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</row>
    <row r="31">
      <c r="A31" s="146"/>
      <c r="B31" s="146"/>
      <c r="C31" s="146"/>
      <c r="D31" s="146"/>
      <c r="E31" s="146"/>
      <c r="F31" s="146"/>
      <c r="K31" s="146"/>
      <c r="L31" s="4">
        <v>2.0</v>
      </c>
      <c r="M31" s="4">
        <v>2.0</v>
      </c>
      <c r="O31" s="4">
        <v>2.0</v>
      </c>
      <c r="P31" s="146">
        <f t="shared" si="6"/>
        <v>69</v>
      </c>
      <c r="R31" s="146"/>
      <c r="S31" s="102" t="s">
        <v>231</v>
      </c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</row>
    <row r="3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4">
        <v>2.0</v>
      </c>
      <c r="M32" s="4">
        <v>2.0</v>
      </c>
      <c r="O32" s="146"/>
      <c r="P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</row>
    <row r="33">
      <c r="A33" s="146"/>
      <c r="B33" s="146"/>
      <c r="C33" s="146"/>
      <c r="D33" s="146"/>
      <c r="E33" s="146"/>
      <c r="F33" s="146"/>
      <c r="G33" s="105" t="s">
        <v>232</v>
      </c>
      <c r="J33" s="146"/>
      <c r="K33" s="146"/>
      <c r="L33" s="4">
        <v>2.0</v>
      </c>
      <c r="M33" s="4">
        <v>2.0</v>
      </c>
      <c r="O33" s="146"/>
      <c r="P33" s="146"/>
      <c r="R33" s="146"/>
      <c r="T33" s="51" t="s">
        <v>233</v>
      </c>
      <c r="W33" s="20" t="s">
        <v>234</v>
      </c>
      <c r="AA33" s="30"/>
      <c r="AD33" s="146"/>
      <c r="AE33" s="146"/>
      <c r="AF33" s="146"/>
      <c r="AG33" s="146"/>
    </row>
    <row r="34">
      <c r="A34" s="146"/>
      <c r="B34" s="146"/>
      <c r="C34" s="146"/>
      <c r="D34" s="146"/>
      <c r="E34" s="146"/>
      <c r="F34" s="146"/>
      <c r="G34" s="172">
        <v>1.0</v>
      </c>
      <c r="H34" s="172" t="s">
        <v>131</v>
      </c>
      <c r="I34" s="172">
        <v>2.0</v>
      </c>
      <c r="J34" s="146"/>
      <c r="K34" s="146"/>
      <c r="L34" s="4">
        <v>0.0</v>
      </c>
      <c r="M34" s="4">
        <v>0.0</v>
      </c>
      <c r="N34" s="146"/>
      <c r="O34" s="146"/>
      <c r="P34" s="146"/>
      <c r="R34" s="146"/>
      <c r="S34" s="34" t="s">
        <v>16</v>
      </c>
      <c r="T34" s="100">
        <v>1626.0</v>
      </c>
      <c r="U34" s="100" t="s">
        <v>235</v>
      </c>
      <c r="W34" s="20">
        <v>5193.0</v>
      </c>
      <c r="AD34" s="146"/>
      <c r="AE34" s="146"/>
      <c r="AF34" s="146"/>
      <c r="AG34" s="146"/>
    </row>
    <row r="35">
      <c r="A35" s="146"/>
      <c r="B35" s="146"/>
      <c r="C35" s="146"/>
      <c r="D35" s="146"/>
      <c r="E35" s="146"/>
      <c r="F35" s="146"/>
      <c r="G35" s="173">
        <v>0.485</v>
      </c>
      <c r="H35" s="173">
        <v>0.285</v>
      </c>
      <c r="I35" s="173">
        <v>0.23</v>
      </c>
      <c r="J35" s="146"/>
      <c r="K35" s="146"/>
      <c r="L35" s="4">
        <v>2.0</v>
      </c>
      <c r="M35" s="4">
        <v>2.0</v>
      </c>
      <c r="N35" s="146"/>
      <c r="O35" s="146"/>
      <c r="P35" s="146"/>
      <c r="R35" s="146"/>
      <c r="S35" s="34" t="s">
        <v>18</v>
      </c>
      <c r="T35" s="100">
        <v>4176.0</v>
      </c>
      <c r="U35" s="100" t="s">
        <v>235</v>
      </c>
      <c r="W35" s="20">
        <v>4863.0</v>
      </c>
      <c r="AD35" s="146"/>
      <c r="AE35" s="146"/>
      <c r="AF35" s="146"/>
      <c r="AG35" s="146"/>
    </row>
    <row r="36">
      <c r="A36" s="146"/>
      <c r="B36" s="146"/>
      <c r="C36" s="146"/>
      <c r="D36" s="146"/>
      <c r="E36" s="146"/>
      <c r="F36" s="14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6"/>
      <c r="K36" s="146"/>
      <c r="L36" s="4">
        <v>2.0</v>
      </c>
      <c r="M36" s="4">
        <v>2.0</v>
      </c>
      <c r="N36" s="174"/>
      <c r="O36" s="146"/>
      <c r="P36" s="146"/>
      <c r="R36" s="146"/>
      <c r="S36" s="20" t="s">
        <v>19</v>
      </c>
      <c r="T36" s="100">
        <v>5130.0</v>
      </c>
      <c r="U36" s="175"/>
      <c r="W36" s="20">
        <v>3032.0</v>
      </c>
      <c r="AD36" s="146"/>
      <c r="AE36" s="146"/>
      <c r="AF36" s="146"/>
      <c r="AG36" s="146"/>
    </row>
    <row r="37">
      <c r="A37" s="146"/>
      <c r="B37" s="146"/>
      <c r="C37" s="146"/>
      <c r="D37" s="146"/>
      <c r="E37" s="146"/>
      <c r="F37" s="146"/>
      <c r="J37" s="146"/>
      <c r="K37" s="146"/>
      <c r="L37" s="4">
        <v>2.0</v>
      </c>
      <c r="M37" s="4">
        <v>2.0</v>
      </c>
      <c r="N37" s="174"/>
      <c r="O37" s="146"/>
      <c r="P37" s="146"/>
      <c r="Q37" s="146"/>
      <c r="R37" s="146"/>
      <c r="S37" s="20" t="s">
        <v>20</v>
      </c>
      <c r="T37" s="100">
        <v>2114.0</v>
      </c>
      <c r="U37" s="175"/>
      <c r="W37" s="20">
        <v>2114.0</v>
      </c>
      <c r="AD37" s="146"/>
      <c r="AE37" s="146"/>
      <c r="AF37" s="146"/>
      <c r="AG37" s="146"/>
    </row>
    <row r="38">
      <c r="A38" s="146"/>
      <c r="B38" s="146"/>
      <c r="C38" s="146"/>
      <c r="D38" s="146"/>
      <c r="E38" s="146"/>
      <c r="F38" s="4" t="s">
        <v>236</v>
      </c>
      <c r="G38" s="171">
        <f t="shared" ref="G38:I38" si="8">G30-G35</f>
        <v>-0.08089041096</v>
      </c>
      <c r="H38" s="171">
        <f t="shared" si="8"/>
        <v>-0.05897260274</v>
      </c>
      <c r="I38" s="171">
        <f t="shared" si="8"/>
        <v>0.1398630137</v>
      </c>
      <c r="J38" s="146"/>
      <c r="K38" s="146"/>
      <c r="L38" s="4">
        <v>1.0</v>
      </c>
      <c r="M38" s="4">
        <v>0.0</v>
      </c>
      <c r="N38" s="174"/>
      <c r="O38" s="146"/>
      <c r="P38" s="146"/>
      <c r="Q38" s="146"/>
      <c r="R38" s="146"/>
      <c r="S38" s="20" t="s">
        <v>21</v>
      </c>
      <c r="T38" s="175"/>
      <c r="U38" s="175"/>
      <c r="W38" s="20">
        <v>240.0</v>
      </c>
      <c r="AD38" s="146"/>
      <c r="AE38" s="146"/>
      <c r="AF38" s="146"/>
      <c r="AG38" s="146"/>
    </row>
    <row r="39">
      <c r="A39" s="146"/>
      <c r="B39" s="146"/>
      <c r="C39" s="146"/>
      <c r="D39" s="146"/>
      <c r="E39" s="146"/>
      <c r="K39" s="146"/>
      <c r="L39" s="4">
        <v>1.0</v>
      </c>
      <c r="M39" s="4">
        <v>1.0</v>
      </c>
      <c r="N39" s="174"/>
      <c r="O39" s="146"/>
      <c r="P39" s="146"/>
      <c r="Q39" s="146"/>
      <c r="R39" s="146"/>
      <c r="U39" s="20"/>
      <c r="AD39" s="146"/>
      <c r="AE39" s="146"/>
      <c r="AF39" s="146"/>
      <c r="AG39" s="146"/>
    </row>
    <row r="40">
      <c r="A40" s="146"/>
      <c r="B40" s="146"/>
      <c r="C40" s="146"/>
      <c r="D40" s="146"/>
      <c r="E40" s="146"/>
      <c r="K40" s="146"/>
      <c r="L40" s="4">
        <v>1.0</v>
      </c>
      <c r="M40" s="4">
        <v>1.0</v>
      </c>
      <c r="N40" s="174"/>
      <c r="O40" s="146"/>
      <c r="P40" s="146"/>
      <c r="Q40" s="146"/>
      <c r="R40" s="146"/>
      <c r="U40" s="20"/>
      <c r="AD40" s="146"/>
      <c r="AE40" s="146"/>
      <c r="AF40" s="146"/>
      <c r="AG40" s="146"/>
    </row>
    <row r="41">
      <c r="A41" s="146"/>
      <c r="B41" s="146"/>
      <c r="C41" s="146"/>
      <c r="D41" s="146"/>
      <c r="E41" s="146"/>
      <c r="K41" s="146"/>
      <c r="L41" s="4">
        <v>1.0</v>
      </c>
      <c r="M41" s="4">
        <v>1.0</v>
      </c>
      <c r="N41" s="174"/>
      <c r="O41" s="146"/>
      <c r="P41" s="146"/>
      <c r="Q41" s="146"/>
      <c r="R41" s="146"/>
      <c r="U41" s="20"/>
      <c r="AD41" s="146"/>
      <c r="AE41" s="146"/>
      <c r="AF41" s="146"/>
      <c r="AG41" s="146"/>
    </row>
    <row r="42">
      <c r="A42" s="146"/>
      <c r="B42" s="146"/>
      <c r="C42" s="146"/>
      <c r="D42" s="146"/>
      <c r="E42" s="146"/>
      <c r="K42" s="146"/>
      <c r="L42" s="4">
        <v>0.0</v>
      </c>
      <c r="M42" s="4">
        <v>1.0</v>
      </c>
      <c r="N42" s="174"/>
      <c r="O42" s="146"/>
      <c r="P42" s="146"/>
      <c r="Q42" s="146"/>
      <c r="R42" s="146"/>
      <c r="U42" s="20"/>
      <c r="AD42" s="146"/>
      <c r="AE42" s="146"/>
      <c r="AF42" s="146"/>
      <c r="AG42" s="146"/>
    </row>
    <row r="43">
      <c r="A43" s="146"/>
      <c r="B43" s="146"/>
      <c r="C43" s="146"/>
      <c r="D43" s="146"/>
      <c r="E43" s="146"/>
      <c r="K43" s="146"/>
      <c r="L43" s="4">
        <v>1.0</v>
      </c>
      <c r="M43" s="4">
        <v>0.0</v>
      </c>
      <c r="N43" s="174"/>
      <c r="O43" s="146"/>
      <c r="P43" s="146"/>
      <c r="Q43" s="146"/>
      <c r="R43" s="146"/>
      <c r="U43" s="20"/>
      <c r="AD43" s="146"/>
      <c r="AE43" s="146"/>
      <c r="AF43" s="146"/>
      <c r="AG43" s="146"/>
    </row>
    <row r="44">
      <c r="A44" s="146"/>
      <c r="B44" s="146"/>
      <c r="C44" s="146"/>
      <c r="D44" s="146"/>
      <c r="E44" s="146"/>
      <c r="K44" s="146"/>
      <c r="L44" s="4">
        <v>2.0</v>
      </c>
      <c r="M44" s="4">
        <v>2.0</v>
      </c>
      <c r="N44" s="174"/>
      <c r="O44" s="146"/>
      <c r="P44" s="146"/>
      <c r="Q44" s="146"/>
      <c r="R44" s="146"/>
      <c r="AD44" s="146"/>
      <c r="AE44" s="146"/>
      <c r="AF44" s="146"/>
      <c r="AG44" s="146"/>
    </row>
    <row r="45">
      <c r="A45" s="146"/>
      <c r="B45" s="146"/>
      <c r="C45" s="146"/>
      <c r="D45" s="146"/>
      <c r="E45" s="146"/>
      <c r="K45" s="146"/>
      <c r="L45" s="4">
        <v>2.0</v>
      </c>
      <c r="M45" s="4">
        <v>2.0</v>
      </c>
      <c r="N45" s="174"/>
      <c r="O45" s="146"/>
      <c r="P45" s="146"/>
      <c r="Q45" s="146"/>
      <c r="R45" s="146"/>
      <c r="T45" s="161" t="s">
        <v>237</v>
      </c>
      <c r="AD45" s="146"/>
      <c r="AE45" s="146"/>
      <c r="AF45" s="146"/>
      <c r="AG45" s="146"/>
    </row>
    <row r="46">
      <c r="A46" s="146"/>
      <c r="B46" s="146"/>
      <c r="C46" s="146"/>
      <c r="D46" s="146"/>
      <c r="E46" s="146"/>
      <c r="K46" s="146"/>
      <c r="L46" s="4">
        <v>1.0</v>
      </c>
      <c r="M46" s="4">
        <v>1.0</v>
      </c>
      <c r="N46" s="174"/>
      <c r="O46" s="146"/>
      <c r="P46" s="146"/>
      <c r="Q46" s="146"/>
      <c r="R46" s="146"/>
      <c r="AD46" s="146"/>
      <c r="AE46" s="146"/>
      <c r="AF46" s="146"/>
      <c r="AG46" s="146"/>
    </row>
    <row r="47">
      <c r="A47" s="146"/>
      <c r="B47" s="146"/>
      <c r="C47" s="146"/>
      <c r="D47" s="146"/>
      <c r="E47" s="146"/>
      <c r="K47" s="146"/>
      <c r="L47" s="4">
        <v>1.0</v>
      </c>
      <c r="M47" s="4">
        <v>1.0</v>
      </c>
      <c r="N47" s="174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</row>
    <row r="48">
      <c r="A48" s="146"/>
      <c r="B48" s="146"/>
      <c r="C48" s="146"/>
      <c r="D48" s="146"/>
      <c r="E48" s="146"/>
      <c r="K48" s="146"/>
      <c r="L48" s="4">
        <v>2.0</v>
      </c>
      <c r="M48" s="4">
        <v>2.0</v>
      </c>
      <c r="N48" s="174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4">
        <v>1.0</v>
      </c>
      <c r="M49" s="4">
        <v>0.0</v>
      </c>
      <c r="N49" s="174"/>
      <c r="O49" s="146"/>
      <c r="P49" s="146"/>
      <c r="Q49" s="146"/>
      <c r="R49" s="146"/>
      <c r="S49" s="146" t="s">
        <v>0</v>
      </c>
      <c r="T49" s="146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1" t="s">
        <v>64</v>
      </c>
      <c r="AF49" s="61" t="s">
        <v>44</v>
      </c>
      <c r="AG49" s="61" t="s">
        <v>238</v>
      </c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4">
        <v>2.0</v>
      </c>
      <c r="M50" s="4">
        <v>2.0</v>
      </c>
      <c r="N50" s="174"/>
      <c r="O50" s="146"/>
      <c r="P50" s="146"/>
      <c r="Q50" s="146"/>
      <c r="R50" s="146"/>
      <c r="S50" s="176">
        <v>6.0</v>
      </c>
      <c r="T50" s="146" t="s">
        <v>13</v>
      </c>
      <c r="U50" s="17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46"/>
      <c r="AD50" s="146"/>
      <c r="AE50" s="61">
        <v>31833.0939389723</v>
      </c>
      <c r="AF50" s="61">
        <v>54.49862394110609</v>
      </c>
      <c r="AG50" s="61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4">
        <v>0.0</v>
      </c>
      <c r="M51" s="4">
        <v>2.0</v>
      </c>
      <c r="N51" s="174"/>
      <c r="O51" s="146"/>
      <c r="P51" s="146"/>
      <c r="Q51" s="146"/>
      <c r="R51" s="146"/>
      <c r="S51" s="4">
        <v>167.0</v>
      </c>
      <c r="T51" s="4" t="s">
        <v>15</v>
      </c>
      <c r="U51" s="177"/>
      <c r="V51" s="177"/>
      <c r="W51" s="177"/>
      <c r="X51" s="146"/>
      <c r="Y51" s="146"/>
      <c r="Z51" s="146"/>
      <c r="AA51" s="146"/>
      <c r="AB51" s="146"/>
      <c r="AC51" s="146"/>
      <c r="AD51" s="4"/>
      <c r="AE51" s="178"/>
      <c r="AF51" s="178"/>
      <c r="AG51" s="178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4">
        <v>2.0</v>
      </c>
      <c r="M52" s="4">
        <v>2.0</v>
      </c>
      <c r="N52" s="174"/>
      <c r="O52" s="146"/>
      <c r="P52" s="146"/>
      <c r="Q52" s="146"/>
      <c r="R52" s="146"/>
      <c r="S52" s="176">
        <v>48.0</v>
      </c>
      <c r="T52" s="146" t="s">
        <v>16</v>
      </c>
      <c r="U52" s="177">
        <v>45719.0</v>
      </c>
      <c r="V52" s="4">
        <v>5193.0</v>
      </c>
      <c r="W52" s="4" t="s">
        <v>14</v>
      </c>
      <c r="X52" s="179">
        <v>1.41003293517905</v>
      </c>
      <c r="Y52" s="61">
        <v>80.0</v>
      </c>
      <c r="Z52" s="4"/>
      <c r="AA52" s="4"/>
      <c r="AB52" s="4"/>
      <c r="AC52" s="61"/>
      <c r="AD52" s="178">
        <v>12.0</v>
      </c>
      <c r="AE52" s="61">
        <v>18.3811167659873</v>
      </c>
      <c r="AF52" s="180">
        <v>13.03594852814783</v>
      </c>
      <c r="AG52" s="61" t="s">
        <v>239</v>
      </c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4">
        <v>1.0</v>
      </c>
      <c r="M53" s="4">
        <v>2.0</v>
      </c>
      <c r="N53" s="174"/>
      <c r="O53" s="146"/>
      <c r="P53" s="146"/>
      <c r="Q53" s="146"/>
      <c r="R53" s="146"/>
      <c r="S53" s="4">
        <v>55.0</v>
      </c>
      <c r="T53" s="146" t="s">
        <v>18</v>
      </c>
      <c r="U53" s="177">
        <v>45719.0</v>
      </c>
      <c r="V53" s="4">
        <v>4863.0</v>
      </c>
      <c r="W53" s="4" t="s">
        <v>14</v>
      </c>
      <c r="X53" s="179">
        <v>1.63203401219684</v>
      </c>
      <c r="Y53" s="61">
        <v>65.0</v>
      </c>
      <c r="Z53" s="61"/>
      <c r="AA53" s="61"/>
      <c r="AB53" s="61"/>
      <c r="AC53" s="61"/>
      <c r="AD53" s="178">
        <v>9.75</v>
      </c>
      <c r="AE53" s="61">
        <v>10.2684969590418</v>
      </c>
      <c r="AF53" s="180">
        <v>6.291840048860032</v>
      </c>
      <c r="AG53" s="61" t="s">
        <v>239</v>
      </c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4">
        <v>2.0</v>
      </c>
      <c r="M54" s="4">
        <v>2.0</v>
      </c>
      <c r="N54" s="174"/>
      <c r="O54" s="146"/>
      <c r="P54" s="146"/>
      <c r="Q54" s="146"/>
      <c r="R54" s="146"/>
      <c r="S54" s="4">
        <v>59.0</v>
      </c>
      <c r="T54" s="4" t="s">
        <v>19</v>
      </c>
      <c r="U54" s="177">
        <v>45720.0</v>
      </c>
      <c r="V54" s="4">
        <v>3032.0</v>
      </c>
      <c r="W54" s="4" t="s">
        <v>14</v>
      </c>
      <c r="X54" s="179">
        <v>1.06853835846173</v>
      </c>
      <c r="Y54" s="61">
        <v>110.0</v>
      </c>
      <c r="Z54" s="61"/>
      <c r="AA54" s="61"/>
      <c r="AB54" s="61"/>
      <c r="AC54" s="61"/>
      <c r="AD54" s="178">
        <v>16.5</v>
      </c>
      <c r="AE54" s="61">
        <v>2.911074683344</v>
      </c>
      <c r="AF54" s="180">
        <v>2.7243520649411117</v>
      </c>
      <c r="AG54" s="61" t="s">
        <v>239</v>
      </c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4">
        <v>2.0</v>
      </c>
      <c r="M55" s="4">
        <v>2.0</v>
      </c>
      <c r="N55" s="174"/>
      <c r="O55" s="146"/>
      <c r="P55" s="146"/>
      <c r="Q55" s="146"/>
      <c r="R55" s="146"/>
      <c r="S55" s="4">
        <v>77.0</v>
      </c>
      <c r="T55" s="4" t="s">
        <v>20</v>
      </c>
      <c r="U55" s="177">
        <v>45720.0</v>
      </c>
      <c r="V55" s="4">
        <v>2114.0</v>
      </c>
      <c r="W55" s="4" t="s">
        <v>14</v>
      </c>
      <c r="X55" s="179">
        <v>1.09822611282299</v>
      </c>
      <c r="Y55" s="61">
        <v>40.0</v>
      </c>
      <c r="Z55" s="4"/>
      <c r="AA55" s="4"/>
      <c r="AB55" s="4"/>
      <c r="AC55" s="61"/>
      <c r="AD55" s="178">
        <v>6.0</v>
      </c>
      <c r="AE55" s="61">
        <v>2.35349633471392</v>
      </c>
      <c r="AF55" s="180">
        <v>2.1429979739456915</v>
      </c>
      <c r="AG55" s="61" t="s">
        <v>239</v>
      </c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4">
        <v>1.0</v>
      </c>
      <c r="M56" s="4">
        <v>1.0</v>
      </c>
      <c r="N56" s="174"/>
      <c r="O56" s="146"/>
      <c r="P56" s="146"/>
      <c r="Q56" s="146"/>
      <c r="R56" s="146"/>
      <c r="S56" s="4">
        <v>148.0</v>
      </c>
      <c r="T56" s="4" t="s">
        <v>21</v>
      </c>
      <c r="U56" s="177">
        <v>45720.0</v>
      </c>
      <c r="V56" s="4">
        <v>240.0</v>
      </c>
      <c r="W56" s="4" t="s">
        <v>14</v>
      </c>
      <c r="X56" s="179">
        <v>1.06829550473903</v>
      </c>
      <c r="Y56" s="61">
        <v>110.0</v>
      </c>
      <c r="Z56" s="4"/>
      <c r="AA56" s="4"/>
      <c r="AB56" s="4"/>
      <c r="AC56" s="61"/>
      <c r="AD56" s="178">
        <v>16.5</v>
      </c>
      <c r="AE56" s="61">
        <v>4.25215839444752</v>
      </c>
      <c r="AF56" s="180">
        <v>3.98032040346951</v>
      </c>
      <c r="AG56" s="61" t="s">
        <v>239</v>
      </c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4">
        <v>2.0</v>
      </c>
      <c r="M57" s="4">
        <v>1.0</v>
      </c>
      <c r="N57" s="174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4">
        <v>1.0</v>
      </c>
      <c r="M58" s="4">
        <v>1.0</v>
      </c>
      <c r="N58" s="174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4">
        <v>0.0</v>
      </c>
      <c r="M59" s="4">
        <v>1.0</v>
      </c>
      <c r="N59" s="174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4">
        <v>2.0</v>
      </c>
      <c r="M60" s="4">
        <v>0.0</v>
      </c>
      <c r="N60" s="174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4">
        <v>0.0</v>
      </c>
      <c r="M61" s="4">
        <v>1.0</v>
      </c>
      <c r="N61" s="174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4">
        <v>2.0</v>
      </c>
      <c r="M62" s="4">
        <v>0.0</v>
      </c>
      <c r="N62" s="174"/>
      <c r="O62" s="146"/>
      <c r="P62" s="146"/>
      <c r="Q62" s="146"/>
      <c r="R62" s="146"/>
      <c r="S62" s="146"/>
      <c r="U62" s="20" t="s">
        <v>240</v>
      </c>
      <c r="V62" s="20" t="s">
        <v>241</v>
      </c>
      <c r="AC62" s="146"/>
      <c r="AD62" s="146"/>
      <c r="AE62" s="146"/>
      <c r="AF62" s="146"/>
      <c r="AG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4">
        <v>0.0</v>
      </c>
      <c r="M63" s="4">
        <v>1.0</v>
      </c>
      <c r="N63" s="174"/>
      <c r="O63" s="146"/>
      <c r="P63" s="146"/>
      <c r="Q63" s="146"/>
      <c r="R63" s="146"/>
      <c r="S63" s="146"/>
      <c r="T63" s="19" t="s">
        <v>16</v>
      </c>
      <c r="U63" s="20">
        <v>2434.0</v>
      </c>
      <c r="V63" s="20">
        <v>2165.0</v>
      </c>
      <c r="W63" s="20" t="s">
        <v>242</v>
      </c>
      <c r="AC63" s="146"/>
      <c r="AD63" s="146"/>
      <c r="AE63" s="146"/>
      <c r="AF63" s="146"/>
      <c r="AG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4">
        <v>0.0</v>
      </c>
      <c r="M64" s="4">
        <v>1.0</v>
      </c>
      <c r="N64" s="174"/>
      <c r="O64" s="146"/>
      <c r="P64" s="146"/>
      <c r="Q64" s="146"/>
      <c r="R64" s="146"/>
      <c r="S64" s="146"/>
      <c r="T64" s="19" t="s">
        <v>18</v>
      </c>
      <c r="U64" s="20">
        <v>4863.0</v>
      </c>
      <c r="V64" s="20">
        <v>4522.0</v>
      </c>
      <c r="AC64" s="146"/>
      <c r="AD64" s="146"/>
      <c r="AE64" s="146"/>
      <c r="AF64" s="146"/>
      <c r="AG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4">
        <v>0.0</v>
      </c>
      <c r="M65" s="4">
        <v>1.0</v>
      </c>
      <c r="N65" s="174"/>
      <c r="O65" s="146"/>
      <c r="P65" s="146"/>
      <c r="Q65" s="146"/>
      <c r="R65" s="146"/>
      <c r="S65" s="146"/>
      <c r="T65" s="16" t="s">
        <v>19</v>
      </c>
      <c r="U65" s="20">
        <v>4954.0</v>
      </c>
      <c r="V65" s="20">
        <v>4486.0</v>
      </c>
      <c r="AC65" s="146"/>
      <c r="AD65" s="146"/>
      <c r="AE65" s="146"/>
      <c r="AF65" s="146"/>
      <c r="AG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4">
        <v>0.0</v>
      </c>
      <c r="M66" s="4">
        <v>2.0</v>
      </c>
      <c r="N66" s="174"/>
      <c r="O66" s="146"/>
      <c r="P66" s="146"/>
      <c r="Q66" s="146"/>
      <c r="R66" s="146"/>
      <c r="S66" s="146"/>
      <c r="T66" s="16" t="s">
        <v>20</v>
      </c>
      <c r="U66" s="20">
        <v>5132.0</v>
      </c>
      <c r="V66" s="20">
        <v>4605.0</v>
      </c>
      <c r="AC66" s="146"/>
      <c r="AD66" s="146"/>
      <c r="AE66" s="146"/>
      <c r="AF66" s="146"/>
      <c r="AG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4">
        <v>1.0</v>
      </c>
      <c r="M67" s="4">
        <v>2.0</v>
      </c>
      <c r="N67" s="174"/>
      <c r="O67" s="146"/>
      <c r="P67" s="146"/>
      <c r="Q67" s="146"/>
      <c r="R67" s="146"/>
      <c r="S67" s="146"/>
      <c r="T67" s="16" t="s">
        <v>21</v>
      </c>
      <c r="U67" s="20">
        <v>3490.0</v>
      </c>
      <c r="V67" s="20">
        <v>5142.0</v>
      </c>
      <c r="AC67" s="146"/>
      <c r="AD67" s="146"/>
      <c r="AE67" s="146"/>
      <c r="AF67" s="146"/>
      <c r="AG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4">
        <v>2.0</v>
      </c>
      <c r="M68" s="4">
        <v>2.0</v>
      </c>
      <c r="N68" s="174"/>
      <c r="O68" s="146"/>
      <c r="P68" s="146"/>
      <c r="Q68" s="146"/>
      <c r="R68" s="146"/>
      <c r="S68" s="146"/>
      <c r="AC68" s="146"/>
      <c r="AD68" s="146"/>
      <c r="AE68" s="146"/>
      <c r="AF68" s="146"/>
      <c r="AG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4">
        <v>1.0</v>
      </c>
      <c r="M69" s="4">
        <v>2.0</v>
      </c>
      <c r="N69" s="174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4">
        <v>2.0</v>
      </c>
      <c r="M70" s="4">
        <v>2.0</v>
      </c>
      <c r="N70" s="174"/>
      <c r="O70" s="146"/>
      <c r="P70" s="146"/>
      <c r="Q70" s="146"/>
      <c r="R70" s="146"/>
      <c r="S70" s="146"/>
      <c r="T70" s="146"/>
      <c r="U70" s="19" t="s">
        <v>16</v>
      </c>
      <c r="V70" s="100">
        <v>3526.0</v>
      </c>
      <c r="W70" s="100">
        <v>3574.0</v>
      </c>
      <c r="X70" s="45">
        <v>4764.0</v>
      </c>
      <c r="Y70" s="146"/>
      <c r="Z70" s="146"/>
      <c r="AA70" s="146"/>
      <c r="AB70" s="146"/>
      <c r="AC70" s="146"/>
      <c r="AD70" s="146"/>
      <c r="AE70" s="146"/>
      <c r="AF70" s="146"/>
      <c r="AG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4">
        <v>1.0</v>
      </c>
      <c r="M71" s="4">
        <v>1.0</v>
      </c>
      <c r="N71" s="174"/>
      <c r="O71" s="146"/>
      <c r="P71" s="146"/>
      <c r="Q71" s="146"/>
      <c r="R71" s="146"/>
      <c r="S71" s="146"/>
      <c r="T71" s="146"/>
      <c r="U71" s="19" t="s">
        <v>18</v>
      </c>
      <c r="V71" s="45">
        <v>4522.0</v>
      </c>
      <c r="Y71" s="146"/>
      <c r="Z71" s="146"/>
      <c r="AA71" s="146"/>
      <c r="AB71" s="146"/>
      <c r="AC71" s="146"/>
      <c r="AD71" s="146"/>
      <c r="AE71" s="146"/>
      <c r="AF71" s="146"/>
      <c r="AG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4">
        <v>2.0</v>
      </c>
      <c r="M72" s="4">
        <v>2.0</v>
      </c>
      <c r="N72" s="174"/>
      <c r="O72" s="146"/>
      <c r="P72" s="146"/>
      <c r="Q72" s="146"/>
      <c r="R72" s="146"/>
      <c r="S72" s="146"/>
      <c r="T72" s="146"/>
      <c r="U72" s="16" t="s">
        <v>19</v>
      </c>
      <c r="V72" s="40">
        <v>5130.0</v>
      </c>
      <c r="W72" s="45">
        <v>4486.0</v>
      </c>
      <c r="Y72" s="146"/>
      <c r="Z72" s="146"/>
      <c r="AA72" s="146"/>
      <c r="AB72" s="146"/>
      <c r="AC72" s="146"/>
      <c r="AD72" s="146"/>
      <c r="AE72" s="146"/>
      <c r="AF72" s="146"/>
      <c r="AG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4">
        <v>1.0</v>
      </c>
      <c r="M73" s="4">
        <v>2.0</v>
      </c>
      <c r="N73" s="146"/>
      <c r="O73" s="146"/>
      <c r="P73" s="146"/>
      <c r="Q73" s="146"/>
      <c r="R73" s="146"/>
      <c r="S73" s="146"/>
      <c r="T73" s="146"/>
      <c r="U73" s="16" t="s">
        <v>20</v>
      </c>
      <c r="V73" s="45">
        <v>2516.0</v>
      </c>
      <c r="W73" s="20">
        <v>2114.0</v>
      </c>
      <c r="Y73" s="146"/>
      <c r="Z73" s="146"/>
      <c r="AA73" s="146"/>
      <c r="AB73" s="146"/>
      <c r="AC73" s="146"/>
      <c r="AD73" s="146"/>
      <c r="AE73" s="146"/>
      <c r="AF73" s="146"/>
      <c r="AG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4">
        <v>2.0</v>
      </c>
      <c r="M74" s="4">
        <v>1.0</v>
      </c>
      <c r="N74" s="146"/>
      <c r="O74" s="146"/>
      <c r="P74" s="146"/>
      <c r="Q74" s="146"/>
      <c r="R74" s="146"/>
      <c r="S74" s="146"/>
      <c r="T74" s="146"/>
      <c r="U74" s="16" t="s">
        <v>21</v>
      </c>
      <c r="V74" s="100">
        <v>5142.0</v>
      </c>
      <c r="W74" s="45">
        <v>5132.0</v>
      </c>
      <c r="Y74" s="146"/>
      <c r="Z74" s="146"/>
      <c r="AA74" s="146"/>
      <c r="AB74" s="146"/>
      <c r="AC74" s="146"/>
      <c r="AD74" s="146"/>
      <c r="AE74" s="146"/>
      <c r="AF74" s="146"/>
      <c r="AG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4">
        <v>1.0</v>
      </c>
      <c r="M75" s="4">
        <v>0.0</v>
      </c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  <c r="AG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4">
        <v>1.0</v>
      </c>
      <c r="M76" s="4">
        <v>1.0</v>
      </c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4">
        <v>1.0</v>
      </c>
      <c r="M77" s="4">
        <v>1.0</v>
      </c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  <c r="AG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4">
        <v>0.0</v>
      </c>
      <c r="M78" s="4">
        <v>0.0</v>
      </c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4">
        <v>1.0</v>
      </c>
      <c r="M79" s="4">
        <v>1.0</v>
      </c>
      <c r="N79" s="146"/>
      <c r="O79" s="146"/>
      <c r="P79" s="146"/>
      <c r="Q79" s="146"/>
      <c r="R79" s="146"/>
      <c r="S79" s="146"/>
      <c r="T79" s="102" t="s">
        <v>243</v>
      </c>
      <c r="U79" s="146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  <c r="AG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4">
        <v>2.0</v>
      </c>
      <c r="M80" s="4">
        <v>2.0</v>
      </c>
      <c r="N80" s="146"/>
      <c r="O80" s="146"/>
      <c r="P80" s="146"/>
      <c r="Q80" s="146"/>
      <c r="R80" s="146"/>
      <c r="S80" s="146"/>
      <c r="T80" s="20" t="s">
        <v>244</v>
      </c>
      <c r="U80" s="17"/>
      <c r="V80" s="17"/>
      <c r="W80" s="17"/>
      <c r="X80" s="17"/>
      <c r="Y80" s="17"/>
      <c r="AA80" s="66"/>
      <c r="AB80" s="146"/>
      <c r="AC80" s="146"/>
      <c r="AD80" s="146"/>
      <c r="AE80" s="146"/>
      <c r="AF80" s="146"/>
      <c r="AG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4">
        <v>1.0</v>
      </c>
      <c r="M81" s="4">
        <v>1.0</v>
      </c>
      <c r="N81" s="146"/>
      <c r="O81" s="146"/>
      <c r="P81" s="146"/>
      <c r="Q81" s="146"/>
      <c r="R81" s="146"/>
      <c r="S81" s="146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46"/>
      <c r="AC81" s="146"/>
      <c r="AD81" s="146"/>
      <c r="AE81" s="146"/>
      <c r="AF81" s="146"/>
      <c r="AG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4">
        <v>2.0</v>
      </c>
      <c r="M82" s="4">
        <v>2.0</v>
      </c>
      <c r="N82" s="146"/>
      <c r="O82" s="146"/>
      <c r="P82" s="146"/>
      <c r="Q82" s="146"/>
      <c r="R82" s="146"/>
      <c r="S82" s="146"/>
      <c r="T82" s="40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46"/>
      <c r="AC82" s="146"/>
      <c r="AD82" s="146"/>
      <c r="AE82" s="146"/>
      <c r="AF82" s="146"/>
      <c r="AG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4">
        <v>1.0</v>
      </c>
      <c r="M83" s="4">
        <v>1.0</v>
      </c>
      <c r="N83" s="146"/>
      <c r="O83" s="146"/>
      <c r="P83" s="146"/>
      <c r="Q83" s="146"/>
      <c r="R83" s="146"/>
      <c r="S83" s="146"/>
      <c r="T83" s="45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46"/>
      <c r="AC83" s="146"/>
      <c r="AD83" s="146"/>
      <c r="AE83" s="146"/>
      <c r="AF83" s="146"/>
      <c r="AG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4">
        <v>1.0</v>
      </c>
      <c r="M84" s="4">
        <v>1.0</v>
      </c>
      <c r="N84" s="146"/>
      <c r="O84" s="146"/>
      <c r="P84" s="146"/>
      <c r="Q84" s="146"/>
      <c r="R84" s="146"/>
      <c r="S84" s="146"/>
      <c r="T84" s="45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46"/>
      <c r="AC84" s="146"/>
      <c r="AD84" s="146"/>
      <c r="AE84" s="146"/>
      <c r="AF84" s="146"/>
      <c r="AG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4">
        <v>2.0</v>
      </c>
      <c r="M85" s="4">
        <v>2.0</v>
      </c>
      <c r="N85" s="146"/>
      <c r="O85" s="146"/>
      <c r="P85" s="146"/>
      <c r="Q85" s="146"/>
      <c r="R85" s="146"/>
      <c r="S85" s="146"/>
      <c r="T85" s="45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46"/>
      <c r="AC85" s="146"/>
      <c r="AD85" s="146"/>
      <c r="AE85" s="146"/>
      <c r="AF85" s="146"/>
      <c r="AG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4">
        <v>2.0</v>
      </c>
      <c r="M86" s="4">
        <v>2.0</v>
      </c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4">
        <v>1.0</v>
      </c>
      <c r="M87" s="4">
        <v>1.0</v>
      </c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4">
        <v>1.0</v>
      </c>
      <c r="M88" s="4">
        <v>2.0</v>
      </c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4">
        <v>2.0</v>
      </c>
      <c r="M89" s="4">
        <v>2.0</v>
      </c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4">
        <v>1.0</v>
      </c>
      <c r="M90" s="4">
        <v>2.0</v>
      </c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4">
        <v>0.0</v>
      </c>
      <c r="M91" s="4">
        <v>2.0</v>
      </c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4">
        <v>0.0</v>
      </c>
      <c r="M92" s="4">
        <v>0.0</v>
      </c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4">
        <v>1.0</v>
      </c>
      <c r="M93" s="4">
        <v>0.0</v>
      </c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4">
        <v>1.0</v>
      </c>
      <c r="M94" s="4">
        <v>1.0</v>
      </c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4">
        <v>2.0</v>
      </c>
      <c r="M95" s="4">
        <v>2.0</v>
      </c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  <c r="AG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4">
        <v>1.0</v>
      </c>
      <c r="M96" s="4">
        <v>0.0</v>
      </c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4">
        <v>2.0</v>
      </c>
      <c r="M97" s="4">
        <v>1.0</v>
      </c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  <c r="AG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4">
        <v>0.0</v>
      </c>
      <c r="M98" s="4">
        <v>1.0</v>
      </c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  <c r="AG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4">
        <v>0.0</v>
      </c>
      <c r="M99" s="4">
        <v>2.0</v>
      </c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  <c r="AG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4">
        <v>0.0</v>
      </c>
      <c r="M100" s="4">
        <v>1.0</v>
      </c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  <c r="AG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4">
        <v>2.0</v>
      </c>
      <c r="M101" s="4">
        <v>2.0</v>
      </c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  <c r="AG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4">
        <v>0.0</v>
      </c>
      <c r="M102" s="4">
        <v>2.0</v>
      </c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  <c r="AG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4">
        <v>1.0</v>
      </c>
      <c r="M103" s="4">
        <v>1.0</v>
      </c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  <c r="AG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4">
        <v>1.0</v>
      </c>
      <c r="M104" s="4">
        <v>0.0</v>
      </c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4">
        <v>0.0</v>
      </c>
      <c r="M105" s="4">
        <v>0.0</v>
      </c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  <c r="AG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4">
        <v>1.0</v>
      </c>
      <c r="M106" s="4">
        <v>2.0</v>
      </c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4">
        <v>0.0</v>
      </c>
      <c r="M107" s="4">
        <v>2.0</v>
      </c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  <c r="AG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4">
        <v>2.0</v>
      </c>
      <c r="M108" s="4">
        <v>2.0</v>
      </c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  <c r="AG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4">
        <v>2.0</v>
      </c>
      <c r="M109" s="4">
        <v>2.0</v>
      </c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  <c r="AG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4">
        <v>0.0</v>
      </c>
      <c r="M110" s="4">
        <v>2.0</v>
      </c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4">
        <v>2.0</v>
      </c>
      <c r="M111" s="4">
        <v>2.0</v>
      </c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  <c r="AG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4">
        <v>1.0</v>
      </c>
      <c r="M112" s="4">
        <v>2.0</v>
      </c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  <c r="AG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4">
        <v>0.0</v>
      </c>
      <c r="M113" s="4">
        <v>2.0</v>
      </c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4">
        <v>0.0</v>
      </c>
      <c r="M114" s="4">
        <v>1.0</v>
      </c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4">
        <v>0.0</v>
      </c>
      <c r="M115" s="4">
        <v>2.0</v>
      </c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  <c r="AG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4">
        <v>1.0</v>
      </c>
      <c r="M116" s="4">
        <v>0.0</v>
      </c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  <c r="AG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4">
        <v>2.0</v>
      </c>
      <c r="M117" s="4">
        <v>2.0</v>
      </c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  <c r="AG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4">
        <v>1.0</v>
      </c>
      <c r="M118" s="4">
        <v>2.0</v>
      </c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  <c r="AG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4">
        <v>2.0</v>
      </c>
      <c r="M119" s="4">
        <v>2.0</v>
      </c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4">
        <v>1.0</v>
      </c>
      <c r="M120" s="4">
        <v>1.0</v>
      </c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  <c r="AG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4">
        <v>1.0</v>
      </c>
      <c r="M121" s="4">
        <v>1.0</v>
      </c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  <c r="AG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4">
        <v>0.0</v>
      </c>
      <c r="M122" s="4">
        <v>2.0</v>
      </c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  <c r="AG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4">
        <v>1.0</v>
      </c>
      <c r="M123" s="4">
        <v>1.0</v>
      </c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4">
        <v>1.0</v>
      </c>
      <c r="M124" s="4">
        <v>1.0</v>
      </c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  <c r="AG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4">
        <v>1.0</v>
      </c>
      <c r="M125" s="4">
        <v>2.0</v>
      </c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4">
        <v>2.0</v>
      </c>
      <c r="M126" s="4">
        <v>1.0</v>
      </c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  <c r="AG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4">
        <v>1.0</v>
      </c>
      <c r="M127" s="4">
        <v>2.0</v>
      </c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  <c r="AG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4">
        <v>1.0</v>
      </c>
      <c r="M128" s="4">
        <v>1.0</v>
      </c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  <c r="AG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4">
        <v>2.0</v>
      </c>
      <c r="M129" s="4">
        <v>1.0</v>
      </c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  <c r="AG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4">
        <v>2.0</v>
      </c>
      <c r="M130" s="4">
        <v>1.0</v>
      </c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4">
        <v>2.0</v>
      </c>
      <c r="M131" s="4">
        <v>2.0</v>
      </c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  <c r="AG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4">
        <v>1.0</v>
      </c>
      <c r="M132" s="4">
        <v>1.0</v>
      </c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  <c r="AG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4">
        <v>0.0</v>
      </c>
      <c r="M133" s="4">
        <v>0.0</v>
      </c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  <c r="AG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4">
        <v>1.0</v>
      </c>
      <c r="M134" s="4">
        <v>0.0</v>
      </c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  <c r="AG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4">
        <v>1.0</v>
      </c>
      <c r="M135" s="4">
        <v>2.0</v>
      </c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  <c r="AG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4">
        <v>0.0</v>
      </c>
      <c r="M136" s="4">
        <v>2.0</v>
      </c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4">
        <v>1.0</v>
      </c>
      <c r="M137" s="4">
        <v>1.0</v>
      </c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  <c r="AG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4">
        <v>2.0</v>
      </c>
      <c r="M138" s="4">
        <v>2.0</v>
      </c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  <c r="AG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4">
        <v>2.0</v>
      </c>
      <c r="M139" s="4">
        <v>2.0</v>
      </c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  <c r="AG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4">
        <v>1.0</v>
      </c>
      <c r="M140" s="4">
        <v>1.0</v>
      </c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4">
        <v>0.0</v>
      </c>
      <c r="M141" s="4">
        <v>1.0</v>
      </c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  <c r="AG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4">
        <v>2.0</v>
      </c>
      <c r="M142" s="4">
        <v>2.0</v>
      </c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  <c r="AG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4">
        <v>1.0</v>
      </c>
      <c r="M143" s="4">
        <v>0.0</v>
      </c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  <c r="AG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4">
        <v>2.0</v>
      </c>
      <c r="M144" s="4">
        <v>2.0</v>
      </c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  <c r="AG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4">
        <v>0.0</v>
      </c>
      <c r="M145" s="4">
        <v>0.0</v>
      </c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4">
        <v>2.0</v>
      </c>
      <c r="M146" s="4">
        <v>1.0</v>
      </c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  <c r="AG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4">
        <v>1.0</v>
      </c>
      <c r="M147" s="4">
        <v>0.0</v>
      </c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  <c r="AG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4">
        <v>1.0</v>
      </c>
      <c r="M148" s="4">
        <v>1.0</v>
      </c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  <c r="AG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4">
        <v>1.0</v>
      </c>
      <c r="M149" s="4">
        <v>1.0</v>
      </c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  <c r="AG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4">
        <v>2.0</v>
      </c>
      <c r="M150" s="4">
        <v>2.0</v>
      </c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4">
        <v>1.0</v>
      </c>
      <c r="M151" s="4">
        <v>1.0</v>
      </c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  <c r="AG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4">
        <v>0.0</v>
      </c>
      <c r="M152" s="4">
        <v>1.0</v>
      </c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  <c r="AG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4">
        <v>2.0</v>
      </c>
      <c r="M153" s="4">
        <v>2.0</v>
      </c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4">
        <v>2.0</v>
      </c>
      <c r="M154" s="4">
        <v>2.0</v>
      </c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  <c r="AG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4">
        <v>2.0</v>
      </c>
      <c r="M155" s="4">
        <v>2.0</v>
      </c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  <c r="AG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4">
        <v>1.0</v>
      </c>
      <c r="M156" s="4">
        <v>1.0</v>
      </c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  <c r="AG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4">
        <v>2.0</v>
      </c>
      <c r="M157" s="4">
        <v>2.0</v>
      </c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  <c r="AG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4">
        <v>2.0</v>
      </c>
      <c r="M158" s="4">
        <v>1.0</v>
      </c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  <c r="AG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4">
        <v>0.0</v>
      </c>
      <c r="M159" s="4">
        <v>1.0</v>
      </c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  <c r="AG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4">
        <v>2.0</v>
      </c>
      <c r="M160" s="4">
        <v>0.0</v>
      </c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  <c r="AG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4">
        <v>1.0</v>
      </c>
      <c r="M161" s="4">
        <v>1.0</v>
      </c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  <c r="AG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4">
        <v>2.0</v>
      </c>
      <c r="M162" s="4">
        <v>2.0</v>
      </c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  <c r="AG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4">
        <v>1.0</v>
      </c>
      <c r="M163" s="4">
        <v>0.0</v>
      </c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  <c r="AG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4">
        <v>1.0</v>
      </c>
      <c r="M164" s="4">
        <v>1.0</v>
      </c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  <c r="AG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4">
        <v>1.0</v>
      </c>
      <c r="M165" s="4">
        <v>0.0</v>
      </c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  <c r="AG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4">
        <v>0.0</v>
      </c>
      <c r="M166" s="4">
        <v>2.0</v>
      </c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  <c r="AG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4">
        <v>1.0</v>
      </c>
      <c r="M167" s="4">
        <v>1.0</v>
      </c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  <c r="AG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4">
        <v>0.0</v>
      </c>
      <c r="M168" s="4">
        <v>2.0</v>
      </c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  <c r="AG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4">
        <v>1.0</v>
      </c>
      <c r="M169" s="4">
        <v>1.0</v>
      </c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  <c r="AG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4">
        <v>2.0</v>
      </c>
      <c r="M170" s="4">
        <v>2.0</v>
      </c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  <c r="AG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4">
        <v>2.0</v>
      </c>
      <c r="M171" s="4">
        <v>1.0</v>
      </c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  <c r="AG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4">
        <v>1.0</v>
      </c>
      <c r="M172" s="4">
        <v>0.0</v>
      </c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  <c r="AG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4">
        <v>0.0</v>
      </c>
      <c r="M173" s="4">
        <v>2.0</v>
      </c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  <c r="AG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4">
        <v>2.0</v>
      </c>
      <c r="M174" s="4">
        <v>2.0</v>
      </c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  <c r="AG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4">
        <v>2.0</v>
      </c>
      <c r="M175" s="4">
        <v>2.0</v>
      </c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  <c r="AG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  <c r="AG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  <c r="AG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  <c r="AG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  <c r="AG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  <c r="AG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  <c r="AG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  <c r="AG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  <c r="AG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  <c r="AG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  <c r="AG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  <c r="AG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  <c r="AG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  <c r="AG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  <c r="AG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  <c r="AG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  <c r="AG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  <c r="AG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  <c r="AG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  <c r="AG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  <c r="AG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  <c r="AG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  <c r="AG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  <c r="AG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  <c r="AG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  <c r="AG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  <c r="AG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  <c r="AG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  <c r="AG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  <c r="AG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  <c r="AG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  <c r="AG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  <c r="AG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  <c r="AG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  <c r="AG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  <c r="AG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  <c r="AG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  <c r="AG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  <c r="AG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  <c r="AG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  <c r="AG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  <c r="AG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  <c r="AG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  <c r="AG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  <c r="AG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  <c r="AG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  <c r="AG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  <c r="AG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  <c r="AG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  <c r="AG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  <c r="AG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  <c r="AG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  <c r="AG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  <c r="AG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  <c r="AG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  <c r="AG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  <c r="AG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  <c r="AG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  <c r="AG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  <c r="AG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  <c r="AG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  <c r="AG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  <c r="AG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  <c r="AG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  <c r="AG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  <c r="AG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  <c r="AG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  <c r="AG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  <c r="AG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  <c r="AG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  <c r="AG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  <c r="AG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  <c r="AD260" s="146"/>
      <c r="AE260" s="146"/>
      <c r="AF260" s="146"/>
      <c r="AG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  <c r="AG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  <c r="AG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  <c r="AG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  <c r="AG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  <c r="AG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  <c r="AG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  <c r="AG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  <c r="AG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  <c r="AG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  <c r="AG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  <c r="AG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  <c r="AG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  <c r="AG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  <c r="AG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  <c r="AG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  <c r="AG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  <c r="AG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  <c r="AG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  <c r="AG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  <c r="AG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  <c r="AG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  <c r="AG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  <c r="AG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  <c r="AG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  <c r="AG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  <c r="AG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  <c r="AG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  <c r="AG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  <c r="AG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  <c r="AG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  <c r="AG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  <c r="AG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  <c r="AG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  <c r="AG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  <c r="AG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  <c r="AG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  <c r="AG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  <c r="AG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  <c r="AG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  <c r="AG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  <c r="AG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  <c r="AG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  <c r="AG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  <c r="AG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  <c r="AG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  <c r="AG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  <c r="AG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  <c r="AG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  <c r="AG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  <c r="AG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  <c r="AG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  <c r="AG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  <c r="AG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  <c r="AG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  <c r="AG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  <c r="AG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  <c r="AG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  <c r="AG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  <c r="AG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  <c r="AG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  <c r="AG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  <c r="AG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  <c r="AG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  <c r="AG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  <c r="AG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  <c r="AG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  <c r="AG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  <c r="AG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  <c r="AG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  <c r="AG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  <c r="AG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  <c r="AG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  <c r="AG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  <c r="AG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  <c r="AG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  <c r="AG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  <c r="AG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  <c r="AG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  <c r="AG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  <c r="AG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  <c r="AG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  <c r="AG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  <c r="AG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  <c r="AG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  <c r="AG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  <c r="AG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  <c r="AG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  <c r="AG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  <c r="AG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  <c r="AG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  <c r="AG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  <c r="AG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  <c r="AG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  <c r="AG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  <c r="AG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  <c r="AG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  <c r="AG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  <c r="AG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  <c r="AG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  <c r="AG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  <c r="AG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  <c r="AG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  <c r="AG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  <c r="AG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  <c r="AG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  <c r="AG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  <c r="AG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  <c r="AG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  <c r="AG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  <c r="AG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  <c r="AG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  <c r="AG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  <c r="AG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  <c r="AG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  <c r="AG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  <c r="AG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  <c r="AG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  <c r="AG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  <c r="AG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  <c r="AG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  <c r="AG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  <c r="AG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  <c r="AG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  <c r="AG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  <c r="AG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  <c r="AG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  <c r="AG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  <c r="AG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  <c r="AG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  <c r="AG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  <c r="AG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  <c r="AG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  <c r="AG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  <c r="AG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  <c r="AG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  <c r="AG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  <c r="AG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  <c r="AG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  <c r="AG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  <c r="AG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  <c r="AG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  <c r="AG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  <c r="AG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  <c r="AG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  <c r="AG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  <c r="AG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  <c r="AG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  <c r="AG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  <c r="AG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  <c r="AG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  <c r="AG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  <c r="AG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  <c r="AG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  <c r="AG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  <c r="AG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  <c r="AG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  <c r="AG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  <c r="AG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  <c r="AG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  <c r="AG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  <c r="AG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  <c r="AG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  <c r="AG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  <c r="AG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  <c r="AG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  <c r="AG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  <c r="AG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  <c r="AG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  <c r="AG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  <c r="AG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  <c r="AG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  <c r="AG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  <c r="AG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  <c r="AG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  <c r="AG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  <c r="AG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  <c r="AG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  <c r="AG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  <c r="AG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  <c r="AG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  <c r="AG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  <c r="AG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  <c r="AG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  <c r="AG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  <c r="AG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  <c r="AG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  <c r="AG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  <c r="AG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  <c r="AG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  <c r="AG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  <c r="AG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  <c r="AG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  <c r="AG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  <c r="AG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  <c r="AG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  <c r="AG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  <c r="AG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  <c r="AG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  <c r="AG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  <c r="AG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  <c r="AG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  <c r="AG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  <c r="AG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  <c r="AG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  <c r="AG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  <c r="AG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  <c r="AG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  <c r="AG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  <c r="AG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  <c r="AG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  <c r="AG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  <c r="AG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  <c r="AG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  <c r="AG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  <c r="AG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  <c r="AG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  <c r="AG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  <c r="AG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  <c r="AG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  <c r="AG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  <c r="AG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  <c r="AG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  <c r="AG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  <c r="AG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  <c r="AG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  <c r="AG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  <c r="AG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  <c r="AG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  <c r="AG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  <c r="AG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  <c r="AG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  <c r="AG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  <c r="AG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  <c r="AG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  <c r="AG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  <c r="AG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  <c r="AG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  <c r="AG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  <c r="AG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  <c r="AG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  <c r="AG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  <c r="AG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  <c r="AG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  <c r="AG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  <c r="AG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  <c r="AG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  <c r="AG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  <c r="AG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  <c r="AG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  <c r="AG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  <c r="AG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  <c r="AG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  <c r="AG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  <c r="AG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  <c r="AG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  <c r="AG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  <c r="AG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  <c r="AG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  <c r="AG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  <c r="AG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  <c r="AG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  <c r="AG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  <c r="AG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  <c r="AG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  <c r="AG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  <c r="AG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  <c r="AG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  <c r="AG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  <c r="AG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  <c r="AG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  <c r="AG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  <c r="AG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  <c r="AG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  <c r="AG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  <c r="AG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  <c r="AG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  <c r="AG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  <c r="AG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  <c r="AG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  <c r="AG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  <c r="AG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  <c r="AG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  <c r="AG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  <c r="AG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  <c r="AG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  <c r="AG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  <c r="AG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  <c r="AG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  <c r="AG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  <c r="AG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  <c r="AG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  <c r="AG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  <c r="AG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  <c r="AG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  <c r="AG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  <c r="AG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  <c r="AG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  <c r="AG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  <c r="AG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  <c r="AG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  <c r="AG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  <c r="AG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  <c r="AG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  <c r="AG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  <c r="AG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  <c r="AG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  <c r="AG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  <c r="AG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  <c r="AG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  <c r="AG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  <c r="AG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  <c r="AG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  <c r="AG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  <c r="AG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  <c r="AG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  <c r="AG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  <c r="AG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  <c r="AG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  <c r="AG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  <c r="AG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  <c r="AG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  <c r="AG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  <c r="AG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  <c r="AG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  <c r="AG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  <c r="AG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  <c r="AG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  <c r="AG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  <c r="AG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  <c r="AG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  <c r="AG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  <c r="AG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  <c r="AG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  <c r="AG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  <c r="AG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  <c r="AG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  <c r="AG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  <c r="AG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  <c r="AG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  <c r="AG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  <c r="AG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  <c r="AG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  <c r="AG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  <c r="AG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  <c r="AG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  <c r="AG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  <c r="AG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  <c r="AG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  <c r="AG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  <c r="AG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  <c r="AG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  <c r="AG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  <c r="AG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  <c r="AG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  <c r="AG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  <c r="AG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  <c r="AG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  <c r="AG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  <c r="AG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  <c r="AG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  <c r="AG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  <c r="AG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  <c r="AG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  <c r="AG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  <c r="AG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  <c r="AG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  <c r="AG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  <c r="AG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  <c r="AG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  <c r="AG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  <c r="AG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  <c r="AG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  <c r="AG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  <c r="AG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  <c r="AG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  <c r="AG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  <c r="AG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  <c r="AG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  <c r="AG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  <c r="AG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  <c r="AG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  <c r="AG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  <c r="AG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  <c r="AG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  <c r="AG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  <c r="AG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  <c r="AG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  <c r="AG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  <c r="AG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  <c r="AG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  <c r="AG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  <c r="AG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  <c r="AG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  <c r="AG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  <c r="AG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  <c r="AG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  <c r="AG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  <c r="AG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  <c r="AG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  <c r="AG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  <c r="AG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  <c r="AG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  <c r="AG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  <c r="AG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  <c r="AG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  <c r="AG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  <c r="AG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  <c r="AG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  <c r="AG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  <c r="AG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  <c r="AG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  <c r="AG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  <c r="AG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  <c r="AG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  <c r="AG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  <c r="AG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  <c r="AG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  <c r="AG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  <c r="AG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  <c r="AG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  <c r="AG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  <c r="AG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  <c r="AG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  <c r="AG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  <c r="AG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  <c r="AG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  <c r="AG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  <c r="AG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  <c r="AG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  <c r="AG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  <c r="AG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  <c r="AG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  <c r="AG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  <c r="AG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  <c r="AG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  <c r="AG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  <c r="AG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  <c r="AG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  <c r="AG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  <c r="AG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  <c r="AG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  <c r="AG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  <c r="AG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  <c r="AG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  <c r="AG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  <c r="AG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  <c r="AG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  <c r="AG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  <c r="AG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  <c r="AG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  <c r="AG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  <c r="AG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  <c r="AG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  <c r="AG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  <c r="AG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  <c r="AG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  <c r="AG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  <c r="AG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  <c r="AG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  <c r="AG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  <c r="AG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  <c r="AG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  <c r="AG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  <c r="AG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  <c r="AG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  <c r="AG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  <c r="AG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  <c r="AG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  <c r="AG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  <c r="AG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  <c r="AG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  <c r="AG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  <c r="AG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  <c r="AG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  <c r="AG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  <c r="AG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  <c r="AG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  <c r="AG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  <c r="AG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  <c r="AG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  <c r="AG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  <c r="AG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  <c r="AG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  <c r="AG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  <c r="AG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  <c r="AG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  <c r="AG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  <c r="AG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  <c r="AG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  <c r="AG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  <c r="AG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  <c r="AG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  <c r="AG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  <c r="AG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  <c r="AG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  <c r="AG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  <c r="AG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  <c r="AG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  <c r="AG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  <c r="AG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  <c r="AG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  <c r="AG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  <c r="AG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  <c r="AG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  <c r="AG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  <c r="AG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  <c r="AG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  <c r="AG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  <c r="AG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  <c r="AG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  <c r="AG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  <c r="AG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  <c r="AG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  <c r="AG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  <c r="AG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  <c r="AG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  <c r="AG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  <c r="AG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  <c r="AG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  <c r="AG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  <c r="AG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  <c r="AG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  <c r="AG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  <c r="AG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  <c r="AG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  <c r="AG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  <c r="AG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  <c r="AG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  <c r="AG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  <c r="AG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  <c r="AG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  <c r="AG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  <c r="AG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  <c r="AG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  <c r="AG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  <c r="AG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  <c r="AG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  <c r="AG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  <c r="AG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  <c r="AG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  <c r="AG1001" s="14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245</v>
      </c>
    </row>
    <row r="2">
      <c r="B2" s="146"/>
      <c r="C2" s="181" t="s">
        <v>246</v>
      </c>
      <c r="E2" s="182"/>
      <c r="F2" s="102" t="s">
        <v>247</v>
      </c>
      <c r="H2" s="182"/>
    </row>
    <row r="3">
      <c r="B3" s="121" t="s">
        <v>248</v>
      </c>
      <c r="C3" s="183" t="s">
        <v>249</v>
      </c>
      <c r="D3" s="121" t="s">
        <v>250</v>
      </c>
      <c r="E3" s="184" t="s">
        <v>105</v>
      </c>
      <c r="F3" s="121" t="s">
        <v>251</v>
      </c>
      <c r="G3" s="121" t="s">
        <v>252</v>
      </c>
      <c r="H3" s="121" t="s">
        <v>253</v>
      </c>
    </row>
    <row r="4">
      <c r="B4" s="185" t="s">
        <v>254</v>
      </c>
      <c r="C4" s="186" t="s">
        <v>255</v>
      </c>
      <c r="D4" s="122" t="s">
        <v>256</v>
      </c>
      <c r="E4" s="187" t="s">
        <v>257</v>
      </c>
      <c r="F4" s="188" t="s">
        <v>258</v>
      </c>
      <c r="G4" s="188" t="s">
        <v>259</v>
      </c>
      <c r="H4" s="122"/>
    </row>
    <row r="5">
      <c r="B5" s="185" t="s">
        <v>260</v>
      </c>
      <c r="C5" s="189" t="s">
        <v>261</v>
      </c>
      <c r="D5" s="141"/>
      <c r="E5" s="187" t="s">
        <v>257</v>
      </c>
      <c r="F5" s="190" t="s">
        <v>262</v>
      </c>
      <c r="G5" s="191" t="s">
        <v>263</v>
      </c>
      <c r="H5" s="122"/>
    </row>
    <row r="6">
      <c r="B6" s="185" t="s">
        <v>264</v>
      </c>
      <c r="C6" s="186" t="s">
        <v>255</v>
      </c>
      <c r="D6" s="122" t="s">
        <v>265</v>
      </c>
      <c r="E6" s="187" t="s">
        <v>257</v>
      </c>
      <c r="F6" s="122" t="s">
        <v>242</v>
      </c>
      <c r="G6" s="122"/>
      <c r="H6" s="122"/>
    </row>
    <row r="7">
      <c r="B7" s="122" t="s">
        <v>17</v>
      </c>
      <c r="C7" s="192" t="s">
        <v>266</v>
      </c>
      <c r="D7" s="122"/>
      <c r="E7" s="193" t="s">
        <v>267</v>
      </c>
      <c r="F7" s="186" t="s">
        <v>268</v>
      </c>
      <c r="G7" s="122"/>
      <c r="H7" s="122" t="s">
        <v>269</v>
      </c>
    </row>
    <row r="8">
      <c r="B8" s="194" t="s">
        <v>270</v>
      </c>
      <c r="C8" s="195" t="s">
        <v>271</v>
      </c>
      <c r="D8" s="196"/>
      <c r="E8" s="194" t="s">
        <v>272</v>
      </c>
      <c r="F8" s="197" t="s">
        <v>273</v>
      </c>
      <c r="G8" s="198" t="s">
        <v>274</v>
      </c>
      <c r="H8" s="196"/>
    </row>
    <row r="9">
      <c r="B9" s="16" t="s">
        <v>275</v>
      </c>
      <c r="C9" s="199" t="s">
        <v>271</v>
      </c>
      <c r="D9" s="75"/>
      <c r="E9" s="75"/>
      <c r="F9" s="162"/>
      <c r="G9" s="75"/>
      <c r="H9" s="75"/>
    </row>
    <row r="10">
      <c r="B10" s="16" t="s">
        <v>276</v>
      </c>
      <c r="C10" s="162"/>
      <c r="D10" s="75"/>
      <c r="E10" s="75"/>
      <c r="F10" s="162"/>
      <c r="G10" s="188" t="s">
        <v>259</v>
      </c>
      <c r="H10" s="75"/>
    </row>
    <row r="11">
      <c r="B11" s="16" t="s">
        <v>277</v>
      </c>
      <c r="C11" s="162"/>
      <c r="D11" s="75"/>
      <c r="E11" s="75"/>
      <c r="F11" s="162"/>
      <c r="G11" s="200" t="s">
        <v>278</v>
      </c>
      <c r="H11" s="16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279</v>
      </c>
      <c r="C4" s="30"/>
    </row>
    <row r="5">
      <c r="C5" s="20" t="s">
        <v>280</v>
      </c>
    </row>
    <row r="7">
      <c r="C7" s="20" t="s">
        <v>281</v>
      </c>
    </row>
    <row r="8">
      <c r="D8" s="30"/>
    </row>
    <row r="9">
      <c r="B9" s="30" t="s">
        <v>282</v>
      </c>
    </row>
    <row r="10">
      <c r="C10" s="20" t="s">
        <v>283</v>
      </c>
    </row>
    <row r="13">
      <c r="D13" s="51" t="s">
        <v>284</v>
      </c>
    </row>
    <row r="14">
      <c r="D14" s="20" t="s">
        <v>285</v>
      </c>
    </row>
    <row r="16">
      <c r="D16" s="20" t="s">
        <v>286</v>
      </c>
    </row>
    <row r="20">
      <c r="B20" s="30" t="s">
        <v>287</v>
      </c>
    </row>
    <row r="21">
      <c r="B21" s="20" t="s">
        <v>288</v>
      </c>
    </row>
    <row r="22">
      <c r="B22" s="20" t="s">
        <v>289</v>
      </c>
    </row>
    <row r="23">
      <c r="C23" s="20" t="s">
        <v>290</v>
      </c>
    </row>
    <row r="26">
      <c r="L26" s="20" t="s">
        <v>291</v>
      </c>
      <c r="M26" s="20" t="s">
        <v>292</v>
      </c>
      <c r="N26" s="20" t="s">
        <v>43</v>
      </c>
      <c r="O26" s="20" t="s">
        <v>293</v>
      </c>
      <c r="P26" s="20" t="s">
        <v>294</v>
      </c>
      <c r="Q26" s="20" t="s">
        <v>179</v>
      </c>
      <c r="R26" s="20" t="s">
        <v>208</v>
      </c>
      <c r="S26" s="20" t="s">
        <v>201</v>
      </c>
      <c r="T26" s="20" t="s">
        <v>295</v>
      </c>
      <c r="U26" s="20" t="s">
        <v>9</v>
      </c>
      <c r="V26" s="20" t="s">
        <v>296</v>
      </c>
    </row>
    <row r="27">
      <c r="K27" s="20">
        <v>1.0</v>
      </c>
      <c r="M27" s="20" t="s">
        <v>297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297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297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3" t="s">
        <v>38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3" t="s">
        <v>37</v>
      </c>
      <c r="Q1" s="204"/>
      <c r="R1" s="204"/>
      <c r="S1" s="103"/>
      <c r="T1" s="103"/>
      <c r="U1" s="103"/>
      <c r="V1" s="103"/>
      <c r="W1" s="103"/>
      <c r="X1" s="205"/>
      <c r="Y1" s="205" t="s">
        <v>298</v>
      </c>
      <c r="Z1" s="103"/>
      <c r="AA1" s="103"/>
      <c r="AB1" s="103"/>
      <c r="AC1" s="103"/>
      <c r="AD1" s="103"/>
      <c r="AE1" s="103" t="s">
        <v>28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3" t="s">
        <v>29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3" t="s">
        <v>25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299</v>
      </c>
      <c r="CF1" s="208" t="s">
        <v>300</v>
      </c>
      <c r="CG1" s="208" t="s">
        <v>52</v>
      </c>
      <c r="CH1" s="208" t="s">
        <v>31</v>
      </c>
      <c r="CI1" s="208" t="s">
        <v>179</v>
      </c>
      <c r="CJ1" s="209"/>
      <c r="CK1" s="209"/>
      <c r="CL1" s="209"/>
      <c r="CM1" s="209"/>
      <c r="CN1" s="209"/>
    </row>
    <row r="2">
      <c r="A2" s="178"/>
      <c r="B2" s="210" t="s">
        <v>301</v>
      </c>
      <c r="E2" s="210"/>
      <c r="F2" s="211" t="s">
        <v>302</v>
      </c>
      <c r="G2" s="211" t="s">
        <v>302</v>
      </c>
      <c r="H2" s="211"/>
      <c r="I2" s="211" t="s">
        <v>302</v>
      </c>
      <c r="J2" s="212" t="s">
        <v>303</v>
      </c>
      <c r="N2" s="83" t="s">
        <v>304</v>
      </c>
      <c r="O2" s="84"/>
      <c r="P2" s="210" t="s">
        <v>301</v>
      </c>
      <c r="S2" s="212" t="s">
        <v>303</v>
      </c>
      <c r="W2" s="213" t="s">
        <v>304</v>
      </c>
      <c r="X2" s="210"/>
      <c r="Y2" s="210" t="s">
        <v>305</v>
      </c>
      <c r="Z2" s="83" t="s">
        <v>304</v>
      </c>
      <c r="AA2" s="211" t="s">
        <v>302</v>
      </c>
      <c r="AB2" s="211"/>
      <c r="AC2" s="211"/>
      <c r="AD2" s="211"/>
      <c r="AE2" s="210" t="s">
        <v>301</v>
      </c>
      <c r="AH2" s="212" t="s">
        <v>303</v>
      </c>
      <c r="AL2" s="83" t="s">
        <v>304</v>
      </c>
      <c r="AM2" s="84"/>
      <c r="AN2" s="210"/>
      <c r="AO2" s="83" t="s">
        <v>304</v>
      </c>
      <c r="AP2" s="211" t="s">
        <v>302</v>
      </c>
      <c r="AQ2" s="84"/>
      <c r="AR2" s="84"/>
      <c r="AS2" s="84"/>
      <c r="AT2" s="210" t="s">
        <v>301</v>
      </c>
      <c r="AW2" s="212" t="s">
        <v>303</v>
      </c>
      <c r="BB2" s="83" t="s">
        <v>304</v>
      </c>
      <c r="BC2" s="83"/>
      <c r="BD2" s="210"/>
      <c r="BE2" s="83" t="s">
        <v>304</v>
      </c>
      <c r="BF2" s="84"/>
      <c r="BG2" s="84"/>
      <c r="BH2" s="84"/>
      <c r="BI2" s="84"/>
      <c r="BJ2" s="210" t="s">
        <v>301</v>
      </c>
      <c r="BN2" s="212" t="s">
        <v>303</v>
      </c>
      <c r="BS2" s="214"/>
      <c r="BT2" s="83" t="s">
        <v>304</v>
      </c>
      <c r="BU2" s="83"/>
      <c r="BV2" s="210"/>
      <c r="BW2" s="83" t="s">
        <v>304</v>
      </c>
      <c r="BX2" s="211" t="s">
        <v>302</v>
      </c>
      <c r="BY2" s="214"/>
      <c r="BZ2" s="214"/>
      <c r="CA2" s="214"/>
      <c r="CB2" s="214"/>
      <c r="CC2" s="214"/>
      <c r="CD2" s="214"/>
      <c r="CE2" s="215" t="s">
        <v>24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8"/>
      <c r="B3" s="211" t="s">
        <v>306</v>
      </c>
      <c r="C3" s="211" t="s">
        <v>307</v>
      </c>
      <c r="D3" s="214" t="s">
        <v>308</v>
      </c>
      <c r="E3" s="218" t="s">
        <v>309</v>
      </c>
      <c r="F3" s="218" t="s">
        <v>310</v>
      </c>
      <c r="G3" s="218" t="s">
        <v>311</v>
      </c>
      <c r="H3" s="219" t="s">
        <v>312</v>
      </c>
      <c r="I3" s="220" t="s">
        <v>313</v>
      </c>
      <c r="J3" s="83" t="s">
        <v>314</v>
      </c>
      <c r="K3" s="83" t="s">
        <v>314</v>
      </c>
      <c r="L3" s="213" t="s">
        <v>315</v>
      </c>
      <c r="M3" s="221" t="s">
        <v>316</v>
      </c>
      <c r="N3" s="211" t="s">
        <v>317</v>
      </c>
      <c r="O3" s="84"/>
      <c r="P3" s="211" t="s">
        <v>306</v>
      </c>
      <c r="Q3" s="211" t="s">
        <v>307</v>
      </c>
      <c r="R3" s="214" t="s">
        <v>308</v>
      </c>
      <c r="S3" s="83" t="s">
        <v>314</v>
      </c>
      <c r="T3" s="83" t="s">
        <v>314</v>
      </c>
      <c r="U3" s="83" t="s">
        <v>315</v>
      </c>
      <c r="V3" s="222" t="s">
        <v>316</v>
      </c>
      <c r="W3" s="223" t="s">
        <v>317</v>
      </c>
      <c r="X3" s="224"/>
      <c r="Y3" s="218" t="s">
        <v>309</v>
      </c>
      <c r="Z3" s="211" t="s">
        <v>317</v>
      </c>
      <c r="AA3" s="218" t="s">
        <v>310</v>
      </c>
      <c r="AB3" s="220" t="s">
        <v>313</v>
      </c>
      <c r="AC3" s="83" t="s">
        <v>318</v>
      </c>
      <c r="AD3" s="211"/>
      <c r="AE3" s="211" t="s">
        <v>306</v>
      </c>
      <c r="AF3" s="211" t="s">
        <v>307</v>
      </c>
      <c r="AG3" s="214" t="s">
        <v>308</v>
      </c>
      <c r="AH3" s="213" t="s">
        <v>314</v>
      </c>
      <c r="AI3" s="83" t="s">
        <v>314</v>
      </c>
      <c r="AJ3" s="83" t="s">
        <v>315</v>
      </c>
      <c r="AK3" s="221" t="s">
        <v>316</v>
      </c>
      <c r="AL3" s="211" t="s">
        <v>317</v>
      </c>
      <c r="AM3" s="84"/>
      <c r="AN3" s="218" t="s">
        <v>309</v>
      </c>
      <c r="AO3" s="211" t="s">
        <v>317</v>
      </c>
      <c r="AP3" s="218" t="s">
        <v>310</v>
      </c>
      <c r="AQ3" s="220" t="s">
        <v>313</v>
      </c>
      <c r="AR3" s="83" t="s">
        <v>318</v>
      </c>
      <c r="AS3" s="84"/>
      <c r="AT3" s="211" t="s">
        <v>306</v>
      </c>
      <c r="AU3" s="211" t="s">
        <v>307</v>
      </c>
      <c r="AV3" s="214" t="s">
        <v>308</v>
      </c>
      <c r="AW3" s="213" t="s">
        <v>314</v>
      </c>
      <c r="AX3" s="213" t="s">
        <v>314</v>
      </c>
      <c r="AY3" s="83"/>
      <c r="AZ3" s="83" t="s">
        <v>315</v>
      </c>
      <c r="BA3" s="222" t="s">
        <v>316</v>
      </c>
      <c r="BB3" s="211" t="s">
        <v>317</v>
      </c>
      <c r="BC3" s="211"/>
      <c r="BD3" s="218" t="s">
        <v>309</v>
      </c>
      <c r="BE3" s="211" t="s">
        <v>317</v>
      </c>
      <c r="BF3" s="220" t="s">
        <v>313</v>
      </c>
      <c r="BG3" s="83" t="s">
        <v>318</v>
      </c>
      <c r="BH3" s="84"/>
      <c r="BI3" s="84"/>
      <c r="BJ3" s="211" t="s">
        <v>306</v>
      </c>
      <c r="BK3" s="211" t="s">
        <v>307</v>
      </c>
      <c r="BL3" s="225" t="s">
        <v>319</v>
      </c>
      <c r="BM3" s="214" t="s">
        <v>308</v>
      </c>
      <c r="BN3" s="83" t="s">
        <v>314</v>
      </c>
      <c r="BO3" s="83" t="s">
        <v>314</v>
      </c>
      <c r="BP3" s="83"/>
      <c r="BQ3" s="83" t="s">
        <v>315</v>
      </c>
      <c r="BR3" s="222" t="s">
        <v>316</v>
      </c>
      <c r="BS3" s="214" t="s">
        <v>320</v>
      </c>
      <c r="BT3" s="211" t="s">
        <v>317</v>
      </c>
      <c r="BU3" s="211"/>
      <c r="BV3" s="218" t="s">
        <v>309</v>
      </c>
      <c r="BW3" s="211" t="s">
        <v>317</v>
      </c>
      <c r="BX3" s="218" t="s">
        <v>310</v>
      </c>
      <c r="BY3" s="220" t="s">
        <v>313</v>
      </c>
      <c r="BZ3" s="83" t="s">
        <v>318</v>
      </c>
      <c r="CA3" s="214"/>
      <c r="CB3" s="214"/>
      <c r="CC3" s="214"/>
      <c r="CD3" s="214"/>
      <c r="CE3" s="215" t="s">
        <v>321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8"/>
      <c r="B4" s="83" t="s">
        <v>322</v>
      </c>
      <c r="C4" s="83" t="s">
        <v>323</v>
      </c>
      <c r="D4" s="61" t="s">
        <v>324</v>
      </c>
      <c r="E4" s="227" t="s">
        <v>325</v>
      </c>
      <c r="F4" s="83" t="s">
        <v>326</v>
      </c>
      <c r="G4" s="83" t="s">
        <v>327</v>
      </c>
      <c r="H4" s="83" t="s">
        <v>328</v>
      </c>
      <c r="I4" s="61" t="s">
        <v>329</v>
      </c>
      <c r="J4" s="228" t="s">
        <v>330</v>
      </c>
      <c r="K4" s="228" t="s">
        <v>331</v>
      </c>
      <c r="L4" s="229" t="s">
        <v>332</v>
      </c>
      <c r="M4" s="230" t="s">
        <v>333</v>
      </c>
      <c r="N4" s="83" t="s">
        <v>334</v>
      </c>
      <c r="O4" s="84"/>
      <c r="P4" s="83" t="s">
        <v>335</v>
      </c>
      <c r="Q4" s="83" t="s">
        <v>336</v>
      </c>
      <c r="R4" s="83" t="s">
        <v>337</v>
      </c>
      <c r="S4" s="228" t="s">
        <v>330</v>
      </c>
      <c r="T4" s="228" t="s">
        <v>331</v>
      </c>
      <c r="U4" s="229" t="s">
        <v>332</v>
      </c>
      <c r="V4" s="230" t="s">
        <v>338</v>
      </c>
      <c r="W4" s="213" t="s">
        <v>334</v>
      </c>
      <c r="X4" s="83"/>
      <c r="Y4" s="220" t="s">
        <v>339</v>
      </c>
      <c r="Z4" s="83" t="s">
        <v>334</v>
      </c>
      <c r="AA4" s="83" t="s">
        <v>326</v>
      </c>
      <c r="AB4" s="61" t="s">
        <v>329</v>
      </c>
      <c r="AC4" s="61" t="s">
        <v>328</v>
      </c>
      <c r="AD4" s="83"/>
      <c r="AE4" s="83" t="s">
        <v>340</v>
      </c>
      <c r="AF4" s="83" t="s">
        <v>340</v>
      </c>
      <c r="AG4" s="83" t="s">
        <v>341</v>
      </c>
      <c r="AH4" s="228" t="s">
        <v>330</v>
      </c>
      <c r="AI4" s="228" t="s">
        <v>331</v>
      </c>
      <c r="AJ4" s="229" t="s">
        <v>342</v>
      </c>
      <c r="AK4" s="230" t="s">
        <v>343</v>
      </c>
      <c r="AL4" s="83" t="s">
        <v>334</v>
      </c>
      <c r="AM4" s="84"/>
      <c r="AN4" s="220" t="s">
        <v>344</v>
      </c>
      <c r="AO4" s="83" t="s">
        <v>334</v>
      </c>
      <c r="AP4" s="83" t="s">
        <v>326</v>
      </c>
      <c r="AQ4" s="61" t="s">
        <v>329</v>
      </c>
      <c r="AR4" s="61" t="s">
        <v>328</v>
      </c>
      <c r="AS4" s="84"/>
      <c r="AT4" s="83" t="s">
        <v>345</v>
      </c>
      <c r="AU4" s="83" t="s">
        <v>336</v>
      </c>
      <c r="AV4" s="83" t="s">
        <v>346</v>
      </c>
      <c r="AW4" s="231" t="s">
        <v>330</v>
      </c>
      <c r="AX4" s="231" t="s">
        <v>331</v>
      </c>
      <c r="AY4" s="61" t="s">
        <v>347</v>
      </c>
      <c r="AZ4" s="229" t="s">
        <v>348</v>
      </c>
      <c r="BA4" s="230" t="s">
        <v>349</v>
      </c>
      <c r="BB4" s="83" t="s">
        <v>334</v>
      </c>
      <c r="BC4" s="83"/>
      <c r="BD4" s="220" t="s">
        <v>350</v>
      </c>
      <c r="BE4" s="83" t="s">
        <v>334</v>
      </c>
      <c r="BF4" s="61" t="s">
        <v>329</v>
      </c>
      <c r="BG4" s="61" t="s">
        <v>328</v>
      </c>
      <c r="BH4" s="84"/>
      <c r="BI4" s="84"/>
      <c r="BJ4" s="211" t="s">
        <v>351</v>
      </c>
      <c r="BK4" s="211" t="s">
        <v>352</v>
      </c>
      <c r="BL4" s="225" t="s">
        <v>353</v>
      </c>
      <c r="BM4" s="214" t="s">
        <v>354</v>
      </c>
      <c r="BN4" s="228" t="s">
        <v>330</v>
      </c>
      <c r="BO4" s="228" t="s">
        <v>331</v>
      </c>
      <c r="BP4" s="61" t="s">
        <v>355</v>
      </c>
      <c r="BQ4" s="229" t="s">
        <v>356</v>
      </c>
      <c r="BR4" s="232" t="s">
        <v>357</v>
      </c>
      <c r="BS4" s="232" t="s">
        <v>358</v>
      </c>
      <c r="BT4" s="83" t="s">
        <v>334</v>
      </c>
      <c r="BU4" s="83"/>
      <c r="BV4" s="222" t="s">
        <v>359</v>
      </c>
      <c r="BW4" s="83" t="s">
        <v>334</v>
      </c>
      <c r="BX4" s="83" t="s">
        <v>326</v>
      </c>
      <c r="BY4" s="61" t="s">
        <v>329</v>
      </c>
      <c r="BZ4" s="61" t="s">
        <v>328</v>
      </c>
      <c r="CA4" s="61"/>
      <c r="CB4" s="61"/>
      <c r="CC4" s="61"/>
      <c r="CD4" s="61"/>
      <c r="CE4" s="207" t="s">
        <v>360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1"/>
      <c r="CK4" s="61"/>
      <c r="CL4" s="61"/>
      <c r="CM4" s="61"/>
      <c r="CN4" s="61"/>
    </row>
    <row r="5">
      <c r="A5" s="234" t="s">
        <v>361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362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363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364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361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42">
        <v>5.38</v>
      </c>
      <c r="E16" s="242">
        <v>5.4</v>
      </c>
      <c r="F16" s="242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365</v>
      </c>
      <c r="C29" s="66"/>
      <c r="D29" s="66"/>
      <c r="E29" s="66"/>
      <c r="P29" s="13" t="s">
        <v>365</v>
      </c>
      <c r="U29" s="13"/>
      <c r="V29" s="13"/>
      <c r="W29" s="13"/>
      <c r="Z29" s="13"/>
      <c r="AA29" s="13"/>
      <c r="AB29" s="13"/>
      <c r="AC29" s="13"/>
      <c r="AD29" s="13"/>
      <c r="AE29" s="13" t="s">
        <v>365</v>
      </c>
      <c r="AT29" s="13" t="s">
        <v>365</v>
      </c>
      <c r="BJ29" s="13" t="s">
        <v>365</v>
      </c>
    </row>
    <row r="30">
      <c r="A30" s="66"/>
      <c r="B30" s="247">
        <v>342.0</v>
      </c>
      <c r="C30" s="13" t="s">
        <v>366</v>
      </c>
      <c r="D30" s="66"/>
      <c r="E30" s="66"/>
      <c r="F30" s="20" t="s">
        <v>367</v>
      </c>
      <c r="P30" s="20">
        <v>912.0</v>
      </c>
      <c r="AE30" s="20">
        <v>882.0</v>
      </c>
      <c r="AT30" s="20">
        <v>979.0</v>
      </c>
      <c r="AU30" s="20" t="s">
        <v>368</v>
      </c>
      <c r="BJ30" s="45">
        <v>1117.0</v>
      </c>
      <c r="BK30" s="20" t="s">
        <v>369</v>
      </c>
    </row>
    <row r="31">
      <c r="A31" s="66"/>
      <c r="B31" s="251">
        <v>1071.0</v>
      </c>
      <c r="C31" s="13" t="s">
        <v>370</v>
      </c>
      <c r="D31" s="66"/>
      <c r="E31" s="66"/>
      <c r="F31" s="20">
        <v>342.0</v>
      </c>
      <c r="P31" s="20">
        <v>834.0</v>
      </c>
      <c r="Q31" s="20" t="s">
        <v>371</v>
      </c>
      <c r="AE31" s="45">
        <v>899.0</v>
      </c>
      <c r="AF31" s="20" t="s">
        <v>372</v>
      </c>
      <c r="BJ31" s="20">
        <v>1093.0</v>
      </c>
      <c r="BK31" s="20" t="s">
        <v>373</v>
      </c>
    </row>
    <row r="32">
      <c r="A32" s="66"/>
      <c r="D32" s="66"/>
      <c r="E32" s="66"/>
      <c r="F32" s="20">
        <v>35.0</v>
      </c>
      <c r="P32" s="45">
        <v>1134.0</v>
      </c>
      <c r="Q32" s="20" t="s">
        <v>374</v>
      </c>
      <c r="AE32" s="20">
        <v>372.0</v>
      </c>
      <c r="AT32" s="20">
        <v>223.0</v>
      </c>
      <c r="AU32" s="20" t="s">
        <v>375</v>
      </c>
      <c r="BJ32" s="20">
        <v>261.0</v>
      </c>
      <c r="BK32" s="20" t="s">
        <v>373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376</v>
      </c>
      <c r="AE33" s="20">
        <v>544.0</v>
      </c>
      <c r="AF33" s="20" t="s">
        <v>377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201" t="s">
        <v>378</v>
      </c>
    </row>
    <row r="38">
      <c r="A38" s="66"/>
      <c r="C38" s="252" t="s">
        <v>379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380</v>
      </c>
    </row>
    <row r="43">
      <c r="A43" s="66"/>
      <c r="B43" s="66"/>
      <c r="D43" s="66"/>
      <c r="E43" s="66"/>
      <c r="F43" s="66"/>
    </row>
    <row r="44">
      <c r="A44" s="66"/>
      <c r="B44" s="66"/>
      <c r="C44" s="253" t="s">
        <v>381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6"/>
      <c r="B45" s="66"/>
      <c r="C45" s="66"/>
      <c r="D45" s="13" t="s">
        <v>24</v>
      </c>
      <c r="E45" s="13">
        <v>342.0</v>
      </c>
      <c r="F45" s="13"/>
    </row>
    <row r="46">
      <c r="A46" s="66"/>
      <c r="B46" s="66"/>
      <c r="C46" s="66"/>
      <c r="D46" s="13" t="s">
        <v>321</v>
      </c>
      <c r="E46" s="66"/>
      <c r="F46" s="66"/>
    </row>
    <row r="47">
      <c r="A47" s="66"/>
      <c r="B47" s="66"/>
      <c r="C47" s="66"/>
      <c r="D47" s="13" t="s">
        <v>360</v>
      </c>
      <c r="E47" s="66"/>
      <c r="F47" s="66"/>
    </row>
    <row r="48">
      <c r="A48" s="66"/>
      <c r="B48" s="66"/>
      <c r="C48" s="66"/>
      <c r="D48" s="13" t="s">
        <v>362</v>
      </c>
      <c r="E48" s="66"/>
      <c r="F48" s="66"/>
    </row>
    <row r="49">
      <c r="A49" s="66"/>
      <c r="B49" s="66"/>
      <c r="C49" s="66"/>
      <c r="D49" s="13" t="s">
        <v>364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382</v>
      </c>
    </row>
    <row r="3">
      <c r="C3" s="19" t="s">
        <v>18</v>
      </c>
      <c r="D3" s="20">
        <v>800.0</v>
      </c>
      <c r="G3" s="20" t="s">
        <v>383</v>
      </c>
      <c r="K3" s="256"/>
    </row>
    <row r="4">
      <c r="C4" s="16" t="s">
        <v>19</v>
      </c>
      <c r="G4" s="20" t="s">
        <v>384</v>
      </c>
      <c r="K4" s="256"/>
    </row>
    <row r="5">
      <c r="C5" s="16" t="s">
        <v>20</v>
      </c>
      <c r="G5" s="20" t="s">
        <v>385</v>
      </c>
      <c r="K5" s="256"/>
    </row>
    <row r="6">
      <c r="C6" s="16" t="s">
        <v>21</v>
      </c>
      <c r="G6" s="20" t="s">
        <v>386</v>
      </c>
    </row>
    <row r="7">
      <c r="G7" s="20" t="s">
        <v>387</v>
      </c>
    </row>
    <row r="12">
      <c r="D12" s="257" t="s">
        <v>388</v>
      </c>
      <c r="F12" s="21"/>
    </row>
    <row r="13">
      <c r="C13" s="30" t="s">
        <v>389</v>
      </c>
      <c r="D13" s="30" t="s">
        <v>390</v>
      </c>
      <c r="F13" s="21"/>
    </row>
    <row r="14">
      <c r="C14" s="20" t="s">
        <v>391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58">
        <v>771.0</v>
      </c>
      <c r="K14" s="40">
        <v>375.0</v>
      </c>
      <c r="L14" s="51">
        <v>342.0</v>
      </c>
      <c r="M14" s="259">
        <v>1071.0</v>
      </c>
    </row>
    <row r="15">
      <c r="C15" s="20" t="s">
        <v>392</v>
      </c>
      <c r="D15" s="260">
        <v>800.0</v>
      </c>
      <c r="F15" s="51">
        <v>1134.0</v>
      </c>
      <c r="G15" s="21">
        <v>808.0</v>
      </c>
    </row>
    <row r="16">
      <c r="C16" s="20" t="s">
        <v>392</v>
      </c>
      <c r="D16" s="20">
        <v>766.0</v>
      </c>
      <c r="E16" s="21">
        <v>563.0</v>
      </c>
      <c r="F16" s="40">
        <v>899.0</v>
      </c>
    </row>
    <row r="17">
      <c r="C17" s="20" t="s">
        <v>391</v>
      </c>
      <c r="D17" s="45">
        <v>184.0</v>
      </c>
      <c r="E17" s="20">
        <v>211.0</v>
      </c>
      <c r="F17" s="261"/>
    </row>
    <row r="18">
      <c r="C18" s="20" t="s">
        <v>391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393</v>
      </c>
      <c r="E19" s="20" t="s">
        <v>394</v>
      </c>
      <c r="F19" s="20" t="s">
        <v>395</v>
      </c>
    </row>
    <row r="20">
      <c r="C20" s="17"/>
      <c r="E20" s="17"/>
      <c r="F20" s="17"/>
    </row>
    <row r="21">
      <c r="F21" s="17"/>
    </row>
    <row r="22">
      <c r="D22" s="20" t="s">
        <v>396</v>
      </c>
      <c r="F22" s="17"/>
    </row>
    <row r="25">
      <c r="D25" s="20" t="s">
        <v>397</v>
      </c>
    </row>
    <row r="26">
      <c r="D26" s="20" t="s">
        <v>24</v>
      </c>
      <c r="E26" s="45">
        <v>375.0</v>
      </c>
      <c r="F26" s="20">
        <v>1070.0</v>
      </c>
      <c r="G26" s="20">
        <v>771.0</v>
      </c>
    </row>
    <row r="27">
      <c r="D27" s="20" t="s">
        <v>321</v>
      </c>
      <c r="E27" s="45">
        <v>1092.0</v>
      </c>
      <c r="F27" s="20">
        <v>808.0</v>
      </c>
    </row>
    <row r="28">
      <c r="D28" s="20" t="s">
        <v>360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362</v>
      </c>
      <c r="E29" s="20">
        <v>187.0</v>
      </c>
      <c r="F29" s="45">
        <v>211.0</v>
      </c>
      <c r="G29" s="20">
        <v>907.0</v>
      </c>
    </row>
    <row r="30">
      <c r="D30" s="20" t="s">
        <v>364</v>
      </c>
      <c r="E30" s="45">
        <v>546.0</v>
      </c>
    </row>
    <row r="34">
      <c r="D34" s="20" t="s">
        <v>398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18</v>
      </c>
      <c r="E36" s="48">
        <v>1083.0</v>
      </c>
      <c r="H36" s="45">
        <v>1140.0</v>
      </c>
      <c r="I36" s="20">
        <v>1092.0</v>
      </c>
    </row>
    <row r="37">
      <c r="D37" s="16" t="s">
        <v>19</v>
      </c>
      <c r="E37" s="48">
        <v>766.0</v>
      </c>
      <c r="G37" s="45">
        <v>563.0</v>
      </c>
      <c r="H37" s="45">
        <v>751.0</v>
      </c>
    </row>
    <row r="38">
      <c r="D38" s="16" t="s">
        <v>20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21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81" t="s">
        <v>399</v>
      </c>
      <c r="N43" s="102" t="s">
        <v>400</v>
      </c>
      <c r="O43" s="102" t="s">
        <v>401</v>
      </c>
      <c r="P43" s="102" t="s">
        <v>402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403</v>
      </c>
      <c r="O46" s="265" t="s">
        <v>404</v>
      </c>
      <c r="P46" s="4" t="s">
        <v>405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406</v>
      </c>
      <c r="O47" s="265" t="s">
        <v>407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408</v>
      </c>
      <c r="O48" s="265" t="s">
        <v>409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410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411</v>
      </c>
      <c r="O50" s="265"/>
      <c r="P50" s="4" t="s">
        <v>412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0" t="s">
        <v>413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414</v>
      </c>
    </row>
    <row r="70">
      <c r="D70" s="20" t="s">
        <v>415</v>
      </c>
    </row>
    <row r="71">
      <c r="D71" s="20" t="s">
        <v>416</v>
      </c>
      <c r="F71" s="17"/>
      <c r="G71" s="17"/>
      <c r="H71" s="17"/>
      <c r="I71" s="17"/>
    </row>
    <row r="72">
      <c r="D72" s="20" t="s">
        <v>417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418</v>
      </c>
    </row>
    <row r="75">
      <c r="D75" s="20" t="s">
        <v>419</v>
      </c>
    </row>
    <row r="76">
      <c r="D76" s="20" t="s">
        <v>420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38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179</v>
      </c>
      <c r="C2" s="102" t="s">
        <v>31</v>
      </c>
      <c r="D2" s="269" t="s">
        <v>201</v>
      </c>
      <c r="E2" s="102" t="s">
        <v>32</v>
      </c>
      <c r="F2" s="102" t="s">
        <v>421</v>
      </c>
      <c r="G2" s="102" t="s">
        <v>422</v>
      </c>
      <c r="H2" s="102" t="s">
        <v>423</v>
      </c>
      <c r="I2" s="269" t="s">
        <v>391</v>
      </c>
      <c r="J2" s="269" t="s">
        <v>392</v>
      </c>
      <c r="K2" s="102" t="s">
        <v>424</v>
      </c>
      <c r="L2" s="269" t="s">
        <v>425</v>
      </c>
      <c r="M2" s="102" t="s">
        <v>426</v>
      </c>
      <c r="N2" s="102" t="s">
        <v>427</v>
      </c>
      <c r="O2" s="269" t="s">
        <v>428</v>
      </c>
      <c r="P2" s="102" t="s">
        <v>429</v>
      </c>
      <c r="Q2" s="269" t="s">
        <v>430</v>
      </c>
      <c r="R2" s="211"/>
      <c r="S2" s="102" t="s">
        <v>179</v>
      </c>
      <c r="T2" s="102" t="s">
        <v>31</v>
      </c>
      <c r="U2" s="102" t="s">
        <v>201</v>
      </c>
      <c r="V2" s="102" t="s">
        <v>32</v>
      </c>
      <c r="W2" s="269" t="s">
        <v>421</v>
      </c>
      <c r="X2" s="102" t="s">
        <v>422</v>
      </c>
      <c r="Y2" s="102" t="s">
        <v>423</v>
      </c>
      <c r="Z2" s="102" t="s">
        <v>391</v>
      </c>
      <c r="AA2" s="102" t="s">
        <v>392</v>
      </c>
      <c r="AB2" s="102" t="s">
        <v>424</v>
      </c>
      <c r="AC2" s="102" t="s">
        <v>425</v>
      </c>
      <c r="AD2" s="102" t="s">
        <v>426</v>
      </c>
      <c r="AE2" s="269" t="s">
        <v>427</v>
      </c>
      <c r="AF2" s="102" t="s">
        <v>428</v>
      </c>
      <c r="AG2" s="269" t="s">
        <v>429</v>
      </c>
      <c r="AH2" s="102" t="s">
        <v>430</v>
      </c>
      <c r="AI2" s="84"/>
      <c r="AJ2" s="102" t="s">
        <v>179</v>
      </c>
      <c r="AK2" s="102" t="s">
        <v>31</v>
      </c>
      <c r="AL2" s="102" t="s">
        <v>201</v>
      </c>
      <c r="AM2" s="102" t="s">
        <v>32</v>
      </c>
      <c r="AN2" s="102" t="s">
        <v>421</v>
      </c>
      <c r="AO2" s="102" t="s">
        <v>422</v>
      </c>
      <c r="AP2" s="269" t="s">
        <v>423</v>
      </c>
      <c r="AQ2" s="102" t="s">
        <v>391</v>
      </c>
      <c r="AR2" s="269" t="s">
        <v>392</v>
      </c>
      <c r="AS2" s="102" t="s">
        <v>424</v>
      </c>
      <c r="AT2" s="102" t="s">
        <v>425</v>
      </c>
      <c r="AU2" s="102" t="s">
        <v>426</v>
      </c>
      <c r="AV2" s="102" t="s">
        <v>427</v>
      </c>
      <c r="AW2" s="102" t="s">
        <v>428</v>
      </c>
      <c r="AX2" s="269" t="s">
        <v>429</v>
      </c>
      <c r="AY2" s="102" t="s">
        <v>430</v>
      </c>
      <c r="AZ2" s="102"/>
      <c r="BA2" s="269" t="s">
        <v>179</v>
      </c>
      <c r="BB2" s="102" t="s">
        <v>31</v>
      </c>
      <c r="BC2" s="102" t="s">
        <v>201</v>
      </c>
      <c r="BD2" s="102" t="s">
        <v>32</v>
      </c>
      <c r="BE2" s="102" t="s">
        <v>421</v>
      </c>
      <c r="BF2" s="269" t="s">
        <v>422</v>
      </c>
      <c r="BG2" s="269" t="s">
        <v>423</v>
      </c>
      <c r="BH2" s="102" t="s">
        <v>391</v>
      </c>
      <c r="BI2" s="102" t="s">
        <v>392</v>
      </c>
      <c r="BJ2" s="269" t="s">
        <v>424</v>
      </c>
      <c r="BK2" s="269" t="s">
        <v>425</v>
      </c>
      <c r="BL2" s="102" t="s">
        <v>426</v>
      </c>
      <c r="BM2" s="102" t="s">
        <v>427</v>
      </c>
      <c r="BN2" s="269" t="s">
        <v>428</v>
      </c>
      <c r="BO2" s="102" t="s">
        <v>429</v>
      </c>
      <c r="BP2" s="102" t="s">
        <v>430</v>
      </c>
      <c r="BQ2" s="102"/>
      <c r="BR2" s="102" t="s">
        <v>179</v>
      </c>
      <c r="BS2" s="102" t="s">
        <v>31</v>
      </c>
      <c r="BT2" s="102" t="s">
        <v>201</v>
      </c>
      <c r="BU2" s="102" t="s">
        <v>32</v>
      </c>
      <c r="BV2" s="102" t="s">
        <v>421</v>
      </c>
      <c r="BW2" s="102" t="s">
        <v>422</v>
      </c>
      <c r="BX2" s="102" t="s">
        <v>423</v>
      </c>
      <c r="BY2" s="269" t="s">
        <v>391</v>
      </c>
      <c r="BZ2" s="269" t="s">
        <v>392</v>
      </c>
      <c r="CA2" s="102" t="s">
        <v>424</v>
      </c>
      <c r="CB2" s="102" t="s">
        <v>425</v>
      </c>
      <c r="CC2" s="102" t="s">
        <v>426</v>
      </c>
      <c r="CD2" s="102" t="s">
        <v>427</v>
      </c>
      <c r="CE2" s="102" t="s">
        <v>428</v>
      </c>
      <c r="CF2" s="102" t="s">
        <v>429</v>
      </c>
      <c r="CG2" s="102" t="s">
        <v>430</v>
      </c>
      <c r="CH2" s="102"/>
      <c r="CI2" s="102"/>
    </row>
    <row r="3">
      <c r="A3" s="234" t="s">
        <v>431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432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70">
        <v>-4.7780000000000005</v>
      </c>
      <c r="C26" s="270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71" t="s">
        <v>433</v>
      </c>
      <c r="B28" s="272" t="s">
        <v>24</v>
      </c>
      <c r="C28" s="272" t="s">
        <v>321</v>
      </c>
      <c r="D28" s="272" t="s">
        <v>360</v>
      </c>
      <c r="E28" s="272" t="s">
        <v>362</v>
      </c>
      <c r="F28" s="272" t="s">
        <v>364</v>
      </c>
      <c r="G28" s="273" t="s">
        <v>189</v>
      </c>
      <c r="J28" s="20" t="s">
        <v>24</v>
      </c>
      <c r="K28" s="20" t="s">
        <v>321</v>
      </c>
      <c r="L28" s="20" t="s">
        <v>360</v>
      </c>
      <c r="M28" s="20" t="s">
        <v>362</v>
      </c>
      <c r="N28" s="20" t="s">
        <v>364</v>
      </c>
      <c r="O28" s="20" t="s">
        <v>189</v>
      </c>
      <c r="Q28" s="274" t="s">
        <v>434</v>
      </c>
      <c r="R28" s="275" t="s">
        <v>24</v>
      </c>
      <c r="S28" s="275" t="s">
        <v>321</v>
      </c>
      <c r="T28" s="275" t="s">
        <v>360</v>
      </c>
      <c r="U28" s="275" t="s">
        <v>362</v>
      </c>
      <c r="V28" s="275" t="s">
        <v>364</v>
      </c>
      <c r="W28" s="275" t="s">
        <v>189</v>
      </c>
      <c r="X28" s="276" t="s">
        <v>363</v>
      </c>
      <c r="AA28" s="20" t="s">
        <v>24</v>
      </c>
      <c r="AB28" s="20" t="s">
        <v>321</v>
      </c>
      <c r="AC28" s="20" t="s">
        <v>360</v>
      </c>
      <c r="AD28" s="20" t="s">
        <v>362</v>
      </c>
      <c r="AE28" s="20" t="s">
        <v>364</v>
      </c>
    </row>
    <row r="29">
      <c r="A29" s="277" t="s">
        <v>429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429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84" t="s">
        <v>392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91" t="s">
        <v>392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392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84" t="s">
        <v>429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427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423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423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84" t="s">
        <v>423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428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422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422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21" t="s">
        <v>424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429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424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424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34" t="s">
        <v>427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1" t="s">
        <v>422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427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427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47" t="s">
        <v>422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430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430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34" t="s">
        <v>430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421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421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21" t="s">
        <v>425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1" t="s">
        <v>435</v>
      </c>
    </row>
    <row r="37">
      <c r="A37" s="277" t="s">
        <v>32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32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55"/>
      <c r="Q37" s="334" t="s">
        <v>201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201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201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90" t="s">
        <v>32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425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425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400" t="s">
        <v>421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391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391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21" t="s">
        <v>391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426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426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400" t="s">
        <v>428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31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31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21" t="s">
        <v>426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428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428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400" t="s">
        <v>179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179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179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57" t="s">
        <v>31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436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437</v>
      </c>
    </row>
    <row r="48">
      <c r="A48" s="20" t="s">
        <v>438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439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440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293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38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179</v>
      </c>
      <c r="C2" s="102" t="s">
        <v>31</v>
      </c>
      <c r="D2" s="269" t="s">
        <v>201</v>
      </c>
      <c r="E2" s="102" t="s">
        <v>32</v>
      </c>
      <c r="F2" s="102" t="s">
        <v>421</v>
      </c>
      <c r="G2" s="102" t="s">
        <v>422</v>
      </c>
      <c r="H2" s="102" t="s">
        <v>423</v>
      </c>
      <c r="I2" s="269" t="s">
        <v>391</v>
      </c>
      <c r="J2" s="269" t="s">
        <v>392</v>
      </c>
      <c r="K2" s="102" t="s">
        <v>424</v>
      </c>
      <c r="L2" s="269" t="s">
        <v>425</v>
      </c>
      <c r="M2" s="102" t="s">
        <v>426</v>
      </c>
      <c r="N2" s="102" t="s">
        <v>427</v>
      </c>
      <c r="O2" s="269" t="s">
        <v>428</v>
      </c>
      <c r="P2" s="102" t="s">
        <v>429</v>
      </c>
      <c r="Q2" s="269" t="s">
        <v>430</v>
      </c>
      <c r="R2" s="211"/>
      <c r="S2" s="102" t="s">
        <v>179</v>
      </c>
      <c r="T2" s="102" t="s">
        <v>31</v>
      </c>
      <c r="U2" s="102" t="s">
        <v>201</v>
      </c>
      <c r="V2" s="102" t="s">
        <v>32</v>
      </c>
      <c r="W2" s="269" t="s">
        <v>421</v>
      </c>
      <c r="X2" s="102" t="s">
        <v>422</v>
      </c>
      <c r="Y2" s="102" t="s">
        <v>423</v>
      </c>
      <c r="Z2" s="102" t="s">
        <v>391</v>
      </c>
      <c r="AA2" s="102" t="s">
        <v>392</v>
      </c>
      <c r="AB2" s="102" t="s">
        <v>424</v>
      </c>
      <c r="AC2" s="102" t="s">
        <v>425</v>
      </c>
      <c r="AD2" s="102" t="s">
        <v>426</v>
      </c>
      <c r="AE2" s="269" t="s">
        <v>427</v>
      </c>
      <c r="AF2" s="102" t="s">
        <v>428</v>
      </c>
      <c r="AG2" s="269" t="s">
        <v>429</v>
      </c>
      <c r="AH2" s="102" t="s">
        <v>430</v>
      </c>
      <c r="AI2" s="84"/>
      <c r="AJ2" s="102" t="s">
        <v>179</v>
      </c>
      <c r="AK2" s="102" t="s">
        <v>31</v>
      </c>
      <c r="AL2" s="102" t="s">
        <v>201</v>
      </c>
      <c r="AM2" s="102" t="s">
        <v>32</v>
      </c>
      <c r="AN2" s="102" t="s">
        <v>421</v>
      </c>
      <c r="AO2" s="102" t="s">
        <v>422</v>
      </c>
      <c r="AP2" s="269" t="s">
        <v>423</v>
      </c>
      <c r="AQ2" s="102" t="s">
        <v>391</v>
      </c>
      <c r="AR2" s="269" t="s">
        <v>392</v>
      </c>
      <c r="AS2" s="102" t="s">
        <v>424</v>
      </c>
      <c r="AT2" s="102" t="s">
        <v>425</v>
      </c>
      <c r="AU2" s="102" t="s">
        <v>426</v>
      </c>
      <c r="AV2" s="102" t="s">
        <v>427</v>
      </c>
      <c r="AW2" s="102" t="s">
        <v>428</v>
      </c>
      <c r="AX2" s="269" t="s">
        <v>429</v>
      </c>
      <c r="AY2" s="102" t="s">
        <v>430</v>
      </c>
      <c r="AZ2" s="102"/>
      <c r="BA2" s="269" t="s">
        <v>179</v>
      </c>
      <c r="BB2" s="102" t="s">
        <v>31</v>
      </c>
      <c r="BC2" s="102" t="s">
        <v>201</v>
      </c>
      <c r="BD2" s="102" t="s">
        <v>32</v>
      </c>
      <c r="BE2" s="102" t="s">
        <v>421</v>
      </c>
      <c r="BF2" s="269" t="s">
        <v>422</v>
      </c>
      <c r="BG2" s="269" t="s">
        <v>423</v>
      </c>
      <c r="BH2" s="102" t="s">
        <v>391</v>
      </c>
      <c r="BI2" s="102" t="s">
        <v>392</v>
      </c>
      <c r="BJ2" s="269" t="s">
        <v>424</v>
      </c>
      <c r="BK2" s="269" t="s">
        <v>425</v>
      </c>
      <c r="BL2" s="102" t="s">
        <v>426</v>
      </c>
      <c r="BM2" s="102" t="s">
        <v>427</v>
      </c>
      <c r="BN2" s="269" t="s">
        <v>428</v>
      </c>
      <c r="BO2" s="102" t="s">
        <v>429</v>
      </c>
      <c r="BP2" s="102" t="s">
        <v>430</v>
      </c>
      <c r="BQ2" s="102"/>
      <c r="BR2" s="102" t="s">
        <v>179</v>
      </c>
      <c r="BS2" s="102" t="s">
        <v>31</v>
      </c>
      <c r="BT2" s="102" t="s">
        <v>201</v>
      </c>
      <c r="BU2" s="102" t="s">
        <v>32</v>
      </c>
      <c r="BV2" s="102" t="s">
        <v>421</v>
      </c>
      <c r="BW2" s="102" t="s">
        <v>422</v>
      </c>
      <c r="BX2" s="102" t="s">
        <v>423</v>
      </c>
      <c r="BY2" s="269" t="s">
        <v>391</v>
      </c>
      <c r="BZ2" s="269" t="s">
        <v>392</v>
      </c>
      <c r="CA2" s="102" t="s">
        <v>424</v>
      </c>
      <c r="CB2" s="102" t="s">
        <v>425</v>
      </c>
      <c r="CC2" s="102" t="s">
        <v>426</v>
      </c>
      <c r="CD2" s="102" t="s">
        <v>427</v>
      </c>
      <c r="CE2" s="102" t="s">
        <v>428</v>
      </c>
      <c r="CF2" s="102" t="s">
        <v>429</v>
      </c>
      <c r="CG2" s="102" t="s">
        <v>430</v>
      </c>
      <c r="CH2" s="102"/>
      <c r="CI2" s="102"/>
    </row>
    <row r="3">
      <c r="A3" s="234" t="s">
        <v>441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442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70">
        <v>42.416999999999994</v>
      </c>
      <c r="C26" s="270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71" t="s">
        <v>433</v>
      </c>
      <c r="B28" s="272" t="s">
        <v>24</v>
      </c>
      <c r="C28" s="272" t="s">
        <v>321</v>
      </c>
      <c r="D28" s="272" t="s">
        <v>360</v>
      </c>
      <c r="E28" s="272" t="s">
        <v>362</v>
      </c>
      <c r="F28" s="272" t="s">
        <v>364</v>
      </c>
      <c r="G28" s="273" t="s">
        <v>189</v>
      </c>
      <c r="J28" s="20" t="s">
        <v>24</v>
      </c>
      <c r="K28" s="20" t="s">
        <v>321</v>
      </c>
      <c r="L28" s="20" t="s">
        <v>360</v>
      </c>
      <c r="M28" s="20" t="s">
        <v>362</v>
      </c>
      <c r="N28" s="20" t="s">
        <v>364</v>
      </c>
      <c r="O28" s="20" t="s">
        <v>189</v>
      </c>
      <c r="Q28" s="274" t="s">
        <v>434</v>
      </c>
      <c r="R28" s="275" t="s">
        <v>24</v>
      </c>
      <c r="S28" s="275" t="s">
        <v>321</v>
      </c>
      <c r="T28" s="275" t="s">
        <v>360</v>
      </c>
      <c r="U28" s="275" t="s">
        <v>362</v>
      </c>
      <c r="V28" s="275" t="s">
        <v>364</v>
      </c>
      <c r="W28" s="275" t="s">
        <v>189</v>
      </c>
      <c r="X28" s="276" t="s">
        <v>363</v>
      </c>
    </row>
    <row r="29">
      <c r="A29" s="464" t="s">
        <v>423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179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66" t="s">
        <v>423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424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31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75" t="s">
        <v>424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4" t="s">
        <v>423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422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201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66" t="s">
        <v>430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4" t="s">
        <v>430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430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32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75" t="s">
        <v>422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4" t="s">
        <v>428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392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421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66" t="s">
        <v>428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4" t="s">
        <v>392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201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422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66" t="s">
        <v>392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421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423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502" t="s">
        <v>201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428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391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75" t="s">
        <v>425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443</v>
      </c>
    </row>
    <row r="37">
      <c r="A37" s="464" t="s">
        <v>32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392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55"/>
      <c r="Q37" s="502" t="s">
        <v>391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444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391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424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75" t="s">
        <v>421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425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425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502" t="s">
        <v>429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31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426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75" t="s">
        <v>427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429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427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502" t="s">
        <v>32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427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428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75" t="s">
        <v>31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179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429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36" t="s">
        <v>179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426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430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45" t="s">
        <v>426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436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437</v>
      </c>
    </row>
    <row r="48">
      <c r="A48" s="20" t="s">
        <v>438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439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440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293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445</v>
      </c>
      <c r="L1" s="84"/>
    </row>
    <row r="2">
      <c r="L2" s="84"/>
    </row>
    <row r="3">
      <c r="A3" s="20" t="s">
        <v>446</v>
      </c>
      <c r="L3" s="84"/>
    </row>
    <row r="4">
      <c r="B4" s="20" t="s">
        <v>447</v>
      </c>
      <c r="G4" s="20" t="s">
        <v>297</v>
      </c>
      <c r="L4" s="84"/>
    </row>
    <row r="5">
      <c r="A5" s="19" t="s">
        <v>16</v>
      </c>
      <c r="B5" s="115">
        <v>0.664848456</v>
      </c>
      <c r="C5" s="256"/>
      <c r="D5" s="256"/>
      <c r="E5" s="256"/>
      <c r="F5" s="256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18</v>
      </c>
      <c r="B6" s="115">
        <v>0.664304152</v>
      </c>
      <c r="C6" s="256"/>
      <c r="D6" s="256"/>
      <c r="E6" s="256"/>
      <c r="F6" s="256"/>
      <c r="G6" s="115">
        <v>0.734990728</v>
      </c>
      <c r="H6" s="101">
        <f t="shared" si="1"/>
        <v>0.106406946</v>
      </c>
      <c r="L6" s="84"/>
    </row>
    <row r="7">
      <c r="A7" s="16" t="s">
        <v>19</v>
      </c>
      <c r="B7" s="115">
        <v>0.67680879</v>
      </c>
      <c r="C7" s="256"/>
      <c r="D7" s="256"/>
      <c r="E7" s="256"/>
      <c r="F7" s="256"/>
      <c r="G7" s="115">
        <v>0.798889936</v>
      </c>
      <c r="H7" s="101">
        <f t="shared" si="1"/>
        <v>0.1803776012</v>
      </c>
      <c r="L7" s="84"/>
    </row>
    <row r="8">
      <c r="A8" s="16" t="s">
        <v>20</v>
      </c>
      <c r="B8" s="115">
        <v>0.317632128</v>
      </c>
      <c r="C8" s="256"/>
      <c r="D8" s="256"/>
      <c r="E8" s="256"/>
      <c r="F8" s="256"/>
      <c r="G8" s="115">
        <v>0.384549825</v>
      </c>
      <c r="H8" s="101">
        <f t="shared" si="1"/>
        <v>0.2106767266</v>
      </c>
      <c r="L8" s="84"/>
    </row>
    <row r="9">
      <c r="A9" s="16" t="s">
        <v>21</v>
      </c>
      <c r="B9" s="115">
        <v>0.598124706</v>
      </c>
      <c r="C9" s="256"/>
      <c r="D9" s="256"/>
      <c r="E9" s="256"/>
      <c r="F9" s="256"/>
      <c r="G9" s="115">
        <v>0.636406505</v>
      </c>
      <c r="H9" s="101">
        <f t="shared" si="1"/>
        <v>0.06400303919</v>
      </c>
      <c r="L9" s="84"/>
    </row>
    <row r="11">
      <c r="A11" s="551" t="s">
        <v>448</v>
      </c>
    </row>
    <row r="13">
      <c r="A13" s="30" t="s">
        <v>449</v>
      </c>
    </row>
    <row r="14">
      <c r="A14" s="20" t="s">
        <v>450</v>
      </c>
    </row>
    <row r="15">
      <c r="B15" s="551" t="s">
        <v>451</v>
      </c>
    </row>
    <row r="18">
      <c r="A18" s="30" t="s">
        <v>452</v>
      </c>
    </row>
    <row r="19">
      <c r="B19" s="20" t="s">
        <v>453</v>
      </c>
      <c r="F19" s="85"/>
    </row>
    <row r="20">
      <c r="B20" s="30" t="s">
        <v>454</v>
      </c>
      <c r="C20" s="32"/>
      <c r="D20" s="32"/>
      <c r="E20" s="32"/>
      <c r="F20" s="32"/>
      <c r="G20" s="30" t="s">
        <v>455</v>
      </c>
      <c r="H20" s="30" t="s">
        <v>321</v>
      </c>
      <c r="I20" s="30" t="s">
        <v>360</v>
      </c>
      <c r="J20" s="30" t="s">
        <v>362</v>
      </c>
      <c r="K20" s="30" t="s">
        <v>364</v>
      </c>
    </row>
    <row r="21">
      <c r="B21" s="30" t="s">
        <v>456</v>
      </c>
      <c r="G21" s="34">
        <v>2.575</v>
      </c>
    </row>
    <row r="23">
      <c r="K23" s="30" t="s">
        <v>457</v>
      </c>
    </row>
    <row r="24">
      <c r="A24" s="20" t="s">
        <v>458</v>
      </c>
      <c r="H24" s="20" t="s">
        <v>179</v>
      </c>
      <c r="I24" s="20" t="s">
        <v>459</v>
      </c>
      <c r="K24" s="20" t="s">
        <v>460</v>
      </c>
      <c r="L24" s="20" t="s">
        <v>461</v>
      </c>
      <c r="M24" s="20" t="s">
        <v>462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463</v>
      </c>
    </row>
    <row r="26">
      <c r="A26" s="20">
        <v>4.52</v>
      </c>
      <c r="B26" s="20">
        <v>1.19</v>
      </c>
      <c r="K26" s="20" t="s">
        <v>464</v>
      </c>
    </row>
    <row r="27">
      <c r="A27" s="20">
        <v>12.04</v>
      </c>
      <c r="B27" s="20">
        <v>2.19</v>
      </c>
      <c r="K27" s="20" t="s">
        <v>465</v>
      </c>
    </row>
    <row r="28">
      <c r="A28" s="20">
        <v>0.63</v>
      </c>
      <c r="B28" s="20">
        <v>0.05</v>
      </c>
      <c r="K28" s="20" t="s">
        <v>466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467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468</v>
      </c>
    </row>
    <row r="42">
      <c r="A42" s="20">
        <v>2.18</v>
      </c>
      <c r="B42" s="20">
        <v>0.69</v>
      </c>
      <c r="K42" s="20" t="s">
        <v>460</v>
      </c>
      <c r="L42" s="20" t="s">
        <v>461</v>
      </c>
      <c r="M42" s="20" t="s">
        <v>462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52" t="s">
        <v>470</v>
      </c>
      <c r="M54" s="553"/>
      <c r="N54" s="80" t="s">
        <v>43</v>
      </c>
      <c r="O54" s="80" t="s">
        <v>471</v>
      </c>
      <c r="P54" s="80" t="s">
        <v>472</v>
      </c>
      <c r="R54" s="21" t="s">
        <v>115</v>
      </c>
      <c r="S54" s="85">
        <v>0.15</v>
      </c>
    </row>
    <row r="55">
      <c r="A55" s="20">
        <v>0.64</v>
      </c>
      <c r="B55" s="20">
        <v>-0.12</v>
      </c>
      <c r="K55" s="16" t="s">
        <v>24</v>
      </c>
      <c r="L55" s="554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54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54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473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364</v>
      </c>
      <c r="L58" s="554">
        <v>0.57</v>
      </c>
      <c r="M58" s="75"/>
      <c r="N58" s="16">
        <v>10.0</v>
      </c>
      <c r="O58" s="16">
        <f t="shared" si="3"/>
        <v>0.855</v>
      </c>
      <c r="P58" s="16" t="s">
        <v>474</v>
      </c>
    </row>
    <row r="59">
      <c r="A59" s="20">
        <v>0.0</v>
      </c>
      <c r="B59" s="20">
        <v>0.0</v>
      </c>
      <c r="K59" s="75"/>
      <c r="L59" s="554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475</v>
      </c>
    </row>
    <row r="61">
      <c r="A61" s="20">
        <v>0.65</v>
      </c>
      <c r="B61" s="20">
        <v>0.02</v>
      </c>
      <c r="K61" s="16" t="s">
        <v>362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360</v>
      </c>
      <c r="L64" s="16">
        <v>0.42</v>
      </c>
      <c r="M64" s="75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55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56"/>
      <c r="N66" s="16">
        <v>5.0</v>
      </c>
      <c r="O66" s="555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55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55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321</v>
      </c>
      <c r="L70" s="16">
        <v>0.66</v>
      </c>
      <c r="M70" s="75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476</v>
      </c>
    </row>
    <row r="90">
      <c r="A90" s="20">
        <v>3.62</v>
      </c>
      <c r="B90" s="20">
        <v>0.95</v>
      </c>
      <c r="K90" s="30" t="s">
        <v>477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