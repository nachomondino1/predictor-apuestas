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Historial de entrenamientos" sheetId="2" r:id="rId5"/>
    <sheet state="visible" name="Data preparation" sheetId="3" r:id="rId6"/>
    <sheet state="visible" name="Calculate m_to_use" sheetId="4" r:id="rId7"/>
    <sheet state="visible" name="Historial de modelos" sheetId="5" r:id="rId8"/>
    <sheet state="visible" name="Analisis Doble oportunidad" sheetId="6" r:id="rId9"/>
    <sheet state="hidden" name="Peores modelos" sheetId="7" r:id="rId10"/>
  </sheets>
  <definedNames>
    <definedName hidden="1" localSheetId="0" name="_xlnm._FilterDatabase">'Modelos actuales'!$A$1:$AV$14</definedName>
    <definedName hidden="1" localSheetId="1" name="_xlnm._FilterDatabase">'Historial de entrenamientos'!$A$2:$U$25</definedName>
    <definedName hidden="1" localSheetId="4" name="_xlnm._FilterDatabase">'Historial de modelos'!$A$1:$AC$8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H1">
      <text>
        <t xml:space="preserve">Hasta semana 3 incluida.</t>
      </text>
    </comment>
    <comment authorId="0" ref="AI1">
      <text>
        <t xml:space="preserve">Siempre es un poco menor al ROI del assess sin restricciones en la forma de apostar.
Reestricciones:
- un bank por dia
- sum de stakes de un dia menor a 100</t>
      </text>
    </comment>
    <comment authorId="0" ref="AN1">
      <text>
        <t xml:space="preserve">Si hay 9 partidos en el dia, en promedio ganas el 6%*9=54%</t>
      </text>
    </comment>
    <comment authorId="0" ref="AP1">
      <text>
        <t xml:space="preserve">Si hay 9 partidos en el dia, en promedio ganas el 6%*9=54%</t>
      </text>
    </comment>
    <comment authorId="0" ref="AR1">
      <text>
        <t xml:space="preserve">Idealmente -0.5 para que vaya por el rdo predicho (por que tal vez a la gente no le paso el resultado a apostar)</t>
      </text>
    </comment>
    <comment authorId="0" ref="AV2">
      <text>
        <t xml:space="preserve">el 167 y el 175 estan muy atras cuando los analizas sin un bank simultaneo..
</t>
      </text>
    </comment>
    <comment authorId="0" ref="W3">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X3">
      <text>
        <t xml:space="preserve">dejo afuera outlier 1173</t>
      </text>
    </comment>
    <comment authorId="0" ref="AK3">
      <text>
        <t xml:space="preserve">considere solo +5</t>
      </text>
    </comment>
    <comment authorId="0" ref="AT3">
      <text>
        <t xml:space="preserve">El assess aun no entiende que en un dia los stake_to_bet como porcentaje del bank debe ser menor a 100... y ajustar el m en consecuencia.</t>
      </text>
    </comment>
    <comment authorId="0" ref="Z4">
      <text>
        <t xml:space="preserve">saco el modelo 78 porque es outlier. Es n_years 3 y esta muy overfitteado.</t>
      </text>
    </comment>
    <comment authorId="0" ref="AK5">
      <text>
        <t xml:space="preserve">+4 PART PORQUE SON TODOS DE 4.</t>
      </text>
    </comment>
    <comment authorId="0" ref="Z6">
      <text>
        <t xml:space="preserve">no tengo en cuenta modelo outlier 2254</t>
      </text>
    </comment>
    <comment authorId="0" ref="V7">
      <text>
        <t xml:space="preserve">Fue porque son los de final de temporada y por arreglo de partidos?
</t>
      </text>
    </comment>
    <comment authorId="0" ref="Z7">
      <text>
        <t xml:space="preserve">no tengo en cuenta modelo outlier 470</t>
      </text>
    </comment>
    <comment authorId="0" ref="AK7">
      <text>
        <t xml:space="preserve">+4 PART PORQUE HAY VARIOS DE 4.</t>
      </text>
    </comment>
    <comment authorId="0" ref="O9">
      <text>
        <t xml:space="preserve">Tiene sentido. En USA, no empatan. Gano uno o el otro.</t>
      </text>
    </comment>
    <comment authorId="0" ref="W12">
      <text>
        <t xml:space="preserve">Final de temporada, se dio cualquier rdo.</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U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U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t>
      </text>
    </comment>
    <comment authorId="0" ref="G17">
      <text>
        <t xml:space="preserve">inicio: Viernes 6 sept 12.00hs
fin: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F23">
      <text>
        <t xml:space="preserve">el SVC() es clave en ITA</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Agarre el modelo 808, pesimo en las 3 primeras semanas...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Muchas veces hay modelos outlier...
que despues terminan cayendo y ajustandose </t>
      </text>
    </comment>
    <comment authorId="0" ref="V1">
      <text>
        <t xml:space="preserve">el m a utilizar cuando apuesto</t>
      </text>
    </comment>
    <comment authorId="0" ref="W1">
      <text>
        <t xml:space="preserve">Idealmente -0.5 para que vaya por el rdo predicho (por que tal vez a la gente no le paso el resultado a apostar)</t>
      </text>
    </comment>
    <comment authorId="0" ref="Z1">
      <text>
        <t xml:space="preserve">solo en las competiciones que estan en comp_to_select</t>
      </text>
    </comment>
    <comment authorId="0" ref="AB1">
      <text>
        <t xml:space="preserve">usando un m=15</t>
      </text>
    </comment>
    <comment authorId="0" ref="AC3">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AC8">
      <text>
        <t xml:space="preserve">Si bien no es el que mas roi_pp tiene, es el primero con under y n_years_to_select &gt;= 10.
n_years            Average of roi_por_partido
3                       0,06
5                       0,01
10                     0,17
None                 0,14
Grand Total       0,09
</t>
      </text>
    </comment>
    <comment authorId="0" ref="C19">
      <text>
        <t xml:space="preserve">Fecha de entrenamiento de modelos</t>
      </text>
    </comment>
    <comment authorId="0" ref="C52">
      <text>
        <t xml:space="preserve">Fecha de entrenamiento de modelos</t>
      </text>
    </comment>
    <comment authorId="0" ref="R52">
      <text>
        <t xml:space="preserve">Fecha de evaluacion de modelos ya entrenados con partidos missing ("en produccion").</t>
      </text>
    </comment>
    <comment authorId="0" ref="S52">
      <text>
        <t xml:space="preserve">solo en las competiciones que estan en comp_to_select</t>
      </text>
    </comment>
    <comment authorId="0" ref="V52">
      <text>
        <t xml:space="preserve">Muchas veces hay modelos outlier...
que despues terminan cayendo y ajustandose </t>
      </text>
    </comment>
    <comment authorId="0" ref="AB52">
      <text>
        <t xml:space="preserve">Idealmente -0.5 para que vaya por el rdo predicho (por que tal vez a la gente no le paso el resultado a apostar)</t>
      </text>
    </comment>
    <comment authorId="0" ref="AC52">
      <text>
        <t xml:space="preserve">el m a utilizar cuando apuesto</t>
      </text>
    </comment>
    <comment authorId="0" ref="U54">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V54">
      <text>
        <t xml:space="preserve">dejo afuera outlier del 989</t>
      </text>
    </comment>
    <comment authorId="0" ref="T55">
      <text>
        <t xml:space="preserve">Fue porque son los de final de temporada y por arreglo de partidos?
</t>
      </text>
    </comment>
    <comment authorId="0" ref="V56">
      <text>
        <t xml:space="preserve">dejo afuera outlier de 808</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<sst xmlns="http://schemas.openxmlformats.org/spreadsheetml/2006/main" count="852" uniqueCount="367">
  <si>
    <t>id_country</t>
  </si>
  <si>
    <t>country</t>
  </si>
  <si>
    <t>iteration_date</t>
  </si>
  <si>
    <t># modelos entrenados</t>
  </si>
  <si>
    <t>n_model</t>
  </si>
  <si>
    <t>Selección de modelo</t>
  </si>
  <si>
    <t>n_dias_ult_part</t>
  </si>
  <si>
    <t>n_anios_hist</t>
  </si>
  <si>
    <t>segun_localia</t>
  </si>
  <si>
    <t>thr_corr</t>
  </si>
  <si>
    <t>thr_fs</t>
  </si>
  <si>
    <t>n_years_to_select</t>
  </si>
  <si>
    <t>comp_to_select</t>
  </si>
  <si>
    <t>fill_na</t>
  </si>
  <si>
    <t>bal_type</t>
  </si>
  <si>
    <t>Model</t>
  </si>
  <si>
    <t>Cantidad de variables</t>
  </si>
  <si>
    <t>fecha_assess_model</t>
  </si>
  <si>
    <t>Cantidad de partidos missing</t>
  </si>
  <si>
    <t># Modelos ROIpp &gt; 0</t>
  </si>
  <si>
    <t xml:space="preserve">% modelos ROIpp &gt; 0 </t>
  </si>
  <si>
    <t>ROI pp en partido 50
Top 20 modelos</t>
  </si>
  <si>
    <t>ROI pp en partido 100
Top 20 modelos</t>
  </si>
  <si>
    <t>ROI pp
Top 20 modelos</t>
  </si>
  <si>
    <t>m promedio</t>
  </si>
  <si>
    <t>Metrica para m_to_use</t>
  </si>
  <si>
    <t>% ROI pp desde partido 100</t>
  </si>
  <si>
    <t>m_to_use
Assess</t>
  </si>
  <si>
    <t>m_to_use</t>
  </si>
  <si>
    <t>roi_por_partido en partido 50</t>
  </si>
  <si>
    <t>ROI</t>
  </si>
  <si>
    <t>roi_por_partido</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</si>
  <si>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</si>
  <si>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</si>
  <si>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</si>
  <si>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</si>
  <si>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</si>
  <si>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</si>
  <si>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</si>
  <si>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</si>
  <si>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</si>
  <si>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</si>
  <si>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</si>
  <si>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thr_prob_min_best</t>
  </si>
  <si>
    <t>curva</t>
  </si>
  <si>
    <t>param1</t>
  </si>
  <si>
    <t>param2</t>
  </si>
  <si>
    <t>Observaciones</t>
  </si>
  <si>
    <t>167_old</t>
  </si>
  <si>
    <t>usa_old</t>
  </si>
  <si>
    <r>
      <rPr>
        <rFont val="Arial"/>
        <b/>
        <color rgb="FF38761D"/>
      </rPr>
      <t>2800. Prec 54%</t>
    </r>
    <r>
      <rPr>
        <rFont val="Arial"/>
        <color rgb="FF38761D"/>
      </rPr>
      <t xml:space="preserve">
:) ROI creciente ;  % ROI desde 100 (+23.9) y desde 150 (+5.2) ; n_years medio (5)
:( p12</t>
    </r>
    <r>
      <rPr>
        <rFont val="Arial"/>
        <color theme="1"/>
      </rPr>
      <t xml:space="preserve">
</t>
    </r>
    <r>
      <rPr>
        <rFont val="Arial"/>
        <b/>
        <color theme="1"/>
      </rPr>
      <t>1659</t>
    </r>
    <r>
      <rPr>
        <rFont val="Arial"/>
        <color theme="1"/>
      </rPr>
      <t xml:space="preserve">
:) ROI creciente ;  % ROI desde 100 (15.9) y desde 150 (+6.6) ; n_years medio (5)
:( p16 ; over?
</t>
    </r>
    <r>
      <rPr>
        <rFont val="Arial"/>
        <b/>
        <color theme="1"/>
      </rPr>
      <t>1938</t>
    </r>
    <r>
      <rPr>
        <rFont val="Arial"/>
        <color theme="1"/>
      </rPr>
      <t xml:space="preserve">
:) p1
:( volatilidad ; % ROI desde 100 (96.4) y desde 150 (+0.4) --&gt; ROI se quedo? ; over ; n_years bajo (3)
</t>
    </r>
    <r>
      <rPr>
        <rFont val="Arial"/>
        <b/>
        <color theme="1"/>
      </rPr>
      <t>1632</t>
    </r>
    <r>
      <rPr>
        <rFont val="Arial"/>
        <color theme="1"/>
      </rPr>
      <t xml:space="preserve">
:) p3 
:( % ROI desde 100 (5.3) y desde 150 (+5.2) --&gt; crecio poco desde part 100 ; over ; n_years bajo (3)</t>
    </r>
  </si>
  <si>
    <t>0.7</t>
  </si>
  <si>
    <t>0.1</t>
  </si>
  <si>
    <t>[1671, 1672, 1673]</t>
  </si>
  <si>
    <t>ml</t>
  </si>
  <si>
    <t>LogisticRegression</t>
  </si>
  <si>
    <t>-0.50</t>
  </si>
  <si>
    <t>linear</t>
  </si>
  <si>
    <t>55_old</t>
  </si>
  <si>
    <t>france</t>
  </si>
  <si>
    <r>
      <rPr>
        <rFont val="Arial"/>
        <color rgb="FF38761D"/>
      </rPr>
      <t xml:space="preserve">- </t>
    </r>
    <r>
      <rPr>
        <rFont val="Arial"/>
        <b/>
        <color rgb="FF38761D"/>
      </rPr>
      <t>682</t>
    </r>
    <r>
      <rPr>
        <rFont val="Arial"/>
        <color rgb="FF38761D"/>
      </rPr>
      <t xml:space="preserve">: 65% precision. Usa DP. 
:) p2 ; Roi creciente ; ROI nueva temp 1654% </t>
    </r>
    <r>
      <rPr>
        <rFont val="Arial"/>
        <b/>
        <color rgb="FF38761D"/>
      </rPr>
      <t>(+13.7)</t>
    </r>
    <r>
      <rPr>
        <rFont val="Arial"/>
        <color rgb="FF38761D"/>
      </rPr>
      <t>; X_train grande (5030, 12); n_years alto (none)
:( Pocas variables (12)?</t>
    </r>
    <r>
      <rPr>
        <rFont val="Arial"/>
        <color rgb="FF000000"/>
      </rPr>
      <t xml:space="preserve">
- </t>
    </r>
    <r>
      <rPr>
        <rFont val="Arial"/>
        <b/>
        <color rgb="FF000000"/>
      </rPr>
      <t>1432</t>
    </r>
    <r>
      <rPr>
        <rFont val="Arial"/>
        <color rgb="FF000000"/>
      </rPr>
      <t xml:space="preserve">: 66% precision. No usa DP. 
:) p1; ROI nueva temp 1288% (+4.7); X_train grande (4812) ; n_years alto (10)
:( 
- </t>
    </r>
    <r>
      <rPr>
        <rFont val="Arial"/>
        <b/>
        <color rgb="FF000000"/>
      </rPr>
      <t xml:space="preserve">1,225: </t>
    </r>
    <r>
      <rPr>
        <rFont val="Arial"/>
        <color rgb="FF000000"/>
      </rPr>
      <t>Prec 63%</t>
    </r>
    <r>
      <rPr>
        <rFont val="Arial"/>
        <b/>
        <color rgb="FF000000"/>
      </rPr>
      <t xml:space="preserve">
:)</t>
    </r>
    <r>
      <rPr>
        <rFont val="Arial"/>
        <color rgb="FF000000"/>
      </rPr>
      <t xml:space="preserve"> ROI creciente ; ROI nueva temp 4118% (+11.8)
:( n_years bajo (3) ; X_train bajo (1640)
</t>
    </r>
    <r>
      <rPr>
        <rFont val="Arial"/>
        <b/>
        <color rgb="FF000000"/>
      </rPr>
      <t xml:space="preserve">1386
</t>
    </r>
    <r>
      <rPr>
        <rFont val="Arial"/>
        <color rgb="FF000000"/>
      </rPr>
      <t xml:space="preserve">:) p7; Roi creciente ; ROI nueva temp ?% (+4.2) ; X_train grande (6180, 28) ; n_years alto (10)
:( over?
- </t>
    </r>
    <r>
      <rPr>
        <rFont val="Arial"/>
        <b/>
        <color rgb="FF000000"/>
      </rPr>
      <t>1,410</t>
    </r>
    <r>
      <rPr>
        <rFont val="Arial"/>
        <color rgb="FF000000"/>
      </rPr>
      <t xml:space="preserve">: Sin DP. Prec 63%
:) Roi creciente ; ROI nueva temp 1264%; X_train grande (6210) ; n_years alto (10)
:( over?
</t>
    </r>
    <r>
      <rPr>
        <rFont val="Arial"/>
        <b/>
        <color rgb="FFFF0000"/>
      </rPr>
      <t xml:space="preserve">Modelos no deseados:
</t>
    </r>
    <r>
      <rPr>
        <rFont val="Arial"/>
        <color rgb="FFFF0000"/>
      </rPr>
      <t>- 49: p3. No me gusta que es n_years=3.
- 396: p4.  No me gusta que es n_years=3 y over?
- 1,422: 
:) performo muy bien en df_test (p9) y performa bien en realidad (p71); ROI nueva temp 1108% (+3.9) ; X_train grande (7000) ; n_years alto (10)
:( Pocas variables (9)?</t>
    </r>
  </si>
  <si>
    <t>0.2</t>
  </si>
  <si>
    <t>[551, 552, 553, 554, 555]</t>
  </si>
  <si>
    <t>-0.25</t>
  </si>
  <si>
    <t>48_old</t>
  </si>
  <si>
    <t>england_old</t>
  </si>
  <si>
    <r>
      <rPr>
        <rFont val="Arial"/>
        <b/>
        <color rgb="FF38761D"/>
      </rPr>
      <t>- 2,484</t>
    </r>
    <r>
      <rPr>
        <rFont val="Arial"/>
        <color rgb="FF38761D"/>
      </rPr>
      <t>. Sin DP. Prec: 57%
:) ROI relativamente creciente ; X_train grande ; ROI nueva temp 134% (+5.1)
:( over?</t>
    </r>
    <r>
      <rPr>
        <rFont val="Arial"/>
        <color theme="1"/>
      </rPr>
      <t xml:space="preserve">
- </t>
    </r>
    <r>
      <rPr>
        <rFont val="Arial"/>
        <b/>
        <color theme="1"/>
      </rPr>
      <t>2,013</t>
    </r>
    <r>
      <rPr>
        <rFont val="Arial"/>
        <color theme="1"/>
      </rPr>
      <t xml:space="preserve">. Sin DP. Prec: 57%
:) ROI relativamente creciente ROI nueva temp 126% (+1.0)
:( over?
- </t>
    </r>
    <r>
      <rPr>
        <rFont val="Arial"/>
        <b/>
        <color theme="1"/>
      </rPr>
      <t>2684</t>
    </r>
    <r>
      <rPr>
        <rFont val="Arial"/>
        <color theme="1"/>
      </rPr>
      <t xml:space="preserve">: Usa DP. Prec 56%
:) p3. 
:( ROI nueva temp 0% (-0.6)
Otros que aun no depegan en la temp: 1545, 920.
</t>
    </r>
    <r>
      <rPr>
        <rFont val="Arial"/>
        <b/>
        <color rgb="FFFF0000"/>
      </rPr>
      <t>Modelos no deseados:
- 896</t>
    </r>
    <r>
      <rPr>
        <rFont val="Arial"/>
        <color rgb="FFFF0000"/>
      </rPr>
      <t xml:space="preserve">: Usa DP. Prec: 56%
:)
:( X_train pequeño ; ROI nueva temp -50%
</t>
    </r>
    <r>
      <rPr>
        <rFont val="Arial"/>
        <b/>
        <color rgb="FFFF0000"/>
      </rPr>
      <t>- 78:</t>
    </r>
    <r>
      <rPr>
        <rFont val="Arial"/>
        <color rgb="FFFF0000"/>
      </rPr>
      <t xml:space="preserve"> Sin DP.
:) El de mayor ROI
:( bal_type over ; variabilidad en ROI? ; ROI nueva temp -47%</t>
    </r>
    <r>
      <rPr>
        <rFont val="Arial"/>
        <color theme="1"/>
      </rPr>
      <t xml:space="preserve">
</t>
    </r>
  </si>
  <si>
    <t>[481, 482, 483, 484]</t>
  </si>
  <si>
    <t>over</t>
  </si>
  <si>
    <t>Ganan n_years 3 y 5. Igual, un n_years 3 con ml es lo mismo que un n_years None sin ml...</t>
  </si>
  <si>
    <t>148_old</t>
  </si>
  <si>
    <t>spain</t>
  </si>
  <si>
    <r>
      <rPr>
        <rFont val="Arial"/>
        <b/>
        <color rgb="FF38761D"/>
      </rPr>
      <t>732. Prec 58.5%</t>
    </r>
    <r>
      <rPr>
        <rFont val="Arial"/>
        <color rgb="FF38761D"/>
      </rPr>
      <t xml:space="preserve">
:) p1; ROI creciente ;  ROI nueva temp 684% (+4.3) ; X_train grande (4500, 26) ; under; n_years alto (None)</t>
    </r>
    <r>
      <rPr>
        <rFont val="Arial"/>
        <color theme="1"/>
      </rPr>
      <t xml:space="preserve">
</t>
    </r>
    <r>
      <rPr>
        <rFont val="Arial"/>
        <b/>
        <color theme="1"/>
      </rPr>
      <t xml:space="preserve">987
</t>
    </r>
    <r>
      <rPr>
        <rFont val="Arial"/>
        <color theme="1"/>
      </rPr>
      <t>:) p6; ROI creciente ;  ROI nueva temp % (+0.9)</t>
    </r>
  </si>
  <si>
    <t>0.70</t>
  </si>
  <si>
    <t>[1481, 1482, 1483, 1484]</t>
  </si>
  <si>
    <t>under</t>
  </si>
  <si>
    <t>59_old</t>
  </si>
  <si>
    <t>germany</t>
  </si>
  <si>
    <r>
      <rPr>
        <rFont val="Arial"/>
        <b/>
        <color rgb="FF38761D"/>
      </rPr>
      <t>2254</t>
    </r>
    <r>
      <rPr>
        <rFont val="Arial"/>
        <color rgb="FF38761D"/>
      </rPr>
      <t xml:space="preserve">: Sin DP. Prec 64%
:) p1; ROI creciente ; ROI nueva temp 850% (+4.8); X_train grande (5140, 35) ; n_years alto (none)
:( Posible outlier
</t>
    </r>
    <r>
      <rPr>
        <rFont val="Arial"/>
        <color theme="1"/>
      </rPr>
      <t xml:space="preserve">
</t>
    </r>
    <r>
      <rPr>
        <rFont val="Arial"/>
        <b/>
        <color theme="1"/>
      </rPr>
      <t>567</t>
    </r>
    <r>
      <rPr>
        <rFont val="Arial"/>
        <color theme="1"/>
      </rPr>
      <t xml:space="preserve">: Sin DP.  Prec 62%
:) p2; ROI creciente ; ROI nueva temp 432% (+3.8);
:( over? ; X_train pequeño (1299, 32)
</t>
    </r>
    <r>
      <rPr>
        <rFont val="Arial"/>
        <b/>
        <color rgb="FFFF9900"/>
      </rPr>
      <t>2111:</t>
    </r>
    <r>
      <rPr>
        <rFont val="Arial"/>
        <color rgb="FFFF9900"/>
      </rPr>
      <t xml:space="preserve"> Sin DP.
:) ROI creciente ; ROI nueva temp 371% (+5.1); under
:( p14 ; X_train pequeño (1770, 43)</t>
    </r>
    <r>
      <rPr>
        <rFont val="Arial"/>
        <color theme="1"/>
      </rPr>
      <t xml:space="preserve">
</t>
    </r>
    <r>
      <rPr>
        <rFont val="Arial"/>
        <b/>
        <color theme="1"/>
      </rPr>
      <t xml:space="preserve">1437: </t>
    </r>
    <r>
      <rPr>
        <rFont val="Arial"/>
        <color theme="1"/>
      </rPr>
      <t xml:space="preserve">Sin DP. </t>
    </r>
    <r>
      <rPr>
        <rFont val="Arial"/>
        <color rgb="FFFF0000"/>
      </rPr>
      <t>Prec 55%</t>
    </r>
    <r>
      <rPr>
        <rFont val="Arial"/>
        <color theme="1"/>
      </rPr>
      <t xml:space="preserve">
:) ROI creciente ; ROI nueva temp 555% (+18); n_years alto (10)
:( p17 ; over? ; X_train pequeño (2271, 43)
</t>
    </r>
    <r>
      <rPr>
        <rFont val="Arial"/>
        <b/>
        <color theme="1"/>
      </rPr>
      <t xml:space="preserve">2064: </t>
    </r>
    <r>
      <rPr>
        <rFont val="Arial"/>
        <color theme="1"/>
      </rPr>
      <t xml:space="preserve">Sin DP. </t>
    </r>
    <r>
      <rPr>
        <rFont val="Arial"/>
        <color rgb="FFFF0000"/>
      </rPr>
      <t>Prec 57%</t>
    </r>
    <r>
      <rPr>
        <rFont val="Arial"/>
        <color theme="1"/>
      </rPr>
      <t xml:space="preserve">
:) ROI creciente ; ROI nueva temp 545% (+36); X_train medio (3165, 34)
:( p25 ; over? </t>
    </r>
  </si>
  <si>
    <t>0.8</t>
  </si>
  <si>
    <t>[591, 592, 593, 594]</t>
  </si>
  <si>
    <t>77_old</t>
  </si>
  <si>
    <t>italy</t>
  </si>
  <si>
    <r>
      <rPr>
        <rFont val="Arial"/>
        <b/>
        <color theme="1"/>
      </rPr>
      <t xml:space="preserve">594. </t>
    </r>
    <r>
      <rPr>
        <rFont val="Arial"/>
        <color theme="1"/>
      </rPr>
      <t xml:space="preserve">Usa DP. Prec 44%
:) p2; ROI creciente ;  ROI nueva temp 489% (+4.8)
:( </t>
    </r>
    <r>
      <rPr>
        <rFont val="Arial"/>
        <color rgb="FFFF9900"/>
      </rPr>
      <t>X_train bajo (237, 25)</t>
    </r>
    <r>
      <rPr>
        <rFont val="Arial"/>
        <color theme="1"/>
      </rPr>
      <t xml:space="preserve">
</t>
    </r>
    <r>
      <rPr>
        <rFont val="Arial"/>
        <b/>
        <color theme="1"/>
      </rPr>
      <t xml:space="preserve">
190</t>
    </r>
    <r>
      <rPr>
        <rFont val="Arial"/>
        <color theme="1"/>
      </rPr>
      <t xml:space="preserve">. Usa DP. </t>
    </r>
    <r>
      <rPr>
        <rFont val="Arial"/>
        <color rgb="FFFF0000"/>
      </rPr>
      <t>Prec 40%</t>
    </r>
    <r>
      <rPr>
        <rFont val="Arial"/>
        <b/>
        <color theme="1"/>
      </rPr>
      <t xml:space="preserve">
</t>
    </r>
    <r>
      <rPr>
        <rFont val="Arial"/>
        <color theme="1"/>
      </rPr>
      <t xml:space="preserve">:) ROI creciente ;  ROI nueva temp 43% (+0.6)
:( X_train medio (711, 47); p7
</t>
    </r>
    <r>
      <rPr>
        <rFont val="Arial"/>
        <b/>
        <color theme="1"/>
      </rPr>
      <t xml:space="preserve">
</t>
    </r>
    <r>
      <rPr>
        <rFont val="Arial"/>
        <b/>
        <color rgb="FF38761D"/>
      </rPr>
      <t xml:space="preserve">470. </t>
    </r>
    <r>
      <rPr>
        <rFont val="Arial"/>
        <color rgb="FF38761D"/>
      </rPr>
      <t>Usa DP. Prec 48%</t>
    </r>
    <r>
      <rPr>
        <rFont val="Arial"/>
        <b/>
        <color rgb="FF38761D"/>
      </rPr>
      <t xml:space="preserve">
</t>
    </r>
    <r>
      <rPr>
        <rFont val="Arial"/>
        <color rgb="FF38761D"/>
      </rPr>
      <t>:) p1; ROI creciente ;  ROI nueva temp 73% (+0.35)
:( X_train medio (786, 25)</t>
    </r>
    <r>
      <rPr>
        <rFont val="Arial"/>
        <b/>
        <color theme="1"/>
      </rPr>
      <t xml:space="preserve">
</t>
    </r>
    <r>
      <rPr>
        <rFont val="Arial"/>
        <b/>
        <color rgb="FFFF0000"/>
      </rPr>
      <t xml:space="preserve">Modelos no deseados:
</t>
    </r>
    <r>
      <rPr>
        <rFont val="Arial"/>
        <color rgb="FFFF0000"/>
      </rPr>
      <t>- Evito el modelo 174 porque es demasiado volatil. Prefiero precision para la gente.</t>
    </r>
  </si>
  <si>
    <t>[771, 772, 773, 774]</t>
  </si>
  <si>
    <t>SVC</t>
  </si>
  <si>
    <t>Hasta el 20/8, le tenia miedo al doble oportunidad pero ahora ya no.
Los mejores modelos son SVC... no hay ni un solo Logistic.. En el exp de centralizacion entre sin SVC...</t>
  </si>
  <si>
    <t>argentina</t>
  </si>
  <si>
    <t>[61, 62, 64, 65, 66, 67]</t>
  </si>
  <si>
    <t>-0.5</t>
  </si>
  <si>
    <t>exponential</t>
  </si>
  <si>
    <t>(0.33, 10)</t>
  </si>
  <si>
    <t>(1, 50)</t>
  </si>
  <si>
    <t>usa</t>
  </si>
  <si>
    <r>
      <rPr>
        <rFont val="Arial"/>
        <b/>
        <color theme="1"/>
      </rPr>
      <t xml:space="preserve">Tras 215 partidos:
</t>
    </r>
    <r>
      <rPr>
        <rFont val="Arial"/>
        <b/>
        <color rgb="FF38761D"/>
      </rPr>
      <t>1419</t>
    </r>
    <r>
      <rPr>
        <rFont val="Arial"/>
        <color rgb="FF38761D"/>
      </rPr>
      <t xml:space="preserve">: Roi creciente nueva temp 0.7. Roi estable y siempre creciente.
</t>
    </r>
    <r>
      <rPr>
        <rFont val="Arial"/>
        <b/>
        <color theme="1"/>
      </rPr>
      <t xml:space="preserve">41: </t>
    </r>
    <r>
      <rPr>
        <rFont val="Arial"/>
        <color theme="1"/>
      </rPr>
      <t xml:space="preserve">Roi creciente nueva temp 1,3. Si bien no es under, tiene sentido que en USA no gane under (gano uno o el otro, es muy volatil)
</t>
    </r>
    <r>
      <rPr>
        <rFont val="Arial"/>
        <b/>
        <color theme="1"/>
      </rPr>
      <t xml:space="preserve">75: </t>
    </r>
    <r>
      <rPr>
        <rFont val="Arial"/>
        <color theme="1"/>
      </rPr>
      <t>Roi creciente nueva temp 3,1. Muy creciente al ppio y mantuvo estable luego. No es que venga creciendo.</t>
    </r>
  </si>
  <si>
    <t>[45, 120]</t>
  </si>
  <si>
    <t>-</t>
  </si>
  <si>
    <t>[1671, 1672]</t>
  </si>
  <si>
    <t>-0.9%</t>
  </si>
  <si>
    <t>Cambio de temporada en partido 141</t>
  </si>
  <si>
    <t>england</t>
  </si>
  <si>
    <r>
      <rPr>
        <rFont val="Arial"/>
        <color theme="1"/>
      </rPr>
      <t xml:space="preserve">Tras 172 partidos:
</t>
    </r>
    <r>
      <rPr>
        <rFont val="Arial"/>
        <b/>
        <color theme="1"/>
      </rPr>
      <t>1524</t>
    </r>
    <r>
      <rPr>
        <rFont val="Arial"/>
        <color theme="1"/>
      </rPr>
      <t xml:space="preserve"> --&gt; ROI Creciente desde part 100 6.4. Tercer mayor ROIpp. Crecimiento lineal (ROI50 &gt; ROI100 &gt; ROI150)
En observacion:
354 --&gt;  ROI Creciente desde part 100 1.8</t>
    </r>
  </si>
  <si>
    <t>[60, 270]</t>
  </si>
  <si>
    <t>[481, 482, 483, 484, 485]</t>
  </si>
  <si>
    <t>Cambio de temporada en partido 122</t>
  </si>
  <si>
    <r>
      <rPr>
        <rFont val="Arial"/>
        <b/>
        <color theme="1"/>
      </rPr>
      <t>34</t>
    </r>
    <r>
      <rPr>
        <rFont val="Arial"/>
        <color theme="1"/>
      </rPr>
      <t>: Mayor ROIpp (y no parece outlier). ROI creciente nueva temp 1.3
En observacion:
136 --&gt;  ROI creciente nueva temp 2.3
130 --&gt;  ROI creciente nueva temp 3.2</t>
    </r>
  </si>
  <si>
    <t>[30, 180]</t>
  </si>
  <si>
    <t>Cambio de temporada en partido 56</t>
  </si>
  <si>
    <t>Tras 152 partidos:
568: Mayor ROIpp. ROI creciente nueva temp 15
En observacion:</t>
  </si>
  <si>
    <t>[60, 180]</t>
  </si>
  <si>
    <t>Cambio de temporada en partido 91</t>
  </si>
  <si>
    <t>En 137 partidos:
202 --&gt; ROI creciente en nueva temporada 5.8. Segundo mayor ROIpp.
En observacion:
326 --&gt; ROI creciente en nueva temporada 1.8. Mayor ROIpp.
495  --&gt; ROI creciente en nueva temporada 17.3
520 --&gt; ROI creciente en nueva temporada 13.8
74  --&gt; ROI creciente en nueva temporada 839</t>
  </si>
  <si>
    <t>Cambio de temporada en partido 101</t>
  </si>
  <si>
    <r>
      <rPr>
        <rFont val="Arial"/>
        <color theme="1"/>
      </rPr>
      <t xml:space="preserve">Tras 149 partidos:
46 --&gt;  ROI creciente en nueva temp 7.48 (es outlier este rendimiento)
266 --&gt; ROI creciente en nueva temp 3.02. Poco volatil y mayor ROIpp
</t>
    </r>
    <r>
      <rPr>
        <rFont val="Arial"/>
        <b/>
        <color theme="1"/>
      </rPr>
      <t xml:space="preserve">Descartados:
</t>
    </r>
    <r>
      <rPr>
        <rFont val="Arial"/>
        <color theme="1"/>
      </rPr>
      <t>287 --&gt; no es under. Prec 44%. ROI nueva tempo 0
90 --&gt; solo local y empate. 66% de las veces empate. Prec baja. ROI nueva temp 1</t>
    </r>
  </si>
  <si>
    <t>Cambio de temporada en partido 100</t>
  </si>
  <si>
    <t>Entrenamiento</t>
  </si>
  <si>
    <t>Evaluacion de modelos entrenados</t>
  </si>
  <si>
    <t>Pais</t>
  </si>
  <si>
    <t>Fecha</t>
  </si>
  <si>
    <t>Motivo de corrida</t>
  </si>
  <si>
    <t>Por que esos hiperpametros?</t>
  </si>
  <si>
    <t>Hiperparametros probados</t>
  </si>
  <si>
    <t>Tiempo de entrenamiento</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</si>
  <si>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</si>
  <si>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</si>
  <si>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</si>
  <si>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</si>
  <si>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</si>
  <si>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</si>
  <si>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</si>
  <si>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</si>
  <si>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</si>
  <si>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Fecha en que deje de usarlo</t>
  </si>
  <si>
    <t>Motivo de descarte</t>
  </si>
  <si>
    <t>Obs</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</si>
  <si>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</si>
  <si>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</si>
  <si>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</si>
  <si>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t>Lo intente volver a usar pero borre los df en preparacion (e.g. df_integrated) y en extraccion.</t>
  </si>
  <si>
    <t>No puede predecir partidos de equipos recien ascendidos. --&gt; lo arregle al agregar el rellenado de variable de jugadores cuando uno de los 2 equipos si tiene valor.</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</si>
  <si>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</si>
  <si>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</si>
  <si>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</si>
  <si>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</si>
  <si>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</si>
  <si>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</si>
  <si>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</si>
  <si>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</si>
  <si>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</si>
  <si>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</si>
  <si>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</si>
  <si>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</si>
  <si>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</si>
  <si>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</si>
  <si>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</si>
  <si>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2 a 3 dias</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</si>
  <si>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</si>
  <si>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Por que da peor?</t>
  </si>
  <si>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</si>
  <si>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</si>
  <si>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16 horas</t>
  </si>
  <si>
    <t>20.0</t>
  </si>
  <si>
    <r>
      <rPr>
        <rFont val="Arial"/>
        <color rgb="FFFF9900"/>
      </rPr>
      <t>Peores resultados respecto del entrenamiento anterior (2024-05-06).</t>
    </r>
    <r>
      <rPr>
        <rFont val="Arial"/>
        <color theme="1"/>
      </rPr>
      <t xml:space="preserve">
</t>
    </r>
  </si>
  <si>
    <t>De los top 10 models, hay 4 con 61 partidos, 4 con 91 y 2 con 100
Por que da peor?</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</si>
  <si>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</si>
  <si>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</si>
  <si>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2 dias</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</si>
  <si>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</si>
  <si>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</si>
  <si>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</si>
  <si>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de 4 a 6 horas aprox</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</si>
  <si>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</si>
  <si>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</si>
  <si>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</si>
  <si>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t>8 horas aprox</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</si>
  <si>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</si>
  <si>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</si>
  <si>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</si>
  <si>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Menos de 20 hs</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</si>
  <si>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</si>
  <si>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</si>
  <si>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</si>
  <si>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</si>
  <si>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25 horas</t>
  </si>
  <si>
    <t>5.81</t>
  </si>
  <si>
    <t>11.88</t>
  </si>
  <si>
    <r>
      <rPr/>
      <t xml:space="preserve">Es por el </t>
    </r>
    <r>
      <rPr>
        <color rgb="FF1155CC"/>
        <u/>
      </rPr>
      <t>experimento sobre la centralizacion de la integracion</t>
    </r>
    <r>
      <rPr/>
      <t>. Pruebo a reentrenar modelos pero con muchos hiperparametros.
Pruebo a integrar con df_map_completo.</t>
    </r>
  </si>
  <si>
    <t>23 horas</t>
  </si>
  <si>
    <t>7.0</t>
  </si>
  <si>
    <r>
      <rPr/>
      <t xml:space="preserve">Es por el </t>
    </r>
    <r>
      <rPr>
        <color rgb="FF1155CC"/>
        <u/>
      </rPr>
      <t>experimento sobre la centralizacion de la integracion</t>
    </r>
    <r>
      <rPr/>
      <t>. Pruebo a reentrenar modelos pero con muchos hiperparametros.
Pruebo a integrar con df_map_completo.</t>
    </r>
  </si>
  <si>
    <t>18 horas</t>
  </si>
  <si>
    <t>5.23</t>
  </si>
  <si>
    <t>45.89</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</si>
  <si>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</si>
  <si>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</si>
  <si>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</si>
  <si>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t>
  </si>
  <si>
    <t>Parametros para apostar</t>
  </si>
  <si>
    <t>max roi pp</t>
  </si>
  <si>
    <t xml:space="preserve">Promedio ROI pp top 10 modelos </t>
  </si>
  <si>
    <t xml:space="preserve">Promedio ROI pp top 20 modelos </t>
  </si>
  <si>
    <t>max m</t>
  </si>
  <si>
    <t>1.17</t>
  </si>
  <si>
    <t>2.00</t>
  </si>
  <si>
    <t>33.15</t>
  </si>
  <si>
    <t>12.70</t>
  </si>
  <si>
    <t>1.67</t>
  </si>
  <si>
    <t>2.18</t>
  </si>
  <si>
    <t>7.25</t>
  </si>
  <si>
    <t>3.44</t>
  </si>
  <si>
    <t>5.42</t>
  </si>
  <si>
    <t>8.24</t>
  </si>
  <si>
    <t>10.69</t>
  </si>
  <si>
    <t>3.71</t>
  </si>
  <si>
    <t>16.25</t>
  </si>
  <si>
    <t>0.66</t>
  </si>
  <si>
    <t>4.27</t>
  </si>
  <si>
    <t>4.26</t>
  </si>
  <si>
    <t>7.49</t>
  </si>
  <si>
    <t>10.63</t>
  </si>
  <si>
    <t>17.32</t>
  </si>
  <si>
    <t>4.66</t>
  </si>
  <si>
    <t>12.39</t>
  </si>
  <si>
    <t>3.54</t>
  </si>
  <si>
    <t>2.85</t>
  </si>
  <si>
    <t>4.81</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</si>
  <si>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</si>
  <si>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</si>
  <si>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</si>
  <si>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</si>
  <si>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</si>
  <si>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</si>
  <si>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AVERAGE de Stake [$]</t>
  </si>
  <si>
    <t>SUM de G/P</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</si>
  <si>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</si>
  <si>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</si>
  <si>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</si>
  <si>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</si>
  <si>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</si>
  <si>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</si>
  <si>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</si>
  <si>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</si>
  <si>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</si>
  <si>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</si>
  <si>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</si>
  <si>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Parametros</t>
  </si>
  <si>
    <t>laliga</t>
  </si>
  <si>
    <t>m base</t>
  </si>
  <si>
    <t>m cambio</t>
  </si>
  <si>
    <t>m cambio expected</t>
  </si>
  <si>
    <t>1) VARIACION SEGUN RESULTADOS</t>
  </si>
  <si>
    <t>Total laliga</t>
  </si>
  <si>
    <t>G/P / stake</t>
  </si>
  <si>
    <t>G/P / stake 
normalized</t>
  </si>
  <si>
    <t>m_cambio</t>
  </si>
  <si>
    <t>ligue 1</t>
  </si>
  <si>
    <t>GERMANY</t>
  </si>
  <si>
    <t>SPAIN</t>
  </si>
  <si>
    <t>FRANCE</t>
  </si>
  <si>
    <t>ENGLAND</t>
  </si>
  <si>
    <t>ITALY</t>
  </si>
  <si>
    <t>Total ligue 1</t>
  </si>
  <si>
    <t>premier league</t>
  </si>
  <si>
    <t>Calculos auxiliares para normalizar</t>
  </si>
  <si>
    <t>x1</t>
  </si>
  <si>
    <t>m</t>
  </si>
  <si>
    <t>y1</t>
  </si>
  <si>
    <t>b</t>
  </si>
  <si>
    <t>Total premier league</t>
  </si>
  <si>
    <t>x2</t>
  </si>
  <si>
    <t>serie a</t>
  </si>
  <si>
    <t>y2</t>
  </si>
  <si>
    <t>2) VARIACION SEGUN RESULTADOS EXPECTED</t>
  </si>
  <si>
    <t>deberia haber ganado</t>
  </si>
  <si>
    <t>deberia haber perdido</t>
  </si>
  <si>
    <t>G/P</t>
  </si>
  <si>
    <t>Total serie a</t>
  </si>
  <si>
    <t>Suma total</t>
  </si>
  <si>
    <t>3) CALCULO DE M_TO_USE SEGUN VARIACIONES</t>
  </si>
  <si>
    <t>m_base</t>
  </si>
  <si>
    <t>m cambio 1</t>
  </si>
  <si>
    <t>m cambio 2</t>
  </si>
  <si>
    <t>Que ROI esperar?</t>
  </si>
  <si>
    <t>Nro partidos</t>
  </si>
  <si>
    <t>% de m</t>
  </si>
  <si>
    <t>ROI min</t>
  </si>
  <si>
    <t>ROI p25</t>
  </si>
  <si>
    <t>ROI med</t>
  </si>
  <si>
    <t>ROI p75</t>
  </si>
  <si>
    <t>ROI max</t>
  </si>
  <si>
    <t>USA</t>
  </si>
  <si>
    <t>ARG</t>
  </si>
  <si>
    <t>Prom</t>
  </si>
  <si>
    <t>Sum</t>
  </si>
  <si>
    <t>ESTRATEGIA</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</si>
  <si>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</si>
  <si>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</si>
  <si>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</si>
  <si>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</si>
  <si>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</si>
  <si>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 expected to results</t>
  </si>
  <si>
    <t>Que peso darle al m cambio de expected results? Dificil. Un 25% del m cambio de result? Segun cuanto G/P expected results es respecto de los resultados. Segun un calculo rapido, un 25%.</t>
  </si>
  <si>
    <t>m cambio assess</t>
  </si>
  <si>
    <t>suma m cambios</t>
  </si>
  <si>
    <t>3) VARIACION SEGUN ASSESS</t>
  </si>
  <si>
    <t>ROIpp Promedio Top 20 models</t>
  </si>
  <si>
    <t>AVERAGE m</t>
  </si>
  <si>
    <t>ROIpp / average m</t>
  </si>
  <si>
    <t>ROIpp / m
normalized</t>
  </si>
  <si>
    <t>4) CALCULO DE M_TO_USE SEGUN VARIACIONES</t>
  </si>
  <si>
    <t>m cambio 3</t>
  </si>
  <si>
    <t>ROI_por_partido realidad</t>
  </si>
  <si>
    <t>[551, 552, 553, 554]</t>
  </si>
  <si>
    <t>-0.15</t>
  </si>
  <si>
    <t>[1481, 1483, 1484]</t>
  </si>
  <si>
    <t>0.9</t>
  </si>
  <si>
    <t>21/7 - Paso del modelo 219 al 27 que es igual salvo que is_localia = True. Me parece correcto. A ver si este nuevo modelo tiene menos volatilidad que el 219.</t>
  </si>
  <si>
    <t>Uso el modelo 808 a pesar de ser outlier porque no veo overfitting en los hiperparametros de estrategia de apuesta.</t>
  </si>
  <si>
    <t>0.80</t>
  </si>
  <si>
    <t>[771, 772, 773]</t>
  </si>
  <si>
    <t>ANTES DEL ASSES_MODEL DEL 20/08/2024</t>
  </si>
  <si>
    <t>0.90</t>
  </si>
  <si>
    <t>0.10</t>
  </si>
  <si>
    <t>-0.10</t>
  </si>
  <si>
    <t>ANTES DEL ASSES_MODEL DEL 24/08/2024</t>
  </si>
  <si>
    <t>-0.2</t>
  </si>
  <si>
    <t>-0.1</t>
  </si>
  <si>
    <t>ANTES DEL ASSES_MODEL DEL 27/08/2024</t>
  </si>
  <si>
    <t>Hiperparametros de modelo a usar</t>
  </si>
  <si>
    <t>Metricas Top 10 modelos</t>
  </si>
  <si>
    <t>Hiperparametros y metricas modelo a usar</t>
  </si>
  <si>
    <t>ROI pp en partido 50</t>
  </si>
  <si>
    <t>ROI pp en partido 100</t>
  </si>
  <si>
    <t>ROI pp</t>
  </si>
  <si>
    <t>4.9%</t>
  </si>
  <si>
    <t>Hasta el 20/8, le tenia miedo al doble oportunidad pero ahora ya no.
Evito el modelo 174 porque es demasiado volatil. Prefiero precision para la gente.</t>
  </si>
  <si>
    <t>[591, 593, 594]</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</si>
  <si>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</si>
  <si>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</si>
  <si>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</si>
  <si>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</si>
  <si>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</si>
  <si>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 partidos</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</si>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</sst>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0.0"/>
    <numFmt numFmtId="166" formatCode="0.0%"/>
    <numFmt numFmtId="167" formatCode="0.0"/>
    <numFmt numFmtId="168" formatCode="0.00000000"/>
    <numFmt numFmtId="169" formatCode="d/m/yyyy"/>
    <numFmt numFmtId="170" formatCode="d.m"/>
    <numFmt numFmtId="171" formatCode="yyyy-mm-dd"/>
    <numFmt numFmtId="172" formatCode="dd.mm"/>
    <numFmt numFmtId="173" formatCode="d/MM/yyyy"/>
  </numFmts>
  <fonts count="25">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color rgb="FFFF0000"/>
      <name val="Arial"/>
      <scheme val="minor"/>
    </font>
    <font>
      <b/>
      <color theme="1"/>
      <name val="Arial"/>
      <scheme val="minor"/>
    </font>
    <font/>
    <font>
      <b/>
      <color rgb="FF000000"/>
      <name val="Arial"/>
    </font>
    <font>
      <color rgb="FFFF0000"/>
      <name val="Arial"/>
    </font>
    <font>
      <color rgb="FFBF9000"/>
      <name val="Arial"/>
      <scheme val="minor"/>
    </font>
    <font>
      <color rgb="FF000000"/>
      <name val="Arial"/>
      <scheme val="minor"/>
    </font>
    <font>
      <u/>
      <color rgb="FF0000FF"/>
    </font>
    <font>
      <u/>
      <color rgb="FF0000FF"/>
    </font>
    <font>
      <u/>
      <color rgb="FF0000FF"/>
    </font>
    <font>
      <sz val="11.0"/>
      <color rgb="FF000000"/>
      <name val="Calibri"/>
    </font>
    <font>
      <b/>
      <sz val="18.0"/>
      <color theme="1"/>
      <name val="Arial"/>
    </font>
    <font>
      <color rgb="FF7F0080"/>
      <name val="Arial"/>
    </font>
    <font>
      <b/>
      <sz val="14.0"/>
      <color theme="1"/>
      <name val="Arial"/>
      <scheme val="minor"/>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25">
    <fill>
      <patternFill patternType="none"/>
    </fill>
    <fill>
      <patternFill patternType="lightGray"/>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000000"/>
        <bgColor rgb="FF000000"/>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EAD1DC"/>
        <bgColor rgb="FFEAD1DC"/>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FFF00"/>
        <bgColor rgb="FFFFFF00"/>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D0E0E3"/>
        <bgColor rgb="FFD0E0E3"/>
      </patternFill>
    </fill>
    <fill>
      <patternFill patternType="solid">
        <fgColor rgb="FFD9EAD3"/>
        <bgColor rgb="FFD9EAD3"/>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
      <patternFill patternType="solid">
        <fgColor rgb="FFF4CCCC"/>
        <bgColor rgb="FFF4CCCC"/>
      </patternFill>
    </fill>
  </fills>
  <borders count="11">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28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4" fontId="2" numFmtId="9" xfId="0" applyAlignment="1" applyBorder="1" applyFont="1" applyNumberForma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3" fillId="8" fontId="1" numFmtId="0" xfId="0" applyAlignment="1" applyBorder="1" applyFill="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0" fillId="8" fontId="1" numFmtId="0" xfId="0" applyAlignment="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readingOrder="0" vertical="center"/>
    </xf>
    <xf borderId="5" fillId="0" fontId="4" numFmtId="0" xfId="0" applyAlignment="1" applyBorder="1" applyFont="1">
      <alignment horizontal="center" readingOrder="0" vertical="center"/>
    </xf>
    <xf borderId="4" fillId="3" fontId="4" numFmtId="164" xfId="0" applyAlignment="1" applyBorder="1" applyFont="1" applyNumberFormat="1">
      <alignment horizontal="center" readingOrder="0" vertical="center"/>
    </xf>
    <xf borderId="1" fillId="3" fontId="4" numFmtId="0" xfId="0" applyAlignment="1" applyBorder="1" applyFont="1">
      <alignment horizontal="center" readingOrder="0" vertical="center"/>
    </xf>
    <xf borderId="4" fillId="0" fontId="4" numFmtId="0" xfId="0" applyAlignment="1" applyBorder="1" applyFont="1">
      <alignment readingOrder="0" shrinkToFit="0" wrapText="1"/>
    </xf>
    <xf borderId="4" fillId="0" fontId="4" numFmtId="0" xfId="0" applyAlignment="1" applyBorder="1" applyFont="1">
      <alignment horizontal="center" readingOrder="0" vertical="center"/>
    </xf>
    <xf borderId="4" fillId="0" fontId="4" numFmtId="0" xfId="0" applyAlignment="1" applyBorder="1" applyFont="1">
      <alignment horizontal="center" vertical="center"/>
    </xf>
    <xf borderId="1" fillId="0" fontId="4" numFmtId="0" xfId="0" applyAlignment="1" applyBorder="1" applyFont="1">
      <alignment horizontal="center" readingOrder="0" vertical="center"/>
    </xf>
    <xf borderId="4" fillId="7" fontId="4" numFmtId="164" xfId="0" applyAlignment="1" applyBorder="1" applyFont="1" applyNumberFormat="1">
      <alignment horizontal="center" readingOrder="0" vertical="center"/>
    </xf>
    <xf borderId="4" fillId="7" fontId="4" numFmtId="3" xfId="0" applyAlignment="1" applyBorder="1" applyFont="1" applyNumberFormat="1">
      <alignment horizontal="center" readingOrder="0" vertical="center"/>
    </xf>
    <xf borderId="4" fillId="7" fontId="4" numFmtId="9" xfId="0" applyAlignment="1" applyBorder="1" applyFont="1" applyNumberFormat="1">
      <alignment horizontal="center" readingOrder="0" vertical="center"/>
    </xf>
    <xf borderId="4" fillId="7"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10" fontId="4" numFmtId="3" xfId="0" applyAlignment="1" applyBorder="1" applyFill="1" applyFont="1" applyNumberFormat="1">
      <alignment horizontal="center" readingOrder="0" vertical="center"/>
    </xf>
    <xf borderId="4" fillId="10" fontId="4" numFmtId="9" xfId="0" applyAlignment="1" applyBorder="1" applyFont="1" applyNumberFormat="1">
      <alignment horizontal="center" readingOrder="0" vertical="center"/>
    </xf>
    <xf borderId="4" fillId="0" fontId="4" numFmtId="165" xfId="0" applyAlignment="1" applyBorder="1" applyFont="1" applyNumberFormat="1">
      <alignment horizontal="center" readingOrder="0" vertical="center"/>
    </xf>
    <xf borderId="6" fillId="0" fontId="4" numFmtId="0" xfId="0" applyAlignment="1" applyBorder="1" applyFont="1">
      <alignment readingOrder="0" shrinkToFit="0" wrapText="1"/>
    </xf>
    <xf borderId="5" fillId="0" fontId="4" numFmtId="0" xfId="0" applyAlignment="1" applyBorder="1" applyFont="1">
      <alignment horizontal="center" vertical="center"/>
    </xf>
    <xf borderId="1" fillId="0" fontId="5" numFmtId="0" xfId="0" applyAlignment="1" applyBorder="1" applyFont="1">
      <alignment horizontal="left" readingOrder="0"/>
    </xf>
    <xf borderId="4" fillId="10" fontId="4" numFmtId="165" xfId="0" applyAlignment="1" applyBorder="1" applyFont="1" applyNumberFormat="1">
      <alignment horizontal="center" readingOrder="0" vertical="center"/>
    </xf>
    <xf borderId="4" fillId="9" fontId="4" numFmtId="165" xfId="0" applyAlignment="1" applyBorder="1" applyFont="1" applyNumberFormat="1">
      <alignment horizontal="center" vertical="center"/>
    </xf>
    <xf borderId="4" fillId="9" fontId="4" numFmtId="165" xfId="0" applyAlignment="1" applyBorder="1" applyFont="1" applyNumberFormat="1">
      <alignment horizontal="center" readingOrder="0" vertical="center"/>
    </xf>
    <xf borderId="4" fillId="3" fontId="4" numFmtId="0" xfId="0" applyAlignment="1" applyBorder="1" applyFont="1">
      <alignment horizontal="center" readingOrder="0" vertical="center"/>
    </xf>
    <xf borderId="1" fillId="0" fontId="4" numFmtId="0" xfId="0" applyAlignment="1" applyBorder="1" applyFont="1">
      <alignment readingOrder="0" shrinkToFit="0" wrapText="1"/>
    </xf>
    <xf borderId="1" fillId="0" fontId="4" numFmtId="0" xfId="0" applyAlignment="1" applyBorder="1" applyFont="1">
      <alignment horizontal="center" vertical="center"/>
    </xf>
    <xf borderId="1" fillId="3" fontId="4" numFmtId="164" xfId="0" applyAlignment="1" applyBorder="1" applyFont="1" applyNumberFormat="1">
      <alignment horizontal="center" vertical="center"/>
    </xf>
    <xf borderId="1" fillId="3" fontId="4" numFmtId="0" xfId="0" applyAlignment="1" applyBorder="1" applyFont="1">
      <alignment horizontal="center" vertical="center"/>
    </xf>
    <xf borderId="1" fillId="0" fontId="4" numFmtId="0" xfId="0" applyAlignment="1" applyBorder="1" applyFont="1">
      <alignment readingOrder="0" shrinkToFit="0" vertical="bottom" wrapText="1"/>
    </xf>
    <xf borderId="4" fillId="0" fontId="4" numFmtId="0" xfId="0" applyAlignment="1" applyBorder="1" applyFont="1">
      <alignment horizontal="center" readingOrder="0" shrinkToFit="0" vertical="center" wrapText="1"/>
    </xf>
    <xf borderId="6" fillId="0" fontId="4" numFmtId="0" xfId="0" applyAlignment="1" applyBorder="1" applyFont="1">
      <alignment readingOrder="0" shrinkToFit="0" vertical="bottom" wrapText="1"/>
    </xf>
    <xf borderId="0" fillId="0" fontId="3" numFmtId="4" xfId="0" applyAlignment="1" applyFont="1" applyNumberFormat="1">
      <alignment readingOrder="0"/>
    </xf>
    <xf borderId="1" fillId="3" fontId="4" numFmtId="164" xfId="0" applyAlignment="1" applyBorder="1" applyFont="1" applyNumberFormat="1">
      <alignment horizontal="center" readingOrder="0" vertical="center"/>
    </xf>
    <xf borderId="0" fillId="0" fontId="3" numFmtId="0" xfId="0" applyAlignment="1" applyFont="1">
      <alignment readingOrder="0"/>
    </xf>
    <xf borderId="0" fillId="7" fontId="4" numFmtId="165" xfId="0" applyAlignment="1" applyFont="1" applyNumberFormat="1">
      <alignment horizontal="center" readingOrder="0" vertical="center"/>
    </xf>
    <xf borderId="0" fillId="0" fontId="3" numFmtId="4" xfId="0" applyFont="1" applyNumberFormat="1"/>
    <xf borderId="4" fillId="3" fontId="4" numFmtId="164" xfId="0" applyAlignment="1" applyBorder="1" applyFont="1" applyNumberFormat="1">
      <alignment horizontal="center" vertical="center"/>
    </xf>
    <xf borderId="4" fillId="3" fontId="4" numFmtId="0" xfId="0" applyAlignment="1" applyBorder="1" applyFont="1">
      <alignment horizontal="center" vertical="center"/>
    </xf>
    <xf borderId="4" fillId="7" fontId="4" numFmtId="166" xfId="0" applyAlignment="1" applyBorder="1" applyFont="1" applyNumberFormat="1">
      <alignment horizontal="center" readingOrder="0" vertical="center"/>
    </xf>
    <xf borderId="1" fillId="7" fontId="4" numFmtId="165" xfId="0" applyAlignment="1" applyBorder="1" applyFont="1" applyNumberFormat="1">
      <alignment horizontal="center" readingOrder="0" vertical="center"/>
    </xf>
    <xf borderId="4" fillId="0" fontId="4" numFmtId="3" xfId="0" applyAlignment="1" applyBorder="1" applyFont="1" applyNumberFormat="1">
      <alignment horizontal="center" vertical="center"/>
    </xf>
    <xf borderId="1" fillId="0" fontId="4" numFmtId="0" xfId="0" applyAlignment="1" applyBorder="1" applyFont="1">
      <alignment horizontal="center" readingOrder="0" shrinkToFit="0" vertical="center" wrapText="1"/>
    </xf>
    <xf borderId="1" fillId="7" fontId="4" numFmtId="164"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0" fontId="3" numFmtId="0" xfId="0" applyAlignment="1" applyBorder="1" applyFont="1">
      <alignment horizontal="center" vertical="center"/>
    </xf>
    <xf borderId="1" fillId="7" fontId="4" numFmtId="3"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9" fontId="4" numFmtId="165" xfId="0" applyAlignment="1" applyBorder="1" applyFont="1" applyNumberFormat="1">
      <alignment horizontal="center"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3" numFmtId="0" xfId="0" applyAlignment="1" applyBorder="1" applyFont="1">
      <alignment readingOrder="0"/>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7" fontId="4" numFmtId="9"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9" fontId="4" numFmtId="165" xfId="0" applyAlignment="1" applyBorder="1" applyFont="1" applyNumberFormat="1">
      <alignment horizontal="center" readingOrder="0" vertical="center"/>
    </xf>
    <xf borderId="1" fillId="0" fontId="3" numFmtId="0" xfId="0" applyAlignment="1" applyBorder="1" applyFont="1">
      <alignment horizontal="center"/>
    </xf>
    <xf borderId="0" fillId="0" fontId="3" numFmtId="0" xfId="0" applyAlignment="1" applyFont="1">
      <alignment horizontal="center"/>
    </xf>
    <xf borderId="1" fillId="3" fontId="3" numFmtId="0" xfId="0" applyAlignment="1" applyBorder="1" applyFont="1">
      <alignment horizontal="center" readingOrder="0" vertical="center"/>
    </xf>
    <xf borderId="1" fillId="0" fontId="3" numFmtId="0" xfId="0" applyBorder="1" applyFont="1"/>
    <xf borderId="1" fillId="0" fontId="3" numFmtId="0" xfId="0" applyAlignment="1" applyBorder="1" applyFont="1">
      <alignment horizontal="center" readingOrder="0"/>
    </xf>
    <xf borderId="1" fillId="0" fontId="3" numFmtId="167" xfId="0" applyAlignment="1" applyBorder="1" applyFont="1" applyNumberFormat="1">
      <alignment horizontal="center" readingOrder="0" vertical="center"/>
    </xf>
    <xf borderId="1" fillId="0" fontId="3" numFmtId="167" xfId="0" applyBorder="1" applyFont="1" applyNumberFormat="1"/>
    <xf borderId="1" fillId="0" fontId="3" numFmtId="10" xfId="0" applyBorder="1" applyFont="1" applyNumberFormat="1"/>
    <xf borderId="1" fillId="0" fontId="6" numFmtId="0" xfId="0" applyAlignment="1" applyBorder="1" applyFont="1">
      <alignment horizontal="center" readingOrder="0" vertical="center"/>
    </xf>
    <xf borderId="1" fillId="0" fontId="3" numFmtId="167" xfId="0" applyAlignment="1" applyBorder="1" applyFont="1" applyNumberFormat="1">
      <alignment horizontal="center" vertical="center"/>
    </xf>
    <xf borderId="0" fillId="0" fontId="3" numFmtId="167" xfId="0" applyAlignment="1" applyFont="1" applyNumberFormat="1">
      <alignment horizontal="center" vertical="center"/>
    </xf>
    <xf borderId="0" fillId="0" fontId="3" numFmtId="167" xfId="0" applyFont="1" applyNumberFormat="1"/>
    <xf borderId="0" fillId="0" fontId="3" numFmtId="168" xfId="0" applyFont="1" applyNumberFormat="1"/>
    <xf borderId="0" fillId="0" fontId="3" numFmtId="165" xfId="0" applyAlignment="1" applyFont="1" applyNumberFormat="1">
      <alignment readingOrder="0"/>
    </xf>
    <xf borderId="0" fillId="0" fontId="3" numFmtId="9" xfId="0" applyAlignment="1" applyFont="1" applyNumberFormat="1">
      <alignment readingOrder="0"/>
    </xf>
    <xf borderId="0" fillId="0" fontId="3" numFmtId="9" xfId="0" applyFont="1" applyNumberFormat="1"/>
    <xf borderId="0" fillId="0" fontId="7" numFmtId="0" xfId="0" applyAlignment="1" applyFont="1">
      <alignment horizontal="center" readingOrder="0" shrinkToFit="0" vertical="center" wrapText="1"/>
    </xf>
    <xf borderId="7" fillId="2" fontId="2" numFmtId="0" xfId="0" applyAlignment="1" applyBorder="1" applyFont="1">
      <alignment horizontal="center" readingOrder="0" shrinkToFit="0" vertical="center" wrapText="1"/>
    </xf>
    <xf borderId="8" fillId="0" fontId="8" numFmtId="0" xfId="0" applyBorder="1" applyFont="1"/>
    <xf borderId="0" fillId="11" fontId="2" numFmtId="3" xfId="0" applyAlignment="1" applyFill="1" applyFont="1" applyNumberFormat="1">
      <alignment horizontal="center" readingOrder="0" shrinkToFit="0" vertical="center" wrapText="1"/>
    </xf>
    <xf borderId="1" fillId="0" fontId="7" numFmtId="0" xfId="0" applyAlignment="1" applyBorder="1" applyFont="1">
      <alignment horizontal="center" readingOrder="0" shrinkToFit="0" vertical="center" wrapText="1"/>
    </xf>
    <xf borderId="3" fillId="12" fontId="9" numFmtId="0" xfId="0" applyAlignment="1" applyBorder="1" applyFill="1" applyFont="1">
      <alignment horizontal="center" readingOrder="0" shrinkToFit="0" vertical="center" wrapText="1"/>
    </xf>
    <xf borderId="1" fillId="12" fontId="9" numFmtId="0" xfId="0" applyAlignment="1" applyBorder="1" applyFont="1">
      <alignment horizontal="center" readingOrder="0" shrinkToFit="0" vertical="center" wrapText="1"/>
    </xf>
    <xf borderId="2" fillId="12" fontId="9"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0" numFmtId="0" xfId="0" applyAlignment="1" applyFont="1">
      <alignment horizontal="left" readingOrder="0"/>
    </xf>
    <xf borderId="1" fillId="0" fontId="4" numFmtId="164" xfId="0" applyAlignment="1" applyBorder="1" applyFont="1" applyNumberFormat="1">
      <alignment horizontal="center" vertical="center"/>
    </xf>
    <xf borderId="3" fillId="3" fontId="4" numFmtId="0" xfId="0" applyAlignment="1" applyBorder="1" applyFont="1">
      <alignment horizontal="center" readingOrder="0" vertical="center"/>
    </xf>
    <xf borderId="1" fillId="3" fontId="6"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7" fontId="3" numFmtId="3" xfId="0" applyAlignment="1" applyBorder="1" applyFont="1" applyNumberFormat="1">
      <alignment horizontal="center" readingOrder="0" vertical="center"/>
    </xf>
    <xf borderId="1" fillId="7" fontId="3" numFmtId="9" xfId="0" applyAlignment="1" applyBorder="1" applyFont="1" applyNumberFormat="1">
      <alignment horizontal="center" readingOrder="0" vertical="center"/>
    </xf>
    <xf borderId="1" fillId="7" fontId="3" numFmtId="0" xfId="0" applyAlignment="1" applyBorder="1" applyFont="1">
      <alignment horizontal="center" readingOrder="0" vertical="center"/>
    </xf>
    <xf borderId="1" fillId="0" fontId="11"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3" fontId="12" numFmtId="0" xfId="0" applyAlignment="1" applyBorder="1" applyFont="1">
      <alignment horizontal="center" readingOrder="0" shrinkToFit="0" vertical="center" wrapText="1"/>
    </xf>
    <xf borderId="1" fillId="7" fontId="3" numFmtId="165"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10" xfId="0" applyAlignment="1" applyBorder="1" applyFont="1" applyNumberFormat="1">
      <alignment horizontal="center" readingOrder="0" vertical="center"/>
    </xf>
    <xf borderId="1" fillId="0" fontId="3" numFmtId="169" xfId="0" applyAlignment="1" applyBorder="1" applyFont="1" applyNumberFormat="1">
      <alignment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4" fillId="3"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7" fontId="3" numFmtId="170"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4" fillId="3" fontId="4" numFmtId="0" xfId="0" applyAlignment="1" applyBorder="1" applyFont="1">
      <alignment horizontal="center" readingOrder="0" shrinkToFit="0" vertical="center" wrapText="0"/>
    </xf>
    <xf borderId="1" fillId="7" fontId="4" numFmtId="0" xfId="0" applyAlignment="1" applyBorder="1" applyFont="1">
      <alignment horizontal="center" readingOrder="0" vertical="center"/>
    </xf>
    <xf borderId="1" fillId="7" fontId="4" numFmtId="170" xfId="0" applyAlignment="1" applyBorder="1" applyFont="1" applyNumberFormat="1">
      <alignment horizontal="center" readingOrder="0" vertical="center"/>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6" numFmtId="0" xfId="0" applyAlignment="1" applyFont="1">
      <alignment readingOrder="0" shrinkToFit="0" vertical="center" wrapText="1"/>
    </xf>
    <xf borderId="0" fillId="0" fontId="3" numFmtId="0" xfId="0" applyAlignment="1" applyFont="1">
      <alignment horizontal="center" shrinkToFit="0" vertical="center" wrapText="1"/>
    </xf>
    <xf borderId="9" fillId="0" fontId="13"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4" fillId="7" fontId="3" numFmtId="9" xfId="0" applyAlignment="1" applyBorder="1" applyFont="1" applyNumberFormat="1">
      <alignment horizontal="center" readingOrder="0" vertical="center"/>
    </xf>
    <xf borderId="1" fillId="0" fontId="6" numFmtId="0" xfId="0" applyAlignment="1" applyBorder="1" applyFont="1">
      <alignment readingOrder="0" shrinkToFit="0" vertical="center" wrapText="1"/>
    </xf>
    <xf borderId="1" fillId="0" fontId="3" numFmtId="0" xfId="0" applyAlignment="1" applyBorder="1" applyFont="1">
      <alignment horizontal="center" shrinkToFit="0" vertical="center" wrapText="1"/>
    </xf>
    <xf borderId="0" fillId="0" fontId="4" numFmtId="0" xfId="0" applyAlignment="1" applyFont="1">
      <alignment horizontal="center" readingOrder="0" shrinkToFit="0" vertical="center" wrapText="1"/>
    </xf>
    <xf borderId="1" fillId="0" fontId="14" numFmtId="0" xfId="0" applyAlignment="1" applyBorder="1" applyFont="1">
      <alignment horizontal="left" readingOrder="0" shrinkToFit="0" wrapText="1"/>
    </xf>
    <xf borderId="1" fillId="0" fontId="15" numFmtId="0" xfId="0" applyAlignment="1" applyBorder="1" applyFont="1">
      <alignment horizontal="center" readingOrder="0" shrinkToFit="0" wrapText="1"/>
    </xf>
    <xf borderId="0" fillId="14" fontId="10" numFmtId="0" xfId="0" applyAlignment="1" applyFill="1" applyFont="1">
      <alignment horizontal="center" readingOrder="0" shrinkToFit="0" vertical="center" wrapText="1"/>
    </xf>
    <xf borderId="0" fillId="14" fontId="10" numFmtId="171" xfId="0" applyAlignment="1" applyFont="1" applyNumberFormat="1">
      <alignment horizontal="center" readingOrder="0" shrinkToFit="0" vertical="center" wrapText="1"/>
    </xf>
    <xf borderId="8" fillId="0" fontId="3" numFmtId="0" xfId="0" applyBorder="1" applyFont="1"/>
    <xf borderId="0" fillId="0" fontId="3" numFmtId="3" xfId="0" applyAlignment="1" applyFont="1" applyNumberFormat="1">
      <alignment horizontal="center" vertical="center"/>
    </xf>
    <xf borderId="0" fillId="0" fontId="3" numFmtId="9" xfId="0" applyAlignment="1" applyFont="1" applyNumberFormat="1">
      <alignment horizontal="center" vertical="center"/>
    </xf>
    <xf borderId="7" fillId="0" fontId="3" numFmtId="0" xfId="0" applyAlignment="1" applyBorder="1" applyFont="1">
      <alignment horizontal="center" readingOrder="0" vertical="center"/>
    </xf>
    <xf borderId="0" fillId="14" fontId="3" numFmtId="0" xfId="0" applyAlignment="1" applyFont="1">
      <alignment horizontal="center" readingOrder="0" vertical="center"/>
    </xf>
    <xf borderId="4" fillId="14" fontId="4" numFmtId="164" xfId="0" applyAlignment="1" applyBorder="1" applyFont="1" applyNumberFormat="1">
      <alignment horizontal="center" readingOrder="0" vertical="center"/>
    </xf>
    <xf borderId="4" fillId="0" fontId="4" numFmtId="164" xfId="0" applyAlignment="1" applyBorder="1" applyFont="1" applyNumberFormat="1">
      <alignment horizontal="center" readingOrder="0" vertical="center"/>
    </xf>
    <xf borderId="0" fillId="0" fontId="3" numFmtId="0" xfId="0" applyAlignment="1" applyFont="1">
      <alignment horizontal="center" readingOrder="0" shrinkToFit="0" vertical="center" wrapText="1"/>
    </xf>
    <xf borderId="7" fillId="0" fontId="3" numFmtId="0" xfId="0" applyBorder="1" applyFont="1"/>
    <xf borderId="0" fillId="0" fontId="7" numFmtId="0" xfId="0" applyAlignment="1" applyFont="1">
      <alignment readingOrder="0"/>
    </xf>
    <xf borderId="0" fillId="0" fontId="3" numFmtId="165" xfId="0" applyFont="1" applyNumberFormat="1"/>
    <xf borderId="10" fillId="15" fontId="16" numFmtId="0" xfId="0" applyAlignment="1" applyBorder="1" applyFill="1" applyFont="1">
      <alignment horizontal="right" readingOrder="0" shrinkToFit="0" vertical="bottom" wrapText="0"/>
    </xf>
    <xf borderId="0" fillId="8" fontId="3" numFmtId="0" xfId="0" applyAlignment="1" applyFont="1">
      <alignment readingOrder="0"/>
    </xf>
    <xf borderId="10" fillId="15" fontId="16" numFmtId="172" xfId="0" applyAlignment="1" applyBorder="1" applyFont="1" applyNumberFormat="1">
      <alignment horizontal="right" readingOrder="0" shrinkToFit="0" vertical="bottom" wrapText="0"/>
    </xf>
    <xf borderId="10" fillId="16" fontId="16" numFmtId="0" xfId="0" applyAlignment="1" applyBorder="1" applyFill="1" applyFont="1">
      <alignment horizontal="right" readingOrder="0" shrinkToFit="0" vertical="bottom" wrapText="0"/>
    </xf>
    <xf borderId="10" fillId="16" fontId="16" numFmtId="172" xfId="0" applyAlignment="1" applyBorder="1" applyFont="1" applyNumberFormat="1">
      <alignment horizontal="right" readingOrder="0" shrinkToFit="0" vertical="bottom" wrapText="0"/>
    </xf>
    <xf borderId="0" fillId="8" fontId="3" numFmtId="172" xfId="0" applyAlignment="1" applyFont="1" applyNumberFormat="1">
      <alignment readingOrder="0"/>
    </xf>
    <xf borderId="0" fillId="0" fontId="6" numFmtId="0" xfId="0" applyAlignment="1" applyFont="1">
      <alignment readingOrder="0"/>
    </xf>
    <xf borderId="0" fillId="0" fontId="17" numFmtId="0" xfId="0" applyAlignment="1" applyFont="1">
      <alignment readingOrder="0" vertical="bottom"/>
    </xf>
    <xf borderId="0" fillId="0" fontId="4" numFmtId="0" xfId="0" applyAlignment="1" applyFont="1">
      <alignment vertical="bottom"/>
    </xf>
    <xf borderId="0" fillId="0" fontId="18" numFmtId="0" xfId="0" applyAlignment="1" applyFont="1">
      <alignment readingOrder="0"/>
    </xf>
    <xf borderId="0" fillId="0" fontId="4" numFmtId="0" xfId="0" applyAlignment="1" applyFont="1">
      <alignment horizontal="right" readingOrder="0" vertical="bottom"/>
    </xf>
    <xf borderId="0" fillId="0" fontId="4" numFmtId="0" xfId="0" applyFont="1"/>
    <xf borderId="0" fillId="0" fontId="4" numFmtId="9" xfId="0" applyFont="1" applyNumberFormat="1"/>
    <xf borderId="0" fillId="0" fontId="4" numFmtId="0" xfId="0" applyAlignment="1" applyFont="1">
      <alignment readingOrder="0" vertical="bottom"/>
    </xf>
    <xf borderId="0" fillId="0" fontId="19"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4" numFmtId="1" xfId="0" applyAlignment="1" applyBorder="1" applyFont="1" applyNumberFormat="1">
      <alignment horizontal="center" shrinkToFit="0" vertical="center" wrapText="1"/>
    </xf>
    <xf borderId="1" fillId="0" fontId="4" numFmtId="167"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 xfId="0" applyAlignment="1" applyBorder="1" applyFont="1" applyNumberFormat="1">
      <alignment horizontal="center" vertical="center"/>
    </xf>
    <xf borderId="0" fillId="0" fontId="4" numFmtId="0" xfId="0" applyAlignment="1" applyFont="1">
      <alignment horizontal="center" vertical="bottom"/>
    </xf>
    <xf borderId="0" fillId="0" fontId="4" numFmtId="167" xfId="0" applyAlignment="1" applyFont="1" applyNumberFormat="1">
      <alignment horizontal="center" vertical="bottom"/>
    </xf>
    <xf borderId="0" fillId="0" fontId="4" numFmtId="0" xfId="0" applyAlignment="1" applyFont="1">
      <alignment horizontal="right" vertical="bottom"/>
    </xf>
    <xf borderId="1" fillId="0" fontId="7" numFmtId="0" xfId="0" applyAlignment="1" applyBorder="1" applyFont="1">
      <alignment horizontal="center" vertical="center"/>
    </xf>
    <xf borderId="1" fillId="0" fontId="7" numFmtId="0" xfId="0" applyAlignment="1" applyBorder="1" applyFont="1">
      <alignment horizontal="center" shrinkToFit="0" vertical="center" wrapText="1"/>
    </xf>
    <xf borderId="1" fillId="0" fontId="7" numFmtId="1" xfId="0" applyAlignment="1" applyBorder="1" applyFont="1" applyNumberFormat="1">
      <alignment horizontal="center" shrinkToFit="0" vertical="center" wrapText="1"/>
    </xf>
    <xf borderId="1" fillId="0" fontId="3" numFmtId="1" xfId="0" applyAlignment="1" applyBorder="1" applyFont="1" applyNumberFormat="1">
      <alignment horizontal="center" vertical="center"/>
    </xf>
    <xf borderId="0" fillId="0" fontId="3" numFmtId="1" xfId="0" applyAlignment="1" applyFont="1" applyNumberFormat="1">
      <alignment horizontal="center" vertical="bottom"/>
    </xf>
    <xf borderId="0" fillId="0" fontId="20" numFmtId="0" xfId="0" applyAlignment="1" applyFont="1">
      <alignment readingOrder="0"/>
    </xf>
    <xf borderId="1" fillId="17" fontId="7" numFmtId="0" xfId="0" applyAlignment="1" applyBorder="1" applyFill="1" applyFont="1">
      <alignment horizontal="center" readingOrder="0" vertical="center"/>
    </xf>
    <xf borderId="0" fillId="0" fontId="7" numFmtId="0" xfId="0" applyAlignment="1" applyFont="1">
      <alignment horizontal="center" readingOrder="0" vertical="center"/>
    </xf>
    <xf borderId="1" fillId="18" fontId="3" numFmtId="0" xfId="0" applyAlignment="1" applyBorder="1" applyFill="1" applyFont="1">
      <alignment horizontal="center" readingOrder="0" vertical="center"/>
    </xf>
    <xf borderId="1" fillId="18" fontId="3" numFmtId="167"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18" fontId="3" numFmtId="1" xfId="0" applyAlignment="1" applyBorder="1" applyFont="1" applyNumberFormat="1">
      <alignment horizontal="center" readingOrder="0" vertical="center"/>
    </xf>
    <xf borderId="1" fillId="18" fontId="3" numFmtId="0" xfId="0" applyAlignment="1" applyBorder="1" applyFont="1">
      <alignment horizontal="center" vertical="center"/>
    </xf>
    <xf borderId="0" fillId="0" fontId="4" numFmtId="9" xfId="0" applyAlignment="1" applyFont="1" applyNumberFormat="1">
      <alignment readingOrder="0" vertical="bottom"/>
    </xf>
    <xf borderId="0" fillId="0" fontId="7" numFmtId="0" xfId="0" applyFont="1"/>
    <xf borderId="1" fillId="19" fontId="4" numFmtId="3" xfId="0" applyAlignment="1" applyBorder="1" applyFill="1" applyFont="1" applyNumberFormat="1">
      <alignment horizontal="center" readingOrder="0" vertical="center"/>
    </xf>
    <xf borderId="1" fillId="19" fontId="4" numFmtId="1" xfId="0" applyAlignment="1" applyBorder="1" applyFont="1" applyNumberFormat="1">
      <alignment horizontal="center" readingOrder="0" shrinkToFit="0" vertical="center" wrapText="1"/>
    </xf>
    <xf borderId="0" fillId="14" fontId="4" numFmtId="0" xfId="0" applyAlignment="1" applyFont="1">
      <alignment horizontal="center" vertical="bottom"/>
    </xf>
    <xf borderId="0" fillId="14" fontId="4" numFmtId="167" xfId="0" applyAlignment="1" applyFont="1" applyNumberFormat="1">
      <alignment horizontal="center" readingOrder="0" vertical="bottom"/>
    </xf>
    <xf borderId="0" fillId="14" fontId="4" numFmtId="0" xfId="0" applyAlignment="1" applyFont="1">
      <alignment horizontal="center" readingOrder="0" vertical="bottom"/>
    </xf>
    <xf borderId="1" fillId="19" fontId="4" numFmtId="1" xfId="0" applyAlignment="1" applyBorder="1" applyFont="1" applyNumberFormat="1">
      <alignment horizontal="center" readingOrder="0" vertical="center"/>
    </xf>
    <xf borderId="1" fillId="19" fontId="3" numFmtId="0" xfId="0" applyAlignment="1" applyBorder="1" applyFont="1">
      <alignment horizontal="center" readingOrder="0" vertical="center"/>
    </xf>
    <xf borderId="0" fillId="0" fontId="3" numFmtId="0" xfId="0" applyAlignment="1" applyFont="1">
      <alignment horizontal="center" readingOrder="0" vertical="bottom"/>
    </xf>
    <xf borderId="1" fillId="0" fontId="1" numFmtId="3" xfId="0" applyAlignment="1" applyBorder="1" applyFont="1" applyNumberFormat="1">
      <alignment horizontal="center" readingOrder="0" shrinkToFit="0" vertical="center" wrapText="1"/>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shrinkToFit="0" vertical="center" wrapText="1"/>
    </xf>
    <xf borderId="1" fillId="19" fontId="1" numFmtId="165" xfId="0" applyAlignment="1" applyBorder="1" applyFont="1" applyNumberFormat="1">
      <alignment horizontal="center" vertical="center"/>
    </xf>
    <xf borderId="1" fillId="19" fontId="1" numFmtId="1" xfId="0" applyAlignment="1" applyBorder="1" applyFont="1" applyNumberFormat="1">
      <alignment horizontal="center" shrinkToFit="0" vertical="center" wrapText="1"/>
    </xf>
    <xf borderId="0" fillId="14" fontId="4" numFmtId="2" xfId="0" applyAlignment="1" applyFont="1" applyNumberFormat="1">
      <alignment horizontal="center" readingOrder="0" vertical="bottom"/>
    </xf>
    <xf borderId="1" fillId="0" fontId="7" numFmtId="0" xfId="0" applyAlignment="1" applyBorder="1" applyFont="1">
      <alignment horizontal="center" vertical="center"/>
    </xf>
    <xf borderId="1" fillId="19" fontId="4" numFmtId="165" xfId="0" applyAlignment="1" applyBorder="1" applyFont="1" applyNumberFormat="1">
      <alignment horizontal="center" vertical="center"/>
    </xf>
    <xf borderId="1" fillId="19" fontId="4" numFmtId="1" xfId="0" applyAlignment="1" applyBorder="1" applyFont="1" applyNumberFormat="1">
      <alignment horizontal="center" shrinkToFit="0" vertical="center" wrapText="1"/>
    </xf>
    <xf borderId="1" fillId="19" fontId="4" numFmtId="165" xfId="0" applyAlignment="1" applyBorder="1" applyFont="1" applyNumberFormat="1">
      <alignment horizontal="center" readingOrder="0" vertical="center"/>
    </xf>
    <xf borderId="1" fillId="19" fontId="4" numFmtId="1" xfId="0" applyAlignment="1" applyBorder="1" applyFont="1" applyNumberFormat="1">
      <alignment horizontal="center" vertical="center"/>
    </xf>
    <xf borderId="2" fillId="0" fontId="1" numFmtId="0" xfId="0" applyAlignment="1" applyBorder="1" applyFont="1">
      <alignment horizontal="center" readingOrder="0" shrinkToFit="0" vertical="center" wrapText="1"/>
    </xf>
    <xf borderId="1" fillId="11" fontId="2" numFmtId="0" xfId="0" applyAlignment="1" applyBorder="1" applyFont="1">
      <alignment horizontal="center" readingOrder="0" shrinkToFit="0" vertical="center" wrapText="1"/>
    </xf>
    <xf borderId="4" fillId="0" fontId="4" numFmtId="164" xfId="0" applyAlignment="1" applyBorder="1" applyFont="1" applyNumberFormat="1">
      <alignment horizontal="center" vertical="center"/>
    </xf>
    <xf borderId="4" fillId="0" fontId="4" numFmtId="0" xfId="0" applyAlignment="1" applyBorder="1" applyFont="1">
      <alignment shrinkToFit="0" wrapText="1"/>
    </xf>
    <xf borderId="4" fillId="3" fontId="4" numFmtId="0" xfId="0" applyAlignment="1" applyBorder="1" applyFont="1">
      <alignment horizontal="left" readingOrder="0" vertical="center"/>
    </xf>
    <xf borderId="4" fillId="0" fontId="4" numFmtId="0" xfId="0" applyAlignment="1" applyBorder="1" applyFont="1">
      <alignment horizontal="center" shrinkToFit="0" vertical="center" wrapText="1"/>
    </xf>
    <xf borderId="1" fillId="0" fontId="4" numFmtId="0" xfId="0" applyAlignment="1" applyBorder="1" applyFont="1">
      <alignment horizontal="center" shrinkToFit="0" vertical="center" wrapText="1"/>
    </xf>
    <xf borderId="4" fillId="0" fontId="4" numFmtId="0" xfId="0" applyAlignment="1" applyBorder="1" applyFont="1">
      <alignment readingOrder="0" shrinkToFit="0" vertical="bottom" wrapText="1"/>
    </xf>
    <xf borderId="4" fillId="3" fontId="4" numFmtId="0" xfId="0" applyAlignment="1" applyBorder="1" applyFont="1">
      <alignment horizontal="left" readingOrder="0" shrinkToFit="0" vertical="center" wrapText="0"/>
    </xf>
    <xf borderId="2" fillId="7" fontId="3" numFmtId="0" xfId="0" applyAlignment="1" applyBorder="1" applyFont="1">
      <alignment horizontal="center" readingOrder="0" vertical="center"/>
    </xf>
    <xf borderId="0" fillId="0" fontId="3" numFmtId="173" xfId="0" applyAlignment="1" applyFont="1" applyNumberFormat="1">
      <alignment readingOrder="0"/>
    </xf>
    <xf borderId="0" fillId="20" fontId="5" numFmtId="171" xfId="0" applyAlignment="1" applyFill="1" applyFont="1" applyNumberFormat="1">
      <alignment horizontal="center" readingOrder="0"/>
    </xf>
    <xf borderId="0" fillId="20" fontId="5" numFmtId="0" xfId="0" applyAlignment="1" applyFont="1">
      <alignment horizontal="left" readingOrder="0"/>
    </xf>
    <xf borderId="0" fillId="0" fontId="3" numFmtId="3" xfId="0" applyFont="1" applyNumberFormat="1"/>
    <xf borderId="0" fillId="0" fontId="3" numFmtId="10" xfId="0" applyFont="1" applyNumberFormat="1"/>
    <xf borderId="0" fillId="0" fontId="21" numFmtId="0" xfId="0" applyAlignment="1" applyFont="1">
      <alignment readingOrder="0"/>
    </xf>
    <xf borderId="0" fillId="0" fontId="3" numFmtId="164" xfId="0" applyAlignment="1" applyFont="1" applyNumberFormat="1">
      <alignment readingOrder="0"/>
    </xf>
    <xf borderId="0" fillId="0" fontId="3" numFmtId="3" xfId="0" applyAlignment="1" applyFont="1" applyNumberFormat="1">
      <alignment readingOrder="0"/>
    </xf>
    <xf borderId="4" fillId="3" fontId="4" numFmtId="0" xfId="0" applyAlignment="1" applyBorder="1" applyFont="1">
      <alignment horizontal="left" vertical="center"/>
    </xf>
    <xf borderId="0" fillId="0" fontId="3" numFmtId="164" xfId="0" applyFont="1" applyNumberFormat="1"/>
    <xf borderId="4" fillId="3" fontId="4" numFmtId="0" xfId="0" applyAlignment="1" applyBorder="1" applyFont="1">
      <alignment horizontal="left" shrinkToFit="0" vertical="center" wrapText="0"/>
    </xf>
    <xf borderId="0" fillId="0" fontId="3" numFmtId="10" xfId="0" applyAlignment="1" applyFont="1" applyNumberFormat="1">
      <alignment readingOrder="0"/>
    </xf>
    <xf borderId="0" fillId="0" fontId="3" numFmtId="0" xfId="0" applyFont="1"/>
    <xf borderId="0" fillId="0" fontId="1" numFmtId="0" xfId="0" applyAlignment="1" applyFont="1">
      <alignment horizontal="center" shrinkToFit="0" vertical="center" wrapText="1"/>
    </xf>
    <xf borderId="0" fillId="12"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11" fontId="2" numFmtId="0" xfId="0" applyAlignment="1" applyFont="1">
      <alignment horizontal="center" readingOrder="0" shrinkToFit="0" vertical="center" wrapText="1"/>
    </xf>
    <xf borderId="0" fillId="7" fontId="1" numFmtId="0" xfId="0" applyAlignment="1" applyFont="1">
      <alignment horizontal="center" readingOrder="0" shrinkToFit="0" vertical="center" wrapText="1"/>
    </xf>
    <xf borderId="4" fillId="21" fontId="4" numFmtId="165" xfId="0" applyAlignment="1" applyBorder="1" applyFill="1" applyFont="1" applyNumberFormat="1">
      <alignment horizontal="center" readingOrder="0" vertical="center"/>
    </xf>
    <xf borderId="4" fillId="0" fontId="4" numFmtId="165" xfId="0" applyAlignment="1" applyBorder="1" applyFont="1" applyNumberFormat="1">
      <alignment horizontal="center" vertical="center"/>
    </xf>
    <xf borderId="6" fillId="0" fontId="4" numFmtId="0" xfId="0" applyAlignment="1" applyBorder="1" applyFont="1">
      <alignment shrinkToFit="0" wrapText="1"/>
    </xf>
    <xf borderId="2" fillId="7" fontId="4" numFmtId="165" xfId="0" applyAlignment="1" applyBorder="1" applyFont="1" applyNumberFormat="1">
      <alignment horizontal="center" readingOrder="0" vertical="center"/>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1" fillId="10" fontId="4" numFmtId="165" xfId="0" applyAlignment="1" applyBorder="1" applyFont="1" applyNumberFormat="1">
      <alignment horizontal="center" readingOrder="0" vertical="center"/>
    </xf>
    <xf borderId="7" fillId="22" fontId="7" numFmtId="0" xfId="0" applyAlignment="1" applyBorder="1" applyFill="1" applyFont="1">
      <alignment horizontal="center" readingOrder="0" vertical="center"/>
    </xf>
    <xf borderId="7" fillId="23" fontId="7" numFmtId="0" xfId="0" applyAlignment="1" applyBorder="1" applyFill="1" applyFont="1">
      <alignment horizontal="center" readingOrder="0" vertical="center"/>
    </xf>
    <xf borderId="3" fillId="24" fontId="1" numFmtId="0" xfId="0" applyAlignment="1" applyBorder="1" applyFill="1" applyFont="1">
      <alignment horizontal="center" readingOrder="0" shrinkToFit="0" vertical="center" wrapText="1"/>
    </xf>
    <xf borderId="1" fillId="24"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2" fillId="0" fontId="3" numFmtId="9" xfId="0" applyAlignment="1" applyBorder="1" applyFont="1" applyNumberFormat="1">
      <alignment horizontal="center"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2.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customWidth="1" min="6" max="6" width="65.13"/>
    <col min="7" max="7" width="12.63" outlineLevel="1"/>
    <col hidden="1" min="8" max="8" width="12.63" outlineLevel="1"/>
    <col min="9" max="12" width="12.63" outlineLevel="1"/>
    <col customWidth="1" min="13" max="13" width="20.5" outlineLevel="1"/>
    <col min="14" max="15" width="12.63" outlineLevel="1"/>
    <col customWidth="1" min="16" max="16" width="15.13" outlineLevel="1"/>
    <col min="17" max="17" width="12.63" outlineLevel="1"/>
    <col hidden="1" min="27" max="28" width="12.63"/>
    <col collapsed="1" min="29" max="29" width="12.63"/>
    <col hidden="1" min="30" max="43" width="12.63" outlineLevel="1"/>
    <col customWidth="1" min="48" max="48" width="65.13"/>
  </cols>
  <sheetData>
    <row r="1">
      <c r="A1" s="1" t="s">
        <v>0</v>
      </c>
      <c r="B1" s="2" t="s">
        <v>1</v>
      </c>
      <c r="C1" s="3" t="s">
        <v>2</v>
      </c>
      <c r="D1" s="3" t="s">
        <v>3</v>
      </c>
      <c r="E1" s="4" t="s">
        <v>4</v>
      </c>
      <c r="F1" s="5" t="s">
        <v>5</v>
      </c>
      <c r="G1" s="4" t="s">
        <v>6</v>
      </c>
      <c r="H1" s="4" t="s">
        <v>7</v>
      </c>
      <c r="I1" s="4" t="s">
        <v>8</v>
      </c>
      <c r="J1" s="4" t="s">
        <v>9</v>
      </c>
      <c r="K1" s="4" t="s">
        <v>10</v>
      </c>
      <c r="L1" s="4" t="s">
        <v>11</v>
      </c>
      <c r="M1" s="4" t="s">
        <v>12</v>
      </c>
      <c r="N1" s="4" t="s">
        <v>13</v>
      </c>
      <c r="O1" s="4" t="s">
        <v>14</v>
      </c>
      <c r="P1" s="4" t="s">
        <v>15</v>
      </c>
      <c r="Q1" s="6" t="s">
        <v>16</v>
      </c>
      <c r="R1" s="7" t="s">
        <v>17</v>
      </c>
      <c r="S1" s="7" t="s">
        <v>18</v>
      </c>
      <c r="T1" s="7" t="s">
        <v>19</v>
      </c>
      <c r="U1" s="8" t="s">
        <v>20</v>
      </c>
      <c r="V1" s="7" t="s">
        <v>21</v>
      </c>
      <c r="W1" s="7" t="s">
        <v>22</v>
      </c>
      <c r="X1" s="7" t="s">
        <v>23</v>
      </c>
      <c r="Y1" s="7" t="s">
        <v>24</v>
      </c>
      <c r="Z1" s="7" t="s">
        <v>25</v>
      </c>
      <c r="AA1" s="9" t="s">
        <v>26</v>
      </c>
      <c r="AB1" s="10" t="s">
        <v>27</v>
      </c>
      <c r="AC1" s="10" t="s">
        <v>28</v>
      </c>
      <c r="AD1" s="11" t="s">
        <v>29</v>
      </c>
      <c r="AE1" s="11" t="s">
        <v>30</v>
      </c>
      <c r="AF1" s="12" t="s">
        <v>31</v>
      </c>
      <c r="AG1" s="11" t="s">
        <v>32</v>
      </c>
      <c r="AH1" s="11" t="s">
        <v>33</v>
      </c>
      <c r="AI1" s="13" t="s">
        <v>34</v>
      </c>
      <c r="AJ1" s="14" t="s">
        <v>35</v>
      </c>
      <c r="AK1" s="14" t="s">
        <v>36</v>
      </c>
      <c r="AL1" s="14" t="s">
        <v>37</v>
      </c>
      <c r="AM1" s="14" t="s">
        <v>38</v>
      </c>
      <c r="AN1" s="14" t="s">
        <v>39</v>
      </c>
      <c r="AO1" s="14" t="s">
        <v>40</v>
      </c>
      <c r="AP1" s="14" t="s">
        <v>41</v>
      </c>
      <c r="AQ1" s="14" t="s">
        <v>42</v>
      </c>
      <c r="AR1" s="15" t="s">
        <v>43</v>
      </c>
      <c r="AS1" s="16" t="s">
        <v>44</v>
      </c>
      <c r="AT1" s="14" t="s">
        <v>45</v>
      </c>
      <c r="AU1" s="14" t="s">
        <v>46</v>
      </c>
      <c r="AV1" s="17" t="s">
        <v>47</v>
      </c>
      <c r="AW1" s="18"/>
      <c r="AX1" s="18"/>
      <c r="AY1" s="18"/>
      <c r="AZ1" s="18"/>
      <c r="BA1" s="18"/>
    </row>
    <row r="2" ht="87.0" hidden="1" customHeight="1">
      <c r="A2" s="19" t="s">
        <v>48</v>
      </c>
      <c r="B2" s="20" t="s">
        <v>49</v>
      </c>
      <c r="C2" s="21">
        <v>45542.0</v>
      </c>
      <c r="D2" s="22">
        <v>3072.0</v>
      </c>
      <c r="E2" s="19">
        <v>2800.0</v>
      </c>
      <c r="F2" s="23" t="s">
        <v>50</v>
      </c>
      <c r="G2" s="24">
        <v>60.0</v>
      </c>
      <c r="H2" s="25">
        <v>3.0</v>
      </c>
      <c r="I2" s="24" t="b">
        <v>0</v>
      </c>
      <c r="J2" s="24" t="s">
        <v>51</v>
      </c>
      <c r="K2" s="24" t="s">
        <v>52</v>
      </c>
      <c r="L2" s="24">
        <v>5.0</v>
      </c>
      <c r="M2" s="24" t="s">
        <v>53</v>
      </c>
      <c r="N2" s="24" t="s">
        <v>54</v>
      </c>
      <c r="O2" s="24"/>
      <c r="P2" s="26" t="s">
        <v>55</v>
      </c>
      <c r="Q2" s="20">
        <v>34.0</v>
      </c>
      <c r="R2" s="27">
        <v>45544.0</v>
      </c>
      <c r="S2" s="24">
        <v>168.0</v>
      </c>
      <c r="T2" s="28">
        <v>386.0</v>
      </c>
      <c r="U2" s="29">
        <f t="shared" ref="U2:U7" si="1">T2/D2</f>
        <v>0.1256510417</v>
      </c>
      <c r="V2" s="30">
        <v>17.2</v>
      </c>
      <c r="W2" s="30">
        <v>41.51</v>
      </c>
      <c r="X2" s="30">
        <v>84.2</v>
      </c>
      <c r="Y2" s="30"/>
      <c r="Z2" s="30">
        <f t="shared" ref="Z2:Z7" si="2">IF(X2&gt;W2,W2,X2)</f>
        <v>41.51</v>
      </c>
      <c r="AA2" s="30"/>
      <c r="AB2" s="31">
        <f>W2*'Data preparation'!$B$3/'Data preparation'!$B$2</f>
        <v>80.88464536</v>
      </c>
      <c r="AC2" s="31"/>
      <c r="AD2" s="32">
        <v>-0.013</v>
      </c>
      <c r="AE2" s="33">
        <v>111.95</v>
      </c>
      <c r="AF2" s="33">
        <f t="shared" ref="AF2:AF9" si="3">AE2/S2</f>
        <v>0.6663690476</v>
      </c>
      <c r="AG2" s="33">
        <f>91/168</f>
        <v>0.5416666667</v>
      </c>
      <c r="AH2" s="33"/>
      <c r="AI2" s="34">
        <v>0.04879465811637</v>
      </c>
      <c r="AJ2" s="33">
        <f t="shared" ref="AJ2:AJ8" si="4">AI2/AF2</f>
        <v>0.07322467676</v>
      </c>
      <c r="AK2" s="35">
        <v>14.0</v>
      </c>
      <c r="AL2" s="36">
        <v>-0.021370682</v>
      </c>
      <c r="AM2" s="36">
        <v>-0.006115096</v>
      </c>
      <c r="AN2" s="36">
        <v>0.016237513</v>
      </c>
      <c r="AO2" s="36">
        <v>0.024730133</v>
      </c>
      <c r="AP2" s="36">
        <v>0.066512386</v>
      </c>
      <c r="AQ2" s="36">
        <f t="shared" ref="AQ2:AQ8" si="5">AP2-AL2</f>
        <v>0.087883068</v>
      </c>
      <c r="AR2" s="19" t="s">
        <v>56</v>
      </c>
      <c r="AS2" s="37" t="s">
        <v>57</v>
      </c>
      <c r="AT2" s="19">
        <v>10.0</v>
      </c>
      <c r="AU2" s="19">
        <v>0.0</v>
      </c>
      <c r="AV2" s="38"/>
    </row>
    <row r="3" ht="38.25" hidden="1" customHeight="1">
      <c r="A3" s="19" t="s">
        <v>58</v>
      </c>
      <c r="B3" s="39" t="s">
        <v>59</v>
      </c>
      <c r="C3" s="21">
        <v>45541.0</v>
      </c>
      <c r="D3" s="22">
        <v>3072.0</v>
      </c>
      <c r="E3" s="19">
        <v>682.0</v>
      </c>
      <c r="F3" s="40" t="s">
        <v>60</v>
      </c>
      <c r="G3" s="24">
        <v>30.0</v>
      </c>
      <c r="H3" s="25">
        <v>3.0</v>
      </c>
      <c r="I3" s="24" t="b">
        <v>1</v>
      </c>
      <c r="J3" s="24" t="s">
        <v>51</v>
      </c>
      <c r="K3" s="24" t="s">
        <v>61</v>
      </c>
      <c r="L3" s="24"/>
      <c r="M3" s="24" t="s">
        <v>62</v>
      </c>
      <c r="N3" s="24" t="s">
        <v>54</v>
      </c>
      <c r="O3" s="24"/>
      <c r="P3" s="26" t="s">
        <v>55</v>
      </c>
      <c r="Q3" s="20">
        <v>12.0</v>
      </c>
      <c r="R3" s="27">
        <v>45544.0</v>
      </c>
      <c r="S3" s="24">
        <v>83.0</v>
      </c>
      <c r="T3" s="28">
        <v>1892.0</v>
      </c>
      <c r="U3" s="29">
        <f t="shared" si="1"/>
        <v>0.6158854167</v>
      </c>
      <c r="V3" s="30">
        <v>51.32</v>
      </c>
      <c r="W3" s="41">
        <f>V3*0.15</f>
        <v>7.698</v>
      </c>
      <c r="X3" s="30">
        <v>191.23</v>
      </c>
      <c r="Y3" s="30"/>
      <c r="Z3" s="30">
        <f t="shared" si="2"/>
        <v>7.698</v>
      </c>
      <c r="AA3" s="30"/>
      <c r="AB3" s="42">
        <f>Z3*'Data preparation'!$B$3/'Data preparation'!$B$2</f>
        <v>15</v>
      </c>
      <c r="AC3" s="43">
        <v>6.93123233072383</v>
      </c>
      <c r="AD3" s="32">
        <v>0.2674</v>
      </c>
      <c r="AE3" s="33">
        <v>326.1</v>
      </c>
      <c r="AF3" s="33">
        <f t="shared" si="3"/>
        <v>3.928915663</v>
      </c>
      <c r="AG3" s="33">
        <f>54/83</f>
        <v>0.6506024096</v>
      </c>
      <c r="AH3" s="33">
        <f>19/27</f>
        <v>0.7037037037</v>
      </c>
      <c r="AI3" s="34">
        <v>0.2767</v>
      </c>
      <c r="AJ3" s="33">
        <f t="shared" si="4"/>
        <v>0.07042655627</v>
      </c>
      <c r="AK3" s="35">
        <v>7.0</v>
      </c>
      <c r="AL3" s="36">
        <v>-0.048458363</v>
      </c>
      <c r="AM3" s="36">
        <v>-0.006473405</v>
      </c>
      <c r="AN3" s="36">
        <v>0.04424387</v>
      </c>
      <c r="AO3" s="36">
        <v>0.087421679</v>
      </c>
      <c r="AP3" s="36">
        <v>0.137787646</v>
      </c>
      <c r="AQ3" s="36">
        <f t="shared" si="5"/>
        <v>0.186246009</v>
      </c>
      <c r="AR3" s="19" t="s">
        <v>63</v>
      </c>
      <c r="AS3" s="37" t="s">
        <v>57</v>
      </c>
      <c r="AT3" s="19">
        <v>25.0</v>
      </c>
      <c r="AU3" s="19">
        <v>0.0</v>
      </c>
      <c r="AV3" s="38"/>
    </row>
    <row r="4" ht="41.25" hidden="1" customHeight="1">
      <c r="A4" s="19" t="s">
        <v>64</v>
      </c>
      <c r="B4" s="20" t="s">
        <v>65</v>
      </c>
      <c r="C4" s="21">
        <v>45542.0</v>
      </c>
      <c r="D4" s="44">
        <v>3072.0</v>
      </c>
      <c r="E4" s="19">
        <v>2484.0</v>
      </c>
      <c r="F4" s="45" t="s">
        <v>66</v>
      </c>
      <c r="G4" s="24">
        <v>60.0</v>
      </c>
      <c r="H4" s="25">
        <v>3.0</v>
      </c>
      <c r="I4" s="24" t="b">
        <v>0</v>
      </c>
      <c r="J4" s="24"/>
      <c r="K4" s="24" t="s">
        <v>61</v>
      </c>
      <c r="L4" s="24">
        <v>5.0</v>
      </c>
      <c r="M4" s="24" t="s">
        <v>67</v>
      </c>
      <c r="N4" s="24" t="s">
        <v>54</v>
      </c>
      <c r="O4" s="24" t="s">
        <v>68</v>
      </c>
      <c r="P4" s="46" t="s">
        <v>55</v>
      </c>
      <c r="Q4" s="20">
        <v>25.0</v>
      </c>
      <c r="R4" s="27">
        <v>45543.0</v>
      </c>
      <c r="S4" s="24">
        <v>152.0</v>
      </c>
      <c r="T4" s="28">
        <v>1696.0</v>
      </c>
      <c r="U4" s="29">
        <f t="shared" si="1"/>
        <v>0.5520833333</v>
      </c>
      <c r="V4" s="30">
        <v>4.63</v>
      </c>
      <c r="W4" s="30">
        <v>9.15</v>
      </c>
      <c r="X4" s="30">
        <v>4.61</v>
      </c>
      <c r="Y4" s="30"/>
      <c r="Z4" s="30">
        <f t="shared" si="2"/>
        <v>4.61</v>
      </c>
      <c r="AA4" s="30"/>
      <c r="AB4" s="42">
        <f>Z4*'Data preparation'!$B$3/'Data preparation'!$B$2</f>
        <v>8.982852689</v>
      </c>
      <c r="AC4" s="43">
        <v>8.09386886877944</v>
      </c>
      <c r="AD4" s="32">
        <v>0.0437</v>
      </c>
      <c r="AE4" s="33">
        <v>11.1</v>
      </c>
      <c r="AF4" s="33">
        <f t="shared" si="3"/>
        <v>0.07302631579</v>
      </c>
      <c r="AG4" s="33">
        <v>0.57</v>
      </c>
      <c r="AH4" s="33">
        <f>19/30</f>
        <v>0.6333333333</v>
      </c>
      <c r="AI4" s="34">
        <v>0.045752792934262</v>
      </c>
      <c r="AJ4" s="33">
        <f t="shared" si="4"/>
        <v>0.6265247321</v>
      </c>
      <c r="AK4" s="35">
        <v>16.0</v>
      </c>
      <c r="AL4" s="36">
        <v>-0.06972338</v>
      </c>
      <c r="AM4" s="36">
        <v>-0.020835866</v>
      </c>
      <c r="AN4" s="36">
        <v>0.029438302</v>
      </c>
      <c r="AO4" s="36">
        <v>0.071511739</v>
      </c>
      <c r="AP4" s="36">
        <v>0.146901787</v>
      </c>
      <c r="AQ4" s="36">
        <f t="shared" si="5"/>
        <v>0.216625167</v>
      </c>
      <c r="AR4" s="19" t="s">
        <v>56</v>
      </c>
      <c r="AS4" s="37" t="s">
        <v>57</v>
      </c>
      <c r="AT4" s="19">
        <v>20.0</v>
      </c>
      <c r="AU4" s="19">
        <v>0.0</v>
      </c>
      <c r="AV4" s="38" t="s">
        <v>69</v>
      </c>
    </row>
    <row r="5" ht="31.5" hidden="1" customHeight="1">
      <c r="A5" s="19" t="s">
        <v>70</v>
      </c>
      <c r="B5" s="39" t="s">
        <v>71</v>
      </c>
      <c r="C5" s="47">
        <v>45504.0</v>
      </c>
      <c r="D5" s="48">
        <v>1536.0</v>
      </c>
      <c r="E5" s="19">
        <v>732.0</v>
      </c>
      <c r="F5" s="49" t="s">
        <v>72</v>
      </c>
      <c r="G5" s="24">
        <v>30.0</v>
      </c>
      <c r="H5" s="24">
        <v>3.0</v>
      </c>
      <c r="I5" s="24" t="b">
        <v>0</v>
      </c>
      <c r="J5" s="50" t="s">
        <v>73</v>
      </c>
      <c r="K5" s="50"/>
      <c r="L5" s="24"/>
      <c r="M5" s="24" t="s">
        <v>74</v>
      </c>
      <c r="N5" s="24" t="s">
        <v>54</v>
      </c>
      <c r="O5" s="25" t="s">
        <v>75</v>
      </c>
      <c r="P5" s="46" t="s">
        <v>55</v>
      </c>
      <c r="Q5" s="20">
        <v>26.0</v>
      </c>
      <c r="R5" s="27">
        <v>45544.0</v>
      </c>
      <c r="S5" s="24">
        <v>130.0</v>
      </c>
      <c r="T5" s="28">
        <v>584.0</v>
      </c>
      <c r="U5" s="29">
        <f t="shared" si="1"/>
        <v>0.3802083333</v>
      </c>
      <c r="V5" s="30">
        <v>17.4</v>
      </c>
      <c r="W5" s="30">
        <v>4.42</v>
      </c>
      <c r="X5" s="30">
        <v>4.13</v>
      </c>
      <c r="Y5" s="30"/>
      <c r="Z5" s="30">
        <f t="shared" si="2"/>
        <v>4.13</v>
      </c>
      <c r="AA5" s="30"/>
      <c r="AB5" s="42">
        <f>Z5*'Data preparation'!$B$3/'Data preparation'!$B$2</f>
        <v>8.047544817</v>
      </c>
      <c r="AC5" s="43">
        <v>7.0</v>
      </c>
      <c r="AD5" s="33">
        <v>0.28</v>
      </c>
      <c r="AE5" s="33">
        <v>16.65</v>
      </c>
      <c r="AF5" s="33">
        <f t="shared" si="3"/>
        <v>0.1280769231</v>
      </c>
      <c r="AG5" s="33">
        <v>0.585</v>
      </c>
      <c r="AH5" s="33">
        <f>26/39</f>
        <v>0.6666666667</v>
      </c>
      <c r="AI5" s="34">
        <v>0.0564</v>
      </c>
      <c r="AJ5" s="33">
        <f t="shared" si="4"/>
        <v>0.4403603604</v>
      </c>
      <c r="AK5" s="35">
        <v>21.0</v>
      </c>
      <c r="AL5" s="36">
        <v>-0.061160873</v>
      </c>
      <c r="AM5" s="36">
        <v>-0.019458167</v>
      </c>
      <c r="AN5" s="36">
        <v>0.020952678</v>
      </c>
      <c r="AO5" s="36">
        <v>0.058324129</v>
      </c>
      <c r="AP5" s="36">
        <v>0.115329578</v>
      </c>
      <c r="AQ5" s="36">
        <f t="shared" si="5"/>
        <v>0.176490451</v>
      </c>
      <c r="AR5" s="19" t="s">
        <v>63</v>
      </c>
      <c r="AS5" s="37" t="s">
        <v>57</v>
      </c>
      <c r="AT5" s="19">
        <v>20.0</v>
      </c>
      <c r="AU5" s="19">
        <v>0.0</v>
      </c>
      <c r="AV5" s="51"/>
      <c r="AZ5" s="52"/>
    </row>
    <row r="6" ht="45.0" hidden="1" customHeight="1">
      <c r="A6" s="19" t="s">
        <v>76</v>
      </c>
      <c r="B6" s="39" t="s">
        <v>77</v>
      </c>
      <c r="C6" s="53">
        <v>45542.0</v>
      </c>
      <c r="D6" s="22">
        <v>3072.0</v>
      </c>
      <c r="E6" s="19">
        <v>2254.0</v>
      </c>
      <c r="F6" s="54" t="s">
        <v>78</v>
      </c>
      <c r="G6" s="24">
        <v>60.0</v>
      </c>
      <c r="H6" s="24">
        <v>3.0</v>
      </c>
      <c r="I6" s="25" t="b">
        <v>1</v>
      </c>
      <c r="J6" s="24" t="s">
        <v>79</v>
      </c>
      <c r="K6" s="24"/>
      <c r="L6" s="24"/>
      <c r="M6" s="24" t="s">
        <v>80</v>
      </c>
      <c r="N6" s="24" t="s">
        <v>54</v>
      </c>
      <c r="O6" s="24"/>
      <c r="P6" s="26" t="s">
        <v>55</v>
      </c>
      <c r="Q6" s="20">
        <v>35.0</v>
      </c>
      <c r="R6" s="27">
        <v>45544.0</v>
      </c>
      <c r="S6" s="24">
        <v>119.0</v>
      </c>
      <c r="T6" s="28">
        <v>1662.0</v>
      </c>
      <c r="U6" s="29">
        <f t="shared" si="1"/>
        <v>0.541015625</v>
      </c>
      <c r="V6" s="30">
        <v>4.88</v>
      </c>
      <c r="W6" s="30">
        <v>2.19</v>
      </c>
      <c r="X6" s="55">
        <v>6.6</v>
      </c>
      <c r="Y6" s="55"/>
      <c r="Z6" s="30">
        <f t="shared" si="2"/>
        <v>2.19</v>
      </c>
      <c r="AA6" s="30"/>
      <c r="AB6" s="42">
        <f>Z6*'Data preparation'!$B$3/'Data preparation'!$B$2</f>
        <v>4.267342167</v>
      </c>
      <c r="AC6" s="43">
        <v>8.47437366324699</v>
      </c>
      <c r="AD6" s="32">
        <v>0.2941</v>
      </c>
      <c r="AE6" s="33">
        <v>236.54</v>
      </c>
      <c r="AF6" s="33">
        <f t="shared" si="3"/>
        <v>1.987731092</v>
      </c>
      <c r="AG6" s="33">
        <v>0.64</v>
      </c>
      <c r="AH6" s="33">
        <f>13/18</f>
        <v>0.7222222222</v>
      </c>
      <c r="AI6" s="34">
        <v>0.168</v>
      </c>
      <c r="AJ6" s="33">
        <f t="shared" si="4"/>
        <v>0.08451847468</v>
      </c>
      <c r="AK6" s="35">
        <v>13.0</v>
      </c>
      <c r="AL6" s="36">
        <v>-0.072017474</v>
      </c>
      <c r="AM6" s="36">
        <v>-0.014218918</v>
      </c>
      <c r="AN6" s="36">
        <v>0.027757428</v>
      </c>
      <c r="AO6" s="36">
        <v>0.091521873</v>
      </c>
      <c r="AP6" s="36">
        <v>0.125371143</v>
      </c>
      <c r="AQ6" s="36">
        <f t="shared" si="5"/>
        <v>0.197388617</v>
      </c>
      <c r="AR6" s="19" t="s">
        <v>56</v>
      </c>
      <c r="AS6" s="37" t="s">
        <v>57</v>
      </c>
      <c r="AT6" s="19">
        <v>20.0</v>
      </c>
      <c r="AU6" s="37">
        <v>0.0</v>
      </c>
      <c r="AV6" s="38"/>
      <c r="AZ6" s="56"/>
    </row>
    <row r="7" ht="53.25" hidden="1" customHeight="1">
      <c r="A7" s="19" t="s">
        <v>81</v>
      </c>
      <c r="B7" s="39" t="s">
        <v>82</v>
      </c>
      <c r="C7" s="57">
        <v>45498.0</v>
      </c>
      <c r="D7" s="58">
        <v>1152.0</v>
      </c>
      <c r="E7" s="19">
        <v>470.0</v>
      </c>
      <c r="F7" s="45" t="s">
        <v>83</v>
      </c>
      <c r="G7" s="24">
        <v>30.0</v>
      </c>
      <c r="H7" s="24">
        <v>3.0</v>
      </c>
      <c r="I7" s="24" t="b">
        <v>0</v>
      </c>
      <c r="J7" s="24"/>
      <c r="K7" s="25" t="s">
        <v>61</v>
      </c>
      <c r="L7" s="24">
        <v>5.0</v>
      </c>
      <c r="M7" s="24" t="s">
        <v>84</v>
      </c>
      <c r="N7" s="24"/>
      <c r="O7" s="24" t="s">
        <v>75</v>
      </c>
      <c r="P7" s="26" t="s">
        <v>85</v>
      </c>
      <c r="Q7" s="20">
        <v>35.0</v>
      </c>
      <c r="R7" s="27">
        <v>45544.0</v>
      </c>
      <c r="S7" s="24">
        <v>116.0</v>
      </c>
      <c r="T7" s="28">
        <v>39.0</v>
      </c>
      <c r="U7" s="59">
        <f t="shared" si="1"/>
        <v>0.03385416667</v>
      </c>
      <c r="V7" s="60">
        <v>-0.15</v>
      </c>
      <c r="W7" s="60">
        <v>2.17</v>
      </c>
      <c r="X7" s="60">
        <v>1.86</v>
      </c>
      <c r="Y7" s="30"/>
      <c r="Z7" s="30">
        <f t="shared" si="2"/>
        <v>1.86</v>
      </c>
      <c r="AA7" s="30"/>
      <c r="AB7" s="42">
        <f>Z7*'Data preparation'!$B$3/'Data preparation'!$B$2</f>
        <v>3.624318005</v>
      </c>
      <c r="AC7" s="43">
        <v>10.6419729659433</v>
      </c>
      <c r="AD7" s="33">
        <v>0.0531</v>
      </c>
      <c r="AE7" s="33">
        <v>64.64</v>
      </c>
      <c r="AF7" s="33">
        <f t="shared" si="3"/>
        <v>0.5572413793</v>
      </c>
      <c r="AG7" s="33">
        <v>0.48</v>
      </c>
      <c r="AH7" s="33">
        <f>14/30</f>
        <v>0.4666666667</v>
      </c>
      <c r="AI7" s="34">
        <v>0.392</v>
      </c>
      <c r="AJ7" s="33">
        <f t="shared" si="4"/>
        <v>0.7034653465</v>
      </c>
      <c r="AK7" s="35">
        <v>17.0</v>
      </c>
      <c r="AL7" s="36">
        <v>-0.12199921</v>
      </c>
      <c r="AM7" s="36">
        <v>-0.062424974</v>
      </c>
      <c r="AN7" s="36">
        <v>0.031216241</v>
      </c>
      <c r="AO7" s="36">
        <v>0.142680627</v>
      </c>
      <c r="AP7" s="36">
        <v>0.269584898</v>
      </c>
      <c r="AQ7" s="36">
        <f t="shared" si="5"/>
        <v>0.391584108</v>
      </c>
      <c r="AR7" s="19" t="s">
        <v>63</v>
      </c>
      <c r="AS7" s="37" t="s">
        <v>57</v>
      </c>
      <c r="AT7" s="37">
        <v>30.0</v>
      </c>
      <c r="AU7" s="37">
        <v>0.0</v>
      </c>
      <c r="AV7" s="38" t="s">
        <v>86</v>
      </c>
      <c r="AZ7" s="56"/>
    </row>
    <row r="8" ht="39.0" hidden="1" customHeight="1">
      <c r="A8" s="61">
        <v>6.0</v>
      </c>
      <c r="B8" s="39" t="s">
        <v>87</v>
      </c>
      <c r="C8" s="47">
        <v>45419.0</v>
      </c>
      <c r="D8" s="44">
        <v>2304.0</v>
      </c>
      <c r="E8" s="19">
        <v>2.0</v>
      </c>
      <c r="F8" s="62"/>
      <c r="G8" s="25">
        <v>30.0</v>
      </c>
      <c r="H8" s="25">
        <v>3.0</v>
      </c>
      <c r="I8" s="24" t="b">
        <v>1</v>
      </c>
      <c r="J8" s="24" t="s">
        <v>51</v>
      </c>
      <c r="K8" s="24" t="s">
        <v>61</v>
      </c>
      <c r="L8" s="24">
        <v>3.0</v>
      </c>
      <c r="M8" s="24" t="s">
        <v>88</v>
      </c>
      <c r="N8" s="25"/>
      <c r="O8" s="25" t="s">
        <v>75</v>
      </c>
      <c r="P8" s="46" t="s">
        <v>55</v>
      </c>
      <c r="Q8" s="20">
        <v>12.0</v>
      </c>
      <c r="R8" s="63">
        <v>45531.0</v>
      </c>
      <c r="S8" s="24">
        <v>208.0</v>
      </c>
      <c r="T8" s="30"/>
      <c r="U8" s="29"/>
      <c r="V8" s="60">
        <v>1.22</v>
      </c>
      <c r="W8" s="60">
        <v>1.44</v>
      </c>
      <c r="X8" s="30">
        <v>3.58</v>
      </c>
      <c r="Y8" s="30"/>
      <c r="Z8" s="60"/>
      <c r="AA8" s="60"/>
      <c r="AB8" s="31">
        <f>W8*'Data preparation'!$B$3/'Data preparation'!$B$2</f>
        <v>2.805923617</v>
      </c>
      <c r="AC8" s="31"/>
      <c r="AD8" s="32">
        <v>0.0044</v>
      </c>
      <c r="AE8" s="33">
        <v>15.98</v>
      </c>
      <c r="AF8" s="33">
        <f t="shared" si="3"/>
        <v>0.07682692308</v>
      </c>
      <c r="AG8" s="33"/>
      <c r="AH8" s="33"/>
      <c r="AI8" s="34"/>
      <c r="AJ8" s="33">
        <f t="shared" si="4"/>
        <v>0</v>
      </c>
      <c r="AK8" s="35"/>
      <c r="AL8" s="36"/>
      <c r="AM8" s="36"/>
      <c r="AN8" s="36"/>
      <c r="AO8" s="36"/>
      <c r="AP8" s="36"/>
      <c r="AQ8" s="36">
        <f t="shared" si="5"/>
        <v>0</v>
      </c>
      <c r="AR8" s="61" t="s">
        <v>89</v>
      </c>
      <c r="AS8" s="37" t="s">
        <v>90</v>
      </c>
      <c r="AT8" s="37" t="s">
        <v>91</v>
      </c>
      <c r="AU8" s="37" t="s">
        <v>92</v>
      </c>
      <c r="AV8" s="64"/>
      <c r="AW8" s="18"/>
      <c r="AX8" s="18"/>
      <c r="AY8" s="18"/>
      <c r="AZ8" s="65"/>
      <c r="BA8" s="18"/>
    </row>
    <row r="9">
      <c r="A9" s="66">
        <v>167.0</v>
      </c>
      <c r="B9" s="66" t="s">
        <v>93</v>
      </c>
      <c r="C9" s="53">
        <v>45553.0</v>
      </c>
      <c r="D9" s="22">
        <v>1536.0</v>
      </c>
      <c r="E9" s="66">
        <v>1419.0</v>
      </c>
      <c r="F9" s="66" t="s">
        <v>94</v>
      </c>
      <c r="G9" s="66" t="s">
        <v>95</v>
      </c>
      <c r="H9" s="66" t="s">
        <v>96</v>
      </c>
      <c r="I9" s="26" t="b">
        <v>0</v>
      </c>
      <c r="J9" s="66">
        <v>0.85</v>
      </c>
      <c r="K9" s="66">
        <v>0.5</v>
      </c>
      <c r="L9" s="66">
        <v>5.0</v>
      </c>
      <c r="M9" s="66" t="s">
        <v>97</v>
      </c>
      <c r="N9" s="66" t="s">
        <v>54</v>
      </c>
      <c r="O9" s="67"/>
      <c r="P9" s="46" t="s">
        <v>55</v>
      </c>
      <c r="Q9" s="66">
        <v>36.0</v>
      </c>
      <c r="R9" s="63">
        <v>45558.0</v>
      </c>
      <c r="S9" s="66">
        <v>215.0</v>
      </c>
      <c r="T9" s="68">
        <v>888.0</v>
      </c>
      <c r="U9" s="29">
        <f t="shared" ref="U9:U13" si="6">T9/D9</f>
        <v>0.578125</v>
      </c>
      <c r="V9" s="60">
        <v>4.16</v>
      </c>
      <c r="W9" s="60">
        <v>8.56</v>
      </c>
      <c r="X9" s="60">
        <v>8.1</v>
      </c>
      <c r="Y9" s="69">
        <v>30.0</v>
      </c>
      <c r="Z9" s="70">
        <f t="shared" ref="Z9:Z14" si="7">MIN(W9:X9)/Y9</f>
        <v>0.27</v>
      </c>
      <c r="AA9" s="67"/>
      <c r="AB9" s="67"/>
      <c r="AC9" s="71"/>
      <c r="AD9" s="66" t="s">
        <v>98</v>
      </c>
      <c r="AE9" s="72">
        <v>98.47</v>
      </c>
      <c r="AF9" s="73">
        <f t="shared" si="3"/>
        <v>0.458</v>
      </c>
      <c r="AG9" s="72">
        <v>0.523</v>
      </c>
      <c r="AH9" s="67"/>
      <c r="AI9" s="67"/>
      <c r="AJ9" s="67"/>
      <c r="AK9" s="67"/>
      <c r="AL9" s="67"/>
      <c r="AM9" s="67"/>
      <c r="AN9" s="67"/>
      <c r="AO9" s="67"/>
      <c r="AP9" s="67"/>
      <c r="AQ9" s="67"/>
      <c r="AR9" s="66" t="s">
        <v>56</v>
      </c>
      <c r="AS9" s="66" t="s">
        <v>57</v>
      </c>
      <c r="AT9" s="66">
        <v>40.0</v>
      </c>
      <c r="AU9" s="66">
        <v>0.0</v>
      </c>
      <c r="AV9" s="74" t="s">
        <v>99</v>
      </c>
      <c r="AW9" s="18"/>
      <c r="AX9" s="75">
        <v>1.0</v>
      </c>
      <c r="AY9" s="18"/>
      <c r="AZ9" s="76"/>
      <c r="BA9" s="18"/>
    </row>
    <row r="10">
      <c r="A10" s="77">
        <v>48.0</v>
      </c>
      <c r="B10" s="78" t="s">
        <v>100</v>
      </c>
      <c r="C10" s="53">
        <v>45553.0</v>
      </c>
      <c r="D10" s="22">
        <v>1536.0</v>
      </c>
      <c r="E10" s="66">
        <v>1524.0</v>
      </c>
      <c r="F10" s="66" t="s">
        <v>101</v>
      </c>
      <c r="G10" s="66" t="s">
        <v>102</v>
      </c>
      <c r="H10" s="67"/>
      <c r="I10" s="26" t="b">
        <v>0</v>
      </c>
      <c r="J10" s="67"/>
      <c r="K10" s="66"/>
      <c r="L10" s="67"/>
      <c r="M10" s="66" t="s">
        <v>103</v>
      </c>
      <c r="N10" s="66" t="s">
        <v>54</v>
      </c>
      <c r="O10" s="66" t="s">
        <v>75</v>
      </c>
      <c r="P10" s="66" t="s">
        <v>55</v>
      </c>
      <c r="Q10" s="66">
        <v>94.0</v>
      </c>
      <c r="R10" s="63">
        <v>45558.0</v>
      </c>
      <c r="S10" s="66">
        <v>172.0</v>
      </c>
      <c r="T10" s="68">
        <v>683.0</v>
      </c>
      <c r="U10" s="79">
        <f t="shared" si="6"/>
        <v>0.4446614583</v>
      </c>
      <c r="V10" s="60">
        <v>10.79</v>
      </c>
      <c r="W10" s="60">
        <v>15.31</v>
      </c>
      <c r="X10" s="60">
        <v>11.67</v>
      </c>
      <c r="Y10" s="69">
        <v>33.5</v>
      </c>
      <c r="Z10" s="70">
        <f t="shared" si="7"/>
        <v>0.348358209</v>
      </c>
      <c r="AA10" s="67"/>
      <c r="AB10" s="80"/>
      <c r="AC10" s="81">
        <f>'Calculate m_to_use'!G38</f>
        <v>11.7920913</v>
      </c>
      <c r="AD10" s="82"/>
      <c r="AE10" s="82"/>
      <c r="AF10" s="82"/>
      <c r="AG10" s="82"/>
      <c r="AH10" s="82"/>
      <c r="AI10" s="82"/>
      <c r="AJ10" s="82"/>
      <c r="AK10" s="82"/>
      <c r="AL10" s="82"/>
      <c r="AM10" s="82"/>
      <c r="AN10" s="82"/>
      <c r="AO10" s="82"/>
      <c r="AP10" s="82"/>
      <c r="AQ10" s="82"/>
      <c r="AR10" s="66">
        <v>-0.5</v>
      </c>
      <c r="AS10" s="66" t="s">
        <v>57</v>
      </c>
      <c r="AT10" s="66">
        <v>40.0</v>
      </c>
      <c r="AU10" s="66">
        <v>0.0</v>
      </c>
      <c r="AV10" s="74" t="s">
        <v>104</v>
      </c>
      <c r="AW10" s="83"/>
      <c r="AX10" s="75">
        <v>1.0</v>
      </c>
      <c r="AY10" s="83"/>
      <c r="AZ10" s="75">
        <v>1.0</v>
      </c>
      <c r="BA10" s="18">
        <f t="shared" ref="BA10:BA12" si="8">COUNTIF($AX$9:$AX999,AZ10)</f>
        <v>79</v>
      </c>
    </row>
    <row r="11">
      <c r="A11" s="66">
        <v>55.0</v>
      </c>
      <c r="B11" s="78" t="s">
        <v>59</v>
      </c>
      <c r="C11" s="53">
        <v>45556.0</v>
      </c>
      <c r="D11" s="84">
        <v>324.0</v>
      </c>
      <c r="E11" s="66">
        <v>34.0</v>
      </c>
      <c r="F11" s="66" t="s">
        <v>105</v>
      </c>
      <c r="G11" s="66" t="s">
        <v>106</v>
      </c>
      <c r="H11" s="66" t="s">
        <v>96</v>
      </c>
      <c r="I11" s="66" t="b">
        <v>1</v>
      </c>
      <c r="J11" s="66" t="s">
        <v>51</v>
      </c>
      <c r="K11" s="66">
        <v>0.5</v>
      </c>
      <c r="L11" s="66">
        <v>5.0</v>
      </c>
      <c r="M11" s="66" t="s">
        <v>62</v>
      </c>
      <c r="N11" s="66" t="s">
        <v>54</v>
      </c>
      <c r="O11" s="67"/>
      <c r="P11" s="66" t="s">
        <v>55</v>
      </c>
      <c r="Q11" s="66">
        <v>34.0</v>
      </c>
      <c r="R11" s="63">
        <v>45558.0</v>
      </c>
      <c r="S11" s="66">
        <v>101.0</v>
      </c>
      <c r="T11" s="68">
        <v>232.0</v>
      </c>
      <c r="U11" s="79">
        <f t="shared" si="6"/>
        <v>0.7160493827</v>
      </c>
      <c r="V11" s="60">
        <v>12.0</v>
      </c>
      <c r="W11" s="60">
        <v>15.0</v>
      </c>
      <c r="X11" s="60">
        <v>14.29</v>
      </c>
      <c r="Y11" s="69">
        <v>50.0</v>
      </c>
      <c r="Z11" s="70">
        <f t="shared" si="7"/>
        <v>0.2858</v>
      </c>
      <c r="AA11" s="67"/>
      <c r="AB11" s="67"/>
      <c r="AC11" s="81">
        <f>'Calculate m_to_use'!G39</f>
        <v>8.718839849</v>
      </c>
      <c r="AD11" s="67"/>
      <c r="AE11" s="67"/>
      <c r="AF11" s="67"/>
      <c r="AG11" s="67"/>
      <c r="AH11" s="67"/>
      <c r="AI11" s="67"/>
      <c r="AJ11" s="67"/>
      <c r="AK11" s="67"/>
      <c r="AL11" s="67"/>
      <c r="AM11" s="67"/>
      <c r="AN11" s="67"/>
      <c r="AO11" s="67"/>
      <c r="AP11" s="67"/>
      <c r="AQ11" s="67"/>
      <c r="AR11" s="66" t="s">
        <v>56</v>
      </c>
      <c r="AS11" s="66" t="s">
        <v>57</v>
      </c>
      <c r="AT11" s="66">
        <v>60.0</v>
      </c>
      <c r="AU11" s="66">
        <v>0.0</v>
      </c>
      <c r="AV11" s="66" t="s">
        <v>107</v>
      </c>
      <c r="AW11" s="18"/>
      <c r="AX11" s="75">
        <v>0.0</v>
      </c>
      <c r="AY11" s="18"/>
      <c r="AZ11" s="75">
        <v>0.0</v>
      </c>
      <c r="BA11" s="18">
        <f t="shared" si="8"/>
        <v>32</v>
      </c>
    </row>
    <row r="12">
      <c r="A12" s="66">
        <v>148.0</v>
      </c>
      <c r="B12" s="66" t="s">
        <v>71</v>
      </c>
      <c r="C12" s="53">
        <v>45557.0</v>
      </c>
      <c r="D12" s="84">
        <v>576.0</v>
      </c>
      <c r="E12" s="66">
        <v>568.0</v>
      </c>
      <c r="F12" s="66" t="s">
        <v>108</v>
      </c>
      <c r="G12" s="66" t="s">
        <v>109</v>
      </c>
      <c r="H12" s="85"/>
      <c r="I12" s="26" t="b">
        <v>0</v>
      </c>
      <c r="J12" s="85"/>
      <c r="K12" s="85"/>
      <c r="L12" s="66"/>
      <c r="M12" s="74" t="s">
        <v>74</v>
      </c>
      <c r="N12" s="86" t="s">
        <v>54</v>
      </c>
      <c r="O12" s="66" t="s">
        <v>75</v>
      </c>
      <c r="P12" s="66" t="s">
        <v>55</v>
      </c>
      <c r="Q12" s="66">
        <v>81.0</v>
      </c>
      <c r="R12" s="63">
        <v>45558.0</v>
      </c>
      <c r="S12" s="66">
        <v>152.0</v>
      </c>
      <c r="T12" s="68">
        <v>331.0</v>
      </c>
      <c r="U12" s="79">
        <f t="shared" si="6"/>
        <v>0.5746527778</v>
      </c>
      <c r="V12" s="60">
        <v>10.15</v>
      </c>
      <c r="W12" s="60">
        <v>1.14</v>
      </c>
      <c r="X12" s="60">
        <v>4.97</v>
      </c>
      <c r="Y12" s="87">
        <v>34.5</v>
      </c>
      <c r="Z12" s="70">
        <f t="shared" si="7"/>
        <v>0.03304347826</v>
      </c>
      <c r="AA12" s="85"/>
      <c r="AB12" s="85"/>
      <c r="AC12" s="81">
        <f>'Calculate m_to_use'!G42</f>
        <v>8.097099114</v>
      </c>
      <c r="AD12" s="85"/>
      <c r="AE12" s="85"/>
      <c r="AF12" s="85"/>
      <c r="AG12" s="85"/>
      <c r="AH12" s="85"/>
      <c r="AI12" s="85"/>
      <c r="AJ12" s="85"/>
      <c r="AK12" s="85"/>
      <c r="AL12" s="85"/>
      <c r="AM12" s="85"/>
      <c r="AN12" s="85"/>
      <c r="AO12" s="85"/>
      <c r="AP12" s="85"/>
      <c r="AQ12" s="85"/>
      <c r="AR12" s="66">
        <v>-0.5</v>
      </c>
      <c r="AS12" s="66" t="s">
        <v>57</v>
      </c>
      <c r="AT12" s="66">
        <v>50.0</v>
      </c>
      <c r="AU12" s="66">
        <v>0.0</v>
      </c>
      <c r="AV12" s="74" t="s">
        <v>110</v>
      </c>
      <c r="AX12" s="75">
        <v>1.0</v>
      </c>
      <c r="AZ12" s="75">
        <v>2.0</v>
      </c>
      <c r="BA12" s="18">
        <f t="shared" si="8"/>
        <v>41</v>
      </c>
    </row>
    <row r="13" ht="20.25" customHeight="1">
      <c r="A13" s="66">
        <v>59.0</v>
      </c>
      <c r="B13" s="66" t="s">
        <v>77</v>
      </c>
      <c r="C13" s="53">
        <v>45557.0</v>
      </c>
      <c r="D13" s="84">
        <v>576.0</v>
      </c>
      <c r="E13" s="66">
        <v>202.0</v>
      </c>
      <c r="F13" s="66" t="s">
        <v>111</v>
      </c>
      <c r="G13" s="66" t="s">
        <v>106</v>
      </c>
      <c r="H13" s="67"/>
      <c r="I13" s="26" t="b">
        <v>0</v>
      </c>
      <c r="J13" s="66">
        <v>0.85</v>
      </c>
      <c r="K13" s="66">
        <v>0.5</v>
      </c>
      <c r="L13" s="66">
        <v>5.0</v>
      </c>
      <c r="M13" s="66" t="s">
        <v>80</v>
      </c>
      <c r="N13" s="67"/>
      <c r="O13" s="66" t="s">
        <v>75</v>
      </c>
      <c r="P13" s="66" t="s">
        <v>55</v>
      </c>
      <c r="Q13" s="66">
        <v>42.0</v>
      </c>
      <c r="R13" s="63">
        <v>45558.0</v>
      </c>
      <c r="S13" s="66">
        <v>137.0</v>
      </c>
      <c r="T13" s="68">
        <v>245.0</v>
      </c>
      <c r="U13" s="29">
        <f t="shared" si="6"/>
        <v>0.4253472222</v>
      </c>
      <c r="V13" s="60">
        <v>3.6</v>
      </c>
      <c r="W13" s="60">
        <v>1.5</v>
      </c>
      <c r="X13" s="60">
        <v>1.8</v>
      </c>
      <c r="Y13" s="69">
        <v>27.0</v>
      </c>
      <c r="Z13" s="70">
        <f t="shared" si="7"/>
        <v>0.05555555556</v>
      </c>
      <c r="AA13" s="88"/>
      <c r="AB13" s="88"/>
      <c r="AC13" s="81">
        <f>'Calculate m_to_use'!G40</f>
        <v>2.096928614</v>
      </c>
      <c r="AD13" s="85"/>
      <c r="AE13" s="85"/>
      <c r="AF13" s="85"/>
      <c r="AG13" s="85"/>
      <c r="AH13" s="85"/>
      <c r="AI13" s="85"/>
      <c r="AJ13" s="85"/>
      <c r="AK13" s="85"/>
      <c r="AL13" s="85"/>
      <c r="AM13" s="89"/>
      <c r="AN13" s="85"/>
      <c r="AO13" s="85"/>
      <c r="AP13" s="85"/>
      <c r="AQ13" s="85"/>
      <c r="AR13" s="66">
        <v>-0.35</v>
      </c>
      <c r="AS13" s="66" t="s">
        <v>57</v>
      </c>
      <c r="AT13" s="66">
        <v>30.0</v>
      </c>
      <c r="AU13" s="66">
        <v>0.0</v>
      </c>
      <c r="AV13" s="74" t="s">
        <v>112</v>
      </c>
      <c r="AX13" s="75">
        <v>1.0</v>
      </c>
    </row>
    <row r="14" ht="20.25" customHeight="1">
      <c r="A14" s="66">
        <v>77.0</v>
      </c>
      <c r="B14" s="66" t="s">
        <v>82</v>
      </c>
      <c r="C14" s="53">
        <v>45556.0</v>
      </c>
      <c r="D14" s="84">
        <v>432.0</v>
      </c>
      <c r="E14" s="66">
        <v>266.0</v>
      </c>
      <c r="F14" s="66" t="s">
        <v>113</v>
      </c>
      <c r="G14" s="66" t="s">
        <v>109</v>
      </c>
      <c r="H14" s="66" t="s">
        <v>96</v>
      </c>
      <c r="I14" s="66" t="b">
        <v>1</v>
      </c>
      <c r="J14" s="66">
        <v>0.85</v>
      </c>
      <c r="K14" s="66"/>
      <c r="L14" s="66">
        <v>5.0</v>
      </c>
      <c r="M14" s="66" t="s">
        <v>84</v>
      </c>
      <c r="N14" s="90"/>
      <c r="O14" s="66" t="s">
        <v>75</v>
      </c>
      <c r="P14" s="66" t="s">
        <v>85</v>
      </c>
      <c r="Q14" s="66">
        <v>77.0</v>
      </c>
      <c r="R14" s="63">
        <v>45558.0</v>
      </c>
      <c r="S14" s="66">
        <v>149.0</v>
      </c>
      <c r="T14" s="68">
        <v>34.0</v>
      </c>
      <c r="U14" s="79">
        <f>T14/932</f>
        <v>0.0364806867</v>
      </c>
      <c r="V14" s="60">
        <v>-0.21</v>
      </c>
      <c r="W14" s="60">
        <v>3.39</v>
      </c>
      <c r="X14" s="60">
        <v>3.43</v>
      </c>
      <c r="Y14" s="69">
        <v>16.3</v>
      </c>
      <c r="Z14" s="70">
        <f t="shared" si="7"/>
        <v>0.2079754601</v>
      </c>
      <c r="AA14" s="91"/>
      <c r="AB14" s="91"/>
      <c r="AC14" s="81">
        <f>'Calculate m_to_use'!G41</f>
        <v>13.41085425</v>
      </c>
      <c r="AD14" s="67"/>
      <c r="AE14" s="67"/>
      <c r="AF14" s="67"/>
      <c r="AG14" s="67"/>
      <c r="AH14" s="67"/>
      <c r="AI14" s="67"/>
      <c r="AJ14" s="67"/>
      <c r="AK14" s="67"/>
      <c r="AL14" s="67"/>
      <c r="AM14" s="67"/>
      <c r="AN14" s="67"/>
      <c r="AO14" s="67"/>
      <c r="AP14" s="67"/>
      <c r="AQ14" s="67"/>
      <c r="AR14" s="66" t="s">
        <v>63</v>
      </c>
      <c r="AS14" s="66" t="s">
        <v>57</v>
      </c>
      <c r="AT14" s="66">
        <v>30.0</v>
      </c>
      <c r="AU14" s="66">
        <v>0.0</v>
      </c>
      <c r="AV14" s="74" t="s">
        <v>114</v>
      </c>
      <c r="AW14" s="18"/>
      <c r="AX14" s="75">
        <v>1.0</v>
      </c>
      <c r="AY14" s="18"/>
      <c r="AZ14" s="18"/>
      <c r="BA14" s="18"/>
    </row>
    <row r="15" ht="20.25" customHeight="1">
      <c r="Y15" s="92"/>
      <c r="Z15" s="92"/>
      <c r="AA15" s="93"/>
      <c r="AB15" s="93"/>
      <c r="AJ15" s="94"/>
      <c r="AX15" s="75">
        <v>1.0</v>
      </c>
    </row>
    <row r="16" ht="20.25" customHeight="1">
      <c r="Y16" s="92"/>
      <c r="Z16" s="92"/>
      <c r="AA16" s="93"/>
      <c r="AB16" s="93"/>
      <c r="AX16" s="75">
        <v>2.0</v>
      </c>
    </row>
    <row r="17" ht="20.25" customHeight="1">
      <c r="G17" s="93"/>
      <c r="H17" s="93"/>
      <c r="I17" s="93"/>
      <c r="J17" s="93"/>
      <c r="T17" s="95"/>
      <c r="U17" s="96"/>
      <c r="V17" s="95"/>
      <c r="W17" s="95"/>
      <c r="X17" s="95"/>
      <c r="Y17" s="92"/>
      <c r="Z17" s="92"/>
      <c r="AA17" s="93"/>
      <c r="AB17" s="93"/>
      <c r="AX17" s="75">
        <v>1.0</v>
      </c>
    </row>
    <row r="18" ht="20.25" customHeight="1">
      <c r="G18" s="93"/>
      <c r="H18" s="93"/>
      <c r="I18" s="93"/>
      <c r="J18" s="93"/>
      <c r="Y18" s="18"/>
      <c r="Z18" s="18"/>
      <c r="AC18" s="93"/>
      <c r="AX18" s="75">
        <v>2.0</v>
      </c>
    </row>
    <row r="19">
      <c r="G19" s="93"/>
      <c r="H19" s="93"/>
      <c r="I19" s="93"/>
      <c r="J19" s="93"/>
      <c r="Y19" s="18"/>
      <c r="Z19" s="18"/>
      <c r="AC19" s="93"/>
      <c r="AX19" s="75">
        <v>2.0</v>
      </c>
    </row>
    <row r="20">
      <c r="G20" s="93"/>
      <c r="H20" s="93"/>
      <c r="I20" s="93"/>
      <c r="J20" s="93"/>
      <c r="Y20" s="18"/>
      <c r="Z20" s="18"/>
      <c r="AC20" s="93"/>
      <c r="AX20" s="75">
        <v>1.0</v>
      </c>
    </row>
    <row r="21">
      <c r="G21" s="93"/>
      <c r="H21" s="93"/>
      <c r="I21" s="93"/>
      <c r="J21" s="93"/>
      <c r="Y21" s="18"/>
      <c r="Z21" s="18"/>
      <c r="AC21" s="93"/>
      <c r="AX21" s="75">
        <v>1.0</v>
      </c>
    </row>
    <row r="22">
      <c r="U22" s="97"/>
      <c r="Y22" s="18"/>
      <c r="Z22" s="18"/>
      <c r="AC22" s="93"/>
      <c r="AX22" s="75">
        <v>0.0</v>
      </c>
    </row>
    <row r="23">
      <c r="U23" s="97"/>
      <c r="Y23" s="18"/>
      <c r="Z23" s="18"/>
      <c r="AX23" s="75">
        <v>2.0</v>
      </c>
    </row>
    <row r="24">
      <c r="U24" s="97"/>
      <c r="Y24" s="18"/>
      <c r="Z24" s="18"/>
      <c r="AX24" s="75">
        <v>2.0</v>
      </c>
    </row>
    <row r="25">
      <c r="U25" s="97"/>
      <c r="Y25" s="18"/>
      <c r="Z25" s="18"/>
      <c r="AX25" s="75">
        <v>0.0</v>
      </c>
    </row>
    <row r="26">
      <c r="U26" s="97"/>
      <c r="Y26" s="18"/>
      <c r="Z26" s="18"/>
      <c r="AX26" s="75">
        <v>2.0</v>
      </c>
    </row>
    <row r="27">
      <c r="U27" s="97"/>
      <c r="Y27" s="18"/>
      <c r="Z27" s="18"/>
      <c r="AX27" s="75">
        <v>1.0</v>
      </c>
    </row>
    <row r="28">
      <c r="U28" s="97"/>
      <c r="Y28" s="18"/>
      <c r="Z28" s="18"/>
      <c r="AX28" s="75">
        <v>1.0</v>
      </c>
    </row>
    <row r="29">
      <c r="U29" s="97"/>
      <c r="Y29" s="18"/>
      <c r="Z29" s="18"/>
      <c r="AX29" s="75">
        <v>0.0</v>
      </c>
    </row>
    <row r="30">
      <c r="U30" s="97"/>
      <c r="Y30" s="18"/>
      <c r="Z30" s="18"/>
      <c r="AX30" s="75">
        <v>1.0</v>
      </c>
    </row>
    <row r="31">
      <c r="U31" s="97"/>
      <c r="Y31" s="18"/>
      <c r="Z31" s="18"/>
      <c r="AX31" s="75">
        <v>1.0</v>
      </c>
    </row>
    <row r="32">
      <c r="U32" s="97"/>
      <c r="Y32" s="18"/>
      <c r="Z32" s="18"/>
      <c r="AX32" s="75">
        <v>1.0</v>
      </c>
    </row>
    <row r="33">
      <c r="U33" s="97"/>
      <c r="Y33" s="18"/>
      <c r="Z33" s="18"/>
      <c r="AX33" s="75">
        <v>2.0</v>
      </c>
    </row>
    <row r="34">
      <c r="U34" s="97"/>
      <c r="Y34" s="18"/>
      <c r="Z34" s="18"/>
      <c r="AX34" s="75">
        <v>1.0</v>
      </c>
    </row>
    <row r="35">
      <c r="U35" s="97"/>
      <c r="Y35" s="18"/>
      <c r="Z35" s="18"/>
      <c r="AX35" s="75">
        <v>0.0</v>
      </c>
    </row>
    <row r="36">
      <c r="U36" s="97"/>
      <c r="Y36" s="18"/>
      <c r="Z36" s="18"/>
      <c r="AX36" s="75">
        <v>2.0</v>
      </c>
    </row>
    <row r="37">
      <c r="U37" s="97"/>
      <c r="Y37" s="18"/>
      <c r="Z37" s="18"/>
      <c r="AX37" s="75">
        <v>2.0</v>
      </c>
    </row>
    <row r="38">
      <c r="U38" s="97"/>
      <c r="Y38" s="18"/>
      <c r="Z38" s="18"/>
      <c r="AX38" s="75">
        <v>1.0</v>
      </c>
    </row>
    <row r="39">
      <c r="U39" s="97"/>
      <c r="Y39" s="18"/>
      <c r="Z39" s="18"/>
      <c r="AX39" s="75">
        <v>1.0</v>
      </c>
    </row>
    <row r="40">
      <c r="U40" s="97"/>
      <c r="Y40" s="18"/>
      <c r="Z40" s="18"/>
      <c r="AX40" s="75">
        <v>2.0</v>
      </c>
    </row>
    <row r="41">
      <c r="U41" s="97"/>
      <c r="Y41" s="18"/>
      <c r="Z41" s="18"/>
      <c r="AX41" s="75">
        <v>2.0</v>
      </c>
    </row>
    <row r="42">
      <c r="U42" s="97"/>
      <c r="Y42" s="18"/>
      <c r="Z42" s="18"/>
      <c r="AX42" s="75">
        <v>2.0</v>
      </c>
    </row>
    <row r="43">
      <c r="U43" s="97"/>
      <c r="Y43" s="18"/>
      <c r="Z43" s="18"/>
      <c r="AX43" s="75">
        <v>1.0</v>
      </c>
    </row>
    <row r="44">
      <c r="U44" s="97"/>
      <c r="Y44" s="18"/>
      <c r="Z44" s="18"/>
      <c r="AX44" s="75">
        <v>0.0</v>
      </c>
    </row>
    <row r="45">
      <c r="U45" s="97"/>
      <c r="Y45" s="18"/>
      <c r="Z45" s="18"/>
      <c r="AX45" s="75">
        <v>2.0</v>
      </c>
    </row>
    <row r="46">
      <c r="U46" s="97"/>
      <c r="Y46" s="18"/>
      <c r="Z46" s="18"/>
      <c r="AX46" s="75">
        <v>2.0</v>
      </c>
    </row>
    <row r="47">
      <c r="U47" s="97"/>
      <c r="Y47" s="18"/>
      <c r="Z47" s="18"/>
      <c r="AX47" s="75">
        <v>1.0</v>
      </c>
    </row>
    <row r="48">
      <c r="U48" s="97"/>
      <c r="Y48" s="18"/>
      <c r="Z48" s="18"/>
      <c r="AX48" s="75">
        <v>1.0</v>
      </c>
    </row>
    <row r="49">
      <c r="U49" s="97"/>
      <c r="Y49" s="18"/>
      <c r="Z49" s="18"/>
      <c r="AX49" s="75">
        <v>1.0</v>
      </c>
    </row>
    <row r="50">
      <c r="U50" s="97"/>
      <c r="Y50" s="18"/>
      <c r="Z50" s="18"/>
      <c r="AX50" s="75">
        <v>0.0</v>
      </c>
    </row>
    <row r="51">
      <c r="U51" s="97"/>
      <c r="Y51" s="18"/>
      <c r="Z51" s="18"/>
      <c r="AX51" s="75">
        <v>1.0</v>
      </c>
    </row>
    <row r="52">
      <c r="U52" s="97"/>
      <c r="Y52" s="18"/>
      <c r="Z52" s="18"/>
      <c r="AX52" s="75">
        <v>1.0</v>
      </c>
    </row>
    <row r="53">
      <c r="U53" s="97"/>
      <c r="Y53" s="18"/>
      <c r="Z53" s="18"/>
      <c r="AX53" s="75">
        <v>0.0</v>
      </c>
    </row>
    <row r="54">
      <c r="U54" s="97"/>
      <c r="Y54" s="18"/>
      <c r="Z54" s="18"/>
      <c r="AX54" s="75">
        <v>2.0</v>
      </c>
    </row>
    <row r="55">
      <c r="U55" s="97"/>
      <c r="Y55" s="18"/>
      <c r="Z55" s="18"/>
      <c r="AX55" s="75">
        <v>0.0</v>
      </c>
    </row>
    <row r="56">
      <c r="U56" s="97"/>
      <c r="Y56" s="18"/>
      <c r="Z56" s="18"/>
      <c r="AX56" s="75">
        <v>0.0</v>
      </c>
    </row>
    <row r="57">
      <c r="U57" s="97"/>
      <c r="Y57" s="18"/>
      <c r="Z57" s="18"/>
      <c r="AX57" s="75">
        <v>2.0</v>
      </c>
    </row>
    <row r="58">
      <c r="U58" s="97"/>
      <c r="Y58" s="18"/>
      <c r="Z58" s="18"/>
      <c r="AX58" s="75">
        <v>1.0</v>
      </c>
    </row>
    <row r="59">
      <c r="U59" s="97"/>
      <c r="Y59" s="18"/>
      <c r="Z59" s="18"/>
      <c r="AX59" s="75">
        <v>1.0</v>
      </c>
    </row>
    <row r="60">
      <c r="U60" s="97"/>
      <c r="Y60" s="18"/>
      <c r="Z60" s="18"/>
      <c r="AX60" s="75">
        <v>2.0</v>
      </c>
    </row>
    <row r="61">
      <c r="U61" s="97"/>
      <c r="Y61" s="18"/>
      <c r="Z61" s="18"/>
      <c r="AX61" s="75">
        <v>1.0</v>
      </c>
    </row>
    <row r="62">
      <c r="U62" s="97"/>
      <c r="Y62" s="18"/>
      <c r="Z62" s="18"/>
      <c r="AX62" s="75">
        <v>1.0</v>
      </c>
    </row>
    <row r="63">
      <c r="U63" s="97"/>
      <c r="Y63" s="18"/>
      <c r="Z63" s="18"/>
      <c r="AX63" s="75">
        <v>2.0</v>
      </c>
    </row>
    <row r="64">
      <c r="U64" s="97"/>
      <c r="Y64" s="18"/>
      <c r="Z64" s="18"/>
      <c r="AX64" s="75">
        <v>1.0</v>
      </c>
    </row>
    <row r="65">
      <c r="U65" s="97"/>
      <c r="Y65" s="18"/>
      <c r="Z65" s="18"/>
      <c r="AX65" s="75">
        <v>2.0</v>
      </c>
    </row>
    <row r="66">
      <c r="U66" s="97"/>
      <c r="Y66" s="18"/>
      <c r="Z66" s="18"/>
      <c r="AX66" s="75">
        <v>1.0</v>
      </c>
    </row>
    <row r="67">
      <c r="U67" s="97"/>
      <c r="Y67" s="18"/>
      <c r="Z67" s="18"/>
      <c r="AX67" s="75">
        <v>0.0</v>
      </c>
    </row>
    <row r="68">
      <c r="U68" s="97"/>
      <c r="Y68" s="18"/>
      <c r="Z68" s="18"/>
      <c r="AX68" s="75">
        <v>1.0</v>
      </c>
    </row>
    <row r="69">
      <c r="U69" s="97"/>
      <c r="Y69" s="18"/>
      <c r="Z69" s="18"/>
      <c r="AX69" s="75">
        <v>1.0</v>
      </c>
    </row>
    <row r="70">
      <c r="U70" s="97"/>
      <c r="Y70" s="18"/>
      <c r="Z70" s="18"/>
      <c r="AX70" s="75">
        <v>0.0</v>
      </c>
    </row>
    <row r="71">
      <c r="U71" s="97"/>
      <c r="Y71" s="18"/>
      <c r="Z71" s="18"/>
      <c r="AX71" s="75">
        <v>1.0</v>
      </c>
    </row>
    <row r="72">
      <c r="U72" s="97"/>
      <c r="Y72" s="18"/>
      <c r="Z72" s="18"/>
      <c r="AX72" s="75">
        <v>1.0</v>
      </c>
    </row>
    <row r="73">
      <c r="U73" s="97"/>
      <c r="Y73" s="18"/>
      <c r="Z73" s="18"/>
      <c r="AX73" s="75">
        <v>1.0</v>
      </c>
    </row>
    <row r="74">
      <c r="U74" s="97"/>
      <c r="Y74" s="18"/>
      <c r="Z74" s="18"/>
      <c r="AX74" s="75">
        <v>1.0</v>
      </c>
    </row>
    <row r="75">
      <c r="U75" s="97"/>
      <c r="Y75" s="18"/>
      <c r="Z75" s="18"/>
      <c r="AX75" s="75">
        <v>0.0</v>
      </c>
    </row>
    <row r="76">
      <c r="U76" s="97"/>
      <c r="Y76" s="18"/>
      <c r="Z76" s="18"/>
      <c r="AX76" s="75">
        <v>2.0</v>
      </c>
    </row>
    <row r="77">
      <c r="U77" s="97"/>
      <c r="Y77" s="18"/>
      <c r="Z77" s="18"/>
      <c r="AX77" s="75">
        <v>0.0</v>
      </c>
    </row>
    <row r="78">
      <c r="U78" s="97"/>
      <c r="Y78" s="18"/>
      <c r="Z78" s="18"/>
      <c r="AX78" s="75">
        <v>2.0</v>
      </c>
    </row>
    <row r="79">
      <c r="U79" s="97"/>
      <c r="Y79" s="18"/>
      <c r="Z79" s="18"/>
      <c r="AX79" s="75">
        <v>1.0</v>
      </c>
    </row>
    <row r="80">
      <c r="U80" s="97"/>
      <c r="Y80" s="18"/>
      <c r="Z80" s="18"/>
      <c r="AX80" s="75">
        <v>1.0</v>
      </c>
    </row>
    <row r="81">
      <c r="U81" s="97"/>
      <c r="Y81" s="18"/>
      <c r="Z81" s="18"/>
      <c r="AX81" s="75">
        <v>1.0</v>
      </c>
    </row>
    <row r="82">
      <c r="U82" s="97"/>
      <c r="Y82" s="18"/>
      <c r="Z82" s="18"/>
      <c r="AX82" s="75">
        <v>2.0</v>
      </c>
    </row>
    <row r="83">
      <c r="U83" s="97"/>
      <c r="Y83" s="18"/>
      <c r="Z83" s="18"/>
      <c r="AX83" s="75">
        <v>1.0</v>
      </c>
    </row>
    <row r="84">
      <c r="U84" s="97"/>
      <c r="Y84" s="18"/>
      <c r="Z84" s="18"/>
      <c r="AX84" s="75">
        <v>1.0</v>
      </c>
    </row>
    <row r="85">
      <c r="U85" s="97"/>
      <c r="Y85" s="18"/>
      <c r="Z85" s="18"/>
      <c r="AX85" s="75">
        <v>1.0</v>
      </c>
    </row>
    <row r="86">
      <c r="U86" s="97"/>
      <c r="Y86" s="18"/>
      <c r="Z86" s="18"/>
      <c r="AX86" s="75">
        <v>1.0</v>
      </c>
    </row>
    <row r="87">
      <c r="U87" s="97"/>
      <c r="Y87" s="18"/>
      <c r="Z87" s="18"/>
      <c r="AX87" s="75">
        <v>2.0</v>
      </c>
    </row>
    <row r="88">
      <c r="U88" s="97"/>
      <c r="Y88" s="18"/>
      <c r="Z88" s="18"/>
      <c r="AX88" s="75">
        <v>0.0</v>
      </c>
    </row>
    <row r="89">
      <c r="U89" s="97"/>
      <c r="Y89" s="18"/>
      <c r="Z89" s="18"/>
      <c r="AX89" s="75">
        <v>0.0</v>
      </c>
    </row>
    <row r="90">
      <c r="U90" s="97"/>
      <c r="Y90" s="18"/>
      <c r="Z90" s="18"/>
      <c r="AX90" s="75">
        <v>1.0</v>
      </c>
    </row>
    <row r="91">
      <c r="U91" s="97"/>
      <c r="Y91" s="18"/>
      <c r="Z91" s="18"/>
      <c r="AX91" s="75">
        <v>0.0</v>
      </c>
    </row>
    <row r="92">
      <c r="U92" s="97"/>
      <c r="Y92" s="18"/>
      <c r="Z92" s="18"/>
      <c r="AX92" s="75">
        <v>0.0</v>
      </c>
    </row>
    <row r="93">
      <c r="U93" s="97"/>
      <c r="Y93" s="18"/>
      <c r="Z93" s="18"/>
      <c r="AX93" s="75">
        <v>0.0</v>
      </c>
    </row>
    <row r="94">
      <c r="U94" s="97"/>
      <c r="Y94" s="18"/>
      <c r="Z94" s="18"/>
      <c r="AX94" s="75">
        <v>2.0</v>
      </c>
    </row>
    <row r="95">
      <c r="U95" s="97"/>
      <c r="Y95" s="18"/>
      <c r="Z95" s="18"/>
      <c r="AX95" s="75">
        <v>1.0</v>
      </c>
    </row>
    <row r="96">
      <c r="U96" s="97"/>
      <c r="Y96" s="18"/>
      <c r="Z96" s="18"/>
      <c r="AX96" s="75">
        <v>1.0</v>
      </c>
    </row>
    <row r="97">
      <c r="U97" s="97"/>
      <c r="Y97" s="18"/>
      <c r="Z97" s="18"/>
      <c r="AX97" s="75">
        <v>2.0</v>
      </c>
    </row>
    <row r="98">
      <c r="U98" s="97"/>
      <c r="Y98" s="18"/>
      <c r="Z98" s="18"/>
      <c r="AX98" s="75">
        <v>1.0</v>
      </c>
    </row>
    <row r="99">
      <c r="U99" s="97"/>
      <c r="Y99" s="18"/>
      <c r="Z99" s="18"/>
      <c r="AX99" s="75">
        <v>2.0</v>
      </c>
    </row>
    <row r="100">
      <c r="U100" s="97"/>
      <c r="Y100" s="18"/>
      <c r="Z100" s="18"/>
      <c r="AX100" s="75">
        <v>1.0</v>
      </c>
    </row>
    <row r="101">
      <c r="U101" s="97"/>
      <c r="Y101" s="18"/>
      <c r="Z101" s="18"/>
      <c r="AX101" s="75">
        <v>0.0</v>
      </c>
    </row>
    <row r="102">
      <c r="U102" s="97"/>
      <c r="Y102" s="18"/>
      <c r="Z102" s="18"/>
      <c r="AX102" s="75">
        <v>1.0</v>
      </c>
    </row>
    <row r="103">
      <c r="U103" s="97"/>
      <c r="Y103" s="18"/>
      <c r="Z103" s="18"/>
      <c r="AX103" s="75">
        <v>0.0</v>
      </c>
    </row>
    <row r="104">
      <c r="U104" s="97"/>
      <c r="Y104" s="18"/>
      <c r="Z104" s="18"/>
      <c r="AX104" s="75">
        <v>0.0</v>
      </c>
    </row>
    <row r="105">
      <c r="U105" s="97"/>
      <c r="Y105" s="18"/>
      <c r="Z105" s="18"/>
      <c r="AX105" s="75">
        <v>2.0</v>
      </c>
    </row>
    <row r="106">
      <c r="U106" s="97"/>
      <c r="Y106" s="18"/>
      <c r="Z106" s="18"/>
      <c r="AX106" s="75">
        <v>1.0</v>
      </c>
    </row>
    <row r="107">
      <c r="U107" s="97"/>
      <c r="Y107" s="18"/>
      <c r="Z107" s="18"/>
      <c r="AX107" s="75">
        <v>2.0</v>
      </c>
    </row>
    <row r="108">
      <c r="U108" s="97"/>
      <c r="Y108" s="18"/>
      <c r="Z108" s="18"/>
      <c r="AX108" s="75">
        <v>0.0</v>
      </c>
    </row>
    <row r="109">
      <c r="U109" s="97"/>
      <c r="Y109" s="18"/>
      <c r="Z109" s="18"/>
      <c r="AX109" s="75">
        <v>0.0</v>
      </c>
    </row>
    <row r="110">
      <c r="U110" s="97"/>
      <c r="Y110" s="18"/>
      <c r="Z110" s="18"/>
      <c r="AX110" s="75">
        <v>1.0</v>
      </c>
    </row>
    <row r="111">
      <c r="U111" s="97"/>
      <c r="Y111" s="18"/>
      <c r="Z111" s="18"/>
      <c r="AX111" s="75">
        <v>0.0</v>
      </c>
    </row>
    <row r="112">
      <c r="U112" s="97"/>
      <c r="Y112" s="18"/>
      <c r="Z112" s="18"/>
      <c r="AX112" s="75">
        <v>1.0</v>
      </c>
    </row>
    <row r="113">
      <c r="U113" s="97"/>
      <c r="Y113" s="18"/>
      <c r="Z113" s="18"/>
      <c r="AX113" s="75">
        <v>1.0</v>
      </c>
    </row>
    <row r="114">
      <c r="U114" s="97"/>
      <c r="Y114" s="18"/>
      <c r="Z114" s="18"/>
      <c r="AX114" s="75">
        <v>0.0</v>
      </c>
    </row>
    <row r="115">
      <c r="U115" s="97"/>
      <c r="Y115" s="18"/>
      <c r="Z115" s="18"/>
      <c r="AX115" s="75">
        <v>1.0</v>
      </c>
    </row>
    <row r="116">
      <c r="U116" s="97"/>
      <c r="Y116" s="18"/>
      <c r="Z116" s="18"/>
      <c r="AX116" s="75">
        <v>1.0</v>
      </c>
    </row>
    <row r="117">
      <c r="U117" s="97"/>
      <c r="Y117" s="18"/>
      <c r="Z117" s="18"/>
      <c r="AX117" s="75">
        <v>1.0</v>
      </c>
    </row>
    <row r="118">
      <c r="U118" s="97"/>
      <c r="Y118" s="18"/>
      <c r="Z118" s="18"/>
      <c r="AX118" s="75">
        <v>0.0</v>
      </c>
    </row>
    <row r="119">
      <c r="U119" s="97"/>
      <c r="Y119" s="18"/>
      <c r="Z119" s="18"/>
      <c r="AX119" s="75">
        <v>1.0</v>
      </c>
    </row>
    <row r="120">
      <c r="U120" s="97"/>
      <c r="Y120" s="18"/>
      <c r="Z120" s="18"/>
      <c r="AX120" s="75">
        <v>1.0</v>
      </c>
    </row>
    <row r="121">
      <c r="U121" s="97"/>
      <c r="Y121" s="18"/>
      <c r="Z121" s="18"/>
      <c r="AX121" s="75">
        <v>2.0</v>
      </c>
    </row>
    <row r="122">
      <c r="U122" s="97"/>
      <c r="Y122" s="18"/>
      <c r="Z122" s="18"/>
      <c r="AX122" s="75">
        <v>2.0</v>
      </c>
    </row>
    <row r="123">
      <c r="U123" s="97"/>
      <c r="Y123" s="18"/>
      <c r="Z123" s="18"/>
      <c r="AX123" s="75">
        <v>0.0</v>
      </c>
    </row>
    <row r="124">
      <c r="U124" s="97"/>
      <c r="Y124" s="18"/>
      <c r="Z124" s="18"/>
      <c r="AX124" s="75">
        <v>1.0</v>
      </c>
    </row>
    <row r="125">
      <c r="U125" s="97"/>
      <c r="Y125" s="18"/>
      <c r="Z125" s="18"/>
      <c r="AX125" s="75">
        <v>1.0</v>
      </c>
    </row>
    <row r="126">
      <c r="U126" s="97"/>
      <c r="Y126" s="18"/>
      <c r="Z126" s="18"/>
      <c r="AX126" s="75">
        <v>1.0</v>
      </c>
    </row>
    <row r="127">
      <c r="U127" s="97"/>
      <c r="Y127" s="18"/>
      <c r="Z127" s="18"/>
      <c r="AX127" s="75">
        <v>1.0</v>
      </c>
    </row>
    <row r="128">
      <c r="U128" s="97"/>
      <c r="Y128" s="18"/>
      <c r="Z128" s="18"/>
      <c r="AX128" s="75">
        <v>2.0</v>
      </c>
    </row>
    <row r="129">
      <c r="U129" s="97"/>
      <c r="Y129" s="18"/>
      <c r="Z129" s="18"/>
      <c r="AX129" s="75">
        <v>1.0</v>
      </c>
    </row>
    <row r="130">
      <c r="U130" s="97"/>
      <c r="Y130" s="18"/>
      <c r="Z130" s="18"/>
      <c r="AX130" s="75">
        <v>0.0</v>
      </c>
    </row>
    <row r="131">
      <c r="U131" s="97"/>
      <c r="Y131" s="18"/>
      <c r="Z131" s="18"/>
      <c r="AX131" s="75">
        <v>0.0</v>
      </c>
    </row>
    <row r="132">
      <c r="U132" s="97"/>
      <c r="Y132" s="18"/>
      <c r="Z132" s="18"/>
      <c r="AX132" s="75">
        <v>2.0</v>
      </c>
    </row>
    <row r="133">
      <c r="U133" s="97"/>
      <c r="Y133" s="18"/>
      <c r="Z133" s="18"/>
      <c r="AX133" s="75">
        <v>1.0</v>
      </c>
    </row>
    <row r="134">
      <c r="U134" s="97"/>
      <c r="Y134" s="18"/>
      <c r="Z134" s="18"/>
      <c r="AX134" s="75">
        <v>1.0</v>
      </c>
    </row>
    <row r="135">
      <c r="U135" s="97"/>
      <c r="Y135" s="18"/>
      <c r="Z135" s="18"/>
      <c r="AX135" s="75">
        <v>1.0</v>
      </c>
    </row>
    <row r="136">
      <c r="U136" s="97"/>
      <c r="Y136" s="18"/>
      <c r="Z136" s="18"/>
      <c r="AX136" s="75">
        <v>2.0</v>
      </c>
    </row>
    <row r="137">
      <c r="U137" s="97"/>
      <c r="Y137" s="18"/>
      <c r="Z137" s="18"/>
      <c r="AX137" s="75">
        <v>0.0</v>
      </c>
    </row>
    <row r="138">
      <c r="U138" s="97"/>
      <c r="Y138" s="18"/>
      <c r="Z138" s="18"/>
      <c r="AX138" s="75">
        <v>1.0</v>
      </c>
    </row>
    <row r="139">
      <c r="U139" s="97"/>
      <c r="Y139" s="18"/>
      <c r="Z139" s="18"/>
      <c r="AX139" s="75">
        <v>1.0</v>
      </c>
    </row>
    <row r="140">
      <c r="U140" s="97"/>
      <c r="Y140" s="18"/>
      <c r="Z140" s="18"/>
      <c r="AX140" s="75">
        <v>1.0</v>
      </c>
    </row>
    <row r="141">
      <c r="U141" s="97"/>
      <c r="Y141" s="18"/>
      <c r="Z141" s="18"/>
      <c r="AX141" s="54">
        <v>2.0</v>
      </c>
    </row>
    <row r="142">
      <c r="U142" s="97"/>
      <c r="Y142" s="18"/>
      <c r="Z142" s="18"/>
      <c r="AX142" s="54">
        <v>1.0</v>
      </c>
    </row>
    <row r="143">
      <c r="U143" s="97"/>
      <c r="Y143" s="18"/>
      <c r="Z143" s="18"/>
      <c r="AX143" s="54">
        <v>2.0</v>
      </c>
    </row>
    <row r="144">
      <c r="U144" s="97"/>
      <c r="Y144" s="18"/>
      <c r="Z144" s="18"/>
      <c r="AX144" s="54">
        <v>1.0</v>
      </c>
    </row>
    <row r="145">
      <c r="U145" s="97"/>
      <c r="Y145" s="18"/>
      <c r="Z145" s="18"/>
      <c r="AX145" s="54">
        <v>0.0</v>
      </c>
    </row>
    <row r="146">
      <c r="U146" s="97"/>
      <c r="Y146" s="18"/>
      <c r="Z146" s="18"/>
      <c r="AX146" s="54">
        <v>2.0</v>
      </c>
    </row>
    <row r="147">
      <c r="U147" s="97"/>
      <c r="Y147" s="18"/>
      <c r="Z147" s="18"/>
      <c r="AX147" s="54">
        <v>1.0</v>
      </c>
    </row>
    <row r="148">
      <c r="U148" s="97"/>
      <c r="Y148" s="18"/>
      <c r="Z148" s="18"/>
      <c r="AX148" s="54">
        <v>1.0</v>
      </c>
    </row>
    <row r="149">
      <c r="U149" s="97"/>
      <c r="Y149" s="18"/>
      <c r="Z149" s="18"/>
      <c r="AX149" s="54">
        <v>1.0</v>
      </c>
    </row>
    <row r="150">
      <c r="U150" s="97"/>
      <c r="Y150" s="18"/>
      <c r="Z150" s="18"/>
      <c r="AX150" s="54">
        <v>1.0</v>
      </c>
    </row>
    <row r="151">
      <c r="U151" s="97"/>
      <c r="Y151" s="18"/>
      <c r="Z151" s="18"/>
      <c r="AX151" s="54">
        <v>2.0</v>
      </c>
    </row>
    <row r="152">
      <c r="U152" s="97"/>
      <c r="Y152" s="18"/>
      <c r="Z152" s="18"/>
      <c r="AX152" s="54">
        <v>1.0</v>
      </c>
    </row>
    <row r="153">
      <c r="U153" s="97"/>
      <c r="Y153" s="18"/>
      <c r="Z153" s="18"/>
      <c r="AX153" s="54">
        <v>2.0</v>
      </c>
    </row>
    <row r="154">
      <c r="U154" s="97"/>
      <c r="Y154" s="18"/>
      <c r="Z154" s="18"/>
      <c r="AX154" s="54">
        <v>1.0</v>
      </c>
    </row>
    <row r="155">
      <c r="U155" s="97"/>
      <c r="Y155" s="18"/>
      <c r="Z155" s="18"/>
      <c r="AX155" s="54">
        <v>2.0</v>
      </c>
    </row>
    <row r="156">
      <c r="U156" s="97"/>
      <c r="Y156" s="18"/>
      <c r="Z156" s="18"/>
      <c r="AX156" s="54">
        <v>1.0</v>
      </c>
    </row>
    <row r="157">
      <c r="U157" s="97"/>
      <c r="Y157" s="18"/>
      <c r="Z157" s="18"/>
      <c r="AX157" s="54">
        <v>1.0</v>
      </c>
    </row>
    <row r="158">
      <c r="U158" s="97"/>
      <c r="Y158" s="18"/>
      <c r="Z158" s="18"/>
      <c r="AX158" s="54">
        <v>1.0</v>
      </c>
    </row>
    <row r="159">
      <c r="U159" s="97"/>
      <c r="Y159" s="18"/>
      <c r="Z159" s="18"/>
      <c r="AX159" s="54">
        <v>2.0</v>
      </c>
    </row>
    <row r="160">
      <c r="U160" s="97"/>
      <c r="Y160" s="18"/>
      <c r="Z160" s="18"/>
      <c r="AX160" s="54">
        <v>2.0</v>
      </c>
    </row>
    <row r="161">
      <c r="U161" s="97"/>
      <c r="Y161" s="18"/>
      <c r="Z161" s="18"/>
    </row>
    <row r="162">
      <c r="U162" s="97"/>
      <c r="Y162" s="18"/>
      <c r="Z162" s="18"/>
    </row>
    <row r="163">
      <c r="U163" s="97"/>
      <c r="Y163" s="18"/>
      <c r="Z163" s="18"/>
    </row>
    <row r="164">
      <c r="U164" s="97"/>
      <c r="Y164" s="18"/>
      <c r="Z164" s="18"/>
    </row>
    <row r="165">
      <c r="U165" s="97"/>
      <c r="Y165" s="18"/>
      <c r="Z165" s="18"/>
    </row>
    <row r="166">
      <c r="U166" s="97"/>
      <c r="Y166" s="18"/>
      <c r="Z166" s="18"/>
    </row>
    <row r="167">
      <c r="U167" s="97"/>
      <c r="Y167" s="18"/>
      <c r="Z167" s="18"/>
    </row>
    <row r="168">
      <c r="U168" s="97"/>
      <c r="Y168" s="18"/>
      <c r="Z168" s="18"/>
    </row>
    <row r="169">
      <c r="U169" s="97"/>
      <c r="Y169" s="18"/>
      <c r="Z169" s="18"/>
    </row>
    <row r="170">
      <c r="U170" s="97"/>
      <c r="Y170" s="18"/>
      <c r="Z170" s="18"/>
    </row>
    <row r="171">
      <c r="U171" s="97"/>
      <c r="Y171" s="18"/>
      <c r="Z171" s="18"/>
    </row>
    <row r="172">
      <c r="U172" s="97"/>
      <c r="Y172" s="18"/>
      <c r="Z172" s="18"/>
    </row>
    <row r="173">
      <c r="U173" s="97"/>
      <c r="Y173" s="18"/>
      <c r="Z173" s="18"/>
    </row>
    <row r="174">
      <c r="U174" s="97"/>
      <c r="Y174" s="18"/>
      <c r="Z174" s="18"/>
    </row>
    <row r="175">
      <c r="U175" s="97"/>
      <c r="Y175" s="18"/>
      <c r="Z175" s="18"/>
    </row>
    <row r="176">
      <c r="U176" s="97"/>
      <c r="Y176" s="18"/>
      <c r="Z176" s="18"/>
    </row>
    <row r="177">
      <c r="U177" s="97"/>
      <c r="Y177" s="18"/>
      <c r="Z177" s="18"/>
    </row>
    <row r="178">
      <c r="U178" s="97"/>
      <c r="Y178" s="18"/>
      <c r="Z178" s="18"/>
    </row>
    <row r="179">
      <c r="U179" s="97"/>
      <c r="Y179" s="18"/>
      <c r="Z179" s="18"/>
    </row>
    <row r="180">
      <c r="U180" s="97"/>
      <c r="Y180" s="18"/>
      <c r="Z180" s="18"/>
    </row>
    <row r="181">
      <c r="U181" s="97"/>
      <c r="Y181" s="18"/>
      <c r="Z181" s="18"/>
    </row>
    <row r="182">
      <c r="U182" s="97"/>
      <c r="Y182" s="18"/>
      <c r="Z182" s="18"/>
    </row>
    <row r="183">
      <c r="U183" s="97"/>
      <c r="Y183" s="18"/>
      <c r="Z183" s="18"/>
    </row>
    <row r="184">
      <c r="U184" s="97"/>
      <c r="Y184" s="18"/>
      <c r="Z184" s="18"/>
    </row>
    <row r="185">
      <c r="U185" s="97"/>
      <c r="Y185" s="18"/>
      <c r="Z185" s="18"/>
    </row>
    <row r="186">
      <c r="U186" s="97"/>
      <c r="Y186" s="18"/>
      <c r="Z186" s="18"/>
    </row>
    <row r="187">
      <c r="U187" s="97"/>
      <c r="Y187" s="18"/>
      <c r="Z187" s="18"/>
    </row>
    <row r="188">
      <c r="U188" s="97"/>
      <c r="Y188" s="18"/>
      <c r="Z188" s="18"/>
    </row>
    <row r="189">
      <c r="U189" s="97"/>
      <c r="Y189" s="18"/>
      <c r="Z189" s="18"/>
    </row>
    <row r="190">
      <c r="U190" s="97"/>
      <c r="Y190" s="18"/>
      <c r="Z190" s="18"/>
    </row>
    <row r="191">
      <c r="U191" s="97"/>
      <c r="Y191" s="18"/>
      <c r="Z191" s="18"/>
    </row>
    <row r="192">
      <c r="U192" s="97"/>
      <c r="Y192" s="18"/>
      <c r="Z192" s="18"/>
    </row>
    <row r="193">
      <c r="U193" s="97"/>
      <c r="Y193" s="18"/>
      <c r="Z193" s="18"/>
    </row>
    <row r="194">
      <c r="U194" s="97"/>
      <c r="Y194" s="18"/>
      <c r="Z194" s="18"/>
    </row>
    <row r="195">
      <c r="U195" s="97"/>
      <c r="Y195" s="18"/>
      <c r="Z195" s="18"/>
    </row>
    <row r="196">
      <c r="U196" s="97"/>
      <c r="Y196" s="18"/>
      <c r="Z196" s="18"/>
    </row>
    <row r="197">
      <c r="U197" s="97"/>
      <c r="Y197" s="18"/>
      <c r="Z197" s="18"/>
    </row>
    <row r="198">
      <c r="U198" s="97"/>
      <c r="Y198" s="18"/>
      <c r="Z198" s="18"/>
    </row>
    <row r="199">
      <c r="U199" s="97"/>
      <c r="Y199" s="18"/>
      <c r="Z199" s="18"/>
    </row>
    <row r="200">
      <c r="U200" s="97"/>
      <c r="Y200" s="18"/>
      <c r="Z200" s="18"/>
    </row>
    <row r="201">
      <c r="U201" s="97"/>
      <c r="Y201" s="18"/>
      <c r="Z201" s="18"/>
    </row>
    <row r="202">
      <c r="U202" s="97"/>
      <c r="Y202" s="18"/>
      <c r="Z202" s="18"/>
    </row>
    <row r="203">
      <c r="U203" s="97"/>
      <c r="Y203" s="18"/>
      <c r="Z203" s="18"/>
    </row>
    <row r="204">
      <c r="U204" s="97"/>
      <c r="Y204" s="18"/>
      <c r="Z204" s="18"/>
    </row>
    <row r="205">
      <c r="U205" s="97"/>
      <c r="Y205" s="18"/>
      <c r="Z205" s="18"/>
    </row>
    <row r="206">
      <c r="U206" s="97"/>
      <c r="Y206" s="18"/>
      <c r="Z206" s="18"/>
    </row>
    <row r="207">
      <c r="U207" s="97"/>
      <c r="Y207" s="18"/>
      <c r="Z207" s="18"/>
    </row>
    <row r="208">
      <c r="U208" s="97"/>
      <c r="Y208" s="18"/>
      <c r="Z208" s="18"/>
    </row>
    <row r="209">
      <c r="U209" s="97"/>
      <c r="Y209" s="18"/>
      <c r="Z209" s="18"/>
    </row>
    <row r="210">
      <c r="U210" s="97"/>
      <c r="Y210" s="18"/>
      <c r="Z210" s="18"/>
    </row>
    <row r="211">
      <c r="U211" s="97"/>
      <c r="Y211" s="18"/>
      <c r="Z211" s="18"/>
    </row>
    <row r="212">
      <c r="U212" s="97"/>
      <c r="Y212" s="18"/>
      <c r="Z212" s="18"/>
    </row>
    <row r="213">
      <c r="U213" s="97"/>
      <c r="Y213" s="18"/>
      <c r="Z213" s="18"/>
    </row>
    <row r="214">
      <c r="U214" s="97"/>
      <c r="Y214" s="18"/>
      <c r="Z214" s="18"/>
    </row>
    <row r="215">
      <c r="U215" s="97"/>
      <c r="Y215" s="18"/>
      <c r="Z215" s="18"/>
    </row>
    <row r="216">
      <c r="U216" s="97"/>
      <c r="Y216" s="18"/>
      <c r="Z216" s="18"/>
    </row>
    <row r="217">
      <c r="U217" s="97"/>
      <c r="Y217" s="18"/>
      <c r="Z217" s="18"/>
    </row>
    <row r="218">
      <c r="U218" s="97"/>
      <c r="Y218" s="18"/>
      <c r="Z218" s="18"/>
    </row>
    <row r="219">
      <c r="U219" s="97"/>
      <c r="Y219" s="18"/>
      <c r="Z219" s="18"/>
    </row>
    <row r="220">
      <c r="U220" s="97"/>
      <c r="Y220" s="18"/>
      <c r="Z220" s="18"/>
    </row>
    <row r="221">
      <c r="U221" s="97"/>
      <c r="Y221" s="18"/>
      <c r="Z221" s="18"/>
    </row>
    <row r="222">
      <c r="U222" s="97"/>
      <c r="Y222" s="18"/>
      <c r="Z222" s="18"/>
    </row>
    <row r="223">
      <c r="U223" s="97"/>
      <c r="Y223" s="18"/>
      <c r="Z223" s="18"/>
    </row>
    <row r="224">
      <c r="U224" s="97"/>
      <c r="Y224" s="18"/>
      <c r="Z224" s="18"/>
    </row>
    <row r="225">
      <c r="U225" s="97"/>
      <c r="Y225" s="18"/>
      <c r="Z225" s="18"/>
    </row>
    <row r="226">
      <c r="U226" s="97"/>
      <c r="Y226" s="18"/>
      <c r="Z226" s="18"/>
    </row>
    <row r="227">
      <c r="U227" s="97"/>
      <c r="Y227" s="18"/>
      <c r="Z227" s="18"/>
    </row>
    <row r="228">
      <c r="U228" s="97"/>
      <c r="Y228" s="18"/>
      <c r="Z228" s="18"/>
    </row>
    <row r="229">
      <c r="U229" s="97"/>
      <c r="Y229" s="18"/>
      <c r="Z229" s="18"/>
    </row>
    <row r="230">
      <c r="U230" s="97"/>
      <c r="Y230" s="18"/>
      <c r="Z230" s="18"/>
    </row>
    <row r="231">
      <c r="U231" s="97"/>
      <c r="Y231" s="18"/>
      <c r="Z231" s="18"/>
    </row>
    <row r="232">
      <c r="U232" s="97"/>
      <c r="Y232" s="18"/>
      <c r="Z232" s="18"/>
    </row>
    <row r="233">
      <c r="U233" s="97"/>
      <c r="Y233" s="18"/>
      <c r="Z233" s="18"/>
    </row>
    <row r="234">
      <c r="U234" s="97"/>
      <c r="Y234" s="18"/>
      <c r="Z234" s="18"/>
    </row>
    <row r="235">
      <c r="U235" s="97"/>
      <c r="Y235" s="18"/>
      <c r="Z235" s="18"/>
    </row>
    <row r="236">
      <c r="U236" s="97"/>
      <c r="Y236" s="18"/>
      <c r="Z236" s="18"/>
    </row>
    <row r="237">
      <c r="U237" s="97"/>
      <c r="Y237" s="18"/>
      <c r="Z237" s="18"/>
    </row>
    <row r="238">
      <c r="U238" s="97"/>
      <c r="Y238" s="18"/>
      <c r="Z238" s="18"/>
    </row>
    <row r="239">
      <c r="U239" s="97"/>
      <c r="Y239" s="18"/>
      <c r="Z239" s="18"/>
    </row>
    <row r="240">
      <c r="U240" s="97"/>
      <c r="Y240" s="18"/>
      <c r="Z240" s="18"/>
    </row>
    <row r="241">
      <c r="U241" s="97"/>
      <c r="Y241" s="18"/>
      <c r="Z241" s="18"/>
    </row>
    <row r="242">
      <c r="U242" s="97"/>
      <c r="Y242" s="18"/>
      <c r="Z242" s="18"/>
    </row>
    <row r="243">
      <c r="U243" s="97"/>
      <c r="Y243" s="18"/>
      <c r="Z243" s="18"/>
    </row>
    <row r="244">
      <c r="U244" s="97"/>
      <c r="Y244" s="18"/>
      <c r="Z244" s="18"/>
    </row>
    <row r="245">
      <c r="U245" s="97"/>
      <c r="Y245" s="18"/>
      <c r="Z245" s="18"/>
    </row>
    <row r="246">
      <c r="U246" s="97"/>
      <c r="Y246" s="18"/>
      <c r="Z246" s="18"/>
    </row>
    <row r="247">
      <c r="U247" s="97"/>
      <c r="Y247" s="18"/>
      <c r="Z247" s="18"/>
    </row>
    <row r="248">
      <c r="U248" s="97"/>
      <c r="Y248" s="18"/>
      <c r="Z248" s="18"/>
    </row>
    <row r="249">
      <c r="U249" s="97"/>
      <c r="Y249" s="18"/>
      <c r="Z249" s="18"/>
    </row>
    <row r="250">
      <c r="U250" s="97"/>
      <c r="Y250" s="18"/>
      <c r="Z250" s="18"/>
    </row>
    <row r="251">
      <c r="U251" s="97"/>
      <c r="Y251" s="18"/>
      <c r="Z251" s="18"/>
    </row>
    <row r="252">
      <c r="U252" s="97"/>
      <c r="Y252" s="18"/>
      <c r="Z252" s="18"/>
    </row>
    <row r="253">
      <c r="U253" s="97"/>
      <c r="Y253" s="18"/>
      <c r="Z253" s="18"/>
    </row>
    <row r="254">
      <c r="U254" s="97"/>
      <c r="Y254" s="18"/>
      <c r="Z254" s="18"/>
    </row>
    <row r="255">
      <c r="U255" s="97"/>
      <c r="Y255" s="18"/>
      <c r="Z255" s="18"/>
    </row>
    <row r="256">
      <c r="U256" s="97"/>
      <c r="Y256" s="18"/>
      <c r="Z256" s="18"/>
    </row>
    <row r="257">
      <c r="U257" s="97"/>
      <c r="Y257" s="18"/>
      <c r="Z257" s="18"/>
    </row>
    <row r="258">
      <c r="U258" s="97"/>
      <c r="Y258" s="18"/>
      <c r="Z258" s="18"/>
    </row>
    <row r="259">
      <c r="U259" s="97"/>
      <c r="Y259" s="18"/>
      <c r="Z259" s="18"/>
    </row>
    <row r="260">
      <c r="U260" s="97"/>
      <c r="Y260" s="18"/>
      <c r="Z260" s="18"/>
    </row>
    <row r="261">
      <c r="U261" s="97"/>
      <c r="Y261" s="18"/>
      <c r="Z261" s="18"/>
    </row>
    <row r="262">
      <c r="U262" s="97"/>
      <c r="Y262" s="18"/>
      <c r="Z262" s="18"/>
    </row>
    <row r="263">
      <c r="U263" s="97"/>
      <c r="Y263" s="18"/>
      <c r="Z263" s="18"/>
    </row>
    <row r="264">
      <c r="U264" s="97"/>
      <c r="Y264" s="18"/>
      <c r="Z264" s="18"/>
    </row>
    <row r="265">
      <c r="U265" s="97"/>
      <c r="Y265" s="18"/>
      <c r="Z265" s="18"/>
    </row>
    <row r="266">
      <c r="U266" s="97"/>
      <c r="Y266" s="18"/>
      <c r="Z266" s="18"/>
    </row>
    <row r="267">
      <c r="U267" s="97"/>
      <c r="Y267" s="18"/>
      <c r="Z267" s="18"/>
    </row>
    <row r="268">
      <c r="U268" s="97"/>
      <c r="Y268" s="18"/>
      <c r="Z268" s="18"/>
    </row>
    <row r="269">
      <c r="U269" s="97"/>
      <c r="Y269" s="18"/>
      <c r="Z269" s="18"/>
    </row>
    <row r="270">
      <c r="U270" s="97"/>
      <c r="Y270" s="18"/>
      <c r="Z270" s="18"/>
    </row>
    <row r="271">
      <c r="U271" s="97"/>
      <c r="Y271" s="18"/>
      <c r="Z271" s="18"/>
    </row>
    <row r="272">
      <c r="U272" s="97"/>
      <c r="Y272" s="18"/>
      <c r="Z272" s="18"/>
    </row>
    <row r="273">
      <c r="U273" s="97"/>
      <c r="Y273" s="18"/>
      <c r="Z273" s="18"/>
    </row>
    <row r="274">
      <c r="U274" s="97"/>
      <c r="Y274" s="18"/>
      <c r="Z274" s="18"/>
    </row>
    <row r="275">
      <c r="U275" s="97"/>
      <c r="Y275" s="18"/>
      <c r="Z275" s="18"/>
    </row>
    <row r="276">
      <c r="U276" s="97"/>
      <c r="Y276" s="18"/>
      <c r="Z276" s="18"/>
    </row>
    <row r="277">
      <c r="U277" s="97"/>
      <c r="Y277" s="18"/>
      <c r="Z277" s="18"/>
    </row>
    <row r="278">
      <c r="U278" s="97"/>
      <c r="Y278" s="18"/>
      <c r="Z278" s="18"/>
    </row>
    <row r="279">
      <c r="U279" s="97"/>
      <c r="Y279" s="18"/>
      <c r="Z279" s="18"/>
    </row>
    <row r="280">
      <c r="U280" s="97"/>
      <c r="Y280" s="18"/>
      <c r="Z280" s="18"/>
    </row>
    <row r="281">
      <c r="U281" s="97"/>
      <c r="Y281" s="18"/>
      <c r="Z281" s="18"/>
    </row>
    <row r="282">
      <c r="U282" s="97"/>
      <c r="Y282" s="18"/>
      <c r="Z282" s="18"/>
    </row>
    <row r="283">
      <c r="U283" s="97"/>
      <c r="Y283" s="18"/>
      <c r="Z283" s="18"/>
    </row>
    <row r="284">
      <c r="U284" s="97"/>
      <c r="Y284" s="18"/>
      <c r="Z284" s="18"/>
    </row>
    <row r="285">
      <c r="U285" s="97"/>
      <c r="Y285" s="18"/>
      <c r="Z285" s="18"/>
    </row>
    <row r="286">
      <c r="U286" s="97"/>
      <c r="Y286" s="18"/>
      <c r="Z286" s="18"/>
    </row>
    <row r="287">
      <c r="U287" s="97"/>
      <c r="Y287" s="18"/>
      <c r="Z287" s="18"/>
    </row>
    <row r="288">
      <c r="U288" s="97"/>
      <c r="Y288" s="18"/>
      <c r="Z288" s="18"/>
    </row>
    <row r="289">
      <c r="U289" s="97"/>
      <c r="Y289" s="18"/>
      <c r="Z289" s="18"/>
    </row>
    <row r="290">
      <c r="U290" s="97"/>
      <c r="Y290" s="18"/>
      <c r="Z290" s="18"/>
    </row>
    <row r="291">
      <c r="U291" s="97"/>
      <c r="Y291" s="18"/>
      <c r="Z291" s="18"/>
    </row>
    <row r="292">
      <c r="U292" s="97"/>
      <c r="Y292" s="18"/>
      <c r="Z292" s="18"/>
    </row>
    <row r="293">
      <c r="U293" s="97"/>
      <c r="Y293" s="18"/>
      <c r="Z293" s="18"/>
    </row>
    <row r="294">
      <c r="U294" s="97"/>
      <c r="Y294" s="18"/>
      <c r="Z294" s="18"/>
    </row>
    <row r="295">
      <c r="U295" s="97"/>
      <c r="Y295" s="18"/>
      <c r="Z295" s="18"/>
    </row>
    <row r="296">
      <c r="U296" s="97"/>
      <c r="Y296" s="18"/>
      <c r="Z296" s="18"/>
    </row>
    <row r="297">
      <c r="U297" s="97"/>
      <c r="Y297" s="18"/>
      <c r="Z297" s="18"/>
    </row>
    <row r="298">
      <c r="U298" s="97"/>
      <c r="Y298" s="18"/>
      <c r="Z298" s="18"/>
    </row>
    <row r="299">
      <c r="U299" s="97"/>
      <c r="Y299" s="18"/>
      <c r="Z299" s="18"/>
    </row>
    <row r="300">
      <c r="U300" s="97"/>
      <c r="Y300" s="18"/>
      <c r="Z300" s="18"/>
    </row>
    <row r="301">
      <c r="U301" s="97"/>
      <c r="Y301" s="18"/>
      <c r="Z301" s="18"/>
    </row>
    <row r="302">
      <c r="U302" s="97"/>
      <c r="Y302" s="18"/>
      <c r="Z302" s="18"/>
    </row>
    <row r="303">
      <c r="U303" s="97"/>
      <c r="Y303" s="18"/>
      <c r="Z303" s="18"/>
    </row>
    <row r="304">
      <c r="U304" s="97"/>
      <c r="Y304" s="18"/>
      <c r="Z304" s="18"/>
    </row>
    <row r="305">
      <c r="U305" s="97"/>
      <c r="Y305" s="18"/>
      <c r="Z305" s="18"/>
    </row>
    <row r="306">
      <c r="U306" s="97"/>
      <c r="Y306" s="18"/>
      <c r="Z306" s="18"/>
    </row>
    <row r="307">
      <c r="U307" s="97"/>
      <c r="Y307" s="18"/>
      <c r="Z307" s="18"/>
    </row>
    <row r="308">
      <c r="U308" s="97"/>
      <c r="Y308" s="18"/>
      <c r="Z308" s="18"/>
    </row>
    <row r="309">
      <c r="U309" s="97"/>
      <c r="Y309" s="18"/>
      <c r="Z309" s="18"/>
    </row>
    <row r="310">
      <c r="U310" s="97"/>
      <c r="Y310" s="18"/>
      <c r="Z310" s="18"/>
    </row>
    <row r="311">
      <c r="U311" s="97"/>
      <c r="Y311" s="18"/>
      <c r="Z311" s="18"/>
    </row>
    <row r="312">
      <c r="U312" s="97"/>
      <c r="Y312" s="18"/>
      <c r="Z312" s="18"/>
    </row>
    <row r="313">
      <c r="U313" s="97"/>
      <c r="Y313" s="18"/>
      <c r="Z313" s="18"/>
    </row>
    <row r="314">
      <c r="U314" s="97"/>
      <c r="Y314" s="18"/>
      <c r="Z314" s="18"/>
    </row>
    <row r="315">
      <c r="U315" s="97"/>
      <c r="Y315" s="18"/>
      <c r="Z315" s="18"/>
    </row>
    <row r="316">
      <c r="U316" s="97"/>
      <c r="Y316" s="18"/>
      <c r="Z316" s="18"/>
    </row>
    <row r="317">
      <c r="U317" s="97"/>
      <c r="Y317" s="18"/>
      <c r="Z317" s="18"/>
    </row>
    <row r="318">
      <c r="U318" s="97"/>
      <c r="Y318" s="18"/>
      <c r="Z318" s="18"/>
    </row>
    <row r="319">
      <c r="U319" s="97"/>
      <c r="Y319" s="18"/>
      <c r="Z319" s="18"/>
    </row>
    <row r="320">
      <c r="U320" s="97"/>
      <c r="Y320" s="18"/>
      <c r="Z320" s="18"/>
    </row>
    <row r="321">
      <c r="U321" s="97"/>
      <c r="Y321" s="18"/>
      <c r="Z321" s="18"/>
    </row>
    <row r="322">
      <c r="U322" s="97"/>
      <c r="Y322" s="18"/>
      <c r="Z322" s="18"/>
    </row>
    <row r="323">
      <c r="U323" s="97"/>
      <c r="Y323" s="18"/>
      <c r="Z323" s="18"/>
    </row>
    <row r="324">
      <c r="U324" s="97"/>
      <c r="Y324" s="18"/>
      <c r="Z324" s="18"/>
    </row>
    <row r="325">
      <c r="U325" s="97"/>
      <c r="Y325" s="18"/>
      <c r="Z325" s="18"/>
    </row>
    <row r="326">
      <c r="U326" s="97"/>
      <c r="Y326" s="18"/>
      <c r="Z326" s="18"/>
    </row>
    <row r="327">
      <c r="U327" s="97"/>
      <c r="Y327" s="18"/>
      <c r="Z327" s="18"/>
    </row>
    <row r="328">
      <c r="U328" s="97"/>
      <c r="Y328" s="18"/>
      <c r="Z328" s="18"/>
    </row>
    <row r="329">
      <c r="U329" s="97"/>
      <c r="Y329" s="18"/>
      <c r="Z329" s="18"/>
    </row>
    <row r="330">
      <c r="U330" s="97"/>
      <c r="Y330" s="18"/>
      <c r="Z330" s="18"/>
    </row>
    <row r="331">
      <c r="U331" s="97"/>
      <c r="Y331" s="18"/>
      <c r="Z331" s="18"/>
    </row>
    <row r="332">
      <c r="U332" s="97"/>
      <c r="Y332" s="18"/>
      <c r="Z332" s="18"/>
    </row>
    <row r="333">
      <c r="U333" s="97"/>
      <c r="Y333" s="18"/>
      <c r="Z333" s="18"/>
    </row>
    <row r="334">
      <c r="U334" s="97"/>
      <c r="Y334" s="18"/>
      <c r="Z334" s="18"/>
    </row>
    <row r="335">
      <c r="U335" s="97"/>
      <c r="Y335" s="18"/>
      <c r="Z335" s="18"/>
    </row>
    <row r="336">
      <c r="U336" s="97"/>
      <c r="Y336" s="18"/>
      <c r="Z336" s="18"/>
    </row>
    <row r="337">
      <c r="U337" s="97"/>
      <c r="Y337" s="18"/>
      <c r="Z337" s="18"/>
    </row>
    <row r="338">
      <c r="U338" s="97"/>
      <c r="Y338" s="18"/>
      <c r="Z338" s="18"/>
    </row>
    <row r="339">
      <c r="U339" s="97"/>
      <c r="Y339" s="18"/>
      <c r="Z339" s="18"/>
    </row>
    <row r="340">
      <c r="U340" s="97"/>
      <c r="Y340" s="18"/>
      <c r="Z340" s="18"/>
    </row>
    <row r="341">
      <c r="U341" s="97"/>
      <c r="Y341" s="18"/>
      <c r="Z341" s="18"/>
    </row>
    <row r="342">
      <c r="U342" s="97"/>
      <c r="Y342" s="18"/>
      <c r="Z342" s="18"/>
    </row>
    <row r="343">
      <c r="U343" s="97"/>
      <c r="Y343" s="18"/>
      <c r="Z343" s="18"/>
    </row>
    <row r="344">
      <c r="U344" s="97"/>
      <c r="Y344" s="18"/>
      <c r="Z344" s="18"/>
    </row>
    <row r="345">
      <c r="U345" s="97"/>
      <c r="Y345" s="18"/>
      <c r="Z345" s="18"/>
    </row>
    <row r="346">
      <c r="U346" s="97"/>
      <c r="Y346" s="18"/>
      <c r="Z346" s="18"/>
    </row>
    <row r="347">
      <c r="U347" s="97"/>
      <c r="Y347" s="18"/>
      <c r="Z347" s="18"/>
    </row>
    <row r="348">
      <c r="U348" s="97"/>
      <c r="Y348" s="18"/>
      <c r="Z348" s="18"/>
    </row>
    <row r="349">
      <c r="U349" s="97"/>
      <c r="Y349" s="18"/>
      <c r="Z349" s="18"/>
    </row>
    <row r="350">
      <c r="U350" s="97"/>
      <c r="Y350" s="18"/>
      <c r="Z350" s="18"/>
    </row>
    <row r="351">
      <c r="U351" s="97"/>
      <c r="Y351" s="18"/>
      <c r="Z351" s="18"/>
    </row>
    <row r="352">
      <c r="U352" s="97"/>
      <c r="Y352" s="18"/>
      <c r="Z352" s="18"/>
    </row>
    <row r="353">
      <c r="U353" s="97"/>
      <c r="Y353" s="18"/>
      <c r="Z353" s="18"/>
    </row>
    <row r="354">
      <c r="U354" s="97"/>
      <c r="Y354" s="18"/>
      <c r="Z354" s="18"/>
    </row>
    <row r="355">
      <c r="U355" s="97"/>
      <c r="Y355" s="18"/>
      <c r="Z355" s="18"/>
    </row>
    <row r="356">
      <c r="U356" s="97"/>
      <c r="Y356" s="18"/>
      <c r="Z356" s="18"/>
    </row>
    <row r="357">
      <c r="U357" s="97"/>
      <c r="Y357" s="18"/>
      <c r="Z357" s="18"/>
    </row>
    <row r="358">
      <c r="U358" s="97"/>
      <c r="Y358" s="18"/>
      <c r="Z358" s="18"/>
    </row>
    <row r="359">
      <c r="U359" s="97"/>
      <c r="Y359" s="18"/>
      <c r="Z359" s="18"/>
    </row>
    <row r="360">
      <c r="U360" s="97"/>
      <c r="Y360" s="18"/>
      <c r="Z360" s="18"/>
    </row>
    <row r="361">
      <c r="U361" s="97"/>
      <c r="Y361" s="18"/>
      <c r="Z361" s="18"/>
    </row>
    <row r="362">
      <c r="U362" s="97"/>
      <c r="Y362" s="18"/>
      <c r="Z362" s="18"/>
    </row>
    <row r="363">
      <c r="U363" s="97"/>
      <c r="Y363" s="18"/>
      <c r="Z363" s="18"/>
    </row>
    <row r="364">
      <c r="U364" s="97"/>
      <c r="Y364" s="18"/>
      <c r="Z364" s="18"/>
    </row>
    <row r="365">
      <c r="U365" s="97"/>
      <c r="Y365" s="18"/>
      <c r="Z365" s="18"/>
    </row>
    <row r="366">
      <c r="U366" s="97"/>
      <c r="Y366" s="18"/>
      <c r="Z366" s="18"/>
    </row>
    <row r="367">
      <c r="U367" s="97"/>
      <c r="Y367" s="18"/>
      <c r="Z367" s="18"/>
    </row>
    <row r="368">
      <c r="U368" s="97"/>
      <c r="Y368" s="18"/>
      <c r="Z368" s="18"/>
    </row>
    <row r="369">
      <c r="U369" s="97"/>
      <c r="Y369" s="18"/>
      <c r="Z369" s="18"/>
    </row>
    <row r="370">
      <c r="U370" s="97"/>
      <c r="Y370" s="18"/>
      <c r="Z370" s="18"/>
    </row>
    <row r="371">
      <c r="U371" s="97"/>
      <c r="Y371" s="18"/>
      <c r="Z371" s="18"/>
    </row>
    <row r="372">
      <c r="U372" s="97"/>
      <c r="Y372" s="18"/>
      <c r="Z372" s="18"/>
    </row>
    <row r="373">
      <c r="U373" s="97"/>
      <c r="Y373" s="18"/>
      <c r="Z373" s="18"/>
    </row>
    <row r="374">
      <c r="U374" s="97"/>
      <c r="Y374" s="18"/>
      <c r="Z374" s="18"/>
    </row>
    <row r="375">
      <c r="U375" s="97"/>
      <c r="Y375" s="18"/>
      <c r="Z375" s="18"/>
    </row>
    <row r="376">
      <c r="U376" s="97"/>
      <c r="Y376" s="18"/>
      <c r="Z376" s="18"/>
    </row>
    <row r="377">
      <c r="U377" s="97"/>
      <c r="Y377" s="18"/>
      <c r="Z377" s="18"/>
    </row>
    <row r="378">
      <c r="U378" s="97"/>
      <c r="Y378" s="18"/>
      <c r="Z378" s="18"/>
    </row>
    <row r="379">
      <c r="U379" s="97"/>
      <c r="Y379" s="18"/>
      <c r="Z379" s="18"/>
    </row>
    <row r="380">
      <c r="U380" s="97"/>
      <c r="Y380" s="18"/>
      <c r="Z380" s="18"/>
    </row>
    <row r="381">
      <c r="U381" s="97"/>
      <c r="Y381" s="18"/>
      <c r="Z381" s="18"/>
    </row>
    <row r="382">
      <c r="U382" s="97"/>
      <c r="Y382" s="18"/>
      <c r="Z382" s="18"/>
    </row>
    <row r="383">
      <c r="U383" s="97"/>
      <c r="Y383" s="18"/>
      <c r="Z383" s="18"/>
    </row>
    <row r="384">
      <c r="U384" s="97"/>
      <c r="Y384" s="18"/>
      <c r="Z384" s="18"/>
    </row>
    <row r="385">
      <c r="U385" s="97"/>
      <c r="Y385" s="18"/>
      <c r="Z385" s="18"/>
    </row>
    <row r="386">
      <c r="U386" s="97"/>
      <c r="Y386" s="18"/>
      <c r="Z386" s="18"/>
    </row>
    <row r="387">
      <c r="U387" s="97"/>
      <c r="Y387" s="18"/>
      <c r="Z387" s="18"/>
    </row>
    <row r="388">
      <c r="U388" s="97"/>
      <c r="Y388" s="18"/>
      <c r="Z388" s="18"/>
    </row>
    <row r="389">
      <c r="U389" s="97"/>
      <c r="Y389" s="18"/>
      <c r="Z389" s="18"/>
    </row>
    <row r="390">
      <c r="U390" s="97"/>
      <c r="Y390" s="18"/>
      <c r="Z390" s="18"/>
    </row>
    <row r="391">
      <c r="U391" s="97"/>
      <c r="Y391" s="18"/>
      <c r="Z391" s="18"/>
    </row>
    <row r="392">
      <c r="U392" s="97"/>
      <c r="Y392" s="18"/>
      <c r="Z392" s="18"/>
    </row>
    <row r="393">
      <c r="U393" s="97"/>
      <c r="Y393" s="18"/>
      <c r="Z393" s="18"/>
    </row>
    <row r="394">
      <c r="U394" s="97"/>
      <c r="Y394" s="18"/>
      <c r="Z394" s="18"/>
    </row>
    <row r="395">
      <c r="U395" s="97"/>
      <c r="Y395" s="18"/>
      <c r="Z395" s="18"/>
    </row>
    <row r="396">
      <c r="U396" s="97"/>
      <c r="Y396" s="18"/>
      <c r="Z396" s="18"/>
    </row>
    <row r="397">
      <c r="U397" s="97"/>
      <c r="Y397" s="18"/>
      <c r="Z397" s="18"/>
    </row>
    <row r="398">
      <c r="U398" s="97"/>
      <c r="Y398" s="18"/>
      <c r="Z398" s="18"/>
    </row>
    <row r="399">
      <c r="U399" s="97"/>
      <c r="Y399" s="18"/>
      <c r="Z399" s="18"/>
    </row>
    <row r="400">
      <c r="U400" s="97"/>
      <c r="Y400" s="18"/>
      <c r="Z400" s="18"/>
    </row>
    <row r="401">
      <c r="U401" s="97"/>
      <c r="Y401" s="18"/>
      <c r="Z401" s="18"/>
    </row>
    <row r="402">
      <c r="U402" s="97"/>
      <c r="Y402" s="18"/>
      <c r="Z402" s="18"/>
    </row>
    <row r="403">
      <c r="U403" s="97"/>
      <c r="Y403" s="18"/>
      <c r="Z403" s="18"/>
    </row>
    <row r="404">
      <c r="U404" s="97"/>
      <c r="Y404" s="18"/>
      <c r="Z404" s="18"/>
    </row>
    <row r="405">
      <c r="U405" s="97"/>
      <c r="Y405" s="18"/>
      <c r="Z405" s="18"/>
    </row>
    <row r="406">
      <c r="U406" s="97"/>
      <c r="Y406" s="18"/>
      <c r="Z406" s="18"/>
    </row>
    <row r="407">
      <c r="U407" s="97"/>
      <c r="Y407" s="18"/>
      <c r="Z407" s="18"/>
    </row>
    <row r="408">
      <c r="U408" s="97"/>
      <c r="Y408" s="18"/>
      <c r="Z408" s="18"/>
    </row>
    <row r="409">
      <c r="U409" s="97"/>
      <c r="Y409" s="18"/>
      <c r="Z409" s="18"/>
    </row>
    <row r="410">
      <c r="U410" s="97"/>
      <c r="Y410" s="18"/>
      <c r="Z410" s="18"/>
    </row>
    <row r="411">
      <c r="U411" s="97"/>
      <c r="Y411" s="18"/>
      <c r="Z411" s="18"/>
    </row>
    <row r="412">
      <c r="U412" s="97"/>
      <c r="Y412" s="18"/>
      <c r="Z412" s="18"/>
    </row>
    <row r="413">
      <c r="U413" s="97"/>
      <c r="Y413" s="18"/>
      <c r="Z413" s="18"/>
    </row>
    <row r="414">
      <c r="U414" s="97"/>
      <c r="Y414" s="18"/>
      <c r="Z414" s="18"/>
    </row>
    <row r="415">
      <c r="U415" s="97"/>
      <c r="Y415" s="18"/>
      <c r="Z415" s="18"/>
    </row>
    <row r="416">
      <c r="U416" s="97"/>
      <c r="Y416" s="18"/>
      <c r="Z416" s="18"/>
    </row>
    <row r="417">
      <c r="U417" s="97"/>
      <c r="Y417" s="18"/>
      <c r="Z417" s="18"/>
    </row>
    <row r="418">
      <c r="U418" s="97"/>
      <c r="Y418" s="18"/>
      <c r="Z418" s="18"/>
    </row>
    <row r="419">
      <c r="U419" s="97"/>
      <c r="Y419" s="18"/>
      <c r="Z419" s="18"/>
    </row>
    <row r="420">
      <c r="U420" s="97"/>
      <c r="Y420" s="18"/>
      <c r="Z420" s="18"/>
    </row>
    <row r="421">
      <c r="U421" s="97"/>
      <c r="Y421" s="18"/>
      <c r="Z421" s="18"/>
    </row>
    <row r="422">
      <c r="U422" s="97"/>
      <c r="Y422" s="18"/>
      <c r="Z422" s="18"/>
    </row>
    <row r="423">
      <c r="U423" s="97"/>
      <c r="Y423" s="18"/>
      <c r="Z423" s="18"/>
    </row>
    <row r="424">
      <c r="U424" s="97"/>
      <c r="Y424" s="18"/>
      <c r="Z424" s="18"/>
    </row>
    <row r="425">
      <c r="U425" s="97"/>
      <c r="Y425" s="18"/>
      <c r="Z425" s="18"/>
    </row>
    <row r="426">
      <c r="U426" s="97"/>
      <c r="Y426" s="18"/>
      <c r="Z426" s="18"/>
    </row>
    <row r="427">
      <c r="U427" s="97"/>
      <c r="Y427" s="18"/>
      <c r="Z427" s="18"/>
    </row>
    <row r="428">
      <c r="U428" s="97"/>
      <c r="Y428" s="18"/>
      <c r="Z428" s="18"/>
    </row>
    <row r="429">
      <c r="U429" s="97"/>
      <c r="Y429" s="18"/>
      <c r="Z429" s="18"/>
    </row>
    <row r="430">
      <c r="U430" s="97"/>
      <c r="Y430" s="18"/>
      <c r="Z430" s="18"/>
    </row>
    <row r="431">
      <c r="U431" s="97"/>
      <c r="Y431" s="18"/>
      <c r="Z431" s="18"/>
    </row>
    <row r="432">
      <c r="U432" s="97"/>
      <c r="Y432" s="18"/>
      <c r="Z432" s="18"/>
    </row>
    <row r="433">
      <c r="U433" s="97"/>
      <c r="Y433" s="18"/>
      <c r="Z433" s="18"/>
    </row>
    <row r="434">
      <c r="U434" s="97"/>
      <c r="Y434" s="18"/>
      <c r="Z434" s="18"/>
    </row>
    <row r="435">
      <c r="U435" s="97"/>
      <c r="Y435" s="18"/>
      <c r="Z435" s="18"/>
    </row>
    <row r="436">
      <c r="U436" s="97"/>
      <c r="Y436" s="18"/>
      <c r="Z436" s="18"/>
    </row>
    <row r="437">
      <c r="U437" s="97"/>
      <c r="Y437" s="18"/>
      <c r="Z437" s="18"/>
    </row>
    <row r="438">
      <c r="U438" s="97"/>
      <c r="Y438" s="18"/>
      <c r="Z438" s="18"/>
    </row>
    <row r="439">
      <c r="U439" s="97"/>
      <c r="Y439" s="18"/>
      <c r="Z439" s="18"/>
    </row>
    <row r="440">
      <c r="U440" s="97"/>
      <c r="Y440" s="18"/>
      <c r="Z440" s="18"/>
    </row>
    <row r="441">
      <c r="U441" s="97"/>
      <c r="Y441" s="18"/>
      <c r="Z441" s="18"/>
    </row>
    <row r="442">
      <c r="U442" s="97"/>
      <c r="Y442" s="18"/>
      <c r="Z442" s="18"/>
    </row>
    <row r="443">
      <c r="U443" s="97"/>
      <c r="Y443" s="18"/>
      <c r="Z443" s="18"/>
    </row>
    <row r="444">
      <c r="U444" s="97"/>
      <c r="Y444" s="18"/>
      <c r="Z444" s="18"/>
    </row>
    <row r="445">
      <c r="U445" s="97"/>
      <c r="Y445" s="18"/>
      <c r="Z445" s="18"/>
    </row>
    <row r="446">
      <c r="U446" s="97"/>
      <c r="Y446" s="18"/>
      <c r="Z446" s="18"/>
    </row>
    <row r="447">
      <c r="U447" s="97"/>
      <c r="Y447" s="18"/>
      <c r="Z447" s="18"/>
    </row>
    <row r="448">
      <c r="U448" s="97"/>
      <c r="Y448" s="18"/>
      <c r="Z448" s="18"/>
    </row>
    <row r="449">
      <c r="U449" s="97"/>
      <c r="Y449" s="18"/>
      <c r="Z449" s="18"/>
    </row>
    <row r="450">
      <c r="U450" s="97"/>
      <c r="Y450" s="18"/>
      <c r="Z450" s="18"/>
    </row>
    <row r="451">
      <c r="U451" s="97"/>
      <c r="Y451" s="18"/>
      <c r="Z451" s="18"/>
    </row>
    <row r="452">
      <c r="U452" s="97"/>
      <c r="Y452" s="18"/>
      <c r="Z452" s="18"/>
    </row>
    <row r="453">
      <c r="U453" s="97"/>
      <c r="Y453" s="18"/>
      <c r="Z453" s="18"/>
    </row>
    <row r="454">
      <c r="U454" s="97"/>
      <c r="Y454" s="18"/>
      <c r="Z454" s="18"/>
    </row>
    <row r="455">
      <c r="U455" s="97"/>
      <c r="Y455" s="18"/>
      <c r="Z455" s="18"/>
    </row>
    <row r="456">
      <c r="U456" s="97"/>
      <c r="Y456" s="18"/>
      <c r="Z456" s="18"/>
    </row>
    <row r="457">
      <c r="U457" s="97"/>
      <c r="Y457" s="18"/>
      <c r="Z457" s="18"/>
    </row>
    <row r="458">
      <c r="U458" s="97"/>
      <c r="Y458" s="18"/>
      <c r="Z458" s="18"/>
    </row>
    <row r="459">
      <c r="U459" s="97"/>
      <c r="Y459" s="18"/>
      <c r="Z459" s="18"/>
    </row>
    <row r="460">
      <c r="U460" s="97"/>
      <c r="Y460" s="18"/>
      <c r="Z460" s="18"/>
    </row>
    <row r="461">
      <c r="U461" s="97"/>
      <c r="Y461" s="18"/>
      <c r="Z461" s="18"/>
    </row>
    <row r="462">
      <c r="U462" s="97"/>
      <c r="Y462" s="18"/>
      <c r="Z462" s="18"/>
    </row>
    <row r="463">
      <c r="U463" s="97"/>
      <c r="Y463" s="18"/>
      <c r="Z463" s="18"/>
    </row>
    <row r="464">
      <c r="U464" s="97"/>
      <c r="Y464" s="18"/>
      <c r="Z464" s="18"/>
    </row>
    <row r="465">
      <c r="U465" s="97"/>
      <c r="Y465" s="18"/>
      <c r="Z465" s="18"/>
    </row>
    <row r="466">
      <c r="U466" s="97"/>
      <c r="Y466" s="18"/>
      <c r="Z466" s="18"/>
    </row>
    <row r="467">
      <c r="U467" s="97"/>
      <c r="Y467" s="18"/>
      <c r="Z467" s="18"/>
    </row>
    <row r="468">
      <c r="U468" s="97"/>
      <c r="Y468" s="18"/>
      <c r="Z468" s="18"/>
    </row>
    <row r="469">
      <c r="U469" s="97"/>
      <c r="Y469" s="18"/>
      <c r="Z469" s="18"/>
    </row>
    <row r="470">
      <c r="U470" s="97"/>
      <c r="Y470" s="18"/>
      <c r="Z470" s="18"/>
    </row>
    <row r="471">
      <c r="U471" s="97"/>
      <c r="Y471" s="18"/>
      <c r="Z471" s="18"/>
    </row>
    <row r="472">
      <c r="U472" s="97"/>
      <c r="Y472" s="18"/>
      <c r="Z472" s="18"/>
    </row>
    <row r="473">
      <c r="U473" s="97"/>
      <c r="Y473" s="18"/>
      <c r="Z473" s="18"/>
    </row>
    <row r="474">
      <c r="U474" s="97"/>
      <c r="Y474" s="18"/>
      <c r="Z474" s="18"/>
    </row>
    <row r="475">
      <c r="U475" s="97"/>
      <c r="Y475" s="18"/>
      <c r="Z475" s="18"/>
    </row>
    <row r="476">
      <c r="U476" s="97"/>
      <c r="Y476" s="18"/>
      <c r="Z476" s="18"/>
    </row>
    <row r="477">
      <c r="U477" s="97"/>
      <c r="Y477" s="18"/>
      <c r="Z477" s="18"/>
    </row>
    <row r="478">
      <c r="U478" s="97"/>
      <c r="Y478" s="18"/>
      <c r="Z478" s="18"/>
    </row>
    <row r="479">
      <c r="U479" s="97"/>
      <c r="Y479" s="18"/>
      <c r="Z479" s="18"/>
    </row>
    <row r="480">
      <c r="U480" s="97"/>
      <c r="Y480" s="18"/>
      <c r="Z480" s="18"/>
    </row>
    <row r="481">
      <c r="U481" s="97"/>
      <c r="Y481" s="18"/>
      <c r="Z481" s="18"/>
    </row>
    <row r="482">
      <c r="U482" s="97"/>
      <c r="Y482" s="18"/>
      <c r="Z482" s="18"/>
    </row>
    <row r="483">
      <c r="U483" s="97"/>
      <c r="Y483" s="18"/>
      <c r="Z483" s="18"/>
    </row>
    <row r="484">
      <c r="U484" s="97"/>
      <c r="Y484" s="18"/>
      <c r="Z484" s="18"/>
    </row>
    <row r="485">
      <c r="U485" s="97"/>
      <c r="Y485" s="18"/>
      <c r="Z485" s="18"/>
    </row>
    <row r="486">
      <c r="U486" s="97"/>
      <c r="Y486" s="18"/>
      <c r="Z486" s="18"/>
    </row>
    <row r="487">
      <c r="U487" s="97"/>
      <c r="Y487" s="18"/>
      <c r="Z487" s="18"/>
    </row>
    <row r="488">
      <c r="U488" s="97"/>
      <c r="Y488" s="18"/>
      <c r="Z488" s="18"/>
    </row>
    <row r="489">
      <c r="U489" s="97"/>
      <c r="Y489" s="18"/>
      <c r="Z489" s="18"/>
    </row>
    <row r="490">
      <c r="U490" s="97"/>
      <c r="Y490" s="18"/>
      <c r="Z490" s="18"/>
    </row>
    <row r="491">
      <c r="U491" s="97"/>
      <c r="Y491" s="18"/>
      <c r="Z491" s="18"/>
    </row>
    <row r="492">
      <c r="U492" s="97"/>
      <c r="Y492" s="18"/>
      <c r="Z492" s="18"/>
    </row>
    <row r="493">
      <c r="U493" s="97"/>
      <c r="Y493" s="18"/>
      <c r="Z493" s="18"/>
    </row>
    <row r="494">
      <c r="U494" s="97"/>
      <c r="Y494" s="18"/>
      <c r="Z494" s="18"/>
    </row>
    <row r="495">
      <c r="U495" s="97"/>
      <c r="Y495" s="18"/>
      <c r="Z495" s="18"/>
    </row>
    <row r="496">
      <c r="U496" s="97"/>
      <c r="Y496" s="18"/>
      <c r="Z496" s="18"/>
    </row>
    <row r="497">
      <c r="U497" s="97"/>
      <c r="Y497" s="18"/>
      <c r="Z497" s="18"/>
    </row>
    <row r="498">
      <c r="U498" s="97"/>
      <c r="Y498" s="18"/>
      <c r="Z498" s="18"/>
    </row>
    <row r="499">
      <c r="U499" s="97"/>
      <c r="Y499" s="18"/>
      <c r="Z499" s="18"/>
    </row>
    <row r="500">
      <c r="U500" s="97"/>
      <c r="Y500" s="18"/>
      <c r="Z500" s="18"/>
    </row>
    <row r="501">
      <c r="U501" s="97"/>
      <c r="Y501" s="18"/>
      <c r="Z501" s="18"/>
    </row>
    <row r="502">
      <c r="U502" s="97"/>
      <c r="Y502" s="18"/>
      <c r="Z502" s="18"/>
    </row>
    <row r="503">
      <c r="U503" s="97"/>
      <c r="Y503" s="18"/>
      <c r="Z503" s="18"/>
    </row>
    <row r="504">
      <c r="U504" s="97"/>
      <c r="Y504" s="18"/>
      <c r="Z504" s="18"/>
    </row>
    <row r="505">
      <c r="U505" s="97"/>
      <c r="Y505" s="18"/>
      <c r="Z505" s="18"/>
    </row>
    <row r="506">
      <c r="U506" s="97"/>
      <c r="Y506" s="18"/>
      <c r="Z506" s="18"/>
    </row>
    <row r="507">
      <c r="U507" s="97"/>
      <c r="Y507" s="18"/>
      <c r="Z507" s="18"/>
    </row>
    <row r="508">
      <c r="U508" s="97"/>
      <c r="Y508" s="18"/>
      <c r="Z508" s="18"/>
    </row>
    <row r="509">
      <c r="U509" s="97"/>
      <c r="Y509" s="18"/>
      <c r="Z509" s="18"/>
    </row>
    <row r="510">
      <c r="U510" s="97"/>
      <c r="Y510" s="18"/>
      <c r="Z510" s="18"/>
    </row>
    <row r="511">
      <c r="U511" s="97"/>
      <c r="Y511" s="18"/>
      <c r="Z511" s="18"/>
    </row>
    <row r="512">
      <c r="U512" s="97"/>
      <c r="Y512" s="18"/>
      <c r="Z512" s="18"/>
    </row>
    <row r="513">
      <c r="U513" s="97"/>
      <c r="Y513" s="18"/>
      <c r="Z513" s="18"/>
    </row>
    <row r="514">
      <c r="U514" s="97"/>
      <c r="Y514" s="18"/>
      <c r="Z514" s="18"/>
    </row>
    <row r="515">
      <c r="U515" s="97"/>
      <c r="Y515" s="18"/>
      <c r="Z515" s="18"/>
    </row>
    <row r="516">
      <c r="U516" s="97"/>
      <c r="Y516" s="18"/>
      <c r="Z516" s="18"/>
    </row>
    <row r="517">
      <c r="U517" s="97"/>
      <c r="Y517" s="18"/>
      <c r="Z517" s="18"/>
    </row>
    <row r="518">
      <c r="U518" s="97"/>
      <c r="Y518" s="18"/>
      <c r="Z518" s="18"/>
    </row>
    <row r="519">
      <c r="U519" s="97"/>
      <c r="Y519" s="18"/>
      <c r="Z519" s="18"/>
    </row>
    <row r="520">
      <c r="U520" s="97"/>
      <c r="Y520" s="18"/>
      <c r="Z520" s="18"/>
    </row>
    <row r="521">
      <c r="U521" s="97"/>
      <c r="Y521" s="18"/>
      <c r="Z521" s="18"/>
    </row>
    <row r="522">
      <c r="U522" s="97"/>
      <c r="Y522" s="18"/>
      <c r="Z522" s="18"/>
    </row>
    <row r="523">
      <c r="U523" s="97"/>
      <c r="Y523" s="18"/>
      <c r="Z523" s="18"/>
    </row>
    <row r="524">
      <c r="U524" s="97"/>
      <c r="Y524" s="18"/>
      <c r="Z524" s="18"/>
    </row>
    <row r="525">
      <c r="U525" s="97"/>
      <c r="Y525" s="18"/>
      <c r="Z525" s="18"/>
    </row>
    <row r="526">
      <c r="U526" s="97"/>
      <c r="Y526" s="18"/>
      <c r="Z526" s="18"/>
    </row>
    <row r="527">
      <c r="U527" s="97"/>
      <c r="Y527" s="18"/>
      <c r="Z527" s="18"/>
    </row>
    <row r="528">
      <c r="U528" s="97"/>
      <c r="Y528" s="18"/>
      <c r="Z528" s="18"/>
    </row>
    <row r="529">
      <c r="U529" s="97"/>
      <c r="Y529" s="18"/>
      <c r="Z529" s="18"/>
    </row>
    <row r="530">
      <c r="U530" s="97"/>
      <c r="Y530" s="18"/>
      <c r="Z530" s="18"/>
    </row>
    <row r="531">
      <c r="U531" s="97"/>
      <c r="Y531" s="18"/>
      <c r="Z531" s="18"/>
    </row>
    <row r="532">
      <c r="U532" s="97"/>
      <c r="Y532" s="18"/>
      <c r="Z532" s="18"/>
    </row>
    <row r="533">
      <c r="U533" s="97"/>
      <c r="Y533" s="18"/>
      <c r="Z533" s="18"/>
    </row>
    <row r="534">
      <c r="U534" s="97"/>
      <c r="Y534" s="18"/>
      <c r="Z534" s="18"/>
    </row>
    <row r="535">
      <c r="U535" s="97"/>
      <c r="Y535" s="18"/>
      <c r="Z535" s="18"/>
    </row>
    <row r="536">
      <c r="U536" s="97"/>
      <c r="Y536" s="18"/>
      <c r="Z536" s="18"/>
    </row>
    <row r="537">
      <c r="U537" s="97"/>
      <c r="Y537" s="18"/>
      <c r="Z537" s="18"/>
    </row>
    <row r="538">
      <c r="U538" s="97"/>
      <c r="Y538" s="18"/>
      <c r="Z538" s="18"/>
    </row>
    <row r="539">
      <c r="U539" s="97"/>
      <c r="Y539" s="18"/>
      <c r="Z539" s="18"/>
    </row>
    <row r="540">
      <c r="U540" s="97"/>
      <c r="Y540" s="18"/>
      <c r="Z540" s="18"/>
    </row>
    <row r="541">
      <c r="U541" s="97"/>
      <c r="Y541" s="18"/>
      <c r="Z541" s="18"/>
    </row>
    <row r="542">
      <c r="U542" s="97"/>
      <c r="Y542" s="18"/>
      <c r="Z542" s="18"/>
    </row>
    <row r="543">
      <c r="U543" s="97"/>
      <c r="Y543" s="18"/>
      <c r="Z543" s="18"/>
    </row>
    <row r="544">
      <c r="U544" s="97"/>
      <c r="Y544" s="18"/>
      <c r="Z544" s="18"/>
    </row>
    <row r="545">
      <c r="U545" s="97"/>
      <c r="Y545" s="18"/>
      <c r="Z545" s="18"/>
    </row>
    <row r="546">
      <c r="U546" s="97"/>
      <c r="Y546" s="18"/>
      <c r="Z546" s="18"/>
    </row>
    <row r="547">
      <c r="U547" s="97"/>
      <c r="Y547" s="18"/>
      <c r="Z547" s="18"/>
    </row>
    <row r="548">
      <c r="U548" s="97"/>
      <c r="Y548" s="18"/>
      <c r="Z548" s="18"/>
    </row>
    <row r="549">
      <c r="U549" s="97"/>
      <c r="Y549" s="18"/>
      <c r="Z549" s="18"/>
    </row>
    <row r="550">
      <c r="U550" s="97"/>
      <c r="Y550" s="18"/>
      <c r="Z550" s="18"/>
    </row>
    <row r="551">
      <c r="U551" s="97"/>
      <c r="Y551" s="18"/>
      <c r="Z551" s="18"/>
    </row>
    <row r="552">
      <c r="U552" s="97"/>
      <c r="Y552" s="18"/>
      <c r="Z552" s="18"/>
    </row>
    <row r="553">
      <c r="U553" s="97"/>
      <c r="Y553" s="18"/>
      <c r="Z553" s="18"/>
    </row>
    <row r="554">
      <c r="U554" s="97"/>
      <c r="Y554" s="18"/>
      <c r="Z554" s="18"/>
    </row>
    <row r="555">
      <c r="U555" s="97"/>
      <c r="Y555" s="18"/>
      <c r="Z555" s="18"/>
    </row>
    <row r="556">
      <c r="U556" s="97"/>
      <c r="Y556" s="18"/>
      <c r="Z556" s="18"/>
    </row>
    <row r="557">
      <c r="U557" s="97"/>
      <c r="Y557" s="18"/>
      <c r="Z557" s="18"/>
    </row>
    <row r="558">
      <c r="U558" s="97"/>
      <c r="Y558" s="18"/>
      <c r="Z558" s="18"/>
    </row>
    <row r="559">
      <c r="U559" s="97"/>
      <c r="Y559" s="18"/>
      <c r="Z559" s="18"/>
    </row>
    <row r="560">
      <c r="U560" s="97"/>
      <c r="Y560" s="18"/>
      <c r="Z560" s="18"/>
    </row>
    <row r="561">
      <c r="U561" s="97"/>
      <c r="Y561" s="18"/>
      <c r="Z561" s="18"/>
    </row>
    <row r="562">
      <c r="U562" s="97"/>
      <c r="Y562" s="18"/>
      <c r="Z562" s="18"/>
    </row>
    <row r="563">
      <c r="U563" s="97"/>
      <c r="Y563" s="18"/>
      <c r="Z563" s="18"/>
    </row>
    <row r="564">
      <c r="U564" s="97"/>
      <c r="Y564" s="18"/>
      <c r="Z564" s="18"/>
    </row>
    <row r="565">
      <c r="U565" s="97"/>
      <c r="Y565" s="18"/>
      <c r="Z565" s="18"/>
    </row>
    <row r="566">
      <c r="U566" s="97"/>
      <c r="Y566" s="18"/>
      <c r="Z566" s="18"/>
    </row>
    <row r="567">
      <c r="U567" s="97"/>
      <c r="Y567" s="18"/>
      <c r="Z567" s="18"/>
    </row>
    <row r="568">
      <c r="U568" s="97"/>
      <c r="Y568" s="18"/>
      <c r="Z568" s="18"/>
    </row>
    <row r="569">
      <c r="U569" s="97"/>
      <c r="Y569" s="18"/>
      <c r="Z569" s="18"/>
    </row>
    <row r="570">
      <c r="U570" s="97"/>
      <c r="Y570" s="18"/>
      <c r="Z570" s="18"/>
    </row>
    <row r="571">
      <c r="U571" s="97"/>
      <c r="Y571" s="18"/>
      <c r="Z571" s="18"/>
    </row>
    <row r="572">
      <c r="U572" s="97"/>
      <c r="Y572" s="18"/>
      <c r="Z572" s="18"/>
    </row>
    <row r="573">
      <c r="U573" s="97"/>
      <c r="Y573" s="18"/>
      <c r="Z573" s="18"/>
    </row>
    <row r="574">
      <c r="U574" s="97"/>
      <c r="Y574" s="18"/>
      <c r="Z574" s="18"/>
    </row>
    <row r="575">
      <c r="U575" s="97"/>
      <c r="Y575" s="18"/>
      <c r="Z575" s="18"/>
    </row>
    <row r="576">
      <c r="U576" s="97"/>
      <c r="Y576" s="18"/>
      <c r="Z576" s="18"/>
    </row>
    <row r="577">
      <c r="U577" s="97"/>
      <c r="Y577" s="18"/>
      <c r="Z577" s="18"/>
    </row>
    <row r="578">
      <c r="U578" s="97"/>
      <c r="Y578" s="18"/>
      <c r="Z578" s="18"/>
    </row>
    <row r="579">
      <c r="U579" s="97"/>
      <c r="Y579" s="18"/>
      <c r="Z579" s="18"/>
    </row>
    <row r="580">
      <c r="U580" s="97"/>
      <c r="Y580" s="18"/>
      <c r="Z580" s="18"/>
    </row>
    <row r="581">
      <c r="U581" s="97"/>
      <c r="Y581" s="18"/>
      <c r="Z581" s="18"/>
    </row>
    <row r="582">
      <c r="U582" s="97"/>
      <c r="Y582" s="18"/>
      <c r="Z582" s="18"/>
    </row>
    <row r="583">
      <c r="U583" s="97"/>
      <c r="Y583" s="18"/>
      <c r="Z583" s="18"/>
    </row>
    <row r="584">
      <c r="U584" s="97"/>
      <c r="Y584" s="18"/>
      <c r="Z584" s="18"/>
    </row>
    <row r="585">
      <c r="U585" s="97"/>
      <c r="Y585" s="18"/>
      <c r="Z585" s="18"/>
    </row>
    <row r="586">
      <c r="U586" s="97"/>
      <c r="Y586" s="18"/>
      <c r="Z586" s="18"/>
    </row>
    <row r="587">
      <c r="U587" s="97"/>
      <c r="Y587" s="18"/>
      <c r="Z587" s="18"/>
    </row>
    <row r="588">
      <c r="U588" s="97"/>
      <c r="Y588" s="18"/>
      <c r="Z588" s="18"/>
    </row>
    <row r="589">
      <c r="U589" s="97"/>
      <c r="Y589" s="18"/>
      <c r="Z589" s="18"/>
    </row>
    <row r="590">
      <c r="U590" s="97"/>
      <c r="Y590" s="18"/>
      <c r="Z590" s="18"/>
    </row>
    <row r="591">
      <c r="U591" s="97"/>
      <c r="Y591" s="18"/>
      <c r="Z591" s="18"/>
    </row>
    <row r="592">
      <c r="U592" s="97"/>
      <c r="Y592" s="18"/>
      <c r="Z592" s="18"/>
    </row>
    <row r="593">
      <c r="U593" s="97"/>
      <c r="Y593" s="18"/>
      <c r="Z593" s="18"/>
    </row>
    <row r="594">
      <c r="U594" s="97"/>
      <c r="Y594" s="18"/>
      <c r="Z594" s="18"/>
    </row>
    <row r="595">
      <c r="U595" s="97"/>
      <c r="Y595" s="18"/>
      <c r="Z595" s="18"/>
    </row>
    <row r="596">
      <c r="U596" s="97"/>
      <c r="Y596" s="18"/>
      <c r="Z596" s="18"/>
    </row>
    <row r="597">
      <c r="U597" s="97"/>
      <c r="Y597" s="18"/>
      <c r="Z597" s="18"/>
    </row>
    <row r="598">
      <c r="U598" s="97"/>
      <c r="Y598" s="18"/>
      <c r="Z598" s="18"/>
    </row>
    <row r="599">
      <c r="U599" s="97"/>
      <c r="Y599" s="18"/>
      <c r="Z599" s="18"/>
    </row>
    <row r="600">
      <c r="U600" s="97"/>
      <c r="Y600" s="18"/>
      <c r="Z600" s="18"/>
    </row>
    <row r="601">
      <c r="U601" s="97"/>
      <c r="Y601" s="18"/>
      <c r="Z601" s="18"/>
    </row>
    <row r="602">
      <c r="U602" s="97"/>
      <c r="Y602" s="18"/>
      <c r="Z602" s="18"/>
    </row>
    <row r="603">
      <c r="U603" s="97"/>
      <c r="Y603" s="18"/>
      <c r="Z603" s="18"/>
    </row>
    <row r="604">
      <c r="U604" s="97"/>
      <c r="Y604" s="18"/>
      <c r="Z604" s="18"/>
    </row>
    <row r="605">
      <c r="U605" s="97"/>
      <c r="Y605" s="18"/>
      <c r="Z605" s="18"/>
    </row>
    <row r="606">
      <c r="U606" s="97"/>
      <c r="Y606" s="18"/>
      <c r="Z606" s="18"/>
    </row>
    <row r="607">
      <c r="U607" s="97"/>
      <c r="Y607" s="18"/>
      <c r="Z607" s="18"/>
    </row>
    <row r="608">
      <c r="U608" s="97"/>
      <c r="Y608" s="18"/>
      <c r="Z608" s="18"/>
    </row>
    <row r="609">
      <c r="U609" s="97"/>
      <c r="Y609" s="18"/>
      <c r="Z609" s="18"/>
    </row>
    <row r="610">
      <c r="U610" s="97"/>
      <c r="Y610" s="18"/>
      <c r="Z610" s="18"/>
    </row>
    <row r="611">
      <c r="U611" s="97"/>
      <c r="Y611" s="18"/>
      <c r="Z611" s="18"/>
    </row>
    <row r="612">
      <c r="U612" s="97"/>
      <c r="Y612" s="18"/>
      <c r="Z612" s="18"/>
    </row>
    <row r="613">
      <c r="U613" s="97"/>
      <c r="Y613" s="18"/>
      <c r="Z613" s="18"/>
    </row>
    <row r="614">
      <c r="U614" s="97"/>
      <c r="Y614" s="18"/>
      <c r="Z614" s="18"/>
    </row>
    <row r="615">
      <c r="U615" s="97"/>
      <c r="Y615" s="18"/>
      <c r="Z615" s="18"/>
    </row>
    <row r="616">
      <c r="U616" s="97"/>
      <c r="Y616" s="18"/>
      <c r="Z616" s="18"/>
    </row>
    <row r="617">
      <c r="U617" s="97"/>
      <c r="Y617" s="18"/>
      <c r="Z617" s="18"/>
    </row>
    <row r="618">
      <c r="U618" s="97"/>
      <c r="Y618" s="18"/>
      <c r="Z618" s="18"/>
    </row>
    <row r="619">
      <c r="U619" s="97"/>
      <c r="Y619" s="18"/>
      <c r="Z619" s="18"/>
    </row>
    <row r="620">
      <c r="U620" s="97"/>
      <c r="Y620" s="18"/>
      <c r="Z620" s="18"/>
    </row>
    <row r="621">
      <c r="U621" s="97"/>
      <c r="Y621" s="18"/>
      <c r="Z621" s="18"/>
    </row>
    <row r="622">
      <c r="U622" s="97"/>
      <c r="Y622" s="18"/>
      <c r="Z622" s="18"/>
    </row>
    <row r="623">
      <c r="U623" s="97"/>
      <c r="Y623" s="18"/>
      <c r="Z623" s="18"/>
    </row>
    <row r="624">
      <c r="U624" s="97"/>
      <c r="Y624" s="18"/>
      <c r="Z624" s="18"/>
    </row>
    <row r="625">
      <c r="U625" s="97"/>
      <c r="Y625" s="18"/>
      <c r="Z625" s="18"/>
    </row>
    <row r="626">
      <c r="U626" s="97"/>
      <c r="Y626" s="18"/>
      <c r="Z626" s="18"/>
    </row>
    <row r="627">
      <c r="U627" s="97"/>
      <c r="Y627" s="18"/>
      <c r="Z627" s="18"/>
    </row>
    <row r="628">
      <c r="U628" s="97"/>
      <c r="Y628" s="18"/>
      <c r="Z628" s="18"/>
    </row>
    <row r="629">
      <c r="U629" s="97"/>
      <c r="Y629" s="18"/>
      <c r="Z629" s="18"/>
    </row>
    <row r="630">
      <c r="U630" s="97"/>
      <c r="Y630" s="18"/>
      <c r="Z630" s="18"/>
    </row>
    <row r="631">
      <c r="U631" s="97"/>
      <c r="Y631" s="18"/>
      <c r="Z631" s="18"/>
    </row>
    <row r="632">
      <c r="U632" s="97"/>
      <c r="Y632" s="18"/>
      <c r="Z632" s="18"/>
    </row>
    <row r="633">
      <c r="U633" s="97"/>
      <c r="Y633" s="18"/>
      <c r="Z633" s="18"/>
    </row>
    <row r="634">
      <c r="U634" s="97"/>
      <c r="Y634" s="18"/>
      <c r="Z634" s="18"/>
    </row>
    <row r="635">
      <c r="U635" s="97"/>
      <c r="Y635" s="18"/>
      <c r="Z635" s="18"/>
    </row>
    <row r="636">
      <c r="U636" s="97"/>
      <c r="Y636" s="18"/>
      <c r="Z636" s="18"/>
    </row>
    <row r="637">
      <c r="U637" s="97"/>
      <c r="Y637" s="18"/>
      <c r="Z637" s="18"/>
    </row>
    <row r="638">
      <c r="U638" s="97"/>
      <c r="Y638" s="18"/>
      <c r="Z638" s="18"/>
    </row>
    <row r="639">
      <c r="U639" s="97"/>
      <c r="Y639" s="18"/>
      <c r="Z639" s="18"/>
    </row>
    <row r="640">
      <c r="U640" s="97"/>
      <c r="Y640" s="18"/>
      <c r="Z640" s="18"/>
    </row>
    <row r="641">
      <c r="U641" s="97"/>
      <c r="Y641" s="18"/>
      <c r="Z641" s="18"/>
    </row>
    <row r="642">
      <c r="U642" s="97"/>
      <c r="Y642" s="18"/>
      <c r="Z642" s="18"/>
    </row>
    <row r="643">
      <c r="U643" s="97"/>
      <c r="Y643" s="18"/>
      <c r="Z643" s="18"/>
    </row>
    <row r="644">
      <c r="U644" s="97"/>
      <c r="Y644" s="18"/>
      <c r="Z644" s="18"/>
    </row>
    <row r="645">
      <c r="U645" s="97"/>
      <c r="Y645" s="18"/>
      <c r="Z645" s="18"/>
    </row>
    <row r="646">
      <c r="U646" s="97"/>
      <c r="Y646" s="18"/>
      <c r="Z646" s="18"/>
    </row>
    <row r="647">
      <c r="U647" s="97"/>
      <c r="Y647" s="18"/>
      <c r="Z647" s="18"/>
    </row>
    <row r="648">
      <c r="U648" s="97"/>
      <c r="Y648" s="18"/>
      <c r="Z648" s="18"/>
    </row>
    <row r="649">
      <c r="U649" s="97"/>
      <c r="Y649" s="18"/>
      <c r="Z649" s="18"/>
    </row>
    <row r="650">
      <c r="U650" s="97"/>
      <c r="Y650" s="18"/>
      <c r="Z650" s="18"/>
    </row>
    <row r="651">
      <c r="U651" s="97"/>
      <c r="Y651" s="18"/>
      <c r="Z651" s="18"/>
    </row>
    <row r="652">
      <c r="U652" s="97"/>
      <c r="Y652" s="18"/>
      <c r="Z652" s="18"/>
    </row>
    <row r="653">
      <c r="U653" s="97"/>
      <c r="Y653" s="18"/>
      <c r="Z653" s="18"/>
    </row>
    <row r="654">
      <c r="U654" s="97"/>
      <c r="Y654" s="18"/>
      <c r="Z654" s="18"/>
    </row>
    <row r="655">
      <c r="U655" s="97"/>
      <c r="Y655" s="18"/>
      <c r="Z655" s="18"/>
    </row>
    <row r="656">
      <c r="U656" s="97"/>
      <c r="Y656" s="18"/>
      <c r="Z656" s="18"/>
    </row>
    <row r="657">
      <c r="U657" s="97"/>
      <c r="Y657" s="18"/>
      <c r="Z657" s="18"/>
    </row>
    <row r="658">
      <c r="U658" s="97"/>
      <c r="Y658" s="18"/>
      <c r="Z658" s="18"/>
    </row>
    <row r="659">
      <c r="U659" s="97"/>
      <c r="Y659" s="18"/>
      <c r="Z659" s="18"/>
    </row>
    <row r="660">
      <c r="U660" s="97"/>
      <c r="Y660" s="18"/>
      <c r="Z660" s="18"/>
    </row>
    <row r="661">
      <c r="U661" s="97"/>
      <c r="Y661" s="18"/>
      <c r="Z661" s="18"/>
    </row>
    <row r="662">
      <c r="U662" s="97"/>
      <c r="Y662" s="18"/>
      <c r="Z662" s="18"/>
    </row>
    <row r="663">
      <c r="U663" s="97"/>
      <c r="Y663" s="18"/>
      <c r="Z663" s="18"/>
    </row>
    <row r="664">
      <c r="U664" s="97"/>
      <c r="Y664" s="18"/>
      <c r="Z664" s="18"/>
    </row>
    <row r="665">
      <c r="U665" s="97"/>
      <c r="Y665" s="18"/>
      <c r="Z665" s="18"/>
    </row>
    <row r="666">
      <c r="U666" s="97"/>
      <c r="Y666" s="18"/>
      <c r="Z666" s="18"/>
    </row>
    <row r="667">
      <c r="U667" s="97"/>
      <c r="Y667" s="18"/>
      <c r="Z667" s="18"/>
    </row>
    <row r="668">
      <c r="U668" s="97"/>
      <c r="Y668" s="18"/>
      <c r="Z668" s="18"/>
    </row>
    <row r="669">
      <c r="U669" s="97"/>
      <c r="Y669" s="18"/>
      <c r="Z669" s="18"/>
    </row>
    <row r="670">
      <c r="U670" s="97"/>
      <c r="Y670" s="18"/>
      <c r="Z670" s="18"/>
    </row>
    <row r="671">
      <c r="U671" s="97"/>
      <c r="Y671" s="18"/>
      <c r="Z671" s="18"/>
    </row>
    <row r="672">
      <c r="U672" s="97"/>
      <c r="Y672" s="18"/>
      <c r="Z672" s="18"/>
    </row>
    <row r="673">
      <c r="U673" s="97"/>
      <c r="Y673" s="18"/>
      <c r="Z673" s="18"/>
    </row>
    <row r="674">
      <c r="U674" s="97"/>
      <c r="Y674" s="18"/>
      <c r="Z674" s="18"/>
    </row>
    <row r="675">
      <c r="U675" s="97"/>
      <c r="Y675" s="18"/>
      <c r="Z675" s="18"/>
    </row>
    <row r="676">
      <c r="U676" s="97"/>
      <c r="Y676" s="18"/>
      <c r="Z676" s="18"/>
    </row>
    <row r="677">
      <c r="U677" s="97"/>
      <c r="Y677" s="18"/>
      <c r="Z677" s="18"/>
    </row>
    <row r="678">
      <c r="U678" s="97"/>
      <c r="Y678" s="18"/>
      <c r="Z678" s="18"/>
    </row>
    <row r="679">
      <c r="U679" s="97"/>
      <c r="Y679" s="18"/>
      <c r="Z679" s="18"/>
    </row>
    <row r="680">
      <c r="U680" s="97"/>
      <c r="Y680" s="18"/>
      <c r="Z680" s="18"/>
    </row>
    <row r="681">
      <c r="U681" s="97"/>
      <c r="Y681" s="18"/>
      <c r="Z681" s="18"/>
    </row>
    <row r="682">
      <c r="U682" s="97"/>
      <c r="Y682" s="18"/>
      <c r="Z682" s="18"/>
    </row>
    <row r="683">
      <c r="U683" s="97"/>
      <c r="Y683" s="18"/>
      <c r="Z683" s="18"/>
    </row>
    <row r="684">
      <c r="U684" s="97"/>
      <c r="Y684" s="18"/>
      <c r="Z684" s="18"/>
    </row>
    <row r="685">
      <c r="U685" s="97"/>
      <c r="Y685" s="18"/>
      <c r="Z685" s="18"/>
    </row>
    <row r="686">
      <c r="U686" s="97"/>
      <c r="Y686" s="18"/>
      <c r="Z686" s="18"/>
    </row>
    <row r="687">
      <c r="U687" s="97"/>
      <c r="Y687" s="18"/>
      <c r="Z687" s="18"/>
    </row>
    <row r="688">
      <c r="U688" s="97"/>
      <c r="Y688" s="18"/>
      <c r="Z688" s="18"/>
    </row>
    <row r="689">
      <c r="U689" s="97"/>
      <c r="Y689" s="18"/>
      <c r="Z689" s="18"/>
    </row>
    <row r="690">
      <c r="U690" s="97"/>
      <c r="Y690" s="18"/>
      <c r="Z690" s="18"/>
    </row>
    <row r="691">
      <c r="U691" s="97"/>
      <c r="Y691" s="18"/>
      <c r="Z691" s="18"/>
    </row>
    <row r="692">
      <c r="U692" s="97"/>
      <c r="Y692" s="18"/>
      <c r="Z692" s="18"/>
    </row>
    <row r="693">
      <c r="U693" s="97"/>
      <c r="Y693" s="18"/>
      <c r="Z693" s="18"/>
    </row>
    <row r="694">
      <c r="U694" s="97"/>
      <c r="Y694" s="18"/>
      <c r="Z694" s="18"/>
    </row>
    <row r="695">
      <c r="U695" s="97"/>
      <c r="Y695" s="18"/>
      <c r="Z695" s="18"/>
    </row>
    <row r="696">
      <c r="U696" s="97"/>
      <c r="Y696" s="18"/>
      <c r="Z696" s="18"/>
    </row>
    <row r="697">
      <c r="U697" s="97"/>
      <c r="Y697" s="18"/>
      <c r="Z697" s="18"/>
    </row>
    <row r="698">
      <c r="U698" s="97"/>
      <c r="Y698" s="18"/>
      <c r="Z698" s="18"/>
    </row>
    <row r="699">
      <c r="U699" s="97"/>
      <c r="Y699" s="18"/>
      <c r="Z699" s="18"/>
    </row>
    <row r="700">
      <c r="U700" s="97"/>
      <c r="Y700" s="18"/>
      <c r="Z700" s="18"/>
    </row>
    <row r="701">
      <c r="U701" s="97"/>
      <c r="Y701" s="18"/>
      <c r="Z701" s="18"/>
    </row>
    <row r="702">
      <c r="U702" s="97"/>
      <c r="Y702" s="18"/>
      <c r="Z702" s="18"/>
    </row>
    <row r="703">
      <c r="U703" s="97"/>
      <c r="Y703" s="18"/>
      <c r="Z703" s="18"/>
    </row>
    <row r="704">
      <c r="U704" s="97"/>
      <c r="Y704" s="18"/>
      <c r="Z704" s="18"/>
    </row>
    <row r="705">
      <c r="U705" s="97"/>
      <c r="Y705" s="18"/>
      <c r="Z705" s="18"/>
    </row>
    <row r="706">
      <c r="U706" s="97"/>
      <c r="Y706" s="18"/>
      <c r="Z706" s="18"/>
    </row>
    <row r="707">
      <c r="U707" s="97"/>
      <c r="Y707" s="18"/>
      <c r="Z707" s="18"/>
    </row>
    <row r="708">
      <c r="U708" s="97"/>
      <c r="Y708" s="18"/>
      <c r="Z708" s="18"/>
    </row>
    <row r="709">
      <c r="U709" s="97"/>
      <c r="Y709" s="18"/>
      <c r="Z709" s="18"/>
    </row>
    <row r="710">
      <c r="U710" s="97"/>
      <c r="Y710" s="18"/>
      <c r="Z710" s="18"/>
    </row>
    <row r="711">
      <c r="U711" s="97"/>
      <c r="Y711" s="18"/>
      <c r="Z711" s="18"/>
    </row>
    <row r="712">
      <c r="U712" s="97"/>
      <c r="Y712" s="18"/>
      <c r="Z712" s="18"/>
    </row>
    <row r="713">
      <c r="U713" s="97"/>
      <c r="Y713" s="18"/>
      <c r="Z713" s="18"/>
    </row>
    <row r="714">
      <c r="U714" s="97"/>
      <c r="Y714" s="18"/>
      <c r="Z714" s="18"/>
    </row>
    <row r="715">
      <c r="U715" s="97"/>
      <c r="Y715" s="18"/>
      <c r="Z715" s="18"/>
    </row>
    <row r="716">
      <c r="U716" s="97"/>
      <c r="Y716" s="18"/>
      <c r="Z716" s="18"/>
    </row>
    <row r="717">
      <c r="U717" s="97"/>
      <c r="Y717" s="18"/>
      <c r="Z717" s="18"/>
    </row>
    <row r="718">
      <c r="U718" s="97"/>
      <c r="Y718" s="18"/>
      <c r="Z718" s="18"/>
    </row>
    <row r="719">
      <c r="U719" s="97"/>
      <c r="Y719" s="18"/>
      <c r="Z719" s="18"/>
    </row>
    <row r="720">
      <c r="U720" s="97"/>
      <c r="Y720" s="18"/>
      <c r="Z720" s="18"/>
    </row>
    <row r="721">
      <c r="U721" s="97"/>
      <c r="Y721" s="18"/>
      <c r="Z721" s="18"/>
    </row>
    <row r="722">
      <c r="U722" s="97"/>
      <c r="Y722" s="18"/>
      <c r="Z722" s="18"/>
    </row>
    <row r="723">
      <c r="U723" s="97"/>
      <c r="Y723" s="18"/>
      <c r="Z723" s="18"/>
    </row>
    <row r="724">
      <c r="U724" s="97"/>
      <c r="Y724" s="18"/>
      <c r="Z724" s="18"/>
    </row>
    <row r="725">
      <c r="U725" s="97"/>
      <c r="Y725" s="18"/>
      <c r="Z725" s="18"/>
    </row>
    <row r="726">
      <c r="U726" s="97"/>
      <c r="Y726" s="18"/>
      <c r="Z726" s="18"/>
    </row>
    <row r="727">
      <c r="U727" s="97"/>
      <c r="Y727" s="18"/>
      <c r="Z727" s="18"/>
    </row>
    <row r="728">
      <c r="U728" s="97"/>
      <c r="Y728" s="18"/>
      <c r="Z728" s="18"/>
    </row>
    <row r="729">
      <c r="U729" s="97"/>
      <c r="Y729" s="18"/>
      <c r="Z729" s="18"/>
    </row>
    <row r="730">
      <c r="U730" s="97"/>
      <c r="Y730" s="18"/>
      <c r="Z730" s="18"/>
    </row>
    <row r="731">
      <c r="U731" s="97"/>
      <c r="Y731" s="18"/>
      <c r="Z731" s="18"/>
    </row>
    <row r="732">
      <c r="U732" s="97"/>
      <c r="Y732" s="18"/>
      <c r="Z732" s="18"/>
    </row>
    <row r="733">
      <c r="U733" s="97"/>
      <c r="Y733" s="18"/>
      <c r="Z733" s="18"/>
    </row>
    <row r="734">
      <c r="U734" s="97"/>
      <c r="Y734" s="18"/>
      <c r="Z734" s="18"/>
    </row>
    <row r="735">
      <c r="U735" s="97"/>
      <c r="Y735" s="18"/>
      <c r="Z735" s="18"/>
    </row>
    <row r="736">
      <c r="U736" s="97"/>
      <c r="Y736" s="18"/>
      <c r="Z736" s="18"/>
    </row>
    <row r="737">
      <c r="U737" s="97"/>
      <c r="Y737" s="18"/>
      <c r="Z737" s="18"/>
    </row>
    <row r="738">
      <c r="U738" s="97"/>
      <c r="Y738" s="18"/>
      <c r="Z738" s="18"/>
    </row>
    <row r="739">
      <c r="U739" s="97"/>
      <c r="Y739" s="18"/>
      <c r="Z739" s="18"/>
    </row>
    <row r="740">
      <c r="U740" s="97"/>
      <c r="Y740" s="18"/>
      <c r="Z740" s="18"/>
    </row>
    <row r="741">
      <c r="U741" s="97"/>
      <c r="Y741" s="18"/>
      <c r="Z741" s="18"/>
    </row>
    <row r="742">
      <c r="U742" s="97"/>
      <c r="Y742" s="18"/>
      <c r="Z742" s="18"/>
    </row>
    <row r="743">
      <c r="U743" s="97"/>
      <c r="Y743" s="18"/>
      <c r="Z743" s="18"/>
    </row>
    <row r="744">
      <c r="U744" s="97"/>
      <c r="Y744" s="18"/>
      <c r="Z744" s="18"/>
    </row>
    <row r="745">
      <c r="U745" s="97"/>
      <c r="Y745" s="18"/>
      <c r="Z745" s="18"/>
    </row>
    <row r="746">
      <c r="U746" s="97"/>
      <c r="Y746" s="18"/>
      <c r="Z746" s="18"/>
    </row>
    <row r="747">
      <c r="U747" s="97"/>
      <c r="Y747" s="18"/>
      <c r="Z747" s="18"/>
    </row>
    <row r="748">
      <c r="U748" s="97"/>
      <c r="Y748" s="18"/>
      <c r="Z748" s="18"/>
    </row>
    <row r="749">
      <c r="U749" s="97"/>
      <c r="Y749" s="18"/>
      <c r="Z749" s="18"/>
    </row>
    <row r="750">
      <c r="U750" s="97"/>
      <c r="Y750" s="18"/>
      <c r="Z750" s="18"/>
    </row>
    <row r="751">
      <c r="U751" s="97"/>
      <c r="Y751" s="18"/>
      <c r="Z751" s="18"/>
    </row>
    <row r="752">
      <c r="U752" s="97"/>
      <c r="Y752" s="18"/>
      <c r="Z752" s="18"/>
    </row>
    <row r="753">
      <c r="U753" s="97"/>
      <c r="Y753" s="18"/>
      <c r="Z753" s="18"/>
    </row>
    <row r="754">
      <c r="U754" s="97"/>
      <c r="Y754" s="18"/>
      <c r="Z754" s="18"/>
    </row>
    <row r="755">
      <c r="U755" s="97"/>
      <c r="Y755" s="18"/>
      <c r="Z755" s="18"/>
    </row>
    <row r="756">
      <c r="U756" s="97"/>
      <c r="Y756" s="18"/>
      <c r="Z756" s="18"/>
    </row>
    <row r="757">
      <c r="U757" s="97"/>
      <c r="Y757" s="18"/>
      <c r="Z757" s="18"/>
    </row>
    <row r="758">
      <c r="U758" s="97"/>
      <c r="Y758" s="18"/>
      <c r="Z758" s="18"/>
    </row>
    <row r="759">
      <c r="U759" s="97"/>
      <c r="Y759" s="18"/>
      <c r="Z759" s="18"/>
    </row>
    <row r="760">
      <c r="U760" s="97"/>
      <c r="Y760" s="18"/>
      <c r="Z760" s="18"/>
    </row>
    <row r="761">
      <c r="U761" s="97"/>
      <c r="Y761" s="18"/>
      <c r="Z761" s="18"/>
    </row>
    <row r="762">
      <c r="U762" s="97"/>
      <c r="Y762" s="18"/>
      <c r="Z762" s="18"/>
    </row>
    <row r="763">
      <c r="U763" s="97"/>
      <c r="Y763" s="18"/>
      <c r="Z763" s="18"/>
    </row>
    <row r="764">
      <c r="U764" s="97"/>
      <c r="Y764" s="18"/>
      <c r="Z764" s="18"/>
    </row>
    <row r="765">
      <c r="U765" s="97"/>
      <c r="Y765" s="18"/>
      <c r="Z765" s="18"/>
    </row>
    <row r="766">
      <c r="U766" s="97"/>
      <c r="Y766" s="18"/>
      <c r="Z766" s="18"/>
    </row>
    <row r="767">
      <c r="U767" s="97"/>
      <c r="Y767" s="18"/>
      <c r="Z767" s="18"/>
    </row>
    <row r="768">
      <c r="U768" s="97"/>
      <c r="Y768" s="18"/>
      <c r="Z768" s="18"/>
    </row>
    <row r="769">
      <c r="U769" s="97"/>
      <c r="Y769" s="18"/>
      <c r="Z769" s="18"/>
    </row>
    <row r="770">
      <c r="U770" s="97"/>
      <c r="Y770" s="18"/>
      <c r="Z770" s="18"/>
    </row>
    <row r="771">
      <c r="U771" s="97"/>
      <c r="Y771" s="18"/>
      <c r="Z771" s="18"/>
    </row>
    <row r="772">
      <c r="U772" s="97"/>
      <c r="Y772" s="18"/>
      <c r="Z772" s="18"/>
    </row>
    <row r="773">
      <c r="U773" s="97"/>
      <c r="Y773" s="18"/>
      <c r="Z773" s="18"/>
    </row>
    <row r="774">
      <c r="U774" s="97"/>
      <c r="Y774" s="18"/>
      <c r="Z774" s="18"/>
    </row>
    <row r="775">
      <c r="U775" s="97"/>
      <c r="Y775" s="18"/>
      <c r="Z775" s="18"/>
    </row>
    <row r="776">
      <c r="U776" s="97"/>
      <c r="Y776" s="18"/>
      <c r="Z776" s="18"/>
    </row>
    <row r="777">
      <c r="U777" s="97"/>
      <c r="Y777" s="18"/>
      <c r="Z777" s="18"/>
    </row>
    <row r="778">
      <c r="U778" s="97"/>
      <c r="Y778" s="18"/>
      <c r="Z778" s="18"/>
    </row>
    <row r="779">
      <c r="U779" s="97"/>
      <c r="Y779" s="18"/>
      <c r="Z779" s="18"/>
    </row>
    <row r="780">
      <c r="U780" s="97"/>
      <c r="Y780" s="18"/>
      <c r="Z780" s="18"/>
    </row>
    <row r="781">
      <c r="U781" s="97"/>
      <c r="Y781" s="18"/>
      <c r="Z781" s="18"/>
    </row>
    <row r="782">
      <c r="U782" s="97"/>
      <c r="Y782" s="18"/>
      <c r="Z782" s="18"/>
    </row>
    <row r="783">
      <c r="U783" s="97"/>
      <c r="Y783" s="18"/>
      <c r="Z783" s="18"/>
    </row>
    <row r="784">
      <c r="U784" s="97"/>
      <c r="Y784" s="18"/>
      <c r="Z784" s="18"/>
    </row>
    <row r="785">
      <c r="U785" s="97"/>
      <c r="Y785" s="18"/>
      <c r="Z785" s="18"/>
    </row>
    <row r="786">
      <c r="U786" s="97"/>
      <c r="Y786" s="18"/>
      <c r="Z786" s="18"/>
    </row>
    <row r="787">
      <c r="U787" s="97"/>
      <c r="Y787" s="18"/>
      <c r="Z787" s="18"/>
    </row>
    <row r="788">
      <c r="U788" s="97"/>
      <c r="Y788" s="18"/>
      <c r="Z788" s="18"/>
    </row>
    <row r="789">
      <c r="U789" s="97"/>
      <c r="Y789" s="18"/>
      <c r="Z789" s="18"/>
    </row>
    <row r="790">
      <c r="U790" s="97"/>
      <c r="Y790" s="18"/>
      <c r="Z790" s="18"/>
    </row>
    <row r="791">
      <c r="U791" s="97"/>
      <c r="Y791" s="18"/>
      <c r="Z791" s="18"/>
    </row>
    <row r="792">
      <c r="U792" s="97"/>
      <c r="Y792" s="18"/>
      <c r="Z792" s="18"/>
    </row>
    <row r="793">
      <c r="U793" s="97"/>
      <c r="Y793" s="18"/>
      <c r="Z793" s="18"/>
    </row>
    <row r="794">
      <c r="U794" s="97"/>
      <c r="Y794" s="18"/>
      <c r="Z794" s="18"/>
    </row>
    <row r="795">
      <c r="U795" s="97"/>
      <c r="Y795" s="18"/>
      <c r="Z795" s="18"/>
    </row>
    <row r="796">
      <c r="U796" s="97"/>
      <c r="Y796" s="18"/>
      <c r="Z796" s="18"/>
    </row>
    <row r="797">
      <c r="U797" s="97"/>
      <c r="Y797" s="18"/>
      <c r="Z797" s="18"/>
    </row>
    <row r="798">
      <c r="U798" s="97"/>
      <c r="Y798" s="18"/>
      <c r="Z798" s="18"/>
    </row>
    <row r="799">
      <c r="U799" s="97"/>
      <c r="Y799" s="18"/>
      <c r="Z799" s="18"/>
    </row>
    <row r="800">
      <c r="U800" s="97"/>
      <c r="Y800" s="18"/>
      <c r="Z800" s="18"/>
    </row>
    <row r="801">
      <c r="U801" s="97"/>
      <c r="Y801" s="18"/>
      <c r="Z801" s="18"/>
    </row>
    <row r="802">
      <c r="U802" s="97"/>
      <c r="Y802" s="18"/>
      <c r="Z802" s="18"/>
    </row>
    <row r="803">
      <c r="U803" s="97"/>
      <c r="Y803" s="18"/>
      <c r="Z803" s="18"/>
    </row>
    <row r="804">
      <c r="U804" s="97"/>
      <c r="Y804" s="18"/>
      <c r="Z804" s="18"/>
    </row>
    <row r="805">
      <c r="U805" s="97"/>
      <c r="Y805" s="18"/>
      <c r="Z805" s="18"/>
    </row>
    <row r="806">
      <c r="U806" s="97"/>
      <c r="Y806" s="18"/>
      <c r="Z806" s="18"/>
    </row>
    <row r="807">
      <c r="U807" s="97"/>
      <c r="Y807" s="18"/>
      <c r="Z807" s="18"/>
    </row>
    <row r="808">
      <c r="U808" s="97"/>
      <c r="Y808" s="18"/>
      <c r="Z808" s="18"/>
    </row>
    <row r="809">
      <c r="U809" s="97"/>
      <c r="Y809" s="18"/>
      <c r="Z809" s="18"/>
    </row>
    <row r="810">
      <c r="U810" s="97"/>
      <c r="Y810" s="18"/>
      <c r="Z810" s="18"/>
    </row>
    <row r="811">
      <c r="U811" s="97"/>
      <c r="Y811" s="18"/>
      <c r="Z811" s="18"/>
    </row>
    <row r="812">
      <c r="U812" s="97"/>
      <c r="Y812" s="18"/>
      <c r="Z812" s="18"/>
    </row>
    <row r="813">
      <c r="U813" s="97"/>
      <c r="Y813" s="18"/>
      <c r="Z813" s="18"/>
    </row>
    <row r="814">
      <c r="U814" s="97"/>
      <c r="Y814" s="18"/>
      <c r="Z814" s="18"/>
    </row>
    <row r="815">
      <c r="U815" s="97"/>
      <c r="Y815" s="18"/>
      <c r="Z815" s="18"/>
    </row>
    <row r="816">
      <c r="U816" s="97"/>
      <c r="Y816" s="18"/>
      <c r="Z816" s="18"/>
    </row>
    <row r="817">
      <c r="U817" s="97"/>
      <c r="Y817" s="18"/>
      <c r="Z817" s="18"/>
    </row>
    <row r="818">
      <c r="U818" s="97"/>
      <c r="Y818" s="18"/>
      <c r="Z818" s="18"/>
    </row>
    <row r="819">
      <c r="U819" s="97"/>
      <c r="Y819" s="18"/>
      <c r="Z819" s="18"/>
    </row>
    <row r="820">
      <c r="U820" s="97"/>
      <c r="Y820" s="18"/>
      <c r="Z820" s="18"/>
    </row>
    <row r="821">
      <c r="U821" s="97"/>
      <c r="Y821" s="18"/>
      <c r="Z821" s="18"/>
    </row>
    <row r="822">
      <c r="U822" s="97"/>
      <c r="Y822" s="18"/>
      <c r="Z822" s="18"/>
    </row>
    <row r="823">
      <c r="U823" s="97"/>
      <c r="Y823" s="18"/>
      <c r="Z823" s="18"/>
    </row>
    <row r="824">
      <c r="U824" s="97"/>
      <c r="Y824" s="18"/>
      <c r="Z824" s="18"/>
    </row>
    <row r="825">
      <c r="U825" s="97"/>
      <c r="Y825" s="18"/>
      <c r="Z825" s="18"/>
    </row>
    <row r="826">
      <c r="U826" s="97"/>
      <c r="Y826" s="18"/>
      <c r="Z826" s="18"/>
    </row>
    <row r="827">
      <c r="U827" s="97"/>
      <c r="Y827" s="18"/>
      <c r="Z827" s="18"/>
    </row>
    <row r="828">
      <c r="U828" s="97"/>
      <c r="Y828" s="18"/>
      <c r="Z828" s="18"/>
    </row>
    <row r="829">
      <c r="U829" s="97"/>
      <c r="Y829" s="18"/>
      <c r="Z829" s="18"/>
    </row>
    <row r="830">
      <c r="U830" s="97"/>
      <c r="Y830" s="18"/>
      <c r="Z830" s="18"/>
    </row>
    <row r="831">
      <c r="U831" s="97"/>
      <c r="Y831" s="18"/>
      <c r="Z831" s="18"/>
    </row>
    <row r="832">
      <c r="U832" s="97"/>
      <c r="Y832" s="18"/>
      <c r="Z832" s="18"/>
    </row>
    <row r="833">
      <c r="U833" s="97"/>
      <c r="Y833" s="18"/>
      <c r="Z833" s="18"/>
    </row>
    <row r="834">
      <c r="U834" s="97"/>
      <c r="Y834" s="18"/>
      <c r="Z834" s="18"/>
    </row>
    <row r="835">
      <c r="U835" s="97"/>
      <c r="Y835" s="18"/>
      <c r="Z835" s="18"/>
    </row>
    <row r="836">
      <c r="U836" s="97"/>
      <c r="Y836" s="18"/>
      <c r="Z836" s="18"/>
    </row>
    <row r="837">
      <c r="U837" s="97"/>
      <c r="Y837" s="18"/>
      <c r="Z837" s="18"/>
    </row>
    <row r="838">
      <c r="U838" s="97"/>
      <c r="Y838" s="18"/>
      <c r="Z838" s="18"/>
    </row>
    <row r="839">
      <c r="U839" s="97"/>
      <c r="Y839" s="18"/>
      <c r="Z839" s="18"/>
    </row>
    <row r="840">
      <c r="U840" s="97"/>
      <c r="Y840" s="18"/>
      <c r="Z840" s="18"/>
    </row>
    <row r="841">
      <c r="U841" s="97"/>
      <c r="Y841" s="18"/>
      <c r="Z841" s="18"/>
    </row>
    <row r="842">
      <c r="U842" s="97"/>
      <c r="Y842" s="18"/>
      <c r="Z842" s="18"/>
    </row>
    <row r="843">
      <c r="U843" s="97"/>
      <c r="Y843" s="18"/>
      <c r="Z843" s="18"/>
    </row>
    <row r="844">
      <c r="U844" s="97"/>
      <c r="Y844" s="18"/>
      <c r="Z844" s="18"/>
    </row>
    <row r="845">
      <c r="U845" s="97"/>
      <c r="Y845" s="18"/>
      <c r="Z845" s="18"/>
    </row>
    <row r="846">
      <c r="U846" s="97"/>
      <c r="Y846" s="18"/>
      <c r="Z846" s="18"/>
    </row>
    <row r="847">
      <c r="U847" s="97"/>
      <c r="Y847" s="18"/>
      <c r="Z847" s="18"/>
    </row>
    <row r="848">
      <c r="U848" s="97"/>
      <c r="Y848" s="18"/>
      <c r="Z848" s="18"/>
    </row>
    <row r="849">
      <c r="U849" s="97"/>
      <c r="Y849" s="18"/>
      <c r="Z849" s="18"/>
    </row>
    <row r="850">
      <c r="U850" s="97"/>
      <c r="Y850" s="18"/>
      <c r="Z850" s="18"/>
    </row>
    <row r="851">
      <c r="U851" s="97"/>
      <c r="Y851" s="18"/>
      <c r="Z851" s="18"/>
    </row>
    <row r="852">
      <c r="U852" s="97"/>
      <c r="Y852" s="18"/>
      <c r="Z852" s="18"/>
    </row>
    <row r="853">
      <c r="U853" s="97"/>
      <c r="Y853" s="18"/>
      <c r="Z853" s="18"/>
    </row>
    <row r="854">
      <c r="U854" s="97"/>
      <c r="Y854" s="18"/>
      <c r="Z854" s="18"/>
    </row>
    <row r="855">
      <c r="U855" s="97"/>
      <c r="Y855" s="18"/>
      <c r="Z855" s="18"/>
    </row>
    <row r="856">
      <c r="U856" s="97"/>
      <c r="Y856" s="18"/>
      <c r="Z856" s="18"/>
    </row>
    <row r="857">
      <c r="U857" s="97"/>
      <c r="Y857" s="18"/>
      <c r="Z857" s="18"/>
    </row>
    <row r="858">
      <c r="U858" s="97"/>
      <c r="Y858" s="18"/>
      <c r="Z858" s="18"/>
    </row>
    <row r="859">
      <c r="U859" s="97"/>
      <c r="Y859" s="18"/>
      <c r="Z859" s="18"/>
    </row>
    <row r="860">
      <c r="U860" s="97"/>
      <c r="Y860" s="18"/>
      <c r="Z860" s="18"/>
    </row>
    <row r="861">
      <c r="U861" s="97"/>
      <c r="Y861" s="18"/>
      <c r="Z861" s="18"/>
    </row>
    <row r="862">
      <c r="U862" s="97"/>
      <c r="Y862" s="18"/>
      <c r="Z862" s="18"/>
    </row>
    <row r="863">
      <c r="U863" s="97"/>
      <c r="Y863" s="18"/>
      <c r="Z863" s="18"/>
    </row>
    <row r="864">
      <c r="U864" s="97"/>
      <c r="Y864" s="18"/>
      <c r="Z864" s="18"/>
    </row>
    <row r="865">
      <c r="U865" s="97"/>
      <c r="Y865" s="18"/>
      <c r="Z865" s="18"/>
    </row>
    <row r="866">
      <c r="U866" s="97"/>
      <c r="Y866" s="18"/>
      <c r="Z866" s="18"/>
    </row>
    <row r="867">
      <c r="U867" s="97"/>
      <c r="Y867" s="18"/>
      <c r="Z867" s="18"/>
    </row>
    <row r="868">
      <c r="U868" s="97"/>
      <c r="Y868" s="18"/>
      <c r="Z868" s="18"/>
    </row>
    <row r="869">
      <c r="U869" s="97"/>
      <c r="Y869" s="18"/>
      <c r="Z869" s="18"/>
    </row>
    <row r="870">
      <c r="U870" s="97"/>
      <c r="Y870" s="18"/>
      <c r="Z870" s="18"/>
    </row>
    <row r="871">
      <c r="U871" s="97"/>
      <c r="Y871" s="18"/>
      <c r="Z871" s="18"/>
    </row>
    <row r="872">
      <c r="U872" s="97"/>
      <c r="Y872" s="18"/>
      <c r="Z872" s="18"/>
    </row>
    <row r="873">
      <c r="U873" s="97"/>
      <c r="Y873" s="18"/>
      <c r="Z873" s="18"/>
    </row>
    <row r="874">
      <c r="U874" s="97"/>
      <c r="Y874" s="18"/>
      <c r="Z874" s="18"/>
    </row>
    <row r="875">
      <c r="U875" s="97"/>
      <c r="Y875" s="18"/>
      <c r="Z875" s="18"/>
    </row>
    <row r="876">
      <c r="U876" s="97"/>
      <c r="Y876" s="18"/>
      <c r="Z876" s="18"/>
    </row>
    <row r="877">
      <c r="U877" s="97"/>
      <c r="Y877" s="18"/>
      <c r="Z877" s="18"/>
    </row>
    <row r="878">
      <c r="U878" s="97"/>
      <c r="Y878" s="18"/>
      <c r="Z878" s="18"/>
    </row>
    <row r="879">
      <c r="U879" s="97"/>
      <c r="Y879" s="18"/>
      <c r="Z879" s="18"/>
    </row>
    <row r="880">
      <c r="U880" s="97"/>
      <c r="Y880" s="18"/>
      <c r="Z880" s="18"/>
    </row>
    <row r="881">
      <c r="U881" s="97"/>
      <c r="Y881" s="18"/>
      <c r="Z881" s="18"/>
    </row>
    <row r="882">
      <c r="U882" s="97"/>
      <c r="Y882" s="18"/>
      <c r="Z882" s="18"/>
    </row>
    <row r="883">
      <c r="U883" s="97"/>
      <c r="Y883" s="18"/>
      <c r="Z883" s="18"/>
    </row>
    <row r="884">
      <c r="U884" s="97"/>
      <c r="Y884" s="18"/>
      <c r="Z884" s="18"/>
    </row>
    <row r="885">
      <c r="U885" s="97"/>
      <c r="Y885" s="18"/>
      <c r="Z885" s="18"/>
    </row>
    <row r="886">
      <c r="U886" s="97"/>
      <c r="Y886" s="18"/>
      <c r="Z886" s="18"/>
    </row>
    <row r="887">
      <c r="U887" s="97"/>
      <c r="Y887" s="18"/>
      <c r="Z887" s="18"/>
    </row>
    <row r="888">
      <c r="U888" s="97"/>
      <c r="Y888" s="18"/>
      <c r="Z888" s="18"/>
    </row>
    <row r="889">
      <c r="U889" s="97"/>
      <c r="Y889" s="18"/>
      <c r="Z889" s="18"/>
    </row>
    <row r="890">
      <c r="U890" s="97"/>
      <c r="Y890" s="18"/>
      <c r="Z890" s="18"/>
    </row>
    <row r="891">
      <c r="U891" s="97"/>
      <c r="Y891" s="18"/>
      <c r="Z891" s="18"/>
    </row>
    <row r="892">
      <c r="U892" s="97"/>
      <c r="Y892" s="18"/>
      <c r="Z892" s="18"/>
    </row>
    <row r="893">
      <c r="U893" s="97"/>
      <c r="Y893" s="18"/>
      <c r="Z893" s="18"/>
    </row>
    <row r="894">
      <c r="U894" s="97"/>
      <c r="Y894" s="18"/>
      <c r="Z894" s="18"/>
    </row>
    <row r="895">
      <c r="U895" s="97"/>
      <c r="Y895" s="18"/>
      <c r="Z895" s="18"/>
    </row>
    <row r="896">
      <c r="U896" s="97"/>
      <c r="Y896" s="18"/>
      <c r="Z896" s="18"/>
    </row>
    <row r="897">
      <c r="U897" s="97"/>
      <c r="Y897" s="18"/>
      <c r="Z897" s="18"/>
    </row>
    <row r="898">
      <c r="U898" s="97"/>
      <c r="Y898" s="18"/>
      <c r="Z898" s="18"/>
    </row>
    <row r="899">
      <c r="U899" s="97"/>
      <c r="Y899" s="18"/>
      <c r="Z899" s="18"/>
    </row>
    <row r="900">
      <c r="U900" s="97"/>
      <c r="Y900" s="18"/>
      <c r="Z900" s="18"/>
    </row>
    <row r="901">
      <c r="U901" s="97"/>
      <c r="Y901" s="18"/>
      <c r="Z901" s="18"/>
    </row>
    <row r="902">
      <c r="U902" s="97"/>
      <c r="Y902" s="18"/>
      <c r="Z902" s="18"/>
    </row>
    <row r="903">
      <c r="U903" s="97"/>
      <c r="Y903" s="18"/>
      <c r="Z903" s="18"/>
    </row>
    <row r="904">
      <c r="U904" s="97"/>
      <c r="Y904" s="18"/>
      <c r="Z904" s="18"/>
    </row>
    <row r="905">
      <c r="U905" s="97"/>
      <c r="Y905" s="18"/>
      <c r="Z905" s="18"/>
    </row>
    <row r="906">
      <c r="U906" s="97"/>
      <c r="Y906" s="18"/>
      <c r="Z906" s="18"/>
    </row>
    <row r="907">
      <c r="U907" s="97"/>
      <c r="Y907" s="18"/>
      <c r="Z907" s="18"/>
    </row>
    <row r="908">
      <c r="U908" s="97"/>
      <c r="Y908" s="18"/>
      <c r="Z908" s="18"/>
    </row>
    <row r="909">
      <c r="U909" s="97"/>
      <c r="Y909" s="18"/>
      <c r="Z909" s="18"/>
    </row>
    <row r="910">
      <c r="U910" s="97"/>
      <c r="Y910" s="18"/>
      <c r="Z910" s="18"/>
    </row>
    <row r="911">
      <c r="U911" s="97"/>
      <c r="Y911" s="18"/>
      <c r="Z911" s="18"/>
    </row>
    <row r="912">
      <c r="U912" s="97"/>
      <c r="Y912" s="18"/>
      <c r="Z912" s="18"/>
    </row>
    <row r="913">
      <c r="U913" s="97"/>
      <c r="Y913" s="18"/>
      <c r="Z913" s="18"/>
    </row>
    <row r="914">
      <c r="U914" s="97"/>
      <c r="Y914" s="18"/>
      <c r="Z914" s="18"/>
    </row>
    <row r="915">
      <c r="U915" s="97"/>
      <c r="Y915" s="18"/>
      <c r="Z915" s="18"/>
    </row>
    <row r="916">
      <c r="U916" s="97"/>
      <c r="Y916" s="18"/>
      <c r="Z916" s="18"/>
    </row>
    <row r="917">
      <c r="U917" s="97"/>
      <c r="Y917" s="18"/>
      <c r="Z917" s="18"/>
    </row>
    <row r="918">
      <c r="U918" s="97"/>
      <c r="Y918" s="18"/>
      <c r="Z918" s="18"/>
    </row>
    <row r="919">
      <c r="U919" s="97"/>
      <c r="Y919" s="18"/>
      <c r="Z919" s="18"/>
    </row>
    <row r="920">
      <c r="U920" s="97"/>
      <c r="Y920" s="18"/>
      <c r="Z920" s="18"/>
    </row>
    <row r="921">
      <c r="U921" s="97"/>
      <c r="Y921" s="18"/>
      <c r="Z921" s="18"/>
    </row>
    <row r="922">
      <c r="U922" s="97"/>
      <c r="Y922" s="18"/>
      <c r="Z922" s="18"/>
    </row>
    <row r="923">
      <c r="U923" s="97"/>
      <c r="Y923" s="18"/>
      <c r="Z923" s="18"/>
    </row>
    <row r="924">
      <c r="U924" s="97"/>
      <c r="Y924" s="18"/>
      <c r="Z924" s="18"/>
    </row>
    <row r="925">
      <c r="U925" s="97"/>
      <c r="Y925" s="18"/>
      <c r="Z925" s="18"/>
    </row>
    <row r="926">
      <c r="U926" s="97"/>
      <c r="Y926" s="18"/>
      <c r="Z926" s="18"/>
    </row>
    <row r="927">
      <c r="U927" s="97"/>
      <c r="Y927" s="18"/>
      <c r="Z927" s="18"/>
    </row>
    <row r="928">
      <c r="U928" s="97"/>
      <c r="Y928" s="18"/>
      <c r="Z928" s="18"/>
    </row>
    <row r="929">
      <c r="U929" s="97"/>
      <c r="Y929" s="18"/>
      <c r="Z929" s="18"/>
    </row>
    <row r="930">
      <c r="U930" s="97"/>
      <c r="Y930" s="18"/>
      <c r="Z930" s="18"/>
    </row>
    <row r="931">
      <c r="U931" s="97"/>
      <c r="Y931" s="18"/>
      <c r="Z931" s="18"/>
    </row>
    <row r="932">
      <c r="U932" s="97"/>
      <c r="Y932" s="18"/>
      <c r="Z932" s="18"/>
    </row>
    <row r="933">
      <c r="U933" s="97"/>
      <c r="Y933" s="18"/>
      <c r="Z933" s="18"/>
    </row>
    <row r="934">
      <c r="U934" s="97"/>
      <c r="Y934" s="18"/>
      <c r="Z934" s="18"/>
    </row>
    <row r="935">
      <c r="U935" s="97"/>
      <c r="Y935" s="18"/>
      <c r="Z935" s="18"/>
    </row>
    <row r="936">
      <c r="U936" s="97"/>
      <c r="Y936" s="18"/>
      <c r="Z936" s="18"/>
    </row>
    <row r="937">
      <c r="U937" s="97"/>
      <c r="Y937" s="18"/>
      <c r="Z937" s="18"/>
    </row>
    <row r="938">
      <c r="U938" s="97"/>
      <c r="Y938" s="18"/>
      <c r="Z938" s="18"/>
    </row>
    <row r="939">
      <c r="U939" s="97"/>
      <c r="Y939" s="18"/>
      <c r="Z939" s="18"/>
    </row>
    <row r="940">
      <c r="U940" s="97"/>
      <c r="Y940" s="18"/>
      <c r="Z940" s="18"/>
    </row>
    <row r="941">
      <c r="U941" s="97"/>
      <c r="Y941" s="18"/>
      <c r="Z941" s="18"/>
    </row>
    <row r="942">
      <c r="U942" s="97"/>
      <c r="Y942" s="18"/>
      <c r="Z942" s="18"/>
    </row>
    <row r="943">
      <c r="U943" s="97"/>
      <c r="Y943" s="18"/>
      <c r="Z943" s="18"/>
    </row>
    <row r="944">
      <c r="U944" s="97"/>
      <c r="Y944" s="18"/>
      <c r="Z944" s="18"/>
    </row>
    <row r="945">
      <c r="U945" s="97"/>
      <c r="Y945" s="18"/>
      <c r="Z945" s="18"/>
    </row>
    <row r="946">
      <c r="U946" s="97"/>
      <c r="Y946" s="18"/>
      <c r="Z946" s="18"/>
    </row>
    <row r="947">
      <c r="U947" s="97"/>
      <c r="Y947" s="18"/>
      <c r="Z947" s="18"/>
    </row>
    <row r="948">
      <c r="U948" s="97"/>
      <c r="Y948" s="18"/>
      <c r="Z948" s="18"/>
    </row>
    <row r="949">
      <c r="U949" s="97"/>
      <c r="Y949" s="18"/>
      <c r="Z949" s="18"/>
    </row>
    <row r="950">
      <c r="U950" s="97"/>
      <c r="Y950" s="18"/>
      <c r="Z950" s="18"/>
    </row>
    <row r="951">
      <c r="U951" s="97"/>
      <c r="Y951" s="18"/>
      <c r="Z951" s="18"/>
    </row>
    <row r="952">
      <c r="U952" s="97"/>
      <c r="Y952" s="18"/>
      <c r="Z952" s="18"/>
    </row>
    <row r="953">
      <c r="U953" s="97"/>
      <c r="Y953" s="18"/>
      <c r="Z953" s="18"/>
    </row>
    <row r="954">
      <c r="U954" s="97"/>
      <c r="Y954" s="18"/>
      <c r="Z954" s="18"/>
    </row>
    <row r="955">
      <c r="U955" s="97"/>
      <c r="Y955" s="18"/>
      <c r="Z955" s="18"/>
    </row>
    <row r="956">
      <c r="U956" s="97"/>
      <c r="Y956" s="18"/>
      <c r="Z956" s="18"/>
    </row>
    <row r="957">
      <c r="U957" s="97"/>
      <c r="Y957" s="18"/>
      <c r="Z957" s="18"/>
    </row>
    <row r="958">
      <c r="U958" s="97"/>
      <c r="Y958" s="18"/>
      <c r="Z958" s="18"/>
    </row>
    <row r="959">
      <c r="U959" s="97"/>
      <c r="Y959" s="18"/>
      <c r="Z959" s="18"/>
    </row>
    <row r="960">
      <c r="U960" s="97"/>
      <c r="Y960" s="18"/>
      <c r="Z960" s="18"/>
    </row>
    <row r="961">
      <c r="U961" s="97"/>
      <c r="Y961" s="18"/>
      <c r="Z961" s="18"/>
    </row>
    <row r="962">
      <c r="U962" s="97"/>
      <c r="Y962" s="18"/>
      <c r="Z962" s="18"/>
    </row>
    <row r="963">
      <c r="U963" s="97"/>
      <c r="Y963" s="18"/>
      <c r="Z963" s="18"/>
    </row>
    <row r="964">
      <c r="U964" s="97"/>
      <c r="Y964" s="18"/>
      <c r="Z964" s="18"/>
    </row>
    <row r="965">
      <c r="U965" s="97"/>
      <c r="Y965" s="18"/>
      <c r="Z965" s="18"/>
    </row>
    <row r="966">
      <c r="U966" s="97"/>
      <c r="Y966" s="18"/>
      <c r="Z966" s="18"/>
    </row>
    <row r="967">
      <c r="U967" s="97"/>
      <c r="Y967" s="18"/>
      <c r="Z967" s="18"/>
    </row>
    <row r="968">
      <c r="U968" s="97"/>
      <c r="Y968" s="18"/>
      <c r="Z968" s="18"/>
    </row>
    <row r="969">
      <c r="U969" s="97"/>
      <c r="Y969" s="18"/>
      <c r="Z969" s="18"/>
    </row>
    <row r="970">
      <c r="U970" s="97"/>
      <c r="Y970" s="18"/>
      <c r="Z970" s="18"/>
    </row>
    <row r="971">
      <c r="U971" s="97"/>
      <c r="Y971" s="18"/>
      <c r="Z971" s="18"/>
    </row>
    <row r="972">
      <c r="U972" s="97"/>
      <c r="Y972" s="18"/>
      <c r="Z972" s="18"/>
    </row>
    <row r="973">
      <c r="U973" s="97"/>
      <c r="Y973" s="18"/>
      <c r="Z973" s="18"/>
    </row>
    <row r="974">
      <c r="U974" s="97"/>
      <c r="Y974" s="18"/>
      <c r="Z974" s="18"/>
    </row>
    <row r="975">
      <c r="U975" s="97"/>
      <c r="Y975" s="18"/>
      <c r="Z975" s="18"/>
    </row>
    <row r="976">
      <c r="U976" s="97"/>
      <c r="Y976" s="18"/>
      <c r="Z976" s="18"/>
    </row>
    <row r="977">
      <c r="U977" s="97"/>
      <c r="Y977" s="18"/>
      <c r="Z977" s="18"/>
    </row>
    <row r="978">
      <c r="U978" s="97"/>
      <c r="Y978" s="18"/>
      <c r="Z978" s="18"/>
    </row>
    <row r="979">
      <c r="U979" s="97"/>
      <c r="Y979" s="18"/>
      <c r="Z979" s="18"/>
    </row>
    <row r="980">
      <c r="U980" s="97"/>
      <c r="Y980" s="18"/>
      <c r="Z980" s="18"/>
    </row>
    <row r="981">
      <c r="U981" s="97"/>
      <c r="Y981" s="18"/>
      <c r="Z981" s="18"/>
    </row>
    <row r="982">
      <c r="U982" s="97"/>
      <c r="Y982" s="18"/>
      <c r="Z982" s="18"/>
    </row>
    <row r="983">
      <c r="U983" s="97"/>
      <c r="Y983" s="18"/>
      <c r="Z983" s="18"/>
    </row>
    <row r="984">
      <c r="U984" s="97"/>
      <c r="Y984" s="18"/>
      <c r="Z984" s="18"/>
    </row>
    <row r="985">
      <c r="U985" s="97"/>
      <c r="Y985" s="18"/>
      <c r="Z985" s="18"/>
    </row>
    <row r="986">
      <c r="U986" s="97"/>
      <c r="Y986" s="18"/>
      <c r="Z986" s="18"/>
    </row>
    <row r="987">
      <c r="U987" s="97"/>
      <c r="Y987" s="18"/>
      <c r="Z987" s="18"/>
    </row>
    <row r="988">
      <c r="U988" s="97"/>
      <c r="Y988" s="18"/>
      <c r="Z988" s="18"/>
    </row>
    <row r="989">
      <c r="U989" s="97"/>
      <c r="Y989" s="18"/>
      <c r="Z989" s="18"/>
    </row>
    <row r="990">
      <c r="U990" s="97"/>
      <c r="Y990" s="18"/>
      <c r="Z990" s="18"/>
    </row>
    <row r="991">
      <c r="U991" s="97"/>
      <c r="Y991" s="18"/>
      <c r="Z991" s="18"/>
    </row>
    <row r="992">
      <c r="U992" s="97"/>
      <c r="Y992" s="18"/>
      <c r="Z992" s="18"/>
    </row>
    <row r="993">
      <c r="U993" s="97"/>
      <c r="Y993" s="18"/>
      <c r="Z993" s="18"/>
    </row>
    <row r="994">
      <c r="U994" s="97"/>
      <c r="Y994" s="18"/>
      <c r="Z994" s="18"/>
    </row>
    <row r="995">
      <c r="U995" s="97"/>
      <c r="Y995" s="18"/>
      <c r="Z995" s="18"/>
    </row>
    <row r="996">
      <c r="U996" s="97"/>
      <c r="Y996" s="18"/>
      <c r="Z996" s="18"/>
    </row>
    <row r="997">
      <c r="U997" s="97"/>
      <c r="Y997" s="18"/>
      <c r="Z997" s="18"/>
    </row>
    <row r="998">
      <c r="U998" s="97"/>
      <c r="Y998" s="18"/>
      <c r="Z998" s="18"/>
    </row>
    <row r="999">
      <c r="U999" s="97"/>
      <c r="Y999" s="18"/>
      <c r="Z999" s="18"/>
    </row>
  </sheetData>
  <autoFilter ref="$A$1:$AV$14">
    <sortState ref="A1:AV14">
      <sortCondition descending="1" ref="AB1:AB14"/>
      <sortCondition descending="1" ref="W1:W14"/>
      <sortCondition descending="1" ref="V1:V14"/>
      <sortCondition descending="1" ref="AF1:AF14"/>
    </sortState>
  </autoFilter>
  <conditionalFormatting sqref="S2:S999">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3" max="3" width="65.38"/>
    <col customWidth="1" min="5" max="5" width="19.5"/>
    <col customWidth="1" min="6" max="6" width="23.63"/>
    <col customWidth="1" min="12" max="17" width="13.25"/>
    <col customWidth="1" min="18" max="18" width="10.13"/>
    <col customWidth="1" min="19" max="19" width="25.25"/>
    <col customWidth="1" min="20" max="20" width="65.38"/>
    <col customWidth="1" min="21" max="21" width="54.25"/>
  </cols>
  <sheetData>
    <row r="1">
      <c r="A1" s="98"/>
      <c r="B1" s="98"/>
      <c r="C1" s="98"/>
      <c r="D1" s="99" t="s">
        <v>115</v>
      </c>
      <c r="K1" s="100"/>
      <c r="L1" s="101" t="s">
        <v>116</v>
      </c>
      <c r="R1" s="98"/>
      <c r="S1" s="98"/>
      <c r="T1" s="98"/>
      <c r="U1" s="98"/>
    </row>
    <row r="2">
      <c r="A2" s="102" t="s">
        <v>117</v>
      </c>
      <c r="B2" s="102" t="s">
        <v>118</v>
      </c>
      <c r="C2" s="102" t="s">
        <v>119</v>
      </c>
      <c r="D2" s="103" t="s">
        <v>3</v>
      </c>
      <c r="E2" s="104" t="s">
        <v>120</v>
      </c>
      <c r="F2" s="104" t="s">
        <v>121</v>
      </c>
      <c r="G2" s="105" t="s">
        <v>122</v>
      </c>
      <c r="H2" s="103" t="s">
        <v>123</v>
      </c>
      <c r="I2" s="104" t="s">
        <v>124</v>
      </c>
      <c r="J2" s="104" t="s">
        <v>125</v>
      </c>
      <c r="K2" s="105" t="s">
        <v>126</v>
      </c>
      <c r="L2" s="106" t="s">
        <v>127</v>
      </c>
      <c r="M2" s="106" t="s">
        <v>19</v>
      </c>
      <c r="N2" s="107" t="s">
        <v>20</v>
      </c>
      <c r="O2" s="108" t="s">
        <v>128</v>
      </c>
      <c r="P2" s="108" t="s">
        <v>129</v>
      </c>
      <c r="Q2" s="108" t="s">
        <v>130</v>
      </c>
      <c r="R2" s="102" t="s">
        <v>131</v>
      </c>
      <c r="S2" s="102" t="s">
        <v>132</v>
      </c>
      <c r="T2" s="102" t="s">
        <v>133</v>
      </c>
      <c r="U2" s="102" t="s">
        <v>134</v>
      </c>
      <c r="W2" s="109" t="s">
        <v>135</v>
      </c>
    </row>
    <row r="3" ht="108.0" customHeight="1">
      <c r="A3" s="46" t="s">
        <v>82</v>
      </c>
      <c r="B3" s="110">
        <v>45418.0</v>
      </c>
      <c r="C3" s="85"/>
      <c r="D3" s="111">
        <v>768.0</v>
      </c>
      <c r="E3" s="112"/>
      <c r="F3" s="113"/>
      <c r="G3" s="114"/>
      <c r="H3" s="113"/>
      <c r="I3" s="113"/>
      <c r="J3" s="113"/>
      <c r="K3" s="113"/>
      <c r="L3" s="115"/>
      <c r="M3" s="115"/>
      <c r="N3" s="116">
        <f>M3/D3</f>
        <v>0</v>
      </c>
      <c r="O3" s="117">
        <v>17.31</v>
      </c>
      <c r="P3" s="117" t="s">
        <v>96</v>
      </c>
      <c r="Q3" s="117">
        <v>31.38</v>
      </c>
      <c r="R3" s="66" t="s">
        <v>136</v>
      </c>
      <c r="S3" s="118"/>
      <c r="T3" s="118" t="s">
        <v>137</v>
      </c>
      <c r="U3" s="119" t="s">
        <v>138</v>
      </c>
    </row>
    <row r="4" ht="108.0" customHeight="1">
      <c r="A4" s="46" t="s">
        <v>71</v>
      </c>
      <c r="B4" s="110">
        <v>45418.0</v>
      </c>
      <c r="C4" s="85"/>
      <c r="D4" s="111">
        <v>768.0</v>
      </c>
      <c r="E4" s="120"/>
      <c r="F4" s="113"/>
      <c r="G4" s="114"/>
      <c r="H4" s="113"/>
      <c r="I4" s="113"/>
      <c r="J4" s="113"/>
      <c r="K4" s="113"/>
      <c r="L4" s="115"/>
      <c r="M4" s="115"/>
      <c r="N4" s="116"/>
      <c r="O4" s="121">
        <v>182.82</v>
      </c>
      <c r="P4" s="121">
        <v>46.72</v>
      </c>
      <c r="Q4" s="121">
        <v>47.49</v>
      </c>
      <c r="R4" s="66" t="s">
        <v>136</v>
      </c>
      <c r="S4" s="118"/>
      <c r="T4" s="118" t="s">
        <v>139</v>
      </c>
      <c r="U4" s="122" t="s">
        <v>140</v>
      </c>
    </row>
    <row r="5" ht="42.0" customHeight="1">
      <c r="A5" s="123" t="s">
        <v>100</v>
      </c>
      <c r="B5" s="110">
        <v>45419.0</v>
      </c>
      <c r="C5" s="85"/>
      <c r="D5" s="111">
        <v>1536.0</v>
      </c>
      <c r="E5" s="124"/>
      <c r="F5" s="113"/>
      <c r="G5" s="114"/>
      <c r="H5" s="84">
        <v>6293.0</v>
      </c>
      <c r="I5" s="84">
        <v>7557.0</v>
      </c>
      <c r="J5" s="84">
        <v>11448.0</v>
      </c>
      <c r="K5" s="125">
        <f t="shared" ref="K5:K10" si="1">H5/I5</f>
        <v>0.8327378589</v>
      </c>
      <c r="L5" s="68">
        <v>152.0</v>
      </c>
      <c r="M5" s="68">
        <v>800.0</v>
      </c>
      <c r="N5" s="116">
        <f t="shared" ref="N5:N10" si="2">M5/D5</f>
        <v>0.5208333333</v>
      </c>
      <c r="O5" s="60">
        <v>9.87</v>
      </c>
      <c r="P5" s="60">
        <v>9.28</v>
      </c>
      <c r="Q5" s="60">
        <v>5.52</v>
      </c>
      <c r="R5" s="66" t="s">
        <v>136</v>
      </c>
      <c r="S5" s="126">
        <v>45543.0</v>
      </c>
      <c r="T5" s="127"/>
      <c r="U5" s="123" t="s">
        <v>141</v>
      </c>
    </row>
    <row r="6" ht="52.5" customHeight="1">
      <c r="A6" s="128" t="s">
        <v>59</v>
      </c>
      <c r="B6" s="129">
        <v>45419.0</v>
      </c>
      <c r="C6" s="85"/>
      <c r="D6" s="111">
        <v>2304.0</v>
      </c>
      <c r="E6" s="130"/>
      <c r="F6" s="44"/>
      <c r="G6" s="114"/>
      <c r="H6" s="84">
        <v>5361.0</v>
      </c>
      <c r="I6" s="84">
        <v>5992.0</v>
      </c>
      <c r="J6" s="84">
        <v>10227.0</v>
      </c>
      <c r="K6" s="125">
        <f t="shared" si="1"/>
        <v>0.8946929239</v>
      </c>
      <c r="L6" s="115">
        <v>83.0</v>
      </c>
      <c r="M6" s="115">
        <v>1414.0</v>
      </c>
      <c r="N6" s="116">
        <f t="shared" si="2"/>
        <v>0.6137152778</v>
      </c>
      <c r="O6" s="117" t="s">
        <v>142</v>
      </c>
      <c r="P6" s="131"/>
      <c r="Q6" s="117" t="s">
        <v>143</v>
      </c>
      <c r="R6" s="66" t="s">
        <v>136</v>
      </c>
      <c r="S6" s="126">
        <v>45543.0</v>
      </c>
      <c r="T6" s="127"/>
      <c r="U6" s="123" t="s">
        <v>144</v>
      </c>
    </row>
    <row r="7">
      <c r="A7" s="46" t="s">
        <v>87</v>
      </c>
      <c r="B7" s="110">
        <v>45419.0</v>
      </c>
      <c r="C7" s="85"/>
      <c r="D7" s="22">
        <v>2304.0</v>
      </c>
      <c r="E7" s="130"/>
      <c r="F7" s="113"/>
      <c r="G7" s="114"/>
      <c r="H7" s="44">
        <v>3139.0</v>
      </c>
      <c r="I7" s="44">
        <v>3346.0</v>
      </c>
      <c r="J7" s="44">
        <v>6908.0</v>
      </c>
      <c r="K7" s="132">
        <f t="shared" si="1"/>
        <v>0.9381350867</v>
      </c>
      <c r="L7" s="115">
        <v>208.0</v>
      </c>
      <c r="M7" s="115">
        <v>850.0</v>
      </c>
      <c r="N7" s="116">
        <f t="shared" si="2"/>
        <v>0.3689236111</v>
      </c>
      <c r="O7" s="115">
        <v>1.54</v>
      </c>
      <c r="P7" s="115">
        <v>1.23</v>
      </c>
      <c r="Q7" s="115">
        <v>2.39</v>
      </c>
      <c r="R7" s="66" t="s">
        <v>145</v>
      </c>
      <c r="S7" s="127"/>
      <c r="T7" s="127"/>
      <c r="U7" s="123" t="s">
        <v>146</v>
      </c>
    </row>
    <row r="8">
      <c r="A8" s="46" t="s">
        <v>93</v>
      </c>
      <c r="B8" s="133">
        <v>45467.0</v>
      </c>
      <c r="C8" s="85"/>
      <c r="D8" s="22">
        <v>768.0</v>
      </c>
      <c r="E8" s="124"/>
      <c r="F8" s="113"/>
      <c r="G8" s="114"/>
      <c r="H8" s="44">
        <v>2678.0</v>
      </c>
      <c r="I8" s="44">
        <v>3456.0</v>
      </c>
      <c r="J8" s="44">
        <v>6558.0</v>
      </c>
      <c r="K8" s="132">
        <f t="shared" si="1"/>
        <v>0.7748842593</v>
      </c>
      <c r="L8" s="115">
        <v>168.0</v>
      </c>
      <c r="M8" s="115">
        <v>386.0</v>
      </c>
      <c r="N8" s="116">
        <f t="shared" si="2"/>
        <v>0.5026041667</v>
      </c>
      <c r="O8" s="134">
        <v>45292.0</v>
      </c>
      <c r="P8" s="134">
        <v>45327.0</v>
      </c>
      <c r="Q8" s="117">
        <v>10.7</v>
      </c>
      <c r="R8" s="66" t="s">
        <v>136</v>
      </c>
      <c r="S8" s="126">
        <v>45543.0</v>
      </c>
      <c r="T8" s="127"/>
      <c r="U8" s="135" t="s">
        <v>147</v>
      </c>
    </row>
    <row r="9" ht="55.5" customHeight="1">
      <c r="A9" s="46" t="s">
        <v>82</v>
      </c>
      <c r="B9" s="133">
        <v>45498.0</v>
      </c>
      <c r="C9" s="136" t="s">
        <v>148</v>
      </c>
      <c r="D9" s="22">
        <v>1152.0</v>
      </c>
      <c r="E9" s="130"/>
      <c r="F9" s="137" t="s">
        <v>149</v>
      </c>
      <c r="G9" s="138"/>
      <c r="H9" s="139">
        <v>5243.0</v>
      </c>
      <c r="I9" s="139">
        <v>6119.0</v>
      </c>
      <c r="J9" s="139">
        <v>8205.0</v>
      </c>
      <c r="K9" s="132">
        <f t="shared" si="1"/>
        <v>0.8568393528</v>
      </c>
      <c r="L9" s="68">
        <v>130.0</v>
      </c>
      <c r="M9" s="68">
        <v>38.0</v>
      </c>
      <c r="N9" s="116">
        <f t="shared" si="2"/>
        <v>0.03298611111</v>
      </c>
      <c r="O9" s="60">
        <v>-0.13</v>
      </c>
      <c r="P9" s="140">
        <v>2.16</v>
      </c>
      <c r="Q9" s="140">
        <v>2.27</v>
      </c>
      <c r="R9" s="66" t="s">
        <v>145</v>
      </c>
      <c r="S9" s="136"/>
      <c r="T9" s="136"/>
      <c r="U9" s="123" t="s">
        <v>150</v>
      </c>
    </row>
    <row r="10" ht="49.5" customHeight="1">
      <c r="A10" s="46" t="s">
        <v>77</v>
      </c>
      <c r="B10" s="133">
        <v>45498.0</v>
      </c>
      <c r="C10" s="136" t="s">
        <v>151</v>
      </c>
      <c r="D10" s="22">
        <v>1152.0</v>
      </c>
      <c r="E10" s="130"/>
      <c r="F10" s="137" t="s">
        <v>149</v>
      </c>
      <c r="G10" s="138"/>
      <c r="H10" s="139">
        <v>4787.0</v>
      </c>
      <c r="I10" s="139">
        <v>5496.0</v>
      </c>
      <c r="J10" s="139">
        <v>8328.0</v>
      </c>
      <c r="K10" s="132">
        <f t="shared" si="1"/>
        <v>0.8709970888</v>
      </c>
      <c r="L10" s="68">
        <v>119.0</v>
      </c>
      <c r="M10" s="68">
        <v>665.0</v>
      </c>
      <c r="N10" s="116">
        <f t="shared" si="2"/>
        <v>0.5772569444</v>
      </c>
      <c r="O10" s="141">
        <v>45509.0</v>
      </c>
      <c r="P10" s="141">
        <v>45537.0</v>
      </c>
      <c r="Q10" s="140">
        <v>7.7</v>
      </c>
      <c r="R10" s="123" t="s">
        <v>136</v>
      </c>
      <c r="S10" s="126">
        <v>45543.0</v>
      </c>
      <c r="T10" s="136"/>
      <c r="U10" s="38" t="s">
        <v>152</v>
      </c>
    </row>
    <row r="11" ht="49.5" customHeight="1">
      <c r="A11" s="123" t="s">
        <v>100</v>
      </c>
      <c r="B11" s="142">
        <v>45502.0</v>
      </c>
      <c r="C11" s="136" t="s">
        <v>153</v>
      </c>
      <c r="D11" s="22">
        <v>1728.0</v>
      </c>
      <c r="E11" s="130"/>
      <c r="F11" s="137" t="s">
        <v>154</v>
      </c>
      <c r="G11" s="138" t="s">
        <v>155</v>
      </c>
      <c r="H11" s="143"/>
      <c r="I11" s="143"/>
      <c r="J11" s="143"/>
      <c r="K11" s="143"/>
      <c r="L11" s="68"/>
      <c r="M11" s="68"/>
      <c r="N11" s="79"/>
      <c r="O11" s="60">
        <v>11.2</v>
      </c>
      <c r="P11" s="60">
        <v>5.5</v>
      </c>
      <c r="Q11" s="60">
        <v>8.9</v>
      </c>
      <c r="R11" s="123" t="s">
        <v>136</v>
      </c>
      <c r="S11" s="136"/>
      <c r="T11" s="136" t="s">
        <v>156</v>
      </c>
      <c r="U11" s="123" t="s">
        <v>157</v>
      </c>
    </row>
    <row r="12" ht="73.5" customHeight="1">
      <c r="A12" s="123" t="s">
        <v>71</v>
      </c>
      <c r="B12" s="142">
        <v>45504.0</v>
      </c>
      <c r="C12" s="136" t="s">
        <v>158</v>
      </c>
      <c r="D12" s="22">
        <v>1536.0</v>
      </c>
      <c r="E12" s="130"/>
      <c r="F12" s="137" t="s">
        <v>159</v>
      </c>
      <c r="G12" s="138" t="s">
        <v>160</v>
      </c>
      <c r="H12" s="44">
        <v>5971.0</v>
      </c>
      <c r="I12" s="44">
        <v>6762.0</v>
      </c>
      <c r="J12" s="44">
        <v>11025.0</v>
      </c>
      <c r="K12" s="132">
        <f>H12/I12</f>
        <v>0.8830227743</v>
      </c>
      <c r="L12" s="68">
        <v>130.0</v>
      </c>
      <c r="M12" s="68">
        <v>584.0</v>
      </c>
      <c r="N12" s="116">
        <f t="shared" ref="N12:N20" si="3">M12/D12</f>
        <v>0.3802083333</v>
      </c>
      <c r="O12" s="60" t="s">
        <v>161</v>
      </c>
      <c r="P12" s="141">
        <v>45448.0</v>
      </c>
      <c r="Q12" s="140">
        <v>4.9</v>
      </c>
      <c r="R12" s="123" t="s">
        <v>145</v>
      </c>
      <c r="S12" s="136"/>
      <c r="T12" s="136" t="s">
        <v>162</v>
      </c>
      <c r="U12" s="123" t="s">
        <v>163</v>
      </c>
    </row>
    <row r="13" ht="96.0" customHeight="1">
      <c r="A13" s="46" t="s">
        <v>82</v>
      </c>
      <c r="B13" s="144">
        <v>45537.0</v>
      </c>
      <c r="C13" s="145" t="s">
        <v>164</v>
      </c>
      <c r="D13" s="22">
        <v>3072.0</v>
      </c>
      <c r="E13" s="146"/>
      <c r="F13" s="137" t="s">
        <v>165</v>
      </c>
      <c r="G13" s="138" t="s">
        <v>166</v>
      </c>
      <c r="H13" s="143"/>
      <c r="I13" s="143"/>
      <c r="J13" s="143"/>
      <c r="K13" s="143"/>
      <c r="L13" s="68">
        <v>130.0</v>
      </c>
      <c r="M13" s="68">
        <v>140.0</v>
      </c>
      <c r="N13" s="116">
        <f t="shared" si="3"/>
        <v>0.04557291667</v>
      </c>
      <c r="O13" s="60">
        <v>0.34</v>
      </c>
      <c r="P13" s="60">
        <v>5.14</v>
      </c>
      <c r="Q13" s="60">
        <v>3.34</v>
      </c>
      <c r="R13" s="66" t="s">
        <v>136</v>
      </c>
      <c r="S13" s="147"/>
      <c r="T13" s="147" t="s">
        <v>167</v>
      </c>
      <c r="U13" s="148"/>
    </row>
    <row r="14" ht="55.5" customHeight="1">
      <c r="A14" s="46" t="s">
        <v>82</v>
      </c>
      <c r="B14" s="144">
        <v>45539.0</v>
      </c>
      <c r="C14" s="149" t="s">
        <v>168</v>
      </c>
      <c r="D14" s="22">
        <v>288.0</v>
      </c>
      <c r="E14" s="124"/>
      <c r="F14" s="137" t="s">
        <v>169</v>
      </c>
      <c r="G14" s="150" t="s">
        <v>170</v>
      </c>
      <c r="H14" s="151"/>
      <c r="I14" s="151"/>
      <c r="J14" s="151"/>
      <c r="K14" s="151"/>
      <c r="L14" s="68">
        <v>130.0</v>
      </c>
      <c r="M14" s="28">
        <v>6.0</v>
      </c>
      <c r="N14" s="152">
        <f t="shared" si="3"/>
        <v>0.02083333333</v>
      </c>
      <c r="O14" s="30">
        <v>-0.01</v>
      </c>
      <c r="P14" s="30">
        <v>0.0</v>
      </c>
      <c r="Q14" s="30">
        <v>0.01</v>
      </c>
      <c r="R14" s="66" t="s">
        <v>136</v>
      </c>
      <c r="S14" s="153"/>
      <c r="T14" s="153" t="s">
        <v>171</v>
      </c>
      <c r="U14" s="154"/>
    </row>
    <row r="15" ht="86.25" customHeight="1">
      <c r="A15" s="155" t="s">
        <v>71</v>
      </c>
      <c r="B15" s="133">
        <v>45540.0</v>
      </c>
      <c r="C15" s="149" t="s">
        <v>172</v>
      </c>
      <c r="D15" s="22">
        <v>1296.0</v>
      </c>
      <c r="E15" s="124"/>
      <c r="F15" s="137" t="s">
        <v>173</v>
      </c>
      <c r="G15" s="138" t="s">
        <v>174</v>
      </c>
      <c r="H15" s="143"/>
      <c r="I15" s="143"/>
      <c r="J15" s="143"/>
      <c r="K15" s="143"/>
      <c r="L15" s="68">
        <v>130.0</v>
      </c>
      <c r="M15" s="68">
        <v>502.0</v>
      </c>
      <c r="N15" s="116">
        <f t="shared" si="3"/>
        <v>0.387345679</v>
      </c>
      <c r="O15" s="60">
        <v>21.46</v>
      </c>
      <c r="P15" s="60">
        <v>4.35</v>
      </c>
      <c r="Q15" s="60">
        <v>3.87</v>
      </c>
      <c r="R15" s="75" t="s">
        <v>136</v>
      </c>
      <c r="T15" s="85"/>
      <c r="U15" s="74" t="s">
        <v>175</v>
      </c>
    </row>
    <row r="16" ht="65.25" customHeight="1">
      <c r="A16" s="46" t="s">
        <v>59</v>
      </c>
      <c r="B16" s="133">
        <v>45541.0</v>
      </c>
      <c r="C16" s="156" t="s">
        <v>176</v>
      </c>
      <c r="D16" s="22">
        <v>3072.0</v>
      </c>
      <c r="E16" s="124"/>
      <c r="F16" s="137" t="s">
        <v>177</v>
      </c>
      <c r="G16" s="138" t="s">
        <v>178</v>
      </c>
      <c r="H16" s="143"/>
      <c r="I16" s="143"/>
      <c r="J16" s="143"/>
      <c r="K16" s="143"/>
      <c r="L16" s="68">
        <v>83.0</v>
      </c>
      <c r="M16" s="68">
        <v>1933.0</v>
      </c>
      <c r="N16" s="116">
        <f t="shared" si="3"/>
        <v>0.6292317708</v>
      </c>
      <c r="O16" s="60">
        <v>74.38</v>
      </c>
      <c r="P16" s="60"/>
      <c r="Q16" s="60">
        <v>826.03</v>
      </c>
      <c r="R16" s="75" t="s">
        <v>145</v>
      </c>
      <c r="T16" s="85"/>
      <c r="U16" s="154"/>
    </row>
    <row r="17" ht="56.25" customHeight="1">
      <c r="A17" s="46" t="s">
        <v>82</v>
      </c>
      <c r="B17" s="133">
        <v>45541.0</v>
      </c>
      <c r="C17" s="157" t="s">
        <v>179</v>
      </c>
      <c r="D17" s="22">
        <v>3072.0</v>
      </c>
      <c r="E17" s="124"/>
      <c r="F17" s="137" t="s">
        <v>180</v>
      </c>
      <c r="G17" s="138" t="s">
        <v>178</v>
      </c>
      <c r="H17" s="143"/>
      <c r="I17" s="143"/>
      <c r="J17" s="143"/>
      <c r="K17" s="143"/>
      <c r="L17" s="68">
        <v>130.0</v>
      </c>
      <c r="M17" s="68">
        <v>41.0</v>
      </c>
      <c r="N17" s="116">
        <f t="shared" si="3"/>
        <v>0.01334635417</v>
      </c>
      <c r="O17" s="60">
        <v>0.12</v>
      </c>
      <c r="P17" s="60">
        <v>1.21</v>
      </c>
      <c r="Q17" s="60">
        <v>0.59</v>
      </c>
      <c r="R17" s="75" t="s">
        <v>136</v>
      </c>
      <c r="S17" s="54"/>
      <c r="T17" s="74" t="s">
        <v>181</v>
      </c>
      <c r="U17" s="154"/>
    </row>
    <row r="18" ht="52.5" customHeight="1">
      <c r="A18" s="26" t="s">
        <v>100</v>
      </c>
      <c r="B18" s="133">
        <v>45542.0</v>
      </c>
      <c r="C18" s="157" t="s">
        <v>182</v>
      </c>
      <c r="D18" s="22">
        <v>3072.0</v>
      </c>
      <c r="E18" s="124"/>
      <c r="F18" s="137" t="s">
        <v>180</v>
      </c>
      <c r="G18" s="138" t="s">
        <v>183</v>
      </c>
      <c r="H18" s="143"/>
      <c r="I18" s="143"/>
      <c r="J18" s="143"/>
      <c r="K18" s="143"/>
      <c r="L18" s="68">
        <v>152.0</v>
      </c>
      <c r="M18" s="68">
        <v>1685.0</v>
      </c>
      <c r="N18" s="116">
        <f t="shared" si="3"/>
        <v>0.5485026042</v>
      </c>
      <c r="O18" s="60" t="s">
        <v>184</v>
      </c>
      <c r="P18" s="60" t="s">
        <v>185</v>
      </c>
      <c r="Q18" s="60" t="s">
        <v>184</v>
      </c>
      <c r="R18" s="75" t="s">
        <v>145</v>
      </c>
      <c r="T18" s="85"/>
      <c r="U18" s="154"/>
    </row>
    <row r="19" ht="52.5" customHeight="1">
      <c r="A19" s="26" t="s">
        <v>77</v>
      </c>
      <c r="B19" s="133">
        <v>45542.0</v>
      </c>
      <c r="C19" s="157" t="s">
        <v>186</v>
      </c>
      <c r="D19" s="22">
        <v>3072.0</v>
      </c>
      <c r="E19" s="124"/>
      <c r="F19" s="137" t="s">
        <v>180</v>
      </c>
      <c r="G19" s="138" t="s">
        <v>187</v>
      </c>
      <c r="H19" s="143"/>
      <c r="I19" s="143"/>
      <c r="J19" s="143"/>
      <c r="K19" s="143"/>
      <c r="L19" s="68">
        <v>119.0</v>
      </c>
      <c r="M19" s="68">
        <v>1681.0</v>
      </c>
      <c r="N19" s="116">
        <f t="shared" si="3"/>
        <v>0.5472005208</v>
      </c>
      <c r="O19" s="60" t="s">
        <v>188</v>
      </c>
      <c r="P19" s="141">
        <v>45477.0</v>
      </c>
      <c r="Q19" s="141">
        <v>45304.0</v>
      </c>
      <c r="R19" s="75" t="s">
        <v>145</v>
      </c>
      <c r="T19" s="85"/>
      <c r="U19" s="154"/>
    </row>
    <row r="20" ht="52.5" customHeight="1">
      <c r="A20" s="46" t="s">
        <v>93</v>
      </c>
      <c r="B20" s="133">
        <v>45542.0</v>
      </c>
      <c r="C20" s="157" t="s">
        <v>189</v>
      </c>
      <c r="D20" s="22">
        <v>3072.0</v>
      </c>
      <c r="E20" s="124"/>
      <c r="F20" s="137" t="s">
        <v>180</v>
      </c>
      <c r="G20" s="138" t="s">
        <v>190</v>
      </c>
      <c r="H20" s="143"/>
      <c r="I20" s="143"/>
      <c r="J20" s="143"/>
      <c r="K20" s="143"/>
      <c r="L20" s="68">
        <v>168.0</v>
      </c>
      <c r="M20" s="68">
        <v>1848.0</v>
      </c>
      <c r="N20" s="116">
        <f t="shared" si="3"/>
        <v>0.6015625</v>
      </c>
      <c r="O20" s="60" t="s">
        <v>191</v>
      </c>
      <c r="P20" s="141">
        <v>45300.0</v>
      </c>
      <c r="Q20" s="60" t="s">
        <v>192</v>
      </c>
      <c r="R20" s="75" t="s">
        <v>145</v>
      </c>
      <c r="T20" s="85"/>
      <c r="U20" s="154"/>
    </row>
    <row r="21" ht="16.5" customHeight="1">
      <c r="A21" s="158" t="s">
        <v>100</v>
      </c>
      <c r="B21" s="159">
        <v>45553.0</v>
      </c>
      <c r="D21" s="75">
        <v>1536.0</v>
      </c>
      <c r="E21" s="148"/>
      <c r="F21" s="54"/>
      <c r="G21" s="160"/>
      <c r="L21" s="161"/>
      <c r="M21" s="161"/>
      <c r="N21" s="162"/>
      <c r="O21" s="18"/>
      <c r="P21" s="18"/>
      <c r="Q21" s="18"/>
      <c r="R21" s="18"/>
      <c r="U21" s="148"/>
    </row>
    <row r="22" ht="16.5" customHeight="1">
      <c r="A22" s="158" t="s">
        <v>59</v>
      </c>
      <c r="B22" s="159">
        <v>45556.0</v>
      </c>
      <c r="D22" s="163">
        <v>324.0</v>
      </c>
      <c r="E22" s="148"/>
      <c r="F22" s="54" t="s">
        <v>193</v>
      </c>
      <c r="G22" s="160"/>
      <c r="L22" s="161"/>
      <c r="M22" s="161"/>
      <c r="N22" s="162"/>
      <c r="O22" s="18"/>
      <c r="P22" s="18"/>
      <c r="Q22" s="18"/>
      <c r="R22" s="18"/>
      <c r="U22" s="148"/>
    </row>
    <row r="23" ht="16.5" customHeight="1">
      <c r="A23" s="158" t="s">
        <v>82</v>
      </c>
      <c r="B23" s="159">
        <v>45556.0</v>
      </c>
      <c r="D23" s="163">
        <v>432.0</v>
      </c>
      <c r="E23" s="148"/>
      <c r="F23" s="54" t="s">
        <v>194</v>
      </c>
      <c r="G23" s="160"/>
      <c r="L23" s="161"/>
      <c r="M23" s="161"/>
      <c r="N23" s="162"/>
      <c r="O23" s="18"/>
      <c r="P23" s="18"/>
      <c r="Q23" s="18"/>
      <c r="R23" s="18"/>
      <c r="U23" s="148"/>
    </row>
    <row r="24" ht="16.5" customHeight="1">
      <c r="A24" s="164" t="s">
        <v>71</v>
      </c>
      <c r="B24" s="165">
        <v>45557.0</v>
      </c>
      <c r="C24" s="166"/>
      <c r="D24" s="75">
        <v>576.0</v>
      </c>
      <c r="E24" s="148"/>
      <c r="F24" s="54" t="s">
        <v>195</v>
      </c>
      <c r="G24" s="160"/>
      <c r="L24" s="161"/>
      <c r="M24" s="161"/>
      <c r="N24" s="162"/>
      <c r="O24" s="18"/>
      <c r="P24" s="18"/>
      <c r="Q24" s="18"/>
      <c r="R24" s="18"/>
      <c r="U24" s="167" t="s">
        <v>196</v>
      </c>
    </row>
    <row r="25" ht="16.5" customHeight="1">
      <c r="A25" s="164" t="s">
        <v>77</v>
      </c>
      <c r="B25" s="165">
        <v>45557.0</v>
      </c>
      <c r="C25" s="166"/>
      <c r="D25" s="75">
        <v>576.0</v>
      </c>
      <c r="E25" s="148"/>
      <c r="F25" s="54" t="s">
        <v>195</v>
      </c>
      <c r="G25" s="160"/>
      <c r="L25" s="161"/>
      <c r="M25" s="161"/>
      <c r="N25" s="162"/>
      <c r="O25" s="18"/>
      <c r="P25" s="18"/>
      <c r="Q25" s="18"/>
      <c r="R25" s="18"/>
      <c r="U25" s="148"/>
    </row>
    <row r="26">
      <c r="D26" s="168"/>
      <c r="E26" s="148"/>
      <c r="G26" s="160"/>
      <c r="L26" s="161"/>
      <c r="M26" s="161"/>
      <c r="N26" s="162"/>
      <c r="O26" s="18"/>
      <c r="P26" s="18"/>
      <c r="Q26" s="18"/>
      <c r="R26" s="18"/>
      <c r="U26" s="148"/>
    </row>
    <row r="27">
      <c r="D27" s="168"/>
      <c r="E27" s="148"/>
      <c r="G27" s="160"/>
      <c r="L27" s="161"/>
      <c r="M27" s="161"/>
      <c r="N27" s="162"/>
      <c r="O27" s="18"/>
      <c r="P27" s="18"/>
      <c r="Q27" s="18"/>
      <c r="R27" s="18"/>
      <c r="U27" s="148"/>
    </row>
    <row r="28">
      <c r="D28" s="168"/>
      <c r="E28" s="148"/>
      <c r="G28" s="160"/>
      <c r="L28" s="161"/>
      <c r="M28" s="161"/>
      <c r="N28" s="162"/>
      <c r="O28" s="18"/>
      <c r="P28" s="18"/>
      <c r="Q28" s="18"/>
      <c r="R28" s="18"/>
      <c r="U28" s="148"/>
    </row>
    <row r="29">
      <c r="D29" s="168"/>
      <c r="E29" s="148"/>
      <c r="G29" s="160"/>
      <c r="L29" s="161"/>
      <c r="M29" s="161"/>
      <c r="N29" s="162"/>
      <c r="O29" s="18"/>
      <c r="P29" s="18"/>
      <c r="Q29" s="18"/>
      <c r="R29" s="18"/>
      <c r="U29" s="148"/>
    </row>
    <row r="30">
      <c r="D30" s="168"/>
      <c r="E30" s="148"/>
      <c r="G30" s="160"/>
      <c r="L30" s="161"/>
      <c r="M30" s="161"/>
      <c r="N30" s="162"/>
      <c r="O30" s="18"/>
      <c r="P30" s="18"/>
      <c r="Q30" s="18"/>
      <c r="R30" s="18"/>
      <c r="U30" s="148"/>
    </row>
    <row r="31">
      <c r="D31" s="168"/>
      <c r="E31" s="148"/>
      <c r="G31" s="160"/>
      <c r="L31" s="161"/>
      <c r="M31" s="161"/>
      <c r="N31" s="162"/>
      <c r="O31" s="18"/>
      <c r="P31" s="18"/>
      <c r="Q31" s="18"/>
      <c r="R31" s="18"/>
      <c r="U31" s="148"/>
    </row>
    <row r="32">
      <c r="D32" s="168"/>
      <c r="E32" s="148"/>
      <c r="G32" s="160"/>
      <c r="L32" s="161"/>
      <c r="M32" s="161"/>
      <c r="N32" s="162"/>
      <c r="O32" s="18"/>
      <c r="P32" s="18"/>
      <c r="Q32" s="18"/>
      <c r="R32" s="18"/>
      <c r="U32" s="148"/>
    </row>
    <row r="33">
      <c r="D33" s="168"/>
      <c r="E33" s="148"/>
      <c r="G33" s="160"/>
      <c r="L33" s="161"/>
      <c r="M33" s="161"/>
      <c r="N33" s="162"/>
      <c r="O33" s="18"/>
      <c r="P33" s="18"/>
      <c r="Q33" s="18"/>
      <c r="R33" s="18"/>
      <c r="U33" s="148"/>
    </row>
    <row r="34">
      <c r="D34" s="168"/>
      <c r="E34" s="148"/>
      <c r="G34" s="160"/>
      <c r="L34" s="161"/>
      <c r="M34" s="161"/>
      <c r="N34" s="162"/>
      <c r="O34" s="18"/>
      <c r="P34" s="18"/>
      <c r="Q34" s="18"/>
      <c r="R34" s="18"/>
      <c r="U34" s="148"/>
    </row>
    <row r="35">
      <c r="D35" s="168"/>
      <c r="E35" s="148"/>
      <c r="G35" s="160"/>
      <c r="L35" s="161"/>
      <c r="M35" s="161"/>
      <c r="N35" s="162"/>
      <c r="O35" s="18"/>
      <c r="P35" s="18"/>
      <c r="Q35" s="18"/>
      <c r="R35" s="18"/>
      <c r="U35" s="148"/>
    </row>
    <row r="36">
      <c r="D36" s="168"/>
      <c r="E36" s="148"/>
      <c r="G36" s="160"/>
      <c r="L36" s="161"/>
      <c r="M36" s="161"/>
      <c r="N36" s="162"/>
      <c r="O36" s="18"/>
      <c r="P36" s="18"/>
      <c r="Q36" s="18"/>
      <c r="R36" s="18"/>
      <c r="U36" s="148"/>
    </row>
    <row r="37">
      <c r="D37" s="168"/>
      <c r="E37" s="148"/>
      <c r="G37" s="160"/>
      <c r="L37" s="161"/>
      <c r="M37" s="161"/>
      <c r="N37" s="162"/>
      <c r="O37" s="18"/>
      <c r="P37" s="18"/>
      <c r="Q37" s="18"/>
      <c r="R37" s="18"/>
      <c r="U37" s="148"/>
    </row>
    <row r="38">
      <c r="D38" s="168"/>
      <c r="E38" s="148"/>
      <c r="G38" s="160"/>
      <c r="L38" s="161"/>
      <c r="M38" s="161"/>
      <c r="N38" s="162"/>
      <c r="O38" s="18"/>
      <c r="P38" s="18"/>
      <c r="Q38" s="18"/>
      <c r="R38" s="18"/>
      <c r="U38" s="148"/>
    </row>
    <row r="39">
      <c r="D39" s="168"/>
      <c r="E39" s="148"/>
      <c r="G39" s="160"/>
      <c r="L39" s="161"/>
      <c r="M39" s="161"/>
      <c r="N39" s="162"/>
      <c r="O39" s="18"/>
      <c r="P39" s="18"/>
      <c r="Q39" s="18"/>
      <c r="R39" s="18"/>
      <c r="U39" s="148"/>
    </row>
    <row r="40">
      <c r="D40" s="168"/>
      <c r="E40" s="148"/>
      <c r="G40" s="160"/>
      <c r="L40" s="161"/>
      <c r="M40" s="161"/>
      <c r="N40" s="162"/>
      <c r="O40" s="18"/>
      <c r="P40" s="18"/>
      <c r="Q40" s="18"/>
      <c r="R40" s="18"/>
      <c r="U40" s="148"/>
    </row>
    <row r="41">
      <c r="D41" s="168"/>
      <c r="E41" s="148"/>
      <c r="G41" s="160"/>
      <c r="L41" s="161"/>
      <c r="M41" s="161"/>
      <c r="N41" s="162"/>
      <c r="O41" s="18"/>
      <c r="P41" s="18"/>
      <c r="Q41" s="18"/>
      <c r="R41" s="18"/>
      <c r="U41" s="148"/>
    </row>
    <row r="42">
      <c r="D42" s="168"/>
      <c r="E42" s="148"/>
      <c r="G42" s="160"/>
      <c r="L42" s="161"/>
      <c r="M42" s="161"/>
      <c r="N42" s="162"/>
      <c r="O42" s="18"/>
      <c r="P42" s="18"/>
      <c r="Q42" s="18"/>
      <c r="R42" s="18"/>
      <c r="U42" s="148"/>
    </row>
    <row r="43">
      <c r="D43" s="168"/>
      <c r="E43" s="148"/>
      <c r="G43" s="160"/>
      <c r="L43" s="161"/>
      <c r="M43" s="161"/>
      <c r="N43" s="162"/>
      <c r="O43" s="18"/>
      <c r="P43" s="18"/>
      <c r="Q43" s="18"/>
      <c r="R43" s="18"/>
      <c r="U43" s="148"/>
    </row>
    <row r="44">
      <c r="D44" s="168"/>
      <c r="E44" s="148"/>
      <c r="G44" s="160"/>
      <c r="L44" s="161"/>
      <c r="M44" s="161"/>
      <c r="N44" s="162"/>
      <c r="O44" s="18"/>
      <c r="P44" s="18"/>
      <c r="Q44" s="18"/>
      <c r="R44" s="18"/>
      <c r="U44" s="148"/>
    </row>
    <row r="45">
      <c r="D45" s="168"/>
      <c r="E45" s="148"/>
      <c r="G45" s="160"/>
      <c r="L45" s="161"/>
      <c r="M45" s="161"/>
      <c r="N45" s="162"/>
      <c r="O45" s="18"/>
      <c r="P45" s="18"/>
      <c r="Q45" s="18"/>
      <c r="R45" s="18"/>
      <c r="U45" s="148"/>
    </row>
    <row r="46">
      <c r="D46" s="168"/>
      <c r="E46" s="148"/>
      <c r="G46" s="160"/>
      <c r="L46" s="161"/>
      <c r="M46" s="161"/>
      <c r="N46" s="162"/>
      <c r="O46" s="18"/>
      <c r="P46" s="18"/>
      <c r="Q46" s="18"/>
      <c r="R46" s="18"/>
      <c r="U46" s="148"/>
    </row>
    <row r="47">
      <c r="D47" s="168"/>
      <c r="E47" s="148"/>
      <c r="G47" s="160"/>
      <c r="L47" s="161"/>
      <c r="M47" s="161"/>
      <c r="N47" s="162"/>
      <c r="O47" s="18"/>
      <c r="P47" s="18"/>
      <c r="Q47" s="18"/>
      <c r="R47" s="18"/>
      <c r="U47" s="148"/>
    </row>
    <row r="48">
      <c r="D48" s="168"/>
      <c r="E48" s="148"/>
      <c r="G48" s="160"/>
      <c r="L48" s="161"/>
      <c r="M48" s="161"/>
      <c r="N48" s="162"/>
      <c r="O48" s="18"/>
      <c r="P48" s="18"/>
      <c r="Q48" s="18"/>
      <c r="R48" s="18"/>
      <c r="U48" s="148"/>
    </row>
    <row r="49">
      <c r="D49" s="168"/>
      <c r="E49" s="148"/>
      <c r="G49" s="160"/>
      <c r="L49" s="161"/>
      <c r="M49" s="161"/>
      <c r="N49" s="162"/>
      <c r="O49" s="18"/>
      <c r="P49" s="18"/>
      <c r="Q49" s="18"/>
      <c r="R49" s="18"/>
      <c r="U49" s="148"/>
    </row>
    <row r="50">
      <c r="D50" s="168"/>
      <c r="E50" s="148"/>
      <c r="G50" s="160"/>
      <c r="L50" s="161"/>
      <c r="M50" s="161"/>
      <c r="N50" s="162"/>
      <c r="O50" s="18"/>
      <c r="P50" s="18"/>
      <c r="Q50" s="18"/>
      <c r="R50" s="18"/>
      <c r="U50" s="148"/>
    </row>
    <row r="51">
      <c r="D51" s="168"/>
      <c r="E51" s="148"/>
      <c r="G51" s="160"/>
      <c r="L51" s="161"/>
      <c r="M51" s="161"/>
      <c r="N51" s="162"/>
      <c r="O51" s="18"/>
      <c r="P51" s="18"/>
      <c r="Q51" s="18"/>
      <c r="R51" s="18"/>
      <c r="U51" s="148"/>
    </row>
    <row r="52">
      <c r="D52" s="168"/>
      <c r="E52" s="148"/>
      <c r="G52" s="160"/>
      <c r="L52" s="161"/>
      <c r="M52" s="161"/>
      <c r="N52" s="162"/>
      <c r="O52" s="18"/>
      <c r="P52" s="18"/>
      <c r="Q52" s="18"/>
      <c r="R52" s="18"/>
      <c r="U52" s="148"/>
    </row>
    <row r="53">
      <c r="D53" s="168"/>
      <c r="E53" s="148"/>
      <c r="G53" s="160"/>
      <c r="L53" s="161"/>
      <c r="M53" s="161"/>
      <c r="N53" s="162"/>
      <c r="O53" s="18"/>
      <c r="P53" s="18"/>
      <c r="Q53" s="18"/>
      <c r="R53" s="18"/>
      <c r="U53" s="148"/>
    </row>
    <row r="54">
      <c r="D54" s="168"/>
      <c r="E54" s="148"/>
      <c r="G54" s="160"/>
      <c r="L54" s="161"/>
      <c r="M54" s="161"/>
      <c r="N54" s="162"/>
      <c r="O54" s="18"/>
      <c r="P54" s="18"/>
      <c r="Q54" s="18"/>
      <c r="R54" s="18"/>
      <c r="U54" s="148"/>
    </row>
    <row r="55">
      <c r="D55" s="168"/>
      <c r="E55" s="148"/>
      <c r="G55" s="160"/>
      <c r="L55" s="161"/>
      <c r="M55" s="161"/>
      <c r="N55" s="162"/>
      <c r="O55" s="18"/>
      <c r="P55" s="18"/>
      <c r="Q55" s="18"/>
      <c r="R55" s="18"/>
      <c r="U55" s="148"/>
    </row>
    <row r="56">
      <c r="D56" s="168"/>
      <c r="E56" s="148"/>
      <c r="G56" s="160"/>
      <c r="L56" s="161"/>
      <c r="M56" s="161"/>
      <c r="N56" s="162"/>
      <c r="O56" s="18"/>
      <c r="P56" s="18"/>
      <c r="Q56" s="18"/>
      <c r="R56" s="18"/>
      <c r="U56" s="148"/>
    </row>
    <row r="57">
      <c r="D57" s="168"/>
      <c r="E57" s="148"/>
      <c r="G57" s="160"/>
      <c r="L57" s="161"/>
      <c r="M57" s="161"/>
      <c r="N57" s="162"/>
      <c r="O57" s="18"/>
      <c r="P57" s="18"/>
      <c r="Q57" s="18"/>
      <c r="R57" s="18"/>
      <c r="U57" s="148"/>
    </row>
    <row r="58">
      <c r="D58" s="168"/>
      <c r="E58" s="148"/>
      <c r="G58" s="160"/>
      <c r="L58" s="161"/>
      <c r="M58" s="161"/>
      <c r="N58" s="162"/>
      <c r="O58" s="18"/>
      <c r="P58" s="18"/>
      <c r="Q58" s="18"/>
      <c r="R58" s="18"/>
      <c r="U58" s="148"/>
    </row>
    <row r="59">
      <c r="D59" s="168"/>
      <c r="E59" s="148"/>
      <c r="G59" s="160"/>
      <c r="L59" s="161"/>
      <c r="M59" s="161"/>
      <c r="N59" s="162"/>
      <c r="O59" s="18"/>
      <c r="P59" s="18"/>
      <c r="Q59" s="18"/>
      <c r="R59" s="18"/>
      <c r="U59" s="148"/>
    </row>
    <row r="60">
      <c r="D60" s="168"/>
      <c r="E60" s="148"/>
      <c r="G60" s="160"/>
      <c r="L60" s="161"/>
      <c r="M60" s="161"/>
      <c r="N60" s="162"/>
      <c r="O60" s="18"/>
      <c r="P60" s="18"/>
      <c r="Q60" s="18"/>
      <c r="R60" s="18"/>
      <c r="U60" s="148"/>
    </row>
    <row r="61">
      <c r="D61" s="168"/>
      <c r="E61" s="148"/>
      <c r="G61" s="160"/>
      <c r="L61" s="161"/>
      <c r="M61" s="161"/>
      <c r="N61" s="162"/>
      <c r="O61" s="18"/>
      <c r="P61" s="18"/>
      <c r="Q61" s="18"/>
      <c r="R61" s="18"/>
      <c r="U61" s="148"/>
    </row>
    <row r="62">
      <c r="D62" s="168"/>
      <c r="E62" s="148"/>
      <c r="G62" s="160"/>
      <c r="L62" s="161"/>
      <c r="M62" s="161"/>
      <c r="N62" s="162"/>
      <c r="O62" s="18"/>
      <c r="P62" s="18"/>
      <c r="Q62" s="18"/>
      <c r="R62" s="18"/>
      <c r="U62" s="148"/>
    </row>
    <row r="63">
      <c r="D63" s="168"/>
      <c r="E63" s="148"/>
      <c r="G63" s="160"/>
      <c r="L63" s="161"/>
      <c r="M63" s="161"/>
      <c r="N63" s="162"/>
      <c r="O63" s="18"/>
      <c r="P63" s="18"/>
      <c r="Q63" s="18"/>
      <c r="R63" s="18"/>
      <c r="U63" s="148"/>
    </row>
    <row r="64">
      <c r="D64" s="168"/>
      <c r="E64" s="148"/>
      <c r="G64" s="160"/>
      <c r="L64" s="161"/>
      <c r="M64" s="161"/>
      <c r="N64" s="162"/>
      <c r="O64" s="18"/>
      <c r="P64" s="18"/>
      <c r="Q64" s="18"/>
      <c r="R64" s="18"/>
      <c r="U64" s="148"/>
    </row>
    <row r="65">
      <c r="D65" s="168"/>
      <c r="E65" s="148"/>
      <c r="G65" s="160"/>
      <c r="L65" s="161"/>
      <c r="M65" s="161"/>
      <c r="N65" s="162"/>
      <c r="O65" s="18"/>
      <c r="P65" s="18"/>
      <c r="Q65" s="18"/>
      <c r="R65" s="18"/>
      <c r="U65" s="148"/>
    </row>
    <row r="66">
      <c r="D66" s="168"/>
      <c r="E66" s="148"/>
      <c r="G66" s="160"/>
      <c r="L66" s="161"/>
      <c r="M66" s="161"/>
      <c r="N66" s="162"/>
      <c r="O66" s="18"/>
      <c r="P66" s="18"/>
      <c r="Q66" s="18"/>
      <c r="R66" s="18"/>
      <c r="U66" s="148"/>
    </row>
    <row r="67">
      <c r="D67" s="168"/>
      <c r="E67" s="148"/>
      <c r="G67" s="160"/>
      <c r="L67" s="161"/>
      <c r="M67" s="161"/>
      <c r="N67" s="162"/>
      <c r="O67" s="18"/>
      <c r="P67" s="18"/>
      <c r="Q67" s="18"/>
      <c r="R67" s="18"/>
      <c r="U67" s="148"/>
    </row>
    <row r="68">
      <c r="D68" s="168"/>
      <c r="E68" s="148"/>
      <c r="G68" s="160"/>
      <c r="L68" s="161"/>
      <c r="M68" s="161"/>
      <c r="N68" s="162"/>
      <c r="O68" s="18"/>
      <c r="P68" s="18"/>
      <c r="Q68" s="18"/>
      <c r="R68" s="18"/>
      <c r="U68" s="148"/>
    </row>
    <row r="69">
      <c r="D69" s="168"/>
      <c r="E69" s="148"/>
      <c r="G69" s="160"/>
      <c r="L69" s="161"/>
      <c r="M69" s="161"/>
      <c r="N69" s="162"/>
      <c r="O69" s="18"/>
      <c r="P69" s="18"/>
      <c r="Q69" s="18"/>
      <c r="R69" s="18"/>
      <c r="U69" s="148"/>
    </row>
    <row r="70">
      <c r="D70" s="168"/>
      <c r="E70" s="148"/>
      <c r="G70" s="160"/>
      <c r="L70" s="161"/>
      <c r="M70" s="161"/>
      <c r="N70" s="162"/>
      <c r="O70" s="18"/>
      <c r="P70" s="18"/>
      <c r="Q70" s="18"/>
      <c r="R70" s="18"/>
      <c r="U70" s="148"/>
    </row>
    <row r="71">
      <c r="D71" s="168"/>
      <c r="E71" s="148"/>
      <c r="G71" s="160"/>
      <c r="L71" s="161"/>
      <c r="M71" s="161"/>
      <c r="N71" s="162"/>
      <c r="O71" s="18"/>
      <c r="P71" s="18"/>
      <c r="Q71" s="18"/>
      <c r="R71" s="18"/>
      <c r="U71" s="148"/>
    </row>
    <row r="72">
      <c r="D72" s="168"/>
      <c r="E72" s="148"/>
      <c r="G72" s="160"/>
      <c r="L72" s="161"/>
      <c r="M72" s="161"/>
      <c r="N72" s="162"/>
      <c r="O72" s="18"/>
      <c r="P72" s="18"/>
      <c r="Q72" s="18"/>
      <c r="R72" s="18"/>
      <c r="U72" s="148"/>
    </row>
    <row r="73">
      <c r="D73" s="168"/>
      <c r="E73" s="148"/>
      <c r="G73" s="160"/>
      <c r="L73" s="161"/>
      <c r="M73" s="161"/>
      <c r="N73" s="162"/>
      <c r="O73" s="18"/>
      <c r="P73" s="18"/>
      <c r="Q73" s="18"/>
      <c r="R73" s="18"/>
      <c r="U73" s="148"/>
    </row>
    <row r="74">
      <c r="D74" s="168"/>
      <c r="E74" s="148"/>
      <c r="G74" s="160"/>
      <c r="L74" s="161"/>
      <c r="M74" s="161"/>
      <c r="N74" s="162"/>
      <c r="O74" s="18"/>
      <c r="P74" s="18"/>
      <c r="Q74" s="18"/>
      <c r="R74" s="18"/>
      <c r="U74" s="148"/>
    </row>
    <row r="75">
      <c r="D75" s="168"/>
      <c r="E75" s="148"/>
      <c r="G75" s="160"/>
      <c r="L75" s="161"/>
      <c r="M75" s="161"/>
      <c r="N75" s="162"/>
      <c r="O75" s="18"/>
      <c r="P75" s="18"/>
      <c r="Q75" s="18"/>
      <c r="R75" s="18"/>
      <c r="U75" s="148"/>
    </row>
    <row r="76">
      <c r="D76" s="168"/>
      <c r="E76" s="148"/>
      <c r="G76" s="160"/>
      <c r="L76" s="161"/>
      <c r="M76" s="161"/>
      <c r="N76" s="162"/>
      <c r="O76" s="18"/>
      <c r="P76" s="18"/>
      <c r="Q76" s="18"/>
      <c r="R76" s="18"/>
      <c r="U76" s="148"/>
    </row>
    <row r="77">
      <c r="D77" s="168"/>
      <c r="E77" s="148"/>
      <c r="G77" s="160"/>
      <c r="L77" s="161"/>
      <c r="M77" s="161"/>
      <c r="N77" s="162"/>
      <c r="O77" s="18"/>
      <c r="P77" s="18"/>
      <c r="Q77" s="18"/>
      <c r="R77" s="18"/>
      <c r="U77" s="148"/>
    </row>
    <row r="78">
      <c r="D78" s="168"/>
      <c r="E78" s="148"/>
      <c r="G78" s="160"/>
      <c r="L78" s="161"/>
      <c r="M78" s="161"/>
      <c r="N78" s="162"/>
      <c r="O78" s="18"/>
      <c r="P78" s="18"/>
      <c r="Q78" s="18"/>
      <c r="R78" s="18"/>
      <c r="U78" s="148"/>
    </row>
    <row r="79">
      <c r="D79" s="168"/>
      <c r="E79" s="148"/>
      <c r="G79" s="160"/>
      <c r="L79" s="161"/>
      <c r="M79" s="161"/>
      <c r="N79" s="162"/>
      <c r="O79" s="18"/>
      <c r="P79" s="18"/>
      <c r="Q79" s="18"/>
      <c r="R79" s="18"/>
      <c r="U79" s="148"/>
    </row>
    <row r="80">
      <c r="D80" s="168"/>
      <c r="E80" s="148"/>
      <c r="G80" s="160"/>
      <c r="L80" s="161"/>
      <c r="M80" s="161"/>
      <c r="N80" s="162"/>
      <c r="O80" s="18"/>
      <c r="P80" s="18"/>
      <c r="Q80" s="18"/>
      <c r="R80" s="18"/>
      <c r="U80" s="148"/>
    </row>
    <row r="81">
      <c r="D81" s="168"/>
      <c r="E81" s="148"/>
      <c r="G81" s="160"/>
      <c r="L81" s="161"/>
      <c r="M81" s="161"/>
      <c r="N81" s="162"/>
      <c r="O81" s="18"/>
      <c r="P81" s="18"/>
      <c r="Q81" s="18"/>
      <c r="R81" s="18"/>
      <c r="U81" s="148"/>
    </row>
    <row r="82">
      <c r="D82" s="168"/>
      <c r="E82" s="148"/>
      <c r="G82" s="160"/>
      <c r="L82" s="161"/>
      <c r="M82" s="161"/>
      <c r="N82" s="162"/>
      <c r="O82" s="18"/>
      <c r="P82" s="18"/>
      <c r="Q82" s="18"/>
      <c r="R82" s="18"/>
      <c r="U82" s="148"/>
    </row>
    <row r="83">
      <c r="D83" s="168"/>
      <c r="E83" s="148"/>
      <c r="G83" s="160"/>
      <c r="L83" s="161"/>
      <c r="M83" s="161"/>
      <c r="N83" s="162"/>
      <c r="O83" s="18"/>
      <c r="P83" s="18"/>
      <c r="Q83" s="18"/>
      <c r="R83" s="18"/>
      <c r="U83" s="148"/>
    </row>
    <row r="84">
      <c r="D84" s="168"/>
      <c r="E84" s="148"/>
      <c r="G84" s="160"/>
      <c r="L84" s="161"/>
      <c r="M84" s="161"/>
      <c r="N84" s="162"/>
      <c r="O84" s="18"/>
      <c r="P84" s="18"/>
      <c r="Q84" s="18"/>
      <c r="R84" s="18"/>
      <c r="U84" s="148"/>
    </row>
    <row r="85">
      <c r="D85" s="168"/>
      <c r="E85" s="148"/>
      <c r="G85" s="160"/>
      <c r="L85" s="161"/>
      <c r="M85" s="161"/>
      <c r="N85" s="162"/>
      <c r="O85" s="18"/>
      <c r="P85" s="18"/>
      <c r="Q85" s="18"/>
      <c r="R85" s="18"/>
      <c r="U85" s="148"/>
    </row>
    <row r="86">
      <c r="D86" s="168"/>
      <c r="E86" s="148"/>
      <c r="G86" s="160"/>
      <c r="L86" s="161"/>
      <c r="M86" s="161"/>
      <c r="N86" s="162"/>
      <c r="O86" s="18"/>
      <c r="P86" s="18"/>
      <c r="Q86" s="18"/>
      <c r="R86" s="18"/>
      <c r="U86" s="148"/>
    </row>
    <row r="87">
      <c r="D87" s="168"/>
      <c r="E87" s="148"/>
      <c r="G87" s="160"/>
      <c r="L87" s="161"/>
      <c r="M87" s="161"/>
      <c r="N87" s="162"/>
      <c r="O87" s="18"/>
      <c r="P87" s="18"/>
      <c r="Q87" s="18"/>
      <c r="R87" s="18"/>
      <c r="U87" s="148"/>
    </row>
    <row r="88">
      <c r="D88" s="168"/>
      <c r="E88" s="148"/>
      <c r="G88" s="160"/>
      <c r="L88" s="161"/>
      <c r="M88" s="161"/>
      <c r="N88" s="162"/>
      <c r="O88" s="18"/>
      <c r="P88" s="18"/>
      <c r="Q88" s="18"/>
      <c r="R88" s="18"/>
      <c r="U88" s="148"/>
    </row>
    <row r="89">
      <c r="D89" s="168"/>
      <c r="E89" s="148"/>
      <c r="G89" s="160"/>
      <c r="L89" s="161"/>
      <c r="M89" s="161"/>
      <c r="N89" s="162"/>
      <c r="O89" s="18"/>
      <c r="P89" s="18"/>
      <c r="Q89" s="18"/>
      <c r="R89" s="18"/>
      <c r="U89" s="148"/>
    </row>
    <row r="90">
      <c r="D90" s="168"/>
      <c r="E90" s="148"/>
      <c r="G90" s="160"/>
      <c r="L90" s="161"/>
      <c r="M90" s="161"/>
      <c r="N90" s="162"/>
      <c r="O90" s="18"/>
      <c r="P90" s="18"/>
      <c r="Q90" s="18"/>
      <c r="R90" s="18"/>
      <c r="U90" s="148"/>
    </row>
    <row r="91">
      <c r="D91" s="168"/>
      <c r="E91" s="148"/>
      <c r="G91" s="160"/>
      <c r="L91" s="161"/>
      <c r="M91" s="161"/>
      <c r="N91" s="162"/>
      <c r="O91" s="18"/>
      <c r="P91" s="18"/>
      <c r="Q91" s="18"/>
      <c r="R91" s="18"/>
      <c r="U91" s="148"/>
    </row>
    <row r="92">
      <c r="D92" s="168"/>
      <c r="E92" s="148"/>
      <c r="G92" s="160"/>
      <c r="L92" s="161"/>
      <c r="M92" s="161"/>
      <c r="N92" s="162"/>
      <c r="O92" s="18"/>
      <c r="P92" s="18"/>
      <c r="Q92" s="18"/>
      <c r="R92" s="18"/>
      <c r="U92" s="148"/>
    </row>
    <row r="93">
      <c r="D93" s="168"/>
      <c r="E93" s="148"/>
      <c r="G93" s="160"/>
      <c r="L93" s="161"/>
      <c r="M93" s="161"/>
      <c r="N93" s="162"/>
      <c r="O93" s="18"/>
      <c r="P93" s="18"/>
      <c r="Q93" s="18"/>
      <c r="R93" s="18"/>
      <c r="U93" s="148"/>
    </row>
    <row r="94">
      <c r="D94" s="168"/>
      <c r="E94" s="148"/>
      <c r="G94" s="160"/>
      <c r="L94" s="161"/>
      <c r="M94" s="161"/>
      <c r="N94" s="162"/>
      <c r="O94" s="18"/>
      <c r="P94" s="18"/>
      <c r="Q94" s="18"/>
      <c r="R94" s="18"/>
      <c r="U94" s="148"/>
    </row>
    <row r="95">
      <c r="D95" s="168"/>
      <c r="E95" s="148"/>
      <c r="G95" s="160"/>
      <c r="L95" s="161"/>
      <c r="M95" s="161"/>
      <c r="N95" s="162"/>
      <c r="O95" s="18"/>
      <c r="P95" s="18"/>
      <c r="Q95" s="18"/>
      <c r="R95" s="18"/>
      <c r="U95" s="148"/>
    </row>
    <row r="96">
      <c r="D96" s="168"/>
      <c r="E96" s="148"/>
      <c r="G96" s="160"/>
      <c r="L96" s="161"/>
      <c r="M96" s="161"/>
      <c r="N96" s="162"/>
      <c r="O96" s="18"/>
      <c r="P96" s="18"/>
      <c r="Q96" s="18"/>
      <c r="R96" s="18"/>
      <c r="U96" s="148"/>
    </row>
    <row r="97">
      <c r="D97" s="168"/>
      <c r="E97" s="148"/>
      <c r="G97" s="160"/>
      <c r="L97" s="161"/>
      <c r="M97" s="161"/>
      <c r="N97" s="162"/>
      <c r="O97" s="18"/>
      <c r="P97" s="18"/>
      <c r="Q97" s="18"/>
      <c r="R97" s="18"/>
      <c r="U97" s="148"/>
    </row>
    <row r="98">
      <c r="D98" s="168"/>
      <c r="E98" s="148"/>
      <c r="G98" s="160"/>
      <c r="L98" s="161"/>
      <c r="M98" s="161"/>
      <c r="N98" s="162"/>
      <c r="O98" s="18"/>
      <c r="P98" s="18"/>
      <c r="Q98" s="18"/>
      <c r="R98" s="18"/>
      <c r="U98" s="148"/>
    </row>
    <row r="99">
      <c r="D99" s="168"/>
      <c r="E99" s="148"/>
      <c r="G99" s="160"/>
      <c r="L99" s="161"/>
      <c r="M99" s="161"/>
      <c r="N99" s="162"/>
      <c r="O99" s="18"/>
      <c r="P99" s="18"/>
      <c r="Q99" s="18"/>
      <c r="R99" s="18"/>
      <c r="U99" s="148"/>
    </row>
    <row r="100">
      <c r="D100" s="168"/>
      <c r="E100" s="148"/>
      <c r="G100" s="160"/>
      <c r="L100" s="161"/>
      <c r="M100" s="161"/>
      <c r="N100" s="162"/>
      <c r="O100" s="18"/>
      <c r="P100" s="18"/>
      <c r="Q100" s="18"/>
      <c r="R100" s="18"/>
      <c r="U100" s="148"/>
    </row>
    <row r="101">
      <c r="D101" s="168"/>
      <c r="E101" s="148"/>
      <c r="G101" s="160"/>
      <c r="L101" s="161"/>
      <c r="M101" s="161"/>
      <c r="N101" s="162"/>
      <c r="O101" s="18"/>
      <c r="P101" s="18"/>
      <c r="Q101" s="18"/>
      <c r="R101" s="18"/>
      <c r="U101" s="148"/>
    </row>
    <row r="102">
      <c r="D102" s="168"/>
      <c r="E102" s="148"/>
      <c r="G102" s="160"/>
      <c r="L102" s="161"/>
      <c r="M102" s="161"/>
      <c r="N102" s="162"/>
      <c r="O102" s="18"/>
      <c r="P102" s="18"/>
      <c r="Q102" s="18"/>
      <c r="R102" s="18"/>
      <c r="U102" s="148"/>
    </row>
    <row r="103">
      <c r="D103" s="168"/>
      <c r="E103" s="148"/>
      <c r="G103" s="160"/>
      <c r="L103" s="161"/>
      <c r="M103" s="161"/>
      <c r="N103" s="162"/>
      <c r="O103" s="18"/>
      <c r="P103" s="18"/>
      <c r="Q103" s="18"/>
      <c r="R103" s="18"/>
      <c r="U103" s="148"/>
    </row>
    <row r="104">
      <c r="D104" s="168"/>
      <c r="E104" s="148"/>
      <c r="G104" s="160"/>
      <c r="L104" s="161"/>
      <c r="M104" s="161"/>
      <c r="N104" s="162"/>
      <c r="O104" s="18"/>
      <c r="P104" s="18"/>
      <c r="Q104" s="18"/>
      <c r="R104" s="18"/>
      <c r="U104" s="148"/>
    </row>
    <row r="105">
      <c r="D105" s="168"/>
      <c r="E105" s="148"/>
      <c r="G105" s="160"/>
      <c r="L105" s="161"/>
      <c r="M105" s="161"/>
      <c r="N105" s="162"/>
      <c r="O105" s="18"/>
      <c r="P105" s="18"/>
      <c r="Q105" s="18"/>
      <c r="R105" s="18"/>
      <c r="U105" s="148"/>
    </row>
    <row r="106">
      <c r="D106" s="168"/>
      <c r="E106" s="148"/>
      <c r="G106" s="160"/>
      <c r="L106" s="161"/>
      <c r="M106" s="161"/>
      <c r="N106" s="162"/>
      <c r="O106" s="18"/>
      <c r="P106" s="18"/>
      <c r="Q106" s="18"/>
      <c r="R106" s="18"/>
      <c r="U106" s="148"/>
    </row>
    <row r="107">
      <c r="D107" s="168"/>
      <c r="E107" s="148"/>
      <c r="G107" s="160"/>
      <c r="L107" s="161"/>
      <c r="M107" s="161"/>
      <c r="N107" s="162"/>
      <c r="O107" s="18"/>
      <c r="P107" s="18"/>
      <c r="Q107" s="18"/>
      <c r="R107" s="18"/>
      <c r="U107" s="148"/>
    </row>
    <row r="108">
      <c r="D108" s="168"/>
      <c r="E108" s="148"/>
      <c r="G108" s="160"/>
      <c r="L108" s="161"/>
      <c r="M108" s="161"/>
      <c r="N108" s="162"/>
      <c r="O108" s="18"/>
      <c r="P108" s="18"/>
      <c r="Q108" s="18"/>
      <c r="R108" s="18"/>
      <c r="U108" s="148"/>
    </row>
    <row r="109">
      <c r="D109" s="168"/>
      <c r="E109" s="148"/>
      <c r="G109" s="160"/>
      <c r="L109" s="161"/>
      <c r="M109" s="161"/>
      <c r="N109" s="162"/>
      <c r="O109" s="18"/>
      <c r="P109" s="18"/>
      <c r="Q109" s="18"/>
      <c r="R109" s="18"/>
      <c r="U109" s="148"/>
    </row>
    <row r="110">
      <c r="D110" s="168"/>
      <c r="E110" s="148"/>
      <c r="G110" s="160"/>
      <c r="L110" s="161"/>
      <c r="M110" s="161"/>
      <c r="N110" s="162"/>
      <c r="O110" s="18"/>
      <c r="P110" s="18"/>
      <c r="Q110" s="18"/>
      <c r="R110" s="18"/>
      <c r="U110" s="148"/>
    </row>
    <row r="111">
      <c r="D111" s="168"/>
      <c r="E111" s="148"/>
      <c r="G111" s="160"/>
      <c r="L111" s="161"/>
      <c r="M111" s="161"/>
      <c r="N111" s="162"/>
      <c r="O111" s="18"/>
      <c r="P111" s="18"/>
      <c r="Q111" s="18"/>
      <c r="R111" s="18"/>
      <c r="U111" s="148"/>
    </row>
    <row r="112">
      <c r="D112" s="168"/>
      <c r="E112" s="148"/>
      <c r="G112" s="160"/>
      <c r="L112" s="161"/>
      <c r="M112" s="161"/>
      <c r="N112" s="162"/>
      <c r="O112" s="18"/>
      <c r="P112" s="18"/>
      <c r="Q112" s="18"/>
      <c r="R112" s="18"/>
      <c r="U112" s="148"/>
    </row>
    <row r="113">
      <c r="D113" s="168"/>
      <c r="E113" s="148"/>
      <c r="G113" s="160"/>
      <c r="L113" s="161"/>
      <c r="M113" s="161"/>
      <c r="N113" s="162"/>
      <c r="O113" s="18"/>
      <c r="P113" s="18"/>
      <c r="Q113" s="18"/>
      <c r="R113" s="18"/>
      <c r="U113" s="148"/>
    </row>
    <row r="114">
      <c r="D114" s="168"/>
      <c r="E114" s="148"/>
      <c r="G114" s="160"/>
      <c r="L114" s="161"/>
      <c r="M114" s="161"/>
      <c r="N114" s="162"/>
      <c r="O114" s="18"/>
      <c r="P114" s="18"/>
      <c r="Q114" s="18"/>
      <c r="R114" s="18"/>
      <c r="U114" s="148"/>
    </row>
    <row r="115">
      <c r="D115" s="168"/>
      <c r="E115" s="148"/>
      <c r="G115" s="160"/>
      <c r="L115" s="161"/>
      <c r="M115" s="161"/>
      <c r="N115" s="162"/>
      <c r="O115" s="18"/>
      <c r="P115" s="18"/>
      <c r="Q115" s="18"/>
      <c r="R115" s="18"/>
      <c r="U115" s="148"/>
    </row>
    <row r="116">
      <c r="D116" s="168"/>
      <c r="E116" s="148"/>
      <c r="G116" s="160"/>
      <c r="L116" s="161"/>
      <c r="M116" s="161"/>
      <c r="N116" s="162"/>
      <c r="O116" s="18"/>
      <c r="P116" s="18"/>
      <c r="Q116" s="18"/>
      <c r="R116" s="18"/>
      <c r="U116" s="148"/>
    </row>
    <row r="117">
      <c r="D117" s="168"/>
      <c r="E117" s="148"/>
      <c r="G117" s="160"/>
      <c r="L117" s="161"/>
      <c r="M117" s="161"/>
      <c r="N117" s="162"/>
      <c r="O117" s="18"/>
      <c r="P117" s="18"/>
      <c r="Q117" s="18"/>
      <c r="R117" s="18"/>
      <c r="U117" s="148"/>
    </row>
    <row r="118">
      <c r="D118" s="168"/>
      <c r="E118" s="148"/>
      <c r="G118" s="160"/>
      <c r="L118" s="161"/>
      <c r="M118" s="161"/>
      <c r="N118" s="162"/>
      <c r="O118" s="18"/>
      <c r="P118" s="18"/>
      <c r="Q118" s="18"/>
      <c r="R118" s="18"/>
      <c r="U118" s="148"/>
    </row>
    <row r="119">
      <c r="D119" s="168"/>
      <c r="E119" s="148"/>
      <c r="G119" s="160"/>
      <c r="L119" s="161"/>
      <c r="M119" s="161"/>
      <c r="N119" s="162"/>
      <c r="O119" s="18"/>
      <c r="P119" s="18"/>
      <c r="Q119" s="18"/>
      <c r="R119" s="18"/>
      <c r="U119" s="148"/>
    </row>
    <row r="120">
      <c r="D120" s="168"/>
      <c r="E120" s="148"/>
      <c r="G120" s="160"/>
      <c r="L120" s="161"/>
      <c r="M120" s="161"/>
      <c r="N120" s="162"/>
      <c r="O120" s="18"/>
      <c r="P120" s="18"/>
      <c r="Q120" s="18"/>
      <c r="R120" s="18"/>
      <c r="U120" s="148"/>
    </row>
    <row r="121">
      <c r="D121" s="168"/>
      <c r="E121" s="148"/>
      <c r="G121" s="160"/>
      <c r="L121" s="161"/>
      <c r="M121" s="161"/>
      <c r="N121" s="162"/>
      <c r="O121" s="18"/>
      <c r="P121" s="18"/>
      <c r="Q121" s="18"/>
      <c r="R121" s="18"/>
      <c r="U121" s="148"/>
    </row>
    <row r="122">
      <c r="D122" s="168"/>
      <c r="E122" s="148"/>
      <c r="G122" s="160"/>
      <c r="L122" s="161"/>
      <c r="M122" s="161"/>
      <c r="N122" s="162"/>
      <c r="O122" s="18"/>
      <c r="P122" s="18"/>
      <c r="Q122" s="18"/>
      <c r="R122" s="18"/>
      <c r="U122" s="148"/>
    </row>
    <row r="123">
      <c r="D123" s="168"/>
      <c r="E123" s="148"/>
      <c r="G123" s="160"/>
      <c r="L123" s="161"/>
      <c r="M123" s="161"/>
      <c r="N123" s="162"/>
      <c r="O123" s="18"/>
      <c r="P123" s="18"/>
      <c r="Q123" s="18"/>
      <c r="R123" s="18"/>
      <c r="U123" s="148"/>
    </row>
    <row r="124">
      <c r="D124" s="168"/>
      <c r="E124" s="148"/>
      <c r="G124" s="160"/>
      <c r="L124" s="161"/>
      <c r="M124" s="161"/>
      <c r="N124" s="162"/>
      <c r="O124" s="18"/>
      <c r="P124" s="18"/>
      <c r="Q124" s="18"/>
      <c r="R124" s="18"/>
      <c r="U124" s="148"/>
    </row>
    <row r="125">
      <c r="D125" s="168"/>
      <c r="E125" s="148"/>
      <c r="G125" s="160"/>
      <c r="L125" s="161"/>
      <c r="M125" s="161"/>
      <c r="N125" s="162"/>
      <c r="O125" s="18"/>
      <c r="P125" s="18"/>
      <c r="Q125" s="18"/>
      <c r="R125" s="18"/>
      <c r="U125" s="148"/>
    </row>
    <row r="126">
      <c r="D126" s="168"/>
      <c r="E126" s="148"/>
      <c r="G126" s="160"/>
      <c r="L126" s="161"/>
      <c r="M126" s="161"/>
      <c r="N126" s="162"/>
      <c r="O126" s="18"/>
      <c r="P126" s="18"/>
      <c r="Q126" s="18"/>
      <c r="R126" s="18"/>
      <c r="U126" s="148"/>
    </row>
    <row r="127">
      <c r="D127" s="168"/>
      <c r="E127" s="148"/>
      <c r="G127" s="160"/>
      <c r="L127" s="161"/>
      <c r="M127" s="161"/>
      <c r="N127" s="162"/>
      <c r="O127" s="18"/>
      <c r="P127" s="18"/>
      <c r="Q127" s="18"/>
      <c r="R127" s="18"/>
      <c r="U127" s="148"/>
    </row>
    <row r="128">
      <c r="D128" s="168"/>
      <c r="E128" s="148"/>
      <c r="G128" s="160"/>
      <c r="L128" s="161"/>
      <c r="M128" s="161"/>
      <c r="N128" s="162"/>
      <c r="O128" s="18"/>
      <c r="P128" s="18"/>
      <c r="Q128" s="18"/>
      <c r="R128" s="18"/>
      <c r="U128" s="148"/>
    </row>
    <row r="129">
      <c r="D129" s="168"/>
      <c r="E129" s="148"/>
      <c r="G129" s="160"/>
      <c r="L129" s="161"/>
      <c r="M129" s="161"/>
      <c r="N129" s="162"/>
      <c r="O129" s="18"/>
      <c r="P129" s="18"/>
      <c r="Q129" s="18"/>
      <c r="R129" s="18"/>
      <c r="U129" s="148"/>
    </row>
    <row r="130">
      <c r="D130" s="168"/>
      <c r="E130" s="148"/>
      <c r="G130" s="160"/>
      <c r="L130" s="161"/>
      <c r="M130" s="161"/>
      <c r="N130" s="162"/>
      <c r="O130" s="18"/>
      <c r="P130" s="18"/>
      <c r="Q130" s="18"/>
      <c r="R130" s="18"/>
      <c r="U130" s="148"/>
    </row>
    <row r="131">
      <c r="D131" s="168"/>
      <c r="E131" s="148"/>
      <c r="G131" s="160"/>
      <c r="L131" s="161"/>
      <c r="M131" s="161"/>
      <c r="N131" s="162"/>
      <c r="O131" s="18"/>
      <c r="P131" s="18"/>
      <c r="Q131" s="18"/>
      <c r="R131" s="18"/>
      <c r="U131" s="148"/>
    </row>
    <row r="132">
      <c r="D132" s="168"/>
      <c r="E132" s="148"/>
      <c r="G132" s="160"/>
      <c r="L132" s="161"/>
      <c r="M132" s="161"/>
      <c r="N132" s="162"/>
      <c r="O132" s="18"/>
      <c r="P132" s="18"/>
      <c r="Q132" s="18"/>
      <c r="R132" s="18"/>
      <c r="U132" s="148"/>
    </row>
    <row r="133">
      <c r="D133" s="168"/>
      <c r="E133" s="148"/>
      <c r="G133" s="160"/>
      <c r="L133" s="161"/>
      <c r="M133" s="161"/>
      <c r="N133" s="162"/>
      <c r="O133" s="18"/>
      <c r="P133" s="18"/>
      <c r="Q133" s="18"/>
      <c r="R133" s="18"/>
      <c r="U133" s="148"/>
    </row>
    <row r="134">
      <c r="D134" s="168"/>
      <c r="E134" s="148"/>
      <c r="G134" s="160"/>
      <c r="L134" s="161"/>
      <c r="M134" s="161"/>
      <c r="N134" s="162"/>
      <c r="O134" s="18"/>
      <c r="P134" s="18"/>
      <c r="Q134" s="18"/>
      <c r="R134" s="18"/>
      <c r="U134" s="148"/>
    </row>
    <row r="135">
      <c r="D135" s="168"/>
      <c r="E135" s="148"/>
      <c r="G135" s="160"/>
      <c r="L135" s="161"/>
      <c r="M135" s="161"/>
      <c r="N135" s="162"/>
      <c r="O135" s="18"/>
      <c r="P135" s="18"/>
      <c r="Q135" s="18"/>
      <c r="R135" s="18"/>
      <c r="U135" s="148"/>
    </row>
    <row r="136">
      <c r="D136" s="168"/>
      <c r="E136" s="148"/>
      <c r="G136" s="160"/>
      <c r="L136" s="161"/>
      <c r="M136" s="161"/>
      <c r="N136" s="162"/>
      <c r="O136" s="18"/>
      <c r="P136" s="18"/>
      <c r="Q136" s="18"/>
      <c r="R136" s="18"/>
      <c r="U136" s="148"/>
    </row>
    <row r="137">
      <c r="D137" s="168"/>
      <c r="E137" s="148"/>
      <c r="G137" s="160"/>
      <c r="L137" s="161"/>
      <c r="M137" s="161"/>
      <c r="N137" s="162"/>
      <c r="O137" s="18"/>
      <c r="P137" s="18"/>
      <c r="Q137" s="18"/>
      <c r="R137" s="18"/>
      <c r="U137" s="148"/>
    </row>
    <row r="138">
      <c r="D138" s="168"/>
      <c r="E138" s="148"/>
      <c r="G138" s="160"/>
      <c r="L138" s="161"/>
      <c r="M138" s="161"/>
      <c r="N138" s="162"/>
      <c r="O138" s="18"/>
      <c r="P138" s="18"/>
      <c r="Q138" s="18"/>
      <c r="R138" s="18"/>
      <c r="U138" s="148"/>
    </row>
    <row r="139">
      <c r="D139" s="168"/>
      <c r="E139" s="148"/>
      <c r="G139" s="160"/>
      <c r="L139" s="161"/>
      <c r="M139" s="161"/>
      <c r="N139" s="162"/>
      <c r="O139" s="18"/>
      <c r="P139" s="18"/>
      <c r="Q139" s="18"/>
      <c r="R139" s="18"/>
      <c r="U139" s="148"/>
    </row>
    <row r="140">
      <c r="D140" s="168"/>
      <c r="E140" s="148"/>
      <c r="G140" s="160"/>
      <c r="L140" s="161"/>
      <c r="M140" s="161"/>
      <c r="N140" s="162"/>
      <c r="O140" s="18"/>
      <c r="P140" s="18"/>
      <c r="Q140" s="18"/>
      <c r="R140" s="18"/>
      <c r="U140" s="148"/>
    </row>
    <row r="141">
      <c r="D141" s="168"/>
      <c r="E141" s="148"/>
      <c r="G141" s="160"/>
      <c r="L141" s="161"/>
      <c r="M141" s="161"/>
      <c r="N141" s="162"/>
      <c r="O141" s="18"/>
      <c r="P141" s="18"/>
      <c r="Q141" s="18"/>
      <c r="R141" s="18"/>
      <c r="U141" s="148"/>
    </row>
    <row r="142">
      <c r="D142" s="168"/>
      <c r="E142" s="148"/>
      <c r="G142" s="160"/>
      <c r="L142" s="161"/>
      <c r="M142" s="161"/>
      <c r="N142" s="162"/>
      <c r="O142" s="18"/>
      <c r="P142" s="18"/>
      <c r="Q142" s="18"/>
      <c r="R142" s="18"/>
      <c r="U142" s="148"/>
    </row>
    <row r="143">
      <c r="D143" s="168"/>
      <c r="E143" s="148"/>
      <c r="G143" s="160"/>
      <c r="L143" s="161"/>
      <c r="M143" s="161"/>
      <c r="N143" s="162"/>
      <c r="O143" s="18"/>
      <c r="P143" s="18"/>
      <c r="Q143" s="18"/>
      <c r="R143" s="18"/>
      <c r="U143" s="148"/>
    </row>
    <row r="144">
      <c r="D144" s="168"/>
      <c r="E144" s="148"/>
      <c r="G144" s="160"/>
      <c r="L144" s="161"/>
      <c r="M144" s="161"/>
      <c r="N144" s="162"/>
      <c r="O144" s="18"/>
      <c r="P144" s="18"/>
      <c r="Q144" s="18"/>
      <c r="R144" s="18"/>
      <c r="U144" s="148"/>
    </row>
    <row r="145">
      <c r="D145" s="168"/>
      <c r="E145" s="148"/>
      <c r="G145" s="160"/>
      <c r="L145" s="161"/>
      <c r="M145" s="161"/>
      <c r="N145" s="162"/>
      <c r="O145" s="18"/>
      <c r="P145" s="18"/>
      <c r="Q145" s="18"/>
      <c r="R145" s="18"/>
      <c r="U145" s="148"/>
    </row>
    <row r="146">
      <c r="D146" s="168"/>
      <c r="E146" s="148"/>
      <c r="G146" s="160"/>
      <c r="L146" s="161"/>
      <c r="M146" s="161"/>
      <c r="N146" s="162"/>
      <c r="O146" s="18"/>
      <c r="P146" s="18"/>
      <c r="Q146" s="18"/>
      <c r="R146" s="18"/>
      <c r="U146" s="148"/>
    </row>
    <row r="147">
      <c r="D147" s="168"/>
      <c r="E147" s="148"/>
      <c r="G147" s="160"/>
      <c r="L147" s="161"/>
      <c r="M147" s="161"/>
      <c r="N147" s="162"/>
      <c r="O147" s="18"/>
      <c r="P147" s="18"/>
      <c r="Q147" s="18"/>
      <c r="R147" s="18"/>
      <c r="U147" s="148"/>
    </row>
    <row r="148">
      <c r="D148" s="168"/>
      <c r="E148" s="148"/>
      <c r="G148" s="160"/>
      <c r="L148" s="161"/>
      <c r="M148" s="161"/>
      <c r="N148" s="162"/>
      <c r="O148" s="18"/>
      <c r="P148" s="18"/>
      <c r="Q148" s="18"/>
      <c r="R148" s="18"/>
      <c r="U148" s="148"/>
    </row>
    <row r="149">
      <c r="D149" s="168"/>
      <c r="E149" s="148"/>
      <c r="G149" s="160"/>
      <c r="L149" s="161"/>
      <c r="M149" s="161"/>
      <c r="N149" s="162"/>
      <c r="O149" s="18"/>
      <c r="P149" s="18"/>
      <c r="Q149" s="18"/>
      <c r="R149" s="18"/>
      <c r="U149" s="148"/>
    </row>
    <row r="150">
      <c r="D150" s="168"/>
      <c r="E150" s="148"/>
      <c r="G150" s="160"/>
      <c r="L150" s="161"/>
      <c r="M150" s="161"/>
      <c r="N150" s="162"/>
      <c r="O150" s="18"/>
      <c r="P150" s="18"/>
      <c r="Q150" s="18"/>
      <c r="R150" s="18"/>
      <c r="U150" s="148"/>
    </row>
    <row r="151">
      <c r="D151" s="168"/>
      <c r="E151" s="148"/>
      <c r="G151" s="160"/>
      <c r="L151" s="161"/>
      <c r="M151" s="161"/>
      <c r="N151" s="162"/>
      <c r="O151" s="18"/>
      <c r="P151" s="18"/>
      <c r="Q151" s="18"/>
      <c r="R151" s="18"/>
      <c r="U151" s="148"/>
    </row>
    <row r="152">
      <c r="D152" s="168"/>
      <c r="E152" s="148"/>
      <c r="G152" s="160"/>
      <c r="L152" s="161"/>
      <c r="M152" s="161"/>
      <c r="N152" s="162"/>
      <c r="O152" s="18"/>
      <c r="P152" s="18"/>
      <c r="Q152" s="18"/>
      <c r="R152" s="18"/>
      <c r="U152" s="148"/>
    </row>
    <row r="153">
      <c r="D153" s="168"/>
      <c r="E153" s="148"/>
      <c r="G153" s="160"/>
      <c r="L153" s="161"/>
      <c r="M153" s="161"/>
      <c r="N153" s="162"/>
      <c r="O153" s="18"/>
      <c r="P153" s="18"/>
      <c r="Q153" s="18"/>
      <c r="R153" s="18"/>
      <c r="U153" s="148"/>
    </row>
    <row r="154">
      <c r="D154" s="168"/>
      <c r="E154" s="148"/>
      <c r="G154" s="160"/>
      <c r="L154" s="161"/>
      <c r="M154" s="161"/>
      <c r="N154" s="162"/>
      <c r="O154" s="18"/>
      <c r="P154" s="18"/>
      <c r="Q154" s="18"/>
      <c r="R154" s="18"/>
      <c r="U154" s="148"/>
    </row>
    <row r="155">
      <c r="D155" s="168"/>
      <c r="E155" s="148"/>
      <c r="G155" s="160"/>
      <c r="L155" s="161"/>
      <c r="M155" s="161"/>
      <c r="N155" s="162"/>
      <c r="O155" s="18"/>
      <c r="P155" s="18"/>
      <c r="Q155" s="18"/>
      <c r="R155" s="18"/>
      <c r="U155" s="148"/>
    </row>
    <row r="156">
      <c r="D156" s="168"/>
      <c r="E156" s="148"/>
      <c r="G156" s="160"/>
      <c r="L156" s="161"/>
      <c r="M156" s="161"/>
      <c r="N156" s="162"/>
      <c r="O156" s="18"/>
      <c r="P156" s="18"/>
      <c r="Q156" s="18"/>
      <c r="R156" s="18"/>
      <c r="U156" s="148"/>
    </row>
    <row r="157">
      <c r="D157" s="168"/>
      <c r="E157" s="148"/>
      <c r="G157" s="160"/>
      <c r="L157" s="161"/>
      <c r="M157" s="161"/>
      <c r="N157" s="162"/>
      <c r="O157" s="18"/>
      <c r="P157" s="18"/>
      <c r="Q157" s="18"/>
      <c r="R157" s="18"/>
      <c r="U157" s="148"/>
    </row>
    <row r="158">
      <c r="D158" s="168"/>
      <c r="E158" s="148"/>
      <c r="G158" s="160"/>
      <c r="L158" s="161"/>
      <c r="M158" s="161"/>
      <c r="N158" s="162"/>
      <c r="O158" s="18"/>
      <c r="P158" s="18"/>
      <c r="Q158" s="18"/>
      <c r="R158" s="18"/>
      <c r="U158" s="148"/>
    </row>
    <row r="159">
      <c r="D159" s="168"/>
      <c r="E159" s="148"/>
      <c r="G159" s="160"/>
      <c r="L159" s="161"/>
      <c r="M159" s="161"/>
      <c r="N159" s="162"/>
      <c r="O159" s="18"/>
      <c r="P159" s="18"/>
      <c r="Q159" s="18"/>
      <c r="R159" s="18"/>
      <c r="U159" s="148"/>
    </row>
    <row r="160">
      <c r="D160" s="168"/>
      <c r="E160" s="148"/>
      <c r="G160" s="160"/>
      <c r="L160" s="161"/>
      <c r="M160" s="161"/>
      <c r="N160" s="162"/>
      <c r="O160" s="18"/>
      <c r="P160" s="18"/>
      <c r="Q160" s="18"/>
      <c r="R160" s="18"/>
      <c r="U160" s="148"/>
    </row>
    <row r="161">
      <c r="D161" s="168"/>
      <c r="E161" s="148"/>
      <c r="G161" s="160"/>
      <c r="L161" s="161"/>
      <c r="M161" s="161"/>
      <c r="N161" s="162"/>
      <c r="O161" s="18"/>
      <c r="P161" s="18"/>
      <c r="Q161" s="18"/>
      <c r="R161" s="18"/>
      <c r="U161" s="148"/>
    </row>
    <row r="162">
      <c r="D162" s="168"/>
      <c r="E162" s="148"/>
      <c r="G162" s="160"/>
      <c r="L162" s="161"/>
      <c r="M162" s="161"/>
      <c r="N162" s="162"/>
      <c r="O162" s="18"/>
      <c r="P162" s="18"/>
      <c r="Q162" s="18"/>
      <c r="R162" s="18"/>
      <c r="U162" s="148"/>
    </row>
    <row r="163">
      <c r="D163" s="168"/>
      <c r="E163" s="148"/>
      <c r="G163" s="160"/>
      <c r="L163" s="161"/>
      <c r="M163" s="161"/>
      <c r="N163" s="162"/>
      <c r="O163" s="18"/>
      <c r="P163" s="18"/>
      <c r="Q163" s="18"/>
      <c r="R163" s="18"/>
      <c r="U163" s="148"/>
    </row>
    <row r="164">
      <c r="D164" s="168"/>
      <c r="E164" s="148"/>
      <c r="G164" s="160"/>
      <c r="L164" s="161"/>
      <c r="M164" s="161"/>
      <c r="N164" s="162"/>
      <c r="O164" s="18"/>
      <c r="P164" s="18"/>
      <c r="Q164" s="18"/>
      <c r="R164" s="18"/>
      <c r="U164" s="148"/>
    </row>
    <row r="165">
      <c r="D165" s="168"/>
      <c r="E165" s="148"/>
      <c r="G165" s="160"/>
      <c r="L165" s="161"/>
      <c r="M165" s="161"/>
      <c r="N165" s="162"/>
      <c r="O165" s="18"/>
      <c r="P165" s="18"/>
      <c r="Q165" s="18"/>
      <c r="R165" s="18"/>
      <c r="U165" s="148"/>
    </row>
    <row r="166">
      <c r="D166" s="168"/>
      <c r="E166" s="148"/>
      <c r="G166" s="160"/>
      <c r="L166" s="161"/>
      <c r="M166" s="161"/>
      <c r="N166" s="162"/>
      <c r="O166" s="18"/>
      <c r="P166" s="18"/>
      <c r="Q166" s="18"/>
      <c r="R166" s="18"/>
      <c r="U166" s="148"/>
    </row>
    <row r="167">
      <c r="D167" s="168"/>
      <c r="E167" s="148"/>
      <c r="G167" s="160"/>
      <c r="L167" s="161"/>
      <c r="M167" s="161"/>
      <c r="N167" s="162"/>
      <c r="O167" s="18"/>
      <c r="P167" s="18"/>
      <c r="Q167" s="18"/>
      <c r="R167" s="18"/>
      <c r="U167" s="148"/>
    </row>
    <row r="168">
      <c r="D168" s="168"/>
      <c r="E168" s="148"/>
      <c r="G168" s="160"/>
      <c r="L168" s="161"/>
      <c r="M168" s="161"/>
      <c r="N168" s="162"/>
      <c r="O168" s="18"/>
      <c r="P168" s="18"/>
      <c r="Q168" s="18"/>
      <c r="R168" s="18"/>
      <c r="U168" s="148"/>
    </row>
    <row r="169">
      <c r="D169" s="168"/>
      <c r="E169" s="148"/>
      <c r="G169" s="160"/>
      <c r="L169" s="161"/>
      <c r="M169" s="161"/>
      <c r="N169" s="162"/>
      <c r="O169" s="18"/>
      <c r="P169" s="18"/>
      <c r="Q169" s="18"/>
      <c r="R169" s="18"/>
      <c r="U169" s="148"/>
    </row>
    <row r="170">
      <c r="D170" s="168"/>
      <c r="E170" s="148"/>
      <c r="G170" s="160"/>
      <c r="L170" s="161"/>
      <c r="M170" s="161"/>
      <c r="N170" s="162"/>
      <c r="O170" s="18"/>
      <c r="P170" s="18"/>
      <c r="Q170" s="18"/>
      <c r="R170" s="18"/>
      <c r="U170" s="148"/>
    </row>
    <row r="171">
      <c r="D171" s="168"/>
      <c r="E171" s="148"/>
      <c r="G171" s="160"/>
      <c r="L171" s="161"/>
      <c r="M171" s="161"/>
      <c r="N171" s="162"/>
      <c r="O171" s="18"/>
      <c r="P171" s="18"/>
      <c r="Q171" s="18"/>
      <c r="R171" s="18"/>
      <c r="U171" s="148"/>
    </row>
    <row r="172">
      <c r="D172" s="168"/>
      <c r="E172" s="148"/>
      <c r="G172" s="160"/>
      <c r="L172" s="161"/>
      <c r="M172" s="161"/>
      <c r="N172" s="162"/>
      <c r="O172" s="18"/>
      <c r="P172" s="18"/>
      <c r="Q172" s="18"/>
      <c r="R172" s="18"/>
      <c r="U172" s="148"/>
    </row>
    <row r="173">
      <c r="D173" s="168"/>
      <c r="E173" s="148"/>
      <c r="G173" s="160"/>
      <c r="L173" s="161"/>
      <c r="M173" s="161"/>
      <c r="N173" s="162"/>
      <c r="O173" s="18"/>
      <c r="P173" s="18"/>
      <c r="Q173" s="18"/>
      <c r="R173" s="18"/>
      <c r="U173" s="148"/>
    </row>
    <row r="174">
      <c r="D174" s="168"/>
      <c r="E174" s="148"/>
      <c r="G174" s="160"/>
      <c r="L174" s="161"/>
      <c r="M174" s="161"/>
      <c r="N174" s="162"/>
      <c r="O174" s="18"/>
      <c r="P174" s="18"/>
      <c r="Q174" s="18"/>
      <c r="R174" s="18"/>
      <c r="U174" s="148"/>
    </row>
    <row r="175">
      <c r="D175" s="168"/>
      <c r="E175" s="148"/>
      <c r="G175" s="160"/>
      <c r="L175" s="161"/>
      <c r="M175" s="161"/>
      <c r="N175" s="162"/>
      <c r="O175" s="18"/>
      <c r="P175" s="18"/>
      <c r="Q175" s="18"/>
      <c r="R175" s="18"/>
      <c r="U175" s="148"/>
    </row>
    <row r="176">
      <c r="D176" s="168"/>
      <c r="E176" s="148"/>
      <c r="G176" s="160"/>
      <c r="L176" s="161"/>
      <c r="M176" s="161"/>
      <c r="N176" s="162"/>
      <c r="O176" s="18"/>
      <c r="P176" s="18"/>
      <c r="Q176" s="18"/>
      <c r="R176" s="18"/>
      <c r="U176" s="148"/>
    </row>
    <row r="177">
      <c r="D177" s="168"/>
      <c r="E177" s="148"/>
      <c r="G177" s="160"/>
      <c r="L177" s="161"/>
      <c r="M177" s="161"/>
      <c r="N177" s="162"/>
      <c r="O177" s="18"/>
      <c r="P177" s="18"/>
      <c r="Q177" s="18"/>
      <c r="R177" s="18"/>
      <c r="U177" s="148"/>
    </row>
    <row r="178">
      <c r="D178" s="168"/>
      <c r="E178" s="148"/>
      <c r="G178" s="160"/>
      <c r="L178" s="161"/>
      <c r="M178" s="161"/>
      <c r="N178" s="162"/>
      <c r="O178" s="18"/>
      <c r="P178" s="18"/>
      <c r="Q178" s="18"/>
      <c r="R178" s="18"/>
      <c r="U178" s="148"/>
    </row>
    <row r="179">
      <c r="D179" s="168"/>
      <c r="E179" s="148"/>
      <c r="G179" s="160"/>
      <c r="L179" s="161"/>
      <c r="M179" s="161"/>
      <c r="N179" s="162"/>
      <c r="O179" s="18"/>
      <c r="P179" s="18"/>
      <c r="Q179" s="18"/>
      <c r="R179" s="18"/>
      <c r="U179" s="148"/>
    </row>
    <row r="180">
      <c r="D180" s="168"/>
      <c r="E180" s="148"/>
      <c r="G180" s="160"/>
      <c r="L180" s="161"/>
      <c r="M180" s="161"/>
      <c r="N180" s="162"/>
      <c r="O180" s="18"/>
      <c r="P180" s="18"/>
      <c r="Q180" s="18"/>
      <c r="R180" s="18"/>
      <c r="U180" s="148"/>
    </row>
    <row r="181">
      <c r="D181" s="168"/>
      <c r="E181" s="148"/>
      <c r="G181" s="160"/>
      <c r="L181" s="161"/>
      <c r="M181" s="161"/>
      <c r="N181" s="162"/>
      <c r="O181" s="18"/>
      <c r="P181" s="18"/>
      <c r="Q181" s="18"/>
      <c r="R181" s="18"/>
      <c r="U181" s="148"/>
    </row>
    <row r="182">
      <c r="D182" s="168"/>
      <c r="E182" s="148"/>
      <c r="G182" s="160"/>
      <c r="L182" s="161"/>
      <c r="M182" s="161"/>
      <c r="N182" s="162"/>
      <c r="O182" s="18"/>
      <c r="P182" s="18"/>
      <c r="Q182" s="18"/>
      <c r="R182" s="18"/>
      <c r="U182" s="148"/>
    </row>
    <row r="183">
      <c r="D183" s="168"/>
      <c r="E183" s="148"/>
      <c r="G183" s="160"/>
      <c r="L183" s="161"/>
      <c r="M183" s="161"/>
      <c r="N183" s="162"/>
      <c r="O183" s="18"/>
      <c r="P183" s="18"/>
      <c r="Q183" s="18"/>
      <c r="R183" s="18"/>
      <c r="U183" s="148"/>
    </row>
    <row r="184">
      <c r="D184" s="168"/>
      <c r="E184" s="148"/>
      <c r="G184" s="160"/>
      <c r="L184" s="161"/>
      <c r="M184" s="161"/>
      <c r="N184" s="162"/>
      <c r="O184" s="18"/>
      <c r="P184" s="18"/>
      <c r="Q184" s="18"/>
      <c r="R184" s="18"/>
      <c r="U184" s="148"/>
    </row>
    <row r="185">
      <c r="D185" s="168"/>
      <c r="E185" s="148"/>
      <c r="G185" s="160"/>
      <c r="L185" s="161"/>
      <c r="M185" s="161"/>
      <c r="N185" s="162"/>
      <c r="O185" s="18"/>
      <c r="P185" s="18"/>
      <c r="Q185" s="18"/>
      <c r="R185" s="18"/>
      <c r="U185" s="148"/>
    </row>
    <row r="186">
      <c r="D186" s="168"/>
      <c r="E186" s="148"/>
      <c r="G186" s="160"/>
      <c r="L186" s="161"/>
      <c r="M186" s="161"/>
      <c r="N186" s="162"/>
      <c r="O186" s="18"/>
      <c r="P186" s="18"/>
      <c r="Q186" s="18"/>
      <c r="R186" s="18"/>
      <c r="U186" s="148"/>
    </row>
    <row r="187">
      <c r="D187" s="168"/>
      <c r="E187" s="148"/>
      <c r="G187" s="160"/>
      <c r="L187" s="161"/>
      <c r="M187" s="161"/>
      <c r="N187" s="162"/>
      <c r="O187" s="18"/>
      <c r="P187" s="18"/>
      <c r="Q187" s="18"/>
      <c r="R187" s="18"/>
      <c r="U187" s="148"/>
    </row>
    <row r="188">
      <c r="D188" s="168"/>
      <c r="E188" s="148"/>
      <c r="G188" s="160"/>
      <c r="L188" s="161"/>
      <c r="M188" s="161"/>
      <c r="N188" s="162"/>
      <c r="O188" s="18"/>
      <c r="P188" s="18"/>
      <c r="Q188" s="18"/>
      <c r="R188" s="18"/>
      <c r="U188" s="148"/>
    </row>
    <row r="189">
      <c r="D189" s="168"/>
      <c r="E189" s="148"/>
      <c r="G189" s="160"/>
      <c r="L189" s="161"/>
      <c r="M189" s="161"/>
      <c r="N189" s="162"/>
      <c r="O189" s="18"/>
      <c r="P189" s="18"/>
      <c r="Q189" s="18"/>
      <c r="R189" s="18"/>
      <c r="U189" s="148"/>
    </row>
    <row r="190">
      <c r="D190" s="168"/>
      <c r="E190" s="148"/>
      <c r="G190" s="160"/>
      <c r="L190" s="161"/>
      <c r="M190" s="161"/>
      <c r="N190" s="162"/>
      <c r="O190" s="18"/>
      <c r="P190" s="18"/>
      <c r="Q190" s="18"/>
      <c r="R190" s="18"/>
      <c r="U190" s="148"/>
    </row>
    <row r="191">
      <c r="D191" s="168"/>
      <c r="E191" s="148"/>
      <c r="G191" s="160"/>
      <c r="L191" s="161"/>
      <c r="M191" s="161"/>
      <c r="N191" s="162"/>
      <c r="O191" s="18"/>
      <c r="P191" s="18"/>
      <c r="Q191" s="18"/>
      <c r="R191" s="18"/>
      <c r="U191" s="148"/>
    </row>
    <row r="192">
      <c r="D192" s="168"/>
      <c r="E192" s="148"/>
      <c r="G192" s="160"/>
      <c r="L192" s="161"/>
      <c r="M192" s="161"/>
      <c r="N192" s="162"/>
      <c r="O192" s="18"/>
      <c r="P192" s="18"/>
      <c r="Q192" s="18"/>
      <c r="R192" s="18"/>
      <c r="U192" s="148"/>
    </row>
    <row r="193">
      <c r="D193" s="168"/>
      <c r="E193" s="148"/>
      <c r="G193" s="160"/>
      <c r="L193" s="161"/>
      <c r="M193" s="161"/>
      <c r="N193" s="162"/>
      <c r="O193" s="18"/>
      <c r="P193" s="18"/>
      <c r="Q193" s="18"/>
      <c r="R193" s="18"/>
      <c r="U193" s="148"/>
    </row>
    <row r="194">
      <c r="D194" s="168"/>
      <c r="E194" s="148"/>
      <c r="G194" s="160"/>
      <c r="L194" s="161"/>
      <c r="M194" s="161"/>
      <c r="N194" s="162"/>
      <c r="O194" s="18"/>
      <c r="P194" s="18"/>
      <c r="Q194" s="18"/>
      <c r="R194" s="18"/>
      <c r="U194" s="148"/>
    </row>
    <row r="195">
      <c r="D195" s="168"/>
      <c r="E195" s="148"/>
      <c r="G195" s="160"/>
      <c r="L195" s="161"/>
      <c r="M195" s="161"/>
      <c r="N195" s="162"/>
      <c r="O195" s="18"/>
      <c r="P195" s="18"/>
      <c r="Q195" s="18"/>
      <c r="R195" s="18"/>
      <c r="U195" s="148"/>
    </row>
    <row r="196">
      <c r="D196" s="168"/>
      <c r="E196" s="148"/>
      <c r="G196" s="160"/>
      <c r="L196" s="161"/>
      <c r="M196" s="161"/>
      <c r="N196" s="162"/>
      <c r="O196" s="18"/>
      <c r="P196" s="18"/>
      <c r="Q196" s="18"/>
      <c r="R196" s="18"/>
      <c r="U196" s="148"/>
    </row>
    <row r="197">
      <c r="D197" s="168"/>
      <c r="E197" s="148"/>
      <c r="G197" s="160"/>
      <c r="L197" s="161"/>
      <c r="M197" s="161"/>
      <c r="N197" s="162"/>
      <c r="O197" s="18"/>
      <c r="P197" s="18"/>
      <c r="Q197" s="18"/>
      <c r="R197" s="18"/>
      <c r="U197" s="148"/>
    </row>
    <row r="198">
      <c r="D198" s="168"/>
      <c r="E198" s="148"/>
      <c r="G198" s="160"/>
      <c r="L198" s="161"/>
      <c r="M198" s="161"/>
      <c r="N198" s="162"/>
      <c r="O198" s="18"/>
      <c r="P198" s="18"/>
      <c r="Q198" s="18"/>
      <c r="R198" s="18"/>
      <c r="U198" s="148"/>
    </row>
    <row r="199">
      <c r="D199" s="168"/>
      <c r="E199" s="148"/>
      <c r="G199" s="160"/>
      <c r="L199" s="161"/>
      <c r="M199" s="161"/>
      <c r="N199" s="162"/>
      <c r="O199" s="18"/>
      <c r="P199" s="18"/>
      <c r="Q199" s="18"/>
      <c r="R199" s="18"/>
      <c r="U199" s="148"/>
    </row>
    <row r="200">
      <c r="D200" s="168"/>
      <c r="E200" s="148"/>
      <c r="G200" s="160"/>
      <c r="L200" s="161"/>
      <c r="M200" s="161"/>
      <c r="N200" s="162"/>
      <c r="O200" s="18"/>
      <c r="P200" s="18"/>
      <c r="Q200" s="18"/>
      <c r="R200" s="18"/>
      <c r="U200" s="148"/>
    </row>
    <row r="201">
      <c r="D201" s="168"/>
      <c r="E201" s="148"/>
      <c r="G201" s="160"/>
      <c r="L201" s="161"/>
      <c r="M201" s="161"/>
      <c r="N201" s="162"/>
      <c r="O201" s="18"/>
      <c r="P201" s="18"/>
      <c r="Q201" s="18"/>
      <c r="R201" s="18"/>
      <c r="U201" s="148"/>
    </row>
    <row r="202">
      <c r="D202" s="168"/>
      <c r="E202" s="148"/>
      <c r="G202" s="160"/>
      <c r="L202" s="161"/>
      <c r="M202" s="161"/>
      <c r="N202" s="162"/>
      <c r="O202" s="18"/>
      <c r="P202" s="18"/>
      <c r="Q202" s="18"/>
      <c r="R202" s="18"/>
      <c r="U202" s="148"/>
    </row>
    <row r="203">
      <c r="D203" s="168"/>
      <c r="E203" s="148"/>
      <c r="G203" s="160"/>
      <c r="L203" s="161"/>
      <c r="M203" s="161"/>
      <c r="N203" s="162"/>
      <c r="O203" s="18"/>
      <c r="P203" s="18"/>
      <c r="Q203" s="18"/>
      <c r="R203" s="18"/>
      <c r="U203" s="148"/>
    </row>
    <row r="204">
      <c r="D204" s="168"/>
      <c r="E204" s="148"/>
      <c r="G204" s="160"/>
      <c r="L204" s="161"/>
      <c r="M204" s="161"/>
      <c r="N204" s="162"/>
      <c r="O204" s="18"/>
      <c r="P204" s="18"/>
      <c r="Q204" s="18"/>
      <c r="R204" s="18"/>
      <c r="U204" s="148"/>
    </row>
    <row r="205">
      <c r="D205" s="168"/>
      <c r="E205" s="148"/>
      <c r="G205" s="160"/>
      <c r="L205" s="161"/>
      <c r="M205" s="161"/>
      <c r="N205" s="162"/>
      <c r="O205" s="18"/>
      <c r="P205" s="18"/>
      <c r="Q205" s="18"/>
      <c r="R205" s="18"/>
      <c r="U205" s="148"/>
    </row>
    <row r="206">
      <c r="D206" s="168"/>
      <c r="E206" s="148"/>
      <c r="G206" s="160"/>
      <c r="L206" s="161"/>
      <c r="M206" s="161"/>
      <c r="N206" s="162"/>
      <c r="O206" s="18"/>
      <c r="P206" s="18"/>
      <c r="Q206" s="18"/>
      <c r="R206" s="18"/>
      <c r="U206" s="148"/>
    </row>
    <row r="207">
      <c r="D207" s="168"/>
      <c r="E207" s="148"/>
      <c r="G207" s="160"/>
      <c r="L207" s="161"/>
      <c r="M207" s="161"/>
      <c r="N207" s="162"/>
      <c r="O207" s="18"/>
      <c r="P207" s="18"/>
      <c r="Q207" s="18"/>
      <c r="R207" s="18"/>
      <c r="U207" s="148"/>
    </row>
    <row r="208">
      <c r="D208" s="168"/>
      <c r="E208" s="148"/>
      <c r="G208" s="160"/>
      <c r="L208" s="161"/>
      <c r="M208" s="161"/>
      <c r="N208" s="162"/>
      <c r="O208" s="18"/>
      <c r="P208" s="18"/>
      <c r="Q208" s="18"/>
      <c r="R208" s="18"/>
      <c r="U208" s="148"/>
    </row>
    <row r="209">
      <c r="D209" s="168"/>
      <c r="E209" s="148"/>
      <c r="G209" s="160"/>
      <c r="L209" s="161"/>
      <c r="M209" s="161"/>
      <c r="N209" s="162"/>
      <c r="O209" s="18"/>
      <c r="P209" s="18"/>
      <c r="Q209" s="18"/>
      <c r="R209" s="18"/>
      <c r="U209" s="148"/>
    </row>
    <row r="210">
      <c r="D210" s="168"/>
      <c r="E210" s="148"/>
      <c r="G210" s="160"/>
      <c r="L210" s="161"/>
      <c r="M210" s="161"/>
      <c r="N210" s="162"/>
      <c r="O210" s="18"/>
      <c r="P210" s="18"/>
      <c r="Q210" s="18"/>
      <c r="R210" s="18"/>
      <c r="U210" s="148"/>
    </row>
    <row r="211">
      <c r="D211" s="168"/>
      <c r="E211" s="148"/>
      <c r="G211" s="160"/>
      <c r="L211" s="161"/>
      <c r="M211" s="161"/>
      <c r="N211" s="162"/>
      <c r="O211" s="18"/>
      <c r="P211" s="18"/>
      <c r="Q211" s="18"/>
      <c r="R211" s="18"/>
      <c r="U211" s="148"/>
    </row>
    <row r="212">
      <c r="D212" s="168"/>
      <c r="E212" s="148"/>
      <c r="G212" s="160"/>
      <c r="L212" s="161"/>
      <c r="M212" s="161"/>
      <c r="N212" s="162"/>
      <c r="O212" s="18"/>
      <c r="P212" s="18"/>
      <c r="Q212" s="18"/>
      <c r="R212" s="18"/>
      <c r="U212" s="148"/>
    </row>
    <row r="213">
      <c r="D213" s="168"/>
      <c r="E213" s="148"/>
      <c r="G213" s="160"/>
      <c r="L213" s="161"/>
      <c r="M213" s="161"/>
      <c r="N213" s="162"/>
      <c r="O213" s="18"/>
      <c r="P213" s="18"/>
      <c r="Q213" s="18"/>
      <c r="R213" s="18"/>
      <c r="U213" s="148"/>
    </row>
    <row r="214">
      <c r="D214" s="168"/>
      <c r="E214" s="148"/>
      <c r="G214" s="160"/>
      <c r="L214" s="161"/>
      <c r="M214" s="161"/>
      <c r="N214" s="162"/>
      <c r="O214" s="18"/>
      <c r="P214" s="18"/>
      <c r="Q214" s="18"/>
      <c r="R214" s="18"/>
      <c r="U214" s="148"/>
    </row>
    <row r="215">
      <c r="D215" s="168"/>
      <c r="E215" s="148"/>
      <c r="G215" s="160"/>
      <c r="L215" s="161"/>
      <c r="M215" s="161"/>
      <c r="N215" s="162"/>
      <c r="O215" s="18"/>
      <c r="P215" s="18"/>
      <c r="Q215" s="18"/>
      <c r="R215" s="18"/>
      <c r="U215" s="148"/>
    </row>
    <row r="216">
      <c r="D216" s="168"/>
      <c r="E216" s="148"/>
      <c r="G216" s="160"/>
      <c r="L216" s="161"/>
      <c r="M216" s="161"/>
      <c r="N216" s="162"/>
      <c r="O216" s="18"/>
      <c r="P216" s="18"/>
      <c r="Q216" s="18"/>
      <c r="R216" s="18"/>
      <c r="U216" s="148"/>
    </row>
    <row r="217">
      <c r="D217" s="168"/>
      <c r="E217" s="148"/>
      <c r="G217" s="160"/>
      <c r="L217" s="161"/>
      <c r="M217" s="161"/>
      <c r="N217" s="162"/>
      <c r="O217" s="18"/>
      <c r="P217" s="18"/>
      <c r="Q217" s="18"/>
      <c r="R217" s="18"/>
      <c r="U217" s="148"/>
    </row>
    <row r="218">
      <c r="D218" s="168"/>
      <c r="E218" s="148"/>
      <c r="G218" s="160"/>
      <c r="L218" s="161"/>
      <c r="M218" s="161"/>
      <c r="N218" s="162"/>
      <c r="O218" s="18"/>
      <c r="P218" s="18"/>
      <c r="Q218" s="18"/>
      <c r="R218" s="18"/>
      <c r="U218" s="148"/>
    </row>
    <row r="219">
      <c r="D219" s="168"/>
      <c r="E219" s="148"/>
      <c r="G219" s="160"/>
      <c r="L219" s="161"/>
      <c r="M219" s="161"/>
      <c r="N219" s="162"/>
      <c r="O219" s="18"/>
      <c r="P219" s="18"/>
      <c r="Q219" s="18"/>
      <c r="R219" s="18"/>
      <c r="U219" s="148"/>
    </row>
    <row r="220">
      <c r="D220" s="168"/>
      <c r="E220" s="148"/>
      <c r="G220" s="160"/>
      <c r="L220" s="161"/>
      <c r="M220" s="161"/>
      <c r="N220" s="162"/>
      <c r="O220" s="18"/>
      <c r="P220" s="18"/>
      <c r="Q220" s="18"/>
      <c r="R220" s="18"/>
      <c r="U220" s="148"/>
    </row>
    <row r="221">
      <c r="D221" s="168"/>
      <c r="E221" s="148"/>
      <c r="G221" s="160"/>
      <c r="L221" s="161"/>
      <c r="M221" s="161"/>
      <c r="N221" s="162"/>
      <c r="O221" s="18"/>
      <c r="P221" s="18"/>
      <c r="Q221" s="18"/>
      <c r="R221" s="18"/>
      <c r="U221" s="148"/>
    </row>
    <row r="222">
      <c r="D222" s="168"/>
      <c r="E222" s="148"/>
      <c r="G222" s="160"/>
      <c r="L222" s="161"/>
      <c r="M222" s="161"/>
      <c r="N222" s="162"/>
      <c r="O222" s="18"/>
      <c r="P222" s="18"/>
      <c r="Q222" s="18"/>
      <c r="R222" s="18"/>
      <c r="U222" s="148"/>
    </row>
    <row r="223">
      <c r="D223" s="168"/>
      <c r="E223" s="148"/>
      <c r="G223" s="160"/>
      <c r="L223" s="161"/>
      <c r="M223" s="161"/>
      <c r="N223" s="162"/>
      <c r="O223" s="18"/>
      <c r="P223" s="18"/>
      <c r="Q223" s="18"/>
      <c r="R223" s="18"/>
      <c r="U223" s="148"/>
    </row>
    <row r="224">
      <c r="D224" s="168"/>
      <c r="E224" s="148"/>
      <c r="G224" s="160"/>
      <c r="L224" s="161"/>
      <c r="M224" s="161"/>
      <c r="N224" s="162"/>
      <c r="O224" s="18"/>
      <c r="P224" s="18"/>
      <c r="Q224" s="18"/>
      <c r="R224" s="18"/>
      <c r="U224" s="148"/>
    </row>
    <row r="225">
      <c r="D225" s="168"/>
      <c r="E225" s="148"/>
      <c r="G225" s="160"/>
      <c r="L225" s="161"/>
      <c r="M225" s="161"/>
      <c r="N225" s="162"/>
      <c r="O225" s="18"/>
      <c r="P225" s="18"/>
      <c r="Q225" s="18"/>
      <c r="R225" s="18"/>
      <c r="U225" s="148"/>
    </row>
    <row r="226">
      <c r="D226" s="168"/>
      <c r="E226" s="148"/>
      <c r="G226" s="160"/>
      <c r="L226" s="161"/>
      <c r="M226" s="161"/>
      <c r="N226" s="162"/>
      <c r="O226" s="18"/>
      <c r="P226" s="18"/>
      <c r="Q226" s="18"/>
      <c r="R226" s="18"/>
      <c r="U226" s="148"/>
    </row>
    <row r="227">
      <c r="D227" s="168"/>
      <c r="E227" s="148"/>
      <c r="G227" s="160"/>
      <c r="L227" s="161"/>
      <c r="M227" s="161"/>
      <c r="N227" s="162"/>
      <c r="O227" s="18"/>
      <c r="P227" s="18"/>
      <c r="Q227" s="18"/>
      <c r="R227" s="18"/>
      <c r="U227" s="148"/>
    </row>
    <row r="228">
      <c r="D228" s="168"/>
      <c r="E228" s="148"/>
      <c r="G228" s="160"/>
      <c r="L228" s="161"/>
      <c r="M228" s="161"/>
      <c r="N228" s="162"/>
      <c r="O228" s="18"/>
      <c r="P228" s="18"/>
      <c r="Q228" s="18"/>
      <c r="R228" s="18"/>
      <c r="U228" s="148"/>
    </row>
    <row r="229">
      <c r="D229" s="168"/>
      <c r="E229" s="148"/>
      <c r="G229" s="160"/>
      <c r="L229" s="161"/>
      <c r="M229" s="161"/>
      <c r="N229" s="162"/>
      <c r="O229" s="18"/>
      <c r="P229" s="18"/>
      <c r="Q229" s="18"/>
      <c r="R229" s="18"/>
      <c r="U229" s="148"/>
    </row>
    <row r="230">
      <c r="D230" s="168"/>
      <c r="E230" s="148"/>
      <c r="G230" s="160"/>
      <c r="L230" s="161"/>
      <c r="M230" s="161"/>
      <c r="N230" s="162"/>
      <c r="O230" s="18"/>
      <c r="P230" s="18"/>
      <c r="Q230" s="18"/>
      <c r="R230" s="18"/>
      <c r="U230" s="148"/>
    </row>
    <row r="231">
      <c r="D231" s="168"/>
      <c r="E231" s="148"/>
      <c r="G231" s="160"/>
      <c r="L231" s="161"/>
      <c r="M231" s="161"/>
      <c r="N231" s="162"/>
      <c r="O231" s="18"/>
      <c r="P231" s="18"/>
      <c r="Q231" s="18"/>
      <c r="R231" s="18"/>
      <c r="U231" s="148"/>
    </row>
    <row r="232">
      <c r="D232" s="168"/>
      <c r="E232" s="148"/>
      <c r="G232" s="160"/>
      <c r="L232" s="161"/>
      <c r="M232" s="161"/>
      <c r="N232" s="162"/>
      <c r="O232" s="18"/>
      <c r="P232" s="18"/>
      <c r="Q232" s="18"/>
      <c r="R232" s="18"/>
      <c r="U232" s="148"/>
    </row>
    <row r="233">
      <c r="D233" s="168"/>
      <c r="E233" s="148"/>
      <c r="G233" s="160"/>
      <c r="L233" s="161"/>
      <c r="M233" s="161"/>
      <c r="N233" s="162"/>
      <c r="O233" s="18"/>
      <c r="P233" s="18"/>
      <c r="Q233" s="18"/>
      <c r="R233" s="18"/>
      <c r="U233" s="148"/>
    </row>
    <row r="234">
      <c r="D234" s="168"/>
      <c r="E234" s="148"/>
      <c r="G234" s="160"/>
      <c r="L234" s="161"/>
      <c r="M234" s="161"/>
      <c r="N234" s="162"/>
      <c r="O234" s="18"/>
      <c r="P234" s="18"/>
      <c r="Q234" s="18"/>
      <c r="R234" s="18"/>
      <c r="U234" s="148"/>
    </row>
    <row r="235">
      <c r="D235" s="168"/>
      <c r="E235" s="148"/>
      <c r="G235" s="160"/>
      <c r="L235" s="161"/>
      <c r="M235" s="161"/>
      <c r="N235" s="162"/>
      <c r="O235" s="18"/>
      <c r="P235" s="18"/>
      <c r="Q235" s="18"/>
      <c r="R235" s="18"/>
      <c r="U235" s="148"/>
    </row>
    <row r="236">
      <c r="D236" s="168"/>
      <c r="E236" s="148"/>
      <c r="G236" s="160"/>
      <c r="L236" s="161"/>
      <c r="M236" s="161"/>
      <c r="N236" s="162"/>
      <c r="O236" s="18"/>
      <c r="P236" s="18"/>
      <c r="Q236" s="18"/>
      <c r="R236" s="18"/>
      <c r="U236" s="148"/>
    </row>
    <row r="237">
      <c r="D237" s="168"/>
      <c r="E237" s="148"/>
      <c r="G237" s="160"/>
      <c r="L237" s="161"/>
      <c r="M237" s="161"/>
      <c r="N237" s="162"/>
      <c r="O237" s="18"/>
      <c r="P237" s="18"/>
      <c r="Q237" s="18"/>
      <c r="R237" s="18"/>
      <c r="U237" s="148"/>
    </row>
    <row r="238">
      <c r="D238" s="168"/>
      <c r="E238" s="148"/>
      <c r="G238" s="160"/>
      <c r="L238" s="161"/>
      <c r="M238" s="161"/>
      <c r="N238" s="162"/>
      <c r="O238" s="18"/>
      <c r="P238" s="18"/>
      <c r="Q238" s="18"/>
      <c r="R238" s="18"/>
      <c r="U238" s="148"/>
    </row>
    <row r="239">
      <c r="D239" s="168"/>
      <c r="E239" s="148"/>
      <c r="G239" s="160"/>
      <c r="L239" s="161"/>
      <c r="M239" s="161"/>
      <c r="N239" s="162"/>
      <c r="O239" s="18"/>
      <c r="P239" s="18"/>
      <c r="Q239" s="18"/>
      <c r="R239" s="18"/>
      <c r="U239" s="148"/>
    </row>
    <row r="240">
      <c r="D240" s="168"/>
      <c r="E240" s="148"/>
      <c r="G240" s="160"/>
      <c r="L240" s="161"/>
      <c r="M240" s="161"/>
      <c r="N240" s="162"/>
      <c r="O240" s="18"/>
      <c r="P240" s="18"/>
      <c r="Q240" s="18"/>
      <c r="R240" s="18"/>
      <c r="U240" s="148"/>
    </row>
    <row r="241">
      <c r="D241" s="168"/>
      <c r="E241" s="148"/>
      <c r="G241" s="160"/>
      <c r="L241" s="161"/>
      <c r="M241" s="161"/>
      <c r="N241" s="162"/>
      <c r="O241" s="18"/>
      <c r="P241" s="18"/>
      <c r="Q241" s="18"/>
      <c r="R241" s="18"/>
      <c r="U241" s="148"/>
    </row>
    <row r="242">
      <c r="D242" s="168"/>
      <c r="E242" s="148"/>
      <c r="G242" s="160"/>
      <c r="L242" s="161"/>
      <c r="M242" s="161"/>
      <c r="N242" s="162"/>
      <c r="O242" s="18"/>
      <c r="P242" s="18"/>
      <c r="Q242" s="18"/>
      <c r="R242" s="18"/>
      <c r="U242" s="148"/>
    </row>
    <row r="243">
      <c r="D243" s="168"/>
      <c r="E243" s="148"/>
      <c r="G243" s="160"/>
      <c r="L243" s="161"/>
      <c r="M243" s="161"/>
      <c r="N243" s="162"/>
      <c r="O243" s="18"/>
      <c r="P243" s="18"/>
      <c r="Q243" s="18"/>
      <c r="R243" s="18"/>
      <c r="U243" s="148"/>
    </row>
    <row r="244">
      <c r="D244" s="168"/>
      <c r="E244" s="148"/>
      <c r="G244" s="160"/>
      <c r="L244" s="161"/>
      <c r="M244" s="161"/>
      <c r="N244" s="162"/>
      <c r="O244" s="18"/>
      <c r="P244" s="18"/>
      <c r="Q244" s="18"/>
      <c r="R244" s="18"/>
      <c r="U244" s="148"/>
    </row>
    <row r="245">
      <c r="D245" s="168"/>
      <c r="E245" s="148"/>
      <c r="G245" s="160"/>
      <c r="L245" s="161"/>
      <c r="M245" s="161"/>
      <c r="N245" s="162"/>
      <c r="O245" s="18"/>
      <c r="P245" s="18"/>
      <c r="Q245" s="18"/>
      <c r="R245" s="18"/>
      <c r="U245" s="148"/>
    </row>
    <row r="246">
      <c r="D246" s="168"/>
      <c r="E246" s="148"/>
      <c r="G246" s="160"/>
      <c r="L246" s="161"/>
      <c r="M246" s="161"/>
      <c r="N246" s="162"/>
      <c r="O246" s="18"/>
      <c r="P246" s="18"/>
      <c r="Q246" s="18"/>
      <c r="R246" s="18"/>
      <c r="U246" s="148"/>
    </row>
    <row r="247">
      <c r="D247" s="168"/>
      <c r="E247" s="148"/>
      <c r="G247" s="160"/>
      <c r="L247" s="161"/>
      <c r="M247" s="161"/>
      <c r="N247" s="162"/>
      <c r="O247" s="18"/>
      <c r="P247" s="18"/>
      <c r="Q247" s="18"/>
      <c r="R247" s="18"/>
      <c r="U247" s="148"/>
    </row>
    <row r="248">
      <c r="D248" s="168"/>
      <c r="E248" s="148"/>
      <c r="G248" s="160"/>
      <c r="L248" s="161"/>
      <c r="M248" s="161"/>
      <c r="N248" s="162"/>
      <c r="O248" s="18"/>
      <c r="P248" s="18"/>
      <c r="Q248" s="18"/>
      <c r="R248" s="18"/>
      <c r="U248" s="148"/>
    </row>
    <row r="249">
      <c r="D249" s="168"/>
      <c r="E249" s="148"/>
      <c r="G249" s="160"/>
      <c r="L249" s="161"/>
      <c r="M249" s="161"/>
      <c r="N249" s="162"/>
      <c r="O249" s="18"/>
      <c r="P249" s="18"/>
      <c r="Q249" s="18"/>
      <c r="R249" s="18"/>
      <c r="U249" s="148"/>
    </row>
    <row r="250">
      <c r="D250" s="168"/>
      <c r="E250" s="148"/>
      <c r="G250" s="160"/>
      <c r="L250" s="161"/>
      <c r="M250" s="161"/>
      <c r="N250" s="162"/>
      <c r="O250" s="18"/>
      <c r="P250" s="18"/>
      <c r="Q250" s="18"/>
      <c r="R250" s="18"/>
      <c r="U250" s="148"/>
    </row>
    <row r="251">
      <c r="D251" s="168"/>
      <c r="E251" s="148"/>
      <c r="G251" s="160"/>
      <c r="L251" s="161"/>
      <c r="M251" s="161"/>
      <c r="N251" s="162"/>
      <c r="O251" s="18"/>
      <c r="P251" s="18"/>
      <c r="Q251" s="18"/>
      <c r="R251" s="18"/>
      <c r="U251" s="148"/>
    </row>
    <row r="252">
      <c r="D252" s="168"/>
      <c r="E252" s="148"/>
      <c r="G252" s="160"/>
      <c r="L252" s="161"/>
      <c r="M252" s="161"/>
      <c r="N252" s="162"/>
      <c r="O252" s="18"/>
      <c r="P252" s="18"/>
      <c r="Q252" s="18"/>
      <c r="R252" s="18"/>
      <c r="U252" s="148"/>
    </row>
    <row r="253">
      <c r="D253" s="168"/>
      <c r="E253" s="148"/>
      <c r="G253" s="160"/>
      <c r="L253" s="161"/>
      <c r="M253" s="161"/>
      <c r="N253" s="162"/>
      <c r="O253" s="18"/>
      <c r="P253" s="18"/>
      <c r="Q253" s="18"/>
      <c r="R253" s="18"/>
      <c r="U253" s="148"/>
    </row>
    <row r="254">
      <c r="D254" s="168"/>
      <c r="E254" s="148"/>
      <c r="G254" s="160"/>
      <c r="L254" s="161"/>
      <c r="M254" s="161"/>
      <c r="N254" s="162"/>
      <c r="O254" s="18"/>
      <c r="P254" s="18"/>
      <c r="Q254" s="18"/>
      <c r="R254" s="18"/>
      <c r="U254" s="148"/>
    </row>
    <row r="255">
      <c r="D255" s="168"/>
      <c r="E255" s="148"/>
      <c r="G255" s="160"/>
      <c r="L255" s="161"/>
      <c r="M255" s="161"/>
      <c r="N255" s="162"/>
      <c r="O255" s="18"/>
      <c r="P255" s="18"/>
      <c r="Q255" s="18"/>
      <c r="R255" s="18"/>
      <c r="U255" s="148"/>
    </row>
    <row r="256">
      <c r="D256" s="168"/>
      <c r="E256" s="148"/>
      <c r="G256" s="160"/>
      <c r="L256" s="161"/>
      <c r="M256" s="161"/>
      <c r="N256" s="162"/>
      <c r="O256" s="18"/>
      <c r="P256" s="18"/>
      <c r="Q256" s="18"/>
      <c r="R256" s="18"/>
      <c r="U256" s="148"/>
    </row>
    <row r="257">
      <c r="D257" s="168"/>
      <c r="E257" s="148"/>
      <c r="G257" s="160"/>
      <c r="L257" s="161"/>
      <c r="M257" s="161"/>
      <c r="N257" s="162"/>
      <c r="O257" s="18"/>
      <c r="P257" s="18"/>
      <c r="Q257" s="18"/>
      <c r="R257" s="18"/>
      <c r="U257" s="148"/>
    </row>
    <row r="258">
      <c r="D258" s="168"/>
      <c r="E258" s="148"/>
      <c r="G258" s="160"/>
      <c r="L258" s="161"/>
      <c r="M258" s="161"/>
      <c r="N258" s="162"/>
      <c r="O258" s="18"/>
      <c r="P258" s="18"/>
      <c r="Q258" s="18"/>
      <c r="R258" s="18"/>
      <c r="U258" s="148"/>
    </row>
    <row r="259">
      <c r="D259" s="168"/>
      <c r="E259" s="148"/>
      <c r="G259" s="160"/>
      <c r="L259" s="161"/>
      <c r="M259" s="161"/>
      <c r="N259" s="162"/>
      <c r="O259" s="18"/>
      <c r="P259" s="18"/>
      <c r="Q259" s="18"/>
      <c r="R259" s="18"/>
      <c r="U259" s="148"/>
    </row>
    <row r="260">
      <c r="D260" s="168"/>
      <c r="E260" s="148"/>
      <c r="G260" s="160"/>
      <c r="L260" s="161"/>
      <c r="M260" s="161"/>
      <c r="N260" s="162"/>
      <c r="O260" s="18"/>
      <c r="P260" s="18"/>
      <c r="Q260" s="18"/>
      <c r="R260" s="18"/>
      <c r="U260" s="148"/>
    </row>
    <row r="261">
      <c r="D261" s="168"/>
      <c r="E261" s="148"/>
      <c r="G261" s="160"/>
      <c r="L261" s="161"/>
      <c r="M261" s="161"/>
      <c r="N261" s="162"/>
      <c r="O261" s="18"/>
      <c r="P261" s="18"/>
      <c r="Q261" s="18"/>
      <c r="R261" s="18"/>
      <c r="U261" s="148"/>
    </row>
    <row r="262">
      <c r="D262" s="168"/>
      <c r="E262" s="148"/>
      <c r="G262" s="160"/>
      <c r="L262" s="161"/>
      <c r="M262" s="161"/>
      <c r="N262" s="162"/>
      <c r="O262" s="18"/>
      <c r="P262" s="18"/>
      <c r="Q262" s="18"/>
      <c r="R262" s="18"/>
      <c r="U262" s="148"/>
    </row>
    <row r="263">
      <c r="D263" s="168"/>
      <c r="E263" s="148"/>
      <c r="G263" s="160"/>
      <c r="L263" s="161"/>
      <c r="M263" s="161"/>
      <c r="N263" s="162"/>
      <c r="O263" s="18"/>
      <c r="P263" s="18"/>
      <c r="Q263" s="18"/>
      <c r="R263" s="18"/>
      <c r="U263" s="148"/>
    </row>
    <row r="264">
      <c r="D264" s="168"/>
      <c r="E264" s="148"/>
      <c r="G264" s="160"/>
      <c r="L264" s="161"/>
      <c r="M264" s="161"/>
      <c r="N264" s="162"/>
      <c r="O264" s="18"/>
      <c r="P264" s="18"/>
      <c r="Q264" s="18"/>
      <c r="R264" s="18"/>
      <c r="U264" s="148"/>
    </row>
    <row r="265">
      <c r="D265" s="168"/>
      <c r="E265" s="148"/>
      <c r="G265" s="160"/>
      <c r="L265" s="161"/>
      <c r="M265" s="161"/>
      <c r="N265" s="162"/>
      <c r="O265" s="18"/>
      <c r="P265" s="18"/>
      <c r="Q265" s="18"/>
      <c r="R265" s="18"/>
      <c r="U265" s="148"/>
    </row>
    <row r="266">
      <c r="D266" s="168"/>
      <c r="E266" s="148"/>
      <c r="G266" s="160"/>
      <c r="L266" s="161"/>
      <c r="M266" s="161"/>
      <c r="N266" s="162"/>
      <c r="O266" s="18"/>
      <c r="P266" s="18"/>
      <c r="Q266" s="18"/>
      <c r="R266" s="18"/>
      <c r="U266" s="148"/>
    </row>
    <row r="267">
      <c r="D267" s="168"/>
      <c r="E267" s="148"/>
      <c r="G267" s="160"/>
      <c r="L267" s="161"/>
      <c r="M267" s="161"/>
      <c r="N267" s="162"/>
      <c r="O267" s="18"/>
      <c r="P267" s="18"/>
      <c r="Q267" s="18"/>
      <c r="R267" s="18"/>
      <c r="U267" s="148"/>
    </row>
    <row r="268">
      <c r="D268" s="168"/>
      <c r="E268" s="148"/>
      <c r="G268" s="160"/>
      <c r="L268" s="161"/>
      <c r="M268" s="161"/>
      <c r="N268" s="162"/>
      <c r="O268" s="18"/>
      <c r="P268" s="18"/>
      <c r="Q268" s="18"/>
      <c r="R268" s="18"/>
      <c r="U268" s="148"/>
    </row>
    <row r="269">
      <c r="D269" s="168"/>
      <c r="E269" s="148"/>
      <c r="G269" s="160"/>
      <c r="L269" s="161"/>
      <c r="M269" s="161"/>
      <c r="N269" s="162"/>
      <c r="O269" s="18"/>
      <c r="P269" s="18"/>
      <c r="Q269" s="18"/>
      <c r="R269" s="18"/>
      <c r="U269" s="148"/>
    </row>
    <row r="270">
      <c r="D270" s="168"/>
      <c r="E270" s="148"/>
      <c r="G270" s="160"/>
      <c r="L270" s="161"/>
      <c r="M270" s="161"/>
      <c r="N270" s="162"/>
      <c r="O270" s="18"/>
      <c r="P270" s="18"/>
      <c r="Q270" s="18"/>
      <c r="R270" s="18"/>
      <c r="U270" s="148"/>
    </row>
    <row r="271">
      <c r="D271" s="168"/>
      <c r="E271" s="148"/>
      <c r="G271" s="160"/>
      <c r="L271" s="161"/>
      <c r="M271" s="161"/>
      <c r="N271" s="162"/>
      <c r="O271" s="18"/>
      <c r="P271" s="18"/>
      <c r="Q271" s="18"/>
      <c r="R271" s="18"/>
      <c r="U271" s="148"/>
    </row>
    <row r="272">
      <c r="D272" s="168"/>
      <c r="E272" s="148"/>
      <c r="G272" s="160"/>
      <c r="L272" s="161"/>
      <c r="M272" s="161"/>
      <c r="N272" s="162"/>
      <c r="O272" s="18"/>
      <c r="P272" s="18"/>
      <c r="Q272" s="18"/>
      <c r="R272" s="18"/>
      <c r="U272" s="148"/>
    </row>
    <row r="273">
      <c r="D273" s="168"/>
      <c r="E273" s="148"/>
      <c r="G273" s="160"/>
      <c r="L273" s="161"/>
      <c r="M273" s="161"/>
      <c r="N273" s="162"/>
      <c r="O273" s="18"/>
      <c r="P273" s="18"/>
      <c r="Q273" s="18"/>
      <c r="R273" s="18"/>
      <c r="U273" s="148"/>
    </row>
    <row r="274">
      <c r="D274" s="168"/>
      <c r="E274" s="148"/>
      <c r="G274" s="160"/>
      <c r="L274" s="161"/>
      <c r="M274" s="161"/>
      <c r="N274" s="162"/>
      <c r="O274" s="18"/>
      <c r="P274" s="18"/>
      <c r="Q274" s="18"/>
      <c r="R274" s="18"/>
      <c r="U274" s="148"/>
    </row>
    <row r="275">
      <c r="D275" s="168"/>
      <c r="E275" s="148"/>
      <c r="G275" s="160"/>
      <c r="L275" s="161"/>
      <c r="M275" s="161"/>
      <c r="N275" s="162"/>
      <c r="O275" s="18"/>
      <c r="P275" s="18"/>
      <c r="Q275" s="18"/>
      <c r="R275" s="18"/>
      <c r="U275" s="148"/>
    </row>
    <row r="276">
      <c r="D276" s="168"/>
      <c r="E276" s="148"/>
      <c r="G276" s="160"/>
      <c r="L276" s="161"/>
      <c r="M276" s="161"/>
      <c r="N276" s="162"/>
      <c r="O276" s="18"/>
      <c r="P276" s="18"/>
      <c r="Q276" s="18"/>
      <c r="R276" s="18"/>
      <c r="U276" s="148"/>
    </row>
    <row r="277">
      <c r="D277" s="168"/>
      <c r="E277" s="148"/>
      <c r="G277" s="160"/>
      <c r="L277" s="161"/>
      <c r="M277" s="161"/>
      <c r="N277" s="162"/>
      <c r="O277" s="18"/>
      <c r="P277" s="18"/>
      <c r="Q277" s="18"/>
      <c r="R277" s="18"/>
      <c r="U277" s="148"/>
    </row>
    <row r="278">
      <c r="D278" s="168"/>
      <c r="E278" s="148"/>
      <c r="G278" s="160"/>
      <c r="L278" s="161"/>
      <c r="M278" s="161"/>
      <c r="N278" s="162"/>
      <c r="O278" s="18"/>
      <c r="P278" s="18"/>
      <c r="Q278" s="18"/>
      <c r="R278" s="18"/>
      <c r="U278" s="148"/>
    </row>
    <row r="279">
      <c r="D279" s="168"/>
      <c r="E279" s="148"/>
      <c r="G279" s="160"/>
      <c r="L279" s="161"/>
      <c r="M279" s="161"/>
      <c r="N279" s="162"/>
      <c r="O279" s="18"/>
      <c r="P279" s="18"/>
      <c r="Q279" s="18"/>
      <c r="R279" s="18"/>
      <c r="U279" s="148"/>
    </row>
    <row r="280">
      <c r="D280" s="168"/>
      <c r="E280" s="148"/>
      <c r="G280" s="160"/>
      <c r="L280" s="161"/>
      <c r="M280" s="161"/>
      <c r="N280" s="162"/>
      <c r="O280" s="18"/>
      <c r="P280" s="18"/>
      <c r="Q280" s="18"/>
      <c r="R280" s="18"/>
      <c r="U280" s="148"/>
    </row>
    <row r="281">
      <c r="D281" s="168"/>
      <c r="E281" s="148"/>
      <c r="G281" s="160"/>
      <c r="L281" s="161"/>
      <c r="M281" s="161"/>
      <c r="N281" s="162"/>
      <c r="O281" s="18"/>
      <c r="P281" s="18"/>
      <c r="Q281" s="18"/>
      <c r="R281" s="18"/>
      <c r="U281" s="148"/>
    </row>
    <row r="282">
      <c r="D282" s="168"/>
      <c r="E282" s="148"/>
      <c r="G282" s="160"/>
      <c r="L282" s="161"/>
      <c r="M282" s="161"/>
      <c r="N282" s="162"/>
      <c r="O282" s="18"/>
      <c r="P282" s="18"/>
      <c r="Q282" s="18"/>
      <c r="R282" s="18"/>
      <c r="U282" s="148"/>
    </row>
    <row r="283">
      <c r="D283" s="168"/>
      <c r="E283" s="148"/>
      <c r="G283" s="160"/>
      <c r="L283" s="161"/>
      <c r="M283" s="161"/>
      <c r="N283" s="162"/>
      <c r="O283" s="18"/>
      <c r="P283" s="18"/>
      <c r="Q283" s="18"/>
      <c r="R283" s="18"/>
      <c r="U283" s="148"/>
    </row>
    <row r="284">
      <c r="D284" s="168"/>
      <c r="E284" s="148"/>
      <c r="G284" s="160"/>
      <c r="L284" s="161"/>
      <c r="M284" s="161"/>
      <c r="N284" s="162"/>
      <c r="O284" s="18"/>
      <c r="P284" s="18"/>
      <c r="Q284" s="18"/>
      <c r="R284" s="18"/>
      <c r="U284" s="148"/>
    </row>
    <row r="285">
      <c r="D285" s="168"/>
      <c r="E285" s="148"/>
      <c r="G285" s="160"/>
      <c r="L285" s="161"/>
      <c r="M285" s="161"/>
      <c r="N285" s="162"/>
      <c r="O285" s="18"/>
      <c r="P285" s="18"/>
      <c r="Q285" s="18"/>
      <c r="R285" s="18"/>
      <c r="U285" s="148"/>
    </row>
    <row r="286">
      <c r="D286" s="168"/>
      <c r="E286" s="148"/>
      <c r="G286" s="160"/>
      <c r="L286" s="161"/>
      <c r="M286" s="161"/>
      <c r="N286" s="162"/>
      <c r="O286" s="18"/>
      <c r="P286" s="18"/>
      <c r="Q286" s="18"/>
      <c r="R286" s="18"/>
      <c r="U286" s="148"/>
    </row>
    <row r="287">
      <c r="D287" s="168"/>
      <c r="E287" s="148"/>
      <c r="G287" s="160"/>
      <c r="L287" s="161"/>
      <c r="M287" s="161"/>
      <c r="N287" s="162"/>
      <c r="O287" s="18"/>
      <c r="P287" s="18"/>
      <c r="Q287" s="18"/>
      <c r="R287" s="18"/>
      <c r="U287" s="148"/>
    </row>
    <row r="288">
      <c r="D288" s="168"/>
      <c r="E288" s="148"/>
      <c r="G288" s="160"/>
      <c r="L288" s="161"/>
      <c r="M288" s="161"/>
      <c r="N288" s="162"/>
      <c r="O288" s="18"/>
      <c r="P288" s="18"/>
      <c r="Q288" s="18"/>
      <c r="R288" s="18"/>
      <c r="U288" s="148"/>
    </row>
    <row r="289">
      <c r="D289" s="168"/>
      <c r="E289" s="148"/>
      <c r="G289" s="160"/>
      <c r="L289" s="161"/>
      <c r="M289" s="161"/>
      <c r="N289" s="162"/>
      <c r="O289" s="18"/>
      <c r="P289" s="18"/>
      <c r="Q289" s="18"/>
      <c r="R289" s="18"/>
      <c r="U289" s="148"/>
    </row>
    <row r="290">
      <c r="D290" s="168"/>
      <c r="E290" s="148"/>
      <c r="G290" s="160"/>
      <c r="L290" s="161"/>
      <c r="M290" s="161"/>
      <c r="N290" s="162"/>
      <c r="O290" s="18"/>
      <c r="P290" s="18"/>
      <c r="Q290" s="18"/>
      <c r="R290" s="18"/>
      <c r="U290" s="148"/>
    </row>
    <row r="291">
      <c r="D291" s="168"/>
      <c r="E291" s="148"/>
      <c r="G291" s="160"/>
      <c r="L291" s="161"/>
      <c r="M291" s="161"/>
      <c r="N291" s="162"/>
      <c r="O291" s="18"/>
      <c r="P291" s="18"/>
      <c r="Q291" s="18"/>
      <c r="R291" s="18"/>
      <c r="U291" s="148"/>
    </row>
    <row r="292">
      <c r="D292" s="168"/>
      <c r="E292" s="148"/>
      <c r="G292" s="160"/>
      <c r="L292" s="161"/>
      <c r="M292" s="161"/>
      <c r="N292" s="162"/>
      <c r="O292" s="18"/>
      <c r="P292" s="18"/>
      <c r="Q292" s="18"/>
      <c r="R292" s="18"/>
      <c r="U292" s="148"/>
    </row>
    <row r="293">
      <c r="D293" s="168"/>
      <c r="E293" s="148"/>
      <c r="G293" s="160"/>
      <c r="L293" s="161"/>
      <c r="M293" s="161"/>
      <c r="N293" s="162"/>
      <c r="O293" s="18"/>
      <c r="P293" s="18"/>
      <c r="Q293" s="18"/>
      <c r="R293" s="18"/>
      <c r="U293" s="148"/>
    </row>
    <row r="294">
      <c r="D294" s="168"/>
      <c r="E294" s="148"/>
      <c r="G294" s="160"/>
      <c r="L294" s="161"/>
      <c r="M294" s="161"/>
      <c r="N294" s="162"/>
      <c r="O294" s="18"/>
      <c r="P294" s="18"/>
      <c r="Q294" s="18"/>
      <c r="R294" s="18"/>
      <c r="U294" s="148"/>
    </row>
    <row r="295">
      <c r="D295" s="168"/>
      <c r="E295" s="148"/>
      <c r="G295" s="160"/>
      <c r="L295" s="161"/>
      <c r="M295" s="161"/>
      <c r="N295" s="162"/>
      <c r="O295" s="18"/>
      <c r="P295" s="18"/>
      <c r="Q295" s="18"/>
      <c r="R295" s="18"/>
      <c r="U295" s="148"/>
    </row>
    <row r="296">
      <c r="D296" s="168"/>
      <c r="E296" s="148"/>
      <c r="G296" s="160"/>
      <c r="L296" s="161"/>
      <c r="M296" s="161"/>
      <c r="N296" s="162"/>
      <c r="O296" s="18"/>
      <c r="P296" s="18"/>
      <c r="Q296" s="18"/>
      <c r="R296" s="18"/>
      <c r="U296" s="148"/>
    </row>
    <row r="297">
      <c r="D297" s="168"/>
      <c r="E297" s="148"/>
      <c r="G297" s="160"/>
      <c r="L297" s="161"/>
      <c r="M297" s="161"/>
      <c r="N297" s="162"/>
      <c r="O297" s="18"/>
      <c r="P297" s="18"/>
      <c r="Q297" s="18"/>
      <c r="R297" s="18"/>
      <c r="U297" s="148"/>
    </row>
    <row r="298">
      <c r="D298" s="168"/>
      <c r="E298" s="148"/>
      <c r="G298" s="160"/>
      <c r="L298" s="161"/>
      <c r="M298" s="161"/>
      <c r="N298" s="162"/>
      <c r="O298" s="18"/>
      <c r="P298" s="18"/>
      <c r="Q298" s="18"/>
      <c r="R298" s="18"/>
      <c r="U298" s="148"/>
    </row>
    <row r="299">
      <c r="D299" s="168"/>
      <c r="E299" s="148"/>
      <c r="G299" s="160"/>
      <c r="L299" s="161"/>
      <c r="M299" s="161"/>
      <c r="N299" s="162"/>
      <c r="O299" s="18"/>
      <c r="P299" s="18"/>
      <c r="Q299" s="18"/>
      <c r="R299" s="18"/>
      <c r="U299" s="148"/>
    </row>
    <row r="300">
      <c r="D300" s="168"/>
      <c r="E300" s="148"/>
      <c r="G300" s="160"/>
      <c r="L300" s="161"/>
      <c r="M300" s="161"/>
      <c r="N300" s="162"/>
      <c r="O300" s="18"/>
      <c r="P300" s="18"/>
      <c r="Q300" s="18"/>
      <c r="R300" s="18"/>
      <c r="U300" s="148"/>
    </row>
    <row r="301">
      <c r="D301" s="168"/>
      <c r="E301" s="148"/>
      <c r="G301" s="160"/>
      <c r="L301" s="161"/>
      <c r="M301" s="161"/>
      <c r="N301" s="162"/>
      <c r="O301" s="18"/>
      <c r="P301" s="18"/>
      <c r="Q301" s="18"/>
      <c r="R301" s="18"/>
      <c r="U301" s="148"/>
    </row>
    <row r="302">
      <c r="D302" s="168"/>
      <c r="E302" s="148"/>
      <c r="G302" s="160"/>
      <c r="L302" s="161"/>
      <c r="M302" s="161"/>
      <c r="N302" s="162"/>
      <c r="O302" s="18"/>
      <c r="P302" s="18"/>
      <c r="Q302" s="18"/>
      <c r="R302" s="18"/>
      <c r="U302" s="148"/>
    </row>
    <row r="303">
      <c r="D303" s="168"/>
      <c r="E303" s="148"/>
      <c r="G303" s="160"/>
      <c r="L303" s="161"/>
      <c r="M303" s="161"/>
      <c r="N303" s="162"/>
      <c r="O303" s="18"/>
      <c r="P303" s="18"/>
      <c r="Q303" s="18"/>
      <c r="R303" s="18"/>
      <c r="U303" s="148"/>
    </row>
    <row r="304">
      <c r="D304" s="168"/>
      <c r="E304" s="148"/>
      <c r="G304" s="160"/>
      <c r="L304" s="161"/>
      <c r="M304" s="161"/>
      <c r="N304" s="162"/>
      <c r="O304" s="18"/>
      <c r="P304" s="18"/>
      <c r="Q304" s="18"/>
      <c r="R304" s="18"/>
      <c r="U304" s="148"/>
    </row>
    <row r="305">
      <c r="D305" s="168"/>
      <c r="E305" s="148"/>
      <c r="G305" s="160"/>
      <c r="L305" s="161"/>
      <c r="M305" s="161"/>
      <c r="N305" s="162"/>
      <c r="O305" s="18"/>
      <c r="P305" s="18"/>
      <c r="Q305" s="18"/>
      <c r="R305" s="18"/>
      <c r="U305" s="148"/>
    </row>
    <row r="306">
      <c r="D306" s="168"/>
      <c r="E306" s="148"/>
      <c r="G306" s="160"/>
      <c r="L306" s="161"/>
      <c r="M306" s="161"/>
      <c r="N306" s="162"/>
      <c r="O306" s="18"/>
      <c r="P306" s="18"/>
      <c r="Q306" s="18"/>
      <c r="R306" s="18"/>
      <c r="U306" s="148"/>
    </row>
    <row r="307">
      <c r="D307" s="168"/>
      <c r="E307" s="148"/>
      <c r="G307" s="160"/>
      <c r="L307" s="161"/>
      <c r="M307" s="161"/>
      <c r="N307" s="162"/>
      <c r="O307" s="18"/>
      <c r="P307" s="18"/>
      <c r="Q307" s="18"/>
      <c r="R307" s="18"/>
      <c r="U307" s="148"/>
    </row>
    <row r="308">
      <c r="D308" s="168"/>
      <c r="E308" s="148"/>
      <c r="G308" s="160"/>
      <c r="L308" s="161"/>
      <c r="M308" s="161"/>
      <c r="N308" s="162"/>
      <c r="O308" s="18"/>
      <c r="P308" s="18"/>
      <c r="Q308" s="18"/>
      <c r="R308" s="18"/>
      <c r="U308" s="148"/>
    </row>
    <row r="309">
      <c r="D309" s="168"/>
      <c r="E309" s="148"/>
      <c r="G309" s="160"/>
      <c r="L309" s="161"/>
      <c r="M309" s="161"/>
      <c r="N309" s="162"/>
      <c r="O309" s="18"/>
      <c r="P309" s="18"/>
      <c r="Q309" s="18"/>
      <c r="R309" s="18"/>
      <c r="U309" s="148"/>
    </row>
    <row r="310">
      <c r="D310" s="168"/>
      <c r="E310" s="148"/>
      <c r="G310" s="160"/>
      <c r="L310" s="161"/>
      <c r="M310" s="161"/>
      <c r="N310" s="162"/>
      <c r="O310" s="18"/>
      <c r="P310" s="18"/>
      <c r="Q310" s="18"/>
      <c r="R310" s="18"/>
      <c r="U310" s="148"/>
    </row>
    <row r="311">
      <c r="D311" s="168"/>
      <c r="E311" s="148"/>
      <c r="G311" s="160"/>
      <c r="L311" s="161"/>
      <c r="M311" s="161"/>
      <c r="N311" s="162"/>
      <c r="O311" s="18"/>
      <c r="P311" s="18"/>
      <c r="Q311" s="18"/>
      <c r="R311" s="18"/>
      <c r="U311" s="148"/>
    </row>
    <row r="312">
      <c r="D312" s="168"/>
      <c r="E312" s="148"/>
      <c r="G312" s="160"/>
      <c r="L312" s="161"/>
      <c r="M312" s="161"/>
      <c r="N312" s="162"/>
      <c r="O312" s="18"/>
      <c r="P312" s="18"/>
      <c r="Q312" s="18"/>
      <c r="R312" s="18"/>
      <c r="U312" s="148"/>
    </row>
    <row r="313">
      <c r="D313" s="168"/>
      <c r="E313" s="148"/>
      <c r="G313" s="160"/>
      <c r="L313" s="161"/>
      <c r="M313" s="161"/>
      <c r="N313" s="162"/>
      <c r="O313" s="18"/>
      <c r="P313" s="18"/>
      <c r="Q313" s="18"/>
      <c r="R313" s="18"/>
      <c r="U313" s="148"/>
    </row>
    <row r="314">
      <c r="D314" s="168"/>
      <c r="E314" s="148"/>
      <c r="G314" s="160"/>
      <c r="L314" s="161"/>
      <c r="M314" s="161"/>
      <c r="N314" s="162"/>
      <c r="O314" s="18"/>
      <c r="P314" s="18"/>
      <c r="Q314" s="18"/>
      <c r="R314" s="18"/>
      <c r="U314" s="148"/>
    </row>
    <row r="315">
      <c r="D315" s="168"/>
      <c r="E315" s="148"/>
      <c r="G315" s="160"/>
      <c r="L315" s="161"/>
      <c r="M315" s="161"/>
      <c r="N315" s="162"/>
      <c r="O315" s="18"/>
      <c r="P315" s="18"/>
      <c r="Q315" s="18"/>
      <c r="R315" s="18"/>
      <c r="U315" s="148"/>
    </row>
    <row r="316">
      <c r="D316" s="168"/>
      <c r="E316" s="148"/>
      <c r="G316" s="160"/>
      <c r="L316" s="161"/>
      <c r="M316" s="161"/>
      <c r="N316" s="162"/>
      <c r="O316" s="18"/>
      <c r="P316" s="18"/>
      <c r="Q316" s="18"/>
      <c r="R316" s="18"/>
      <c r="U316" s="148"/>
    </row>
    <row r="317">
      <c r="D317" s="168"/>
      <c r="E317" s="148"/>
      <c r="G317" s="160"/>
      <c r="L317" s="161"/>
      <c r="M317" s="161"/>
      <c r="N317" s="162"/>
      <c r="O317" s="18"/>
      <c r="P317" s="18"/>
      <c r="Q317" s="18"/>
      <c r="R317" s="18"/>
      <c r="U317" s="148"/>
    </row>
    <row r="318">
      <c r="D318" s="168"/>
      <c r="E318" s="148"/>
      <c r="G318" s="160"/>
      <c r="L318" s="161"/>
      <c r="M318" s="161"/>
      <c r="N318" s="162"/>
      <c r="O318" s="18"/>
      <c r="P318" s="18"/>
      <c r="Q318" s="18"/>
      <c r="R318" s="18"/>
      <c r="U318" s="148"/>
    </row>
    <row r="319">
      <c r="D319" s="168"/>
      <c r="E319" s="148"/>
      <c r="G319" s="160"/>
      <c r="L319" s="161"/>
      <c r="M319" s="161"/>
      <c r="N319" s="162"/>
      <c r="O319" s="18"/>
      <c r="P319" s="18"/>
      <c r="Q319" s="18"/>
      <c r="R319" s="18"/>
      <c r="U319" s="148"/>
    </row>
    <row r="320">
      <c r="D320" s="168"/>
      <c r="E320" s="148"/>
      <c r="G320" s="160"/>
      <c r="L320" s="161"/>
      <c r="M320" s="161"/>
      <c r="N320" s="162"/>
      <c r="O320" s="18"/>
      <c r="P320" s="18"/>
      <c r="Q320" s="18"/>
      <c r="R320" s="18"/>
      <c r="U320" s="148"/>
    </row>
    <row r="321">
      <c r="D321" s="168"/>
      <c r="E321" s="148"/>
      <c r="G321" s="160"/>
      <c r="L321" s="161"/>
      <c r="M321" s="161"/>
      <c r="N321" s="162"/>
      <c r="O321" s="18"/>
      <c r="P321" s="18"/>
      <c r="Q321" s="18"/>
      <c r="R321" s="18"/>
      <c r="U321" s="148"/>
    </row>
    <row r="322">
      <c r="D322" s="168"/>
      <c r="E322" s="148"/>
      <c r="G322" s="160"/>
      <c r="L322" s="161"/>
      <c r="M322" s="161"/>
      <c r="N322" s="162"/>
      <c r="O322" s="18"/>
      <c r="P322" s="18"/>
      <c r="Q322" s="18"/>
      <c r="R322" s="18"/>
      <c r="U322" s="148"/>
    </row>
    <row r="323">
      <c r="D323" s="168"/>
      <c r="E323" s="148"/>
      <c r="G323" s="160"/>
      <c r="L323" s="161"/>
      <c r="M323" s="161"/>
      <c r="N323" s="162"/>
      <c r="O323" s="18"/>
      <c r="P323" s="18"/>
      <c r="Q323" s="18"/>
      <c r="R323" s="18"/>
      <c r="U323" s="148"/>
    </row>
    <row r="324">
      <c r="D324" s="168"/>
      <c r="E324" s="148"/>
      <c r="G324" s="160"/>
      <c r="L324" s="161"/>
      <c r="M324" s="161"/>
      <c r="N324" s="162"/>
      <c r="O324" s="18"/>
      <c r="P324" s="18"/>
      <c r="Q324" s="18"/>
      <c r="R324" s="18"/>
      <c r="U324" s="148"/>
    </row>
    <row r="325">
      <c r="D325" s="168"/>
      <c r="E325" s="148"/>
      <c r="G325" s="160"/>
      <c r="L325" s="161"/>
      <c r="M325" s="161"/>
      <c r="N325" s="162"/>
      <c r="O325" s="18"/>
      <c r="P325" s="18"/>
      <c r="Q325" s="18"/>
      <c r="R325" s="18"/>
      <c r="U325" s="148"/>
    </row>
    <row r="326">
      <c r="D326" s="168"/>
      <c r="E326" s="148"/>
      <c r="G326" s="160"/>
      <c r="L326" s="161"/>
      <c r="M326" s="161"/>
      <c r="N326" s="162"/>
      <c r="O326" s="18"/>
      <c r="P326" s="18"/>
      <c r="Q326" s="18"/>
      <c r="R326" s="18"/>
      <c r="U326" s="148"/>
    </row>
    <row r="327">
      <c r="D327" s="168"/>
      <c r="E327" s="148"/>
      <c r="G327" s="160"/>
      <c r="L327" s="161"/>
      <c r="M327" s="161"/>
      <c r="N327" s="162"/>
      <c r="O327" s="18"/>
      <c r="P327" s="18"/>
      <c r="Q327" s="18"/>
      <c r="R327" s="18"/>
      <c r="U327" s="148"/>
    </row>
    <row r="328">
      <c r="D328" s="168"/>
      <c r="E328" s="148"/>
      <c r="G328" s="160"/>
      <c r="L328" s="161"/>
      <c r="M328" s="161"/>
      <c r="N328" s="162"/>
      <c r="O328" s="18"/>
      <c r="P328" s="18"/>
      <c r="Q328" s="18"/>
      <c r="R328" s="18"/>
      <c r="U328" s="148"/>
    </row>
    <row r="329">
      <c r="D329" s="168"/>
      <c r="E329" s="148"/>
      <c r="G329" s="160"/>
      <c r="L329" s="161"/>
      <c r="M329" s="161"/>
      <c r="N329" s="162"/>
      <c r="O329" s="18"/>
      <c r="P329" s="18"/>
      <c r="Q329" s="18"/>
      <c r="R329" s="18"/>
      <c r="U329" s="148"/>
    </row>
    <row r="330">
      <c r="D330" s="168"/>
      <c r="E330" s="148"/>
      <c r="G330" s="160"/>
      <c r="L330" s="161"/>
      <c r="M330" s="161"/>
      <c r="N330" s="162"/>
      <c r="O330" s="18"/>
      <c r="P330" s="18"/>
      <c r="Q330" s="18"/>
      <c r="R330" s="18"/>
      <c r="U330" s="148"/>
    </row>
    <row r="331">
      <c r="D331" s="168"/>
      <c r="E331" s="148"/>
      <c r="G331" s="160"/>
      <c r="L331" s="161"/>
      <c r="M331" s="161"/>
      <c r="N331" s="162"/>
      <c r="O331" s="18"/>
      <c r="P331" s="18"/>
      <c r="Q331" s="18"/>
      <c r="R331" s="18"/>
      <c r="U331" s="148"/>
    </row>
    <row r="332">
      <c r="D332" s="168"/>
      <c r="E332" s="148"/>
      <c r="G332" s="160"/>
      <c r="L332" s="161"/>
      <c r="M332" s="161"/>
      <c r="N332" s="162"/>
      <c r="O332" s="18"/>
      <c r="P332" s="18"/>
      <c r="Q332" s="18"/>
      <c r="R332" s="18"/>
      <c r="U332" s="148"/>
    </row>
    <row r="333">
      <c r="D333" s="168"/>
      <c r="E333" s="148"/>
      <c r="G333" s="160"/>
      <c r="L333" s="161"/>
      <c r="M333" s="161"/>
      <c r="N333" s="162"/>
      <c r="O333" s="18"/>
      <c r="P333" s="18"/>
      <c r="Q333" s="18"/>
      <c r="R333" s="18"/>
      <c r="U333" s="148"/>
    </row>
    <row r="334">
      <c r="D334" s="168"/>
      <c r="E334" s="148"/>
      <c r="G334" s="160"/>
      <c r="L334" s="161"/>
      <c r="M334" s="161"/>
      <c r="N334" s="162"/>
      <c r="O334" s="18"/>
      <c r="P334" s="18"/>
      <c r="Q334" s="18"/>
      <c r="R334" s="18"/>
      <c r="U334" s="148"/>
    </row>
    <row r="335">
      <c r="D335" s="168"/>
      <c r="E335" s="148"/>
      <c r="G335" s="160"/>
      <c r="L335" s="161"/>
      <c r="M335" s="161"/>
      <c r="N335" s="162"/>
      <c r="O335" s="18"/>
      <c r="P335" s="18"/>
      <c r="Q335" s="18"/>
      <c r="R335" s="18"/>
      <c r="U335" s="148"/>
    </row>
    <row r="336">
      <c r="D336" s="168"/>
      <c r="E336" s="148"/>
      <c r="G336" s="160"/>
      <c r="L336" s="161"/>
      <c r="M336" s="161"/>
      <c r="N336" s="162"/>
      <c r="O336" s="18"/>
      <c r="P336" s="18"/>
      <c r="Q336" s="18"/>
      <c r="R336" s="18"/>
      <c r="U336" s="148"/>
    </row>
    <row r="337">
      <c r="D337" s="168"/>
      <c r="E337" s="148"/>
      <c r="G337" s="160"/>
      <c r="L337" s="161"/>
      <c r="M337" s="161"/>
      <c r="N337" s="162"/>
      <c r="O337" s="18"/>
      <c r="P337" s="18"/>
      <c r="Q337" s="18"/>
      <c r="R337" s="18"/>
      <c r="U337" s="148"/>
    </row>
    <row r="338">
      <c r="D338" s="168"/>
      <c r="E338" s="148"/>
      <c r="G338" s="160"/>
      <c r="L338" s="161"/>
      <c r="M338" s="161"/>
      <c r="N338" s="162"/>
      <c r="O338" s="18"/>
      <c r="P338" s="18"/>
      <c r="Q338" s="18"/>
      <c r="R338" s="18"/>
      <c r="U338" s="148"/>
    </row>
    <row r="339">
      <c r="D339" s="168"/>
      <c r="E339" s="148"/>
      <c r="G339" s="160"/>
      <c r="L339" s="161"/>
      <c r="M339" s="161"/>
      <c r="N339" s="162"/>
      <c r="O339" s="18"/>
      <c r="P339" s="18"/>
      <c r="Q339" s="18"/>
      <c r="R339" s="18"/>
      <c r="U339" s="148"/>
    </row>
    <row r="340">
      <c r="D340" s="168"/>
      <c r="E340" s="148"/>
      <c r="G340" s="160"/>
      <c r="L340" s="161"/>
      <c r="M340" s="161"/>
      <c r="N340" s="162"/>
      <c r="O340" s="18"/>
      <c r="P340" s="18"/>
      <c r="Q340" s="18"/>
      <c r="R340" s="18"/>
      <c r="U340" s="148"/>
    </row>
    <row r="341">
      <c r="D341" s="168"/>
      <c r="E341" s="148"/>
      <c r="G341" s="160"/>
      <c r="L341" s="161"/>
      <c r="M341" s="161"/>
      <c r="N341" s="162"/>
      <c r="O341" s="18"/>
      <c r="P341" s="18"/>
      <c r="Q341" s="18"/>
      <c r="R341" s="18"/>
      <c r="U341" s="148"/>
    </row>
    <row r="342">
      <c r="D342" s="168"/>
      <c r="E342" s="148"/>
      <c r="G342" s="160"/>
      <c r="L342" s="161"/>
      <c r="M342" s="161"/>
      <c r="N342" s="162"/>
      <c r="O342" s="18"/>
      <c r="P342" s="18"/>
      <c r="Q342" s="18"/>
      <c r="R342" s="18"/>
      <c r="U342" s="148"/>
    </row>
    <row r="343">
      <c r="D343" s="168"/>
      <c r="E343" s="148"/>
      <c r="G343" s="160"/>
      <c r="L343" s="161"/>
      <c r="M343" s="161"/>
      <c r="N343" s="162"/>
      <c r="O343" s="18"/>
      <c r="P343" s="18"/>
      <c r="Q343" s="18"/>
      <c r="R343" s="18"/>
      <c r="U343" s="148"/>
    </row>
    <row r="344">
      <c r="D344" s="168"/>
      <c r="E344" s="148"/>
      <c r="G344" s="160"/>
      <c r="L344" s="161"/>
      <c r="M344" s="161"/>
      <c r="N344" s="162"/>
      <c r="O344" s="18"/>
      <c r="P344" s="18"/>
      <c r="Q344" s="18"/>
      <c r="R344" s="18"/>
      <c r="U344" s="148"/>
    </row>
    <row r="345">
      <c r="D345" s="168"/>
      <c r="E345" s="148"/>
      <c r="G345" s="160"/>
      <c r="L345" s="161"/>
      <c r="M345" s="161"/>
      <c r="N345" s="162"/>
      <c r="O345" s="18"/>
      <c r="P345" s="18"/>
      <c r="Q345" s="18"/>
      <c r="R345" s="18"/>
      <c r="U345" s="148"/>
    </row>
    <row r="346">
      <c r="D346" s="168"/>
      <c r="E346" s="148"/>
      <c r="G346" s="160"/>
      <c r="L346" s="161"/>
      <c r="M346" s="161"/>
      <c r="N346" s="162"/>
      <c r="O346" s="18"/>
      <c r="P346" s="18"/>
      <c r="Q346" s="18"/>
      <c r="R346" s="18"/>
      <c r="U346" s="148"/>
    </row>
    <row r="347">
      <c r="D347" s="168"/>
      <c r="E347" s="148"/>
      <c r="G347" s="160"/>
      <c r="L347" s="161"/>
      <c r="M347" s="161"/>
      <c r="N347" s="162"/>
      <c r="O347" s="18"/>
      <c r="P347" s="18"/>
      <c r="Q347" s="18"/>
      <c r="R347" s="18"/>
      <c r="U347" s="148"/>
    </row>
    <row r="348">
      <c r="D348" s="168"/>
      <c r="E348" s="148"/>
      <c r="G348" s="160"/>
      <c r="L348" s="161"/>
      <c r="M348" s="161"/>
      <c r="N348" s="162"/>
      <c r="O348" s="18"/>
      <c r="P348" s="18"/>
      <c r="Q348" s="18"/>
      <c r="R348" s="18"/>
      <c r="U348" s="148"/>
    </row>
    <row r="349">
      <c r="D349" s="168"/>
      <c r="E349" s="148"/>
      <c r="G349" s="160"/>
      <c r="L349" s="161"/>
      <c r="M349" s="161"/>
      <c r="N349" s="162"/>
      <c r="O349" s="18"/>
      <c r="P349" s="18"/>
      <c r="Q349" s="18"/>
      <c r="R349" s="18"/>
      <c r="U349" s="148"/>
    </row>
    <row r="350">
      <c r="D350" s="168"/>
      <c r="E350" s="148"/>
      <c r="G350" s="160"/>
      <c r="L350" s="161"/>
      <c r="M350" s="161"/>
      <c r="N350" s="162"/>
      <c r="O350" s="18"/>
      <c r="P350" s="18"/>
      <c r="Q350" s="18"/>
      <c r="R350" s="18"/>
      <c r="U350" s="148"/>
    </row>
    <row r="351">
      <c r="D351" s="168"/>
      <c r="E351" s="148"/>
      <c r="G351" s="160"/>
      <c r="L351" s="161"/>
      <c r="M351" s="161"/>
      <c r="N351" s="162"/>
      <c r="O351" s="18"/>
      <c r="P351" s="18"/>
      <c r="Q351" s="18"/>
      <c r="R351" s="18"/>
      <c r="U351" s="148"/>
    </row>
    <row r="352">
      <c r="D352" s="168"/>
      <c r="E352" s="148"/>
      <c r="G352" s="160"/>
      <c r="L352" s="161"/>
      <c r="M352" s="161"/>
      <c r="N352" s="162"/>
      <c r="O352" s="18"/>
      <c r="P352" s="18"/>
      <c r="Q352" s="18"/>
      <c r="R352" s="18"/>
      <c r="U352" s="148"/>
    </row>
    <row r="353">
      <c r="D353" s="168"/>
      <c r="E353" s="148"/>
      <c r="G353" s="160"/>
      <c r="L353" s="161"/>
      <c r="M353" s="161"/>
      <c r="N353" s="162"/>
      <c r="O353" s="18"/>
      <c r="P353" s="18"/>
      <c r="Q353" s="18"/>
      <c r="R353" s="18"/>
      <c r="U353" s="148"/>
    </row>
    <row r="354">
      <c r="D354" s="168"/>
      <c r="E354" s="148"/>
      <c r="G354" s="160"/>
      <c r="L354" s="161"/>
      <c r="M354" s="161"/>
      <c r="N354" s="162"/>
      <c r="O354" s="18"/>
      <c r="P354" s="18"/>
      <c r="Q354" s="18"/>
      <c r="R354" s="18"/>
      <c r="U354" s="148"/>
    </row>
    <row r="355">
      <c r="D355" s="168"/>
      <c r="E355" s="148"/>
      <c r="G355" s="160"/>
      <c r="L355" s="161"/>
      <c r="M355" s="161"/>
      <c r="N355" s="162"/>
      <c r="O355" s="18"/>
      <c r="P355" s="18"/>
      <c r="Q355" s="18"/>
      <c r="R355" s="18"/>
      <c r="U355" s="148"/>
    </row>
    <row r="356">
      <c r="D356" s="168"/>
      <c r="E356" s="148"/>
      <c r="G356" s="160"/>
      <c r="L356" s="161"/>
      <c r="M356" s="161"/>
      <c r="N356" s="162"/>
      <c r="O356" s="18"/>
      <c r="P356" s="18"/>
      <c r="Q356" s="18"/>
      <c r="R356" s="18"/>
      <c r="U356" s="148"/>
    </row>
    <row r="357">
      <c r="D357" s="168"/>
      <c r="E357" s="148"/>
      <c r="G357" s="160"/>
      <c r="L357" s="161"/>
      <c r="M357" s="161"/>
      <c r="N357" s="162"/>
      <c r="O357" s="18"/>
      <c r="P357" s="18"/>
      <c r="Q357" s="18"/>
      <c r="R357" s="18"/>
      <c r="U357" s="148"/>
    </row>
    <row r="358">
      <c r="D358" s="168"/>
      <c r="E358" s="148"/>
      <c r="G358" s="160"/>
      <c r="L358" s="161"/>
      <c r="M358" s="161"/>
      <c r="N358" s="162"/>
      <c r="O358" s="18"/>
      <c r="P358" s="18"/>
      <c r="Q358" s="18"/>
      <c r="R358" s="18"/>
      <c r="U358" s="148"/>
    </row>
    <row r="359">
      <c r="D359" s="168"/>
      <c r="E359" s="148"/>
      <c r="G359" s="160"/>
      <c r="L359" s="161"/>
      <c r="M359" s="161"/>
      <c r="N359" s="162"/>
      <c r="O359" s="18"/>
      <c r="P359" s="18"/>
      <c r="Q359" s="18"/>
      <c r="R359" s="18"/>
      <c r="U359" s="148"/>
    </row>
    <row r="360">
      <c r="D360" s="168"/>
      <c r="E360" s="148"/>
      <c r="G360" s="160"/>
      <c r="L360" s="161"/>
      <c r="M360" s="161"/>
      <c r="N360" s="162"/>
      <c r="O360" s="18"/>
      <c r="P360" s="18"/>
      <c r="Q360" s="18"/>
      <c r="R360" s="18"/>
      <c r="U360" s="148"/>
    </row>
    <row r="361">
      <c r="D361" s="168"/>
      <c r="E361" s="148"/>
      <c r="G361" s="160"/>
      <c r="L361" s="161"/>
      <c r="M361" s="161"/>
      <c r="N361" s="162"/>
      <c r="O361" s="18"/>
      <c r="P361" s="18"/>
      <c r="Q361" s="18"/>
      <c r="R361" s="18"/>
      <c r="U361" s="148"/>
    </row>
    <row r="362">
      <c r="D362" s="168"/>
      <c r="E362" s="148"/>
      <c r="G362" s="160"/>
      <c r="L362" s="161"/>
      <c r="M362" s="161"/>
      <c r="N362" s="162"/>
      <c r="O362" s="18"/>
      <c r="P362" s="18"/>
      <c r="Q362" s="18"/>
      <c r="R362" s="18"/>
      <c r="U362" s="148"/>
    </row>
    <row r="363">
      <c r="D363" s="168"/>
      <c r="E363" s="148"/>
      <c r="G363" s="160"/>
      <c r="L363" s="161"/>
      <c r="M363" s="161"/>
      <c r="N363" s="162"/>
      <c r="O363" s="18"/>
      <c r="P363" s="18"/>
      <c r="Q363" s="18"/>
      <c r="R363" s="18"/>
      <c r="U363" s="148"/>
    </row>
    <row r="364">
      <c r="D364" s="168"/>
      <c r="E364" s="148"/>
      <c r="G364" s="160"/>
      <c r="L364" s="161"/>
      <c r="M364" s="161"/>
      <c r="N364" s="162"/>
      <c r="O364" s="18"/>
      <c r="P364" s="18"/>
      <c r="Q364" s="18"/>
      <c r="R364" s="18"/>
      <c r="U364" s="148"/>
    </row>
    <row r="365">
      <c r="D365" s="168"/>
      <c r="E365" s="148"/>
      <c r="G365" s="160"/>
      <c r="L365" s="161"/>
      <c r="M365" s="161"/>
      <c r="N365" s="162"/>
      <c r="O365" s="18"/>
      <c r="P365" s="18"/>
      <c r="Q365" s="18"/>
      <c r="R365" s="18"/>
      <c r="U365" s="148"/>
    </row>
    <row r="366">
      <c r="D366" s="168"/>
      <c r="E366" s="148"/>
      <c r="G366" s="160"/>
      <c r="L366" s="161"/>
      <c r="M366" s="161"/>
      <c r="N366" s="162"/>
      <c r="O366" s="18"/>
      <c r="P366" s="18"/>
      <c r="Q366" s="18"/>
      <c r="R366" s="18"/>
      <c r="U366" s="148"/>
    </row>
    <row r="367">
      <c r="D367" s="168"/>
      <c r="E367" s="148"/>
      <c r="G367" s="160"/>
      <c r="L367" s="161"/>
      <c r="M367" s="161"/>
      <c r="N367" s="162"/>
      <c r="O367" s="18"/>
      <c r="P367" s="18"/>
      <c r="Q367" s="18"/>
      <c r="R367" s="18"/>
      <c r="U367" s="148"/>
    </row>
    <row r="368">
      <c r="D368" s="168"/>
      <c r="E368" s="148"/>
      <c r="G368" s="160"/>
      <c r="L368" s="161"/>
      <c r="M368" s="161"/>
      <c r="N368" s="162"/>
      <c r="O368" s="18"/>
      <c r="P368" s="18"/>
      <c r="Q368" s="18"/>
      <c r="R368" s="18"/>
      <c r="U368" s="148"/>
    </row>
    <row r="369">
      <c r="D369" s="168"/>
      <c r="E369" s="148"/>
      <c r="G369" s="160"/>
      <c r="L369" s="161"/>
      <c r="M369" s="161"/>
      <c r="N369" s="162"/>
      <c r="O369" s="18"/>
      <c r="P369" s="18"/>
      <c r="Q369" s="18"/>
      <c r="R369" s="18"/>
      <c r="U369" s="148"/>
    </row>
    <row r="370">
      <c r="D370" s="168"/>
      <c r="E370" s="148"/>
      <c r="G370" s="160"/>
      <c r="L370" s="161"/>
      <c r="M370" s="161"/>
      <c r="N370" s="162"/>
      <c r="O370" s="18"/>
      <c r="P370" s="18"/>
      <c r="Q370" s="18"/>
      <c r="R370" s="18"/>
      <c r="U370" s="148"/>
    </row>
    <row r="371">
      <c r="D371" s="168"/>
      <c r="E371" s="148"/>
      <c r="G371" s="160"/>
      <c r="L371" s="161"/>
      <c r="M371" s="161"/>
      <c r="N371" s="162"/>
      <c r="O371" s="18"/>
      <c r="P371" s="18"/>
      <c r="Q371" s="18"/>
      <c r="R371" s="18"/>
      <c r="U371" s="148"/>
    </row>
    <row r="372">
      <c r="D372" s="168"/>
      <c r="E372" s="148"/>
      <c r="G372" s="160"/>
      <c r="L372" s="161"/>
      <c r="M372" s="161"/>
      <c r="N372" s="162"/>
      <c r="O372" s="18"/>
      <c r="P372" s="18"/>
      <c r="Q372" s="18"/>
      <c r="R372" s="18"/>
      <c r="U372" s="148"/>
    </row>
    <row r="373">
      <c r="D373" s="168"/>
      <c r="E373" s="148"/>
      <c r="G373" s="160"/>
      <c r="L373" s="161"/>
      <c r="M373" s="161"/>
      <c r="N373" s="162"/>
      <c r="O373" s="18"/>
      <c r="P373" s="18"/>
      <c r="Q373" s="18"/>
      <c r="R373" s="18"/>
      <c r="U373" s="148"/>
    </row>
    <row r="374">
      <c r="D374" s="168"/>
      <c r="E374" s="148"/>
      <c r="G374" s="160"/>
      <c r="L374" s="161"/>
      <c r="M374" s="161"/>
      <c r="N374" s="162"/>
      <c r="O374" s="18"/>
      <c r="P374" s="18"/>
      <c r="Q374" s="18"/>
      <c r="R374" s="18"/>
      <c r="U374" s="148"/>
    </row>
    <row r="375">
      <c r="D375" s="168"/>
      <c r="E375" s="148"/>
      <c r="G375" s="160"/>
      <c r="L375" s="161"/>
      <c r="M375" s="161"/>
      <c r="N375" s="162"/>
      <c r="O375" s="18"/>
      <c r="P375" s="18"/>
      <c r="Q375" s="18"/>
      <c r="R375" s="18"/>
      <c r="U375" s="148"/>
    </row>
    <row r="376">
      <c r="D376" s="168"/>
      <c r="E376" s="148"/>
      <c r="G376" s="160"/>
      <c r="L376" s="161"/>
      <c r="M376" s="161"/>
      <c r="N376" s="162"/>
      <c r="O376" s="18"/>
      <c r="P376" s="18"/>
      <c r="Q376" s="18"/>
      <c r="R376" s="18"/>
      <c r="U376" s="148"/>
    </row>
    <row r="377">
      <c r="D377" s="168"/>
      <c r="E377" s="148"/>
      <c r="G377" s="160"/>
      <c r="L377" s="161"/>
      <c r="M377" s="161"/>
      <c r="N377" s="162"/>
      <c r="O377" s="18"/>
      <c r="P377" s="18"/>
      <c r="Q377" s="18"/>
      <c r="R377" s="18"/>
      <c r="U377" s="148"/>
    </row>
    <row r="378">
      <c r="D378" s="168"/>
      <c r="E378" s="148"/>
      <c r="G378" s="160"/>
      <c r="L378" s="161"/>
      <c r="M378" s="161"/>
      <c r="N378" s="162"/>
      <c r="O378" s="18"/>
      <c r="P378" s="18"/>
      <c r="Q378" s="18"/>
      <c r="R378" s="18"/>
      <c r="U378" s="148"/>
    </row>
    <row r="379">
      <c r="D379" s="168"/>
      <c r="E379" s="148"/>
      <c r="G379" s="160"/>
      <c r="L379" s="161"/>
      <c r="M379" s="161"/>
      <c r="N379" s="162"/>
      <c r="O379" s="18"/>
      <c r="P379" s="18"/>
      <c r="Q379" s="18"/>
      <c r="R379" s="18"/>
      <c r="U379" s="148"/>
    </row>
    <row r="380">
      <c r="D380" s="168"/>
      <c r="E380" s="148"/>
      <c r="G380" s="160"/>
      <c r="L380" s="161"/>
      <c r="M380" s="161"/>
      <c r="N380" s="162"/>
      <c r="O380" s="18"/>
      <c r="P380" s="18"/>
      <c r="Q380" s="18"/>
      <c r="R380" s="18"/>
      <c r="U380" s="148"/>
    </row>
    <row r="381">
      <c r="D381" s="168"/>
      <c r="E381" s="148"/>
      <c r="G381" s="160"/>
      <c r="L381" s="161"/>
      <c r="M381" s="161"/>
      <c r="N381" s="162"/>
      <c r="O381" s="18"/>
      <c r="P381" s="18"/>
      <c r="Q381" s="18"/>
      <c r="R381" s="18"/>
      <c r="U381" s="148"/>
    </row>
    <row r="382">
      <c r="D382" s="168"/>
      <c r="E382" s="148"/>
      <c r="G382" s="160"/>
      <c r="L382" s="161"/>
      <c r="M382" s="161"/>
      <c r="N382" s="162"/>
      <c r="O382" s="18"/>
      <c r="P382" s="18"/>
      <c r="Q382" s="18"/>
      <c r="R382" s="18"/>
      <c r="U382" s="148"/>
    </row>
    <row r="383">
      <c r="D383" s="168"/>
      <c r="E383" s="148"/>
      <c r="G383" s="160"/>
      <c r="L383" s="161"/>
      <c r="M383" s="161"/>
      <c r="N383" s="162"/>
      <c r="O383" s="18"/>
      <c r="P383" s="18"/>
      <c r="Q383" s="18"/>
      <c r="R383" s="18"/>
      <c r="U383" s="148"/>
    </row>
    <row r="384">
      <c r="D384" s="168"/>
      <c r="E384" s="148"/>
      <c r="G384" s="160"/>
      <c r="L384" s="161"/>
      <c r="M384" s="161"/>
      <c r="N384" s="162"/>
      <c r="O384" s="18"/>
      <c r="P384" s="18"/>
      <c r="Q384" s="18"/>
      <c r="R384" s="18"/>
      <c r="U384" s="148"/>
    </row>
    <row r="385">
      <c r="D385" s="168"/>
      <c r="E385" s="148"/>
      <c r="G385" s="160"/>
      <c r="L385" s="161"/>
      <c r="M385" s="161"/>
      <c r="N385" s="162"/>
      <c r="O385" s="18"/>
      <c r="P385" s="18"/>
      <c r="Q385" s="18"/>
      <c r="R385" s="18"/>
      <c r="U385" s="148"/>
    </row>
    <row r="386">
      <c r="D386" s="168"/>
      <c r="E386" s="148"/>
      <c r="G386" s="160"/>
      <c r="L386" s="161"/>
      <c r="M386" s="161"/>
      <c r="N386" s="162"/>
      <c r="O386" s="18"/>
      <c r="P386" s="18"/>
      <c r="Q386" s="18"/>
      <c r="R386" s="18"/>
      <c r="U386" s="148"/>
    </row>
    <row r="387">
      <c r="D387" s="168"/>
      <c r="E387" s="148"/>
      <c r="G387" s="160"/>
      <c r="L387" s="161"/>
      <c r="M387" s="161"/>
      <c r="N387" s="162"/>
      <c r="O387" s="18"/>
      <c r="P387" s="18"/>
      <c r="Q387" s="18"/>
      <c r="R387" s="18"/>
      <c r="U387" s="148"/>
    </row>
    <row r="388">
      <c r="D388" s="168"/>
      <c r="E388" s="148"/>
      <c r="G388" s="160"/>
      <c r="L388" s="161"/>
      <c r="M388" s="161"/>
      <c r="N388" s="162"/>
      <c r="O388" s="18"/>
      <c r="P388" s="18"/>
      <c r="Q388" s="18"/>
      <c r="R388" s="18"/>
      <c r="U388" s="148"/>
    </row>
    <row r="389">
      <c r="D389" s="168"/>
      <c r="E389" s="148"/>
      <c r="G389" s="160"/>
      <c r="L389" s="161"/>
      <c r="M389" s="161"/>
      <c r="N389" s="162"/>
      <c r="O389" s="18"/>
      <c r="P389" s="18"/>
      <c r="Q389" s="18"/>
      <c r="R389" s="18"/>
      <c r="U389" s="148"/>
    </row>
    <row r="390">
      <c r="D390" s="168"/>
      <c r="E390" s="148"/>
      <c r="G390" s="160"/>
      <c r="L390" s="161"/>
      <c r="M390" s="161"/>
      <c r="N390" s="162"/>
      <c r="O390" s="18"/>
      <c r="P390" s="18"/>
      <c r="Q390" s="18"/>
      <c r="R390" s="18"/>
      <c r="U390" s="148"/>
    </row>
    <row r="391">
      <c r="D391" s="168"/>
      <c r="E391" s="148"/>
      <c r="G391" s="160"/>
      <c r="L391" s="161"/>
      <c r="M391" s="161"/>
      <c r="N391" s="162"/>
      <c r="O391" s="18"/>
      <c r="P391" s="18"/>
      <c r="Q391" s="18"/>
      <c r="R391" s="18"/>
      <c r="U391" s="148"/>
    </row>
    <row r="392">
      <c r="D392" s="168"/>
      <c r="E392" s="148"/>
      <c r="G392" s="160"/>
      <c r="L392" s="161"/>
      <c r="M392" s="161"/>
      <c r="N392" s="162"/>
      <c r="O392" s="18"/>
      <c r="P392" s="18"/>
      <c r="Q392" s="18"/>
      <c r="R392" s="18"/>
      <c r="U392" s="148"/>
    </row>
    <row r="393">
      <c r="D393" s="168"/>
      <c r="E393" s="148"/>
      <c r="G393" s="160"/>
      <c r="L393" s="161"/>
      <c r="M393" s="161"/>
      <c r="N393" s="162"/>
      <c r="O393" s="18"/>
      <c r="P393" s="18"/>
      <c r="Q393" s="18"/>
      <c r="R393" s="18"/>
      <c r="U393" s="148"/>
    </row>
    <row r="394">
      <c r="D394" s="168"/>
      <c r="E394" s="148"/>
      <c r="G394" s="160"/>
      <c r="L394" s="161"/>
      <c r="M394" s="161"/>
      <c r="N394" s="162"/>
      <c r="O394" s="18"/>
      <c r="P394" s="18"/>
      <c r="Q394" s="18"/>
      <c r="R394" s="18"/>
      <c r="U394" s="148"/>
    </row>
    <row r="395">
      <c r="D395" s="168"/>
      <c r="E395" s="148"/>
      <c r="G395" s="160"/>
      <c r="L395" s="161"/>
      <c r="M395" s="161"/>
      <c r="N395" s="162"/>
      <c r="O395" s="18"/>
      <c r="P395" s="18"/>
      <c r="Q395" s="18"/>
      <c r="R395" s="18"/>
      <c r="U395" s="148"/>
    </row>
    <row r="396">
      <c r="D396" s="168"/>
      <c r="E396" s="148"/>
      <c r="G396" s="160"/>
      <c r="L396" s="161"/>
      <c r="M396" s="161"/>
      <c r="N396" s="162"/>
      <c r="O396" s="18"/>
      <c r="P396" s="18"/>
      <c r="Q396" s="18"/>
      <c r="R396" s="18"/>
      <c r="U396" s="148"/>
    </row>
    <row r="397">
      <c r="D397" s="168"/>
      <c r="E397" s="148"/>
      <c r="G397" s="160"/>
      <c r="L397" s="161"/>
      <c r="M397" s="161"/>
      <c r="N397" s="162"/>
      <c r="O397" s="18"/>
      <c r="P397" s="18"/>
      <c r="Q397" s="18"/>
      <c r="R397" s="18"/>
      <c r="U397" s="148"/>
    </row>
    <row r="398">
      <c r="D398" s="168"/>
      <c r="E398" s="148"/>
      <c r="G398" s="160"/>
      <c r="L398" s="161"/>
      <c r="M398" s="161"/>
      <c r="N398" s="162"/>
      <c r="O398" s="18"/>
      <c r="P398" s="18"/>
      <c r="Q398" s="18"/>
      <c r="R398" s="18"/>
      <c r="U398" s="148"/>
    </row>
    <row r="399">
      <c r="D399" s="168"/>
      <c r="E399" s="148"/>
      <c r="G399" s="160"/>
      <c r="L399" s="161"/>
      <c r="M399" s="161"/>
      <c r="N399" s="162"/>
      <c r="O399" s="18"/>
      <c r="P399" s="18"/>
      <c r="Q399" s="18"/>
      <c r="R399" s="18"/>
      <c r="U399" s="148"/>
    </row>
    <row r="400">
      <c r="D400" s="168"/>
      <c r="E400" s="148"/>
      <c r="G400" s="160"/>
      <c r="L400" s="161"/>
      <c r="M400" s="161"/>
      <c r="N400" s="162"/>
      <c r="O400" s="18"/>
      <c r="P400" s="18"/>
      <c r="Q400" s="18"/>
      <c r="R400" s="18"/>
      <c r="U400" s="148"/>
    </row>
    <row r="401">
      <c r="D401" s="168"/>
      <c r="E401" s="148"/>
      <c r="G401" s="160"/>
      <c r="L401" s="161"/>
      <c r="M401" s="161"/>
      <c r="N401" s="162"/>
      <c r="O401" s="18"/>
      <c r="P401" s="18"/>
      <c r="Q401" s="18"/>
      <c r="R401" s="18"/>
      <c r="U401" s="148"/>
    </row>
    <row r="402">
      <c r="D402" s="168"/>
      <c r="E402" s="148"/>
      <c r="G402" s="160"/>
      <c r="L402" s="161"/>
      <c r="M402" s="161"/>
      <c r="N402" s="162"/>
      <c r="O402" s="18"/>
      <c r="P402" s="18"/>
      <c r="Q402" s="18"/>
      <c r="R402" s="18"/>
      <c r="U402" s="148"/>
    </row>
    <row r="403">
      <c r="D403" s="168"/>
      <c r="E403" s="148"/>
      <c r="G403" s="160"/>
      <c r="L403" s="161"/>
      <c r="M403" s="161"/>
      <c r="N403" s="162"/>
      <c r="O403" s="18"/>
      <c r="P403" s="18"/>
      <c r="Q403" s="18"/>
      <c r="R403" s="18"/>
      <c r="U403" s="148"/>
    </row>
    <row r="404">
      <c r="D404" s="168"/>
      <c r="E404" s="148"/>
      <c r="G404" s="160"/>
      <c r="L404" s="161"/>
      <c r="M404" s="161"/>
      <c r="N404" s="162"/>
      <c r="O404" s="18"/>
      <c r="P404" s="18"/>
      <c r="Q404" s="18"/>
      <c r="R404" s="18"/>
      <c r="U404" s="148"/>
    </row>
    <row r="405">
      <c r="D405" s="168"/>
      <c r="E405" s="148"/>
      <c r="G405" s="160"/>
      <c r="L405" s="161"/>
      <c r="M405" s="161"/>
      <c r="N405" s="162"/>
      <c r="O405" s="18"/>
      <c r="P405" s="18"/>
      <c r="Q405" s="18"/>
      <c r="R405" s="18"/>
      <c r="U405" s="148"/>
    </row>
    <row r="406">
      <c r="D406" s="168"/>
      <c r="E406" s="148"/>
      <c r="G406" s="160"/>
      <c r="L406" s="161"/>
      <c r="M406" s="161"/>
      <c r="N406" s="162"/>
      <c r="O406" s="18"/>
      <c r="P406" s="18"/>
      <c r="Q406" s="18"/>
      <c r="R406" s="18"/>
      <c r="U406" s="148"/>
    </row>
    <row r="407">
      <c r="D407" s="168"/>
      <c r="E407" s="148"/>
      <c r="G407" s="160"/>
      <c r="L407" s="161"/>
      <c r="M407" s="161"/>
      <c r="N407" s="162"/>
      <c r="O407" s="18"/>
      <c r="P407" s="18"/>
      <c r="Q407" s="18"/>
      <c r="R407" s="18"/>
      <c r="U407" s="148"/>
    </row>
    <row r="408">
      <c r="D408" s="168"/>
      <c r="E408" s="148"/>
      <c r="G408" s="160"/>
      <c r="L408" s="161"/>
      <c r="M408" s="161"/>
      <c r="N408" s="162"/>
      <c r="O408" s="18"/>
      <c r="P408" s="18"/>
      <c r="Q408" s="18"/>
      <c r="R408" s="18"/>
      <c r="U408" s="148"/>
    </row>
    <row r="409">
      <c r="D409" s="168"/>
      <c r="E409" s="148"/>
      <c r="G409" s="160"/>
      <c r="L409" s="161"/>
      <c r="M409" s="161"/>
      <c r="N409" s="162"/>
      <c r="O409" s="18"/>
      <c r="P409" s="18"/>
      <c r="Q409" s="18"/>
      <c r="R409" s="18"/>
      <c r="U409" s="148"/>
    </row>
    <row r="410">
      <c r="D410" s="168"/>
      <c r="E410" s="148"/>
      <c r="G410" s="160"/>
      <c r="L410" s="161"/>
      <c r="M410" s="161"/>
      <c r="N410" s="162"/>
      <c r="O410" s="18"/>
      <c r="P410" s="18"/>
      <c r="Q410" s="18"/>
      <c r="R410" s="18"/>
      <c r="U410" s="148"/>
    </row>
    <row r="411">
      <c r="D411" s="168"/>
      <c r="E411" s="148"/>
      <c r="G411" s="160"/>
      <c r="L411" s="161"/>
      <c r="M411" s="161"/>
      <c r="N411" s="162"/>
      <c r="O411" s="18"/>
      <c r="P411" s="18"/>
      <c r="Q411" s="18"/>
      <c r="R411" s="18"/>
      <c r="U411" s="148"/>
    </row>
    <row r="412">
      <c r="D412" s="168"/>
      <c r="E412" s="148"/>
      <c r="G412" s="160"/>
      <c r="L412" s="161"/>
      <c r="M412" s="161"/>
      <c r="N412" s="162"/>
      <c r="O412" s="18"/>
      <c r="P412" s="18"/>
      <c r="Q412" s="18"/>
      <c r="R412" s="18"/>
      <c r="U412" s="148"/>
    </row>
    <row r="413">
      <c r="D413" s="168"/>
      <c r="E413" s="148"/>
      <c r="G413" s="160"/>
      <c r="L413" s="161"/>
      <c r="M413" s="161"/>
      <c r="N413" s="162"/>
      <c r="O413" s="18"/>
      <c r="P413" s="18"/>
      <c r="Q413" s="18"/>
      <c r="R413" s="18"/>
      <c r="U413" s="148"/>
    </row>
    <row r="414">
      <c r="D414" s="168"/>
      <c r="E414" s="148"/>
      <c r="G414" s="160"/>
      <c r="L414" s="161"/>
      <c r="M414" s="161"/>
      <c r="N414" s="162"/>
      <c r="O414" s="18"/>
      <c r="P414" s="18"/>
      <c r="Q414" s="18"/>
      <c r="R414" s="18"/>
      <c r="U414" s="148"/>
    </row>
    <row r="415">
      <c r="D415" s="168"/>
      <c r="E415" s="148"/>
      <c r="G415" s="160"/>
      <c r="L415" s="161"/>
      <c r="M415" s="161"/>
      <c r="N415" s="162"/>
      <c r="O415" s="18"/>
      <c r="P415" s="18"/>
      <c r="Q415" s="18"/>
      <c r="R415" s="18"/>
      <c r="U415" s="148"/>
    </row>
    <row r="416">
      <c r="D416" s="168"/>
      <c r="E416" s="148"/>
      <c r="G416" s="160"/>
      <c r="L416" s="161"/>
      <c r="M416" s="161"/>
      <c r="N416" s="162"/>
      <c r="O416" s="18"/>
      <c r="P416" s="18"/>
      <c r="Q416" s="18"/>
      <c r="R416" s="18"/>
      <c r="U416" s="148"/>
    </row>
    <row r="417">
      <c r="D417" s="168"/>
      <c r="E417" s="148"/>
      <c r="G417" s="160"/>
      <c r="L417" s="161"/>
      <c r="M417" s="161"/>
      <c r="N417" s="162"/>
      <c r="O417" s="18"/>
      <c r="P417" s="18"/>
      <c r="Q417" s="18"/>
      <c r="R417" s="18"/>
      <c r="U417" s="148"/>
    </row>
    <row r="418">
      <c r="D418" s="168"/>
      <c r="E418" s="148"/>
      <c r="G418" s="160"/>
      <c r="L418" s="161"/>
      <c r="M418" s="161"/>
      <c r="N418" s="162"/>
      <c r="O418" s="18"/>
      <c r="P418" s="18"/>
      <c r="Q418" s="18"/>
      <c r="R418" s="18"/>
      <c r="U418" s="148"/>
    </row>
    <row r="419">
      <c r="D419" s="168"/>
      <c r="E419" s="148"/>
      <c r="G419" s="160"/>
      <c r="L419" s="161"/>
      <c r="M419" s="161"/>
      <c r="N419" s="162"/>
      <c r="O419" s="18"/>
      <c r="P419" s="18"/>
      <c r="Q419" s="18"/>
      <c r="R419" s="18"/>
      <c r="U419" s="148"/>
    </row>
    <row r="420">
      <c r="D420" s="168"/>
      <c r="E420" s="148"/>
      <c r="G420" s="160"/>
      <c r="L420" s="161"/>
      <c r="M420" s="161"/>
      <c r="N420" s="162"/>
      <c r="O420" s="18"/>
      <c r="P420" s="18"/>
      <c r="Q420" s="18"/>
      <c r="R420" s="18"/>
      <c r="U420" s="148"/>
    </row>
    <row r="421">
      <c r="D421" s="168"/>
      <c r="E421" s="148"/>
      <c r="G421" s="160"/>
      <c r="L421" s="161"/>
      <c r="M421" s="161"/>
      <c r="N421" s="162"/>
      <c r="O421" s="18"/>
      <c r="P421" s="18"/>
      <c r="Q421" s="18"/>
      <c r="R421" s="18"/>
      <c r="U421" s="148"/>
    </row>
    <row r="422">
      <c r="D422" s="168"/>
      <c r="E422" s="148"/>
      <c r="G422" s="160"/>
      <c r="L422" s="161"/>
      <c r="M422" s="161"/>
      <c r="N422" s="162"/>
      <c r="O422" s="18"/>
      <c r="P422" s="18"/>
      <c r="Q422" s="18"/>
      <c r="R422" s="18"/>
      <c r="U422" s="148"/>
    </row>
    <row r="423">
      <c r="D423" s="168"/>
      <c r="E423" s="148"/>
      <c r="G423" s="160"/>
      <c r="L423" s="161"/>
      <c r="M423" s="161"/>
      <c r="N423" s="162"/>
      <c r="O423" s="18"/>
      <c r="P423" s="18"/>
      <c r="Q423" s="18"/>
      <c r="R423" s="18"/>
      <c r="U423" s="148"/>
    </row>
    <row r="424">
      <c r="D424" s="168"/>
      <c r="E424" s="148"/>
      <c r="G424" s="160"/>
      <c r="L424" s="161"/>
      <c r="M424" s="161"/>
      <c r="N424" s="162"/>
      <c r="O424" s="18"/>
      <c r="P424" s="18"/>
      <c r="Q424" s="18"/>
      <c r="R424" s="18"/>
      <c r="U424" s="148"/>
    </row>
    <row r="425">
      <c r="D425" s="168"/>
      <c r="E425" s="148"/>
      <c r="G425" s="160"/>
      <c r="L425" s="161"/>
      <c r="M425" s="161"/>
      <c r="N425" s="162"/>
      <c r="O425" s="18"/>
      <c r="P425" s="18"/>
      <c r="Q425" s="18"/>
      <c r="R425" s="18"/>
      <c r="U425" s="148"/>
    </row>
    <row r="426">
      <c r="D426" s="168"/>
      <c r="E426" s="148"/>
      <c r="G426" s="160"/>
      <c r="L426" s="161"/>
      <c r="M426" s="161"/>
      <c r="N426" s="162"/>
      <c r="O426" s="18"/>
      <c r="P426" s="18"/>
      <c r="Q426" s="18"/>
      <c r="R426" s="18"/>
      <c r="U426" s="148"/>
    </row>
    <row r="427">
      <c r="D427" s="168"/>
      <c r="E427" s="148"/>
      <c r="G427" s="160"/>
      <c r="L427" s="161"/>
      <c r="M427" s="161"/>
      <c r="N427" s="162"/>
      <c r="O427" s="18"/>
      <c r="P427" s="18"/>
      <c r="Q427" s="18"/>
      <c r="R427" s="18"/>
      <c r="U427" s="148"/>
    </row>
    <row r="428">
      <c r="D428" s="168"/>
      <c r="E428" s="148"/>
      <c r="G428" s="160"/>
      <c r="L428" s="161"/>
      <c r="M428" s="161"/>
      <c r="N428" s="162"/>
      <c r="O428" s="18"/>
      <c r="P428" s="18"/>
      <c r="Q428" s="18"/>
      <c r="R428" s="18"/>
      <c r="U428" s="148"/>
    </row>
    <row r="429">
      <c r="D429" s="168"/>
      <c r="E429" s="148"/>
      <c r="G429" s="160"/>
      <c r="L429" s="161"/>
      <c r="M429" s="161"/>
      <c r="N429" s="162"/>
      <c r="O429" s="18"/>
      <c r="P429" s="18"/>
      <c r="Q429" s="18"/>
      <c r="R429" s="18"/>
      <c r="U429" s="148"/>
    </row>
    <row r="430">
      <c r="D430" s="168"/>
      <c r="E430" s="148"/>
      <c r="G430" s="160"/>
      <c r="L430" s="161"/>
      <c r="M430" s="161"/>
      <c r="N430" s="162"/>
      <c r="O430" s="18"/>
      <c r="P430" s="18"/>
      <c r="Q430" s="18"/>
      <c r="R430" s="18"/>
      <c r="U430" s="148"/>
    </row>
    <row r="431">
      <c r="D431" s="168"/>
      <c r="E431" s="148"/>
      <c r="G431" s="160"/>
      <c r="L431" s="161"/>
      <c r="M431" s="161"/>
      <c r="N431" s="162"/>
      <c r="O431" s="18"/>
      <c r="P431" s="18"/>
      <c r="Q431" s="18"/>
      <c r="R431" s="18"/>
      <c r="U431" s="148"/>
    </row>
    <row r="432">
      <c r="D432" s="168"/>
      <c r="E432" s="148"/>
      <c r="G432" s="160"/>
      <c r="L432" s="161"/>
      <c r="M432" s="161"/>
      <c r="N432" s="162"/>
      <c r="O432" s="18"/>
      <c r="P432" s="18"/>
      <c r="Q432" s="18"/>
      <c r="R432" s="18"/>
      <c r="U432" s="148"/>
    </row>
    <row r="433">
      <c r="D433" s="168"/>
      <c r="E433" s="148"/>
      <c r="G433" s="160"/>
      <c r="L433" s="161"/>
      <c r="M433" s="161"/>
      <c r="N433" s="162"/>
      <c r="O433" s="18"/>
      <c r="P433" s="18"/>
      <c r="Q433" s="18"/>
      <c r="R433" s="18"/>
      <c r="U433" s="148"/>
    </row>
    <row r="434">
      <c r="D434" s="168"/>
      <c r="E434" s="148"/>
      <c r="G434" s="160"/>
      <c r="L434" s="161"/>
      <c r="M434" s="161"/>
      <c r="N434" s="162"/>
      <c r="O434" s="18"/>
      <c r="P434" s="18"/>
      <c r="Q434" s="18"/>
      <c r="R434" s="18"/>
      <c r="U434" s="148"/>
    </row>
    <row r="435">
      <c r="D435" s="168"/>
      <c r="E435" s="148"/>
      <c r="G435" s="160"/>
      <c r="L435" s="161"/>
      <c r="M435" s="161"/>
      <c r="N435" s="162"/>
      <c r="O435" s="18"/>
      <c r="P435" s="18"/>
      <c r="Q435" s="18"/>
      <c r="R435" s="18"/>
      <c r="U435" s="148"/>
    </row>
    <row r="436">
      <c r="D436" s="168"/>
      <c r="E436" s="148"/>
      <c r="G436" s="160"/>
      <c r="L436" s="161"/>
      <c r="M436" s="161"/>
      <c r="N436" s="162"/>
      <c r="O436" s="18"/>
      <c r="P436" s="18"/>
      <c r="Q436" s="18"/>
      <c r="R436" s="18"/>
      <c r="U436" s="148"/>
    </row>
    <row r="437">
      <c r="D437" s="168"/>
      <c r="E437" s="148"/>
      <c r="G437" s="160"/>
      <c r="L437" s="161"/>
      <c r="M437" s="161"/>
      <c r="N437" s="162"/>
      <c r="O437" s="18"/>
      <c r="P437" s="18"/>
      <c r="Q437" s="18"/>
      <c r="R437" s="18"/>
      <c r="U437" s="148"/>
    </row>
    <row r="438">
      <c r="D438" s="168"/>
      <c r="E438" s="148"/>
      <c r="G438" s="160"/>
      <c r="L438" s="161"/>
      <c r="M438" s="161"/>
      <c r="N438" s="162"/>
      <c r="O438" s="18"/>
      <c r="P438" s="18"/>
      <c r="Q438" s="18"/>
      <c r="R438" s="18"/>
      <c r="U438" s="148"/>
    </row>
    <row r="439">
      <c r="D439" s="168"/>
      <c r="E439" s="148"/>
      <c r="G439" s="160"/>
      <c r="L439" s="161"/>
      <c r="M439" s="161"/>
      <c r="N439" s="162"/>
      <c r="O439" s="18"/>
      <c r="P439" s="18"/>
      <c r="Q439" s="18"/>
      <c r="R439" s="18"/>
      <c r="U439" s="148"/>
    </row>
    <row r="440">
      <c r="D440" s="168"/>
      <c r="E440" s="148"/>
      <c r="G440" s="160"/>
      <c r="L440" s="161"/>
      <c r="M440" s="161"/>
      <c r="N440" s="162"/>
      <c r="O440" s="18"/>
      <c r="P440" s="18"/>
      <c r="Q440" s="18"/>
      <c r="R440" s="18"/>
      <c r="U440" s="148"/>
    </row>
    <row r="441">
      <c r="D441" s="168"/>
      <c r="E441" s="148"/>
      <c r="G441" s="160"/>
      <c r="L441" s="161"/>
      <c r="M441" s="161"/>
      <c r="N441" s="162"/>
      <c r="O441" s="18"/>
      <c r="P441" s="18"/>
      <c r="Q441" s="18"/>
      <c r="R441" s="18"/>
      <c r="U441" s="148"/>
    </row>
    <row r="442">
      <c r="D442" s="168"/>
      <c r="E442" s="148"/>
      <c r="G442" s="160"/>
      <c r="L442" s="161"/>
      <c r="M442" s="161"/>
      <c r="N442" s="162"/>
      <c r="O442" s="18"/>
      <c r="P442" s="18"/>
      <c r="Q442" s="18"/>
      <c r="R442" s="18"/>
      <c r="U442" s="148"/>
    </row>
    <row r="443">
      <c r="D443" s="168"/>
      <c r="E443" s="148"/>
      <c r="G443" s="160"/>
      <c r="L443" s="161"/>
      <c r="M443" s="161"/>
      <c r="N443" s="162"/>
      <c r="O443" s="18"/>
      <c r="P443" s="18"/>
      <c r="Q443" s="18"/>
      <c r="R443" s="18"/>
      <c r="U443" s="148"/>
    </row>
    <row r="444">
      <c r="D444" s="168"/>
      <c r="E444" s="148"/>
      <c r="G444" s="160"/>
      <c r="L444" s="161"/>
      <c r="M444" s="161"/>
      <c r="N444" s="162"/>
      <c r="O444" s="18"/>
      <c r="P444" s="18"/>
      <c r="Q444" s="18"/>
      <c r="R444" s="18"/>
      <c r="U444" s="148"/>
    </row>
    <row r="445">
      <c r="D445" s="168"/>
      <c r="E445" s="148"/>
      <c r="G445" s="160"/>
      <c r="L445" s="161"/>
      <c r="M445" s="161"/>
      <c r="N445" s="162"/>
      <c r="O445" s="18"/>
      <c r="P445" s="18"/>
      <c r="Q445" s="18"/>
      <c r="R445" s="18"/>
      <c r="U445" s="148"/>
    </row>
    <row r="446">
      <c r="D446" s="168"/>
      <c r="E446" s="148"/>
      <c r="G446" s="160"/>
      <c r="L446" s="161"/>
      <c r="M446" s="161"/>
      <c r="N446" s="162"/>
      <c r="O446" s="18"/>
      <c r="P446" s="18"/>
      <c r="Q446" s="18"/>
      <c r="R446" s="18"/>
      <c r="U446" s="148"/>
    </row>
    <row r="447">
      <c r="D447" s="168"/>
      <c r="E447" s="148"/>
      <c r="G447" s="160"/>
      <c r="L447" s="161"/>
      <c r="M447" s="161"/>
      <c r="N447" s="162"/>
      <c r="O447" s="18"/>
      <c r="P447" s="18"/>
      <c r="Q447" s="18"/>
      <c r="R447" s="18"/>
      <c r="U447" s="148"/>
    </row>
    <row r="448">
      <c r="D448" s="168"/>
      <c r="E448" s="148"/>
      <c r="G448" s="160"/>
      <c r="L448" s="161"/>
      <c r="M448" s="161"/>
      <c r="N448" s="162"/>
      <c r="O448" s="18"/>
      <c r="P448" s="18"/>
      <c r="Q448" s="18"/>
      <c r="R448" s="18"/>
      <c r="U448" s="148"/>
    </row>
    <row r="449">
      <c r="D449" s="168"/>
      <c r="E449" s="148"/>
      <c r="G449" s="160"/>
      <c r="L449" s="161"/>
      <c r="M449" s="161"/>
      <c r="N449" s="162"/>
      <c r="O449" s="18"/>
      <c r="P449" s="18"/>
      <c r="Q449" s="18"/>
      <c r="R449" s="18"/>
      <c r="U449" s="148"/>
    </row>
    <row r="450">
      <c r="D450" s="168"/>
      <c r="E450" s="148"/>
      <c r="G450" s="160"/>
      <c r="L450" s="161"/>
      <c r="M450" s="161"/>
      <c r="N450" s="162"/>
      <c r="O450" s="18"/>
      <c r="P450" s="18"/>
      <c r="Q450" s="18"/>
      <c r="R450" s="18"/>
      <c r="U450" s="148"/>
    </row>
    <row r="451">
      <c r="D451" s="168"/>
      <c r="E451" s="148"/>
      <c r="G451" s="160"/>
      <c r="L451" s="161"/>
      <c r="M451" s="161"/>
      <c r="N451" s="162"/>
      <c r="O451" s="18"/>
      <c r="P451" s="18"/>
      <c r="Q451" s="18"/>
      <c r="R451" s="18"/>
      <c r="U451" s="148"/>
    </row>
    <row r="452">
      <c r="D452" s="168"/>
      <c r="E452" s="148"/>
      <c r="G452" s="160"/>
      <c r="L452" s="161"/>
      <c r="M452" s="161"/>
      <c r="N452" s="162"/>
      <c r="O452" s="18"/>
      <c r="P452" s="18"/>
      <c r="Q452" s="18"/>
      <c r="R452" s="18"/>
      <c r="U452" s="148"/>
    </row>
    <row r="453">
      <c r="D453" s="168"/>
      <c r="E453" s="148"/>
      <c r="G453" s="160"/>
      <c r="L453" s="161"/>
      <c r="M453" s="161"/>
      <c r="N453" s="162"/>
      <c r="O453" s="18"/>
      <c r="P453" s="18"/>
      <c r="Q453" s="18"/>
      <c r="R453" s="18"/>
      <c r="U453" s="148"/>
    </row>
    <row r="454">
      <c r="D454" s="168"/>
      <c r="E454" s="148"/>
      <c r="G454" s="160"/>
      <c r="L454" s="161"/>
      <c r="M454" s="161"/>
      <c r="N454" s="162"/>
      <c r="O454" s="18"/>
      <c r="P454" s="18"/>
      <c r="Q454" s="18"/>
      <c r="R454" s="18"/>
      <c r="U454" s="148"/>
    </row>
    <row r="455">
      <c r="D455" s="168"/>
      <c r="E455" s="148"/>
      <c r="G455" s="160"/>
      <c r="L455" s="161"/>
      <c r="M455" s="161"/>
      <c r="N455" s="162"/>
      <c r="O455" s="18"/>
      <c r="P455" s="18"/>
      <c r="Q455" s="18"/>
      <c r="R455" s="18"/>
      <c r="U455" s="148"/>
    </row>
    <row r="456">
      <c r="D456" s="168"/>
      <c r="E456" s="148"/>
      <c r="G456" s="160"/>
      <c r="L456" s="161"/>
      <c r="M456" s="161"/>
      <c r="N456" s="162"/>
      <c r="O456" s="18"/>
      <c r="P456" s="18"/>
      <c r="Q456" s="18"/>
      <c r="R456" s="18"/>
      <c r="U456" s="148"/>
    </row>
    <row r="457">
      <c r="D457" s="168"/>
      <c r="E457" s="148"/>
      <c r="G457" s="160"/>
      <c r="L457" s="161"/>
      <c r="M457" s="161"/>
      <c r="N457" s="162"/>
      <c r="O457" s="18"/>
      <c r="P457" s="18"/>
      <c r="Q457" s="18"/>
      <c r="R457" s="18"/>
      <c r="U457" s="148"/>
    </row>
    <row r="458">
      <c r="D458" s="168"/>
      <c r="E458" s="148"/>
      <c r="G458" s="160"/>
      <c r="L458" s="161"/>
      <c r="M458" s="161"/>
      <c r="N458" s="162"/>
      <c r="O458" s="18"/>
      <c r="P458" s="18"/>
      <c r="Q458" s="18"/>
      <c r="R458" s="18"/>
      <c r="U458" s="148"/>
    </row>
    <row r="459">
      <c r="D459" s="168"/>
      <c r="E459" s="148"/>
      <c r="G459" s="160"/>
      <c r="L459" s="161"/>
      <c r="M459" s="161"/>
      <c r="N459" s="162"/>
      <c r="O459" s="18"/>
      <c r="P459" s="18"/>
      <c r="Q459" s="18"/>
      <c r="R459" s="18"/>
      <c r="U459" s="148"/>
    </row>
    <row r="460">
      <c r="D460" s="168"/>
      <c r="E460" s="148"/>
      <c r="G460" s="160"/>
      <c r="L460" s="161"/>
      <c r="M460" s="161"/>
      <c r="N460" s="162"/>
      <c r="O460" s="18"/>
      <c r="P460" s="18"/>
      <c r="Q460" s="18"/>
      <c r="R460" s="18"/>
      <c r="U460" s="148"/>
    </row>
    <row r="461">
      <c r="D461" s="168"/>
      <c r="E461" s="148"/>
      <c r="G461" s="160"/>
      <c r="L461" s="161"/>
      <c r="M461" s="161"/>
      <c r="N461" s="162"/>
      <c r="O461" s="18"/>
      <c r="P461" s="18"/>
      <c r="Q461" s="18"/>
      <c r="R461" s="18"/>
      <c r="U461" s="148"/>
    </row>
    <row r="462">
      <c r="D462" s="168"/>
      <c r="E462" s="148"/>
      <c r="G462" s="160"/>
      <c r="L462" s="161"/>
      <c r="M462" s="161"/>
      <c r="N462" s="162"/>
      <c r="O462" s="18"/>
      <c r="P462" s="18"/>
      <c r="Q462" s="18"/>
      <c r="R462" s="18"/>
      <c r="U462" s="148"/>
    </row>
    <row r="463">
      <c r="D463" s="168"/>
      <c r="E463" s="148"/>
      <c r="G463" s="160"/>
      <c r="L463" s="161"/>
      <c r="M463" s="161"/>
      <c r="N463" s="162"/>
      <c r="O463" s="18"/>
      <c r="P463" s="18"/>
      <c r="Q463" s="18"/>
      <c r="R463" s="18"/>
      <c r="U463" s="148"/>
    </row>
    <row r="464">
      <c r="D464" s="168"/>
      <c r="E464" s="148"/>
      <c r="G464" s="160"/>
      <c r="L464" s="161"/>
      <c r="M464" s="161"/>
      <c r="N464" s="162"/>
      <c r="O464" s="18"/>
      <c r="P464" s="18"/>
      <c r="Q464" s="18"/>
      <c r="R464" s="18"/>
      <c r="U464" s="148"/>
    </row>
    <row r="465">
      <c r="D465" s="168"/>
      <c r="E465" s="148"/>
      <c r="G465" s="160"/>
      <c r="L465" s="161"/>
      <c r="M465" s="161"/>
      <c r="N465" s="162"/>
      <c r="O465" s="18"/>
      <c r="P465" s="18"/>
      <c r="Q465" s="18"/>
      <c r="R465" s="18"/>
      <c r="U465" s="148"/>
    </row>
    <row r="466">
      <c r="D466" s="168"/>
      <c r="E466" s="148"/>
      <c r="G466" s="160"/>
      <c r="L466" s="161"/>
      <c r="M466" s="161"/>
      <c r="N466" s="162"/>
      <c r="O466" s="18"/>
      <c r="P466" s="18"/>
      <c r="Q466" s="18"/>
      <c r="R466" s="18"/>
      <c r="U466" s="148"/>
    </row>
    <row r="467">
      <c r="D467" s="168"/>
      <c r="E467" s="148"/>
      <c r="G467" s="160"/>
      <c r="L467" s="161"/>
      <c r="M467" s="161"/>
      <c r="N467" s="162"/>
      <c r="O467" s="18"/>
      <c r="P467" s="18"/>
      <c r="Q467" s="18"/>
      <c r="R467" s="18"/>
      <c r="U467" s="148"/>
    </row>
    <row r="468">
      <c r="D468" s="168"/>
      <c r="E468" s="148"/>
      <c r="G468" s="160"/>
      <c r="L468" s="161"/>
      <c r="M468" s="161"/>
      <c r="N468" s="162"/>
      <c r="O468" s="18"/>
      <c r="P468" s="18"/>
      <c r="Q468" s="18"/>
      <c r="R468" s="18"/>
      <c r="U468" s="148"/>
    </row>
    <row r="469">
      <c r="D469" s="168"/>
      <c r="E469" s="148"/>
      <c r="G469" s="160"/>
      <c r="L469" s="161"/>
      <c r="M469" s="161"/>
      <c r="N469" s="162"/>
      <c r="O469" s="18"/>
      <c r="P469" s="18"/>
      <c r="Q469" s="18"/>
      <c r="R469" s="18"/>
      <c r="U469" s="148"/>
    </row>
    <row r="470">
      <c r="D470" s="168"/>
      <c r="E470" s="148"/>
      <c r="G470" s="160"/>
      <c r="L470" s="161"/>
      <c r="M470" s="161"/>
      <c r="N470" s="162"/>
      <c r="O470" s="18"/>
      <c r="P470" s="18"/>
      <c r="Q470" s="18"/>
      <c r="R470" s="18"/>
      <c r="U470" s="148"/>
    </row>
    <row r="471">
      <c r="D471" s="168"/>
      <c r="E471" s="148"/>
      <c r="G471" s="160"/>
      <c r="L471" s="161"/>
      <c r="M471" s="161"/>
      <c r="N471" s="162"/>
      <c r="O471" s="18"/>
      <c r="P471" s="18"/>
      <c r="Q471" s="18"/>
      <c r="R471" s="18"/>
      <c r="U471" s="148"/>
    </row>
    <row r="472">
      <c r="D472" s="168"/>
      <c r="E472" s="148"/>
      <c r="G472" s="160"/>
      <c r="L472" s="161"/>
      <c r="M472" s="161"/>
      <c r="N472" s="162"/>
      <c r="O472" s="18"/>
      <c r="P472" s="18"/>
      <c r="Q472" s="18"/>
      <c r="R472" s="18"/>
      <c r="U472" s="148"/>
    </row>
    <row r="473">
      <c r="D473" s="168"/>
      <c r="E473" s="148"/>
      <c r="G473" s="160"/>
      <c r="L473" s="161"/>
      <c r="M473" s="161"/>
      <c r="N473" s="162"/>
      <c r="O473" s="18"/>
      <c r="P473" s="18"/>
      <c r="Q473" s="18"/>
      <c r="R473" s="18"/>
      <c r="U473" s="148"/>
    </row>
    <row r="474">
      <c r="D474" s="168"/>
      <c r="E474" s="148"/>
      <c r="G474" s="160"/>
      <c r="L474" s="161"/>
      <c r="M474" s="161"/>
      <c r="N474" s="162"/>
      <c r="O474" s="18"/>
      <c r="P474" s="18"/>
      <c r="Q474" s="18"/>
      <c r="R474" s="18"/>
      <c r="U474" s="148"/>
    </row>
    <row r="475">
      <c r="D475" s="168"/>
      <c r="E475" s="148"/>
      <c r="G475" s="160"/>
      <c r="L475" s="161"/>
      <c r="M475" s="161"/>
      <c r="N475" s="162"/>
      <c r="O475" s="18"/>
      <c r="P475" s="18"/>
      <c r="Q475" s="18"/>
      <c r="R475" s="18"/>
      <c r="U475" s="148"/>
    </row>
    <row r="476">
      <c r="D476" s="168"/>
      <c r="E476" s="148"/>
      <c r="G476" s="160"/>
      <c r="L476" s="161"/>
      <c r="M476" s="161"/>
      <c r="N476" s="162"/>
      <c r="O476" s="18"/>
      <c r="P476" s="18"/>
      <c r="Q476" s="18"/>
      <c r="R476" s="18"/>
      <c r="U476" s="148"/>
    </row>
    <row r="477">
      <c r="D477" s="168"/>
      <c r="E477" s="148"/>
      <c r="G477" s="160"/>
      <c r="L477" s="161"/>
      <c r="M477" s="161"/>
      <c r="N477" s="162"/>
      <c r="O477" s="18"/>
      <c r="P477" s="18"/>
      <c r="Q477" s="18"/>
      <c r="R477" s="18"/>
      <c r="U477" s="148"/>
    </row>
    <row r="478">
      <c r="D478" s="168"/>
      <c r="E478" s="148"/>
      <c r="G478" s="160"/>
      <c r="L478" s="161"/>
      <c r="M478" s="161"/>
      <c r="N478" s="162"/>
      <c r="O478" s="18"/>
      <c r="P478" s="18"/>
      <c r="Q478" s="18"/>
      <c r="R478" s="18"/>
      <c r="U478" s="148"/>
    </row>
    <row r="479">
      <c r="D479" s="168"/>
      <c r="E479" s="148"/>
      <c r="G479" s="160"/>
      <c r="L479" s="161"/>
      <c r="M479" s="161"/>
      <c r="N479" s="162"/>
      <c r="O479" s="18"/>
      <c r="P479" s="18"/>
      <c r="Q479" s="18"/>
      <c r="R479" s="18"/>
      <c r="U479" s="148"/>
    </row>
    <row r="480">
      <c r="D480" s="168"/>
      <c r="E480" s="148"/>
      <c r="G480" s="160"/>
      <c r="L480" s="161"/>
      <c r="M480" s="161"/>
      <c r="N480" s="162"/>
      <c r="O480" s="18"/>
      <c r="P480" s="18"/>
      <c r="Q480" s="18"/>
      <c r="R480" s="18"/>
      <c r="U480" s="148"/>
    </row>
    <row r="481">
      <c r="D481" s="168"/>
      <c r="E481" s="148"/>
      <c r="G481" s="160"/>
      <c r="L481" s="161"/>
      <c r="M481" s="161"/>
      <c r="N481" s="162"/>
      <c r="O481" s="18"/>
      <c r="P481" s="18"/>
      <c r="Q481" s="18"/>
      <c r="R481" s="18"/>
      <c r="U481" s="148"/>
    </row>
    <row r="482">
      <c r="D482" s="168"/>
      <c r="E482" s="148"/>
      <c r="G482" s="160"/>
      <c r="L482" s="161"/>
      <c r="M482" s="161"/>
      <c r="N482" s="162"/>
      <c r="O482" s="18"/>
      <c r="P482" s="18"/>
      <c r="Q482" s="18"/>
      <c r="R482" s="18"/>
      <c r="U482" s="148"/>
    </row>
    <row r="483">
      <c r="D483" s="168"/>
      <c r="E483" s="148"/>
      <c r="G483" s="160"/>
      <c r="L483" s="161"/>
      <c r="M483" s="161"/>
      <c r="N483" s="162"/>
      <c r="O483" s="18"/>
      <c r="P483" s="18"/>
      <c r="Q483" s="18"/>
      <c r="R483" s="18"/>
      <c r="U483" s="148"/>
    </row>
    <row r="484">
      <c r="D484" s="168"/>
      <c r="E484" s="148"/>
      <c r="G484" s="160"/>
      <c r="L484" s="161"/>
      <c r="M484" s="161"/>
      <c r="N484" s="162"/>
      <c r="O484" s="18"/>
      <c r="P484" s="18"/>
      <c r="Q484" s="18"/>
      <c r="R484" s="18"/>
      <c r="U484" s="148"/>
    </row>
    <row r="485">
      <c r="D485" s="168"/>
      <c r="E485" s="148"/>
      <c r="G485" s="160"/>
      <c r="L485" s="161"/>
      <c r="M485" s="161"/>
      <c r="N485" s="162"/>
      <c r="O485" s="18"/>
      <c r="P485" s="18"/>
      <c r="Q485" s="18"/>
      <c r="R485" s="18"/>
      <c r="U485" s="148"/>
    </row>
    <row r="486">
      <c r="D486" s="168"/>
      <c r="E486" s="148"/>
      <c r="G486" s="160"/>
      <c r="L486" s="161"/>
      <c r="M486" s="161"/>
      <c r="N486" s="162"/>
      <c r="O486" s="18"/>
      <c r="P486" s="18"/>
      <c r="Q486" s="18"/>
      <c r="R486" s="18"/>
      <c r="U486" s="148"/>
    </row>
    <row r="487">
      <c r="D487" s="168"/>
      <c r="E487" s="148"/>
      <c r="G487" s="160"/>
      <c r="L487" s="161"/>
      <c r="M487" s="161"/>
      <c r="N487" s="162"/>
      <c r="O487" s="18"/>
      <c r="P487" s="18"/>
      <c r="Q487" s="18"/>
      <c r="R487" s="18"/>
      <c r="U487" s="148"/>
    </row>
    <row r="488">
      <c r="D488" s="168"/>
      <c r="E488" s="148"/>
      <c r="G488" s="160"/>
      <c r="L488" s="161"/>
      <c r="M488" s="161"/>
      <c r="N488" s="162"/>
      <c r="O488" s="18"/>
      <c r="P488" s="18"/>
      <c r="Q488" s="18"/>
      <c r="R488" s="18"/>
      <c r="U488" s="148"/>
    </row>
    <row r="489">
      <c r="D489" s="168"/>
      <c r="E489" s="148"/>
      <c r="G489" s="160"/>
      <c r="L489" s="161"/>
      <c r="M489" s="161"/>
      <c r="N489" s="162"/>
      <c r="O489" s="18"/>
      <c r="P489" s="18"/>
      <c r="Q489" s="18"/>
      <c r="R489" s="18"/>
      <c r="U489" s="148"/>
    </row>
    <row r="490">
      <c r="D490" s="168"/>
      <c r="E490" s="148"/>
      <c r="G490" s="160"/>
      <c r="L490" s="161"/>
      <c r="M490" s="161"/>
      <c r="N490" s="162"/>
      <c r="O490" s="18"/>
      <c r="P490" s="18"/>
      <c r="Q490" s="18"/>
      <c r="R490" s="18"/>
      <c r="U490" s="148"/>
    </row>
    <row r="491">
      <c r="D491" s="168"/>
      <c r="E491" s="148"/>
      <c r="G491" s="160"/>
      <c r="L491" s="161"/>
      <c r="M491" s="161"/>
      <c r="N491" s="162"/>
      <c r="O491" s="18"/>
      <c r="P491" s="18"/>
      <c r="Q491" s="18"/>
      <c r="R491" s="18"/>
      <c r="U491" s="148"/>
    </row>
    <row r="492">
      <c r="D492" s="168"/>
      <c r="E492" s="148"/>
      <c r="G492" s="160"/>
      <c r="L492" s="161"/>
      <c r="M492" s="161"/>
      <c r="N492" s="162"/>
      <c r="O492" s="18"/>
      <c r="P492" s="18"/>
      <c r="Q492" s="18"/>
      <c r="R492" s="18"/>
      <c r="U492" s="148"/>
    </row>
    <row r="493">
      <c r="D493" s="168"/>
      <c r="E493" s="148"/>
      <c r="G493" s="160"/>
      <c r="L493" s="161"/>
      <c r="M493" s="161"/>
      <c r="N493" s="162"/>
      <c r="O493" s="18"/>
      <c r="P493" s="18"/>
      <c r="Q493" s="18"/>
      <c r="R493" s="18"/>
      <c r="U493" s="148"/>
    </row>
    <row r="494">
      <c r="D494" s="168"/>
      <c r="E494" s="148"/>
      <c r="G494" s="160"/>
      <c r="L494" s="161"/>
      <c r="M494" s="161"/>
      <c r="N494" s="162"/>
      <c r="O494" s="18"/>
      <c r="P494" s="18"/>
      <c r="Q494" s="18"/>
      <c r="R494" s="18"/>
      <c r="U494" s="148"/>
    </row>
    <row r="495">
      <c r="D495" s="168"/>
      <c r="E495" s="148"/>
      <c r="G495" s="160"/>
      <c r="L495" s="161"/>
      <c r="M495" s="161"/>
      <c r="N495" s="162"/>
      <c r="O495" s="18"/>
      <c r="P495" s="18"/>
      <c r="Q495" s="18"/>
      <c r="R495" s="18"/>
      <c r="U495" s="148"/>
    </row>
    <row r="496">
      <c r="D496" s="168"/>
      <c r="E496" s="148"/>
      <c r="G496" s="160"/>
      <c r="L496" s="161"/>
      <c r="M496" s="161"/>
      <c r="N496" s="162"/>
      <c r="O496" s="18"/>
      <c r="P496" s="18"/>
      <c r="Q496" s="18"/>
      <c r="R496" s="18"/>
      <c r="U496" s="148"/>
    </row>
    <row r="497">
      <c r="D497" s="168"/>
      <c r="E497" s="148"/>
      <c r="G497" s="160"/>
      <c r="L497" s="161"/>
      <c r="M497" s="161"/>
      <c r="N497" s="162"/>
      <c r="O497" s="18"/>
      <c r="P497" s="18"/>
      <c r="Q497" s="18"/>
      <c r="R497" s="18"/>
      <c r="U497" s="148"/>
    </row>
    <row r="498">
      <c r="D498" s="168"/>
      <c r="E498" s="148"/>
      <c r="G498" s="160"/>
      <c r="L498" s="161"/>
      <c r="M498" s="161"/>
      <c r="N498" s="162"/>
      <c r="O498" s="18"/>
      <c r="P498" s="18"/>
      <c r="Q498" s="18"/>
      <c r="R498" s="18"/>
      <c r="U498" s="148"/>
    </row>
    <row r="499">
      <c r="D499" s="168"/>
      <c r="E499" s="148"/>
      <c r="G499" s="160"/>
      <c r="L499" s="161"/>
      <c r="M499" s="161"/>
      <c r="N499" s="162"/>
      <c r="O499" s="18"/>
      <c r="P499" s="18"/>
      <c r="Q499" s="18"/>
      <c r="R499" s="18"/>
      <c r="U499" s="148"/>
    </row>
    <row r="500">
      <c r="D500" s="168"/>
      <c r="E500" s="148"/>
      <c r="G500" s="160"/>
      <c r="L500" s="161"/>
      <c r="M500" s="161"/>
      <c r="N500" s="162"/>
      <c r="O500" s="18"/>
      <c r="P500" s="18"/>
      <c r="Q500" s="18"/>
      <c r="R500" s="18"/>
      <c r="U500" s="148"/>
    </row>
    <row r="501">
      <c r="D501" s="168"/>
      <c r="E501" s="148"/>
      <c r="G501" s="160"/>
      <c r="L501" s="161"/>
      <c r="M501" s="161"/>
      <c r="N501" s="162"/>
      <c r="O501" s="18"/>
      <c r="P501" s="18"/>
      <c r="Q501" s="18"/>
      <c r="R501" s="18"/>
      <c r="U501" s="148"/>
    </row>
    <row r="502">
      <c r="D502" s="168"/>
      <c r="E502" s="148"/>
      <c r="G502" s="160"/>
      <c r="L502" s="161"/>
      <c r="M502" s="161"/>
      <c r="N502" s="162"/>
      <c r="O502" s="18"/>
      <c r="P502" s="18"/>
      <c r="Q502" s="18"/>
      <c r="R502" s="18"/>
      <c r="U502" s="148"/>
    </row>
    <row r="503">
      <c r="D503" s="168"/>
      <c r="E503" s="148"/>
      <c r="G503" s="160"/>
      <c r="L503" s="161"/>
      <c r="M503" s="161"/>
      <c r="N503" s="162"/>
      <c r="O503" s="18"/>
      <c r="P503" s="18"/>
      <c r="Q503" s="18"/>
      <c r="R503" s="18"/>
      <c r="U503" s="148"/>
    </row>
    <row r="504">
      <c r="D504" s="168"/>
      <c r="E504" s="148"/>
      <c r="G504" s="160"/>
      <c r="L504" s="161"/>
      <c r="M504" s="161"/>
      <c r="N504" s="162"/>
      <c r="O504" s="18"/>
      <c r="P504" s="18"/>
      <c r="Q504" s="18"/>
      <c r="R504" s="18"/>
      <c r="U504" s="148"/>
    </row>
    <row r="505">
      <c r="D505" s="168"/>
      <c r="E505" s="148"/>
      <c r="G505" s="160"/>
      <c r="L505" s="161"/>
      <c r="M505" s="161"/>
      <c r="N505" s="162"/>
      <c r="O505" s="18"/>
      <c r="P505" s="18"/>
      <c r="Q505" s="18"/>
      <c r="R505" s="18"/>
      <c r="U505" s="148"/>
    </row>
    <row r="506">
      <c r="D506" s="168"/>
      <c r="E506" s="148"/>
      <c r="G506" s="160"/>
      <c r="L506" s="161"/>
      <c r="M506" s="161"/>
      <c r="N506" s="162"/>
      <c r="O506" s="18"/>
      <c r="P506" s="18"/>
      <c r="Q506" s="18"/>
      <c r="R506" s="18"/>
      <c r="U506" s="148"/>
    </row>
    <row r="507">
      <c r="D507" s="168"/>
      <c r="E507" s="148"/>
      <c r="G507" s="160"/>
      <c r="L507" s="161"/>
      <c r="M507" s="161"/>
      <c r="N507" s="162"/>
      <c r="O507" s="18"/>
      <c r="P507" s="18"/>
      <c r="Q507" s="18"/>
      <c r="R507" s="18"/>
      <c r="U507" s="148"/>
    </row>
    <row r="508">
      <c r="D508" s="168"/>
      <c r="E508" s="148"/>
      <c r="G508" s="160"/>
      <c r="L508" s="161"/>
      <c r="M508" s="161"/>
      <c r="N508" s="162"/>
      <c r="O508" s="18"/>
      <c r="P508" s="18"/>
      <c r="Q508" s="18"/>
      <c r="R508" s="18"/>
      <c r="U508" s="148"/>
    </row>
    <row r="509">
      <c r="D509" s="168"/>
      <c r="E509" s="148"/>
      <c r="G509" s="160"/>
      <c r="L509" s="161"/>
      <c r="M509" s="161"/>
      <c r="N509" s="162"/>
      <c r="O509" s="18"/>
      <c r="P509" s="18"/>
      <c r="Q509" s="18"/>
      <c r="R509" s="18"/>
      <c r="U509" s="148"/>
    </row>
    <row r="510">
      <c r="D510" s="168"/>
      <c r="E510" s="148"/>
      <c r="G510" s="160"/>
      <c r="L510" s="161"/>
      <c r="M510" s="161"/>
      <c r="N510" s="162"/>
      <c r="O510" s="18"/>
      <c r="P510" s="18"/>
      <c r="Q510" s="18"/>
      <c r="R510" s="18"/>
      <c r="U510" s="148"/>
    </row>
    <row r="511">
      <c r="D511" s="168"/>
      <c r="E511" s="148"/>
      <c r="G511" s="160"/>
      <c r="L511" s="161"/>
      <c r="M511" s="161"/>
      <c r="N511" s="162"/>
      <c r="O511" s="18"/>
      <c r="P511" s="18"/>
      <c r="Q511" s="18"/>
      <c r="R511" s="18"/>
      <c r="U511" s="148"/>
    </row>
    <row r="512">
      <c r="D512" s="168"/>
      <c r="E512" s="148"/>
      <c r="G512" s="160"/>
      <c r="L512" s="161"/>
      <c r="M512" s="161"/>
      <c r="N512" s="162"/>
      <c r="O512" s="18"/>
      <c r="P512" s="18"/>
      <c r="Q512" s="18"/>
      <c r="R512" s="18"/>
      <c r="U512" s="148"/>
    </row>
    <row r="513">
      <c r="D513" s="168"/>
      <c r="E513" s="148"/>
      <c r="G513" s="160"/>
      <c r="L513" s="161"/>
      <c r="M513" s="161"/>
      <c r="N513" s="162"/>
      <c r="O513" s="18"/>
      <c r="P513" s="18"/>
      <c r="Q513" s="18"/>
      <c r="R513" s="18"/>
      <c r="U513" s="148"/>
    </row>
    <row r="514">
      <c r="D514" s="168"/>
      <c r="E514" s="148"/>
      <c r="G514" s="160"/>
      <c r="L514" s="161"/>
      <c r="M514" s="161"/>
      <c r="N514" s="162"/>
      <c r="O514" s="18"/>
      <c r="P514" s="18"/>
      <c r="Q514" s="18"/>
      <c r="R514" s="18"/>
      <c r="U514" s="148"/>
    </row>
    <row r="515">
      <c r="D515" s="168"/>
      <c r="E515" s="148"/>
      <c r="G515" s="160"/>
      <c r="L515" s="161"/>
      <c r="M515" s="161"/>
      <c r="N515" s="162"/>
      <c r="O515" s="18"/>
      <c r="P515" s="18"/>
      <c r="Q515" s="18"/>
      <c r="R515" s="18"/>
      <c r="U515" s="148"/>
    </row>
    <row r="516">
      <c r="D516" s="168"/>
      <c r="E516" s="148"/>
      <c r="G516" s="160"/>
      <c r="L516" s="161"/>
      <c r="M516" s="161"/>
      <c r="N516" s="162"/>
      <c r="O516" s="18"/>
      <c r="P516" s="18"/>
      <c r="Q516" s="18"/>
      <c r="R516" s="18"/>
      <c r="U516" s="148"/>
    </row>
    <row r="517">
      <c r="D517" s="168"/>
      <c r="E517" s="148"/>
      <c r="G517" s="160"/>
      <c r="L517" s="161"/>
      <c r="M517" s="161"/>
      <c r="N517" s="162"/>
      <c r="O517" s="18"/>
      <c r="P517" s="18"/>
      <c r="Q517" s="18"/>
      <c r="R517" s="18"/>
      <c r="U517" s="148"/>
    </row>
    <row r="518">
      <c r="D518" s="168"/>
      <c r="E518" s="148"/>
      <c r="G518" s="160"/>
      <c r="L518" s="161"/>
      <c r="M518" s="161"/>
      <c r="N518" s="162"/>
      <c r="O518" s="18"/>
      <c r="P518" s="18"/>
      <c r="Q518" s="18"/>
      <c r="R518" s="18"/>
      <c r="U518" s="148"/>
    </row>
    <row r="519">
      <c r="D519" s="168"/>
      <c r="E519" s="148"/>
      <c r="G519" s="160"/>
      <c r="L519" s="161"/>
      <c r="M519" s="161"/>
      <c r="N519" s="162"/>
      <c r="O519" s="18"/>
      <c r="P519" s="18"/>
      <c r="Q519" s="18"/>
      <c r="R519" s="18"/>
      <c r="U519" s="148"/>
    </row>
    <row r="520">
      <c r="D520" s="168"/>
      <c r="E520" s="148"/>
      <c r="G520" s="160"/>
      <c r="L520" s="161"/>
      <c r="M520" s="161"/>
      <c r="N520" s="162"/>
      <c r="O520" s="18"/>
      <c r="P520" s="18"/>
      <c r="Q520" s="18"/>
      <c r="R520" s="18"/>
      <c r="U520" s="148"/>
    </row>
    <row r="521">
      <c r="D521" s="168"/>
      <c r="E521" s="148"/>
      <c r="G521" s="160"/>
      <c r="L521" s="161"/>
      <c r="M521" s="161"/>
      <c r="N521" s="162"/>
      <c r="O521" s="18"/>
      <c r="P521" s="18"/>
      <c r="Q521" s="18"/>
      <c r="R521" s="18"/>
      <c r="U521" s="148"/>
    </row>
    <row r="522">
      <c r="D522" s="168"/>
      <c r="E522" s="148"/>
      <c r="G522" s="160"/>
      <c r="L522" s="161"/>
      <c r="M522" s="161"/>
      <c r="N522" s="162"/>
      <c r="O522" s="18"/>
      <c r="P522" s="18"/>
      <c r="Q522" s="18"/>
      <c r="R522" s="18"/>
      <c r="U522" s="148"/>
    </row>
    <row r="523">
      <c r="D523" s="168"/>
      <c r="E523" s="148"/>
      <c r="G523" s="160"/>
      <c r="L523" s="161"/>
      <c r="M523" s="161"/>
      <c r="N523" s="162"/>
      <c r="O523" s="18"/>
      <c r="P523" s="18"/>
      <c r="Q523" s="18"/>
      <c r="R523" s="18"/>
      <c r="U523" s="148"/>
    </row>
    <row r="524">
      <c r="D524" s="168"/>
      <c r="E524" s="148"/>
      <c r="G524" s="160"/>
      <c r="L524" s="161"/>
      <c r="M524" s="161"/>
      <c r="N524" s="162"/>
      <c r="O524" s="18"/>
      <c r="P524" s="18"/>
      <c r="Q524" s="18"/>
      <c r="R524" s="18"/>
      <c r="U524" s="148"/>
    </row>
    <row r="525">
      <c r="D525" s="168"/>
      <c r="E525" s="148"/>
      <c r="G525" s="160"/>
      <c r="L525" s="161"/>
      <c r="M525" s="161"/>
      <c r="N525" s="162"/>
      <c r="O525" s="18"/>
      <c r="P525" s="18"/>
      <c r="Q525" s="18"/>
      <c r="R525" s="18"/>
      <c r="U525" s="148"/>
    </row>
    <row r="526">
      <c r="D526" s="168"/>
      <c r="E526" s="148"/>
      <c r="G526" s="160"/>
      <c r="L526" s="161"/>
      <c r="M526" s="161"/>
      <c r="N526" s="162"/>
      <c r="O526" s="18"/>
      <c r="P526" s="18"/>
      <c r="Q526" s="18"/>
      <c r="R526" s="18"/>
      <c r="U526" s="148"/>
    </row>
    <row r="527">
      <c r="D527" s="168"/>
      <c r="E527" s="148"/>
      <c r="G527" s="160"/>
      <c r="L527" s="161"/>
      <c r="M527" s="161"/>
      <c r="N527" s="162"/>
      <c r="O527" s="18"/>
      <c r="P527" s="18"/>
      <c r="Q527" s="18"/>
      <c r="R527" s="18"/>
      <c r="U527" s="148"/>
    </row>
    <row r="528">
      <c r="D528" s="168"/>
      <c r="E528" s="148"/>
      <c r="G528" s="160"/>
      <c r="L528" s="161"/>
      <c r="M528" s="161"/>
      <c r="N528" s="162"/>
      <c r="O528" s="18"/>
      <c r="P528" s="18"/>
      <c r="Q528" s="18"/>
      <c r="R528" s="18"/>
      <c r="U528" s="148"/>
    </row>
    <row r="529">
      <c r="D529" s="168"/>
      <c r="E529" s="148"/>
      <c r="G529" s="160"/>
      <c r="L529" s="161"/>
      <c r="M529" s="161"/>
      <c r="N529" s="162"/>
      <c r="O529" s="18"/>
      <c r="P529" s="18"/>
      <c r="Q529" s="18"/>
      <c r="R529" s="18"/>
      <c r="U529" s="148"/>
    </row>
    <row r="530">
      <c r="D530" s="168"/>
      <c r="E530" s="148"/>
      <c r="G530" s="160"/>
      <c r="L530" s="161"/>
      <c r="M530" s="161"/>
      <c r="N530" s="162"/>
      <c r="O530" s="18"/>
      <c r="P530" s="18"/>
      <c r="Q530" s="18"/>
      <c r="R530" s="18"/>
      <c r="U530" s="148"/>
    </row>
    <row r="531">
      <c r="D531" s="168"/>
      <c r="E531" s="148"/>
      <c r="G531" s="160"/>
      <c r="L531" s="161"/>
      <c r="M531" s="161"/>
      <c r="N531" s="162"/>
      <c r="O531" s="18"/>
      <c r="P531" s="18"/>
      <c r="Q531" s="18"/>
      <c r="R531" s="18"/>
      <c r="U531" s="148"/>
    </row>
    <row r="532">
      <c r="D532" s="168"/>
      <c r="E532" s="148"/>
      <c r="G532" s="160"/>
      <c r="L532" s="161"/>
      <c r="M532" s="161"/>
      <c r="N532" s="162"/>
      <c r="O532" s="18"/>
      <c r="P532" s="18"/>
      <c r="Q532" s="18"/>
      <c r="R532" s="18"/>
      <c r="U532" s="148"/>
    </row>
    <row r="533">
      <c r="D533" s="168"/>
      <c r="E533" s="148"/>
      <c r="G533" s="160"/>
      <c r="L533" s="161"/>
      <c r="M533" s="161"/>
      <c r="N533" s="162"/>
      <c r="O533" s="18"/>
      <c r="P533" s="18"/>
      <c r="Q533" s="18"/>
      <c r="R533" s="18"/>
      <c r="U533" s="148"/>
    </row>
    <row r="534">
      <c r="D534" s="168"/>
      <c r="E534" s="148"/>
      <c r="G534" s="160"/>
      <c r="L534" s="161"/>
      <c r="M534" s="161"/>
      <c r="N534" s="162"/>
      <c r="O534" s="18"/>
      <c r="P534" s="18"/>
      <c r="Q534" s="18"/>
      <c r="R534" s="18"/>
      <c r="U534" s="148"/>
    </row>
    <row r="535">
      <c r="D535" s="168"/>
      <c r="E535" s="148"/>
      <c r="G535" s="160"/>
      <c r="L535" s="161"/>
      <c r="M535" s="161"/>
      <c r="N535" s="162"/>
      <c r="O535" s="18"/>
      <c r="P535" s="18"/>
      <c r="Q535" s="18"/>
      <c r="R535" s="18"/>
      <c r="U535" s="148"/>
    </row>
    <row r="536">
      <c r="D536" s="168"/>
      <c r="E536" s="148"/>
      <c r="G536" s="160"/>
      <c r="L536" s="161"/>
      <c r="M536" s="161"/>
      <c r="N536" s="162"/>
      <c r="O536" s="18"/>
      <c r="P536" s="18"/>
      <c r="Q536" s="18"/>
      <c r="R536" s="18"/>
      <c r="U536" s="148"/>
    </row>
    <row r="537">
      <c r="D537" s="168"/>
      <c r="E537" s="148"/>
      <c r="G537" s="160"/>
      <c r="L537" s="161"/>
      <c r="M537" s="161"/>
      <c r="N537" s="162"/>
      <c r="O537" s="18"/>
      <c r="P537" s="18"/>
      <c r="Q537" s="18"/>
      <c r="R537" s="18"/>
      <c r="U537" s="148"/>
    </row>
    <row r="538">
      <c r="D538" s="168"/>
      <c r="E538" s="148"/>
      <c r="G538" s="160"/>
      <c r="L538" s="161"/>
      <c r="M538" s="161"/>
      <c r="N538" s="162"/>
      <c r="O538" s="18"/>
      <c r="P538" s="18"/>
      <c r="Q538" s="18"/>
      <c r="R538" s="18"/>
      <c r="U538" s="148"/>
    </row>
    <row r="539">
      <c r="D539" s="168"/>
      <c r="E539" s="148"/>
      <c r="G539" s="160"/>
      <c r="L539" s="161"/>
      <c r="M539" s="161"/>
      <c r="N539" s="162"/>
      <c r="O539" s="18"/>
      <c r="P539" s="18"/>
      <c r="Q539" s="18"/>
      <c r="R539" s="18"/>
      <c r="U539" s="148"/>
    </row>
    <row r="540">
      <c r="D540" s="168"/>
      <c r="E540" s="148"/>
      <c r="G540" s="160"/>
      <c r="L540" s="161"/>
      <c r="M540" s="161"/>
      <c r="N540" s="162"/>
      <c r="O540" s="18"/>
      <c r="P540" s="18"/>
      <c r="Q540" s="18"/>
      <c r="R540" s="18"/>
      <c r="U540" s="148"/>
    </row>
    <row r="541">
      <c r="D541" s="168"/>
      <c r="E541" s="148"/>
      <c r="G541" s="160"/>
      <c r="L541" s="161"/>
      <c r="M541" s="161"/>
      <c r="N541" s="162"/>
      <c r="O541" s="18"/>
      <c r="P541" s="18"/>
      <c r="Q541" s="18"/>
      <c r="R541" s="18"/>
      <c r="U541" s="148"/>
    </row>
    <row r="542">
      <c r="D542" s="168"/>
      <c r="E542" s="148"/>
      <c r="G542" s="160"/>
      <c r="L542" s="161"/>
      <c r="M542" s="161"/>
      <c r="N542" s="162"/>
      <c r="O542" s="18"/>
      <c r="P542" s="18"/>
      <c r="Q542" s="18"/>
      <c r="R542" s="18"/>
      <c r="U542" s="148"/>
    </row>
    <row r="543">
      <c r="D543" s="168"/>
      <c r="E543" s="148"/>
      <c r="G543" s="160"/>
      <c r="L543" s="161"/>
      <c r="M543" s="161"/>
      <c r="N543" s="162"/>
      <c r="O543" s="18"/>
      <c r="P543" s="18"/>
      <c r="Q543" s="18"/>
      <c r="R543" s="18"/>
      <c r="U543" s="148"/>
    </row>
    <row r="544">
      <c r="D544" s="168"/>
      <c r="E544" s="148"/>
      <c r="G544" s="160"/>
      <c r="L544" s="161"/>
      <c r="M544" s="161"/>
      <c r="N544" s="162"/>
      <c r="O544" s="18"/>
      <c r="P544" s="18"/>
      <c r="Q544" s="18"/>
      <c r="R544" s="18"/>
      <c r="U544" s="148"/>
    </row>
    <row r="545">
      <c r="D545" s="168"/>
      <c r="E545" s="148"/>
      <c r="G545" s="160"/>
      <c r="L545" s="161"/>
      <c r="M545" s="161"/>
      <c r="N545" s="162"/>
      <c r="O545" s="18"/>
      <c r="P545" s="18"/>
      <c r="Q545" s="18"/>
      <c r="R545" s="18"/>
      <c r="U545" s="148"/>
    </row>
    <row r="546">
      <c r="D546" s="168"/>
      <c r="E546" s="148"/>
      <c r="G546" s="160"/>
      <c r="L546" s="161"/>
      <c r="M546" s="161"/>
      <c r="N546" s="162"/>
      <c r="O546" s="18"/>
      <c r="P546" s="18"/>
      <c r="Q546" s="18"/>
      <c r="R546" s="18"/>
      <c r="U546" s="148"/>
    </row>
    <row r="547">
      <c r="D547" s="168"/>
      <c r="E547" s="148"/>
      <c r="G547" s="160"/>
      <c r="L547" s="161"/>
      <c r="M547" s="161"/>
      <c r="N547" s="162"/>
      <c r="O547" s="18"/>
      <c r="P547" s="18"/>
      <c r="Q547" s="18"/>
      <c r="R547" s="18"/>
      <c r="U547" s="148"/>
    </row>
    <row r="548">
      <c r="D548" s="168"/>
      <c r="E548" s="148"/>
      <c r="G548" s="160"/>
      <c r="L548" s="161"/>
      <c r="M548" s="161"/>
      <c r="N548" s="162"/>
      <c r="O548" s="18"/>
      <c r="P548" s="18"/>
      <c r="Q548" s="18"/>
      <c r="R548" s="18"/>
      <c r="U548" s="148"/>
    </row>
    <row r="549">
      <c r="D549" s="168"/>
      <c r="E549" s="148"/>
      <c r="G549" s="160"/>
      <c r="L549" s="161"/>
      <c r="M549" s="161"/>
      <c r="N549" s="162"/>
      <c r="O549" s="18"/>
      <c r="P549" s="18"/>
      <c r="Q549" s="18"/>
      <c r="R549" s="18"/>
      <c r="U549" s="148"/>
    </row>
    <row r="550">
      <c r="D550" s="168"/>
      <c r="E550" s="148"/>
      <c r="G550" s="160"/>
      <c r="L550" s="161"/>
      <c r="M550" s="161"/>
      <c r="N550" s="162"/>
      <c r="O550" s="18"/>
      <c r="P550" s="18"/>
      <c r="Q550" s="18"/>
      <c r="R550" s="18"/>
      <c r="U550" s="148"/>
    </row>
    <row r="551">
      <c r="D551" s="168"/>
      <c r="E551" s="148"/>
      <c r="G551" s="160"/>
      <c r="L551" s="161"/>
      <c r="M551" s="161"/>
      <c r="N551" s="162"/>
      <c r="O551" s="18"/>
      <c r="P551" s="18"/>
      <c r="Q551" s="18"/>
      <c r="R551" s="18"/>
      <c r="U551" s="148"/>
    </row>
    <row r="552">
      <c r="D552" s="168"/>
      <c r="E552" s="148"/>
      <c r="G552" s="160"/>
      <c r="L552" s="161"/>
      <c r="M552" s="161"/>
      <c r="N552" s="162"/>
      <c r="O552" s="18"/>
      <c r="P552" s="18"/>
      <c r="Q552" s="18"/>
      <c r="R552" s="18"/>
      <c r="U552" s="148"/>
    </row>
    <row r="553">
      <c r="D553" s="168"/>
      <c r="E553" s="148"/>
      <c r="G553" s="160"/>
      <c r="L553" s="161"/>
      <c r="M553" s="161"/>
      <c r="N553" s="162"/>
      <c r="O553" s="18"/>
      <c r="P553" s="18"/>
      <c r="Q553" s="18"/>
      <c r="R553" s="18"/>
      <c r="U553" s="148"/>
    </row>
    <row r="554">
      <c r="D554" s="168"/>
      <c r="E554" s="148"/>
      <c r="G554" s="160"/>
      <c r="L554" s="161"/>
      <c r="M554" s="161"/>
      <c r="N554" s="162"/>
      <c r="O554" s="18"/>
      <c r="P554" s="18"/>
      <c r="Q554" s="18"/>
      <c r="R554" s="18"/>
      <c r="U554" s="148"/>
    </row>
    <row r="555">
      <c r="D555" s="168"/>
      <c r="E555" s="148"/>
      <c r="G555" s="160"/>
      <c r="L555" s="161"/>
      <c r="M555" s="161"/>
      <c r="N555" s="162"/>
      <c r="O555" s="18"/>
      <c r="P555" s="18"/>
      <c r="Q555" s="18"/>
      <c r="R555" s="18"/>
      <c r="U555" s="148"/>
    </row>
    <row r="556">
      <c r="D556" s="168"/>
      <c r="E556" s="148"/>
      <c r="G556" s="160"/>
      <c r="L556" s="161"/>
      <c r="M556" s="161"/>
      <c r="N556" s="162"/>
      <c r="O556" s="18"/>
      <c r="P556" s="18"/>
      <c r="Q556" s="18"/>
      <c r="R556" s="18"/>
      <c r="U556" s="148"/>
    </row>
    <row r="557">
      <c r="D557" s="168"/>
      <c r="E557" s="148"/>
      <c r="G557" s="160"/>
      <c r="L557" s="161"/>
      <c r="M557" s="161"/>
      <c r="N557" s="162"/>
      <c r="O557" s="18"/>
      <c r="P557" s="18"/>
      <c r="Q557" s="18"/>
      <c r="R557" s="18"/>
      <c r="U557" s="148"/>
    </row>
    <row r="558">
      <c r="D558" s="168"/>
      <c r="E558" s="148"/>
      <c r="G558" s="160"/>
      <c r="L558" s="161"/>
      <c r="M558" s="161"/>
      <c r="N558" s="162"/>
      <c r="O558" s="18"/>
      <c r="P558" s="18"/>
      <c r="Q558" s="18"/>
      <c r="R558" s="18"/>
      <c r="U558" s="148"/>
    </row>
    <row r="559">
      <c r="D559" s="168"/>
      <c r="E559" s="148"/>
      <c r="G559" s="160"/>
      <c r="L559" s="161"/>
      <c r="M559" s="161"/>
      <c r="N559" s="162"/>
      <c r="O559" s="18"/>
      <c r="P559" s="18"/>
      <c r="Q559" s="18"/>
      <c r="R559" s="18"/>
      <c r="U559" s="148"/>
    </row>
    <row r="560">
      <c r="D560" s="168"/>
      <c r="E560" s="148"/>
      <c r="G560" s="160"/>
      <c r="L560" s="161"/>
      <c r="M560" s="161"/>
      <c r="N560" s="162"/>
      <c r="O560" s="18"/>
      <c r="P560" s="18"/>
      <c r="Q560" s="18"/>
      <c r="R560" s="18"/>
      <c r="U560" s="148"/>
    </row>
    <row r="561">
      <c r="D561" s="168"/>
      <c r="E561" s="148"/>
      <c r="G561" s="160"/>
      <c r="L561" s="161"/>
      <c r="M561" s="161"/>
      <c r="N561" s="162"/>
      <c r="O561" s="18"/>
      <c r="P561" s="18"/>
      <c r="Q561" s="18"/>
      <c r="R561" s="18"/>
      <c r="U561" s="148"/>
    </row>
    <row r="562">
      <c r="D562" s="168"/>
      <c r="E562" s="148"/>
      <c r="G562" s="160"/>
      <c r="L562" s="161"/>
      <c r="M562" s="161"/>
      <c r="N562" s="162"/>
      <c r="O562" s="18"/>
      <c r="P562" s="18"/>
      <c r="Q562" s="18"/>
      <c r="R562" s="18"/>
      <c r="U562" s="148"/>
    </row>
    <row r="563">
      <c r="D563" s="168"/>
      <c r="E563" s="148"/>
      <c r="G563" s="160"/>
      <c r="L563" s="161"/>
      <c r="M563" s="161"/>
      <c r="N563" s="162"/>
      <c r="O563" s="18"/>
      <c r="P563" s="18"/>
      <c r="Q563" s="18"/>
      <c r="R563" s="18"/>
      <c r="U563" s="148"/>
    </row>
    <row r="564">
      <c r="D564" s="168"/>
      <c r="E564" s="148"/>
      <c r="G564" s="160"/>
      <c r="L564" s="161"/>
      <c r="M564" s="161"/>
      <c r="N564" s="162"/>
      <c r="O564" s="18"/>
      <c r="P564" s="18"/>
      <c r="Q564" s="18"/>
      <c r="R564" s="18"/>
      <c r="U564" s="148"/>
    </row>
    <row r="565">
      <c r="D565" s="168"/>
      <c r="E565" s="148"/>
      <c r="G565" s="160"/>
      <c r="L565" s="161"/>
      <c r="M565" s="161"/>
      <c r="N565" s="162"/>
      <c r="O565" s="18"/>
      <c r="P565" s="18"/>
      <c r="Q565" s="18"/>
      <c r="R565" s="18"/>
      <c r="U565" s="148"/>
    </row>
    <row r="566">
      <c r="D566" s="168"/>
      <c r="E566" s="148"/>
      <c r="G566" s="160"/>
      <c r="L566" s="161"/>
      <c r="M566" s="161"/>
      <c r="N566" s="162"/>
      <c r="O566" s="18"/>
      <c r="P566" s="18"/>
      <c r="Q566" s="18"/>
      <c r="R566" s="18"/>
      <c r="U566" s="148"/>
    </row>
    <row r="567">
      <c r="D567" s="168"/>
      <c r="E567" s="148"/>
      <c r="G567" s="160"/>
      <c r="L567" s="161"/>
      <c r="M567" s="161"/>
      <c r="N567" s="162"/>
      <c r="O567" s="18"/>
      <c r="P567" s="18"/>
      <c r="Q567" s="18"/>
      <c r="R567" s="18"/>
      <c r="U567" s="148"/>
    </row>
    <row r="568">
      <c r="D568" s="168"/>
      <c r="E568" s="148"/>
      <c r="G568" s="160"/>
      <c r="L568" s="161"/>
      <c r="M568" s="161"/>
      <c r="N568" s="162"/>
      <c r="O568" s="18"/>
      <c r="P568" s="18"/>
      <c r="Q568" s="18"/>
      <c r="R568" s="18"/>
      <c r="U568" s="148"/>
    </row>
    <row r="569">
      <c r="D569" s="168"/>
      <c r="E569" s="148"/>
      <c r="G569" s="160"/>
      <c r="L569" s="161"/>
      <c r="M569" s="161"/>
      <c r="N569" s="162"/>
      <c r="O569" s="18"/>
      <c r="P569" s="18"/>
      <c r="Q569" s="18"/>
      <c r="R569" s="18"/>
      <c r="U569" s="148"/>
    </row>
    <row r="570">
      <c r="D570" s="168"/>
      <c r="E570" s="148"/>
      <c r="G570" s="160"/>
      <c r="L570" s="161"/>
      <c r="M570" s="161"/>
      <c r="N570" s="162"/>
      <c r="O570" s="18"/>
      <c r="P570" s="18"/>
      <c r="Q570" s="18"/>
      <c r="R570" s="18"/>
      <c r="U570" s="148"/>
    </row>
    <row r="571">
      <c r="D571" s="168"/>
      <c r="E571" s="148"/>
      <c r="G571" s="160"/>
      <c r="L571" s="161"/>
      <c r="M571" s="161"/>
      <c r="N571" s="162"/>
      <c r="O571" s="18"/>
      <c r="P571" s="18"/>
      <c r="Q571" s="18"/>
      <c r="R571" s="18"/>
      <c r="U571" s="148"/>
    </row>
    <row r="572">
      <c r="D572" s="168"/>
      <c r="E572" s="148"/>
      <c r="G572" s="160"/>
      <c r="L572" s="161"/>
      <c r="M572" s="161"/>
      <c r="N572" s="162"/>
      <c r="O572" s="18"/>
      <c r="P572" s="18"/>
      <c r="Q572" s="18"/>
      <c r="R572" s="18"/>
      <c r="U572" s="148"/>
    </row>
    <row r="573">
      <c r="D573" s="168"/>
      <c r="E573" s="148"/>
      <c r="G573" s="160"/>
      <c r="L573" s="161"/>
      <c r="M573" s="161"/>
      <c r="N573" s="162"/>
      <c r="O573" s="18"/>
      <c r="P573" s="18"/>
      <c r="Q573" s="18"/>
      <c r="R573" s="18"/>
      <c r="U573" s="148"/>
    </row>
    <row r="574">
      <c r="D574" s="168"/>
      <c r="E574" s="148"/>
      <c r="G574" s="160"/>
      <c r="L574" s="161"/>
      <c r="M574" s="161"/>
      <c r="N574" s="162"/>
      <c r="O574" s="18"/>
      <c r="P574" s="18"/>
      <c r="Q574" s="18"/>
      <c r="R574" s="18"/>
      <c r="U574" s="148"/>
    </row>
    <row r="575">
      <c r="D575" s="168"/>
      <c r="E575" s="148"/>
      <c r="G575" s="160"/>
      <c r="L575" s="161"/>
      <c r="M575" s="161"/>
      <c r="N575" s="162"/>
      <c r="O575" s="18"/>
      <c r="P575" s="18"/>
      <c r="Q575" s="18"/>
      <c r="R575" s="18"/>
      <c r="U575" s="148"/>
    </row>
    <row r="576">
      <c r="D576" s="168"/>
      <c r="E576" s="148"/>
      <c r="G576" s="160"/>
      <c r="L576" s="161"/>
      <c r="M576" s="161"/>
      <c r="N576" s="162"/>
      <c r="O576" s="18"/>
      <c r="P576" s="18"/>
      <c r="Q576" s="18"/>
      <c r="R576" s="18"/>
      <c r="U576" s="148"/>
    </row>
    <row r="577">
      <c r="D577" s="168"/>
      <c r="E577" s="148"/>
      <c r="G577" s="160"/>
      <c r="L577" s="161"/>
      <c r="M577" s="161"/>
      <c r="N577" s="162"/>
      <c r="O577" s="18"/>
      <c r="P577" s="18"/>
      <c r="Q577" s="18"/>
      <c r="R577" s="18"/>
      <c r="U577" s="148"/>
    </row>
    <row r="578">
      <c r="D578" s="168"/>
      <c r="E578" s="148"/>
      <c r="G578" s="160"/>
      <c r="L578" s="161"/>
      <c r="M578" s="161"/>
      <c r="N578" s="162"/>
      <c r="O578" s="18"/>
      <c r="P578" s="18"/>
      <c r="Q578" s="18"/>
      <c r="R578" s="18"/>
      <c r="U578" s="148"/>
    </row>
    <row r="579">
      <c r="D579" s="168"/>
      <c r="E579" s="148"/>
      <c r="G579" s="160"/>
      <c r="L579" s="161"/>
      <c r="M579" s="161"/>
      <c r="N579" s="162"/>
      <c r="O579" s="18"/>
      <c r="P579" s="18"/>
      <c r="Q579" s="18"/>
      <c r="R579" s="18"/>
      <c r="U579" s="148"/>
    </row>
    <row r="580">
      <c r="D580" s="168"/>
      <c r="E580" s="148"/>
      <c r="G580" s="160"/>
      <c r="L580" s="161"/>
      <c r="M580" s="161"/>
      <c r="N580" s="162"/>
      <c r="O580" s="18"/>
      <c r="P580" s="18"/>
      <c r="Q580" s="18"/>
      <c r="R580" s="18"/>
      <c r="U580" s="148"/>
    </row>
    <row r="581">
      <c r="D581" s="168"/>
      <c r="E581" s="148"/>
      <c r="G581" s="160"/>
      <c r="L581" s="161"/>
      <c r="M581" s="161"/>
      <c r="N581" s="162"/>
      <c r="O581" s="18"/>
      <c r="P581" s="18"/>
      <c r="Q581" s="18"/>
      <c r="R581" s="18"/>
      <c r="U581" s="148"/>
    </row>
    <row r="582">
      <c r="D582" s="168"/>
      <c r="E582" s="148"/>
      <c r="G582" s="160"/>
      <c r="L582" s="161"/>
      <c r="M582" s="161"/>
      <c r="N582" s="162"/>
      <c r="O582" s="18"/>
      <c r="P582" s="18"/>
      <c r="Q582" s="18"/>
      <c r="R582" s="18"/>
      <c r="U582" s="148"/>
    </row>
    <row r="583">
      <c r="D583" s="168"/>
      <c r="E583" s="148"/>
      <c r="G583" s="160"/>
      <c r="L583" s="161"/>
      <c r="M583" s="161"/>
      <c r="N583" s="162"/>
      <c r="O583" s="18"/>
      <c r="P583" s="18"/>
      <c r="Q583" s="18"/>
      <c r="R583" s="18"/>
      <c r="U583" s="148"/>
    </row>
    <row r="584">
      <c r="D584" s="168"/>
      <c r="E584" s="148"/>
      <c r="G584" s="160"/>
      <c r="L584" s="161"/>
      <c r="M584" s="161"/>
      <c r="N584" s="162"/>
      <c r="O584" s="18"/>
      <c r="P584" s="18"/>
      <c r="Q584" s="18"/>
      <c r="R584" s="18"/>
      <c r="U584" s="148"/>
    </row>
    <row r="585">
      <c r="D585" s="168"/>
      <c r="E585" s="148"/>
      <c r="G585" s="160"/>
      <c r="L585" s="161"/>
      <c r="M585" s="161"/>
      <c r="N585" s="162"/>
      <c r="O585" s="18"/>
      <c r="P585" s="18"/>
      <c r="Q585" s="18"/>
      <c r="R585" s="18"/>
      <c r="U585" s="148"/>
    </row>
    <row r="586">
      <c r="D586" s="168"/>
      <c r="E586" s="148"/>
      <c r="G586" s="160"/>
      <c r="L586" s="161"/>
      <c r="M586" s="161"/>
      <c r="N586" s="162"/>
      <c r="O586" s="18"/>
      <c r="P586" s="18"/>
      <c r="Q586" s="18"/>
      <c r="R586" s="18"/>
      <c r="U586" s="148"/>
    </row>
    <row r="587">
      <c r="D587" s="168"/>
      <c r="E587" s="148"/>
      <c r="G587" s="160"/>
      <c r="L587" s="161"/>
      <c r="M587" s="161"/>
      <c r="N587" s="162"/>
      <c r="O587" s="18"/>
      <c r="P587" s="18"/>
      <c r="Q587" s="18"/>
      <c r="R587" s="18"/>
      <c r="U587" s="148"/>
    </row>
    <row r="588">
      <c r="D588" s="168"/>
      <c r="E588" s="148"/>
      <c r="G588" s="160"/>
      <c r="L588" s="161"/>
      <c r="M588" s="161"/>
      <c r="N588" s="162"/>
      <c r="O588" s="18"/>
      <c r="P588" s="18"/>
      <c r="Q588" s="18"/>
      <c r="R588" s="18"/>
      <c r="U588" s="148"/>
    </row>
    <row r="589">
      <c r="D589" s="168"/>
      <c r="E589" s="148"/>
      <c r="G589" s="160"/>
      <c r="L589" s="161"/>
      <c r="M589" s="161"/>
      <c r="N589" s="162"/>
      <c r="O589" s="18"/>
      <c r="P589" s="18"/>
      <c r="Q589" s="18"/>
      <c r="R589" s="18"/>
      <c r="U589" s="148"/>
    </row>
    <row r="590">
      <c r="D590" s="168"/>
      <c r="E590" s="148"/>
      <c r="G590" s="160"/>
      <c r="L590" s="161"/>
      <c r="M590" s="161"/>
      <c r="N590" s="162"/>
      <c r="O590" s="18"/>
      <c r="P590" s="18"/>
      <c r="Q590" s="18"/>
      <c r="R590" s="18"/>
      <c r="U590" s="148"/>
    </row>
    <row r="591">
      <c r="D591" s="168"/>
      <c r="E591" s="148"/>
      <c r="G591" s="160"/>
      <c r="L591" s="161"/>
      <c r="M591" s="161"/>
      <c r="N591" s="162"/>
      <c r="O591" s="18"/>
      <c r="P591" s="18"/>
      <c r="Q591" s="18"/>
      <c r="R591" s="18"/>
      <c r="U591" s="148"/>
    </row>
    <row r="592">
      <c r="D592" s="168"/>
      <c r="E592" s="148"/>
      <c r="G592" s="160"/>
      <c r="L592" s="161"/>
      <c r="M592" s="161"/>
      <c r="N592" s="162"/>
      <c r="O592" s="18"/>
      <c r="P592" s="18"/>
      <c r="Q592" s="18"/>
      <c r="R592" s="18"/>
      <c r="U592" s="148"/>
    </row>
    <row r="593">
      <c r="D593" s="168"/>
      <c r="E593" s="148"/>
      <c r="G593" s="160"/>
      <c r="L593" s="161"/>
      <c r="M593" s="161"/>
      <c r="N593" s="162"/>
      <c r="O593" s="18"/>
      <c r="P593" s="18"/>
      <c r="Q593" s="18"/>
      <c r="R593" s="18"/>
      <c r="U593" s="148"/>
    </row>
    <row r="594">
      <c r="D594" s="168"/>
      <c r="E594" s="148"/>
      <c r="G594" s="160"/>
      <c r="L594" s="161"/>
      <c r="M594" s="161"/>
      <c r="N594" s="162"/>
      <c r="O594" s="18"/>
      <c r="P594" s="18"/>
      <c r="Q594" s="18"/>
      <c r="R594" s="18"/>
      <c r="U594" s="148"/>
    </row>
    <row r="595">
      <c r="D595" s="168"/>
      <c r="E595" s="148"/>
      <c r="G595" s="160"/>
      <c r="L595" s="161"/>
      <c r="M595" s="161"/>
      <c r="N595" s="162"/>
      <c r="O595" s="18"/>
      <c r="P595" s="18"/>
      <c r="Q595" s="18"/>
      <c r="R595" s="18"/>
      <c r="U595" s="148"/>
    </row>
    <row r="596">
      <c r="D596" s="168"/>
      <c r="E596" s="148"/>
      <c r="G596" s="160"/>
      <c r="L596" s="161"/>
      <c r="M596" s="161"/>
      <c r="N596" s="162"/>
      <c r="O596" s="18"/>
      <c r="P596" s="18"/>
      <c r="Q596" s="18"/>
      <c r="R596" s="18"/>
      <c r="U596" s="148"/>
    </row>
    <row r="597">
      <c r="D597" s="168"/>
      <c r="E597" s="148"/>
      <c r="G597" s="160"/>
      <c r="L597" s="161"/>
      <c r="M597" s="161"/>
      <c r="N597" s="162"/>
      <c r="O597" s="18"/>
      <c r="P597" s="18"/>
      <c r="Q597" s="18"/>
      <c r="R597" s="18"/>
      <c r="U597" s="148"/>
    </row>
    <row r="598">
      <c r="D598" s="168"/>
      <c r="E598" s="148"/>
      <c r="G598" s="160"/>
      <c r="L598" s="161"/>
      <c r="M598" s="161"/>
      <c r="N598" s="162"/>
      <c r="O598" s="18"/>
      <c r="P598" s="18"/>
      <c r="Q598" s="18"/>
      <c r="R598" s="18"/>
      <c r="U598" s="148"/>
    </row>
    <row r="599">
      <c r="D599" s="168"/>
      <c r="E599" s="148"/>
      <c r="G599" s="160"/>
      <c r="L599" s="161"/>
      <c r="M599" s="161"/>
      <c r="N599" s="162"/>
      <c r="O599" s="18"/>
      <c r="P599" s="18"/>
      <c r="Q599" s="18"/>
      <c r="R599" s="18"/>
      <c r="U599" s="148"/>
    </row>
    <row r="600">
      <c r="D600" s="168"/>
      <c r="E600" s="148"/>
      <c r="G600" s="160"/>
      <c r="L600" s="161"/>
      <c r="M600" s="161"/>
      <c r="N600" s="162"/>
      <c r="O600" s="18"/>
      <c r="P600" s="18"/>
      <c r="Q600" s="18"/>
      <c r="R600" s="18"/>
      <c r="U600" s="148"/>
    </row>
    <row r="601">
      <c r="D601" s="168"/>
      <c r="E601" s="148"/>
      <c r="G601" s="160"/>
      <c r="L601" s="161"/>
      <c r="M601" s="161"/>
      <c r="N601" s="162"/>
      <c r="O601" s="18"/>
      <c r="P601" s="18"/>
      <c r="Q601" s="18"/>
      <c r="R601" s="18"/>
      <c r="U601" s="148"/>
    </row>
    <row r="602">
      <c r="D602" s="168"/>
      <c r="E602" s="148"/>
      <c r="G602" s="160"/>
      <c r="L602" s="161"/>
      <c r="M602" s="161"/>
      <c r="N602" s="162"/>
      <c r="O602" s="18"/>
      <c r="P602" s="18"/>
      <c r="Q602" s="18"/>
      <c r="R602" s="18"/>
      <c r="U602" s="148"/>
    </row>
    <row r="603">
      <c r="D603" s="168"/>
      <c r="E603" s="148"/>
      <c r="G603" s="160"/>
      <c r="L603" s="161"/>
      <c r="M603" s="161"/>
      <c r="N603" s="162"/>
      <c r="O603" s="18"/>
      <c r="P603" s="18"/>
      <c r="Q603" s="18"/>
      <c r="R603" s="18"/>
      <c r="U603" s="148"/>
    </row>
    <row r="604">
      <c r="D604" s="168"/>
      <c r="E604" s="148"/>
      <c r="G604" s="160"/>
      <c r="L604" s="161"/>
      <c r="M604" s="161"/>
      <c r="N604" s="162"/>
      <c r="O604" s="18"/>
      <c r="P604" s="18"/>
      <c r="Q604" s="18"/>
      <c r="R604" s="18"/>
      <c r="U604" s="148"/>
    </row>
    <row r="605">
      <c r="D605" s="168"/>
      <c r="E605" s="148"/>
      <c r="G605" s="160"/>
      <c r="L605" s="161"/>
      <c r="M605" s="161"/>
      <c r="N605" s="162"/>
      <c r="O605" s="18"/>
      <c r="P605" s="18"/>
      <c r="Q605" s="18"/>
      <c r="R605" s="18"/>
      <c r="U605" s="148"/>
    </row>
    <row r="606">
      <c r="D606" s="168"/>
      <c r="E606" s="148"/>
      <c r="G606" s="160"/>
      <c r="L606" s="161"/>
      <c r="M606" s="161"/>
      <c r="N606" s="162"/>
      <c r="O606" s="18"/>
      <c r="P606" s="18"/>
      <c r="Q606" s="18"/>
      <c r="R606" s="18"/>
      <c r="U606" s="148"/>
    </row>
    <row r="607">
      <c r="D607" s="168"/>
      <c r="E607" s="148"/>
      <c r="G607" s="160"/>
      <c r="L607" s="161"/>
      <c r="M607" s="161"/>
      <c r="N607" s="162"/>
      <c r="O607" s="18"/>
      <c r="P607" s="18"/>
      <c r="Q607" s="18"/>
      <c r="R607" s="18"/>
      <c r="U607" s="148"/>
    </row>
    <row r="608">
      <c r="D608" s="168"/>
      <c r="E608" s="148"/>
      <c r="G608" s="160"/>
      <c r="L608" s="161"/>
      <c r="M608" s="161"/>
      <c r="N608" s="162"/>
      <c r="O608" s="18"/>
      <c r="P608" s="18"/>
      <c r="Q608" s="18"/>
      <c r="R608" s="18"/>
      <c r="U608" s="148"/>
    </row>
    <row r="609">
      <c r="D609" s="168"/>
      <c r="E609" s="148"/>
      <c r="G609" s="160"/>
      <c r="L609" s="161"/>
      <c r="M609" s="161"/>
      <c r="N609" s="162"/>
      <c r="O609" s="18"/>
      <c r="P609" s="18"/>
      <c r="Q609" s="18"/>
      <c r="R609" s="18"/>
      <c r="U609" s="148"/>
    </row>
    <row r="610">
      <c r="D610" s="168"/>
      <c r="E610" s="148"/>
      <c r="G610" s="160"/>
      <c r="L610" s="161"/>
      <c r="M610" s="161"/>
      <c r="N610" s="162"/>
      <c r="O610" s="18"/>
      <c r="P610" s="18"/>
      <c r="Q610" s="18"/>
      <c r="R610" s="18"/>
      <c r="U610" s="148"/>
    </row>
    <row r="611">
      <c r="D611" s="168"/>
      <c r="E611" s="148"/>
      <c r="G611" s="160"/>
      <c r="L611" s="161"/>
      <c r="M611" s="161"/>
      <c r="N611" s="162"/>
      <c r="O611" s="18"/>
      <c r="P611" s="18"/>
      <c r="Q611" s="18"/>
      <c r="R611" s="18"/>
      <c r="U611" s="148"/>
    </row>
    <row r="612">
      <c r="D612" s="168"/>
      <c r="E612" s="148"/>
      <c r="G612" s="160"/>
      <c r="L612" s="161"/>
      <c r="M612" s="161"/>
      <c r="N612" s="162"/>
      <c r="O612" s="18"/>
      <c r="P612" s="18"/>
      <c r="Q612" s="18"/>
      <c r="R612" s="18"/>
      <c r="U612" s="148"/>
    </row>
    <row r="613">
      <c r="D613" s="168"/>
      <c r="E613" s="148"/>
      <c r="G613" s="160"/>
      <c r="L613" s="161"/>
      <c r="M613" s="161"/>
      <c r="N613" s="162"/>
      <c r="O613" s="18"/>
      <c r="P613" s="18"/>
      <c r="Q613" s="18"/>
      <c r="R613" s="18"/>
      <c r="U613" s="148"/>
    </row>
    <row r="614">
      <c r="D614" s="168"/>
      <c r="E614" s="148"/>
      <c r="G614" s="160"/>
      <c r="L614" s="161"/>
      <c r="M614" s="161"/>
      <c r="N614" s="162"/>
      <c r="O614" s="18"/>
      <c r="P614" s="18"/>
      <c r="Q614" s="18"/>
      <c r="R614" s="18"/>
      <c r="U614" s="148"/>
    </row>
    <row r="615">
      <c r="D615" s="168"/>
      <c r="E615" s="148"/>
      <c r="G615" s="160"/>
      <c r="L615" s="161"/>
      <c r="M615" s="161"/>
      <c r="N615" s="162"/>
      <c r="O615" s="18"/>
      <c r="P615" s="18"/>
      <c r="Q615" s="18"/>
      <c r="R615" s="18"/>
      <c r="U615" s="148"/>
    </row>
    <row r="616">
      <c r="D616" s="168"/>
      <c r="E616" s="148"/>
      <c r="G616" s="160"/>
      <c r="L616" s="161"/>
      <c r="M616" s="161"/>
      <c r="N616" s="162"/>
      <c r="O616" s="18"/>
      <c r="P616" s="18"/>
      <c r="Q616" s="18"/>
      <c r="R616" s="18"/>
      <c r="U616" s="148"/>
    </row>
    <row r="617">
      <c r="D617" s="168"/>
      <c r="E617" s="148"/>
      <c r="G617" s="160"/>
      <c r="L617" s="161"/>
      <c r="M617" s="161"/>
      <c r="N617" s="162"/>
      <c r="O617" s="18"/>
      <c r="P617" s="18"/>
      <c r="Q617" s="18"/>
      <c r="R617" s="18"/>
      <c r="U617" s="148"/>
    </row>
    <row r="618">
      <c r="D618" s="168"/>
      <c r="E618" s="148"/>
      <c r="G618" s="160"/>
      <c r="L618" s="161"/>
      <c r="M618" s="161"/>
      <c r="N618" s="162"/>
      <c r="O618" s="18"/>
      <c r="P618" s="18"/>
      <c r="Q618" s="18"/>
      <c r="R618" s="18"/>
      <c r="U618" s="148"/>
    </row>
    <row r="619">
      <c r="D619" s="168"/>
      <c r="E619" s="148"/>
      <c r="G619" s="160"/>
      <c r="L619" s="161"/>
      <c r="M619" s="161"/>
      <c r="N619" s="162"/>
      <c r="O619" s="18"/>
      <c r="P619" s="18"/>
      <c r="Q619" s="18"/>
      <c r="R619" s="18"/>
      <c r="U619" s="148"/>
    </row>
    <row r="620">
      <c r="D620" s="168"/>
      <c r="E620" s="148"/>
      <c r="G620" s="160"/>
      <c r="L620" s="161"/>
      <c r="M620" s="161"/>
      <c r="N620" s="162"/>
      <c r="O620" s="18"/>
      <c r="P620" s="18"/>
      <c r="Q620" s="18"/>
      <c r="R620" s="18"/>
      <c r="U620" s="148"/>
    </row>
    <row r="621">
      <c r="D621" s="168"/>
      <c r="E621" s="148"/>
      <c r="G621" s="160"/>
      <c r="L621" s="161"/>
      <c r="M621" s="161"/>
      <c r="N621" s="162"/>
      <c r="O621" s="18"/>
      <c r="P621" s="18"/>
      <c r="Q621" s="18"/>
      <c r="R621" s="18"/>
      <c r="U621" s="148"/>
    </row>
    <row r="622">
      <c r="D622" s="168"/>
      <c r="E622" s="148"/>
      <c r="G622" s="160"/>
      <c r="L622" s="161"/>
      <c r="M622" s="161"/>
      <c r="N622" s="162"/>
      <c r="O622" s="18"/>
      <c r="P622" s="18"/>
      <c r="Q622" s="18"/>
      <c r="R622" s="18"/>
      <c r="U622" s="148"/>
    </row>
    <row r="623">
      <c r="D623" s="168"/>
      <c r="E623" s="148"/>
      <c r="G623" s="160"/>
      <c r="L623" s="161"/>
      <c r="M623" s="161"/>
      <c r="N623" s="162"/>
      <c r="O623" s="18"/>
      <c r="P623" s="18"/>
      <c r="Q623" s="18"/>
      <c r="R623" s="18"/>
      <c r="U623" s="148"/>
    </row>
    <row r="624">
      <c r="D624" s="168"/>
      <c r="E624" s="148"/>
      <c r="G624" s="160"/>
      <c r="L624" s="161"/>
      <c r="M624" s="161"/>
      <c r="N624" s="162"/>
      <c r="O624" s="18"/>
      <c r="P624" s="18"/>
      <c r="Q624" s="18"/>
      <c r="R624" s="18"/>
      <c r="U624" s="148"/>
    </row>
    <row r="625">
      <c r="D625" s="168"/>
      <c r="E625" s="148"/>
      <c r="G625" s="160"/>
      <c r="L625" s="161"/>
      <c r="M625" s="161"/>
      <c r="N625" s="162"/>
      <c r="O625" s="18"/>
      <c r="P625" s="18"/>
      <c r="Q625" s="18"/>
      <c r="R625" s="18"/>
      <c r="U625" s="148"/>
    </row>
    <row r="626">
      <c r="D626" s="168"/>
      <c r="E626" s="148"/>
      <c r="G626" s="160"/>
      <c r="L626" s="161"/>
      <c r="M626" s="161"/>
      <c r="N626" s="162"/>
      <c r="O626" s="18"/>
      <c r="P626" s="18"/>
      <c r="Q626" s="18"/>
      <c r="R626" s="18"/>
      <c r="U626" s="148"/>
    </row>
    <row r="627">
      <c r="D627" s="168"/>
      <c r="E627" s="148"/>
      <c r="G627" s="160"/>
      <c r="L627" s="161"/>
      <c r="M627" s="161"/>
      <c r="N627" s="162"/>
      <c r="O627" s="18"/>
      <c r="P627" s="18"/>
      <c r="Q627" s="18"/>
      <c r="R627" s="18"/>
      <c r="U627" s="148"/>
    </row>
    <row r="628">
      <c r="D628" s="168"/>
      <c r="E628" s="148"/>
      <c r="G628" s="160"/>
      <c r="L628" s="161"/>
      <c r="M628" s="161"/>
      <c r="N628" s="162"/>
      <c r="O628" s="18"/>
      <c r="P628" s="18"/>
      <c r="Q628" s="18"/>
      <c r="R628" s="18"/>
      <c r="U628" s="148"/>
    </row>
    <row r="629">
      <c r="D629" s="168"/>
      <c r="E629" s="148"/>
      <c r="G629" s="160"/>
      <c r="L629" s="161"/>
      <c r="M629" s="161"/>
      <c r="N629" s="162"/>
      <c r="O629" s="18"/>
      <c r="P629" s="18"/>
      <c r="Q629" s="18"/>
      <c r="R629" s="18"/>
      <c r="U629" s="148"/>
    </row>
    <row r="630">
      <c r="D630" s="168"/>
      <c r="E630" s="148"/>
      <c r="G630" s="160"/>
      <c r="L630" s="161"/>
      <c r="M630" s="161"/>
      <c r="N630" s="162"/>
      <c r="O630" s="18"/>
      <c r="P630" s="18"/>
      <c r="Q630" s="18"/>
      <c r="R630" s="18"/>
      <c r="U630" s="148"/>
    </row>
    <row r="631">
      <c r="D631" s="168"/>
      <c r="E631" s="148"/>
      <c r="G631" s="160"/>
      <c r="L631" s="161"/>
      <c r="M631" s="161"/>
      <c r="N631" s="162"/>
      <c r="O631" s="18"/>
      <c r="P631" s="18"/>
      <c r="Q631" s="18"/>
      <c r="R631" s="18"/>
      <c r="U631" s="148"/>
    </row>
    <row r="632">
      <c r="D632" s="168"/>
      <c r="E632" s="148"/>
      <c r="G632" s="160"/>
      <c r="L632" s="161"/>
      <c r="M632" s="161"/>
      <c r="N632" s="162"/>
      <c r="O632" s="18"/>
      <c r="P632" s="18"/>
      <c r="Q632" s="18"/>
      <c r="R632" s="18"/>
      <c r="U632" s="148"/>
    </row>
    <row r="633">
      <c r="D633" s="168"/>
      <c r="E633" s="148"/>
      <c r="G633" s="160"/>
      <c r="L633" s="161"/>
      <c r="M633" s="161"/>
      <c r="N633" s="162"/>
      <c r="O633" s="18"/>
      <c r="P633" s="18"/>
      <c r="Q633" s="18"/>
      <c r="R633" s="18"/>
      <c r="U633" s="148"/>
    </row>
    <row r="634">
      <c r="D634" s="168"/>
      <c r="E634" s="148"/>
      <c r="G634" s="160"/>
      <c r="L634" s="161"/>
      <c r="M634" s="161"/>
      <c r="N634" s="162"/>
      <c r="O634" s="18"/>
      <c r="P634" s="18"/>
      <c r="Q634" s="18"/>
      <c r="R634" s="18"/>
      <c r="U634" s="148"/>
    </row>
    <row r="635">
      <c r="D635" s="168"/>
      <c r="E635" s="148"/>
      <c r="G635" s="160"/>
      <c r="L635" s="161"/>
      <c r="M635" s="161"/>
      <c r="N635" s="162"/>
      <c r="O635" s="18"/>
      <c r="P635" s="18"/>
      <c r="Q635" s="18"/>
      <c r="R635" s="18"/>
      <c r="U635" s="148"/>
    </row>
    <row r="636">
      <c r="D636" s="168"/>
      <c r="E636" s="148"/>
      <c r="G636" s="160"/>
      <c r="L636" s="161"/>
      <c r="M636" s="161"/>
      <c r="N636" s="162"/>
      <c r="O636" s="18"/>
      <c r="P636" s="18"/>
      <c r="Q636" s="18"/>
      <c r="R636" s="18"/>
      <c r="U636" s="148"/>
    </row>
    <row r="637">
      <c r="D637" s="168"/>
      <c r="E637" s="148"/>
      <c r="G637" s="160"/>
      <c r="L637" s="161"/>
      <c r="M637" s="161"/>
      <c r="N637" s="162"/>
      <c r="O637" s="18"/>
      <c r="P637" s="18"/>
      <c r="Q637" s="18"/>
      <c r="R637" s="18"/>
      <c r="U637" s="148"/>
    </row>
    <row r="638">
      <c r="D638" s="168"/>
      <c r="E638" s="148"/>
      <c r="G638" s="160"/>
      <c r="L638" s="161"/>
      <c r="M638" s="161"/>
      <c r="N638" s="162"/>
      <c r="O638" s="18"/>
      <c r="P638" s="18"/>
      <c r="Q638" s="18"/>
      <c r="R638" s="18"/>
      <c r="U638" s="148"/>
    </row>
    <row r="639">
      <c r="D639" s="168"/>
      <c r="E639" s="148"/>
      <c r="G639" s="160"/>
      <c r="L639" s="161"/>
      <c r="M639" s="161"/>
      <c r="N639" s="162"/>
      <c r="O639" s="18"/>
      <c r="P639" s="18"/>
      <c r="Q639" s="18"/>
      <c r="R639" s="18"/>
      <c r="U639" s="148"/>
    </row>
    <row r="640">
      <c r="D640" s="168"/>
      <c r="E640" s="148"/>
      <c r="G640" s="160"/>
      <c r="L640" s="161"/>
      <c r="M640" s="161"/>
      <c r="N640" s="162"/>
      <c r="O640" s="18"/>
      <c r="P640" s="18"/>
      <c r="Q640" s="18"/>
      <c r="R640" s="18"/>
      <c r="U640" s="148"/>
    </row>
    <row r="641">
      <c r="D641" s="168"/>
      <c r="E641" s="148"/>
      <c r="G641" s="160"/>
      <c r="L641" s="161"/>
      <c r="M641" s="161"/>
      <c r="N641" s="162"/>
      <c r="O641" s="18"/>
      <c r="P641" s="18"/>
      <c r="Q641" s="18"/>
      <c r="R641" s="18"/>
      <c r="U641" s="148"/>
    </row>
    <row r="642">
      <c r="D642" s="168"/>
      <c r="E642" s="148"/>
      <c r="G642" s="160"/>
      <c r="L642" s="161"/>
      <c r="M642" s="161"/>
      <c r="N642" s="162"/>
      <c r="O642" s="18"/>
      <c r="P642" s="18"/>
      <c r="Q642" s="18"/>
      <c r="R642" s="18"/>
      <c r="U642" s="148"/>
    </row>
    <row r="643">
      <c r="D643" s="168"/>
      <c r="E643" s="148"/>
      <c r="G643" s="160"/>
      <c r="L643" s="161"/>
      <c r="M643" s="161"/>
      <c r="N643" s="162"/>
      <c r="O643" s="18"/>
      <c r="P643" s="18"/>
      <c r="Q643" s="18"/>
      <c r="R643" s="18"/>
      <c r="U643" s="148"/>
    </row>
    <row r="644">
      <c r="D644" s="168"/>
      <c r="E644" s="148"/>
      <c r="G644" s="160"/>
      <c r="L644" s="161"/>
      <c r="M644" s="161"/>
      <c r="N644" s="162"/>
      <c r="O644" s="18"/>
      <c r="P644" s="18"/>
      <c r="Q644" s="18"/>
      <c r="R644" s="18"/>
      <c r="U644" s="148"/>
    </row>
    <row r="645">
      <c r="D645" s="168"/>
      <c r="E645" s="148"/>
      <c r="G645" s="160"/>
      <c r="L645" s="161"/>
      <c r="M645" s="161"/>
      <c r="N645" s="162"/>
      <c r="O645" s="18"/>
      <c r="P645" s="18"/>
      <c r="Q645" s="18"/>
      <c r="R645" s="18"/>
      <c r="U645" s="148"/>
    </row>
    <row r="646">
      <c r="D646" s="168"/>
      <c r="E646" s="148"/>
      <c r="G646" s="160"/>
      <c r="L646" s="161"/>
      <c r="M646" s="161"/>
      <c r="N646" s="162"/>
      <c r="O646" s="18"/>
      <c r="P646" s="18"/>
      <c r="Q646" s="18"/>
      <c r="R646" s="18"/>
      <c r="U646" s="148"/>
    </row>
    <row r="647">
      <c r="D647" s="168"/>
      <c r="E647" s="148"/>
      <c r="G647" s="160"/>
      <c r="L647" s="161"/>
      <c r="M647" s="161"/>
      <c r="N647" s="162"/>
      <c r="O647" s="18"/>
      <c r="P647" s="18"/>
      <c r="Q647" s="18"/>
      <c r="R647" s="18"/>
      <c r="U647" s="148"/>
    </row>
    <row r="648">
      <c r="D648" s="168"/>
      <c r="E648" s="148"/>
      <c r="G648" s="160"/>
      <c r="L648" s="161"/>
      <c r="M648" s="161"/>
      <c r="N648" s="162"/>
      <c r="O648" s="18"/>
      <c r="P648" s="18"/>
      <c r="Q648" s="18"/>
      <c r="R648" s="18"/>
      <c r="U648" s="148"/>
    </row>
    <row r="649">
      <c r="D649" s="168"/>
      <c r="E649" s="148"/>
      <c r="G649" s="160"/>
      <c r="L649" s="161"/>
      <c r="M649" s="161"/>
      <c r="N649" s="162"/>
      <c r="O649" s="18"/>
      <c r="P649" s="18"/>
      <c r="Q649" s="18"/>
      <c r="R649" s="18"/>
      <c r="U649" s="148"/>
    </row>
    <row r="650">
      <c r="D650" s="168"/>
      <c r="E650" s="148"/>
      <c r="G650" s="160"/>
      <c r="L650" s="161"/>
      <c r="M650" s="161"/>
      <c r="N650" s="162"/>
      <c r="O650" s="18"/>
      <c r="P650" s="18"/>
      <c r="Q650" s="18"/>
      <c r="R650" s="18"/>
      <c r="U650" s="148"/>
    </row>
    <row r="651">
      <c r="D651" s="168"/>
      <c r="E651" s="148"/>
      <c r="G651" s="160"/>
      <c r="L651" s="161"/>
      <c r="M651" s="161"/>
      <c r="N651" s="162"/>
      <c r="O651" s="18"/>
      <c r="P651" s="18"/>
      <c r="Q651" s="18"/>
      <c r="R651" s="18"/>
      <c r="U651" s="148"/>
    </row>
    <row r="652">
      <c r="D652" s="168"/>
      <c r="E652" s="148"/>
      <c r="G652" s="160"/>
      <c r="L652" s="161"/>
      <c r="M652" s="161"/>
      <c r="N652" s="162"/>
      <c r="O652" s="18"/>
      <c r="P652" s="18"/>
      <c r="Q652" s="18"/>
      <c r="R652" s="18"/>
      <c r="U652" s="148"/>
    </row>
    <row r="653">
      <c r="D653" s="168"/>
      <c r="E653" s="148"/>
      <c r="G653" s="160"/>
      <c r="L653" s="161"/>
      <c r="M653" s="161"/>
      <c r="N653" s="162"/>
      <c r="O653" s="18"/>
      <c r="P653" s="18"/>
      <c r="Q653" s="18"/>
      <c r="R653" s="18"/>
      <c r="U653" s="148"/>
    </row>
    <row r="654">
      <c r="D654" s="168"/>
      <c r="E654" s="148"/>
      <c r="G654" s="160"/>
      <c r="L654" s="161"/>
      <c r="M654" s="161"/>
      <c r="N654" s="162"/>
      <c r="O654" s="18"/>
      <c r="P654" s="18"/>
      <c r="Q654" s="18"/>
      <c r="R654" s="18"/>
      <c r="U654" s="148"/>
    </row>
    <row r="655">
      <c r="D655" s="168"/>
      <c r="E655" s="148"/>
      <c r="G655" s="160"/>
      <c r="L655" s="161"/>
      <c r="M655" s="161"/>
      <c r="N655" s="162"/>
      <c r="O655" s="18"/>
      <c r="P655" s="18"/>
      <c r="Q655" s="18"/>
      <c r="R655" s="18"/>
      <c r="U655" s="148"/>
    </row>
    <row r="656">
      <c r="D656" s="168"/>
      <c r="E656" s="148"/>
      <c r="G656" s="160"/>
      <c r="L656" s="161"/>
      <c r="M656" s="161"/>
      <c r="N656" s="162"/>
      <c r="O656" s="18"/>
      <c r="P656" s="18"/>
      <c r="Q656" s="18"/>
      <c r="R656" s="18"/>
      <c r="U656" s="148"/>
    </row>
    <row r="657">
      <c r="D657" s="168"/>
      <c r="E657" s="148"/>
      <c r="G657" s="160"/>
      <c r="L657" s="161"/>
      <c r="M657" s="161"/>
      <c r="N657" s="162"/>
      <c r="O657" s="18"/>
      <c r="P657" s="18"/>
      <c r="Q657" s="18"/>
      <c r="R657" s="18"/>
      <c r="U657" s="148"/>
    </row>
    <row r="658">
      <c r="D658" s="168"/>
      <c r="E658" s="148"/>
      <c r="G658" s="160"/>
      <c r="L658" s="161"/>
      <c r="M658" s="161"/>
      <c r="N658" s="162"/>
      <c r="O658" s="18"/>
      <c r="P658" s="18"/>
      <c r="Q658" s="18"/>
      <c r="R658" s="18"/>
      <c r="U658" s="148"/>
    </row>
    <row r="659">
      <c r="D659" s="168"/>
      <c r="E659" s="148"/>
      <c r="G659" s="160"/>
      <c r="L659" s="161"/>
      <c r="M659" s="161"/>
      <c r="N659" s="162"/>
      <c r="O659" s="18"/>
      <c r="P659" s="18"/>
      <c r="Q659" s="18"/>
      <c r="R659" s="18"/>
      <c r="U659" s="148"/>
    </row>
    <row r="660">
      <c r="D660" s="168"/>
      <c r="E660" s="148"/>
      <c r="G660" s="160"/>
      <c r="L660" s="161"/>
      <c r="M660" s="161"/>
      <c r="N660" s="162"/>
      <c r="O660" s="18"/>
      <c r="P660" s="18"/>
      <c r="Q660" s="18"/>
      <c r="R660" s="18"/>
      <c r="U660" s="148"/>
    </row>
    <row r="661">
      <c r="D661" s="168"/>
      <c r="E661" s="148"/>
      <c r="G661" s="160"/>
      <c r="L661" s="161"/>
      <c r="M661" s="161"/>
      <c r="N661" s="162"/>
      <c r="O661" s="18"/>
      <c r="P661" s="18"/>
      <c r="Q661" s="18"/>
      <c r="R661" s="18"/>
      <c r="U661" s="148"/>
    </row>
    <row r="662">
      <c r="D662" s="168"/>
      <c r="E662" s="148"/>
      <c r="G662" s="160"/>
      <c r="L662" s="161"/>
      <c r="M662" s="161"/>
      <c r="N662" s="162"/>
      <c r="O662" s="18"/>
      <c r="P662" s="18"/>
      <c r="Q662" s="18"/>
      <c r="R662" s="18"/>
      <c r="U662" s="148"/>
    </row>
    <row r="663">
      <c r="D663" s="168"/>
      <c r="E663" s="148"/>
      <c r="G663" s="160"/>
      <c r="L663" s="161"/>
      <c r="M663" s="161"/>
      <c r="N663" s="162"/>
      <c r="O663" s="18"/>
      <c r="P663" s="18"/>
      <c r="Q663" s="18"/>
      <c r="R663" s="18"/>
      <c r="U663" s="148"/>
    </row>
    <row r="664">
      <c r="D664" s="168"/>
      <c r="E664" s="148"/>
      <c r="G664" s="160"/>
      <c r="L664" s="161"/>
      <c r="M664" s="161"/>
      <c r="N664" s="162"/>
      <c r="O664" s="18"/>
      <c r="P664" s="18"/>
      <c r="Q664" s="18"/>
      <c r="R664" s="18"/>
      <c r="U664" s="148"/>
    </row>
    <row r="665">
      <c r="D665" s="168"/>
      <c r="E665" s="148"/>
      <c r="G665" s="160"/>
      <c r="L665" s="161"/>
      <c r="M665" s="161"/>
      <c r="N665" s="162"/>
      <c r="O665" s="18"/>
      <c r="P665" s="18"/>
      <c r="Q665" s="18"/>
      <c r="R665" s="18"/>
      <c r="U665" s="148"/>
    </row>
    <row r="666">
      <c r="D666" s="168"/>
      <c r="E666" s="148"/>
      <c r="G666" s="160"/>
      <c r="L666" s="161"/>
      <c r="M666" s="161"/>
      <c r="N666" s="162"/>
      <c r="O666" s="18"/>
      <c r="P666" s="18"/>
      <c r="Q666" s="18"/>
      <c r="R666" s="18"/>
      <c r="U666" s="148"/>
    </row>
    <row r="667">
      <c r="D667" s="168"/>
      <c r="E667" s="148"/>
      <c r="G667" s="160"/>
      <c r="L667" s="161"/>
      <c r="M667" s="161"/>
      <c r="N667" s="162"/>
      <c r="O667" s="18"/>
      <c r="P667" s="18"/>
      <c r="Q667" s="18"/>
      <c r="R667" s="18"/>
      <c r="U667" s="148"/>
    </row>
    <row r="668">
      <c r="D668" s="168"/>
      <c r="E668" s="148"/>
      <c r="G668" s="160"/>
      <c r="L668" s="161"/>
      <c r="M668" s="161"/>
      <c r="N668" s="162"/>
      <c r="O668" s="18"/>
      <c r="P668" s="18"/>
      <c r="Q668" s="18"/>
      <c r="R668" s="18"/>
      <c r="U668" s="148"/>
    </row>
    <row r="669">
      <c r="D669" s="168"/>
      <c r="E669" s="148"/>
      <c r="G669" s="160"/>
      <c r="L669" s="161"/>
      <c r="M669" s="161"/>
      <c r="N669" s="162"/>
      <c r="O669" s="18"/>
      <c r="P669" s="18"/>
      <c r="Q669" s="18"/>
      <c r="R669" s="18"/>
      <c r="U669" s="148"/>
    </row>
    <row r="670">
      <c r="D670" s="168"/>
      <c r="E670" s="148"/>
      <c r="G670" s="160"/>
      <c r="L670" s="161"/>
      <c r="M670" s="161"/>
      <c r="N670" s="162"/>
      <c r="O670" s="18"/>
      <c r="P670" s="18"/>
      <c r="Q670" s="18"/>
      <c r="R670" s="18"/>
      <c r="U670" s="148"/>
    </row>
    <row r="671">
      <c r="D671" s="168"/>
      <c r="E671" s="148"/>
      <c r="G671" s="160"/>
      <c r="L671" s="161"/>
      <c r="M671" s="161"/>
      <c r="N671" s="162"/>
      <c r="O671" s="18"/>
      <c r="P671" s="18"/>
      <c r="Q671" s="18"/>
      <c r="R671" s="18"/>
      <c r="U671" s="148"/>
    </row>
    <row r="672">
      <c r="D672" s="168"/>
      <c r="E672" s="148"/>
      <c r="G672" s="160"/>
      <c r="L672" s="161"/>
      <c r="M672" s="161"/>
      <c r="N672" s="162"/>
      <c r="O672" s="18"/>
      <c r="P672" s="18"/>
      <c r="Q672" s="18"/>
      <c r="R672" s="18"/>
      <c r="U672" s="148"/>
    </row>
    <row r="673">
      <c r="D673" s="168"/>
      <c r="E673" s="148"/>
      <c r="G673" s="160"/>
      <c r="L673" s="161"/>
      <c r="M673" s="161"/>
      <c r="N673" s="162"/>
      <c r="O673" s="18"/>
      <c r="P673" s="18"/>
      <c r="Q673" s="18"/>
      <c r="R673" s="18"/>
      <c r="U673" s="148"/>
    </row>
    <row r="674">
      <c r="D674" s="168"/>
      <c r="E674" s="148"/>
      <c r="G674" s="160"/>
      <c r="L674" s="161"/>
      <c r="M674" s="161"/>
      <c r="N674" s="162"/>
      <c r="O674" s="18"/>
      <c r="P674" s="18"/>
      <c r="Q674" s="18"/>
      <c r="R674" s="18"/>
      <c r="U674" s="148"/>
    </row>
    <row r="675">
      <c r="D675" s="168"/>
      <c r="E675" s="148"/>
      <c r="G675" s="160"/>
      <c r="L675" s="161"/>
      <c r="M675" s="161"/>
      <c r="N675" s="162"/>
      <c r="O675" s="18"/>
      <c r="P675" s="18"/>
      <c r="Q675" s="18"/>
      <c r="R675" s="18"/>
      <c r="U675" s="148"/>
    </row>
    <row r="676">
      <c r="D676" s="168"/>
      <c r="E676" s="148"/>
      <c r="G676" s="160"/>
      <c r="L676" s="161"/>
      <c r="M676" s="161"/>
      <c r="N676" s="162"/>
      <c r="O676" s="18"/>
      <c r="P676" s="18"/>
      <c r="Q676" s="18"/>
      <c r="R676" s="18"/>
      <c r="U676" s="148"/>
    </row>
    <row r="677">
      <c r="D677" s="168"/>
      <c r="E677" s="148"/>
      <c r="G677" s="160"/>
      <c r="L677" s="161"/>
      <c r="M677" s="161"/>
      <c r="N677" s="162"/>
      <c r="O677" s="18"/>
      <c r="P677" s="18"/>
      <c r="Q677" s="18"/>
      <c r="R677" s="18"/>
      <c r="U677" s="148"/>
    </row>
    <row r="678">
      <c r="D678" s="168"/>
      <c r="E678" s="148"/>
      <c r="G678" s="160"/>
      <c r="L678" s="161"/>
      <c r="M678" s="161"/>
      <c r="N678" s="162"/>
      <c r="O678" s="18"/>
      <c r="P678" s="18"/>
      <c r="Q678" s="18"/>
      <c r="R678" s="18"/>
      <c r="U678" s="148"/>
    </row>
    <row r="679">
      <c r="D679" s="168"/>
      <c r="E679" s="148"/>
      <c r="G679" s="160"/>
      <c r="L679" s="161"/>
      <c r="M679" s="161"/>
      <c r="N679" s="162"/>
      <c r="O679" s="18"/>
      <c r="P679" s="18"/>
      <c r="Q679" s="18"/>
      <c r="R679" s="18"/>
      <c r="U679" s="148"/>
    </row>
    <row r="680">
      <c r="D680" s="168"/>
      <c r="E680" s="148"/>
      <c r="G680" s="160"/>
      <c r="L680" s="161"/>
      <c r="M680" s="161"/>
      <c r="N680" s="162"/>
      <c r="O680" s="18"/>
      <c r="P680" s="18"/>
      <c r="Q680" s="18"/>
      <c r="R680" s="18"/>
      <c r="U680" s="148"/>
    </row>
    <row r="681">
      <c r="D681" s="168"/>
      <c r="E681" s="148"/>
      <c r="G681" s="160"/>
      <c r="L681" s="161"/>
      <c r="M681" s="161"/>
      <c r="N681" s="162"/>
      <c r="O681" s="18"/>
      <c r="P681" s="18"/>
      <c r="Q681" s="18"/>
      <c r="R681" s="18"/>
      <c r="U681" s="148"/>
    </row>
    <row r="682">
      <c r="D682" s="168"/>
      <c r="E682" s="148"/>
      <c r="G682" s="160"/>
      <c r="L682" s="161"/>
      <c r="M682" s="161"/>
      <c r="N682" s="162"/>
      <c r="O682" s="18"/>
      <c r="P682" s="18"/>
      <c r="Q682" s="18"/>
      <c r="R682" s="18"/>
      <c r="U682" s="148"/>
    </row>
    <row r="683">
      <c r="D683" s="168"/>
      <c r="E683" s="148"/>
      <c r="G683" s="160"/>
      <c r="L683" s="161"/>
      <c r="M683" s="161"/>
      <c r="N683" s="162"/>
      <c r="O683" s="18"/>
      <c r="P683" s="18"/>
      <c r="Q683" s="18"/>
      <c r="R683" s="18"/>
      <c r="U683" s="148"/>
    </row>
    <row r="684">
      <c r="D684" s="168"/>
      <c r="E684" s="148"/>
      <c r="G684" s="160"/>
      <c r="L684" s="161"/>
      <c r="M684" s="161"/>
      <c r="N684" s="162"/>
      <c r="O684" s="18"/>
      <c r="P684" s="18"/>
      <c r="Q684" s="18"/>
      <c r="R684" s="18"/>
      <c r="U684" s="148"/>
    </row>
    <row r="685">
      <c r="D685" s="168"/>
      <c r="E685" s="148"/>
      <c r="G685" s="160"/>
      <c r="L685" s="161"/>
      <c r="M685" s="161"/>
      <c r="N685" s="162"/>
      <c r="O685" s="18"/>
      <c r="P685" s="18"/>
      <c r="Q685" s="18"/>
      <c r="R685" s="18"/>
      <c r="U685" s="148"/>
    </row>
    <row r="686">
      <c r="D686" s="168"/>
      <c r="E686" s="148"/>
      <c r="G686" s="160"/>
      <c r="L686" s="161"/>
      <c r="M686" s="161"/>
      <c r="N686" s="162"/>
      <c r="O686" s="18"/>
      <c r="P686" s="18"/>
      <c r="Q686" s="18"/>
      <c r="R686" s="18"/>
      <c r="U686" s="148"/>
    </row>
    <row r="687">
      <c r="D687" s="168"/>
      <c r="E687" s="148"/>
      <c r="G687" s="160"/>
      <c r="L687" s="161"/>
      <c r="M687" s="161"/>
      <c r="N687" s="162"/>
      <c r="O687" s="18"/>
      <c r="P687" s="18"/>
      <c r="Q687" s="18"/>
      <c r="R687" s="18"/>
      <c r="U687" s="148"/>
    </row>
    <row r="688">
      <c r="D688" s="168"/>
      <c r="E688" s="148"/>
      <c r="G688" s="160"/>
      <c r="L688" s="161"/>
      <c r="M688" s="161"/>
      <c r="N688" s="162"/>
      <c r="O688" s="18"/>
      <c r="P688" s="18"/>
      <c r="Q688" s="18"/>
      <c r="R688" s="18"/>
      <c r="U688" s="148"/>
    </row>
    <row r="689">
      <c r="D689" s="168"/>
      <c r="E689" s="148"/>
      <c r="G689" s="160"/>
      <c r="L689" s="161"/>
      <c r="M689" s="161"/>
      <c r="N689" s="162"/>
      <c r="O689" s="18"/>
      <c r="P689" s="18"/>
      <c r="Q689" s="18"/>
      <c r="R689" s="18"/>
      <c r="U689" s="148"/>
    </row>
    <row r="690">
      <c r="D690" s="168"/>
      <c r="E690" s="148"/>
      <c r="G690" s="160"/>
      <c r="L690" s="161"/>
      <c r="M690" s="161"/>
      <c r="N690" s="162"/>
      <c r="O690" s="18"/>
      <c r="P690" s="18"/>
      <c r="Q690" s="18"/>
      <c r="R690" s="18"/>
      <c r="U690" s="148"/>
    </row>
    <row r="691">
      <c r="D691" s="168"/>
      <c r="E691" s="148"/>
      <c r="G691" s="160"/>
      <c r="L691" s="161"/>
      <c r="M691" s="161"/>
      <c r="N691" s="162"/>
      <c r="O691" s="18"/>
      <c r="P691" s="18"/>
      <c r="Q691" s="18"/>
      <c r="R691" s="18"/>
      <c r="U691" s="148"/>
    </row>
    <row r="692">
      <c r="D692" s="168"/>
      <c r="E692" s="148"/>
      <c r="G692" s="160"/>
      <c r="L692" s="161"/>
      <c r="M692" s="161"/>
      <c r="N692" s="162"/>
      <c r="O692" s="18"/>
      <c r="P692" s="18"/>
      <c r="Q692" s="18"/>
      <c r="R692" s="18"/>
      <c r="U692" s="148"/>
    </row>
    <row r="693">
      <c r="D693" s="168"/>
      <c r="E693" s="148"/>
      <c r="G693" s="160"/>
      <c r="L693" s="161"/>
      <c r="M693" s="161"/>
      <c r="N693" s="162"/>
      <c r="O693" s="18"/>
      <c r="P693" s="18"/>
      <c r="Q693" s="18"/>
      <c r="R693" s="18"/>
      <c r="U693" s="148"/>
    </row>
    <row r="694">
      <c r="D694" s="168"/>
      <c r="E694" s="148"/>
      <c r="G694" s="160"/>
      <c r="L694" s="161"/>
      <c r="M694" s="161"/>
      <c r="N694" s="162"/>
      <c r="O694" s="18"/>
      <c r="P694" s="18"/>
      <c r="Q694" s="18"/>
      <c r="R694" s="18"/>
      <c r="U694" s="148"/>
    </row>
    <row r="695">
      <c r="D695" s="168"/>
      <c r="E695" s="148"/>
      <c r="G695" s="160"/>
      <c r="L695" s="161"/>
      <c r="M695" s="161"/>
      <c r="N695" s="162"/>
      <c r="O695" s="18"/>
      <c r="P695" s="18"/>
      <c r="Q695" s="18"/>
      <c r="R695" s="18"/>
      <c r="U695" s="148"/>
    </row>
    <row r="696">
      <c r="D696" s="168"/>
      <c r="E696" s="148"/>
      <c r="G696" s="160"/>
      <c r="L696" s="161"/>
      <c r="M696" s="161"/>
      <c r="N696" s="162"/>
      <c r="O696" s="18"/>
      <c r="P696" s="18"/>
      <c r="Q696" s="18"/>
      <c r="R696" s="18"/>
      <c r="U696" s="148"/>
    </row>
    <row r="697">
      <c r="D697" s="168"/>
      <c r="E697" s="148"/>
      <c r="G697" s="160"/>
      <c r="L697" s="161"/>
      <c r="M697" s="161"/>
      <c r="N697" s="162"/>
      <c r="O697" s="18"/>
      <c r="P697" s="18"/>
      <c r="Q697" s="18"/>
      <c r="R697" s="18"/>
      <c r="U697" s="148"/>
    </row>
    <row r="698">
      <c r="D698" s="168"/>
      <c r="E698" s="148"/>
      <c r="G698" s="160"/>
      <c r="L698" s="161"/>
      <c r="M698" s="161"/>
      <c r="N698" s="162"/>
      <c r="O698" s="18"/>
      <c r="P698" s="18"/>
      <c r="Q698" s="18"/>
      <c r="R698" s="18"/>
      <c r="U698" s="148"/>
    </row>
    <row r="699">
      <c r="D699" s="168"/>
      <c r="E699" s="148"/>
      <c r="G699" s="160"/>
      <c r="L699" s="161"/>
      <c r="M699" s="161"/>
      <c r="N699" s="162"/>
      <c r="O699" s="18"/>
      <c r="P699" s="18"/>
      <c r="Q699" s="18"/>
      <c r="R699" s="18"/>
      <c r="U699" s="148"/>
    </row>
    <row r="700">
      <c r="D700" s="168"/>
      <c r="E700" s="148"/>
      <c r="G700" s="160"/>
      <c r="L700" s="161"/>
      <c r="M700" s="161"/>
      <c r="N700" s="162"/>
      <c r="O700" s="18"/>
      <c r="P700" s="18"/>
      <c r="Q700" s="18"/>
      <c r="R700" s="18"/>
      <c r="U700" s="148"/>
    </row>
    <row r="701">
      <c r="D701" s="168"/>
      <c r="E701" s="148"/>
      <c r="G701" s="160"/>
      <c r="L701" s="161"/>
      <c r="M701" s="161"/>
      <c r="N701" s="162"/>
      <c r="O701" s="18"/>
      <c r="P701" s="18"/>
      <c r="Q701" s="18"/>
      <c r="R701" s="18"/>
      <c r="U701" s="148"/>
    </row>
    <row r="702">
      <c r="D702" s="168"/>
      <c r="E702" s="148"/>
      <c r="G702" s="160"/>
      <c r="L702" s="161"/>
      <c r="M702" s="161"/>
      <c r="N702" s="162"/>
      <c r="O702" s="18"/>
      <c r="P702" s="18"/>
      <c r="Q702" s="18"/>
      <c r="R702" s="18"/>
      <c r="U702" s="148"/>
    </row>
    <row r="703">
      <c r="D703" s="168"/>
      <c r="E703" s="148"/>
      <c r="G703" s="160"/>
      <c r="L703" s="161"/>
      <c r="M703" s="161"/>
      <c r="N703" s="162"/>
      <c r="O703" s="18"/>
      <c r="P703" s="18"/>
      <c r="Q703" s="18"/>
      <c r="R703" s="18"/>
      <c r="U703" s="148"/>
    </row>
    <row r="704">
      <c r="D704" s="168"/>
      <c r="E704" s="148"/>
      <c r="G704" s="160"/>
      <c r="L704" s="161"/>
      <c r="M704" s="161"/>
      <c r="N704" s="162"/>
      <c r="O704" s="18"/>
      <c r="P704" s="18"/>
      <c r="Q704" s="18"/>
      <c r="R704" s="18"/>
      <c r="U704" s="148"/>
    </row>
    <row r="705">
      <c r="D705" s="168"/>
      <c r="E705" s="148"/>
      <c r="G705" s="160"/>
      <c r="L705" s="161"/>
      <c r="M705" s="161"/>
      <c r="N705" s="162"/>
      <c r="O705" s="18"/>
      <c r="P705" s="18"/>
      <c r="Q705" s="18"/>
      <c r="R705" s="18"/>
      <c r="U705" s="148"/>
    </row>
    <row r="706">
      <c r="D706" s="168"/>
      <c r="E706" s="148"/>
      <c r="G706" s="160"/>
      <c r="L706" s="161"/>
      <c r="M706" s="161"/>
      <c r="N706" s="162"/>
      <c r="O706" s="18"/>
      <c r="P706" s="18"/>
      <c r="Q706" s="18"/>
      <c r="R706" s="18"/>
      <c r="U706" s="148"/>
    </row>
    <row r="707">
      <c r="D707" s="168"/>
      <c r="E707" s="148"/>
      <c r="G707" s="160"/>
      <c r="L707" s="161"/>
      <c r="M707" s="161"/>
      <c r="N707" s="162"/>
      <c r="O707" s="18"/>
      <c r="P707" s="18"/>
      <c r="Q707" s="18"/>
      <c r="R707" s="18"/>
      <c r="U707" s="148"/>
    </row>
    <row r="708">
      <c r="D708" s="168"/>
      <c r="E708" s="148"/>
      <c r="G708" s="160"/>
      <c r="L708" s="161"/>
      <c r="M708" s="161"/>
      <c r="N708" s="162"/>
      <c r="O708" s="18"/>
      <c r="P708" s="18"/>
      <c r="Q708" s="18"/>
      <c r="R708" s="18"/>
      <c r="U708" s="148"/>
    </row>
    <row r="709">
      <c r="D709" s="168"/>
      <c r="E709" s="148"/>
      <c r="G709" s="160"/>
      <c r="L709" s="161"/>
      <c r="M709" s="161"/>
      <c r="N709" s="162"/>
      <c r="O709" s="18"/>
      <c r="P709" s="18"/>
      <c r="Q709" s="18"/>
      <c r="R709" s="18"/>
      <c r="U709" s="148"/>
    </row>
    <row r="710">
      <c r="D710" s="168"/>
      <c r="E710" s="148"/>
      <c r="G710" s="160"/>
      <c r="L710" s="161"/>
      <c r="M710" s="161"/>
      <c r="N710" s="162"/>
      <c r="O710" s="18"/>
      <c r="P710" s="18"/>
      <c r="Q710" s="18"/>
      <c r="R710" s="18"/>
      <c r="U710" s="148"/>
    </row>
    <row r="711">
      <c r="D711" s="168"/>
      <c r="E711" s="148"/>
      <c r="G711" s="160"/>
      <c r="L711" s="161"/>
      <c r="M711" s="161"/>
      <c r="N711" s="162"/>
      <c r="O711" s="18"/>
      <c r="P711" s="18"/>
      <c r="Q711" s="18"/>
      <c r="R711" s="18"/>
      <c r="U711" s="148"/>
    </row>
    <row r="712">
      <c r="D712" s="168"/>
      <c r="E712" s="148"/>
      <c r="G712" s="160"/>
      <c r="L712" s="161"/>
      <c r="M712" s="161"/>
      <c r="N712" s="162"/>
      <c r="O712" s="18"/>
      <c r="P712" s="18"/>
      <c r="Q712" s="18"/>
      <c r="R712" s="18"/>
      <c r="U712" s="148"/>
    </row>
    <row r="713">
      <c r="D713" s="168"/>
      <c r="E713" s="148"/>
      <c r="G713" s="160"/>
      <c r="L713" s="161"/>
      <c r="M713" s="161"/>
      <c r="N713" s="162"/>
      <c r="O713" s="18"/>
      <c r="P713" s="18"/>
      <c r="Q713" s="18"/>
      <c r="R713" s="18"/>
      <c r="U713" s="148"/>
    </row>
    <row r="714">
      <c r="D714" s="168"/>
      <c r="E714" s="148"/>
      <c r="G714" s="160"/>
      <c r="L714" s="161"/>
      <c r="M714" s="161"/>
      <c r="N714" s="162"/>
      <c r="O714" s="18"/>
      <c r="P714" s="18"/>
      <c r="Q714" s="18"/>
      <c r="R714" s="18"/>
      <c r="U714" s="148"/>
    </row>
    <row r="715">
      <c r="D715" s="168"/>
      <c r="E715" s="148"/>
      <c r="G715" s="160"/>
      <c r="L715" s="161"/>
      <c r="M715" s="161"/>
      <c r="N715" s="162"/>
      <c r="O715" s="18"/>
      <c r="P715" s="18"/>
      <c r="Q715" s="18"/>
      <c r="R715" s="18"/>
      <c r="U715" s="148"/>
    </row>
    <row r="716">
      <c r="D716" s="168"/>
      <c r="E716" s="148"/>
      <c r="G716" s="160"/>
      <c r="L716" s="161"/>
      <c r="M716" s="161"/>
      <c r="N716" s="162"/>
      <c r="O716" s="18"/>
      <c r="P716" s="18"/>
      <c r="Q716" s="18"/>
      <c r="R716" s="18"/>
      <c r="U716" s="148"/>
    </row>
    <row r="717">
      <c r="D717" s="168"/>
      <c r="E717" s="148"/>
      <c r="G717" s="160"/>
      <c r="L717" s="161"/>
      <c r="M717" s="161"/>
      <c r="N717" s="162"/>
      <c r="O717" s="18"/>
      <c r="P717" s="18"/>
      <c r="Q717" s="18"/>
      <c r="R717" s="18"/>
      <c r="U717" s="148"/>
    </row>
    <row r="718">
      <c r="D718" s="168"/>
      <c r="E718" s="148"/>
      <c r="G718" s="160"/>
      <c r="L718" s="161"/>
      <c r="M718" s="161"/>
      <c r="N718" s="162"/>
      <c r="O718" s="18"/>
      <c r="P718" s="18"/>
      <c r="Q718" s="18"/>
      <c r="R718" s="18"/>
      <c r="U718" s="148"/>
    </row>
    <row r="719">
      <c r="D719" s="168"/>
      <c r="E719" s="148"/>
      <c r="G719" s="160"/>
      <c r="L719" s="161"/>
      <c r="M719" s="161"/>
      <c r="N719" s="162"/>
      <c r="O719" s="18"/>
      <c r="P719" s="18"/>
      <c r="Q719" s="18"/>
      <c r="R719" s="18"/>
      <c r="U719" s="148"/>
    </row>
    <row r="720">
      <c r="D720" s="168"/>
      <c r="E720" s="148"/>
      <c r="G720" s="160"/>
      <c r="L720" s="161"/>
      <c r="M720" s="161"/>
      <c r="N720" s="162"/>
      <c r="O720" s="18"/>
      <c r="P720" s="18"/>
      <c r="Q720" s="18"/>
      <c r="R720" s="18"/>
      <c r="U720" s="148"/>
    </row>
    <row r="721">
      <c r="D721" s="168"/>
      <c r="E721" s="148"/>
      <c r="G721" s="160"/>
      <c r="L721" s="161"/>
      <c r="M721" s="161"/>
      <c r="N721" s="162"/>
      <c r="O721" s="18"/>
      <c r="P721" s="18"/>
      <c r="Q721" s="18"/>
      <c r="R721" s="18"/>
      <c r="U721" s="148"/>
    </row>
    <row r="722">
      <c r="D722" s="168"/>
      <c r="E722" s="148"/>
      <c r="G722" s="160"/>
      <c r="L722" s="161"/>
      <c r="M722" s="161"/>
      <c r="N722" s="162"/>
      <c r="O722" s="18"/>
      <c r="P722" s="18"/>
      <c r="Q722" s="18"/>
      <c r="R722" s="18"/>
      <c r="U722" s="148"/>
    </row>
    <row r="723">
      <c r="D723" s="168"/>
      <c r="E723" s="148"/>
      <c r="G723" s="160"/>
      <c r="L723" s="161"/>
      <c r="M723" s="161"/>
      <c r="N723" s="162"/>
      <c r="O723" s="18"/>
      <c r="P723" s="18"/>
      <c r="Q723" s="18"/>
      <c r="R723" s="18"/>
      <c r="U723" s="148"/>
    </row>
    <row r="724">
      <c r="D724" s="168"/>
      <c r="E724" s="148"/>
      <c r="G724" s="160"/>
      <c r="L724" s="161"/>
      <c r="M724" s="161"/>
      <c r="N724" s="162"/>
      <c r="O724" s="18"/>
      <c r="P724" s="18"/>
      <c r="Q724" s="18"/>
      <c r="R724" s="18"/>
      <c r="U724" s="148"/>
    </row>
    <row r="725">
      <c r="D725" s="168"/>
      <c r="E725" s="148"/>
      <c r="G725" s="160"/>
      <c r="L725" s="161"/>
      <c r="M725" s="161"/>
      <c r="N725" s="162"/>
      <c r="O725" s="18"/>
      <c r="P725" s="18"/>
      <c r="Q725" s="18"/>
      <c r="R725" s="18"/>
      <c r="U725" s="148"/>
    </row>
    <row r="726">
      <c r="D726" s="168"/>
      <c r="E726" s="148"/>
      <c r="G726" s="160"/>
      <c r="L726" s="161"/>
      <c r="M726" s="161"/>
      <c r="N726" s="162"/>
      <c r="O726" s="18"/>
      <c r="P726" s="18"/>
      <c r="Q726" s="18"/>
      <c r="R726" s="18"/>
      <c r="U726" s="148"/>
    </row>
    <row r="727">
      <c r="D727" s="168"/>
      <c r="E727" s="148"/>
      <c r="G727" s="160"/>
      <c r="L727" s="161"/>
      <c r="M727" s="161"/>
      <c r="N727" s="162"/>
      <c r="O727" s="18"/>
      <c r="P727" s="18"/>
      <c r="Q727" s="18"/>
      <c r="R727" s="18"/>
      <c r="U727" s="148"/>
    </row>
    <row r="728">
      <c r="D728" s="168"/>
      <c r="E728" s="148"/>
      <c r="G728" s="160"/>
      <c r="L728" s="161"/>
      <c r="M728" s="161"/>
      <c r="N728" s="162"/>
      <c r="O728" s="18"/>
      <c r="P728" s="18"/>
      <c r="Q728" s="18"/>
      <c r="R728" s="18"/>
      <c r="U728" s="148"/>
    </row>
    <row r="729">
      <c r="D729" s="168"/>
      <c r="E729" s="148"/>
      <c r="G729" s="160"/>
      <c r="L729" s="161"/>
      <c r="M729" s="161"/>
      <c r="N729" s="162"/>
      <c r="O729" s="18"/>
      <c r="P729" s="18"/>
      <c r="Q729" s="18"/>
      <c r="R729" s="18"/>
      <c r="U729" s="148"/>
    </row>
    <row r="730">
      <c r="D730" s="168"/>
      <c r="E730" s="148"/>
      <c r="G730" s="160"/>
      <c r="L730" s="161"/>
      <c r="M730" s="161"/>
      <c r="N730" s="162"/>
      <c r="O730" s="18"/>
      <c r="P730" s="18"/>
      <c r="Q730" s="18"/>
      <c r="R730" s="18"/>
      <c r="U730" s="148"/>
    </row>
    <row r="731">
      <c r="D731" s="168"/>
      <c r="E731" s="148"/>
      <c r="G731" s="160"/>
      <c r="L731" s="161"/>
      <c r="M731" s="161"/>
      <c r="N731" s="162"/>
      <c r="O731" s="18"/>
      <c r="P731" s="18"/>
      <c r="Q731" s="18"/>
      <c r="R731" s="18"/>
      <c r="U731" s="148"/>
    </row>
    <row r="732">
      <c r="D732" s="168"/>
      <c r="E732" s="148"/>
      <c r="G732" s="160"/>
      <c r="L732" s="161"/>
      <c r="M732" s="161"/>
      <c r="N732" s="162"/>
      <c r="O732" s="18"/>
      <c r="P732" s="18"/>
      <c r="Q732" s="18"/>
      <c r="R732" s="18"/>
      <c r="U732" s="148"/>
    </row>
    <row r="733">
      <c r="D733" s="168"/>
      <c r="E733" s="148"/>
      <c r="G733" s="160"/>
      <c r="L733" s="161"/>
      <c r="M733" s="161"/>
      <c r="N733" s="162"/>
      <c r="O733" s="18"/>
      <c r="P733" s="18"/>
      <c r="Q733" s="18"/>
      <c r="R733" s="18"/>
      <c r="U733" s="148"/>
    </row>
    <row r="734">
      <c r="D734" s="168"/>
      <c r="E734" s="148"/>
      <c r="G734" s="160"/>
      <c r="L734" s="161"/>
      <c r="M734" s="161"/>
      <c r="N734" s="162"/>
      <c r="O734" s="18"/>
      <c r="P734" s="18"/>
      <c r="Q734" s="18"/>
      <c r="R734" s="18"/>
      <c r="U734" s="148"/>
    </row>
    <row r="735">
      <c r="D735" s="168"/>
      <c r="E735" s="148"/>
      <c r="G735" s="160"/>
      <c r="L735" s="161"/>
      <c r="M735" s="161"/>
      <c r="N735" s="162"/>
      <c r="O735" s="18"/>
      <c r="P735" s="18"/>
      <c r="Q735" s="18"/>
      <c r="R735" s="18"/>
      <c r="U735" s="148"/>
    </row>
    <row r="736">
      <c r="D736" s="168"/>
      <c r="E736" s="148"/>
      <c r="G736" s="160"/>
      <c r="L736" s="161"/>
      <c r="M736" s="161"/>
      <c r="N736" s="162"/>
      <c r="O736" s="18"/>
      <c r="P736" s="18"/>
      <c r="Q736" s="18"/>
      <c r="R736" s="18"/>
      <c r="U736" s="148"/>
    </row>
    <row r="737">
      <c r="D737" s="168"/>
      <c r="E737" s="148"/>
      <c r="G737" s="160"/>
      <c r="L737" s="161"/>
      <c r="M737" s="161"/>
      <c r="N737" s="162"/>
      <c r="O737" s="18"/>
      <c r="P737" s="18"/>
      <c r="Q737" s="18"/>
      <c r="R737" s="18"/>
      <c r="U737" s="148"/>
    </row>
    <row r="738">
      <c r="D738" s="168"/>
      <c r="E738" s="148"/>
      <c r="G738" s="160"/>
      <c r="L738" s="161"/>
      <c r="M738" s="161"/>
      <c r="N738" s="162"/>
      <c r="O738" s="18"/>
      <c r="P738" s="18"/>
      <c r="Q738" s="18"/>
      <c r="R738" s="18"/>
      <c r="U738" s="148"/>
    </row>
    <row r="739">
      <c r="D739" s="168"/>
      <c r="E739" s="148"/>
      <c r="G739" s="160"/>
      <c r="L739" s="161"/>
      <c r="M739" s="161"/>
      <c r="N739" s="162"/>
      <c r="O739" s="18"/>
      <c r="P739" s="18"/>
      <c r="Q739" s="18"/>
      <c r="R739" s="18"/>
      <c r="U739" s="148"/>
    </row>
    <row r="740">
      <c r="D740" s="168"/>
      <c r="E740" s="148"/>
      <c r="G740" s="160"/>
      <c r="L740" s="161"/>
      <c r="M740" s="161"/>
      <c r="N740" s="162"/>
      <c r="O740" s="18"/>
      <c r="P740" s="18"/>
      <c r="Q740" s="18"/>
      <c r="R740" s="18"/>
      <c r="U740" s="148"/>
    </row>
    <row r="741">
      <c r="D741" s="168"/>
      <c r="E741" s="148"/>
      <c r="G741" s="160"/>
      <c r="L741" s="161"/>
      <c r="M741" s="161"/>
      <c r="N741" s="162"/>
      <c r="O741" s="18"/>
      <c r="P741" s="18"/>
      <c r="Q741" s="18"/>
      <c r="R741" s="18"/>
      <c r="U741" s="148"/>
    </row>
    <row r="742">
      <c r="D742" s="168"/>
      <c r="E742" s="148"/>
      <c r="G742" s="160"/>
      <c r="L742" s="161"/>
      <c r="M742" s="161"/>
      <c r="N742" s="162"/>
      <c r="O742" s="18"/>
      <c r="P742" s="18"/>
      <c r="Q742" s="18"/>
      <c r="R742" s="18"/>
      <c r="U742" s="148"/>
    </row>
    <row r="743">
      <c r="D743" s="168"/>
      <c r="E743" s="148"/>
      <c r="G743" s="160"/>
      <c r="L743" s="161"/>
      <c r="M743" s="161"/>
      <c r="N743" s="162"/>
      <c r="O743" s="18"/>
      <c r="P743" s="18"/>
      <c r="Q743" s="18"/>
      <c r="R743" s="18"/>
      <c r="U743" s="148"/>
    </row>
    <row r="744">
      <c r="D744" s="168"/>
      <c r="E744" s="148"/>
      <c r="G744" s="160"/>
      <c r="L744" s="161"/>
      <c r="M744" s="161"/>
      <c r="N744" s="162"/>
      <c r="O744" s="18"/>
      <c r="P744" s="18"/>
      <c r="Q744" s="18"/>
      <c r="R744" s="18"/>
      <c r="U744" s="148"/>
    </row>
    <row r="745">
      <c r="D745" s="168"/>
      <c r="E745" s="148"/>
      <c r="G745" s="160"/>
      <c r="L745" s="161"/>
      <c r="M745" s="161"/>
      <c r="N745" s="162"/>
      <c r="O745" s="18"/>
      <c r="P745" s="18"/>
      <c r="Q745" s="18"/>
      <c r="R745" s="18"/>
      <c r="U745" s="148"/>
    </row>
    <row r="746">
      <c r="D746" s="168"/>
      <c r="E746" s="148"/>
      <c r="G746" s="160"/>
      <c r="L746" s="161"/>
      <c r="M746" s="161"/>
      <c r="N746" s="162"/>
      <c r="O746" s="18"/>
      <c r="P746" s="18"/>
      <c r="Q746" s="18"/>
      <c r="R746" s="18"/>
      <c r="U746" s="148"/>
    </row>
    <row r="747">
      <c r="D747" s="168"/>
      <c r="E747" s="148"/>
      <c r="G747" s="160"/>
      <c r="L747" s="161"/>
      <c r="M747" s="161"/>
      <c r="N747" s="162"/>
      <c r="O747" s="18"/>
      <c r="P747" s="18"/>
      <c r="Q747" s="18"/>
      <c r="R747" s="18"/>
      <c r="U747" s="148"/>
    </row>
    <row r="748">
      <c r="D748" s="168"/>
      <c r="E748" s="148"/>
      <c r="G748" s="160"/>
      <c r="L748" s="161"/>
      <c r="M748" s="161"/>
      <c r="N748" s="162"/>
      <c r="O748" s="18"/>
      <c r="P748" s="18"/>
      <c r="Q748" s="18"/>
      <c r="R748" s="18"/>
      <c r="U748" s="148"/>
    </row>
    <row r="749">
      <c r="D749" s="168"/>
      <c r="E749" s="148"/>
      <c r="G749" s="160"/>
      <c r="L749" s="161"/>
      <c r="M749" s="161"/>
      <c r="N749" s="162"/>
      <c r="O749" s="18"/>
      <c r="P749" s="18"/>
      <c r="Q749" s="18"/>
      <c r="R749" s="18"/>
      <c r="U749" s="148"/>
    </row>
    <row r="750">
      <c r="D750" s="168"/>
      <c r="E750" s="148"/>
      <c r="G750" s="160"/>
      <c r="L750" s="161"/>
      <c r="M750" s="161"/>
      <c r="N750" s="162"/>
      <c r="O750" s="18"/>
      <c r="P750" s="18"/>
      <c r="Q750" s="18"/>
      <c r="R750" s="18"/>
      <c r="U750" s="148"/>
    </row>
    <row r="751">
      <c r="D751" s="168"/>
      <c r="E751" s="148"/>
      <c r="G751" s="160"/>
      <c r="L751" s="161"/>
      <c r="M751" s="161"/>
      <c r="N751" s="162"/>
      <c r="O751" s="18"/>
      <c r="P751" s="18"/>
      <c r="Q751" s="18"/>
      <c r="R751" s="18"/>
      <c r="U751" s="148"/>
    </row>
    <row r="752">
      <c r="D752" s="168"/>
      <c r="E752" s="148"/>
      <c r="G752" s="160"/>
      <c r="L752" s="161"/>
      <c r="M752" s="161"/>
      <c r="N752" s="162"/>
      <c r="O752" s="18"/>
      <c r="P752" s="18"/>
      <c r="Q752" s="18"/>
      <c r="R752" s="18"/>
      <c r="U752" s="148"/>
    </row>
    <row r="753">
      <c r="D753" s="168"/>
      <c r="E753" s="148"/>
      <c r="G753" s="160"/>
      <c r="L753" s="161"/>
      <c r="M753" s="161"/>
      <c r="N753" s="162"/>
      <c r="O753" s="18"/>
      <c r="P753" s="18"/>
      <c r="Q753" s="18"/>
      <c r="R753" s="18"/>
      <c r="U753" s="148"/>
    </row>
    <row r="754">
      <c r="D754" s="168"/>
      <c r="E754" s="148"/>
      <c r="G754" s="160"/>
      <c r="L754" s="161"/>
      <c r="M754" s="161"/>
      <c r="N754" s="162"/>
      <c r="O754" s="18"/>
      <c r="P754" s="18"/>
      <c r="Q754" s="18"/>
      <c r="R754" s="18"/>
      <c r="U754" s="148"/>
    </row>
    <row r="755">
      <c r="D755" s="168"/>
      <c r="E755" s="148"/>
      <c r="G755" s="160"/>
      <c r="L755" s="161"/>
      <c r="M755" s="161"/>
      <c r="N755" s="162"/>
      <c r="O755" s="18"/>
      <c r="P755" s="18"/>
      <c r="Q755" s="18"/>
      <c r="R755" s="18"/>
      <c r="U755" s="148"/>
    </row>
    <row r="756">
      <c r="D756" s="168"/>
      <c r="E756" s="148"/>
      <c r="G756" s="160"/>
      <c r="L756" s="161"/>
      <c r="M756" s="161"/>
      <c r="N756" s="162"/>
      <c r="O756" s="18"/>
      <c r="P756" s="18"/>
      <c r="Q756" s="18"/>
      <c r="R756" s="18"/>
      <c r="U756" s="148"/>
    </row>
    <row r="757">
      <c r="D757" s="168"/>
      <c r="E757" s="148"/>
      <c r="G757" s="160"/>
      <c r="L757" s="161"/>
      <c r="M757" s="161"/>
      <c r="N757" s="162"/>
      <c r="O757" s="18"/>
      <c r="P757" s="18"/>
      <c r="Q757" s="18"/>
      <c r="R757" s="18"/>
      <c r="U757" s="148"/>
    </row>
    <row r="758">
      <c r="D758" s="168"/>
      <c r="E758" s="148"/>
      <c r="G758" s="160"/>
      <c r="L758" s="161"/>
      <c r="M758" s="161"/>
      <c r="N758" s="162"/>
      <c r="O758" s="18"/>
      <c r="P758" s="18"/>
      <c r="Q758" s="18"/>
      <c r="R758" s="18"/>
      <c r="U758" s="148"/>
    </row>
    <row r="759">
      <c r="D759" s="168"/>
      <c r="E759" s="148"/>
      <c r="G759" s="160"/>
      <c r="L759" s="161"/>
      <c r="M759" s="161"/>
      <c r="N759" s="162"/>
      <c r="O759" s="18"/>
      <c r="P759" s="18"/>
      <c r="Q759" s="18"/>
      <c r="R759" s="18"/>
      <c r="U759" s="148"/>
    </row>
    <row r="760">
      <c r="D760" s="168"/>
      <c r="E760" s="148"/>
      <c r="G760" s="160"/>
      <c r="L760" s="161"/>
      <c r="M760" s="161"/>
      <c r="N760" s="162"/>
      <c r="O760" s="18"/>
      <c r="P760" s="18"/>
      <c r="Q760" s="18"/>
      <c r="R760" s="18"/>
      <c r="U760" s="148"/>
    </row>
    <row r="761">
      <c r="D761" s="168"/>
      <c r="E761" s="148"/>
      <c r="G761" s="160"/>
      <c r="L761" s="161"/>
      <c r="M761" s="161"/>
      <c r="N761" s="162"/>
      <c r="O761" s="18"/>
      <c r="P761" s="18"/>
      <c r="Q761" s="18"/>
      <c r="R761" s="18"/>
      <c r="U761" s="148"/>
    </row>
    <row r="762">
      <c r="D762" s="168"/>
      <c r="E762" s="148"/>
      <c r="G762" s="160"/>
      <c r="L762" s="161"/>
      <c r="M762" s="161"/>
      <c r="N762" s="162"/>
      <c r="O762" s="18"/>
      <c r="P762" s="18"/>
      <c r="Q762" s="18"/>
      <c r="R762" s="18"/>
      <c r="U762" s="148"/>
    </row>
    <row r="763">
      <c r="D763" s="168"/>
      <c r="E763" s="148"/>
      <c r="G763" s="160"/>
      <c r="L763" s="161"/>
      <c r="M763" s="161"/>
      <c r="N763" s="162"/>
      <c r="O763" s="18"/>
      <c r="P763" s="18"/>
      <c r="Q763" s="18"/>
      <c r="R763" s="18"/>
      <c r="U763" s="148"/>
    </row>
    <row r="764">
      <c r="D764" s="168"/>
      <c r="E764" s="148"/>
      <c r="G764" s="160"/>
      <c r="L764" s="161"/>
      <c r="M764" s="161"/>
      <c r="N764" s="162"/>
      <c r="O764" s="18"/>
      <c r="P764" s="18"/>
      <c r="Q764" s="18"/>
      <c r="R764" s="18"/>
      <c r="U764" s="148"/>
    </row>
    <row r="765">
      <c r="D765" s="168"/>
      <c r="E765" s="148"/>
      <c r="G765" s="160"/>
      <c r="L765" s="161"/>
      <c r="M765" s="161"/>
      <c r="N765" s="162"/>
      <c r="O765" s="18"/>
      <c r="P765" s="18"/>
      <c r="Q765" s="18"/>
      <c r="R765" s="18"/>
      <c r="U765" s="148"/>
    </row>
    <row r="766">
      <c r="D766" s="168"/>
      <c r="E766" s="148"/>
      <c r="G766" s="160"/>
      <c r="L766" s="161"/>
      <c r="M766" s="161"/>
      <c r="N766" s="162"/>
      <c r="O766" s="18"/>
      <c r="P766" s="18"/>
      <c r="Q766" s="18"/>
      <c r="R766" s="18"/>
      <c r="U766" s="148"/>
    </row>
    <row r="767">
      <c r="D767" s="168"/>
      <c r="E767" s="148"/>
      <c r="G767" s="160"/>
      <c r="L767" s="161"/>
      <c r="M767" s="161"/>
      <c r="N767" s="162"/>
      <c r="O767" s="18"/>
      <c r="P767" s="18"/>
      <c r="Q767" s="18"/>
      <c r="R767" s="18"/>
      <c r="U767" s="148"/>
    </row>
    <row r="768">
      <c r="D768" s="168"/>
      <c r="E768" s="148"/>
      <c r="G768" s="160"/>
      <c r="L768" s="161"/>
      <c r="M768" s="161"/>
      <c r="N768" s="162"/>
      <c r="O768" s="18"/>
      <c r="P768" s="18"/>
      <c r="Q768" s="18"/>
      <c r="R768" s="18"/>
      <c r="U768" s="148"/>
    </row>
    <row r="769">
      <c r="D769" s="168"/>
      <c r="E769" s="148"/>
      <c r="G769" s="160"/>
      <c r="L769" s="161"/>
      <c r="M769" s="161"/>
      <c r="N769" s="162"/>
      <c r="O769" s="18"/>
      <c r="P769" s="18"/>
      <c r="Q769" s="18"/>
      <c r="R769" s="18"/>
      <c r="U769" s="148"/>
    </row>
    <row r="770">
      <c r="D770" s="168"/>
      <c r="E770" s="148"/>
      <c r="G770" s="160"/>
      <c r="L770" s="161"/>
      <c r="M770" s="161"/>
      <c r="N770" s="162"/>
      <c r="O770" s="18"/>
      <c r="P770" s="18"/>
      <c r="Q770" s="18"/>
      <c r="R770" s="18"/>
      <c r="U770" s="148"/>
    </row>
    <row r="771">
      <c r="D771" s="168"/>
      <c r="E771" s="148"/>
      <c r="G771" s="160"/>
      <c r="L771" s="161"/>
      <c r="M771" s="161"/>
      <c r="N771" s="162"/>
      <c r="O771" s="18"/>
      <c r="P771" s="18"/>
      <c r="Q771" s="18"/>
      <c r="R771" s="18"/>
      <c r="U771" s="148"/>
    </row>
    <row r="772">
      <c r="D772" s="168"/>
      <c r="E772" s="148"/>
      <c r="G772" s="160"/>
      <c r="L772" s="161"/>
      <c r="M772" s="161"/>
      <c r="N772" s="162"/>
      <c r="O772" s="18"/>
      <c r="P772" s="18"/>
      <c r="Q772" s="18"/>
      <c r="R772" s="18"/>
      <c r="U772" s="148"/>
    </row>
    <row r="773">
      <c r="D773" s="168"/>
      <c r="E773" s="148"/>
      <c r="G773" s="160"/>
      <c r="L773" s="161"/>
      <c r="M773" s="161"/>
      <c r="N773" s="162"/>
      <c r="O773" s="18"/>
      <c r="P773" s="18"/>
      <c r="Q773" s="18"/>
      <c r="R773" s="18"/>
      <c r="U773" s="148"/>
    </row>
    <row r="774">
      <c r="D774" s="168"/>
      <c r="E774" s="148"/>
      <c r="G774" s="160"/>
      <c r="L774" s="161"/>
      <c r="M774" s="161"/>
      <c r="N774" s="162"/>
      <c r="O774" s="18"/>
      <c r="P774" s="18"/>
      <c r="Q774" s="18"/>
      <c r="R774" s="18"/>
      <c r="U774" s="148"/>
    </row>
    <row r="775">
      <c r="D775" s="168"/>
      <c r="E775" s="148"/>
      <c r="G775" s="160"/>
      <c r="L775" s="161"/>
      <c r="M775" s="161"/>
      <c r="N775" s="162"/>
      <c r="O775" s="18"/>
      <c r="P775" s="18"/>
      <c r="Q775" s="18"/>
      <c r="R775" s="18"/>
      <c r="U775" s="148"/>
    </row>
    <row r="776">
      <c r="D776" s="168"/>
      <c r="E776" s="148"/>
      <c r="G776" s="160"/>
      <c r="L776" s="161"/>
      <c r="M776" s="161"/>
      <c r="N776" s="162"/>
      <c r="O776" s="18"/>
      <c r="P776" s="18"/>
      <c r="Q776" s="18"/>
      <c r="R776" s="18"/>
      <c r="U776" s="148"/>
    </row>
    <row r="777">
      <c r="D777" s="168"/>
      <c r="E777" s="148"/>
      <c r="G777" s="160"/>
      <c r="L777" s="161"/>
      <c r="M777" s="161"/>
      <c r="N777" s="162"/>
      <c r="O777" s="18"/>
      <c r="P777" s="18"/>
      <c r="Q777" s="18"/>
      <c r="R777" s="18"/>
      <c r="U777" s="148"/>
    </row>
    <row r="778">
      <c r="D778" s="168"/>
      <c r="E778" s="148"/>
      <c r="G778" s="160"/>
      <c r="L778" s="161"/>
      <c r="M778" s="161"/>
      <c r="N778" s="162"/>
      <c r="O778" s="18"/>
      <c r="P778" s="18"/>
      <c r="Q778" s="18"/>
      <c r="R778" s="18"/>
      <c r="U778" s="148"/>
    </row>
    <row r="779">
      <c r="D779" s="168"/>
      <c r="E779" s="148"/>
      <c r="G779" s="160"/>
      <c r="L779" s="161"/>
      <c r="M779" s="161"/>
      <c r="N779" s="162"/>
      <c r="O779" s="18"/>
      <c r="P779" s="18"/>
      <c r="Q779" s="18"/>
      <c r="R779" s="18"/>
      <c r="U779" s="148"/>
    </row>
    <row r="780">
      <c r="D780" s="168"/>
      <c r="E780" s="148"/>
      <c r="G780" s="160"/>
      <c r="L780" s="161"/>
      <c r="M780" s="161"/>
      <c r="N780" s="162"/>
      <c r="O780" s="18"/>
      <c r="P780" s="18"/>
      <c r="Q780" s="18"/>
      <c r="R780" s="18"/>
      <c r="U780" s="148"/>
    </row>
    <row r="781">
      <c r="D781" s="168"/>
      <c r="E781" s="148"/>
      <c r="G781" s="160"/>
      <c r="L781" s="161"/>
      <c r="M781" s="161"/>
      <c r="N781" s="162"/>
      <c r="O781" s="18"/>
      <c r="P781" s="18"/>
      <c r="Q781" s="18"/>
      <c r="R781" s="18"/>
      <c r="U781" s="148"/>
    </row>
    <row r="782">
      <c r="D782" s="168"/>
      <c r="E782" s="148"/>
      <c r="G782" s="160"/>
      <c r="L782" s="161"/>
      <c r="M782" s="161"/>
      <c r="N782" s="162"/>
      <c r="O782" s="18"/>
      <c r="P782" s="18"/>
      <c r="Q782" s="18"/>
      <c r="R782" s="18"/>
      <c r="U782" s="148"/>
    </row>
    <row r="783">
      <c r="D783" s="168"/>
      <c r="E783" s="148"/>
      <c r="G783" s="160"/>
      <c r="L783" s="161"/>
      <c r="M783" s="161"/>
      <c r="N783" s="162"/>
      <c r="O783" s="18"/>
      <c r="P783" s="18"/>
      <c r="Q783" s="18"/>
      <c r="R783" s="18"/>
      <c r="U783" s="148"/>
    </row>
    <row r="784">
      <c r="D784" s="168"/>
      <c r="E784" s="148"/>
      <c r="G784" s="160"/>
      <c r="L784" s="161"/>
      <c r="M784" s="161"/>
      <c r="N784" s="162"/>
      <c r="O784" s="18"/>
      <c r="P784" s="18"/>
      <c r="Q784" s="18"/>
      <c r="R784" s="18"/>
      <c r="U784" s="148"/>
    </row>
    <row r="785">
      <c r="D785" s="168"/>
      <c r="E785" s="148"/>
      <c r="G785" s="160"/>
      <c r="L785" s="161"/>
      <c r="M785" s="161"/>
      <c r="N785" s="162"/>
      <c r="O785" s="18"/>
      <c r="P785" s="18"/>
      <c r="Q785" s="18"/>
      <c r="R785" s="18"/>
      <c r="U785" s="148"/>
    </row>
    <row r="786">
      <c r="D786" s="168"/>
      <c r="E786" s="148"/>
      <c r="G786" s="160"/>
      <c r="L786" s="161"/>
      <c r="M786" s="161"/>
      <c r="N786" s="162"/>
      <c r="O786" s="18"/>
      <c r="P786" s="18"/>
      <c r="Q786" s="18"/>
      <c r="R786" s="18"/>
      <c r="U786" s="148"/>
    </row>
    <row r="787">
      <c r="D787" s="168"/>
      <c r="E787" s="148"/>
      <c r="G787" s="160"/>
      <c r="L787" s="161"/>
      <c r="M787" s="161"/>
      <c r="N787" s="162"/>
      <c r="O787" s="18"/>
      <c r="P787" s="18"/>
      <c r="Q787" s="18"/>
      <c r="R787" s="18"/>
      <c r="U787" s="148"/>
    </row>
    <row r="788">
      <c r="D788" s="168"/>
      <c r="E788" s="148"/>
      <c r="G788" s="160"/>
      <c r="L788" s="161"/>
      <c r="M788" s="161"/>
      <c r="N788" s="162"/>
      <c r="O788" s="18"/>
      <c r="P788" s="18"/>
      <c r="Q788" s="18"/>
      <c r="R788" s="18"/>
      <c r="U788" s="148"/>
    </row>
    <row r="789">
      <c r="D789" s="168"/>
      <c r="E789" s="148"/>
      <c r="G789" s="160"/>
      <c r="L789" s="161"/>
      <c r="M789" s="161"/>
      <c r="N789" s="162"/>
      <c r="O789" s="18"/>
      <c r="P789" s="18"/>
      <c r="Q789" s="18"/>
      <c r="R789" s="18"/>
      <c r="U789" s="148"/>
    </row>
    <row r="790">
      <c r="D790" s="168"/>
      <c r="E790" s="148"/>
      <c r="G790" s="160"/>
      <c r="L790" s="161"/>
      <c r="M790" s="161"/>
      <c r="N790" s="162"/>
      <c r="O790" s="18"/>
      <c r="P790" s="18"/>
      <c r="Q790" s="18"/>
      <c r="R790" s="18"/>
      <c r="U790" s="148"/>
    </row>
    <row r="791">
      <c r="D791" s="168"/>
      <c r="E791" s="148"/>
      <c r="G791" s="160"/>
      <c r="L791" s="161"/>
      <c r="M791" s="161"/>
      <c r="N791" s="162"/>
      <c r="O791" s="18"/>
      <c r="P791" s="18"/>
      <c r="Q791" s="18"/>
      <c r="R791" s="18"/>
      <c r="U791" s="148"/>
    </row>
    <row r="792">
      <c r="D792" s="168"/>
      <c r="E792" s="148"/>
      <c r="G792" s="160"/>
      <c r="L792" s="161"/>
      <c r="M792" s="161"/>
      <c r="N792" s="162"/>
      <c r="O792" s="18"/>
      <c r="P792" s="18"/>
      <c r="Q792" s="18"/>
      <c r="R792" s="18"/>
      <c r="U792" s="148"/>
    </row>
    <row r="793">
      <c r="D793" s="168"/>
      <c r="E793" s="148"/>
      <c r="G793" s="160"/>
      <c r="L793" s="161"/>
      <c r="M793" s="161"/>
      <c r="N793" s="162"/>
      <c r="O793" s="18"/>
      <c r="P793" s="18"/>
      <c r="Q793" s="18"/>
      <c r="R793" s="18"/>
      <c r="U793" s="148"/>
    </row>
    <row r="794">
      <c r="D794" s="168"/>
      <c r="E794" s="148"/>
      <c r="G794" s="160"/>
      <c r="L794" s="161"/>
      <c r="M794" s="161"/>
      <c r="N794" s="162"/>
      <c r="O794" s="18"/>
      <c r="P794" s="18"/>
      <c r="Q794" s="18"/>
      <c r="R794" s="18"/>
      <c r="U794" s="148"/>
    </row>
    <row r="795">
      <c r="D795" s="168"/>
      <c r="E795" s="148"/>
      <c r="G795" s="160"/>
      <c r="L795" s="161"/>
      <c r="M795" s="161"/>
      <c r="N795" s="162"/>
      <c r="O795" s="18"/>
      <c r="P795" s="18"/>
      <c r="Q795" s="18"/>
      <c r="R795" s="18"/>
      <c r="U795" s="148"/>
    </row>
    <row r="796">
      <c r="D796" s="168"/>
      <c r="E796" s="148"/>
      <c r="G796" s="160"/>
      <c r="L796" s="161"/>
      <c r="M796" s="161"/>
      <c r="N796" s="162"/>
      <c r="O796" s="18"/>
      <c r="P796" s="18"/>
      <c r="Q796" s="18"/>
      <c r="R796" s="18"/>
      <c r="U796" s="148"/>
    </row>
    <row r="797">
      <c r="D797" s="168"/>
      <c r="E797" s="148"/>
      <c r="G797" s="160"/>
      <c r="L797" s="161"/>
      <c r="M797" s="161"/>
      <c r="N797" s="162"/>
      <c r="O797" s="18"/>
      <c r="P797" s="18"/>
      <c r="Q797" s="18"/>
      <c r="R797" s="18"/>
      <c r="U797" s="148"/>
    </row>
    <row r="798">
      <c r="D798" s="168"/>
      <c r="E798" s="148"/>
      <c r="G798" s="160"/>
      <c r="L798" s="161"/>
      <c r="M798" s="161"/>
      <c r="N798" s="162"/>
      <c r="O798" s="18"/>
      <c r="P798" s="18"/>
      <c r="Q798" s="18"/>
      <c r="R798" s="18"/>
      <c r="U798" s="148"/>
    </row>
    <row r="799">
      <c r="D799" s="168"/>
      <c r="E799" s="148"/>
      <c r="G799" s="160"/>
      <c r="L799" s="161"/>
      <c r="M799" s="161"/>
      <c r="N799" s="162"/>
      <c r="O799" s="18"/>
      <c r="P799" s="18"/>
      <c r="Q799" s="18"/>
      <c r="R799" s="18"/>
      <c r="U799" s="148"/>
    </row>
    <row r="800">
      <c r="D800" s="168"/>
      <c r="E800" s="148"/>
      <c r="G800" s="160"/>
      <c r="L800" s="161"/>
      <c r="M800" s="161"/>
      <c r="N800" s="162"/>
      <c r="O800" s="18"/>
      <c r="P800" s="18"/>
      <c r="Q800" s="18"/>
      <c r="R800" s="18"/>
      <c r="U800" s="148"/>
    </row>
    <row r="801">
      <c r="D801" s="168"/>
      <c r="E801" s="148"/>
      <c r="G801" s="160"/>
      <c r="L801" s="161"/>
      <c r="M801" s="161"/>
      <c r="N801" s="162"/>
      <c r="O801" s="18"/>
      <c r="P801" s="18"/>
      <c r="Q801" s="18"/>
      <c r="R801" s="18"/>
      <c r="U801" s="148"/>
    </row>
    <row r="802">
      <c r="D802" s="168"/>
      <c r="E802" s="148"/>
      <c r="G802" s="160"/>
      <c r="L802" s="161"/>
      <c r="M802" s="161"/>
      <c r="N802" s="162"/>
      <c r="O802" s="18"/>
      <c r="P802" s="18"/>
      <c r="Q802" s="18"/>
      <c r="R802" s="18"/>
      <c r="U802" s="148"/>
    </row>
    <row r="803">
      <c r="D803" s="168"/>
      <c r="E803" s="148"/>
      <c r="G803" s="160"/>
      <c r="L803" s="161"/>
      <c r="M803" s="161"/>
      <c r="N803" s="162"/>
      <c r="O803" s="18"/>
      <c r="P803" s="18"/>
      <c r="Q803" s="18"/>
      <c r="R803" s="18"/>
      <c r="U803" s="148"/>
    </row>
    <row r="804">
      <c r="D804" s="168"/>
      <c r="E804" s="148"/>
      <c r="G804" s="160"/>
      <c r="L804" s="161"/>
      <c r="M804" s="161"/>
      <c r="N804" s="162"/>
      <c r="O804" s="18"/>
      <c r="P804" s="18"/>
      <c r="Q804" s="18"/>
      <c r="R804" s="18"/>
      <c r="U804" s="148"/>
    </row>
    <row r="805">
      <c r="D805" s="168"/>
      <c r="E805" s="148"/>
      <c r="G805" s="160"/>
      <c r="L805" s="161"/>
      <c r="M805" s="161"/>
      <c r="N805" s="162"/>
      <c r="O805" s="18"/>
      <c r="P805" s="18"/>
      <c r="Q805" s="18"/>
      <c r="R805" s="18"/>
      <c r="U805" s="148"/>
    </row>
    <row r="806">
      <c r="D806" s="168"/>
      <c r="E806" s="148"/>
      <c r="G806" s="160"/>
      <c r="L806" s="161"/>
      <c r="M806" s="161"/>
      <c r="N806" s="162"/>
      <c r="O806" s="18"/>
      <c r="P806" s="18"/>
      <c r="Q806" s="18"/>
      <c r="R806" s="18"/>
      <c r="U806" s="148"/>
    </row>
    <row r="807">
      <c r="D807" s="168"/>
      <c r="E807" s="148"/>
      <c r="G807" s="160"/>
      <c r="L807" s="161"/>
      <c r="M807" s="161"/>
      <c r="N807" s="162"/>
      <c r="O807" s="18"/>
      <c r="P807" s="18"/>
      <c r="Q807" s="18"/>
      <c r="R807" s="18"/>
      <c r="U807" s="148"/>
    </row>
    <row r="808">
      <c r="D808" s="168"/>
      <c r="E808" s="148"/>
      <c r="G808" s="160"/>
      <c r="L808" s="161"/>
      <c r="M808" s="161"/>
      <c r="N808" s="162"/>
      <c r="O808" s="18"/>
      <c r="P808" s="18"/>
      <c r="Q808" s="18"/>
      <c r="R808" s="18"/>
      <c r="U808" s="148"/>
    </row>
    <row r="809">
      <c r="D809" s="168"/>
      <c r="E809" s="148"/>
      <c r="G809" s="160"/>
      <c r="L809" s="161"/>
      <c r="M809" s="161"/>
      <c r="N809" s="162"/>
      <c r="O809" s="18"/>
      <c r="P809" s="18"/>
      <c r="Q809" s="18"/>
      <c r="R809" s="18"/>
      <c r="U809" s="148"/>
    </row>
    <row r="810">
      <c r="D810" s="168"/>
      <c r="E810" s="148"/>
      <c r="G810" s="160"/>
      <c r="L810" s="161"/>
      <c r="M810" s="161"/>
      <c r="N810" s="162"/>
      <c r="O810" s="18"/>
      <c r="P810" s="18"/>
      <c r="Q810" s="18"/>
      <c r="R810" s="18"/>
      <c r="U810" s="148"/>
    </row>
    <row r="811">
      <c r="D811" s="168"/>
      <c r="E811" s="148"/>
      <c r="G811" s="160"/>
      <c r="L811" s="161"/>
      <c r="M811" s="161"/>
      <c r="N811" s="162"/>
      <c r="O811" s="18"/>
      <c r="P811" s="18"/>
      <c r="Q811" s="18"/>
      <c r="R811" s="18"/>
      <c r="U811" s="148"/>
    </row>
    <row r="812">
      <c r="D812" s="168"/>
      <c r="E812" s="148"/>
      <c r="G812" s="160"/>
      <c r="L812" s="161"/>
      <c r="M812" s="161"/>
      <c r="N812" s="162"/>
      <c r="O812" s="18"/>
      <c r="P812" s="18"/>
      <c r="Q812" s="18"/>
      <c r="R812" s="18"/>
      <c r="U812" s="148"/>
    </row>
    <row r="813">
      <c r="D813" s="168"/>
      <c r="E813" s="148"/>
      <c r="G813" s="160"/>
      <c r="L813" s="161"/>
      <c r="M813" s="161"/>
      <c r="N813" s="162"/>
      <c r="O813" s="18"/>
      <c r="P813" s="18"/>
      <c r="Q813" s="18"/>
      <c r="R813" s="18"/>
      <c r="U813" s="148"/>
    </row>
    <row r="814">
      <c r="D814" s="168"/>
      <c r="E814" s="148"/>
      <c r="G814" s="160"/>
      <c r="L814" s="161"/>
      <c r="M814" s="161"/>
      <c r="N814" s="162"/>
      <c r="O814" s="18"/>
      <c r="P814" s="18"/>
      <c r="Q814" s="18"/>
      <c r="R814" s="18"/>
      <c r="U814" s="148"/>
    </row>
    <row r="815">
      <c r="D815" s="168"/>
      <c r="E815" s="148"/>
      <c r="G815" s="160"/>
      <c r="L815" s="161"/>
      <c r="M815" s="161"/>
      <c r="N815" s="162"/>
      <c r="O815" s="18"/>
      <c r="P815" s="18"/>
      <c r="Q815" s="18"/>
      <c r="R815" s="18"/>
      <c r="U815" s="148"/>
    </row>
    <row r="816">
      <c r="D816" s="168"/>
      <c r="E816" s="148"/>
      <c r="G816" s="160"/>
      <c r="L816" s="161"/>
      <c r="M816" s="161"/>
      <c r="N816" s="162"/>
      <c r="O816" s="18"/>
      <c r="P816" s="18"/>
      <c r="Q816" s="18"/>
      <c r="R816" s="18"/>
      <c r="U816" s="148"/>
    </row>
    <row r="817">
      <c r="D817" s="168"/>
      <c r="E817" s="148"/>
      <c r="G817" s="160"/>
      <c r="L817" s="161"/>
      <c r="M817" s="161"/>
      <c r="N817" s="162"/>
      <c r="O817" s="18"/>
      <c r="P817" s="18"/>
      <c r="Q817" s="18"/>
      <c r="R817" s="18"/>
      <c r="U817" s="148"/>
    </row>
    <row r="818">
      <c r="D818" s="168"/>
      <c r="E818" s="148"/>
      <c r="G818" s="160"/>
      <c r="L818" s="161"/>
      <c r="M818" s="161"/>
      <c r="N818" s="162"/>
      <c r="O818" s="18"/>
      <c r="P818" s="18"/>
      <c r="Q818" s="18"/>
      <c r="R818" s="18"/>
      <c r="U818" s="148"/>
    </row>
    <row r="819">
      <c r="D819" s="168"/>
      <c r="E819" s="148"/>
      <c r="G819" s="160"/>
      <c r="L819" s="161"/>
      <c r="M819" s="161"/>
      <c r="N819" s="162"/>
      <c r="O819" s="18"/>
      <c r="P819" s="18"/>
      <c r="Q819" s="18"/>
      <c r="R819" s="18"/>
      <c r="U819" s="148"/>
    </row>
    <row r="820">
      <c r="D820" s="168"/>
      <c r="E820" s="148"/>
      <c r="G820" s="160"/>
      <c r="L820" s="161"/>
      <c r="M820" s="161"/>
      <c r="N820" s="162"/>
      <c r="O820" s="18"/>
      <c r="P820" s="18"/>
      <c r="Q820" s="18"/>
      <c r="R820" s="18"/>
      <c r="U820" s="148"/>
    </row>
    <row r="821">
      <c r="D821" s="168"/>
      <c r="E821" s="148"/>
      <c r="G821" s="160"/>
      <c r="L821" s="161"/>
      <c r="M821" s="161"/>
      <c r="N821" s="162"/>
      <c r="O821" s="18"/>
      <c r="P821" s="18"/>
      <c r="Q821" s="18"/>
      <c r="R821" s="18"/>
      <c r="U821" s="148"/>
    </row>
    <row r="822">
      <c r="D822" s="168"/>
      <c r="E822" s="148"/>
      <c r="G822" s="160"/>
      <c r="L822" s="161"/>
      <c r="M822" s="161"/>
      <c r="N822" s="162"/>
      <c r="O822" s="18"/>
      <c r="P822" s="18"/>
      <c r="Q822" s="18"/>
      <c r="R822" s="18"/>
      <c r="U822" s="148"/>
    </row>
    <row r="823">
      <c r="D823" s="168"/>
      <c r="E823" s="148"/>
      <c r="G823" s="160"/>
      <c r="L823" s="161"/>
      <c r="M823" s="161"/>
      <c r="N823" s="162"/>
      <c r="O823" s="18"/>
      <c r="P823" s="18"/>
      <c r="Q823" s="18"/>
      <c r="R823" s="18"/>
      <c r="U823" s="148"/>
    </row>
    <row r="824">
      <c r="D824" s="168"/>
      <c r="E824" s="148"/>
      <c r="G824" s="160"/>
      <c r="L824" s="161"/>
      <c r="M824" s="161"/>
      <c r="N824" s="162"/>
      <c r="O824" s="18"/>
      <c r="P824" s="18"/>
      <c r="Q824" s="18"/>
      <c r="R824" s="18"/>
      <c r="U824" s="148"/>
    </row>
    <row r="825">
      <c r="D825" s="168"/>
      <c r="E825" s="148"/>
      <c r="G825" s="160"/>
      <c r="L825" s="161"/>
      <c r="M825" s="161"/>
      <c r="N825" s="162"/>
      <c r="O825" s="18"/>
      <c r="P825" s="18"/>
      <c r="Q825" s="18"/>
      <c r="R825" s="18"/>
      <c r="U825" s="148"/>
    </row>
    <row r="826">
      <c r="D826" s="168"/>
      <c r="E826" s="148"/>
      <c r="G826" s="160"/>
      <c r="L826" s="161"/>
      <c r="M826" s="161"/>
      <c r="N826" s="162"/>
      <c r="O826" s="18"/>
      <c r="P826" s="18"/>
      <c r="Q826" s="18"/>
      <c r="R826" s="18"/>
      <c r="U826" s="148"/>
    </row>
    <row r="827">
      <c r="D827" s="168"/>
      <c r="E827" s="148"/>
      <c r="G827" s="160"/>
      <c r="L827" s="161"/>
      <c r="M827" s="161"/>
      <c r="N827" s="162"/>
      <c r="O827" s="18"/>
      <c r="P827" s="18"/>
      <c r="Q827" s="18"/>
      <c r="R827" s="18"/>
      <c r="U827" s="148"/>
    </row>
    <row r="828">
      <c r="D828" s="168"/>
      <c r="E828" s="148"/>
      <c r="G828" s="160"/>
      <c r="L828" s="161"/>
      <c r="M828" s="161"/>
      <c r="N828" s="162"/>
      <c r="O828" s="18"/>
      <c r="P828" s="18"/>
      <c r="Q828" s="18"/>
      <c r="R828" s="18"/>
      <c r="U828" s="148"/>
    </row>
    <row r="829">
      <c r="D829" s="168"/>
      <c r="E829" s="148"/>
      <c r="G829" s="160"/>
      <c r="L829" s="161"/>
      <c r="M829" s="161"/>
      <c r="N829" s="162"/>
      <c r="O829" s="18"/>
      <c r="P829" s="18"/>
      <c r="Q829" s="18"/>
      <c r="R829" s="18"/>
      <c r="U829" s="148"/>
    </row>
    <row r="830">
      <c r="D830" s="168"/>
      <c r="E830" s="148"/>
      <c r="G830" s="160"/>
      <c r="L830" s="161"/>
      <c r="M830" s="161"/>
      <c r="N830" s="162"/>
      <c r="O830" s="18"/>
      <c r="P830" s="18"/>
      <c r="Q830" s="18"/>
      <c r="R830" s="18"/>
      <c r="U830" s="148"/>
    </row>
    <row r="831">
      <c r="D831" s="168"/>
      <c r="E831" s="148"/>
      <c r="G831" s="160"/>
      <c r="L831" s="161"/>
      <c r="M831" s="161"/>
      <c r="N831" s="162"/>
      <c r="O831" s="18"/>
      <c r="P831" s="18"/>
      <c r="Q831" s="18"/>
      <c r="R831" s="18"/>
      <c r="U831" s="148"/>
    </row>
    <row r="832">
      <c r="D832" s="168"/>
      <c r="E832" s="148"/>
      <c r="G832" s="160"/>
      <c r="L832" s="161"/>
      <c r="M832" s="161"/>
      <c r="N832" s="162"/>
      <c r="O832" s="18"/>
      <c r="P832" s="18"/>
      <c r="Q832" s="18"/>
      <c r="R832" s="18"/>
      <c r="U832" s="148"/>
    </row>
    <row r="833">
      <c r="D833" s="168"/>
      <c r="E833" s="148"/>
      <c r="G833" s="160"/>
      <c r="L833" s="161"/>
      <c r="M833" s="161"/>
      <c r="N833" s="162"/>
      <c r="O833" s="18"/>
      <c r="P833" s="18"/>
      <c r="Q833" s="18"/>
      <c r="R833" s="18"/>
      <c r="U833" s="148"/>
    </row>
    <row r="834">
      <c r="D834" s="168"/>
      <c r="E834" s="148"/>
      <c r="G834" s="160"/>
      <c r="L834" s="161"/>
      <c r="M834" s="161"/>
      <c r="N834" s="162"/>
      <c r="O834" s="18"/>
      <c r="P834" s="18"/>
      <c r="Q834" s="18"/>
      <c r="R834" s="18"/>
      <c r="U834" s="148"/>
    </row>
    <row r="835">
      <c r="D835" s="168"/>
      <c r="E835" s="148"/>
      <c r="G835" s="160"/>
      <c r="L835" s="161"/>
      <c r="M835" s="161"/>
      <c r="N835" s="162"/>
      <c r="O835" s="18"/>
      <c r="P835" s="18"/>
      <c r="Q835" s="18"/>
      <c r="R835" s="18"/>
      <c r="U835" s="148"/>
    </row>
    <row r="836">
      <c r="D836" s="168"/>
      <c r="E836" s="148"/>
      <c r="G836" s="160"/>
      <c r="L836" s="161"/>
      <c r="M836" s="161"/>
      <c r="N836" s="162"/>
      <c r="O836" s="18"/>
      <c r="P836" s="18"/>
      <c r="Q836" s="18"/>
      <c r="R836" s="18"/>
      <c r="U836" s="148"/>
    </row>
    <row r="837">
      <c r="D837" s="168"/>
      <c r="E837" s="148"/>
      <c r="G837" s="160"/>
      <c r="L837" s="161"/>
      <c r="M837" s="161"/>
      <c r="N837" s="162"/>
      <c r="O837" s="18"/>
      <c r="P837" s="18"/>
      <c r="Q837" s="18"/>
      <c r="R837" s="18"/>
      <c r="U837" s="148"/>
    </row>
    <row r="838">
      <c r="D838" s="168"/>
      <c r="E838" s="148"/>
      <c r="G838" s="160"/>
      <c r="L838" s="161"/>
      <c r="M838" s="161"/>
      <c r="N838" s="162"/>
      <c r="O838" s="18"/>
      <c r="P838" s="18"/>
      <c r="Q838" s="18"/>
      <c r="R838" s="18"/>
      <c r="U838" s="148"/>
    </row>
    <row r="839">
      <c r="D839" s="168"/>
      <c r="E839" s="148"/>
      <c r="G839" s="160"/>
      <c r="L839" s="161"/>
      <c r="M839" s="161"/>
      <c r="N839" s="162"/>
      <c r="O839" s="18"/>
      <c r="P839" s="18"/>
      <c r="Q839" s="18"/>
      <c r="R839" s="18"/>
      <c r="U839" s="148"/>
    </row>
    <row r="840">
      <c r="D840" s="168"/>
      <c r="E840" s="148"/>
      <c r="G840" s="160"/>
      <c r="L840" s="161"/>
      <c r="M840" s="161"/>
      <c r="N840" s="162"/>
      <c r="O840" s="18"/>
      <c r="P840" s="18"/>
      <c r="Q840" s="18"/>
      <c r="R840" s="18"/>
      <c r="U840" s="148"/>
    </row>
    <row r="841">
      <c r="D841" s="168"/>
      <c r="E841" s="148"/>
      <c r="G841" s="160"/>
      <c r="L841" s="161"/>
      <c r="M841" s="161"/>
      <c r="N841" s="162"/>
      <c r="O841" s="18"/>
      <c r="P841" s="18"/>
      <c r="Q841" s="18"/>
      <c r="R841" s="18"/>
      <c r="U841" s="148"/>
    </row>
    <row r="842">
      <c r="D842" s="168"/>
      <c r="E842" s="148"/>
      <c r="G842" s="160"/>
      <c r="L842" s="161"/>
      <c r="M842" s="161"/>
      <c r="N842" s="162"/>
      <c r="O842" s="18"/>
      <c r="P842" s="18"/>
      <c r="Q842" s="18"/>
      <c r="R842" s="18"/>
      <c r="U842" s="148"/>
    </row>
    <row r="843">
      <c r="D843" s="168"/>
      <c r="E843" s="148"/>
      <c r="G843" s="160"/>
      <c r="L843" s="161"/>
      <c r="M843" s="161"/>
      <c r="N843" s="162"/>
      <c r="O843" s="18"/>
      <c r="P843" s="18"/>
      <c r="Q843" s="18"/>
      <c r="R843" s="18"/>
      <c r="U843" s="148"/>
    </row>
    <row r="844">
      <c r="D844" s="168"/>
      <c r="E844" s="148"/>
      <c r="G844" s="160"/>
      <c r="L844" s="161"/>
      <c r="M844" s="161"/>
      <c r="N844" s="162"/>
      <c r="O844" s="18"/>
      <c r="P844" s="18"/>
      <c r="Q844" s="18"/>
      <c r="R844" s="18"/>
      <c r="U844" s="148"/>
    </row>
    <row r="845">
      <c r="D845" s="168"/>
      <c r="E845" s="148"/>
      <c r="G845" s="160"/>
      <c r="L845" s="161"/>
      <c r="M845" s="161"/>
      <c r="N845" s="162"/>
      <c r="O845" s="18"/>
      <c r="P845" s="18"/>
      <c r="Q845" s="18"/>
      <c r="R845" s="18"/>
      <c r="U845" s="148"/>
    </row>
    <row r="846">
      <c r="D846" s="168"/>
      <c r="E846" s="148"/>
      <c r="G846" s="160"/>
      <c r="L846" s="161"/>
      <c r="M846" s="161"/>
      <c r="N846" s="162"/>
      <c r="O846" s="18"/>
      <c r="P846" s="18"/>
      <c r="Q846" s="18"/>
      <c r="R846" s="18"/>
      <c r="U846" s="148"/>
    </row>
    <row r="847">
      <c r="D847" s="168"/>
      <c r="E847" s="148"/>
      <c r="G847" s="160"/>
      <c r="L847" s="161"/>
      <c r="M847" s="161"/>
      <c r="N847" s="162"/>
      <c r="O847" s="18"/>
      <c r="P847" s="18"/>
      <c r="Q847" s="18"/>
      <c r="R847" s="18"/>
      <c r="U847" s="148"/>
    </row>
    <row r="848">
      <c r="D848" s="168"/>
      <c r="E848" s="148"/>
      <c r="G848" s="160"/>
      <c r="L848" s="161"/>
      <c r="M848" s="161"/>
      <c r="N848" s="162"/>
      <c r="O848" s="18"/>
      <c r="P848" s="18"/>
      <c r="Q848" s="18"/>
      <c r="R848" s="18"/>
      <c r="U848" s="148"/>
    </row>
    <row r="849">
      <c r="D849" s="168"/>
      <c r="E849" s="148"/>
      <c r="G849" s="160"/>
      <c r="L849" s="161"/>
      <c r="M849" s="161"/>
      <c r="N849" s="162"/>
      <c r="O849" s="18"/>
      <c r="P849" s="18"/>
      <c r="Q849" s="18"/>
      <c r="R849" s="18"/>
      <c r="U849" s="148"/>
    </row>
    <row r="850">
      <c r="D850" s="168"/>
      <c r="E850" s="148"/>
      <c r="G850" s="160"/>
      <c r="L850" s="161"/>
      <c r="M850" s="161"/>
      <c r="N850" s="162"/>
      <c r="O850" s="18"/>
      <c r="P850" s="18"/>
      <c r="Q850" s="18"/>
      <c r="R850" s="18"/>
      <c r="U850" s="148"/>
    </row>
    <row r="851">
      <c r="D851" s="168"/>
      <c r="E851" s="148"/>
      <c r="G851" s="160"/>
      <c r="L851" s="161"/>
      <c r="M851" s="161"/>
      <c r="N851" s="162"/>
      <c r="O851" s="18"/>
      <c r="P851" s="18"/>
      <c r="Q851" s="18"/>
      <c r="R851" s="18"/>
      <c r="U851" s="148"/>
    </row>
    <row r="852">
      <c r="D852" s="168"/>
      <c r="E852" s="148"/>
      <c r="G852" s="160"/>
      <c r="L852" s="161"/>
      <c r="M852" s="161"/>
      <c r="N852" s="162"/>
      <c r="O852" s="18"/>
      <c r="P852" s="18"/>
      <c r="Q852" s="18"/>
      <c r="R852" s="18"/>
      <c r="U852" s="148"/>
    </row>
    <row r="853">
      <c r="D853" s="168"/>
      <c r="E853" s="148"/>
      <c r="G853" s="160"/>
      <c r="L853" s="161"/>
      <c r="M853" s="161"/>
      <c r="N853" s="162"/>
      <c r="O853" s="18"/>
      <c r="P853" s="18"/>
      <c r="Q853" s="18"/>
      <c r="R853" s="18"/>
      <c r="U853" s="148"/>
    </row>
    <row r="854">
      <c r="D854" s="168"/>
      <c r="E854" s="148"/>
      <c r="G854" s="160"/>
      <c r="L854" s="161"/>
      <c r="M854" s="161"/>
      <c r="N854" s="162"/>
      <c r="O854" s="18"/>
      <c r="P854" s="18"/>
      <c r="Q854" s="18"/>
      <c r="R854" s="18"/>
      <c r="U854" s="148"/>
    </row>
    <row r="855">
      <c r="D855" s="168"/>
      <c r="E855" s="148"/>
      <c r="G855" s="160"/>
      <c r="L855" s="161"/>
      <c r="M855" s="161"/>
      <c r="N855" s="162"/>
      <c r="O855" s="18"/>
      <c r="P855" s="18"/>
      <c r="Q855" s="18"/>
      <c r="R855" s="18"/>
      <c r="U855" s="148"/>
    </row>
    <row r="856">
      <c r="D856" s="168"/>
      <c r="E856" s="148"/>
      <c r="G856" s="160"/>
      <c r="L856" s="161"/>
      <c r="M856" s="161"/>
      <c r="N856" s="162"/>
      <c r="O856" s="18"/>
      <c r="P856" s="18"/>
      <c r="Q856" s="18"/>
      <c r="R856" s="18"/>
      <c r="U856" s="148"/>
    </row>
    <row r="857">
      <c r="D857" s="168"/>
      <c r="E857" s="148"/>
      <c r="G857" s="160"/>
      <c r="L857" s="161"/>
      <c r="M857" s="161"/>
      <c r="N857" s="162"/>
      <c r="O857" s="18"/>
      <c r="P857" s="18"/>
      <c r="Q857" s="18"/>
      <c r="R857" s="18"/>
      <c r="U857" s="148"/>
    </row>
    <row r="858">
      <c r="D858" s="168"/>
      <c r="E858" s="148"/>
      <c r="G858" s="160"/>
      <c r="L858" s="161"/>
      <c r="M858" s="161"/>
      <c r="N858" s="162"/>
      <c r="O858" s="18"/>
      <c r="P858" s="18"/>
      <c r="Q858" s="18"/>
      <c r="R858" s="18"/>
      <c r="U858" s="148"/>
    </row>
    <row r="859">
      <c r="D859" s="168"/>
      <c r="E859" s="148"/>
      <c r="G859" s="160"/>
      <c r="L859" s="161"/>
      <c r="M859" s="161"/>
      <c r="N859" s="162"/>
      <c r="O859" s="18"/>
      <c r="P859" s="18"/>
      <c r="Q859" s="18"/>
      <c r="R859" s="18"/>
      <c r="U859" s="148"/>
    </row>
    <row r="860">
      <c r="D860" s="168"/>
      <c r="E860" s="148"/>
      <c r="G860" s="160"/>
      <c r="L860" s="161"/>
      <c r="M860" s="161"/>
      <c r="N860" s="162"/>
      <c r="O860" s="18"/>
      <c r="P860" s="18"/>
      <c r="Q860" s="18"/>
      <c r="R860" s="18"/>
      <c r="U860" s="148"/>
    </row>
    <row r="861">
      <c r="D861" s="168"/>
      <c r="E861" s="148"/>
      <c r="G861" s="160"/>
      <c r="L861" s="161"/>
      <c r="M861" s="161"/>
      <c r="N861" s="162"/>
      <c r="O861" s="18"/>
      <c r="P861" s="18"/>
      <c r="Q861" s="18"/>
      <c r="R861" s="18"/>
      <c r="U861" s="148"/>
    </row>
    <row r="862">
      <c r="D862" s="168"/>
      <c r="E862" s="148"/>
      <c r="G862" s="160"/>
      <c r="L862" s="161"/>
      <c r="M862" s="161"/>
      <c r="N862" s="162"/>
      <c r="O862" s="18"/>
      <c r="P862" s="18"/>
      <c r="Q862" s="18"/>
      <c r="R862" s="18"/>
      <c r="U862" s="148"/>
    </row>
    <row r="863">
      <c r="D863" s="168"/>
      <c r="E863" s="148"/>
      <c r="G863" s="160"/>
      <c r="L863" s="161"/>
      <c r="M863" s="161"/>
      <c r="N863" s="162"/>
      <c r="O863" s="18"/>
      <c r="P863" s="18"/>
      <c r="Q863" s="18"/>
      <c r="R863" s="18"/>
      <c r="U863" s="148"/>
    </row>
    <row r="864">
      <c r="D864" s="168"/>
      <c r="E864" s="148"/>
      <c r="G864" s="160"/>
      <c r="L864" s="161"/>
      <c r="M864" s="161"/>
      <c r="N864" s="162"/>
      <c r="O864" s="18"/>
      <c r="P864" s="18"/>
      <c r="Q864" s="18"/>
      <c r="R864" s="18"/>
      <c r="U864" s="148"/>
    </row>
    <row r="865">
      <c r="D865" s="168"/>
      <c r="E865" s="148"/>
      <c r="G865" s="160"/>
      <c r="L865" s="161"/>
      <c r="M865" s="161"/>
      <c r="N865" s="162"/>
      <c r="O865" s="18"/>
      <c r="P865" s="18"/>
      <c r="Q865" s="18"/>
      <c r="R865" s="18"/>
      <c r="U865" s="148"/>
    </row>
    <row r="866">
      <c r="D866" s="168"/>
      <c r="E866" s="148"/>
      <c r="G866" s="160"/>
      <c r="L866" s="161"/>
      <c r="M866" s="161"/>
      <c r="N866" s="162"/>
      <c r="O866" s="18"/>
      <c r="P866" s="18"/>
      <c r="Q866" s="18"/>
      <c r="R866" s="18"/>
      <c r="U866" s="148"/>
    </row>
    <row r="867">
      <c r="D867" s="168"/>
      <c r="E867" s="148"/>
      <c r="G867" s="160"/>
      <c r="L867" s="161"/>
      <c r="M867" s="161"/>
      <c r="N867" s="162"/>
      <c r="O867" s="18"/>
      <c r="P867" s="18"/>
      <c r="Q867" s="18"/>
      <c r="R867" s="18"/>
      <c r="U867" s="148"/>
    </row>
    <row r="868">
      <c r="D868" s="168"/>
      <c r="E868" s="148"/>
      <c r="G868" s="160"/>
      <c r="L868" s="161"/>
      <c r="M868" s="161"/>
      <c r="N868" s="162"/>
      <c r="O868" s="18"/>
      <c r="P868" s="18"/>
      <c r="Q868" s="18"/>
      <c r="R868" s="18"/>
      <c r="U868" s="148"/>
    </row>
    <row r="869">
      <c r="D869" s="168"/>
      <c r="E869" s="148"/>
      <c r="G869" s="160"/>
      <c r="L869" s="161"/>
      <c r="M869" s="161"/>
      <c r="N869" s="162"/>
      <c r="O869" s="18"/>
      <c r="P869" s="18"/>
      <c r="Q869" s="18"/>
      <c r="R869" s="18"/>
      <c r="U869" s="148"/>
    </row>
    <row r="870">
      <c r="D870" s="168"/>
      <c r="E870" s="148"/>
      <c r="G870" s="160"/>
      <c r="L870" s="161"/>
      <c r="M870" s="161"/>
      <c r="N870" s="162"/>
      <c r="O870" s="18"/>
      <c r="P870" s="18"/>
      <c r="Q870" s="18"/>
      <c r="R870" s="18"/>
      <c r="U870" s="148"/>
    </row>
    <row r="871">
      <c r="D871" s="168"/>
      <c r="E871" s="148"/>
      <c r="G871" s="160"/>
      <c r="L871" s="161"/>
      <c r="M871" s="161"/>
      <c r="N871" s="162"/>
      <c r="O871" s="18"/>
      <c r="P871" s="18"/>
      <c r="Q871" s="18"/>
      <c r="R871" s="18"/>
      <c r="U871" s="148"/>
    </row>
    <row r="872">
      <c r="D872" s="168"/>
      <c r="E872" s="148"/>
      <c r="G872" s="160"/>
      <c r="L872" s="161"/>
      <c r="M872" s="161"/>
      <c r="N872" s="162"/>
      <c r="O872" s="18"/>
      <c r="P872" s="18"/>
      <c r="Q872" s="18"/>
      <c r="R872" s="18"/>
      <c r="U872" s="148"/>
    </row>
    <row r="873">
      <c r="D873" s="168"/>
      <c r="E873" s="148"/>
      <c r="G873" s="160"/>
      <c r="L873" s="161"/>
      <c r="M873" s="161"/>
      <c r="N873" s="162"/>
      <c r="O873" s="18"/>
      <c r="P873" s="18"/>
      <c r="Q873" s="18"/>
      <c r="R873" s="18"/>
      <c r="U873" s="148"/>
    </row>
    <row r="874">
      <c r="D874" s="168"/>
      <c r="E874" s="148"/>
      <c r="G874" s="160"/>
      <c r="L874" s="161"/>
      <c r="M874" s="161"/>
      <c r="N874" s="162"/>
      <c r="O874" s="18"/>
      <c r="P874" s="18"/>
      <c r="Q874" s="18"/>
      <c r="R874" s="18"/>
      <c r="U874" s="148"/>
    </row>
    <row r="875">
      <c r="D875" s="168"/>
      <c r="E875" s="148"/>
      <c r="G875" s="160"/>
      <c r="L875" s="161"/>
      <c r="M875" s="161"/>
      <c r="N875" s="162"/>
      <c r="O875" s="18"/>
      <c r="P875" s="18"/>
      <c r="Q875" s="18"/>
      <c r="R875" s="18"/>
      <c r="U875" s="148"/>
    </row>
    <row r="876">
      <c r="D876" s="168"/>
      <c r="E876" s="148"/>
      <c r="G876" s="160"/>
      <c r="L876" s="161"/>
      <c r="M876" s="161"/>
      <c r="N876" s="162"/>
      <c r="O876" s="18"/>
      <c r="P876" s="18"/>
      <c r="Q876" s="18"/>
      <c r="R876" s="18"/>
      <c r="U876" s="148"/>
    </row>
    <row r="877">
      <c r="D877" s="168"/>
      <c r="E877" s="148"/>
      <c r="G877" s="160"/>
      <c r="L877" s="161"/>
      <c r="M877" s="161"/>
      <c r="N877" s="162"/>
      <c r="O877" s="18"/>
      <c r="P877" s="18"/>
      <c r="Q877" s="18"/>
      <c r="R877" s="18"/>
      <c r="U877" s="148"/>
    </row>
    <row r="878">
      <c r="D878" s="168"/>
      <c r="E878" s="148"/>
      <c r="G878" s="160"/>
      <c r="L878" s="161"/>
      <c r="M878" s="161"/>
      <c r="N878" s="162"/>
      <c r="O878" s="18"/>
      <c r="P878" s="18"/>
      <c r="Q878" s="18"/>
      <c r="R878" s="18"/>
      <c r="U878" s="148"/>
    </row>
    <row r="879">
      <c r="D879" s="168"/>
      <c r="E879" s="148"/>
      <c r="G879" s="160"/>
      <c r="L879" s="161"/>
      <c r="M879" s="161"/>
      <c r="N879" s="162"/>
      <c r="O879" s="18"/>
      <c r="P879" s="18"/>
      <c r="Q879" s="18"/>
      <c r="R879" s="18"/>
      <c r="U879" s="148"/>
    </row>
    <row r="880">
      <c r="D880" s="168"/>
      <c r="E880" s="148"/>
      <c r="G880" s="160"/>
      <c r="L880" s="161"/>
      <c r="M880" s="161"/>
      <c r="N880" s="162"/>
      <c r="O880" s="18"/>
      <c r="P880" s="18"/>
      <c r="Q880" s="18"/>
      <c r="R880" s="18"/>
      <c r="U880" s="148"/>
    </row>
    <row r="881">
      <c r="D881" s="168"/>
      <c r="E881" s="148"/>
      <c r="G881" s="160"/>
      <c r="L881" s="161"/>
      <c r="M881" s="161"/>
      <c r="N881" s="162"/>
      <c r="O881" s="18"/>
      <c r="P881" s="18"/>
      <c r="Q881" s="18"/>
      <c r="R881" s="18"/>
      <c r="U881" s="148"/>
    </row>
    <row r="882">
      <c r="D882" s="168"/>
      <c r="E882" s="148"/>
      <c r="G882" s="160"/>
      <c r="L882" s="161"/>
      <c r="M882" s="161"/>
      <c r="N882" s="162"/>
      <c r="O882" s="18"/>
      <c r="P882" s="18"/>
      <c r="Q882" s="18"/>
      <c r="R882" s="18"/>
      <c r="U882" s="148"/>
    </row>
    <row r="883">
      <c r="D883" s="168"/>
      <c r="E883" s="148"/>
      <c r="G883" s="160"/>
      <c r="L883" s="161"/>
      <c r="M883" s="161"/>
      <c r="N883" s="162"/>
      <c r="O883" s="18"/>
      <c r="P883" s="18"/>
      <c r="Q883" s="18"/>
      <c r="R883" s="18"/>
      <c r="U883" s="148"/>
    </row>
    <row r="884">
      <c r="D884" s="168"/>
      <c r="E884" s="148"/>
      <c r="G884" s="160"/>
      <c r="L884" s="161"/>
      <c r="M884" s="161"/>
      <c r="N884" s="162"/>
      <c r="O884" s="18"/>
      <c r="P884" s="18"/>
      <c r="Q884" s="18"/>
      <c r="R884" s="18"/>
      <c r="U884" s="148"/>
    </row>
    <row r="885">
      <c r="D885" s="168"/>
      <c r="E885" s="148"/>
      <c r="G885" s="160"/>
      <c r="L885" s="161"/>
      <c r="M885" s="161"/>
      <c r="N885" s="162"/>
      <c r="O885" s="18"/>
      <c r="P885" s="18"/>
      <c r="Q885" s="18"/>
      <c r="R885" s="18"/>
      <c r="U885" s="148"/>
    </row>
    <row r="886">
      <c r="D886" s="168"/>
      <c r="E886" s="148"/>
      <c r="G886" s="160"/>
      <c r="L886" s="161"/>
      <c r="M886" s="161"/>
      <c r="N886" s="162"/>
      <c r="O886" s="18"/>
      <c r="P886" s="18"/>
      <c r="Q886" s="18"/>
      <c r="R886" s="18"/>
      <c r="U886" s="148"/>
    </row>
    <row r="887">
      <c r="D887" s="168"/>
      <c r="E887" s="148"/>
      <c r="G887" s="160"/>
      <c r="L887" s="161"/>
      <c r="M887" s="161"/>
      <c r="N887" s="162"/>
      <c r="O887" s="18"/>
      <c r="P887" s="18"/>
      <c r="Q887" s="18"/>
      <c r="R887" s="18"/>
      <c r="U887" s="148"/>
    </row>
    <row r="888">
      <c r="D888" s="168"/>
      <c r="E888" s="148"/>
      <c r="G888" s="160"/>
      <c r="L888" s="161"/>
      <c r="M888" s="161"/>
      <c r="N888" s="162"/>
      <c r="O888" s="18"/>
      <c r="P888" s="18"/>
      <c r="Q888" s="18"/>
      <c r="R888" s="18"/>
      <c r="U888" s="148"/>
    </row>
    <row r="889">
      <c r="D889" s="168"/>
      <c r="E889" s="148"/>
      <c r="G889" s="160"/>
      <c r="L889" s="161"/>
      <c r="M889" s="161"/>
      <c r="N889" s="162"/>
      <c r="O889" s="18"/>
      <c r="P889" s="18"/>
      <c r="Q889" s="18"/>
      <c r="R889" s="18"/>
      <c r="U889" s="148"/>
    </row>
    <row r="890">
      <c r="D890" s="168"/>
      <c r="E890" s="148"/>
      <c r="G890" s="160"/>
      <c r="L890" s="161"/>
      <c r="M890" s="161"/>
      <c r="N890" s="162"/>
      <c r="O890" s="18"/>
      <c r="P890" s="18"/>
      <c r="Q890" s="18"/>
      <c r="R890" s="18"/>
      <c r="U890" s="148"/>
    </row>
    <row r="891">
      <c r="D891" s="168"/>
      <c r="E891" s="148"/>
      <c r="G891" s="160"/>
      <c r="L891" s="161"/>
      <c r="M891" s="161"/>
      <c r="N891" s="162"/>
      <c r="O891" s="18"/>
      <c r="P891" s="18"/>
      <c r="Q891" s="18"/>
      <c r="R891" s="18"/>
      <c r="U891" s="148"/>
    </row>
    <row r="892">
      <c r="D892" s="168"/>
      <c r="E892" s="148"/>
      <c r="G892" s="160"/>
      <c r="L892" s="161"/>
      <c r="M892" s="161"/>
      <c r="N892" s="162"/>
      <c r="O892" s="18"/>
      <c r="P892" s="18"/>
      <c r="Q892" s="18"/>
      <c r="R892" s="18"/>
      <c r="U892" s="148"/>
    </row>
    <row r="893">
      <c r="D893" s="168"/>
      <c r="E893" s="148"/>
      <c r="G893" s="160"/>
      <c r="L893" s="161"/>
      <c r="M893" s="161"/>
      <c r="N893" s="162"/>
      <c r="O893" s="18"/>
      <c r="P893" s="18"/>
      <c r="Q893" s="18"/>
      <c r="R893" s="18"/>
      <c r="U893" s="148"/>
    </row>
    <row r="894">
      <c r="D894" s="168"/>
      <c r="E894" s="148"/>
      <c r="G894" s="160"/>
      <c r="L894" s="161"/>
      <c r="M894" s="161"/>
      <c r="N894" s="162"/>
      <c r="O894" s="18"/>
      <c r="P894" s="18"/>
      <c r="Q894" s="18"/>
      <c r="R894" s="18"/>
      <c r="U894" s="148"/>
    </row>
    <row r="895">
      <c r="D895" s="168"/>
      <c r="E895" s="148"/>
      <c r="G895" s="160"/>
      <c r="L895" s="161"/>
      <c r="M895" s="161"/>
      <c r="N895" s="162"/>
      <c r="O895" s="18"/>
      <c r="P895" s="18"/>
      <c r="Q895" s="18"/>
      <c r="R895" s="18"/>
      <c r="U895" s="148"/>
    </row>
    <row r="896">
      <c r="D896" s="168"/>
      <c r="E896" s="148"/>
      <c r="G896" s="160"/>
      <c r="L896" s="161"/>
      <c r="M896" s="161"/>
      <c r="N896" s="162"/>
      <c r="O896" s="18"/>
      <c r="P896" s="18"/>
      <c r="Q896" s="18"/>
      <c r="R896" s="18"/>
      <c r="U896" s="148"/>
    </row>
    <row r="897">
      <c r="D897" s="168"/>
      <c r="E897" s="148"/>
      <c r="G897" s="160"/>
      <c r="L897" s="161"/>
      <c r="M897" s="161"/>
      <c r="N897" s="162"/>
      <c r="O897" s="18"/>
      <c r="P897" s="18"/>
      <c r="Q897" s="18"/>
      <c r="R897" s="18"/>
      <c r="U897" s="148"/>
    </row>
    <row r="898">
      <c r="D898" s="168"/>
      <c r="E898" s="148"/>
      <c r="G898" s="160"/>
      <c r="L898" s="161"/>
      <c r="M898" s="161"/>
      <c r="N898" s="162"/>
      <c r="O898" s="18"/>
      <c r="P898" s="18"/>
      <c r="Q898" s="18"/>
      <c r="R898" s="18"/>
      <c r="U898" s="148"/>
    </row>
    <row r="899">
      <c r="D899" s="168"/>
      <c r="E899" s="148"/>
      <c r="G899" s="160"/>
      <c r="L899" s="161"/>
      <c r="M899" s="161"/>
      <c r="N899" s="162"/>
      <c r="O899" s="18"/>
      <c r="P899" s="18"/>
      <c r="Q899" s="18"/>
      <c r="R899" s="18"/>
      <c r="U899" s="148"/>
    </row>
    <row r="900">
      <c r="D900" s="168"/>
      <c r="E900" s="148"/>
      <c r="G900" s="160"/>
      <c r="L900" s="161"/>
      <c r="M900" s="161"/>
      <c r="N900" s="162"/>
      <c r="O900" s="18"/>
      <c r="P900" s="18"/>
      <c r="Q900" s="18"/>
      <c r="R900" s="18"/>
      <c r="U900" s="148"/>
    </row>
    <row r="901">
      <c r="D901" s="168"/>
      <c r="E901" s="148"/>
      <c r="G901" s="160"/>
      <c r="L901" s="161"/>
      <c r="M901" s="161"/>
      <c r="N901" s="162"/>
      <c r="O901" s="18"/>
      <c r="P901" s="18"/>
      <c r="Q901" s="18"/>
      <c r="R901" s="18"/>
      <c r="U901" s="148"/>
    </row>
    <row r="902">
      <c r="D902" s="168"/>
      <c r="E902" s="148"/>
      <c r="G902" s="160"/>
      <c r="L902" s="161"/>
      <c r="M902" s="161"/>
      <c r="N902" s="162"/>
      <c r="O902" s="18"/>
      <c r="P902" s="18"/>
      <c r="Q902" s="18"/>
      <c r="R902" s="18"/>
      <c r="U902" s="148"/>
    </row>
    <row r="903">
      <c r="D903" s="168"/>
      <c r="E903" s="148"/>
      <c r="G903" s="160"/>
      <c r="L903" s="161"/>
      <c r="M903" s="161"/>
      <c r="N903" s="162"/>
      <c r="O903" s="18"/>
      <c r="P903" s="18"/>
      <c r="Q903" s="18"/>
      <c r="R903" s="18"/>
      <c r="U903" s="148"/>
    </row>
    <row r="904">
      <c r="D904" s="168"/>
      <c r="E904" s="148"/>
      <c r="G904" s="160"/>
      <c r="L904" s="161"/>
      <c r="M904" s="161"/>
      <c r="N904" s="162"/>
      <c r="O904" s="18"/>
      <c r="P904" s="18"/>
      <c r="Q904" s="18"/>
      <c r="R904" s="18"/>
      <c r="U904" s="148"/>
    </row>
    <row r="905">
      <c r="D905" s="168"/>
      <c r="E905" s="148"/>
      <c r="G905" s="160"/>
      <c r="L905" s="161"/>
      <c r="M905" s="161"/>
      <c r="N905" s="162"/>
      <c r="O905" s="18"/>
      <c r="P905" s="18"/>
      <c r="Q905" s="18"/>
      <c r="R905" s="18"/>
      <c r="U905" s="148"/>
    </row>
    <row r="906">
      <c r="D906" s="168"/>
      <c r="E906" s="148"/>
      <c r="G906" s="160"/>
      <c r="L906" s="161"/>
      <c r="M906" s="161"/>
      <c r="N906" s="162"/>
      <c r="O906" s="18"/>
      <c r="P906" s="18"/>
      <c r="Q906" s="18"/>
      <c r="R906" s="18"/>
      <c r="U906" s="148"/>
    </row>
    <row r="907">
      <c r="D907" s="168"/>
      <c r="E907" s="148"/>
      <c r="G907" s="160"/>
      <c r="L907" s="161"/>
      <c r="M907" s="161"/>
      <c r="N907" s="162"/>
      <c r="O907" s="18"/>
      <c r="P907" s="18"/>
      <c r="Q907" s="18"/>
      <c r="R907" s="18"/>
      <c r="U907" s="148"/>
    </row>
    <row r="908">
      <c r="D908" s="168"/>
      <c r="E908" s="148"/>
      <c r="G908" s="160"/>
      <c r="L908" s="161"/>
      <c r="M908" s="161"/>
      <c r="N908" s="162"/>
      <c r="O908" s="18"/>
      <c r="P908" s="18"/>
      <c r="Q908" s="18"/>
      <c r="R908" s="18"/>
      <c r="U908" s="148"/>
    </row>
    <row r="909">
      <c r="D909" s="168"/>
      <c r="E909" s="148"/>
      <c r="G909" s="160"/>
      <c r="L909" s="161"/>
      <c r="M909" s="161"/>
      <c r="N909" s="162"/>
      <c r="O909" s="18"/>
      <c r="P909" s="18"/>
      <c r="Q909" s="18"/>
      <c r="R909" s="18"/>
      <c r="U909" s="148"/>
    </row>
    <row r="910">
      <c r="D910" s="168"/>
      <c r="E910" s="148"/>
      <c r="G910" s="160"/>
      <c r="L910" s="161"/>
      <c r="M910" s="161"/>
      <c r="N910" s="162"/>
      <c r="O910" s="18"/>
      <c r="P910" s="18"/>
      <c r="Q910" s="18"/>
      <c r="R910" s="18"/>
      <c r="U910" s="148"/>
    </row>
    <row r="911">
      <c r="D911" s="168"/>
      <c r="E911" s="148"/>
      <c r="G911" s="160"/>
      <c r="L911" s="161"/>
      <c r="M911" s="161"/>
      <c r="N911" s="162"/>
      <c r="O911" s="18"/>
      <c r="P911" s="18"/>
      <c r="Q911" s="18"/>
      <c r="R911" s="18"/>
      <c r="U911" s="148"/>
    </row>
    <row r="912">
      <c r="D912" s="168"/>
      <c r="E912" s="148"/>
      <c r="G912" s="160"/>
      <c r="L912" s="161"/>
      <c r="M912" s="161"/>
      <c r="N912" s="162"/>
      <c r="O912" s="18"/>
      <c r="P912" s="18"/>
      <c r="Q912" s="18"/>
      <c r="R912" s="18"/>
      <c r="U912" s="148"/>
    </row>
    <row r="913">
      <c r="D913" s="168"/>
      <c r="E913" s="148"/>
      <c r="G913" s="160"/>
      <c r="L913" s="161"/>
      <c r="M913" s="161"/>
      <c r="N913" s="162"/>
      <c r="O913" s="18"/>
      <c r="P913" s="18"/>
      <c r="Q913" s="18"/>
      <c r="R913" s="18"/>
      <c r="U913" s="148"/>
    </row>
    <row r="914">
      <c r="D914" s="168"/>
      <c r="E914" s="148"/>
      <c r="G914" s="160"/>
      <c r="L914" s="161"/>
      <c r="M914" s="161"/>
      <c r="N914" s="162"/>
      <c r="O914" s="18"/>
      <c r="P914" s="18"/>
      <c r="Q914" s="18"/>
      <c r="R914" s="18"/>
      <c r="U914" s="148"/>
    </row>
    <row r="915">
      <c r="D915" s="168"/>
      <c r="E915" s="148"/>
      <c r="G915" s="160"/>
      <c r="L915" s="161"/>
      <c r="M915" s="161"/>
      <c r="N915" s="162"/>
      <c r="O915" s="18"/>
      <c r="P915" s="18"/>
      <c r="Q915" s="18"/>
      <c r="R915" s="18"/>
      <c r="U915" s="148"/>
    </row>
    <row r="916">
      <c r="D916" s="168"/>
      <c r="E916" s="148"/>
      <c r="G916" s="160"/>
      <c r="L916" s="161"/>
      <c r="M916" s="161"/>
      <c r="N916" s="162"/>
      <c r="O916" s="18"/>
      <c r="P916" s="18"/>
      <c r="Q916" s="18"/>
      <c r="R916" s="18"/>
      <c r="U916" s="148"/>
    </row>
    <row r="917">
      <c r="D917" s="168"/>
      <c r="E917" s="148"/>
      <c r="G917" s="160"/>
      <c r="L917" s="161"/>
      <c r="M917" s="161"/>
      <c r="N917" s="162"/>
      <c r="O917" s="18"/>
      <c r="P917" s="18"/>
      <c r="Q917" s="18"/>
      <c r="R917" s="18"/>
      <c r="U917" s="148"/>
    </row>
    <row r="918">
      <c r="D918" s="168"/>
      <c r="E918" s="148"/>
      <c r="G918" s="160"/>
      <c r="L918" s="161"/>
      <c r="M918" s="161"/>
      <c r="N918" s="162"/>
      <c r="O918" s="18"/>
      <c r="P918" s="18"/>
      <c r="Q918" s="18"/>
      <c r="R918" s="18"/>
      <c r="U918" s="148"/>
    </row>
    <row r="919">
      <c r="D919" s="168"/>
      <c r="E919" s="148"/>
      <c r="G919" s="160"/>
      <c r="L919" s="161"/>
      <c r="M919" s="161"/>
      <c r="N919" s="162"/>
      <c r="O919" s="18"/>
      <c r="P919" s="18"/>
      <c r="Q919" s="18"/>
      <c r="R919" s="18"/>
      <c r="U919" s="148"/>
    </row>
    <row r="920">
      <c r="D920" s="168"/>
      <c r="E920" s="148"/>
      <c r="G920" s="160"/>
      <c r="L920" s="161"/>
      <c r="M920" s="161"/>
      <c r="N920" s="162"/>
      <c r="O920" s="18"/>
      <c r="P920" s="18"/>
      <c r="Q920" s="18"/>
      <c r="R920" s="18"/>
      <c r="U920" s="148"/>
    </row>
    <row r="921">
      <c r="D921" s="168"/>
      <c r="E921" s="148"/>
      <c r="G921" s="160"/>
      <c r="L921" s="161"/>
      <c r="M921" s="161"/>
      <c r="N921" s="162"/>
      <c r="O921" s="18"/>
      <c r="P921" s="18"/>
      <c r="Q921" s="18"/>
      <c r="R921" s="18"/>
      <c r="U921" s="148"/>
    </row>
    <row r="922">
      <c r="D922" s="168"/>
      <c r="E922" s="148"/>
      <c r="G922" s="160"/>
      <c r="L922" s="161"/>
      <c r="M922" s="161"/>
      <c r="N922" s="162"/>
      <c r="O922" s="18"/>
      <c r="P922" s="18"/>
      <c r="Q922" s="18"/>
      <c r="R922" s="18"/>
      <c r="U922" s="148"/>
    </row>
    <row r="923">
      <c r="D923" s="168"/>
      <c r="E923" s="148"/>
      <c r="G923" s="160"/>
      <c r="L923" s="161"/>
      <c r="M923" s="161"/>
      <c r="N923" s="162"/>
      <c r="O923" s="18"/>
      <c r="P923" s="18"/>
      <c r="Q923" s="18"/>
      <c r="R923" s="18"/>
      <c r="U923" s="148"/>
    </row>
    <row r="924">
      <c r="D924" s="168"/>
      <c r="E924" s="148"/>
      <c r="G924" s="160"/>
      <c r="L924" s="161"/>
      <c r="M924" s="161"/>
      <c r="N924" s="162"/>
      <c r="O924" s="18"/>
      <c r="P924" s="18"/>
      <c r="Q924" s="18"/>
      <c r="R924" s="18"/>
      <c r="U924" s="148"/>
    </row>
    <row r="925">
      <c r="D925" s="168"/>
      <c r="E925" s="148"/>
      <c r="G925" s="160"/>
      <c r="L925" s="161"/>
      <c r="M925" s="161"/>
      <c r="N925" s="162"/>
      <c r="O925" s="18"/>
      <c r="P925" s="18"/>
      <c r="Q925" s="18"/>
      <c r="R925" s="18"/>
      <c r="U925" s="148"/>
    </row>
    <row r="926">
      <c r="D926" s="168"/>
      <c r="E926" s="148"/>
      <c r="G926" s="160"/>
      <c r="L926" s="161"/>
      <c r="M926" s="161"/>
      <c r="N926" s="162"/>
      <c r="O926" s="18"/>
      <c r="P926" s="18"/>
      <c r="Q926" s="18"/>
      <c r="R926" s="18"/>
      <c r="U926" s="148"/>
    </row>
    <row r="927">
      <c r="D927" s="168"/>
      <c r="E927" s="148"/>
      <c r="G927" s="160"/>
      <c r="L927" s="161"/>
      <c r="M927" s="161"/>
      <c r="N927" s="162"/>
      <c r="O927" s="18"/>
      <c r="P927" s="18"/>
      <c r="Q927" s="18"/>
      <c r="R927" s="18"/>
      <c r="U927" s="148"/>
    </row>
    <row r="928">
      <c r="D928" s="168"/>
      <c r="E928" s="148"/>
      <c r="G928" s="160"/>
      <c r="L928" s="161"/>
      <c r="M928" s="161"/>
      <c r="N928" s="162"/>
      <c r="O928" s="18"/>
      <c r="P928" s="18"/>
      <c r="Q928" s="18"/>
      <c r="R928" s="18"/>
      <c r="U928" s="148"/>
    </row>
    <row r="929">
      <c r="D929" s="168"/>
      <c r="E929" s="148"/>
      <c r="G929" s="160"/>
      <c r="L929" s="161"/>
      <c r="M929" s="161"/>
      <c r="N929" s="162"/>
      <c r="O929" s="18"/>
      <c r="P929" s="18"/>
      <c r="Q929" s="18"/>
      <c r="R929" s="18"/>
      <c r="U929" s="148"/>
    </row>
    <row r="930">
      <c r="D930" s="168"/>
      <c r="E930" s="148"/>
      <c r="G930" s="160"/>
      <c r="L930" s="161"/>
      <c r="M930" s="161"/>
      <c r="N930" s="162"/>
      <c r="O930" s="18"/>
      <c r="P930" s="18"/>
      <c r="Q930" s="18"/>
      <c r="R930" s="18"/>
      <c r="U930" s="148"/>
    </row>
    <row r="931">
      <c r="D931" s="168"/>
      <c r="E931" s="148"/>
      <c r="G931" s="160"/>
      <c r="L931" s="161"/>
      <c r="M931" s="161"/>
      <c r="N931" s="162"/>
      <c r="O931" s="18"/>
      <c r="P931" s="18"/>
      <c r="Q931" s="18"/>
      <c r="R931" s="18"/>
      <c r="U931" s="148"/>
    </row>
    <row r="932">
      <c r="D932" s="168"/>
      <c r="E932" s="148"/>
      <c r="G932" s="160"/>
      <c r="L932" s="161"/>
      <c r="M932" s="161"/>
      <c r="N932" s="162"/>
      <c r="O932" s="18"/>
      <c r="P932" s="18"/>
      <c r="Q932" s="18"/>
      <c r="R932" s="18"/>
      <c r="U932" s="148"/>
    </row>
    <row r="933">
      <c r="D933" s="168"/>
      <c r="E933" s="148"/>
      <c r="G933" s="160"/>
      <c r="L933" s="161"/>
      <c r="M933" s="161"/>
      <c r="N933" s="162"/>
      <c r="O933" s="18"/>
      <c r="P933" s="18"/>
      <c r="Q933" s="18"/>
      <c r="R933" s="18"/>
      <c r="U933" s="148"/>
    </row>
    <row r="934">
      <c r="D934" s="168"/>
      <c r="E934" s="148"/>
      <c r="G934" s="160"/>
      <c r="L934" s="161"/>
      <c r="M934" s="161"/>
      <c r="N934" s="162"/>
      <c r="O934" s="18"/>
      <c r="P934" s="18"/>
      <c r="Q934" s="18"/>
      <c r="R934" s="18"/>
      <c r="U934" s="148"/>
    </row>
    <row r="935">
      <c r="D935" s="168"/>
      <c r="E935" s="148"/>
      <c r="G935" s="160"/>
      <c r="L935" s="161"/>
      <c r="M935" s="161"/>
      <c r="N935" s="162"/>
      <c r="O935" s="18"/>
      <c r="P935" s="18"/>
      <c r="Q935" s="18"/>
      <c r="R935" s="18"/>
      <c r="U935" s="148"/>
    </row>
    <row r="936">
      <c r="D936" s="168"/>
      <c r="E936" s="148"/>
      <c r="G936" s="160"/>
      <c r="L936" s="161"/>
      <c r="M936" s="161"/>
      <c r="N936" s="162"/>
      <c r="O936" s="18"/>
      <c r="P936" s="18"/>
      <c r="Q936" s="18"/>
      <c r="R936" s="18"/>
      <c r="U936" s="148"/>
    </row>
    <row r="937">
      <c r="D937" s="168"/>
      <c r="E937" s="148"/>
      <c r="G937" s="160"/>
      <c r="L937" s="161"/>
      <c r="M937" s="161"/>
      <c r="N937" s="162"/>
      <c r="O937" s="18"/>
      <c r="P937" s="18"/>
      <c r="Q937" s="18"/>
      <c r="R937" s="18"/>
      <c r="U937" s="148"/>
    </row>
    <row r="938">
      <c r="D938" s="168"/>
      <c r="E938" s="148"/>
      <c r="G938" s="160"/>
      <c r="L938" s="161"/>
      <c r="M938" s="161"/>
      <c r="N938" s="162"/>
      <c r="O938" s="18"/>
      <c r="P938" s="18"/>
      <c r="Q938" s="18"/>
      <c r="R938" s="18"/>
      <c r="U938" s="148"/>
    </row>
    <row r="939">
      <c r="D939" s="168"/>
      <c r="E939" s="148"/>
      <c r="G939" s="160"/>
      <c r="L939" s="161"/>
      <c r="M939" s="161"/>
      <c r="N939" s="162"/>
      <c r="O939" s="18"/>
      <c r="P939" s="18"/>
      <c r="Q939" s="18"/>
      <c r="R939" s="18"/>
      <c r="U939" s="148"/>
    </row>
    <row r="940">
      <c r="D940" s="168"/>
      <c r="E940" s="148"/>
      <c r="G940" s="160"/>
      <c r="L940" s="161"/>
      <c r="M940" s="161"/>
      <c r="N940" s="162"/>
      <c r="O940" s="18"/>
      <c r="P940" s="18"/>
      <c r="Q940" s="18"/>
      <c r="R940" s="18"/>
      <c r="U940" s="148"/>
    </row>
    <row r="941">
      <c r="D941" s="168"/>
      <c r="E941" s="148"/>
      <c r="G941" s="160"/>
      <c r="L941" s="161"/>
      <c r="M941" s="161"/>
      <c r="N941" s="162"/>
      <c r="O941" s="18"/>
      <c r="P941" s="18"/>
      <c r="Q941" s="18"/>
      <c r="R941" s="18"/>
      <c r="U941" s="148"/>
    </row>
    <row r="942">
      <c r="D942" s="168"/>
      <c r="E942" s="148"/>
      <c r="G942" s="160"/>
      <c r="L942" s="161"/>
      <c r="M942" s="161"/>
      <c r="N942" s="162"/>
      <c r="O942" s="18"/>
      <c r="P942" s="18"/>
      <c r="Q942" s="18"/>
      <c r="R942" s="18"/>
      <c r="U942" s="148"/>
    </row>
    <row r="943">
      <c r="D943" s="168"/>
      <c r="E943" s="148"/>
      <c r="G943" s="160"/>
      <c r="L943" s="161"/>
      <c r="M943" s="161"/>
      <c r="N943" s="162"/>
      <c r="O943" s="18"/>
      <c r="P943" s="18"/>
      <c r="Q943" s="18"/>
      <c r="R943" s="18"/>
      <c r="U943" s="148"/>
    </row>
    <row r="944">
      <c r="D944" s="168"/>
      <c r="E944" s="148"/>
      <c r="G944" s="160"/>
      <c r="L944" s="161"/>
      <c r="M944" s="161"/>
      <c r="N944" s="162"/>
      <c r="O944" s="18"/>
      <c r="P944" s="18"/>
      <c r="Q944" s="18"/>
      <c r="R944" s="18"/>
      <c r="U944" s="148"/>
    </row>
    <row r="945">
      <c r="D945" s="168"/>
      <c r="E945" s="148"/>
      <c r="G945" s="160"/>
      <c r="L945" s="161"/>
      <c r="M945" s="161"/>
      <c r="N945" s="162"/>
      <c r="O945" s="18"/>
      <c r="P945" s="18"/>
      <c r="Q945" s="18"/>
      <c r="R945" s="18"/>
      <c r="U945" s="148"/>
    </row>
    <row r="946">
      <c r="D946" s="168"/>
      <c r="E946" s="148"/>
      <c r="G946" s="160"/>
      <c r="L946" s="161"/>
      <c r="M946" s="161"/>
      <c r="N946" s="162"/>
      <c r="O946" s="18"/>
      <c r="P946" s="18"/>
      <c r="Q946" s="18"/>
      <c r="R946" s="18"/>
      <c r="U946" s="148"/>
    </row>
    <row r="947">
      <c r="D947" s="168"/>
      <c r="E947" s="148"/>
      <c r="G947" s="160"/>
      <c r="L947" s="161"/>
      <c r="M947" s="161"/>
      <c r="N947" s="162"/>
      <c r="O947" s="18"/>
      <c r="P947" s="18"/>
      <c r="Q947" s="18"/>
      <c r="R947" s="18"/>
      <c r="U947" s="148"/>
    </row>
    <row r="948">
      <c r="D948" s="168"/>
      <c r="E948" s="148"/>
      <c r="G948" s="160"/>
      <c r="L948" s="161"/>
      <c r="M948" s="161"/>
      <c r="N948" s="162"/>
      <c r="O948" s="18"/>
      <c r="P948" s="18"/>
      <c r="Q948" s="18"/>
      <c r="R948" s="18"/>
      <c r="U948" s="148"/>
    </row>
    <row r="949">
      <c r="D949" s="168"/>
      <c r="E949" s="148"/>
      <c r="G949" s="160"/>
      <c r="L949" s="161"/>
      <c r="M949" s="161"/>
      <c r="N949" s="162"/>
      <c r="O949" s="18"/>
      <c r="P949" s="18"/>
      <c r="Q949" s="18"/>
      <c r="R949" s="18"/>
      <c r="U949" s="148"/>
    </row>
    <row r="950">
      <c r="D950" s="168"/>
      <c r="E950" s="148"/>
      <c r="G950" s="160"/>
      <c r="L950" s="161"/>
      <c r="M950" s="161"/>
      <c r="N950" s="162"/>
      <c r="O950" s="18"/>
      <c r="P950" s="18"/>
      <c r="Q950" s="18"/>
      <c r="R950" s="18"/>
      <c r="U950" s="148"/>
    </row>
    <row r="951">
      <c r="D951" s="168"/>
      <c r="E951" s="148"/>
      <c r="G951" s="160"/>
      <c r="L951" s="161"/>
      <c r="M951" s="161"/>
      <c r="N951" s="162"/>
      <c r="O951" s="18"/>
      <c r="P951" s="18"/>
      <c r="Q951" s="18"/>
      <c r="R951" s="18"/>
      <c r="U951" s="148"/>
    </row>
    <row r="952">
      <c r="D952" s="168"/>
      <c r="E952" s="148"/>
      <c r="G952" s="160"/>
      <c r="L952" s="161"/>
      <c r="M952" s="161"/>
      <c r="N952" s="162"/>
      <c r="O952" s="18"/>
      <c r="P952" s="18"/>
      <c r="Q952" s="18"/>
      <c r="R952" s="18"/>
      <c r="U952" s="148"/>
    </row>
    <row r="953">
      <c r="D953" s="168"/>
      <c r="E953" s="148"/>
      <c r="G953" s="160"/>
      <c r="L953" s="161"/>
      <c r="M953" s="161"/>
      <c r="N953" s="162"/>
      <c r="O953" s="18"/>
      <c r="P953" s="18"/>
      <c r="Q953" s="18"/>
      <c r="R953" s="18"/>
      <c r="U953" s="148"/>
    </row>
    <row r="954">
      <c r="D954" s="168"/>
      <c r="E954" s="148"/>
      <c r="G954" s="160"/>
      <c r="L954" s="161"/>
      <c r="M954" s="161"/>
      <c r="N954" s="162"/>
      <c r="O954" s="18"/>
      <c r="P954" s="18"/>
      <c r="Q954" s="18"/>
      <c r="R954" s="18"/>
      <c r="U954" s="148"/>
    </row>
    <row r="955">
      <c r="D955" s="168"/>
      <c r="E955" s="148"/>
      <c r="G955" s="160"/>
      <c r="L955" s="161"/>
      <c r="M955" s="161"/>
      <c r="N955" s="162"/>
      <c r="O955" s="18"/>
      <c r="P955" s="18"/>
      <c r="Q955" s="18"/>
      <c r="R955" s="18"/>
      <c r="U955" s="148"/>
    </row>
    <row r="956">
      <c r="D956" s="168"/>
      <c r="E956" s="148"/>
      <c r="G956" s="160"/>
      <c r="L956" s="161"/>
      <c r="M956" s="161"/>
      <c r="N956" s="162"/>
      <c r="O956" s="18"/>
      <c r="P956" s="18"/>
      <c r="Q956" s="18"/>
      <c r="R956" s="18"/>
      <c r="U956" s="148"/>
    </row>
    <row r="957">
      <c r="D957" s="168"/>
      <c r="E957" s="148"/>
      <c r="G957" s="160"/>
      <c r="L957" s="161"/>
      <c r="M957" s="161"/>
      <c r="N957" s="162"/>
      <c r="O957" s="18"/>
      <c r="P957" s="18"/>
      <c r="Q957" s="18"/>
      <c r="R957" s="18"/>
      <c r="U957" s="148"/>
    </row>
    <row r="958">
      <c r="D958" s="168"/>
      <c r="E958" s="148"/>
      <c r="G958" s="160"/>
      <c r="L958" s="161"/>
      <c r="M958" s="161"/>
      <c r="N958" s="162"/>
      <c r="O958" s="18"/>
      <c r="P958" s="18"/>
      <c r="Q958" s="18"/>
      <c r="R958" s="18"/>
      <c r="U958" s="148"/>
    </row>
    <row r="959">
      <c r="D959" s="168"/>
      <c r="E959" s="148"/>
      <c r="G959" s="160"/>
      <c r="L959" s="161"/>
      <c r="M959" s="161"/>
      <c r="N959" s="162"/>
      <c r="O959" s="18"/>
      <c r="P959" s="18"/>
      <c r="Q959" s="18"/>
      <c r="R959" s="18"/>
      <c r="U959" s="148"/>
    </row>
    <row r="960">
      <c r="D960" s="168"/>
      <c r="E960" s="148"/>
      <c r="G960" s="160"/>
      <c r="L960" s="161"/>
      <c r="M960" s="161"/>
      <c r="N960" s="162"/>
      <c r="O960" s="18"/>
      <c r="P960" s="18"/>
      <c r="Q960" s="18"/>
      <c r="R960" s="18"/>
      <c r="U960" s="148"/>
    </row>
    <row r="961">
      <c r="D961" s="168"/>
      <c r="E961" s="148"/>
      <c r="G961" s="160"/>
      <c r="L961" s="161"/>
      <c r="M961" s="161"/>
      <c r="N961" s="162"/>
      <c r="O961" s="18"/>
      <c r="P961" s="18"/>
      <c r="Q961" s="18"/>
      <c r="R961" s="18"/>
      <c r="U961" s="148"/>
    </row>
    <row r="962">
      <c r="D962" s="168"/>
      <c r="E962" s="148"/>
      <c r="G962" s="160"/>
      <c r="L962" s="161"/>
      <c r="M962" s="161"/>
      <c r="N962" s="162"/>
      <c r="O962" s="18"/>
      <c r="P962" s="18"/>
      <c r="Q962" s="18"/>
      <c r="R962" s="18"/>
      <c r="U962" s="148"/>
    </row>
    <row r="963">
      <c r="D963" s="168"/>
      <c r="E963" s="148"/>
      <c r="G963" s="160"/>
      <c r="L963" s="161"/>
      <c r="M963" s="161"/>
      <c r="N963" s="162"/>
      <c r="O963" s="18"/>
      <c r="P963" s="18"/>
      <c r="Q963" s="18"/>
      <c r="R963" s="18"/>
      <c r="U963" s="148"/>
    </row>
    <row r="964">
      <c r="D964" s="168"/>
      <c r="E964" s="148"/>
      <c r="G964" s="160"/>
      <c r="L964" s="161"/>
      <c r="M964" s="161"/>
      <c r="N964" s="162"/>
      <c r="O964" s="18"/>
      <c r="P964" s="18"/>
      <c r="Q964" s="18"/>
      <c r="R964" s="18"/>
      <c r="U964" s="148"/>
    </row>
    <row r="965">
      <c r="D965" s="168"/>
      <c r="E965" s="148"/>
      <c r="G965" s="160"/>
      <c r="L965" s="161"/>
      <c r="M965" s="161"/>
      <c r="N965" s="162"/>
      <c r="O965" s="18"/>
      <c r="P965" s="18"/>
      <c r="Q965" s="18"/>
      <c r="R965" s="18"/>
      <c r="U965" s="148"/>
    </row>
    <row r="966">
      <c r="D966" s="168"/>
      <c r="E966" s="148"/>
      <c r="G966" s="160"/>
      <c r="L966" s="161"/>
      <c r="M966" s="161"/>
      <c r="N966" s="162"/>
      <c r="O966" s="18"/>
      <c r="P966" s="18"/>
      <c r="Q966" s="18"/>
      <c r="R966" s="18"/>
      <c r="U966" s="148"/>
    </row>
    <row r="967">
      <c r="D967" s="168"/>
      <c r="E967" s="148"/>
      <c r="G967" s="160"/>
      <c r="L967" s="161"/>
      <c r="M967" s="161"/>
      <c r="N967" s="162"/>
      <c r="O967" s="18"/>
      <c r="P967" s="18"/>
      <c r="Q967" s="18"/>
      <c r="R967" s="18"/>
      <c r="U967" s="148"/>
    </row>
    <row r="968">
      <c r="D968" s="168"/>
      <c r="E968" s="148"/>
      <c r="G968" s="160"/>
      <c r="L968" s="161"/>
      <c r="M968" s="161"/>
      <c r="N968" s="162"/>
      <c r="O968" s="18"/>
      <c r="P968" s="18"/>
      <c r="Q968" s="18"/>
      <c r="R968" s="18"/>
      <c r="U968" s="148"/>
    </row>
    <row r="969">
      <c r="D969" s="168"/>
      <c r="E969" s="148"/>
      <c r="G969" s="160"/>
      <c r="L969" s="161"/>
      <c r="M969" s="161"/>
      <c r="N969" s="162"/>
      <c r="O969" s="18"/>
      <c r="P969" s="18"/>
      <c r="Q969" s="18"/>
      <c r="R969" s="18"/>
      <c r="U969" s="148"/>
    </row>
    <row r="970">
      <c r="D970" s="168"/>
      <c r="E970" s="148"/>
      <c r="G970" s="160"/>
      <c r="L970" s="161"/>
      <c r="M970" s="161"/>
      <c r="N970" s="162"/>
      <c r="O970" s="18"/>
      <c r="P970" s="18"/>
      <c r="Q970" s="18"/>
      <c r="R970" s="18"/>
      <c r="U970" s="148"/>
    </row>
    <row r="971">
      <c r="D971" s="168"/>
      <c r="E971" s="148"/>
      <c r="G971" s="160"/>
      <c r="L971" s="161"/>
      <c r="M971" s="161"/>
      <c r="N971" s="162"/>
      <c r="O971" s="18"/>
      <c r="P971" s="18"/>
      <c r="Q971" s="18"/>
      <c r="R971" s="18"/>
      <c r="U971" s="148"/>
    </row>
    <row r="972">
      <c r="D972" s="168"/>
      <c r="E972" s="148"/>
      <c r="G972" s="160"/>
      <c r="L972" s="161"/>
      <c r="M972" s="161"/>
      <c r="N972" s="162"/>
      <c r="O972" s="18"/>
      <c r="P972" s="18"/>
      <c r="Q972" s="18"/>
      <c r="R972" s="18"/>
      <c r="U972" s="148"/>
    </row>
    <row r="973">
      <c r="D973" s="168"/>
      <c r="E973" s="148"/>
      <c r="G973" s="160"/>
      <c r="L973" s="161"/>
      <c r="M973" s="161"/>
      <c r="N973" s="162"/>
      <c r="O973" s="18"/>
      <c r="P973" s="18"/>
      <c r="Q973" s="18"/>
      <c r="R973" s="18"/>
      <c r="U973" s="148"/>
    </row>
    <row r="974">
      <c r="D974" s="168"/>
      <c r="E974" s="148"/>
      <c r="G974" s="160"/>
      <c r="L974" s="161"/>
      <c r="M974" s="161"/>
      <c r="N974" s="162"/>
      <c r="O974" s="18"/>
      <c r="P974" s="18"/>
      <c r="Q974" s="18"/>
      <c r="R974" s="18"/>
      <c r="U974" s="148"/>
    </row>
    <row r="975">
      <c r="D975" s="168"/>
      <c r="E975" s="148"/>
      <c r="G975" s="160"/>
      <c r="L975" s="161"/>
      <c r="M975" s="161"/>
      <c r="N975" s="162"/>
      <c r="O975" s="18"/>
      <c r="P975" s="18"/>
      <c r="Q975" s="18"/>
      <c r="R975" s="18"/>
      <c r="U975" s="148"/>
    </row>
    <row r="976">
      <c r="D976" s="168"/>
      <c r="E976" s="148"/>
      <c r="G976" s="160"/>
      <c r="L976" s="161"/>
      <c r="M976" s="161"/>
      <c r="N976" s="162"/>
      <c r="O976" s="18"/>
      <c r="P976" s="18"/>
      <c r="Q976" s="18"/>
      <c r="R976" s="18"/>
      <c r="U976" s="148"/>
    </row>
    <row r="977">
      <c r="D977" s="168"/>
      <c r="E977" s="148"/>
      <c r="G977" s="160"/>
      <c r="L977" s="161"/>
      <c r="M977" s="161"/>
      <c r="N977" s="162"/>
      <c r="O977" s="18"/>
      <c r="P977" s="18"/>
      <c r="Q977" s="18"/>
      <c r="R977" s="18"/>
      <c r="U977" s="148"/>
    </row>
    <row r="978">
      <c r="D978" s="168"/>
      <c r="E978" s="148"/>
      <c r="G978" s="160"/>
      <c r="L978" s="161"/>
      <c r="M978" s="161"/>
      <c r="N978" s="162"/>
      <c r="O978" s="18"/>
      <c r="P978" s="18"/>
      <c r="Q978" s="18"/>
      <c r="R978" s="18"/>
      <c r="U978" s="148"/>
    </row>
    <row r="979">
      <c r="D979" s="168"/>
      <c r="E979" s="148"/>
      <c r="G979" s="160"/>
      <c r="L979" s="161"/>
      <c r="M979" s="161"/>
      <c r="N979" s="162"/>
      <c r="O979" s="18"/>
      <c r="P979" s="18"/>
      <c r="Q979" s="18"/>
      <c r="R979" s="18"/>
      <c r="U979" s="148"/>
    </row>
    <row r="980">
      <c r="D980" s="168"/>
      <c r="E980" s="148"/>
      <c r="G980" s="160"/>
      <c r="L980" s="161"/>
      <c r="M980" s="161"/>
      <c r="N980" s="162"/>
      <c r="O980" s="18"/>
      <c r="P980" s="18"/>
      <c r="Q980" s="18"/>
      <c r="R980" s="18"/>
      <c r="U980" s="148"/>
    </row>
    <row r="981">
      <c r="D981" s="168"/>
      <c r="E981" s="148"/>
      <c r="G981" s="160"/>
      <c r="L981" s="161"/>
      <c r="M981" s="161"/>
      <c r="N981" s="162"/>
      <c r="O981" s="18"/>
      <c r="P981" s="18"/>
      <c r="Q981" s="18"/>
      <c r="R981" s="18"/>
      <c r="U981" s="148"/>
    </row>
    <row r="982">
      <c r="D982" s="168"/>
      <c r="E982" s="148"/>
      <c r="G982" s="160"/>
      <c r="L982" s="161"/>
      <c r="M982" s="161"/>
      <c r="N982" s="162"/>
      <c r="O982" s="18"/>
      <c r="P982" s="18"/>
      <c r="Q982" s="18"/>
      <c r="R982" s="18"/>
      <c r="U982" s="148"/>
    </row>
    <row r="983">
      <c r="D983" s="168"/>
      <c r="E983" s="148"/>
      <c r="G983" s="160"/>
      <c r="L983" s="161"/>
      <c r="M983" s="161"/>
      <c r="N983" s="162"/>
      <c r="O983" s="18"/>
      <c r="P983" s="18"/>
      <c r="Q983" s="18"/>
      <c r="R983" s="18"/>
      <c r="U983" s="148"/>
    </row>
    <row r="984">
      <c r="D984" s="168"/>
      <c r="E984" s="148"/>
      <c r="G984" s="160"/>
      <c r="L984" s="161"/>
      <c r="M984" s="161"/>
      <c r="N984" s="162"/>
      <c r="O984" s="18"/>
      <c r="P984" s="18"/>
      <c r="Q984" s="18"/>
      <c r="R984" s="18"/>
      <c r="U984" s="148"/>
    </row>
    <row r="985">
      <c r="D985" s="168"/>
      <c r="E985" s="148"/>
      <c r="G985" s="160"/>
      <c r="L985" s="161"/>
      <c r="M985" s="161"/>
      <c r="N985" s="162"/>
      <c r="O985" s="18"/>
      <c r="P985" s="18"/>
      <c r="Q985" s="18"/>
      <c r="R985" s="18"/>
      <c r="U985" s="148"/>
    </row>
    <row r="986">
      <c r="D986" s="168"/>
      <c r="E986" s="148"/>
      <c r="G986" s="160"/>
      <c r="L986" s="161"/>
      <c r="M986" s="161"/>
      <c r="N986" s="162"/>
      <c r="O986" s="18"/>
      <c r="P986" s="18"/>
      <c r="Q986" s="18"/>
      <c r="R986" s="18"/>
      <c r="U986" s="148"/>
    </row>
    <row r="987">
      <c r="D987" s="168"/>
      <c r="E987" s="148"/>
      <c r="G987" s="160"/>
      <c r="L987" s="161"/>
      <c r="M987" s="161"/>
      <c r="N987" s="162"/>
      <c r="O987" s="18"/>
      <c r="P987" s="18"/>
      <c r="Q987" s="18"/>
      <c r="R987" s="18"/>
      <c r="U987" s="148"/>
    </row>
    <row r="988">
      <c r="D988" s="168"/>
      <c r="E988" s="148"/>
      <c r="G988" s="160"/>
      <c r="L988" s="161"/>
      <c r="M988" s="161"/>
      <c r="N988" s="162"/>
      <c r="O988" s="18"/>
      <c r="P988" s="18"/>
      <c r="Q988" s="18"/>
      <c r="R988" s="18"/>
      <c r="U988" s="148"/>
    </row>
    <row r="989">
      <c r="D989" s="168"/>
      <c r="E989" s="148"/>
      <c r="G989" s="160"/>
      <c r="L989" s="161"/>
      <c r="M989" s="161"/>
      <c r="N989" s="162"/>
      <c r="O989" s="18"/>
      <c r="P989" s="18"/>
      <c r="Q989" s="18"/>
      <c r="R989" s="18"/>
      <c r="U989" s="148"/>
    </row>
    <row r="990">
      <c r="D990" s="168"/>
      <c r="E990" s="148"/>
      <c r="G990" s="160"/>
      <c r="L990" s="161"/>
      <c r="M990" s="161"/>
      <c r="N990" s="162"/>
      <c r="O990" s="18"/>
      <c r="P990" s="18"/>
      <c r="Q990" s="18"/>
      <c r="R990" s="18"/>
      <c r="U990" s="148"/>
    </row>
    <row r="991">
      <c r="D991" s="168"/>
      <c r="E991" s="148"/>
      <c r="G991" s="160"/>
      <c r="L991" s="161"/>
      <c r="M991" s="161"/>
      <c r="N991" s="162"/>
      <c r="O991" s="18"/>
      <c r="P991" s="18"/>
      <c r="Q991" s="18"/>
      <c r="R991" s="18"/>
      <c r="U991" s="148"/>
    </row>
    <row r="992">
      <c r="D992" s="168"/>
      <c r="E992" s="148"/>
      <c r="G992" s="160"/>
      <c r="L992" s="161"/>
      <c r="M992" s="161"/>
      <c r="N992" s="162"/>
      <c r="O992" s="18"/>
      <c r="P992" s="18"/>
      <c r="Q992" s="18"/>
      <c r="R992" s="18"/>
      <c r="U992" s="148"/>
    </row>
    <row r="993">
      <c r="D993" s="168"/>
      <c r="E993" s="148"/>
      <c r="G993" s="160"/>
      <c r="L993" s="161"/>
      <c r="M993" s="161"/>
      <c r="N993" s="162"/>
      <c r="O993" s="18"/>
      <c r="P993" s="18"/>
      <c r="Q993" s="18"/>
      <c r="R993" s="18"/>
      <c r="U993" s="148"/>
    </row>
    <row r="994">
      <c r="D994" s="168"/>
      <c r="E994" s="148"/>
      <c r="G994" s="160"/>
      <c r="L994" s="161"/>
      <c r="M994" s="161"/>
      <c r="N994" s="162"/>
      <c r="O994" s="18"/>
      <c r="P994" s="18"/>
      <c r="Q994" s="18"/>
      <c r="R994" s="18"/>
      <c r="U994" s="148"/>
    </row>
    <row r="995">
      <c r="D995" s="168"/>
      <c r="E995" s="148"/>
      <c r="G995" s="160"/>
      <c r="L995" s="161"/>
      <c r="M995" s="161"/>
      <c r="N995" s="162"/>
      <c r="O995" s="18"/>
      <c r="P995" s="18"/>
      <c r="Q995" s="18"/>
      <c r="R995" s="18"/>
      <c r="U995" s="148"/>
    </row>
    <row r="996">
      <c r="D996" s="168"/>
      <c r="E996" s="148"/>
      <c r="G996" s="160"/>
      <c r="L996" s="161"/>
      <c r="M996" s="161"/>
      <c r="N996" s="162"/>
      <c r="O996" s="18"/>
      <c r="P996" s="18"/>
      <c r="Q996" s="18"/>
      <c r="R996" s="18"/>
      <c r="U996" s="148"/>
    </row>
    <row r="997">
      <c r="D997" s="168"/>
      <c r="E997" s="148"/>
      <c r="G997" s="160"/>
      <c r="L997" s="161"/>
      <c r="M997" s="161"/>
      <c r="N997" s="162"/>
      <c r="O997" s="18"/>
      <c r="P997" s="18"/>
      <c r="Q997" s="18"/>
      <c r="R997" s="18"/>
      <c r="U997" s="148"/>
    </row>
    <row r="998">
      <c r="D998" s="168"/>
      <c r="E998" s="148"/>
      <c r="G998" s="160"/>
      <c r="L998" s="161"/>
      <c r="M998" s="161"/>
      <c r="N998" s="162"/>
      <c r="O998" s="18"/>
      <c r="P998" s="18"/>
      <c r="Q998" s="18"/>
      <c r="R998" s="18"/>
      <c r="U998" s="148"/>
    </row>
    <row r="999">
      <c r="D999" s="168"/>
      <c r="E999" s="148"/>
      <c r="G999" s="160"/>
      <c r="L999" s="161"/>
      <c r="M999" s="161"/>
      <c r="N999" s="162"/>
      <c r="O999" s="18"/>
      <c r="P999" s="18"/>
      <c r="Q999" s="18"/>
      <c r="R999" s="18"/>
      <c r="U999" s="148"/>
    </row>
    <row r="1000">
      <c r="D1000" s="168"/>
      <c r="E1000" s="148"/>
      <c r="G1000" s="160"/>
      <c r="L1000" s="161"/>
      <c r="M1000" s="161"/>
      <c r="N1000" s="162"/>
      <c r="O1000" s="18"/>
      <c r="P1000" s="18"/>
      <c r="Q1000" s="18"/>
      <c r="R1000" s="18"/>
      <c r="U1000" s="148"/>
    </row>
    <row r="1001">
      <c r="D1001" s="168"/>
      <c r="E1001" s="148"/>
      <c r="G1001" s="160"/>
      <c r="L1001" s="161"/>
      <c r="M1001" s="161"/>
      <c r="N1001" s="162"/>
      <c r="O1001" s="18"/>
      <c r="P1001" s="18"/>
      <c r="Q1001" s="18"/>
      <c r="R1001" s="18"/>
      <c r="U1001" s="148"/>
    </row>
    <row r="1002">
      <c r="D1002" s="168"/>
      <c r="E1002" s="148"/>
      <c r="G1002" s="160"/>
      <c r="L1002" s="161"/>
      <c r="M1002" s="161"/>
      <c r="N1002" s="162"/>
      <c r="O1002" s="18"/>
      <c r="P1002" s="18"/>
      <c r="Q1002" s="18"/>
      <c r="R1002" s="18"/>
      <c r="U1002" s="148"/>
    </row>
    <row r="1003">
      <c r="D1003" s="168"/>
      <c r="E1003" s="148"/>
      <c r="G1003" s="160"/>
      <c r="L1003" s="161"/>
      <c r="M1003" s="161"/>
      <c r="N1003" s="162"/>
      <c r="O1003" s="18"/>
      <c r="P1003" s="18"/>
      <c r="Q1003" s="18"/>
      <c r="R1003" s="18"/>
      <c r="U1003" s="148"/>
    </row>
    <row r="1004">
      <c r="D1004" s="168"/>
      <c r="E1004" s="148"/>
      <c r="G1004" s="160"/>
      <c r="L1004" s="161"/>
      <c r="M1004" s="161"/>
      <c r="N1004" s="162"/>
      <c r="O1004" s="18"/>
      <c r="P1004" s="18"/>
      <c r="Q1004" s="18"/>
      <c r="R1004" s="18"/>
      <c r="U1004" s="148"/>
    </row>
  </sheetData>
  <autoFilter ref="$A$2:$U$25"/>
  <mergeCells count="2">
    <mergeCell ref="D1:K1"/>
    <mergeCell ref="L1:Q1"/>
  </mergeCells>
  <conditionalFormatting sqref="R3:R14">
    <cfRule type="cellIs" dxfId="0" priority="1" operator="equal">
      <formula>"Si"</formula>
    </cfRule>
  </conditionalFormatting>
  <dataValidations>
    <dataValidation type="list" allowBlank="1" showErrorMessage="1" sqref="R3:R20">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169" t="s">
        <v>197</v>
      </c>
    </row>
    <row r="2">
      <c r="A2" s="169" t="s">
        <v>198</v>
      </c>
      <c r="B2" s="170">
        <f>MAX('Modelos actuales'!Z3:Z7)</f>
        <v>7.698</v>
      </c>
      <c r="E2" s="54" t="s">
        <v>199</v>
      </c>
      <c r="I2" s="54" t="s">
        <v>200</v>
      </c>
    </row>
    <row r="3">
      <c r="A3" s="169" t="s">
        <v>201</v>
      </c>
      <c r="B3" s="54">
        <v>15.0</v>
      </c>
      <c r="F3" s="56">
        <f>AVERAGE(F6:F15)</f>
        <v>6.145</v>
      </c>
      <c r="J3" s="56">
        <f>AVERAGE(J6:J28)</f>
        <v>8.5575</v>
      </c>
      <c r="L3" s="93">
        <f>AVERAGE(L6:L28)</f>
        <v>34.5</v>
      </c>
    </row>
    <row r="6">
      <c r="A6" s="75"/>
      <c r="B6" s="75"/>
      <c r="E6" s="171" t="s">
        <v>202</v>
      </c>
      <c r="F6" s="56">
        <f t="shared" ref="F6:F15" si="1">REPLACE(E6,FIND(".",E6),1,",")*1</f>
        <v>1.17</v>
      </c>
      <c r="I6" s="172" t="s">
        <v>203</v>
      </c>
      <c r="J6" s="56">
        <f t="shared" ref="J6:J25" si="2">REPLACE(I6,FIND(".",I6),1,",")*1</f>
        <v>2</v>
      </c>
      <c r="L6" s="54">
        <v>50.0</v>
      </c>
    </row>
    <row r="7">
      <c r="E7" s="173">
        <v>45397.0</v>
      </c>
      <c r="F7" s="56">
        <f t="shared" si="1"/>
        <v>15.04</v>
      </c>
      <c r="I7" s="172" t="s">
        <v>204</v>
      </c>
      <c r="J7" s="56">
        <f t="shared" si="2"/>
        <v>33.15</v>
      </c>
      <c r="L7" s="54">
        <v>50.0</v>
      </c>
    </row>
    <row r="8">
      <c r="E8" s="174" t="s">
        <v>205</v>
      </c>
      <c r="F8" s="56">
        <f t="shared" si="1"/>
        <v>12.7</v>
      </c>
      <c r="I8" s="172" t="s">
        <v>206</v>
      </c>
      <c r="J8" s="56">
        <f t="shared" si="2"/>
        <v>1.67</v>
      </c>
      <c r="L8" s="54">
        <v>40.0</v>
      </c>
    </row>
    <row r="9">
      <c r="E9" s="171" t="s">
        <v>207</v>
      </c>
      <c r="F9" s="56">
        <f t="shared" si="1"/>
        <v>2.18</v>
      </c>
      <c r="I9" s="172" t="s">
        <v>208</v>
      </c>
      <c r="J9" s="56">
        <f t="shared" si="2"/>
        <v>7.25</v>
      </c>
      <c r="L9" s="54">
        <v>40.0</v>
      </c>
    </row>
    <row r="10">
      <c r="E10" s="174" t="s">
        <v>209</v>
      </c>
      <c r="F10" s="56">
        <f t="shared" si="1"/>
        <v>3.44</v>
      </c>
      <c r="I10" s="172" t="s">
        <v>210</v>
      </c>
      <c r="J10" s="56">
        <f t="shared" si="2"/>
        <v>5.42</v>
      </c>
      <c r="L10" s="54">
        <v>40.0</v>
      </c>
    </row>
    <row r="11">
      <c r="E11" s="171" t="s">
        <v>211</v>
      </c>
      <c r="F11" s="56">
        <f t="shared" si="1"/>
        <v>8.24</v>
      </c>
      <c r="I11" s="172" t="s">
        <v>212</v>
      </c>
      <c r="J11" s="56">
        <f t="shared" si="2"/>
        <v>10.69</v>
      </c>
      <c r="L11" s="54">
        <v>30.0</v>
      </c>
    </row>
    <row r="12">
      <c r="E12" s="174" t="s">
        <v>213</v>
      </c>
      <c r="F12" s="56">
        <f t="shared" si="1"/>
        <v>3.71</v>
      </c>
      <c r="I12" s="172" t="s">
        <v>214</v>
      </c>
      <c r="J12" s="56">
        <f t="shared" si="2"/>
        <v>16.25</v>
      </c>
      <c r="L12" s="54">
        <v>40.0</v>
      </c>
    </row>
    <row r="13">
      <c r="E13" s="171" t="s">
        <v>215</v>
      </c>
      <c r="F13" s="56">
        <f t="shared" si="1"/>
        <v>0.66</v>
      </c>
      <c r="I13" s="172" t="s">
        <v>215</v>
      </c>
      <c r="J13" s="56">
        <f t="shared" si="2"/>
        <v>0.66</v>
      </c>
      <c r="L13" s="54">
        <v>40.0</v>
      </c>
    </row>
    <row r="14">
      <c r="E14" s="175">
        <v>45422.0</v>
      </c>
      <c r="F14" s="56">
        <f t="shared" si="1"/>
        <v>10.05</v>
      </c>
      <c r="I14" s="172" t="s">
        <v>216</v>
      </c>
      <c r="J14" s="56">
        <f t="shared" si="2"/>
        <v>4.27</v>
      </c>
      <c r="L14" s="54">
        <v>30.0</v>
      </c>
    </row>
    <row r="15">
      <c r="E15" s="171" t="s">
        <v>217</v>
      </c>
      <c r="F15" s="56">
        <f t="shared" si="1"/>
        <v>4.26</v>
      </c>
      <c r="I15" s="172" t="s">
        <v>218</v>
      </c>
      <c r="J15" s="56">
        <f t="shared" si="2"/>
        <v>7.49</v>
      </c>
      <c r="L15" s="54">
        <v>30.0</v>
      </c>
    </row>
    <row r="16">
      <c r="I16" s="176">
        <v>45386.0</v>
      </c>
      <c r="J16" s="56">
        <f t="shared" si="2"/>
        <v>4.04</v>
      </c>
      <c r="L16" s="54">
        <v>30.0</v>
      </c>
    </row>
    <row r="17">
      <c r="I17" s="172" t="s">
        <v>219</v>
      </c>
      <c r="J17" s="56">
        <f t="shared" si="2"/>
        <v>10.63</v>
      </c>
      <c r="L17" s="54">
        <v>30.0</v>
      </c>
    </row>
    <row r="18">
      <c r="I18" s="172" t="s">
        <v>220</v>
      </c>
      <c r="J18" s="56">
        <f t="shared" si="2"/>
        <v>17.32</v>
      </c>
      <c r="L18" s="54">
        <v>30.0</v>
      </c>
    </row>
    <row r="19">
      <c r="I19" s="176">
        <v>45298.0</v>
      </c>
      <c r="J19" s="56">
        <f t="shared" si="2"/>
        <v>7.01</v>
      </c>
      <c r="L19" s="54">
        <v>30.0</v>
      </c>
    </row>
    <row r="20">
      <c r="I20" s="176">
        <v>45427.0</v>
      </c>
      <c r="J20" s="56">
        <f t="shared" si="2"/>
        <v>15.05</v>
      </c>
      <c r="L20" s="54">
        <v>30.0</v>
      </c>
    </row>
    <row r="21">
      <c r="I21" s="172" t="s">
        <v>221</v>
      </c>
      <c r="J21" s="56">
        <f t="shared" si="2"/>
        <v>4.66</v>
      </c>
      <c r="L21" s="54">
        <v>30.0</v>
      </c>
    </row>
    <row r="22">
      <c r="I22" s="172" t="s">
        <v>222</v>
      </c>
      <c r="J22" s="56">
        <f t="shared" si="2"/>
        <v>12.39</v>
      </c>
      <c r="L22" s="54">
        <v>30.0</v>
      </c>
    </row>
    <row r="23">
      <c r="I23" s="172" t="s">
        <v>223</v>
      </c>
      <c r="J23" s="56">
        <f t="shared" si="2"/>
        <v>3.54</v>
      </c>
      <c r="L23" s="54">
        <v>30.0</v>
      </c>
    </row>
    <row r="24">
      <c r="I24" s="172" t="s">
        <v>224</v>
      </c>
      <c r="J24" s="56">
        <f t="shared" si="2"/>
        <v>2.85</v>
      </c>
      <c r="L24" s="54">
        <v>30.0</v>
      </c>
    </row>
    <row r="25">
      <c r="I25" s="172" t="s">
        <v>225</v>
      </c>
      <c r="J25" s="56">
        <f t="shared" si="2"/>
        <v>4.81</v>
      </c>
      <c r="L25" s="54">
        <v>30.0</v>
      </c>
    </row>
    <row r="28">
      <c r="B28" s="54" t="s">
        <v>226</v>
      </c>
    </row>
    <row r="29">
      <c r="B29" s="177"/>
    </row>
    <row r="30">
      <c r="E30" s="54"/>
      <c r="F30" s="54"/>
      <c r="H30" s="97"/>
      <c r="N30" s="54" t="s">
        <v>227</v>
      </c>
    </row>
    <row r="31">
      <c r="C31" s="178" t="s">
        <v>228</v>
      </c>
      <c r="D31" s="179"/>
      <c r="E31" s="179"/>
      <c r="F31" s="179"/>
      <c r="G31" s="179"/>
      <c r="H31" s="179"/>
    </row>
    <row r="32">
      <c r="C32" s="169" t="s">
        <v>229</v>
      </c>
      <c r="N32" s="54" t="s">
        <v>230</v>
      </c>
      <c r="O32" s="54" t="s">
        <v>231</v>
      </c>
      <c r="P32" s="54" t="s">
        <v>232</v>
      </c>
      <c r="Q32" s="54" t="s">
        <v>233</v>
      </c>
      <c r="R32" s="54" t="s">
        <v>234</v>
      </c>
      <c r="S32" s="54" t="s">
        <v>235</v>
      </c>
      <c r="T32" s="54" t="s">
        <v>236</v>
      </c>
      <c r="U32" s="54" t="s">
        <v>237</v>
      </c>
    </row>
    <row r="33">
      <c r="C33" s="180" t="s">
        <v>238</v>
      </c>
      <c r="N33" s="54" t="s">
        <v>239</v>
      </c>
      <c r="P33" s="54" t="e">
        <v>#DIV/0!</v>
      </c>
      <c r="Q33" s="54">
        <v>0.0</v>
      </c>
      <c r="R33" s="54">
        <v>0.0</v>
      </c>
      <c r="S33" s="54">
        <v>0.0</v>
      </c>
      <c r="T33" s="54">
        <v>0.0</v>
      </c>
      <c r="U33" s="54" t="e">
        <v>#DIV/0!</v>
      </c>
    </row>
    <row r="34">
      <c r="C34" s="180" t="s">
        <v>240</v>
      </c>
      <c r="N34" s="54" t="s">
        <v>241</v>
      </c>
      <c r="O34" s="54">
        <v>2.0</v>
      </c>
      <c r="P34" s="54">
        <v>4.0</v>
      </c>
      <c r="Q34" s="54">
        <v>3.0</v>
      </c>
      <c r="R34" s="54">
        <v>4.0</v>
      </c>
      <c r="S34" s="54">
        <v>5.0</v>
      </c>
      <c r="T34" s="54">
        <v>9.0</v>
      </c>
      <c r="U34" s="54">
        <v>2.97</v>
      </c>
    </row>
    <row r="35">
      <c r="O35" s="54">
        <v>3.0</v>
      </c>
      <c r="P35" s="54">
        <v>3.0</v>
      </c>
      <c r="Q35" s="54">
        <v>-4.0</v>
      </c>
      <c r="R35" s="54">
        <v>4.0</v>
      </c>
      <c r="S35" s="54">
        <v>6.0</v>
      </c>
      <c r="T35" s="54">
        <v>9.0</v>
      </c>
      <c r="U35" s="54">
        <v>2.17</v>
      </c>
    </row>
    <row r="36">
      <c r="C36" s="169" t="s">
        <v>242</v>
      </c>
      <c r="O36" s="54">
        <v>5.0</v>
      </c>
      <c r="P36" s="54">
        <v>3.0</v>
      </c>
      <c r="Q36" s="54">
        <v>3.0</v>
      </c>
      <c r="R36" s="54">
        <v>6.0</v>
      </c>
      <c r="S36" s="54">
        <v>7.0</v>
      </c>
      <c r="T36" s="54">
        <v>9.0</v>
      </c>
      <c r="U36" s="54">
        <v>2.14</v>
      </c>
    </row>
    <row r="37">
      <c r="C37" s="179" t="s">
        <v>243</v>
      </c>
      <c r="O37" s="54">
        <v>6.0</v>
      </c>
      <c r="P37" s="54" t="e">
        <v>#DIV/0!</v>
      </c>
      <c r="Q37" s="54">
        <v>0.0</v>
      </c>
      <c r="R37" s="54">
        <v>0.0</v>
      </c>
      <c r="S37" s="54">
        <v>0.0</v>
      </c>
      <c r="T37" s="54">
        <v>0.0</v>
      </c>
      <c r="U37" s="54">
        <v>2.96</v>
      </c>
    </row>
    <row r="38">
      <c r="N38" s="54" t="s">
        <v>244</v>
      </c>
      <c r="P38" s="54">
        <v>3.0</v>
      </c>
      <c r="Q38" s="54">
        <v>2.0</v>
      </c>
      <c r="R38" s="54">
        <v>14.0</v>
      </c>
      <c r="S38" s="54">
        <v>18.0</v>
      </c>
      <c r="T38" s="54">
        <v>27.0</v>
      </c>
      <c r="U38" s="54">
        <v>2.56</v>
      </c>
    </row>
    <row r="39">
      <c r="C39" s="169" t="s">
        <v>245</v>
      </c>
      <c r="N39" s="54" t="s">
        <v>246</v>
      </c>
      <c r="O39" s="54">
        <v>1.0</v>
      </c>
      <c r="P39" s="54">
        <v>13.0</v>
      </c>
      <c r="Q39" s="54">
        <v>-14.0</v>
      </c>
      <c r="R39" s="54">
        <v>4.0</v>
      </c>
      <c r="S39" s="54">
        <v>2.0</v>
      </c>
      <c r="T39" s="54">
        <v>8.0</v>
      </c>
      <c r="U39" s="54">
        <v>2.36</v>
      </c>
    </row>
    <row r="40">
      <c r="C40" s="179" t="s">
        <v>247</v>
      </c>
      <c r="D40" s="181">
        <v>8.0</v>
      </c>
      <c r="E40" s="182"/>
      <c r="F40" s="179"/>
      <c r="G40" s="179"/>
      <c r="H40" s="179"/>
      <c r="O40" s="54">
        <v>2.0</v>
      </c>
      <c r="P40" s="54">
        <v>11.0</v>
      </c>
      <c r="Q40" s="54">
        <v>107.0</v>
      </c>
      <c r="R40" s="54">
        <v>10.0</v>
      </c>
      <c r="S40" s="54">
        <v>8.0</v>
      </c>
      <c r="T40" s="54">
        <v>12.0</v>
      </c>
      <c r="U40" s="54">
        <v>2.24</v>
      </c>
    </row>
    <row r="41">
      <c r="C41" s="179" t="s">
        <v>248</v>
      </c>
      <c r="D41" s="181">
        <v>1.0</v>
      </c>
      <c r="E41" s="183"/>
      <c r="F41" s="179"/>
      <c r="G41" s="179"/>
      <c r="H41" s="179"/>
      <c r="O41" s="54">
        <v>3.0</v>
      </c>
      <c r="P41" s="54">
        <v>8.0</v>
      </c>
      <c r="Q41" s="54">
        <v>19.0</v>
      </c>
      <c r="R41" s="54">
        <v>11.0</v>
      </c>
      <c r="S41" s="54">
        <v>10.0</v>
      </c>
      <c r="T41" s="54">
        <v>19.0</v>
      </c>
      <c r="U41" s="54">
        <v>2.12</v>
      </c>
    </row>
    <row r="42">
      <c r="C42" s="184" t="s">
        <v>249</v>
      </c>
      <c r="D42" s="184">
        <v>2.0</v>
      </c>
      <c r="E42" s="179"/>
      <c r="F42" s="179"/>
      <c r="G42" s="179"/>
      <c r="H42" s="179"/>
      <c r="O42" s="54">
        <v>5.0</v>
      </c>
      <c r="P42" s="54">
        <v>6.0</v>
      </c>
      <c r="Q42" s="54">
        <v>1.0</v>
      </c>
      <c r="R42" s="54">
        <v>5.0</v>
      </c>
      <c r="S42" s="54">
        <v>8.0</v>
      </c>
      <c r="T42" s="54">
        <v>9.0</v>
      </c>
      <c r="U42" s="54">
        <v>2.41</v>
      </c>
    </row>
    <row r="43">
      <c r="O43" s="54">
        <v>6.0</v>
      </c>
      <c r="P43" s="54">
        <v>4.0</v>
      </c>
      <c r="Q43" s="54">
        <v>4.0</v>
      </c>
      <c r="R43" s="54">
        <v>1.0</v>
      </c>
      <c r="S43" s="54">
        <v>1.0</v>
      </c>
      <c r="T43" s="54">
        <v>1.0</v>
      </c>
      <c r="U43" s="54">
        <v>2.6</v>
      </c>
    </row>
    <row r="44">
      <c r="O44" s="54">
        <v>7.0</v>
      </c>
      <c r="P44" s="54" t="e">
        <v>#DIV/0!</v>
      </c>
      <c r="Q44" s="54">
        <v>0.0</v>
      </c>
      <c r="R44" s="54">
        <v>0.0</v>
      </c>
      <c r="S44" s="54">
        <v>0.0</v>
      </c>
      <c r="T44" s="54">
        <v>0.0</v>
      </c>
      <c r="U44" s="54" t="e">
        <v>#DIV/0!</v>
      </c>
    </row>
    <row r="45">
      <c r="C45" s="185" t="s">
        <v>250</v>
      </c>
      <c r="D45" s="179"/>
      <c r="E45" s="179"/>
      <c r="F45" s="179"/>
      <c r="G45" s="179"/>
      <c r="H45" s="179"/>
      <c r="N45" s="54" t="s">
        <v>251</v>
      </c>
      <c r="P45" s="54">
        <v>9.0</v>
      </c>
      <c r="Q45" s="54">
        <v>117.0</v>
      </c>
      <c r="R45" s="54">
        <v>31.0</v>
      </c>
      <c r="S45" s="54">
        <v>29.0</v>
      </c>
      <c r="T45" s="54">
        <v>49.0</v>
      </c>
      <c r="U45" s="54">
        <v>2.27</v>
      </c>
    </row>
    <row r="46">
      <c r="C46" s="46"/>
      <c r="D46" s="186" t="s">
        <v>233</v>
      </c>
      <c r="E46" s="187" t="s">
        <v>232</v>
      </c>
      <c r="F46" s="188" t="s">
        <v>252</v>
      </c>
      <c r="G46" s="188" t="s">
        <v>253</v>
      </c>
      <c r="H46" s="189" t="s">
        <v>254</v>
      </c>
      <c r="N46" s="54" t="s">
        <v>255</v>
      </c>
      <c r="O46" s="54">
        <v>1.0</v>
      </c>
      <c r="P46" s="54">
        <v>19.0</v>
      </c>
      <c r="Q46" s="54">
        <v>11.0</v>
      </c>
      <c r="R46" s="54">
        <v>6.0</v>
      </c>
      <c r="S46" s="54">
        <v>6.0</v>
      </c>
      <c r="T46" s="54">
        <v>9.0</v>
      </c>
      <c r="U46" s="54">
        <v>1.97</v>
      </c>
    </row>
    <row r="47">
      <c r="C47" s="190" t="s">
        <v>256</v>
      </c>
      <c r="D47" s="77">
        <v>2.218076890279357</v>
      </c>
      <c r="E47" s="191">
        <v>3.4712797508335935</v>
      </c>
      <c r="F47" s="192">
        <f t="shared" ref="F47:F51" si="3">D47/E47</f>
        <v>0.6389795838</v>
      </c>
      <c r="G47" s="193">
        <f t="shared" ref="G47:G51" si="4">F47*$H$56+$H$57</f>
        <v>-0.2140590541</v>
      </c>
      <c r="H47" s="192">
        <f t="shared" ref="H47:H51" si="5">$D$41*G47</f>
        <v>-0.2140590541</v>
      </c>
      <c r="O47" s="54">
        <v>2.0</v>
      </c>
      <c r="P47" s="54">
        <v>13.0</v>
      </c>
      <c r="Q47" s="54">
        <v>-50.0</v>
      </c>
      <c r="R47" s="54">
        <v>3.0</v>
      </c>
      <c r="S47" s="54">
        <v>4.0</v>
      </c>
      <c r="T47" s="54">
        <v>9.0</v>
      </c>
      <c r="U47" s="54">
        <v>2.1</v>
      </c>
    </row>
    <row r="48">
      <c r="C48" s="190" t="s">
        <v>257</v>
      </c>
      <c r="D48" s="77">
        <v>117.43576698279111</v>
      </c>
      <c r="E48" s="191">
        <v>8.88989710568551</v>
      </c>
      <c r="F48" s="192">
        <f t="shared" si="3"/>
        <v>13.21002545</v>
      </c>
      <c r="G48" s="193">
        <f t="shared" si="4"/>
        <v>1</v>
      </c>
      <c r="H48" s="192">
        <f t="shared" si="5"/>
        <v>1</v>
      </c>
      <c r="O48" s="54">
        <v>3.0</v>
      </c>
      <c r="P48" s="54">
        <v>12.0</v>
      </c>
      <c r="Q48" s="54">
        <v>-24.0</v>
      </c>
      <c r="R48" s="54">
        <v>4.0</v>
      </c>
      <c r="S48" s="54">
        <v>5.0</v>
      </c>
      <c r="T48" s="54">
        <v>9.0</v>
      </c>
      <c r="U48" s="54">
        <v>2.85</v>
      </c>
    </row>
    <row r="49">
      <c r="C49" s="190" t="s">
        <v>258</v>
      </c>
      <c r="D49" s="77">
        <v>-87.16470906852656</v>
      </c>
      <c r="E49" s="191">
        <v>12.897026659771983</v>
      </c>
      <c r="F49" s="192">
        <f t="shared" si="3"/>
        <v>-6.758511971</v>
      </c>
      <c r="G49" s="193">
        <f t="shared" si="4"/>
        <v>-0.9284778621</v>
      </c>
      <c r="H49" s="192">
        <f t="shared" si="5"/>
        <v>-0.9284778621</v>
      </c>
      <c r="O49" s="54">
        <v>5.0</v>
      </c>
      <c r="P49" s="54">
        <v>8.0</v>
      </c>
      <c r="Q49" s="54">
        <v>-24.0</v>
      </c>
      <c r="R49" s="54">
        <v>4.0</v>
      </c>
      <c r="S49" s="54">
        <v>5.0</v>
      </c>
      <c r="T49" s="54">
        <v>9.0</v>
      </c>
      <c r="U49" s="54">
        <v>1.99</v>
      </c>
    </row>
    <row r="50">
      <c r="C50" s="190" t="s">
        <v>259</v>
      </c>
      <c r="D50" s="77">
        <v>-71.9922933847332</v>
      </c>
      <c r="E50" s="194">
        <v>9.600134510759275</v>
      </c>
      <c r="F50" s="192">
        <f t="shared" si="3"/>
        <v>-7.499092154</v>
      </c>
      <c r="G50" s="193">
        <f t="shared" si="4"/>
        <v>-1</v>
      </c>
      <c r="H50" s="192">
        <f t="shared" si="5"/>
        <v>-1</v>
      </c>
      <c r="O50" s="54">
        <v>6.0</v>
      </c>
      <c r="P50" s="54" t="e">
        <v>#DIV/0!</v>
      </c>
      <c r="Q50" s="54">
        <v>0.0</v>
      </c>
      <c r="R50" s="54">
        <v>0.0</v>
      </c>
      <c r="S50" s="54">
        <v>0.0</v>
      </c>
      <c r="T50" s="54">
        <v>0.0</v>
      </c>
      <c r="U50" s="54">
        <v>2.3</v>
      </c>
    </row>
    <row r="51">
      <c r="C51" s="190" t="s">
        <v>260</v>
      </c>
      <c r="D51" s="77">
        <v>69.75316711743062</v>
      </c>
      <c r="E51" s="194">
        <v>7.3402647895091775</v>
      </c>
      <c r="F51" s="192">
        <f t="shared" si="3"/>
        <v>9.50281347</v>
      </c>
      <c r="G51" s="193">
        <f t="shared" si="4"/>
        <v>0.6419729659</v>
      </c>
      <c r="H51" s="192">
        <f t="shared" si="5"/>
        <v>0.6419729659</v>
      </c>
      <c r="N51" s="54" t="s">
        <v>261</v>
      </c>
      <c r="P51" s="54">
        <v>13.0</v>
      </c>
      <c r="Q51" s="54">
        <v>-87.0</v>
      </c>
      <c r="R51" s="54">
        <v>17.0</v>
      </c>
      <c r="S51" s="54">
        <v>20.0</v>
      </c>
      <c r="T51" s="54">
        <v>36.0</v>
      </c>
      <c r="U51" s="54">
        <v>2.24</v>
      </c>
    </row>
    <row r="52">
      <c r="C52" s="179"/>
      <c r="D52" s="179"/>
      <c r="E52" s="179"/>
      <c r="F52" s="179"/>
      <c r="G52" s="179"/>
      <c r="H52" s="179"/>
      <c r="N52" s="54" t="s">
        <v>262</v>
      </c>
      <c r="O52" s="54">
        <v>1.0</v>
      </c>
      <c r="P52" s="54">
        <v>8.0</v>
      </c>
      <c r="Q52" s="54">
        <v>28.0</v>
      </c>
      <c r="R52" s="54">
        <v>7.0</v>
      </c>
      <c r="S52" s="54">
        <v>6.0</v>
      </c>
      <c r="T52" s="54">
        <v>9.0</v>
      </c>
      <c r="U52" s="54">
        <v>2.27</v>
      </c>
    </row>
    <row r="53">
      <c r="C53" s="179"/>
      <c r="D53" s="179"/>
      <c r="E53" s="179"/>
      <c r="F53" s="179"/>
      <c r="G53" s="179"/>
      <c r="H53" s="179"/>
      <c r="O53" s="54">
        <v>2.0</v>
      </c>
      <c r="P53" s="54">
        <v>13.0</v>
      </c>
      <c r="Q53" s="54">
        <v>-42.0</v>
      </c>
      <c r="R53" s="54">
        <v>5.0</v>
      </c>
      <c r="S53" s="54">
        <v>7.0</v>
      </c>
      <c r="T53" s="54">
        <v>11.0</v>
      </c>
      <c r="U53" s="54">
        <v>2.47</v>
      </c>
    </row>
    <row r="54">
      <c r="C54" s="179"/>
      <c r="O54" s="54">
        <v>3.0</v>
      </c>
      <c r="P54" s="54">
        <v>10.0</v>
      </c>
      <c r="Q54" s="54">
        <v>-55.0</v>
      </c>
      <c r="R54" s="54">
        <v>2.0</v>
      </c>
      <c r="S54" s="54">
        <v>6.0</v>
      </c>
      <c r="T54" s="54">
        <v>10.0</v>
      </c>
      <c r="U54" s="54">
        <v>2.97</v>
      </c>
    </row>
    <row r="55">
      <c r="C55" s="179"/>
      <c r="D55" s="169" t="s">
        <v>263</v>
      </c>
      <c r="O55" s="54">
        <v>5.0</v>
      </c>
      <c r="P55" s="54">
        <v>7.0</v>
      </c>
      <c r="Q55" s="54">
        <v>-3.0</v>
      </c>
      <c r="R55" s="54">
        <v>5.0</v>
      </c>
      <c r="S55" s="54">
        <v>6.0</v>
      </c>
      <c r="T55" s="54">
        <v>10.0</v>
      </c>
      <c r="U55" s="54">
        <v>2.29</v>
      </c>
    </row>
    <row r="56">
      <c r="C56" s="179"/>
      <c r="D56" s="195" t="s">
        <v>264</v>
      </c>
      <c r="E56" s="196">
        <f>MIN(F47:F51)</f>
        <v>-7.499092154</v>
      </c>
      <c r="F56" s="179"/>
      <c r="G56" s="179" t="s">
        <v>265</v>
      </c>
      <c r="H56" s="197">
        <f>(E59-E57)/(E58-E56)</f>
        <v>0.09657581934</v>
      </c>
      <c r="O56" s="54">
        <v>6.0</v>
      </c>
      <c r="P56" s="54" t="e">
        <v>#DIV/0!</v>
      </c>
      <c r="Q56" s="54">
        <v>0.0</v>
      </c>
      <c r="R56" s="54">
        <v>0.0</v>
      </c>
      <c r="S56" s="54">
        <v>0.0</v>
      </c>
      <c r="T56" s="54">
        <v>0.0</v>
      </c>
      <c r="U56" s="54">
        <v>2.6</v>
      </c>
    </row>
    <row r="57">
      <c r="C57" s="179"/>
      <c r="D57" s="195" t="s">
        <v>266</v>
      </c>
      <c r="E57" s="195">
        <v>-1.0</v>
      </c>
      <c r="F57" s="179"/>
      <c r="G57" s="179" t="s">
        <v>267</v>
      </c>
      <c r="H57" s="197">
        <f>E59-H56*E58</f>
        <v>-0.275769031</v>
      </c>
      <c r="N57" s="54" t="s">
        <v>268</v>
      </c>
      <c r="P57" s="54">
        <v>10.0</v>
      </c>
      <c r="Q57" s="54">
        <v>-72.0</v>
      </c>
      <c r="R57" s="54">
        <v>19.0</v>
      </c>
      <c r="S57" s="54">
        <v>25.0</v>
      </c>
      <c r="T57" s="54">
        <v>40.0</v>
      </c>
      <c r="U57" s="54">
        <v>2.52</v>
      </c>
    </row>
    <row r="58">
      <c r="C58" s="179"/>
      <c r="D58" s="195" t="s">
        <v>269</v>
      </c>
      <c r="E58" s="196">
        <f>MAX(F47:F51)</f>
        <v>13.21002545</v>
      </c>
      <c r="F58" s="179"/>
      <c r="G58" s="179"/>
      <c r="H58" s="179"/>
      <c r="N58" s="54" t="s">
        <v>270</v>
      </c>
      <c r="O58" s="54">
        <v>1.0</v>
      </c>
      <c r="P58" s="54">
        <v>11.0</v>
      </c>
      <c r="Q58" s="54">
        <v>81.0</v>
      </c>
      <c r="R58" s="54">
        <v>6.0</v>
      </c>
      <c r="S58" s="54">
        <v>1.0</v>
      </c>
      <c r="T58" s="54">
        <v>8.0</v>
      </c>
      <c r="U58" s="54">
        <v>2.99</v>
      </c>
    </row>
    <row r="59">
      <c r="D59" s="195" t="s">
        <v>271</v>
      </c>
      <c r="E59" s="195">
        <v>1.0</v>
      </c>
      <c r="F59" s="179"/>
      <c r="G59" s="179"/>
      <c r="H59" s="179"/>
      <c r="O59" s="54">
        <v>2.0</v>
      </c>
      <c r="P59" s="54">
        <v>13.0</v>
      </c>
      <c r="Q59" s="54">
        <v>-88.0</v>
      </c>
      <c r="R59" s="54">
        <v>2.0</v>
      </c>
      <c r="S59" s="54">
        <v>4.0</v>
      </c>
      <c r="T59" s="54">
        <v>10.0</v>
      </c>
      <c r="U59" s="54">
        <v>2.49</v>
      </c>
    </row>
    <row r="60">
      <c r="O60" s="54">
        <v>3.0</v>
      </c>
      <c r="P60" s="54">
        <v>4.0</v>
      </c>
      <c r="Q60" s="54">
        <v>56.0</v>
      </c>
      <c r="R60" s="54">
        <v>7.0</v>
      </c>
      <c r="S60" s="54">
        <v>6.0</v>
      </c>
      <c r="T60" s="54">
        <v>12.0</v>
      </c>
      <c r="U60" s="54">
        <v>3.19</v>
      </c>
    </row>
    <row r="61">
      <c r="O61" s="54">
        <v>5.0</v>
      </c>
      <c r="P61" s="54">
        <v>3.0</v>
      </c>
      <c r="Q61" s="54">
        <v>21.0</v>
      </c>
      <c r="R61" s="54">
        <v>6.0</v>
      </c>
      <c r="S61" s="54">
        <v>3.0</v>
      </c>
      <c r="T61" s="54">
        <v>8.0</v>
      </c>
      <c r="U61" s="54">
        <v>2.31</v>
      </c>
    </row>
    <row r="62">
      <c r="C62" s="185" t="s">
        <v>272</v>
      </c>
      <c r="O62" s="54">
        <v>6.0</v>
      </c>
      <c r="P62" s="54">
        <v>3.0</v>
      </c>
      <c r="Q62" s="54">
        <v>-1.0</v>
      </c>
      <c r="R62" s="54">
        <v>1.0</v>
      </c>
      <c r="S62" s="54">
        <v>1.0</v>
      </c>
      <c r="T62" s="54">
        <v>2.0</v>
      </c>
      <c r="U62" s="54">
        <v>2.83</v>
      </c>
    </row>
    <row r="63">
      <c r="C63" s="198" t="s">
        <v>1</v>
      </c>
      <c r="D63" s="199" t="s">
        <v>273</v>
      </c>
      <c r="E63" s="199" t="s">
        <v>274</v>
      </c>
      <c r="F63" s="190" t="s">
        <v>275</v>
      </c>
      <c r="G63" s="200" t="s">
        <v>232</v>
      </c>
      <c r="H63" s="198" t="s">
        <v>252</v>
      </c>
      <c r="I63" s="198" t="s">
        <v>253</v>
      </c>
      <c r="J63" s="190" t="s">
        <v>254</v>
      </c>
      <c r="O63" s="54">
        <v>7.0</v>
      </c>
      <c r="P63" s="54" t="e">
        <v>#DIV/0!</v>
      </c>
      <c r="Q63" s="54">
        <v>0.0</v>
      </c>
      <c r="R63" s="54">
        <v>0.0</v>
      </c>
      <c r="S63" s="54">
        <v>0.0</v>
      </c>
      <c r="T63" s="54">
        <v>0.0</v>
      </c>
      <c r="U63" s="54">
        <v>1.4</v>
      </c>
    </row>
    <row r="64">
      <c r="C64" s="190" t="s">
        <v>259</v>
      </c>
      <c r="D64" s="201">
        <v>-96.12206532171952</v>
      </c>
      <c r="E64" s="201">
        <v>61.05164821070468</v>
      </c>
      <c r="F64" s="201">
        <f t="shared" ref="F64:F68" si="6">-D64-E64</f>
        <v>35.07041711</v>
      </c>
      <c r="G64" s="194">
        <v>9.600134510759275</v>
      </c>
      <c r="H64" s="91">
        <f t="shared" ref="H64:H68" si="7">F64/G64</f>
        <v>3.653117263</v>
      </c>
      <c r="I64" s="70">
        <f t="shared" ref="I64:I68" si="8">H64*$H$72+$H$73</f>
        <v>0.5469344344</v>
      </c>
      <c r="J64" s="91">
        <f t="shared" ref="J64:J68" si="9">$D$42*I64</f>
        <v>1.093868869</v>
      </c>
      <c r="N64" s="54" t="s">
        <v>276</v>
      </c>
      <c r="P64" s="54">
        <v>7.0</v>
      </c>
      <c r="Q64" s="54">
        <v>70.0</v>
      </c>
      <c r="R64" s="54">
        <v>22.0</v>
      </c>
      <c r="S64" s="54">
        <v>15.0</v>
      </c>
      <c r="T64" s="54">
        <v>40.0</v>
      </c>
      <c r="U64" s="54">
        <v>2.76</v>
      </c>
    </row>
    <row r="65">
      <c r="C65" s="190" t="s">
        <v>258</v>
      </c>
      <c r="D65" s="201">
        <v>-62.37029829030138</v>
      </c>
      <c r="E65" s="201">
        <v>82.15834264614577</v>
      </c>
      <c r="F65" s="201">
        <f t="shared" si="6"/>
        <v>-19.78804436</v>
      </c>
      <c r="G65" s="191">
        <v>12.897026659771983</v>
      </c>
      <c r="H65" s="91">
        <f t="shared" si="7"/>
        <v>-1.534310572</v>
      </c>
      <c r="I65" s="70">
        <f t="shared" si="8"/>
        <v>-0.07014490361</v>
      </c>
      <c r="J65" s="91">
        <f t="shared" si="9"/>
        <v>-0.1402898072</v>
      </c>
      <c r="N65" s="54" t="s">
        <v>277</v>
      </c>
      <c r="P65" s="54">
        <v>9.0</v>
      </c>
      <c r="Q65" s="54">
        <v>30.0</v>
      </c>
      <c r="R65" s="54">
        <v>103.0</v>
      </c>
      <c r="S65" s="54">
        <v>107.0</v>
      </c>
      <c r="T65" s="54">
        <v>192.0</v>
      </c>
      <c r="U65" s="54">
        <v>2.47</v>
      </c>
    </row>
    <row r="66">
      <c r="C66" s="190" t="s">
        <v>256</v>
      </c>
      <c r="D66" s="201">
        <v>-22.43156248312783</v>
      </c>
      <c r="E66" s="201">
        <v>15.66609357954561</v>
      </c>
      <c r="F66" s="201">
        <f t="shared" si="6"/>
        <v>6.765468904</v>
      </c>
      <c r="G66" s="191">
        <v>3.4712797508335935</v>
      </c>
      <c r="H66" s="91">
        <f t="shared" si="7"/>
        <v>1.94898406</v>
      </c>
      <c r="I66" s="70">
        <f t="shared" si="8"/>
        <v>0.3442163587</v>
      </c>
      <c r="J66" s="91">
        <f t="shared" si="9"/>
        <v>0.6884327174</v>
      </c>
    </row>
    <row r="67">
      <c r="C67" s="190" t="s">
        <v>260</v>
      </c>
      <c r="D67" s="201">
        <v>-84.44050056166753</v>
      </c>
      <c r="E67" s="201">
        <v>29.669085180995246</v>
      </c>
      <c r="F67" s="201">
        <f t="shared" si="6"/>
        <v>54.77141538</v>
      </c>
      <c r="G67" s="194">
        <v>7.3402647895091775</v>
      </c>
      <c r="H67" s="91">
        <f t="shared" si="7"/>
        <v>7.46177651</v>
      </c>
      <c r="I67" s="70">
        <f t="shared" si="8"/>
        <v>1</v>
      </c>
      <c r="J67" s="91">
        <f t="shared" si="9"/>
        <v>2</v>
      </c>
    </row>
    <row r="68">
      <c r="C68" s="190" t="s">
        <v>257</v>
      </c>
      <c r="D68" s="201">
        <v>-31.869110332857847</v>
      </c>
      <c r="E68" s="201">
        <v>114.99909530277726</v>
      </c>
      <c r="F68" s="201">
        <f t="shared" si="6"/>
        <v>-83.12998497</v>
      </c>
      <c r="G68" s="191">
        <v>8.88989710568551</v>
      </c>
      <c r="H68" s="91">
        <f t="shared" si="7"/>
        <v>-9.351062671</v>
      </c>
      <c r="I68" s="70">
        <f t="shared" si="8"/>
        <v>-1</v>
      </c>
      <c r="J68" s="91">
        <f t="shared" si="9"/>
        <v>-2</v>
      </c>
    </row>
    <row r="69">
      <c r="D69" s="202"/>
      <c r="E69" s="202"/>
      <c r="F69" s="18"/>
    </row>
    <row r="71">
      <c r="D71" s="169" t="s">
        <v>263</v>
      </c>
    </row>
    <row r="72">
      <c r="D72" s="195" t="s">
        <v>264</v>
      </c>
      <c r="E72" s="196">
        <f>MIN(H64:H68)</f>
        <v>-9.351062671</v>
      </c>
      <c r="F72" s="179"/>
      <c r="G72" s="179" t="s">
        <v>265</v>
      </c>
      <c r="H72" s="197">
        <f>(E75-E73)/(E74-E72)</f>
        <v>0.1189567079</v>
      </c>
    </row>
    <row r="73">
      <c r="D73" s="195" t="s">
        <v>266</v>
      </c>
      <c r="E73" s="195">
        <v>-1.0</v>
      </c>
      <c r="F73" s="179"/>
      <c r="G73" s="179" t="s">
        <v>267</v>
      </c>
      <c r="H73" s="197">
        <f>E75-H72*E74</f>
        <v>0.112371631</v>
      </c>
    </row>
    <row r="74">
      <c r="D74" s="195" t="s">
        <v>269</v>
      </c>
      <c r="E74" s="196">
        <f>MAX(H64:H68)</f>
        <v>7.46177651</v>
      </c>
      <c r="F74" s="179"/>
      <c r="G74" s="179"/>
      <c r="H74" s="179"/>
    </row>
    <row r="75">
      <c r="D75" s="195" t="s">
        <v>271</v>
      </c>
      <c r="E75" s="195">
        <v>1.0</v>
      </c>
      <c r="F75" s="179"/>
      <c r="G75" s="179"/>
      <c r="H75" s="179"/>
    </row>
    <row r="78">
      <c r="C78" s="185" t="s">
        <v>278</v>
      </c>
    </row>
    <row r="80">
      <c r="C80" s="67"/>
      <c r="D80" s="190" t="s">
        <v>279</v>
      </c>
      <c r="E80" s="190" t="s">
        <v>280</v>
      </c>
      <c r="F80" s="190" t="s">
        <v>281</v>
      </c>
      <c r="G80" s="190" t="s">
        <v>28</v>
      </c>
    </row>
    <row r="81">
      <c r="C81" s="190" t="s">
        <v>259</v>
      </c>
      <c r="D81" s="67">
        <f t="shared" ref="D81:D85" si="10">$D$40</f>
        <v>8</v>
      </c>
      <c r="E81" s="91">
        <f t="shared" ref="E81:E85" si="11">VLOOKUP(C81,$C$47:$H$51,6,false)</f>
        <v>-1</v>
      </c>
      <c r="F81" s="91">
        <f t="shared" ref="F81:F85" si="12">VLOOKUP(C81,$C$64:$J$68,8,false)</f>
        <v>1.093868869</v>
      </c>
      <c r="G81" s="91">
        <f t="shared" ref="G81:G85" si="13">D81+E81+F81</f>
        <v>8.093868869</v>
      </c>
    </row>
    <row r="82">
      <c r="C82" s="190" t="s">
        <v>258</v>
      </c>
      <c r="D82" s="67">
        <f t="shared" si="10"/>
        <v>8</v>
      </c>
      <c r="E82" s="91">
        <f t="shared" si="11"/>
        <v>-0.9284778621</v>
      </c>
      <c r="F82" s="91">
        <f t="shared" si="12"/>
        <v>-0.1402898072</v>
      </c>
      <c r="G82" s="91">
        <f t="shared" si="13"/>
        <v>6.931232331</v>
      </c>
    </row>
    <row r="83">
      <c r="C83" s="190" t="s">
        <v>256</v>
      </c>
      <c r="D83" s="67">
        <f t="shared" si="10"/>
        <v>8</v>
      </c>
      <c r="E83" s="91">
        <f t="shared" si="11"/>
        <v>-0.2140590541</v>
      </c>
      <c r="F83" s="91">
        <f t="shared" si="12"/>
        <v>0.6884327174</v>
      </c>
      <c r="G83" s="91">
        <f t="shared" si="13"/>
        <v>8.474373663</v>
      </c>
    </row>
    <row r="84">
      <c r="C84" s="190" t="s">
        <v>260</v>
      </c>
      <c r="D84" s="67">
        <f t="shared" si="10"/>
        <v>8</v>
      </c>
      <c r="E84" s="91">
        <f t="shared" si="11"/>
        <v>0.6419729659</v>
      </c>
      <c r="F84" s="91">
        <f t="shared" si="12"/>
        <v>2</v>
      </c>
      <c r="G84" s="91">
        <f t="shared" si="13"/>
        <v>10.64197297</v>
      </c>
    </row>
    <row r="85">
      <c r="C85" s="190" t="s">
        <v>257</v>
      </c>
      <c r="D85" s="67">
        <f t="shared" si="10"/>
        <v>8</v>
      </c>
      <c r="E85" s="91">
        <f t="shared" si="11"/>
        <v>1</v>
      </c>
      <c r="F85" s="91">
        <f t="shared" si="12"/>
        <v>-2</v>
      </c>
      <c r="G85" s="91">
        <f t="shared" si="13"/>
        <v>7</v>
      </c>
    </row>
    <row r="86">
      <c r="G86" s="92">
        <f>AVERAGE(G81:G85)</f>
        <v>8.228289566</v>
      </c>
    </row>
    <row r="99">
      <c r="C99" s="203" t="s">
        <v>282</v>
      </c>
    </row>
    <row r="100">
      <c r="C100" s="67"/>
      <c r="D100" s="190" t="s">
        <v>4</v>
      </c>
      <c r="E100" s="204" t="s">
        <v>283</v>
      </c>
      <c r="F100" s="204" t="s">
        <v>28</v>
      </c>
      <c r="G100" s="190" t="s">
        <v>284</v>
      </c>
      <c r="H100" s="190" t="s">
        <v>285</v>
      </c>
      <c r="I100" s="190" t="s">
        <v>286</v>
      </c>
      <c r="J100" s="190" t="s">
        <v>287</v>
      </c>
      <c r="K100" s="190" t="s">
        <v>288</v>
      </c>
      <c r="L100" s="190" t="s">
        <v>289</v>
      </c>
      <c r="M100" s="205" t="s">
        <v>42</v>
      </c>
    </row>
    <row r="101">
      <c r="C101" s="190" t="s">
        <v>258</v>
      </c>
      <c r="D101" s="66">
        <v>682.0</v>
      </c>
      <c r="E101" s="206">
        <v>9.0</v>
      </c>
      <c r="F101" s="207">
        <f t="shared" ref="F101:F105" si="14">VLOOKUP(C101,$C$81:$G$85,5,FALSE())</f>
        <v>6.931232331</v>
      </c>
      <c r="G101" s="208">
        <f>F101/'Modelos actuales'!AT3</f>
        <v>0.2772492932</v>
      </c>
      <c r="H101" s="208">
        <f>$E101*'Modelos actuales'!AL3*$G101</f>
        <v>-0.120915422</v>
      </c>
      <c r="I101" s="208">
        <f>$E101*'Modelos actuales'!AM3*$G101</f>
        <v>-0.01615272265</v>
      </c>
      <c r="J101" s="208">
        <f>$E101*'Modelos actuales'!AN3*$G101</f>
        <v>0.1103992352</v>
      </c>
      <c r="K101" s="208">
        <f>$E101*'Modelos actuales'!AO3*$G101</f>
        <v>0.2181383884</v>
      </c>
      <c r="L101" s="208">
        <f>$E101*'Modelos actuales'!AP3*$G101</f>
        <v>0.3438137472</v>
      </c>
      <c r="M101" s="162">
        <f t="shared" ref="M101:M107" si="15">L101-H101</f>
        <v>0.4647291693</v>
      </c>
    </row>
    <row r="102">
      <c r="C102" s="190" t="s">
        <v>259</v>
      </c>
      <c r="D102" s="66">
        <v>2484.0</v>
      </c>
      <c r="E102" s="206">
        <v>10.0</v>
      </c>
      <c r="F102" s="207">
        <f t="shared" si="14"/>
        <v>8.093868869</v>
      </c>
      <c r="G102" s="208">
        <f>F102/'Modelos actuales'!AT4</f>
        <v>0.4046934434</v>
      </c>
      <c r="H102" s="208">
        <f>$E102*'Modelos actuales'!AL4*$G102</f>
        <v>-0.2821659474</v>
      </c>
      <c r="I102" s="208"/>
      <c r="J102" s="208">
        <f>$E102*'Modelos actuales'!AN4*$G102</f>
        <v>0.1191348781</v>
      </c>
      <c r="K102" s="208"/>
      <c r="L102" s="208">
        <f>$E102*'Modelos actuales'!AP4*$G102</f>
        <v>0.5945019003</v>
      </c>
      <c r="M102" s="162">
        <f t="shared" si="15"/>
        <v>0.8766678477</v>
      </c>
    </row>
    <row r="103">
      <c r="C103" s="190" t="s">
        <v>257</v>
      </c>
      <c r="D103" s="66">
        <v>732.0</v>
      </c>
      <c r="E103" s="206">
        <v>13.0</v>
      </c>
      <c r="F103" s="207">
        <f t="shared" si="14"/>
        <v>7</v>
      </c>
      <c r="G103" s="208">
        <f>F103/'Modelos actuales'!AT5</f>
        <v>0.35</v>
      </c>
      <c r="H103" s="208">
        <f>$E103*'Modelos actuales'!AL5*$G103</f>
        <v>-0.2782819722</v>
      </c>
      <c r="I103" s="208">
        <f>$E103*'Modelos actuales'!AM5*$G103</f>
        <v>-0.08853465985</v>
      </c>
      <c r="J103" s="208">
        <f>$E103*'Modelos actuales'!AN5*$G103</f>
        <v>0.0953346849</v>
      </c>
      <c r="K103" s="208">
        <f>$E103*'Modelos actuales'!AO5*$G103</f>
        <v>0.265374787</v>
      </c>
      <c r="L103" s="208">
        <f>$E103*'Modelos actuales'!AP5*$G103</f>
        <v>0.5247495799</v>
      </c>
      <c r="M103" s="162">
        <f t="shared" si="15"/>
        <v>0.8030315521</v>
      </c>
    </row>
    <row r="104">
      <c r="C104" s="190" t="s">
        <v>256</v>
      </c>
      <c r="D104" s="66">
        <v>2254.0</v>
      </c>
      <c r="E104" s="206">
        <v>9.0</v>
      </c>
      <c r="F104" s="207">
        <f t="shared" si="14"/>
        <v>8.474373663</v>
      </c>
      <c r="G104" s="208">
        <f>F104/'Modelos actuales'!AT6</f>
        <v>0.4237186832</v>
      </c>
      <c r="H104" s="208">
        <f>$E104*'Modelos actuales'!AL6*$G104</f>
        <v>-0.2746363432</v>
      </c>
      <c r="I104" s="208">
        <f>$E104*'Modelos actuales'!AM6*$G104</f>
        <v>-0.0542233909</v>
      </c>
      <c r="J104" s="208">
        <f>$E104*'Modelos actuales'!AN6*$G104</f>
        <v>0.1058520676</v>
      </c>
      <c r="K104" s="208">
        <f>$E104*'Modelos actuales'!AO6*$G104</f>
        <v>0.3490157476</v>
      </c>
      <c r="L104" s="208">
        <f>$E104*'Modelos actuales'!AP6*$G104</f>
        <v>0.4780988606</v>
      </c>
      <c r="M104" s="162">
        <f t="shared" si="15"/>
        <v>0.7527352038</v>
      </c>
    </row>
    <row r="105">
      <c r="C105" s="190" t="s">
        <v>260</v>
      </c>
      <c r="D105" s="66">
        <v>470.0</v>
      </c>
      <c r="E105" s="206">
        <v>11.0</v>
      </c>
      <c r="F105" s="207">
        <f t="shared" si="14"/>
        <v>10.64197297</v>
      </c>
      <c r="G105" s="208">
        <f>F105/'Modelos actuales'!AT7</f>
        <v>0.3547324322</v>
      </c>
      <c r="H105" s="208">
        <f>$E105*'Modelos actuales'!AL7*$G105</f>
        <v>-0.4760478414</v>
      </c>
      <c r="I105" s="208">
        <f>$E105*'Modelos actuales'!AM7*$G105</f>
        <v>-0.2435857914</v>
      </c>
      <c r="J105" s="208">
        <f>$E105*'Modelos actuales'!AN7*$G105</f>
        <v>0.121807544</v>
      </c>
      <c r="K105" s="208">
        <f>$E105*'Modelos actuales'!AO7*$G105</f>
        <v>0.5567479043</v>
      </c>
      <c r="L105" s="208">
        <f>$E105*'Modelos actuales'!AP7*$G105</f>
        <v>1.051935572</v>
      </c>
      <c r="M105" s="162">
        <f t="shared" si="15"/>
        <v>1.527983413</v>
      </c>
    </row>
    <row r="106">
      <c r="C106" s="66" t="s">
        <v>290</v>
      </c>
      <c r="D106" s="66">
        <v>2800.0</v>
      </c>
      <c r="E106" s="206"/>
      <c r="F106" s="209"/>
      <c r="G106" s="208"/>
      <c r="H106" s="208"/>
      <c r="I106" s="208"/>
      <c r="J106" s="208"/>
      <c r="K106" s="208"/>
      <c r="L106" s="208"/>
      <c r="M106" s="162">
        <f t="shared" si="15"/>
        <v>0</v>
      </c>
    </row>
    <row r="107">
      <c r="C107" s="66" t="s">
        <v>291</v>
      </c>
      <c r="D107" s="67"/>
      <c r="E107" s="210"/>
      <c r="F107" s="210"/>
      <c r="G107" s="208"/>
      <c r="H107" s="67"/>
      <c r="I107" s="67"/>
      <c r="J107" s="67"/>
      <c r="K107" s="67"/>
      <c r="L107" s="67"/>
      <c r="M107" s="18">
        <f t="shared" si="15"/>
        <v>0</v>
      </c>
    </row>
    <row r="109">
      <c r="G109" s="169" t="s">
        <v>292</v>
      </c>
      <c r="H109" s="162">
        <f t="shared" ref="H109:L109" si="16">AVERAGE(H101:H107)</f>
        <v>-0.2864095052</v>
      </c>
      <c r="I109" s="162">
        <f t="shared" si="16"/>
        <v>-0.1006241412</v>
      </c>
      <c r="J109" s="162">
        <f t="shared" si="16"/>
        <v>0.1105056819</v>
      </c>
      <c r="K109" s="162">
        <f t="shared" si="16"/>
        <v>0.3473192068</v>
      </c>
      <c r="L109" s="162">
        <f t="shared" si="16"/>
        <v>0.598619932</v>
      </c>
    </row>
    <row r="110">
      <c r="G110" s="169" t="s">
        <v>293</v>
      </c>
      <c r="H110" s="162">
        <f t="shared" ref="H110:L110" si="17">SUM(H101:H107)</f>
        <v>-1.432047526</v>
      </c>
      <c r="I110" s="162">
        <f t="shared" si="17"/>
        <v>-0.4024965648</v>
      </c>
      <c r="J110" s="162">
        <f t="shared" si="17"/>
        <v>0.5525284097</v>
      </c>
      <c r="K110" s="162">
        <f t="shared" si="17"/>
        <v>1.389276827</v>
      </c>
      <c r="L110" s="162">
        <f t="shared" si="17"/>
        <v>2.99309966</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185" t="s">
        <v>245</v>
      </c>
      <c r="H2" s="169" t="s">
        <v>294</v>
      </c>
    </row>
    <row r="3">
      <c r="B3" s="179" t="s">
        <v>247</v>
      </c>
      <c r="C3" s="181">
        <v>10.0</v>
      </c>
      <c r="D3" s="182"/>
      <c r="E3" s="184" t="s">
        <v>295</v>
      </c>
      <c r="F3" s="211">
        <v>0.5</v>
      </c>
      <c r="G3" s="179"/>
      <c r="H3" s="54" t="s">
        <v>296</v>
      </c>
    </row>
    <row r="4">
      <c r="B4" s="184" t="s">
        <v>297</v>
      </c>
      <c r="C4" s="181">
        <f>F3*C3*(1-F5)</f>
        <v>4</v>
      </c>
      <c r="D4" s="183"/>
      <c r="E4" s="184" t="s">
        <v>298</v>
      </c>
      <c r="F4" s="211">
        <f>1-F3</f>
        <v>0.5</v>
      </c>
      <c r="G4" s="179"/>
      <c r="H4" s="54" t="s">
        <v>299</v>
      </c>
    </row>
    <row r="5">
      <c r="B5" s="184" t="s">
        <v>249</v>
      </c>
      <c r="C5" s="184">
        <f>F3*C3*F5</f>
        <v>1</v>
      </c>
      <c r="D5" s="179"/>
      <c r="E5" s="184" t="s">
        <v>300</v>
      </c>
      <c r="F5" s="211">
        <v>0.2</v>
      </c>
      <c r="G5" s="179"/>
      <c r="H5" s="54" t="s">
        <v>301</v>
      </c>
    </row>
    <row r="6">
      <c r="B6" s="184" t="s">
        <v>302</v>
      </c>
      <c r="C6" s="54">
        <f>F4*C3</f>
        <v>5</v>
      </c>
    </row>
    <row r="7">
      <c r="B7" s="169" t="s">
        <v>303</v>
      </c>
      <c r="C7" s="212">
        <f>SUM(C4:C6)</f>
        <v>10</v>
      </c>
    </row>
    <row r="9">
      <c r="B9" s="185" t="s">
        <v>250</v>
      </c>
      <c r="C9" s="179"/>
      <c r="D9" s="179"/>
      <c r="E9" s="179"/>
      <c r="F9" s="179"/>
      <c r="G9" s="179"/>
    </row>
    <row r="10">
      <c r="B10" s="46"/>
      <c r="C10" s="186" t="s">
        <v>233</v>
      </c>
      <c r="D10" s="187" t="s">
        <v>232</v>
      </c>
      <c r="E10" s="188" t="s">
        <v>252</v>
      </c>
      <c r="F10" s="188" t="s">
        <v>253</v>
      </c>
      <c r="G10" s="189" t="s">
        <v>254</v>
      </c>
      <c r="K10" s="169" t="s">
        <v>263</v>
      </c>
    </row>
    <row r="11">
      <c r="B11" s="190" t="s">
        <v>256</v>
      </c>
      <c r="C11" s="213">
        <v>-21.0</v>
      </c>
      <c r="D11" s="214">
        <v>4.02</v>
      </c>
      <c r="E11" s="91">
        <f t="shared" ref="E11:E15" si="1">C11/D11</f>
        <v>-5.223880597</v>
      </c>
      <c r="F11" s="193">
        <f t="shared" ref="F11:F15" si="2">E11*$O$11+$O$12</f>
        <v>-0.9240356861</v>
      </c>
      <c r="G11" s="192">
        <f t="shared" ref="G11:G15" si="3">$C$4*F11</f>
        <v>-3.696142744</v>
      </c>
      <c r="K11" s="215" t="s">
        <v>264</v>
      </c>
      <c r="L11" s="216">
        <f>MIN(E11:E15)</f>
        <v>-5.951307484</v>
      </c>
      <c r="M11" s="179"/>
      <c r="N11" s="179" t="s">
        <v>265</v>
      </c>
      <c r="O11" s="197">
        <f>(L14-L12)/(L13-L11)</f>
        <v>0.1044287959</v>
      </c>
    </row>
    <row r="12">
      <c r="B12" s="190" t="s">
        <v>257</v>
      </c>
      <c r="C12" s="213">
        <v>106.0</v>
      </c>
      <c r="D12" s="214">
        <v>8.03</v>
      </c>
      <c r="E12" s="91">
        <f t="shared" si="1"/>
        <v>13.20049813</v>
      </c>
      <c r="F12" s="193">
        <f t="shared" si="2"/>
        <v>1</v>
      </c>
      <c r="G12" s="192">
        <f t="shared" si="3"/>
        <v>4</v>
      </c>
      <c r="K12" s="215" t="s">
        <v>266</v>
      </c>
      <c r="L12" s="217">
        <v>-1.0</v>
      </c>
      <c r="M12" s="179"/>
      <c r="N12" s="179" t="s">
        <v>267</v>
      </c>
      <c r="O12" s="197">
        <f>L14-O11*L13</f>
        <v>-0.3785121253</v>
      </c>
    </row>
    <row r="13">
      <c r="B13" s="190" t="s">
        <v>258</v>
      </c>
      <c r="C13" s="213">
        <v>-66.0</v>
      </c>
      <c r="D13" s="214">
        <v>11.09</v>
      </c>
      <c r="E13" s="91">
        <f t="shared" si="1"/>
        <v>-5.951307484</v>
      </c>
      <c r="F13" s="193">
        <f t="shared" si="2"/>
        <v>-1</v>
      </c>
      <c r="G13" s="192">
        <f t="shared" si="3"/>
        <v>-4</v>
      </c>
      <c r="K13" s="195" t="s">
        <v>269</v>
      </c>
      <c r="L13" s="196">
        <f>MAX(E11:E15)</f>
        <v>13.20049813</v>
      </c>
      <c r="M13" s="179"/>
      <c r="N13" s="179"/>
      <c r="O13" s="179"/>
    </row>
    <row r="14">
      <c r="B14" s="190" t="s">
        <v>259</v>
      </c>
      <c r="C14" s="213">
        <v>-46.0</v>
      </c>
      <c r="D14" s="218">
        <v>8.62</v>
      </c>
      <c r="E14" s="91">
        <f t="shared" si="1"/>
        <v>-5.336426914</v>
      </c>
      <c r="F14" s="193">
        <f t="shared" si="2"/>
        <v>-0.9357887624</v>
      </c>
      <c r="G14" s="192">
        <f t="shared" si="3"/>
        <v>-3.74315505</v>
      </c>
      <c r="K14" s="195" t="s">
        <v>271</v>
      </c>
      <c r="L14" s="195">
        <v>1.0</v>
      </c>
      <c r="M14" s="179"/>
      <c r="N14" s="179"/>
      <c r="O14" s="179"/>
    </row>
    <row r="15">
      <c r="B15" s="190" t="s">
        <v>260</v>
      </c>
      <c r="C15" s="213">
        <v>59.0</v>
      </c>
      <c r="D15" s="218">
        <v>7.47</v>
      </c>
      <c r="E15" s="91">
        <f t="shared" si="1"/>
        <v>7.898259705</v>
      </c>
      <c r="F15" s="193">
        <f t="shared" si="2"/>
        <v>0.4462936255</v>
      </c>
      <c r="G15" s="192">
        <f t="shared" si="3"/>
        <v>1.785174502</v>
      </c>
    </row>
    <row r="16">
      <c r="B16" s="179"/>
      <c r="C16" s="179"/>
      <c r="D16" s="179"/>
      <c r="E16" s="179"/>
      <c r="F16" s="179"/>
      <c r="G16" s="179"/>
    </row>
    <row r="17">
      <c r="B17" s="179"/>
      <c r="C17" s="179"/>
      <c r="D17" s="179"/>
      <c r="E17" s="179"/>
      <c r="F17" s="179"/>
      <c r="G17" s="179"/>
    </row>
    <row r="18">
      <c r="B18" s="185" t="s">
        <v>272</v>
      </c>
    </row>
    <row r="19">
      <c r="B19" s="198" t="s">
        <v>1</v>
      </c>
      <c r="C19" s="199" t="s">
        <v>273</v>
      </c>
      <c r="D19" s="199" t="s">
        <v>274</v>
      </c>
      <c r="E19" s="190" t="s">
        <v>275</v>
      </c>
      <c r="F19" s="200" t="s">
        <v>232</v>
      </c>
      <c r="G19" s="198" t="s">
        <v>252</v>
      </c>
      <c r="H19" s="198" t="s">
        <v>253</v>
      </c>
      <c r="I19" s="190" t="s">
        <v>254</v>
      </c>
      <c r="K19" s="169" t="s">
        <v>263</v>
      </c>
    </row>
    <row r="20">
      <c r="B20" s="190" t="s">
        <v>259</v>
      </c>
      <c r="C20" s="219">
        <v>-103.0</v>
      </c>
      <c r="D20" s="219">
        <v>61.0</v>
      </c>
      <c r="E20" s="67">
        <f t="shared" ref="E20:E24" si="4">-C20-D20</f>
        <v>42</v>
      </c>
      <c r="F20" s="218">
        <v>8.62</v>
      </c>
      <c r="G20" s="91">
        <f t="shared" ref="G20:G24" si="5">E20/F20</f>
        <v>4.872389791</v>
      </c>
      <c r="H20" s="70">
        <f t="shared" ref="H20:H24" si="6">G20*$O$20+$O$21</f>
        <v>0.5352463491</v>
      </c>
      <c r="I20" s="91">
        <f t="shared" ref="I20:I24" si="7">$C$5*H20</f>
        <v>0.5352463491</v>
      </c>
      <c r="K20" s="215" t="s">
        <v>264</v>
      </c>
      <c r="L20" s="216">
        <v>0.0</v>
      </c>
      <c r="M20" s="179"/>
      <c r="N20" s="179" t="s">
        <v>265</v>
      </c>
      <c r="O20" s="197">
        <f>(L23-L21)/(L22-L20)</f>
        <v>0.1098529412</v>
      </c>
    </row>
    <row r="21">
      <c r="B21" s="190" t="s">
        <v>258</v>
      </c>
      <c r="C21" s="219">
        <v>-62.0</v>
      </c>
      <c r="D21" s="219">
        <v>92.0</v>
      </c>
      <c r="E21" s="67">
        <f t="shared" si="4"/>
        <v>-30</v>
      </c>
      <c r="F21" s="214">
        <v>11.09</v>
      </c>
      <c r="G21" s="91">
        <f t="shared" si="5"/>
        <v>-2.705139766</v>
      </c>
      <c r="H21" s="70">
        <f t="shared" si="6"/>
        <v>-0.2971675595</v>
      </c>
      <c r="I21" s="91">
        <f t="shared" si="7"/>
        <v>-0.2971675595</v>
      </c>
      <c r="K21" s="215" t="s">
        <v>266</v>
      </c>
      <c r="L21" s="217">
        <v>0.0</v>
      </c>
      <c r="M21" s="179"/>
      <c r="N21" s="179" t="s">
        <v>267</v>
      </c>
      <c r="O21" s="197">
        <f>L23-O20*L22</f>
        <v>0</v>
      </c>
    </row>
    <row r="22">
      <c r="B22" s="190" t="s">
        <v>256</v>
      </c>
      <c r="C22" s="219">
        <v>-17.0</v>
      </c>
      <c r="D22" s="219">
        <v>27.0</v>
      </c>
      <c r="E22" s="67">
        <f t="shared" si="4"/>
        <v>-10</v>
      </c>
      <c r="F22" s="214">
        <v>4.02</v>
      </c>
      <c r="G22" s="91">
        <f t="shared" si="5"/>
        <v>-2.487562189</v>
      </c>
      <c r="H22" s="70">
        <f t="shared" si="6"/>
        <v>-0.2732660228</v>
      </c>
      <c r="I22" s="91">
        <f t="shared" si="7"/>
        <v>-0.2732660228</v>
      </c>
      <c r="K22" s="195" t="s">
        <v>269</v>
      </c>
      <c r="L22" s="196">
        <f>MAX(G20:G24)</f>
        <v>9.103078983</v>
      </c>
      <c r="M22" s="179"/>
      <c r="N22" s="179"/>
      <c r="O22" s="179"/>
    </row>
    <row r="23">
      <c r="B23" s="190" t="s">
        <v>260</v>
      </c>
      <c r="C23" s="219">
        <v>-104.0</v>
      </c>
      <c r="D23" s="219">
        <v>36.0</v>
      </c>
      <c r="E23" s="67">
        <f t="shared" si="4"/>
        <v>68</v>
      </c>
      <c r="F23" s="218">
        <v>7.47</v>
      </c>
      <c r="G23" s="91">
        <f t="shared" si="5"/>
        <v>9.103078983</v>
      </c>
      <c r="H23" s="70">
        <f t="shared" si="6"/>
        <v>1</v>
      </c>
      <c r="I23" s="91">
        <f t="shared" si="7"/>
        <v>1</v>
      </c>
      <c r="K23" s="195" t="s">
        <v>271</v>
      </c>
      <c r="L23" s="195">
        <v>1.0</v>
      </c>
      <c r="M23" s="179"/>
      <c r="N23" s="179"/>
      <c r="O23" s="179"/>
    </row>
    <row r="24">
      <c r="B24" s="190" t="s">
        <v>257</v>
      </c>
      <c r="C24" s="219">
        <v>-40.0</v>
      </c>
      <c r="D24" s="219">
        <v>106.0</v>
      </c>
      <c r="E24" s="67">
        <f t="shared" si="4"/>
        <v>-66</v>
      </c>
      <c r="F24" s="214">
        <v>8.03</v>
      </c>
      <c r="G24" s="91">
        <f t="shared" si="5"/>
        <v>-8.219178082</v>
      </c>
      <c r="H24" s="70">
        <f t="shared" si="6"/>
        <v>-0.9029008864</v>
      </c>
      <c r="I24" s="91">
        <f t="shared" si="7"/>
        <v>-0.9029008864</v>
      </c>
    </row>
    <row r="25">
      <c r="C25" s="220"/>
      <c r="D25" s="220"/>
      <c r="E25" s="18"/>
    </row>
    <row r="26">
      <c r="B26" s="185" t="s">
        <v>304</v>
      </c>
    </row>
    <row r="27">
      <c r="B27" s="46"/>
      <c r="C27" s="221" t="s">
        <v>305</v>
      </c>
      <c r="D27" s="222" t="s">
        <v>306</v>
      </c>
      <c r="E27" s="223" t="s">
        <v>307</v>
      </c>
      <c r="F27" s="189" t="s">
        <v>308</v>
      </c>
      <c r="G27" s="189" t="s">
        <v>254</v>
      </c>
      <c r="K27" s="169" t="s">
        <v>263</v>
      </c>
    </row>
    <row r="28">
      <c r="B28" s="46" t="s">
        <v>100</v>
      </c>
      <c r="C28" s="224">
        <v>11.67</v>
      </c>
      <c r="D28" s="225">
        <v>33.5</v>
      </c>
      <c r="E28" s="193">
        <f t="shared" ref="E28:E32" si="8">C28/D28</f>
        <v>0.348358209</v>
      </c>
      <c r="F28" s="193">
        <f t="shared" ref="F28:F32" si="9">E28*$O$28+$O$29</f>
        <v>1</v>
      </c>
      <c r="G28" s="192">
        <f t="shared" ref="G28:G32" si="10">$C$6*F28</f>
        <v>5</v>
      </c>
      <c r="K28" s="215" t="s">
        <v>264</v>
      </c>
      <c r="L28" s="226">
        <f>MIN(E28:E32)</f>
        <v>0.03304347826</v>
      </c>
      <c r="M28" s="179"/>
      <c r="N28" s="179" t="s">
        <v>265</v>
      </c>
      <c r="O28" s="197">
        <f>(L31-L29)/(L30-L28)</f>
        <v>6.342868903</v>
      </c>
    </row>
    <row r="29">
      <c r="B29" s="227" t="s">
        <v>59</v>
      </c>
      <c r="C29" s="228">
        <v>14.29</v>
      </c>
      <c r="D29" s="229">
        <v>50.0</v>
      </c>
      <c r="E29" s="193">
        <f t="shared" si="8"/>
        <v>0.2858</v>
      </c>
      <c r="F29" s="193">
        <f t="shared" si="9"/>
        <v>0.6032014818</v>
      </c>
      <c r="G29" s="192">
        <f t="shared" si="10"/>
        <v>3.016007409</v>
      </c>
      <c r="K29" s="215" t="s">
        <v>266</v>
      </c>
      <c r="L29" s="217">
        <v>-1.0</v>
      </c>
      <c r="M29" s="179"/>
      <c r="N29" s="179" t="s">
        <v>267</v>
      </c>
      <c r="O29" s="197">
        <f>L31-O28*L30</f>
        <v>-1.209590451</v>
      </c>
    </row>
    <row r="30">
      <c r="B30" s="227" t="s">
        <v>71</v>
      </c>
      <c r="C30" s="230">
        <v>1.14</v>
      </c>
      <c r="D30" s="214">
        <v>34.5</v>
      </c>
      <c r="E30" s="193">
        <f t="shared" si="8"/>
        <v>0.03304347826</v>
      </c>
      <c r="F30" s="193">
        <f t="shared" si="9"/>
        <v>-1</v>
      </c>
      <c r="G30" s="192">
        <f t="shared" si="10"/>
        <v>-5</v>
      </c>
      <c r="K30" s="195" t="s">
        <v>269</v>
      </c>
      <c r="L30" s="196">
        <f>MAX(E28:E32)</f>
        <v>0.348358209</v>
      </c>
      <c r="M30" s="179"/>
      <c r="N30" s="179"/>
      <c r="O30" s="179"/>
    </row>
    <row r="31">
      <c r="B31" s="227" t="s">
        <v>77</v>
      </c>
      <c r="C31" s="228">
        <v>1.8</v>
      </c>
      <c r="D31" s="229">
        <v>27.0</v>
      </c>
      <c r="E31" s="193">
        <f t="shared" si="8"/>
        <v>0.06666666667</v>
      </c>
      <c r="F31" s="193">
        <f t="shared" si="9"/>
        <v>-0.7867325238</v>
      </c>
      <c r="G31" s="192">
        <f t="shared" si="10"/>
        <v>-3.933662619</v>
      </c>
      <c r="K31" s="195" t="s">
        <v>271</v>
      </c>
      <c r="L31" s="195">
        <v>1.0</v>
      </c>
      <c r="M31" s="179"/>
      <c r="N31" s="179"/>
      <c r="O31" s="179"/>
    </row>
    <row r="32">
      <c r="B32" s="227" t="s">
        <v>82</v>
      </c>
      <c r="C32" s="228">
        <v>3.43</v>
      </c>
      <c r="D32" s="231">
        <v>16.3</v>
      </c>
      <c r="E32" s="193">
        <f t="shared" si="8"/>
        <v>0.2104294479</v>
      </c>
      <c r="F32" s="193">
        <f t="shared" si="9"/>
        <v>0.1251359504</v>
      </c>
      <c r="G32" s="192">
        <f t="shared" si="10"/>
        <v>0.6256797518</v>
      </c>
    </row>
    <row r="33">
      <c r="C33" s="220"/>
      <c r="D33" s="220"/>
      <c r="E33" s="18"/>
    </row>
    <row r="35">
      <c r="B35" s="185" t="s">
        <v>309</v>
      </c>
    </row>
    <row r="37">
      <c r="B37" s="67"/>
      <c r="C37" s="190" t="s">
        <v>279</v>
      </c>
      <c r="D37" s="190" t="s">
        <v>280</v>
      </c>
      <c r="E37" s="190" t="s">
        <v>281</v>
      </c>
      <c r="F37" s="190" t="s">
        <v>310</v>
      </c>
      <c r="G37" s="190" t="s">
        <v>28</v>
      </c>
    </row>
    <row r="38">
      <c r="B38" s="190" t="s">
        <v>259</v>
      </c>
      <c r="C38" s="67">
        <f t="shared" ref="C38:C42" si="11">$C$3</f>
        <v>10</v>
      </c>
      <c r="D38" s="91">
        <f t="shared" ref="D38:D42" si="12">VLOOKUP(B38,$B$11:$G$15,6,false)</f>
        <v>-3.74315505</v>
      </c>
      <c r="E38" s="91">
        <f t="shared" ref="E38:E42" si="13">VLOOKUP(B38,$B$20:$I$24,8,false)</f>
        <v>0.5352463491</v>
      </c>
      <c r="F38" s="91">
        <f t="shared" ref="F38:F42" si="14">VLOOKUP(B38,$B$28:$G$32,6,false)</f>
        <v>5</v>
      </c>
      <c r="G38" s="91">
        <f t="shared" ref="G38:G42" si="15">C38+D38+E38+F38</f>
        <v>11.7920913</v>
      </c>
    </row>
    <row r="39">
      <c r="B39" s="190" t="s">
        <v>258</v>
      </c>
      <c r="C39" s="67">
        <f t="shared" si="11"/>
        <v>10</v>
      </c>
      <c r="D39" s="91">
        <f t="shared" si="12"/>
        <v>-4</v>
      </c>
      <c r="E39" s="91">
        <f t="shared" si="13"/>
        <v>-0.2971675595</v>
      </c>
      <c r="F39" s="91">
        <f t="shared" si="14"/>
        <v>3.016007409</v>
      </c>
      <c r="G39" s="91">
        <f t="shared" si="15"/>
        <v>8.718839849</v>
      </c>
    </row>
    <row r="40">
      <c r="B40" s="190" t="s">
        <v>256</v>
      </c>
      <c r="C40" s="67">
        <f t="shared" si="11"/>
        <v>10</v>
      </c>
      <c r="D40" s="91">
        <f t="shared" si="12"/>
        <v>-3.696142744</v>
      </c>
      <c r="E40" s="91">
        <f t="shared" si="13"/>
        <v>-0.2732660228</v>
      </c>
      <c r="F40" s="91">
        <f t="shared" si="14"/>
        <v>-3.933662619</v>
      </c>
      <c r="G40" s="91">
        <f t="shared" si="15"/>
        <v>2.096928614</v>
      </c>
    </row>
    <row r="41">
      <c r="B41" s="190" t="s">
        <v>260</v>
      </c>
      <c r="C41" s="67">
        <f t="shared" si="11"/>
        <v>10</v>
      </c>
      <c r="D41" s="91">
        <f t="shared" si="12"/>
        <v>1.785174502</v>
      </c>
      <c r="E41" s="91">
        <f t="shared" si="13"/>
        <v>1</v>
      </c>
      <c r="F41" s="91">
        <f t="shared" si="14"/>
        <v>0.6256797518</v>
      </c>
      <c r="G41" s="91">
        <f t="shared" si="15"/>
        <v>13.41085425</v>
      </c>
    </row>
    <row r="42">
      <c r="B42" s="190" t="s">
        <v>257</v>
      </c>
      <c r="C42" s="67">
        <f t="shared" si="11"/>
        <v>10</v>
      </c>
      <c r="D42" s="91">
        <f t="shared" si="12"/>
        <v>4</v>
      </c>
      <c r="E42" s="91">
        <f t="shared" si="13"/>
        <v>-0.9029008864</v>
      </c>
      <c r="F42" s="91">
        <f t="shared" si="14"/>
        <v>-5</v>
      </c>
      <c r="G42" s="91">
        <f t="shared" si="15"/>
        <v>8.097099114</v>
      </c>
    </row>
    <row r="43">
      <c r="G43" s="92">
        <f>AVERAGE(G38:G42)</f>
        <v>8.823162626</v>
      </c>
    </row>
  </sheetData>
  <conditionalFormatting sqref="D38:F42">
    <cfRule type="colorScale" priority="1">
      <colorScale>
        <cfvo type="min"/>
        <cfvo type="formula" val="0"/>
        <cfvo type="max"/>
        <color rgb="FFE67C73"/>
        <color rgb="FFFFFFFF"/>
        <color rgb="FF57BB8A"/>
      </colorScale>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5" max="5" width="20.75"/>
    <col customWidth="1" min="13" max="13" width="20.5"/>
    <col customWidth="1" min="16" max="16" width="15.13"/>
    <col customWidth="1" min="29" max="29" width="65.13"/>
  </cols>
  <sheetData>
    <row r="1">
      <c r="A1" s="1" t="s">
        <v>0</v>
      </c>
      <c r="B1" s="2" t="s">
        <v>1</v>
      </c>
      <c r="C1" s="1" t="s">
        <v>2</v>
      </c>
      <c r="D1" s="3" t="s">
        <v>3</v>
      </c>
      <c r="E1" s="3" t="s">
        <v>121</v>
      </c>
      <c r="F1" s="1" t="s">
        <v>4</v>
      </c>
      <c r="G1" s="1" t="s">
        <v>6</v>
      </c>
      <c r="H1" s="1" t="s">
        <v>7</v>
      </c>
      <c r="I1" s="1" t="s">
        <v>8</v>
      </c>
      <c r="J1" s="1" t="s">
        <v>9</v>
      </c>
      <c r="K1" s="1" t="s">
        <v>10</v>
      </c>
      <c r="L1" s="1" t="s">
        <v>11</v>
      </c>
      <c r="M1" s="1" t="s">
        <v>12</v>
      </c>
      <c r="N1" s="1" t="s">
        <v>13</v>
      </c>
      <c r="O1" s="1" t="s">
        <v>14</v>
      </c>
      <c r="P1" s="1" t="s">
        <v>15</v>
      </c>
      <c r="Q1" s="232" t="s">
        <v>16</v>
      </c>
      <c r="R1" s="1" t="s">
        <v>17</v>
      </c>
      <c r="S1" s="233" t="s">
        <v>130</v>
      </c>
      <c r="T1" s="233" t="s">
        <v>128</v>
      </c>
      <c r="U1" s="233" t="s">
        <v>129</v>
      </c>
      <c r="V1" s="223" t="s">
        <v>28</v>
      </c>
      <c r="W1" s="1" t="s">
        <v>43</v>
      </c>
      <c r="X1" s="223" t="s">
        <v>29</v>
      </c>
      <c r="Y1" s="223" t="s">
        <v>30</v>
      </c>
      <c r="Z1" s="1" t="s">
        <v>18</v>
      </c>
      <c r="AA1" s="1" t="s">
        <v>31</v>
      </c>
      <c r="AB1" s="223" t="s">
        <v>311</v>
      </c>
      <c r="AC1" s="1" t="s">
        <v>47</v>
      </c>
      <c r="AD1" s="18"/>
      <c r="AE1" s="18"/>
      <c r="AF1" s="18"/>
      <c r="AG1" s="18"/>
      <c r="AH1" s="18"/>
    </row>
    <row r="2">
      <c r="A2" s="61">
        <v>55.0</v>
      </c>
      <c r="B2" s="39" t="s">
        <v>59</v>
      </c>
      <c r="C2" s="234">
        <v>45419.0</v>
      </c>
      <c r="D2" s="44">
        <v>2304.0</v>
      </c>
      <c r="E2" s="44"/>
      <c r="F2" s="19">
        <v>91.0</v>
      </c>
      <c r="G2" s="24">
        <v>30.0</v>
      </c>
      <c r="H2" s="25">
        <v>3.0</v>
      </c>
      <c r="I2" s="25" t="b">
        <v>1</v>
      </c>
      <c r="J2" s="24" t="s">
        <v>79</v>
      </c>
      <c r="K2" s="24" t="s">
        <v>61</v>
      </c>
      <c r="L2" s="24">
        <v>5.0</v>
      </c>
      <c r="M2" s="25" t="s">
        <v>312</v>
      </c>
      <c r="N2" s="25"/>
      <c r="O2" s="25"/>
      <c r="P2" s="46" t="s">
        <v>85</v>
      </c>
      <c r="Q2" s="20">
        <v>18.0</v>
      </c>
      <c r="R2" s="166">
        <v>45465.0</v>
      </c>
      <c r="S2" s="30">
        <v>341.17</v>
      </c>
      <c r="T2" s="30">
        <v>228.32</v>
      </c>
      <c r="U2" s="30">
        <f>T2*0.3</f>
        <v>68.496</v>
      </c>
      <c r="V2" s="61">
        <f>U2*'Data preparation'!$B$3/'Data preparation'!$B$2</f>
        <v>133.4684334</v>
      </c>
      <c r="W2" s="19" t="s">
        <v>313</v>
      </c>
      <c r="X2" s="33">
        <v>15.0684194244387</v>
      </c>
      <c r="Y2" s="33">
        <v>445.1980482158149</v>
      </c>
      <c r="Z2" s="24">
        <v>56.0</v>
      </c>
      <c r="AA2" s="33">
        <f t="shared" ref="AA2:AA9" si="1">Y2/Z2</f>
        <v>7.949965147</v>
      </c>
      <c r="AB2" s="33" t="str">
        <f t="shared" ref="AB2:AB9" si="2">#REF!*AA2</f>
        <v>#REF!</v>
      </c>
      <c r="AC2" s="235"/>
    </row>
    <row r="3">
      <c r="A3" s="61">
        <v>148.0</v>
      </c>
      <c r="B3" s="39" t="s">
        <v>71</v>
      </c>
      <c r="C3" s="234">
        <v>45418.0</v>
      </c>
      <c r="D3" s="44">
        <v>768.0</v>
      </c>
      <c r="E3" s="236"/>
      <c r="F3" s="19">
        <v>300.0</v>
      </c>
      <c r="G3" s="50">
        <v>30.0</v>
      </c>
      <c r="H3" s="237">
        <v>3.0</v>
      </c>
      <c r="I3" s="25" t="b">
        <v>0</v>
      </c>
      <c r="J3" s="50" t="s">
        <v>51</v>
      </c>
      <c r="K3" s="237"/>
      <c r="L3" s="24">
        <v>10.0</v>
      </c>
      <c r="M3" s="25" t="s">
        <v>314</v>
      </c>
      <c r="N3" s="24" t="s">
        <v>54</v>
      </c>
      <c r="O3" s="24" t="s">
        <v>75</v>
      </c>
      <c r="P3" s="238" t="s">
        <v>55</v>
      </c>
      <c r="Q3" s="20">
        <v>32.0</v>
      </c>
      <c r="R3" s="234">
        <v>45440.0</v>
      </c>
      <c r="S3" s="30">
        <v>47.49</v>
      </c>
      <c r="T3" s="30">
        <v>182.82</v>
      </c>
      <c r="U3" s="30">
        <v>46.72</v>
      </c>
      <c r="V3" s="61">
        <f>U3*'Data preparation'!$B$3/'Data preparation'!$B$2</f>
        <v>91.03663289</v>
      </c>
      <c r="W3" s="19" t="s">
        <v>89</v>
      </c>
      <c r="X3" s="33">
        <v>1.0888</v>
      </c>
      <c r="Y3" s="33">
        <v>119.43</v>
      </c>
      <c r="Z3" s="24">
        <v>91.0</v>
      </c>
      <c r="AA3" s="33">
        <f t="shared" si="1"/>
        <v>1.312417582</v>
      </c>
      <c r="AB3" s="33" t="str">
        <f t="shared" si="2"/>
        <v>#REF!</v>
      </c>
      <c r="AC3" s="239"/>
    </row>
    <row r="4" ht="41.25" customHeight="1">
      <c r="A4" s="61">
        <v>167.0</v>
      </c>
      <c r="B4" s="39" t="s">
        <v>93</v>
      </c>
      <c r="C4" s="166">
        <v>45467.0</v>
      </c>
      <c r="D4" s="44">
        <v>768.0</v>
      </c>
      <c r="E4" s="236"/>
      <c r="F4" s="19">
        <v>27.0</v>
      </c>
      <c r="G4" s="24">
        <v>30.0</v>
      </c>
      <c r="H4" s="25">
        <v>3.0</v>
      </c>
      <c r="I4" s="25" t="b">
        <v>1</v>
      </c>
      <c r="J4" s="24" t="s">
        <v>315</v>
      </c>
      <c r="K4" s="24" t="s">
        <v>61</v>
      </c>
      <c r="L4" s="24">
        <v>3.0</v>
      </c>
      <c r="M4" s="25" t="s">
        <v>97</v>
      </c>
      <c r="N4" s="24" t="s">
        <v>54</v>
      </c>
      <c r="O4" s="24"/>
      <c r="P4" s="26" t="s">
        <v>55</v>
      </c>
      <c r="Q4" s="20">
        <v>20.0</v>
      </c>
      <c r="R4" s="166">
        <v>45494.0</v>
      </c>
      <c r="S4" s="30">
        <v>17.23</v>
      </c>
      <c r="T4" s="30">
        <v>3.59</v>
      </c>
      <c r="U4" s="30">
        <v>38.66</v>
      </c>
      <c r="V4" s="61">
        <f>U4*'Data preparation'!$B$3/'Data preparation'!$B$2</f>
        <v>75.33125487</v>
      </c>
      <c r="W4" s="19" t="s">
        <v>89</v>
      </c>
      <c r="X4" s="33">
        <v>0.0825</v>
      </c>
      <c r="Y4" s="33">
        <v>45.07</v>
      </c>
      <c r="Z4" s="24">
        <v>139.0</v>
      </c>
      <c r="AA4" s="33">
        <f t="shared" si="1"/>
        <v>0.3242446043</v>
      </c>
      <c r="AB4" s="33" t="str">
        <f t="shared" si="2"/>
        <v>#REF!</v>
      </c>
      <c r="AC4" s="23" t="s">
        <v>316</v>
      </c>
    </row>
    <row r="5" ht="31.5" customHeight="1">
      <c r="A5" s="19">
        <v>48.0</v>
      </c>
      <c r="B5" s="39" t="s">
        <v>100</v>
      </c>
      <c r="C5" s="234">
        <v>45419.0</v>
      </c>
      <c r="D5" s="44">
        <v>1536.0</v>
      </c>
      <c r="E5" s="240"/>
      <c r="F5" s="19">
        <v>808.0</v>
      </c>
      <c r="G5" s="24">
        <v>60.0</v>
      </c>
      <c r="H5" s="25">
        <v>3.0</v>
      </c>
      <c r="I5" s="25" t="b">
        <v>1</v>
      </c>
      <c r="J5" s="25"/>
      <c r="K5" s="25" t="s">
        <v>61</v>
      </c>
      <c r="L5" s="24">
        <v>3.0</v>
      </c>
      <c r="M5" s="25" t="s">
        <v>67</v>
      </c>
      <c r="N5" s="24" t="s">
        <v>54</v>
      </c>
      <c r="O5" s="25" t="s">
        <v>75</v>
      </c>
      <c r="P5" s="26" t="s">
        <v>85</v>
      </c>
      <c r="Q5" s="20">
        <v>34.0</v>
      </c>
      <c r="R5" s="166">
        <v>45465.0</v>
      </c>
      <c r="S5" s="30">
        <v>12.73</v>
      </c>
      <c r="T5" s="30">
        <v>11.21</v>
      </c>
      <c r="U5" s="30">
        <v>16.21</v>
      </c>
      <c r="V5" s="61">
        <f>U5*'Data preparation'!$B$3/'Data preparation'!$B$2</f>
        <v>31.58612627</v>
      </c>
      <c r="W5" s="61" t="s">
        <v>89</v>
      </c>
      <c r="X5" s="33">
        <v>0.7596</v>
      </c>
      <c r="Y5" s="33">
        <v>526.32</v>
      </c>
      <c r="Z5" s="24">
        <v>119.0</v>
      </c>
      <c r="AA5" s="33">
        <f t="shared" si="1"/>
        <v>4.422857143</v>
      </c>
      <c r="AB5" s="33" t="str">
        <f t="shared" si="2"/>
        <v>#REF!</v>
      </c>
      <c r="AC5" s="23" t="s">
        <v>317</v>
      </c>
      <c r="AG5" s="52"/>
    </row>
    <row r="6" ht="41.25" customHeight="1">
      <c r="A6" s="61">
        <v>77.0</v>
      </c>
      <c r="B6" s="39" t="s">
        <v>82</v>
      </c>
      <c r="C6" s="166">
        <v>45498.0</v>
      </c>
      <c r="D6" s="44">
        <v>1152.0</v>
      </c>
      <c r="E6" s="240" t="s">
        <v>149</v>
      </c>
      <c r="F6" s="19">
        <v>174.0</v>
      </c>
      <c r="G6" s="24">
        <v>30.0</v>
      </c>
      <c r="H6" s="24">
        <v>3.0</v>
      </c>
      <c r="I6" s="24" t="b">
        <v>1</v>
      </c>
      <c r="J6" s="24" t="s">
        <v>315</v>
      </c>
      <c r="K6" s="24" t="s">
        <v>52</v>
      </c>
      <c r="L6" s="24">
        <v>5.0</v>
      </c>
      <c r="M6" s="24" t="s">
        <v>84</v>
      </c>
      <c r="N6" s="25"/>
      <c r="O6" s="25" t="s">
        <v>75</v>
      </c>
      <c r="P6" s="46" t="s">
        <v>85</v>
      </c>
      <c r="Q6" s="20">
        <v>35.0</v>
      </c>
      <c r="R6" s="166">
        <v>45498.0</v>
      </c>
      <c r="S6" s="30">
        <v>15.41</v>
      </c>
      <c r="T6" s="30">
        <v>1.42</v>
      </c>
      <c r="U6" s="30">
        <v>15.41</v>
      </c>
      <c r="V6" s="61">
        <f>U6*'Data preparation'!$B$3/'Data preparation'!$B$2</f>
        <v>30.02727981</v>
      </c>
      <c r="W6" s="61" t="s">
        <v>89</v>
      </c>
      <c r="X6" s="32">
        <v>0.047</v>
      </c>
      <c r="Y6" s="33">
        <v>22.1969</v>
      </c>
      <c r="Z6" s="24">
        <v>100.0</v>
      </c>
      <c r="AA6" s="33">
        <f t="shared" si="1"/>
        <v>0.221969</v>
      </c>
      <c r="AB6" s="33" t="str">
        <f t="shared" si="2"/>
        <v>#REF!</v>
      </c>
      <c r="AC6" s="23"/>
      <c r="AG6" s="56"/>
    </row>
    <row r="7" ht="40.5" customHeight="1">
      <c r="A7" s="61">
        <v>59.0</v>
      </c>
      <c r="B7" s="39" t="s">
        <v>77</v>
      </c>
      <c r="C7" s="166">
        <v>45498.0</v>
      </c>
      <c r="D7" s="44">
        <v>1152.0</v>
      </c>
      <c r="E7" s="240" t="s">
        <v>149</v>
      </c>
      <c r="F7" s="19">
        <v>287.0</v>
      </c>
      <c r="G7" s="24">
        <v>30.0</v>
      </c>
      <c r="H7" s="24">
        <v>3.0</v>
      </c>
      <c r="I7" s="24" t="b">
        <v>1</v>
      </c>
      <c r="J7" s="25"/>
      <c r="K7" s="25"/>
      <c r="L7" s="25"/>
      <c r="M7" s="24" t="s">
        <v>80</v>
      </c>
      <c r="N7" s="24" t="s">
        <v>54</v>
      </c>
      <c r="O7" s="25"/>
      <c r="P7" s="26" t="s">
        <v>55</v>
      </c>
      <c r="Q7" s="20">
        <v>47.0</v>
      </c>
      <c r="R7" s="166">
        <v>45498.0</v>
      </c>
      <c r="S7" s="30">
        <v>6.51</v>
      </c>
      <c r="T7" s="30">
        <v>21.87</v>
      </c>
      <c r="U7" s="30">
        <v>8.63</v>
      </c>
      <c r="V7" s="61">
        <f>U7*'Data preparation'!$B$3/'Data preparation'!$B$2</f>
        <v>16.81605612</v>
      </c>
      <c r="W7" s="19" t="s">
        <v>313</v>
      </c>
      <c r="X7" s="32">
        <v>0.3172</v>
      </c>
      <c r="Y7" s="33">
        <v>16.6877</v>
      </c>
      <c r="Z7" s="24">
        <v>120.0</v>
      </c>
      <c r="AA7" s="33">
        <f t="shared" si="1"/>
        <v>0.1390641667</v>
      </c>
      <c r="AB7" s="33" t="str">
        <f t="shared" si="2"/>
        <v>#REF!</v>
      </c>
      <c r="AC7" s="23"/>
      <c r="AG7" s="56"/>
    </row>
    <row r="8" ht="39.0" customHeight="1">
      <c r="A8" s="61">
        <v>6.0</v>
      </c>
      <c r="B8" s="39" t="s">
        <v>87</v>
      </c>
      <c r="C8" s="234">
        <v>45419.0</v>
      </c>
      <c r="D8" s="44">
        <v>2304.0</v>
      </c>
      <c r="E8" s="236"/>
      <c r="F8" s="19">
        <v>779.0</v>
      </c>
      <c r="G8" s="25">
        <v>30.0</v>
      </c>
      <c r="H8" s="25">
        <v>3.0</v>
      </c>
      <c r="I8" s="25" t="b">
        <v>0</v>
      </c>
      <c r="J8" s="25"/>
      <c r="K8" s="24" t="s">
        <v>61</v>
      </c>
      <c r="L8" s="24">
        <v>10.0</v>
      </c>
      <c r="M8" s="24" t="s">
        <v>88</v>
      </c>
      <c r="N8" s="25" t="s">
        <v>54</v>
      </c>
      <c r="O8" s="25" t="s">
        <v>75</v>
      </c>
      <c r="P8" s="46" t="s">
        <v>55</v>
      </c>
      <c r="Q8" s="20">
        <v>21.0</v>
      </c>
      <c r="R8" s="166">
        <v>45488.0</v>
      </c>
      <c r="S8" s="30">
        <v>8.402</v>
      </c>
      <c r="T8" s="30">
        <v>3.56</v>
      </c>
      <c r="U8" s="30">
        <v>8.4</v>
      </c>
      <c r="V8" s="61">
        <f>U8*'Data preparation'!$B$3/'Data preparation'!$B$2</f>
        <v>16.36788776</v>
      </c>
      <c r="W8" s="61" t="s">
        <v>89</v>
      </c>
      <c r="X8" s="32">
        <v>-6.0E-4</v>
      </c>
      <c r="Y8" s="33">
        <v>8.39</v>
      </c>
      <c r="Z8" s="24">
        <v>92.0</v>
      </c>
      <c r="AA8" s="33">
        <f t="shared" si="1"/>
        <v>0.09119565217</v>
      </c>
      <c r="AB8" s="33" t="str">
        <f t="shared" si="2"/>
        <v>#REF!</v>
      </c>
      <c r="AC8" s="23"/>
      <c r="AG8" s="56"/>
    </row>
    <row r="9" ht="40.5" customHeight="1">
      <c r="A9" s="61">
        <v>77.0</v>
      </c>
      <c r="B9" s="39" t="s">
        <v>82</v>
      </c>
      <c r="C9" s="234">
        <v>45418.0</v>
      </c>
      <c r="D9" s="44">
        <v>768.0</v>
      </c>
      <c r="E9" s="240"/>
      <c r="F9" s="19">
        <v>358.0</v>
      </c>
      <c r="G9" s="24">
        <v>30.0</v>
      </c>
      <c r="H9" s="24">
        <v>3.0</v>
      </c>
      <c r="I9" s="24" t="b">
        <v>0</v>
      </c>
      <c r="J9" s="24" t="s">
        <v>318</v>
      </c>
      <c r="K9" s="24"/>
      <c r="L9" s="24"/>
      <c r="M9" s="24" t="s">
        <v>319</v>
      </c>
      <c r="N9" s="25"/>
      <c r="O9" s="24" t="s">
        <v>75</v>
      </c>
      <c r="P9" s="46" t="s">
        <v>55</v>
      </c>
      <c r="Q9" s="20">
        <v>36.0</v>
      </c>
      <c r="R9" s="166">
        <v>45446.0</v>
      </c>
      <c r="S9" s="117">
        <v>31.38</v>
      </c>
      <c r="T9" s="117">
        <v>17.31</v>
      </c>
      <c r="U9" s="241">
        <f>S9</f>
        <v>31.38</v>
      </c>
      <c r="V9" s="61">
        <f>U9*'Data preparation'!$B$3/'Data preparation'!$B$2</f>
        <v>61.14575214</v>
      </c>
      <c r="W9" s="19">
        <v>-0.15</v>
      </c>
      <c r="X9" s="32">
        <v>0.0598</v>
      </c>
      <c r="Y9" s="33">
        <v>60.54</v>
      </c>
      <c r="Z9" s="24">
        <v>81.0</v>
      </c>
      <c r="AA9" s="33">
        <f t="shared" si="1"/>
        <v>0.7474074074</v>
      </c>
      <c r="AB9" s="33" t="str">
        <f t="shared" si="2"/>
        <v>#REF!</v>
      </c>
      <c r="AC9" s="23"/>
      <c r="AG9" s="56"/>
    </row>
    <row r="10">
      <c r="C10" s="242"/>
      <c r="D10" s="242"/>
      <c r="E10" s="242"/>
      <c r="F10" s="242"/>
      <c r="H10" s="243"/>
      <c r="AB10" s="97"/>
      <c r="AG10" s="56"/>
    </row>
    <row r="11">
      <c r="C11" s="242"/>
      <c r="D11" s="242"/>
      <c r="E11" s="242"/>
      <c r="F11" s="242"/>
      <c r="R11" s="244"/>
      <c r="S11" s="245"/>
      <c r="T11" s="245"/>
      <c r="U11" s="245"/>
      <c r="V11" s="245"/>
      <c r="AG11" s="56"/>
    </row>
    <row r="12">
      <c r="C12" s="242"/>
      <c r="D12" s="242"/>
      <c r="E12" s="242"/>
      <c r="F12" s="242"/>
      <c r="S12" s="52"/>
      <c r="T12" s="246"/>
      <c r="U12" s="246"/>
      <c r="AG12" s="56"/>
    </row>
    <row r="13">
      <c r="C13" s="242"/>
      <c r="D13" s="242"/>
      <c r="E13" s="242"/>
      <c r="F13" s="242"/>
      <c r="T13" s="246"/>
      <c r="U13" s="246"/>
      <c r="AB13" s="245"/>
      <c r="AG13" s="56"/>
    </row>
    <row r="14">
      <c r="T14" s="245"/>
      <c r="U14" s="245"/>
      <c r="AG14" s="56"/>
    </row>
    <row r="17">
      <c r="J17" s="243"/>
    </row>
    <row r="18">
      <c r="A18" s="247" t="s">
        <v>320</v>
      </c>
      <c r="C18" s="242"/>
      <c r="D18" s="242"/>
      <c r="E18" s="242"/>
      <c r="F18" s="242"/>
      <c r="H18" s="243"/>
      <c r="AB18" s="97"/>
      <c r="AG18" s="56"/>
    </row>
    <row r="19">
      <c r="A19" s="1" t="s">
        <v>0</v>
      </c>
      <c r="B19" s="2" t="s">
        <v>1</v>
      </c>
      <c r="C19" s="1" t="s">
        <v>2</v>
      </c>
      <c r="D19" s="3" t="s">
        <v>3</v>
      </c>
      <c r="E19" s="3" t="s">
        <v>121</v>
      </c>
      <c r="F19" s="1" t="s">
        <v>4</v>
      </c>
      <c r="G19" s="1" t="s">
        <v>6</v>
      </c>
      <c r="H19" s="1" t="s">
        <v>7</v>
      </c>
      <c r="I19" s="1" t="s">
        <v>8</v>
      </c>
      <c r="J19" s="1" t="s">
        <v>9</v>
      </c>
      <c r="K19" s="1" t="s">
        <v>10</v>
      </c>
      <c r="L19" s="1" t="s">
        <v>11</v>
      </c>
      <c r="M19" s="1" t="s">
        <v>12</v>
      </c>
      <c r="N19" s="1" t="s">
        <v>13</v>
      </c>
      <c r="O19" s="1" t="s">
        <v>14</v>
      </c>
      <c r="P19" s="1" t="s">
        <v>15</v>
      </c>
      <c r="Q19" s="232" t="s">
        <v>16</v>
      </c>
      <c r="R19" s="212" t="s">
        <v>17</v>
      </c>
      <c r="S19" s="169" t="s">
        <v>130</v>
      </c>
      <c r="T19" s="169" t="s">
        <v>128</v>
      </c>
      <c r="U19" s="169" t="s">
        <v>129</v>
      </c>
      <c r="V19" s="169" t="s">
        <v>28</v>
      </c>
      <c r="W19" s="212" t="s">
        <v>43</v>
      </c>
      <c r="X19" s="169" t="s">
        <v>29</v>
      </c>
      <c r="Y19" s="169" t="s">
        <v>30</v>
      </c>
      <c r="Z19" s="212" t="s">
        <v>18</v>
      </c>
      <c r="AA19" s="212" t="s">
        <v>31</v>
      </c>
      <c r="AB19" s="169" t="s">
        <v>311</v>
      </c>
      <c r="AC19" s="212" t="s">
        <v>47</v>
      </c>
      <c r="AG19" s="56"/>
    </row>
    <row r="20" ht="17.25" customHeight="1">
      <c r="A20" s="61">
        <v>55.0</v>
      </c>
      <c r="B20" s="39" t="s">
        <v>59</v>
      </c>
      <c r="C20" s="234">
        <v>45419.0</v>
      </c>
      <c r="D20" s="44">
        <v>2304.0</v>
      </c>
      <c r="E20" s="44"/>
      <c r="F20" s="19">
        <v>91.0</v>
      </c>
      <c r="G20" s="24">
        <v>30.0</v>
      </c>
      <c r="H20" s="25">
        <v>3.0</v>
      </c>
      <c r="I20" s="25" t="b">
        <v>1</v>
      </c>
      <c r="J20" s="24" t="s">
        <v>79</v>
      </c>
      <c r="K20" s="24" t="s">
        <v>61</v>
      </c>
      <c r="L20" s="24">
        <v>5.0</v>
      </c>
      <c r="M20" s="25" t="s">
        <v>312</v>
      </c>
      <c r="N20" s="25"/>
      <c r="O20" s="25"/>
      <c r="P20" s="46" t="s">
        <v>85</v>
      </c>
      <c r="Q20" s="20">
        <v>18.0</v>
      </c>
      <c r="R20" s="248">
        <v>45465.0</v>
      </c>
      <c r="S20" s="95">
        <v>341.17</v>
      </c>
      <c r="T20" s="95">
        <v>228.32</v>
      </c>
      <c r="U20" s="95">
        <v>22.832</v>
      </c>
      <c r="V20" s="245">
        <v>17.717537506466634</v>
      </c>
      <c r="W20" s="249" t="s">
        <v>313</v>
      </c>
      <c r="X20" s="96">
        <v>15.0684194244387</v>
      </c>
      <c r="Y20" s="96">
        <v>445.1980482158149</v>
      </c>
      <c r="Z20" s="54">
        <v>56.0</v>
      </c>
      <c r="AA20" s="96">
        <v>7.94996514671098</v>
      </c>
      <c r="AB20" s="96">
        <v>1.192494772006647</v>
      </c>
      <c r="AG20" s="56"/>
    </row>
    <row r="21" ht="17.25" customHeight="1">
      <c r="A21" s="61">
        <v>167.0</v>
      </c>
      <c r="B21" s="39" t="s">
        <v>93</v>
      </c>
      <c r="C21" s="166">
        <v>45467.0</v>
      </c>
      <c r="D21" s="44">
        <v>768.0</v>
      </c>
      <c r="E21" s="236"/>
      <c r="F21" s="19">
        <v>27.0</v>
      </c>
      <c r="G21" s="24">
        <v>30.0</v>
      </c>
      <c r="H21" s="25">
        <v>3.0</v>
      </c>
      <c r="I21" s="25" t="b">
        <v>1</v>
      </c>
      <c r="J21" s="24" t="s">
        <v>315</v>
      </c>
      <c r="K21" s="24" t="s">
        <v>61</v>
      </c>
      <c r="L21" s="24">
        <v>3.0</v>
      </c>
      <c r="M21" s="25" t="s">
        <v>97</v>
      </c>
      <c r="N21" s="24" t="s">
        <v>54</v>
      </c>
      <c r="O21" s="24"/>
      <c r="P21" s="26" t="s">
        <v>55</v>
      </c>
      <c r="Q21" s="20">
        <v>20.0</v>
      </c>
      <c r="R21" s="248">
        <v>45494.0</v>
      </c>
      <c r="S21" s="95">
        <v>17.23</v>
      </c>
      <c r="T21" s="95">
        <v>3.59</v>
      </c>
      <c r="U21" s="95">
        <v>38.66</v>
      </c>
      <c r="V21" s="245">
        <v>30.0</v>
      </c>
      <c r="W21" s="249" t="s">
        <v>89</v>
      </c>
      <c r="X21" s="96">
        <v>0.0825</v>
      </c>
      <c r="Y21" s="96">
        <v>45.07</v>
      </c>
      <c r="Z21" s="54">
        <v>139.0</v>
      </c>
      <c r="AA21" s="96">
        <v>0.3242446043165468</v>
      </c>
      <c r="AB21" s="96">
        <v>0.048636690647482016</v>
      </c>
      <c r="AC21" s="54" t="s">
        <v>316</v>
      </c>
      <c r="AG21" s="56"/>
    </row>
    <row r="22" ht="17.25" customHeight="1">
      <c r="A22" s="61">
        <v>148.0</v>
      </c>
      <c r="B22" s="39" t="s">
        <v>71</v>
      </c>
      <c r="C22" s="234">
        <v>45504.0</v>
      </c>
      <c r="D22" s="58">
        <v>1536.0</v>
      </c>
      <c r="E22" s="250" t="s">
        <v>159</v>
      </c>
      <c r="F22" s="19">
        <v>559.0</v>
      </c>
      <c r="G22" s="50">
        <v>30.0</v>
      </c>
      <c r="H22" s="50">
        <v>3.0</v>
      </c>
      <c r="I22" s="24" t="b">
        <v>0</v>
      </c>
      <c r="J22" s="50" t="s">
        <v>321</v>
      </c>
      <c r="K22" s="50" t="s">
        <v>322</v>
      </c>
      <c r="L22" s="24"/>
      <c r="M22" s="24" t="s">
        <v>314</v>
      </c>
      <c r="N22" s="24" t="s">
        <v>54</v>
      </c>
      <c r="O22" s="24"/>
      <c r="P22" s="46" t="s">
        <v>55</v>
      </c>
      <c r="Q22" s="20">
        <v>31.0</v>
      </c>
      <c r="R22" s="251">
        <v>45504.0</v>
      </c>
      <c r="S22" s="95">
        <v>19.73</v>
      </c>
      <c r="T22" s="95">
        <v>47.88</v>
      </c>
      <c r="U22" s="95">
        <v>19.73</v>
      </c>
      <c r="V22" s="245">
        <v>15.310398344542163</v>
      </c>
      <c r="W22" s="249" t="s">
        <v>323</v>
      </c>
      <c r="X22" s="96">
        <v>1.11</v>
      </c>
      <c r="Y22" s="96">
        <v>41.47</v>
      </c>
      <c r="Z22" s="54">
        <v>91.0</v>
      </c>
      <c r="AA22" s="96">
        <v>0.4557142857142857</v>
      </c>
      <c r="AB22" s="96">
        <v>0.06835714285714285</v>
      </c>
      <c r="AC22" s="54"/>
      <c r="AG22" s="56"/>
    </row>
    <row r="23" ht="17.25" customHeight="1">
      <c r="A23" s="19">
        <v>48.0</v>
      </c>
      <c r="B23" s="39" t="s">
        <v>100</v>
      </c>
      <c r="C23" s="110">
        <v>45419.0</v>
      </c>
      <c r="D23" s="44">
        <v>1536.0</v>
      </c>
      <c r="E23" s="240"/>
      <c r="F23" s="19">
        <v>808.0</v>
      </c>
      <c r="G23" s="24">
        <v>60.0</v>
      </c>
      <c r="H23" s="25">
        <v>3.0</v>
      </c>
      <c r="I23" s="25" t="b">
        <v>1</v>
      </c>
      <c r="J23" s="25"/>
      <c r="K23" s="25" t="s">
        <v>61</v>
      </c>
      <c r="L23" s="24">
        <v>3.0</v>
      </c>
      <c r="M23" s="25" t="s">
        <v>67</v>
      </c>
      <c r="N23" s="24" t="s">
        <v>54</v>
      </c>
      <c r="O23" s="25" t="s">
        <v>75</v>
      </c>
      <c r="P23" s="26" t="s">
        <v>85</v>
      </c>
      <c r="Q23" s="20">
        <v>34.0</v>
      </c>
      <c r="R23" s="248">
        <v>45465.0</v>
      </c>
      <c r="S23" s="95">
        <v>12.73</v>
      </c>
      <c r="T23" s="95">
        <v>11.21</v>
      </c>
      <c r="U23" s="95">
        <v>16.21</v>
      </c>
      <c r="V23" s="245">
        <v>12.578892912571135</v>
      </c>
      <c r="W23" s="245" t="s">
        <v>89</v>
      </c>
      <c r="X23" s="96">
        <v>0.7596</v>
      </c>
      <c r="Y23" s="96">
        <v>526.32</v>
      </c>
      <c r="Z23" s="54">
        <v>119.0</v>
      </c>
      <c r="AA23" s="96">
        <v>4.4228571428571435</v>
      </c>
      <c r="AB23" s="96">
        <v>0.6634285714285715</v>
      </c>
      <c r="AC23" s="54" t="s">
        <v>317</v>
      </c>
    </row>
    <row r="24" ht="17.25" customHeight="1">
      <c r="A24" s="61">
        <v>77.0</v>
      </c>
      <c r="B24" s="39" t="s">
        <v>82</v>
      </c>
      <c r="C24" s="234">
        <v>45498.0</v>
      </c>
      <c r="D24" s="58">
        <v>1152.0</v>
      </c>
      <c r="E24" s="252" t="s">
        <v>149</v>
      </c>
      <c r="F24" s="19">
        <v>174.0</v>
      </c>
      <c r="G24" s="24">
        <v>30.0</v>
      </c>
      <c r="H24" s="24">
        <v>3.0</v>
      </c>
      <c r="I24" s="24" t="b">
        <v>1</v>
      </c>
      <c r="J24" s="24" t="s">
        <v>321</v>
      </c>
      <c r="K24" s="24" t="s">
        <v>322</v>
      </c>
      <c r="L24" s="24">
        <v>5.0</v>
      </c>
      <c r="M24" s="24" t="s">
        <v>84</v>
      </c>
      <c r="N24" s="25"/>
      <c r="O24" s="24" t="s">
        <v>75</v>
      </c>
      <c r="P24" s="26" t="s">
        <v>85</v>
      </c>
      <c r="Q24" s="20">
        <v>35.0</v>
      </c>
      <c r="R24" s="251">
        <v>45498.0</v>
      </c>
      <c r="S24" s="95">
        <v>15.41</v>
      </c>
      <c r="T24" s="95">
        <v>1.42</v>
      </c>
      <c r="U24" s="95">
        <v>15.41</v>
      </c>
      <c r="V24" s="245">
        <v>11.958096223486809</v>
      </c>
      <c r="W24" s="249" t="s">
        <v>56</v>
      </c>
      <c r="X24" s="253">
        <v>0.047</v>
      </c>
      <c r="Y24" s="96">
        <v>22.19</v>
      </c>
      <c r="Z24" s="54">
        <v>81.0</v>
      </c>
      <c r="AA24" s="96">
        <v>0.27395061728395065</v>
      </c>
      <c r="AB24" s="96">
        <v>0.0410925925925926</v>
      </c>
      <c r="AC24" s="54"/>
    </row>
    <row r="25" ht="17.25" customHeight="1">
      <c r="A25" s="61">
        <v>59.0</v>
      </c>
      <c r="B25" s="39" t="s">
        <v>77</v>
      </c>
      <c r="C25" s="166">
        <v>45498.0</v>
      </c>
      <c r="D25" s="44">
        <v>1152.0</v>
      </c>
      <c r="E25" s="240" t="s">
        <v>149</v>
      </c>
      <c r="F25" s="19">
        <v>287.0</v>
      </c>
      <c r="G25" s="24">
        <v>30.0</v>
      </c>
      <c r="H25" s="24">
        <v>3.0</v>
      </c>
      <c r="I25" s="24" t="b">
        <v>1</v>
      </c>
      <c r="J25" s="25"/>
      <c r="K25" s="25"/>
      <c r="L25" s="25"/>
      <c r="M25" s="24" t="s">
        <v>80</v>
      </c>
      <c r="N25" s="24" t="s">
        <v>54</v>
      </c>
      <c r="O25" s="25"/>
      <c r="P25" s="26" t="s">
        <v>55</v>
      </c>
      <c r="Q25" s="20">
        <v>47.0</v>
      </c>
      <c r="R25" s="248">
        <v>45498.0</v>
      </c>
      <c r="S25" s="95">
        <v>6.51</v>
      </c>
      <c r="T25" s="95">
        <v>21.87</v>
      </c>
      <c r="U25" s="95">
        <v>8.63</v>
      </c>
      <c r="V25" s="245">
        <v>6.696844283497156</v>
      </c>
      <c r="W25" s="249" t="s">
        <v>313</v>
      </c>
      <c r="X25" s="253">
        <v>0.3172</v>
      </c>
      <c r="Y25" s="96">
        <v>16.6877</v>
      </c>
      <c r="Z25" s="54">
        <v>120.0</v>
      </c>
      <c r="AA25" s="96">
        <v>0.13906416666666666</v>
      </c>
      <c r="AB25" s="96">
        <v>0.020859624999999996</v>
      </c>
      <c r="AC25" s="54"/>
    </row>
    <row r="26" ht="17.25" customHeight="1">
      <c r="A26" s="61">
        <v>6.0</v>
      </c>
      <c r="B26" s="39" t="s">
        <v>87</v>
      </c>
      <c r="C26" s="110">
        <v>45419.0</v>
      </c>
      <c r="D26" s="44">
        <v>2304.0</v>
      </c>
      <c r="E26" s="236"/>
      <c r="F26" s="19">
        <v>2.0</v>
      </c>
      <c r="G26" s="25">
        <v>30.0</v>
      </c>
      <c r="H26" s="25">
        <v>3.0</v>
      </c>
      <c r="I26" s="24" t="b">
        <v>1</v>
      </c>
      <c r="J26" s="24" t="s">
        <v>51</v>
      </c>
      <c r="K26" s="24" t="s">
        <v>61</v>
      </c>
      <c r="L26" s="24">
        <v>3.0</v>
      </c>
      <c r="M26" s="24" t="s">
        <v>88</v>
      </c>
      <c r="N26" s="25"/>
      <c r="O26" s="25" t="s">
        <v>75</v>
      </c>
      <c r="P26" s="46" t="s">
        <v>55</v>
      </c>
      <c r="Q26" s="20">
        <v>12.0</v>
      </c>
      <c r="R26" s="248">
        <v>45488.0</v>
      </c>
      <c r="S26" s="95">
        <v>8.402</v>
      </c>
      <c r="T26" s="95">
        <v>3.56</v>
      </c>
      <c r="U26" s="95">
        <v>8.4</v>
      </c>
      <c r="V26" s="245">
        <v>6.518365235385412</v>
      </c>
      <c r="W26" s="245" t="s">
        <v>89</v>
      </c>
      <c r="X26" s="253">
        <v>-6.0E-4</v>
      </c>
      <c r="Y26" s="96">
        <v>8.39</v>
      </c>
      <c r="Z26" s="54">
        <v>92.0</v>
      </c>
      <c r="AA26" s="96">
        <v>0.09119565217391305</v>
      </c>
      <c r="AB26" s="96">
        <v>0.013679347826086957</v>
      </c>
      <c r="AC26" s="54"/>
    </row>
    <row r="30">
      <c r="W30" s="169"/>
    </row>
    <row r="31">
      <c r="W31" s="245"/>
    </row>
    <row r="32">
      <c r="W32" s="245"/>
    </row>
    <row r="33">
      <c r="W33" s="245"/>
    </row>
    <row r="34">
      <c r="A34" s="247" t="s">
        <v>324</v>
      </c>
      <c r="W34" s="245"/>
    </row>
    <row r="35">
      <c r="E35" s="254" t="s">
        <v>17</v>
      </c>
      <c r="F35" s="54" t="s">
        <v>128</v>
      </c>
      <c r="G35" s="54" t="s">
        <v>129</v>
      </c>
      <c r="H35" s="54" t="s">
        <v>130</v>
      </c>
      <c r="I35" s="54" t="s">
        <v>28</v>
      </c>
      <c r="J35" s="254" t="s">
        <v>43</v>
      </c>
      <c r="K35" s="54" t="s">
        <v>29</v>
      </c>
      <c r="L35" s="54" t="s">
        <v>30</v>
      </c>
      <c r="M35" s="254" t="s">
        <v>18</v>
      </c>
      <c r="N35" s="254" t="s">
        <v>31</v>
      </c>
      <c r="O35" s="54" t="s">
        <v>311</v>
      </c>
      <c r="W35" s="245"/>
    </row>
    <row r="36">
      <c r="E36" s="248">
        <v>45494.0</v>
      </c>
      <c r="F36" s="95">
        <v>3.59</v>
      </c>
      <c r="G36" s="95">
        <v>38.66</v>
      </c>
      <c r="H36" s="95">
        <v>17.23</v>
      </c>
      <c r="I36" s="245">
        <v>25.0</v>
      </c>
      <c r="J36" s="249" t="s">
        <v>89</v>
      </c>
      <c r="K36" s="96">
        <v>0.0825</v>
      </c>
      <c r="L36" s="96">
        <v>45.07</v>
      </c>
      <c r="M36" s="54">
        <v>139.0</v>
      </c>
      <c r="N36" s="96">
        <v>0.3242446043165468</v>
      </c>
      <c r="O36" s="96">
        <v>0.048636690647482016</v>
      </c>
      <c r="W36" s="170"/>
    </row>
    <row r="37">
      <c r="E37" s="251">
        <v>45524.0</v>
      </c>
      <c r="F37" s="95">
        <v>210.44</v>
      </c>
      <c r="G37" s="95">
        <v>27.357200000000002</v>
      </c>
      <c r="H37" s="95">
        <v>321.99</v>
      </c>
      <c r="I37" s="245">
        <v>17.690894981893432</v>
      </c>
      <c r="J37" s="249" t="s">
        <v>313</v>
      </c>
      <c r="K37" s="96">
        <v>6.11</v>
      </c>
      <c r="L37" s="96">
        <v>576.79</v>
      </c>
      <c r="M37" s="54">
        <v>65.0</v>
      </c>
      <c r="N37" s="96">
        <v>8.873692307692307</v>
      </c>
      <c r="O37" s="96">
        <v>1.3310538461538461</v>
      </c>
      <c r="S37" s="245"/>
      <c r="T37" s="245"/>
      <c r="U37" s="245"/>
      <c r="V37" s="245"/>
      <c r="W37" s="245"/>
    </row>
    <row r="38">
      <c r="E38" s="251">
        <v>45524.0</v>
      </c>
      <c r="F38" s="95">
        <v>1.29</v>
      </c>
      <c r="G38" s="95">
        <v>24.57</v>
      </c>
      <c r="H38" s="95">
        <v>45.88</v>
      </c>
      <c r="I38" s="245">
        <v>15.888515261251941</v>
      </c>
      <c r="J38" s="249" t="s">
        <v>325</v>
      </c>
      <c r="K38" s="253">
        <v>0.0259</v>
      </c>
      <c r="L38" s="96">
        <v>176.41</v>
      </c>
      <c r="M38" s="54">
        <v>110.0</v>
      </c>
      <c r="N38" s="96">
        <v>1.6037272727272727</v>
      </c>
      <c r="O38" s="96">
        <v>0.2405590909090909</v>
      </c>
      <c r="T38" s="245"/>
      <c r="W38" s="245"/>
    </row>
    <row r="39">
      <c r="E39" s="251">
        <v>45524.0</v>
      </c>
      <c r="F39" s="95">
        <v>15.49</v>
      </c>
      <c r="G39" s="95">
        <v>23.57</v>
      </c>
      <c r="H39" s="95">
        <v>126.26</v>
      </c>
      <c r="I39" s="245">
        <v>15.24185204345577</v>
      </c>
      <c r="J39" s="245" t="s">
        <v>89</v>
      </c>
      <c r="K39" s="253">
        <v>0.5835</v>
      </c>
      <c r="L39" s="96">
        <v>1462.61</v>
      </c>
      <c r="M39" s="54">
        <v>132.0</v>
      </c>
      <c r="N39" s="96">
        <v>11.080378787878788</v>
      </c>
      <c r="O39" s="96">
        <v>1.662056818181818</v>
      </c>
      <c r="T39" s="245"/>
      <c r="W39" s="245"/>
    </row>
    <row r="40">
      <c r="E40" s="248">
        <v>45524.0</v>
      </c>
      <c r="F40" s="95">
        <v>132.04</v>
      </c>
      <c r="G40" s="95">
        <v>20.81</v>
      </c>
      <c r="H40" s="95">
        <v>24.28</v>
      </c>
      <c r="I40" s="245">
        <v>13.457061562338335</v>
      </c>
      <c r="J40" s="249" t="s">
        <v>323</v>
      </c>
      <c r="K40" s="96">
        <v>0.83</v>
      </c>
      <c r="L40" s="96">
        <v>42.28</v>
      </c>
      <c r="M40" s="54">
        <v>101.0</v>
      </c>
      <c r="N40" s="96">
        <v>0.41861386138613865</v>
      </c>
      <c r="O40" s="96">
        <v>0.06279207920792079</v>
      </c>
      <c r="T40" s="245"/>
      <c r="W40" s="245"/>
    </row>
    <row r="41">
      <c r="E41" s="248">
        <v>45524.0</v>
      </c>
      <c r="F41" s="95">
        <v>16.27</v>
      </c>
      <c r="G41" s="95">
        <v>6.68</v>
      </c>
      <c r="H41" s="95">
        <v>5.36</v>
      </c>
      <c r="I41" s="245">
        <v>4.319710294878428</v>
      </c>
      <c r="J41" s="249" t="s">
        <v>326</v>
      </c>
      <c r="K41" s="253">
        <v>0.2515</v>
      </c>
      <c r="L41" s="96">
        <v>14.87</v>
      </c>
      <c r="M41" s="54">
        <v>101.0</v>
      </c>
      <c r="N41" s="96">
        <v>0.14722772277227722</v>
      </c>
      <c r="O41" s="96">
        <v>0.022084158415841583</v>
      </c>
      <c r="T41" s="245"/>
      <c r="W41" s="245"/>
    </row>
    <row r="42">
      <c r="E42" s="248">
        <v>45524.0</v>
      </c>
      <c r="F42" s="95">
        <v>2.57</v>
      </c>
      <c r="G42" s="95">
        <v>2.09</v>
      </c>
      <c r="H42" s="95">
        <v>8.15</v>
      </c>
      <c r="I42" s="245">
        <v>1.3515261251939992</v>
      </c>
      <c r="J42" s="245" t="s">
        <v>89</v>
      </c>
      <c r="K42" s="253">
        <v>3.0E-4</v>
      </c>
      <c r="L42" s="96">
        <v>56.12</v>
      </c>
      <c r="M42" s="54">
        <v>181.0</v>
      </c>
      <c r="N42" s="96">
        <v>0.31005524861878453</v>
      </c>
      <c r="O42" s="96">
        <v>0.046508287292817675</v>
      </c>
      <c r="T42" s="245"/>
    </row>
    <row r="43">
      <c r="W43" s="245"/>
    </row>
    <row r="44">
      <c r="T44" s="245"/>
      <c r="V44" s="245"/>
    </row>
    <row r="50">
      <c r="A50" s="247" t="s">
        <v>327</v>
      </c>
    </row>
    <row r="51">
      <c r="A51" s="255"/>
      <c r="B51" s="255"/>
      <c r="C51" s="255"/>
      <c r="D51" s="255"/>
      <c r="E51" s="255"/>
      <c r="F51" s="256" t="s">
        <v>328</v>
      </c>
      <c r="R51" s="257"/>
      <c r="S51" s="257"/>
      <c r="T51" s="258" t="s">
        <v>329</v>
      </c>
      <c r="W51" s="259" t="s">
        <v>330</v>
      </c>
      <c r="AD51" s="255"/>
    </row>
    <row r="52">
      <c r="A52" s="1" t="s">
        <v>0</v>
      </c>
      <c r="B52" s="2" t="s">
        <v>1</v>
      </c>
      <c r="C52" s="3" t="s">
        <v>2</v>
      </c>
      <c r="D52" s="3" t="s">
        <v>3</v>
      </c>
      <c r="E52" s="3" t="s">
        <v>121</v>
      </c>
      <c r="F52" s="4" t="s">
        <v>4</v>
      </c>
      <c r="G52" s="4" t="s">
        <v>6</v>
      </c>
      <c r="H52" s="4" t="s">
        <v>7</v>
      </c>
      <c r="I52" s="4" t="s">
        <v>8</v>
      </c>
      <c r="J52" s="4" t="s">
        <v>9</v>
      </c>
      <c r="K52" s="4" t="s">
        <v>10</v>
      </c>
      <c r="L52" s="4" t="s">
        <v>11</v>
      </c>
      <c r="M52" s="4" t="s">
        <v>12</v>
      </c>
      <c r="N52" s="4" t="s">
        <v>13</v>
      </c>
      <c r="O52" s="4" t="s">
        <v>14</v>
      </c>
      <c r="P52" s="4" t="s">
        <v>15</v>
      </c>
      <c r="Q52" s="6" t="s">
        <v>16</v>
      </c>
      <c r="R52" s="7" t="s">
        <v>17</v>
      </c>
      <c r="S52" s="7" t="s">
        <v>18</v>
      </c>
      <c r="T52" s="7" t="s">
        <v>331</v>
      </c>
      <c r="U52" s="7" t="s">
        <v>332</v>
      </c>
      <c r="V52" s="7" t="s">
        <v>333</v>
      </c>
      <c r="W52" s="11" t="s">
        <v>29</v>
      </c>
      <c r="X52" s="11" t="s">
        <v>30</v>
      </c>
      <c r="Y52" s="12" t="s">
        <v>31</v>
      </c>
      <c r="Z52" s="259" t="s">
        <v>44</v>
      </c>
      <c r="AA52" s="11" t="s">
        <v>265</v>
      </c>
      <c r="AB52" s="12" t="s">
        <v>43</v>
      </c>
      <c r="AC52" s="11" t="s">
        <v>28</v>
      </c>
      <c r="AD52" s="17" t="s">
        <v>47</v>
      </c>
    </row>
    <row r="53">
      <c r="A53" s="61">
        <v>167.0</v>
      </c>
      <c r="B53" s="39" t="s">
        <v>93</v>
      </c>
      <c r="C53" s="21">
        <v>45467.0</v>
      </c>
      <c r="D53" s="44">
        <v>768.0</v>
      </c>
      <c r="E53" s="236"/>
      <c r="F53" s="19">
        <v>27.0</v>
      </c>
      <c r="G53" s="24">
        <v>30.0</v>
      </c>
      <c r="H53" s="25">
        <v>3.0</v>
      </c>
      <c r="I53" s="25" t="b">
        <v>1</v>
      </c>
      <c r="J53" s="24" t="s">
        <v>315</v>
      </c>
      <c r="K53" s="24" t="s">
        <v>61</v>
      </c>
      <c r="L53" s="24">
        <v>3.0</v>
      </c>
      <c r="M53" s="25" t="s">
        <v>97</v>
      </c>
      <c r="N53" s="24" t="s">
        <v>54</v>
      </c>
      <c r="O53" s="24"/>
      <c r="P53" s="26" t="s">
        <v>55</v>
      </c>
      <c r="Q53" s="20">
        <v>20.0</v>
      </c>
      <c r="R53" s="27">
        <v>45494.0</v>
      </c>
      <c r="S53" s="24">
        <v>139.0</v>
      </c>
      <c r="T53" s="30">
        <v>3.59</v>
      </c>
      <c r="U53" s="30">
        <v>38.66</v>
      </c>
      <c r="V53" s="30">
        <v>17.23</v>
      </c>
      <c r="W53" s="33">
        <v>0.0825</v>
      </c>
      <c r="X53" s="33">
        <v>45.07</v>
      </c>
      <c r="Y53" s="33">
        <f t="shared" ref="Y53:Y59" si="3">X53/S53</f>
        <v>0.3242446043</v>
      </c>
      <c r="Z53" s="61"/>
      <c r="AA53" s="61"/>
      <c r="AB53" s="19" t="s">
        <v>89</v>
      </c>
      <c r="AC53" s="61">
        <f>U53*'Data preparation'!$B$3/'Data preparation'!$B$2</f>
        <v>75.33125487</v>
      </c>
      <c r="AD53" s="38"/>
    </row>
    <row r="54">
      <c r="A54" s="61">
        <v>55.0</v>
      </c>
      <c r="B54" s="39" t="s">
        <v>59</v>
      </c>
      <c r="C54" s="57">
        <v>45419.0</v>
      </c>
      <c r="D54" s="44">
        <v>2304.0</v>
      </c>
      <c r="E54" s="44"/>
      <c r="F54" s="19">
        <v>989.0</v>
      </c>
      <c r="G54" s="24">
        <v>30.0</v>
      </c>
      <c r="H54" s="25">
        <v>3.0</v>
      </c>
      <c r="I54" s="24" t="b">
        <v>0</v>
      </c>
      <c r="J54" s="24" t="s">
        <v>315</v>
      </c>
      <c r="K54" s="24"/>
      <c r="L54" s="24">
        <v>5.0</v>
      </c>
      <c r="M54" s="24" t="s">
        <v>62</v>
      </c>
      <c r="N54" s="24" t="s">
        <v>54</v>
      </c>
      <c r="O54" s="24" t="s">
        <v>75</v>
      </c>
      <c r="P54" s="26" t="s">
        <v>55</v>
      </c>
      <c r="Q54" s="20">
        <v>41.0</v>
      </c>
      <c r="R54" s="27">
        <v>45528.0</v>
      </c>
      <c r="S54" s="24">
        <v>68.0</v>
      </c>
      <c r="T54" s="30">
        <v>74.59</v>
      </c>
      <c r="U54" s="260">
        <f>T54*0.25</f>
        <v>18.6475</v>
      </c>
      <c r="V54" s="30">
        <v>306.97</v>
      </c>
      <c r="W54" s="33">
        <v>4.15</v>
      </c>
      <c r="X54" s="33">
        <v>1151.78</v>
      </c>
      <c r="Y54" s="33">
        <f t="shared" si="3"/>
        <v>16.93794118</v>
      </c>
      <c r="Z54" s="261"/>
      <c r="AA54" s="261"/>
      <c r="AB54" s="19" t="s">
        <v>63</v>
      </c>
      <c r="AC54" s="261">
        <f>U54*'Data preparation'!$B$3/'Data preparation'!$B$2</f>
        <v>36.33573655</v>
      </c>
      <c r="AD54" s="262"/>
    </row>
    <row r="55">
      <c r="A55" s="61">
        <v>77.0</v>
      </c>
      <c r="B55" s="39" t="s">
        <v>82</v>
      </c>
      <c r="C55" s="57">
        <v>45498.0</v>
      </c>
      <c r="D55" s="58">
        <v>1152.0</v>
      </c>
      <c r="E55" s="252" t="s">
        <v>149</v>
      </c>
      <c r="F55" s="19">
        <v>470.0</v>
      </c>
      <c r="G55" s="24">
        <v>30.0</v>
      </c>
      <c r="H55" s="24">
        <v>3.0</v>
      </c>
      <c r="I55" s="24" t="b">
        <v>0</v>
      </c>
      <c r="J55" s="24"/>
      <c r="K55" s="25" t="s">
        <v>61</v>
      </c>
      <c r="L55" s="24">
        <v>5.0</v>
      </c>
      <c r="M55" s="24" t="s">
        <v>84</v>
      </c>
      <c r="N55" s="24"/>
      <c r="O55" s="24" t="s">
        <v>75</v>
      </c>
      <c r="P55" s="26" t="s">
        <v>85</v>
      </c>
      <c r="Q55" s="20">
        <v>35.0</v>
      </c>
      <c r="R55" s="27">
        <v>45528.0</v>
      </c>
      <c r="S55" s="24">
        <v>112.0</v>
      </c>
      <c r="T55" s="30">
        <v>0.5</v>
      </c>
      <c r="U55" s="30">
        <v>15.13</v>
      </c>
      <c r="V55" s="30">
        <v>18.11</v>
      </c>
      <c r="W55" s="24" t="s">
        <v>334</v>
      </c>
      <c r="X55" s="33">
        <v>63.09</v>
      </c>
      <c r="Y55" s="33">
        <f t="shared" si="3"/>
        <v>0.5633035714</v>
      </c>
      <c r="Z55" s="261"/>
      <c r="AA55" s="261"/>
      <c r="AB55" s="19" t="s">
        <v>63</v>
      </c>
      <c r="AC55" s="261">
        <f>U55*'Data preparation'!$B$3/'Data preparation'!$B$2</f>
        <v>29.48168355</v>
      </c>
      <c r="AD55" s="38" t="s">
        <v>335</v>
      </c>
    </row>
    <row r="56">
      <c r="A56" s="61">
        <v>48.0</v>
      </c>
      <c r="B56" s="39" t="s">
        <v>100</v>
      </c>
      <c r="C56" s="47">
        <v>45419.0</v>
      </c>
      <c r="D56" s="44">
        <v>1536.0</v>
      </c>
      <c r="E56" s="240"/>
      <c r="F56" s="19">
        <v>808.0</v>
      </c>
      <c r="G56" s="24">
        <v>60.0</v>
      </c>
      <c r="H56" s="25">
        <v>3.0</v>
      </c>
      <c r="I56" s="25" t="b">
        <v>1</v>
      </c>
      <c r="J56" s="25"/>
      <c r="K56" s="25" t="s">
        <v>61</v>
      </c>
      <c r="L56" s="24">
        <v>3.0</v>
      </c>
      <c r="M56" s="25" t="s">
        <v>67</v>
      </c>
      <c r="N56" s="24" t="s">
        <v>54</v>
      </c>
      <c r="O56" s="25" t="s">
        <v>75</v>
      </c>
      <c r="P56" s="26" t="s">
        <v>85</v>
      </c>
      <c r="Q56" s="20">
        <v>34.0</v>
      </c>
      <c r="R56" s="27">
        <v>45528.0</v>
      </c>
      <c r="S56" s="24">
        <v>139.0</v>
      </c>
      <c r="T56" s="30">
        <v>11.79</v>
      </c>
      <c r="U56" s="30">
        <v>10.54</v>
      </c>
      <c r="V56" s="30">
        <v>7.32</v>
      </c>
      <c r="W56" s="32">
        <v>1.39</v>
      </c>
      <c r="X56" s="33">
        <v>417.54</v>
      </c>
      <c r="Y56" s="33">
        <f t="shared" si="3"/>
        <v>3.003884892</v>
      </c>
      <c r="Z56" s="261"/>
      <c r="AA56" s="261"/>
      <c r="AB56" s="61" t="s">
        <v>89</v>
      </c>
      <c r="AC56" s="261">
        <f>U56*'Data preparation'!$B$3/'Data preparation'!$B$2</f>
        <v>20.53780203</v>
      </c>
      <c r="AD56" s="38" t="s">
        <v>317</v>
      </c>
    </row>
    <row r="57">
      <c r="A57" s="61">
        <v>148.0</v>
      </c>
      <c r="B57" s="39" t="s">
        <v>71</v>
      </c>
      <c r="C57" s="57">
        <v>45504.0</v>
      </c>
      <c r="D57" s="58">
        <v>1536.0</v>
      </c>
      <c r="E57" s="250" t="s">
        <v>159</v>
      </c>
      <c r="F57" s="19">
        <v>732.0</v>
      </c>
      <c r="G57" s="24">
        <v>30.0</v>
      </c>
      <c r="H57" s="24">
        <v>3.0</v>
      </c>
      <c r="I57" s="24" t="b">
        <v>0</v>
      </c>
      <c r="J57" s="50" t="s">
        <v>73</v>
      </c>
      <c r="K57" s="50"/>
      <c r="L57" s="24"/>
      <c r="M57" s="24" t="s">
        <v>74</v>
      </c>
      <c r="N57" s="24" t="s">
        <v>54</v>
      </c>
      <c r="O57" s="25" t="s">
        <v>75</v>
      </c>
      <c r="P57" s="46" t="s">
        <v>55</v>
      </c>
      <c r="Q57" s="20">
        <v>26.0</v>
      </c>
      <c r="R57" s="27">
        <v>45528.0</v>
      </c>
      <c r="S57" s="24">
        <v>105.0</v>
      </c>
      <c r="T57" s="30">
        <v>67.78</v>
      </c>
      <c r="U57" s="30">
        <v>9.51</v>
      </c>
      <c r="V57" s="30">
        <v>12.03</v>
      </c>
      <c r="W57" s="33">
        <v>0.53</v>
      </c>
      <c r="X57" s="33">
        <v>19.19</v>
      </c>
      <c r="Y57" s="33">
        <f t="shared" si="3"/>
        <v>0.1827619048</v>
      </c>
      <c r="Z57" s="261"/>
      <c r="AA57" s="261"/>
      <c r="AB57" s="19" t="s">
        <v>63</v>
      </c>
      <c r="AC57" s="261">
        <f>U57*'Data preparation'!$B$3/'Data preparation'!$B$2</f>
        <v>18.53078722</v>
      </c>
      <c r="AD57" s="51"/>
    </row>
    <row r="58">
      <c r="A58" s="61">
        <v>59.0</v>
      </c>
      <c r="B58" s="39" t="s">
        <v>77</v>
      </c>
      <c r="C58" s="21">
        <v>45498.0</v>
      </c>
      <c r="D58" s="44">
        <v>1152.0</v>
      </c>
      <c r="E58" s="240" t="s">
        <v>149</v>
      </c>
      <c r="F58" s="19">
        <v>54.0</v>
      </c>
      <c r="G58" s="24">
        <v>30.0</v>
      </c>
      <c r="H58" s="24">
        <v>3.0</v>
      </c>
      <c r="I58" s="24" t="b">
        <v>1</v>
      </c>
      <c r="J58" s="24" t="s">
        <v>51</v>
      </c>
      <c r="K58" s="24" t="s">
        <v>322</v>
      </c>
      <c r="L58" s="24">
        <v>10.0</v>
      </c>
      <c r="M58" s="24" t="s">
        <v>336</v>
      </c>
      <c r="N58" s="24"/>
      <c r="O58" s="24" t="s">
        <v>75</v>
      </c>
      <c r="P58" s="26" t="s">
        <v>55</v>
      </c>
      <c r="Q58" s="20">
        <v>21.0</v>
      </c>
      <c r="R58" s="27">
        <v>45528.0</v>
      </c>
      <c r="S58" s="24">
        <v>108.0</v>
      </c>
      <c r="T58" s="60">
        <v>7.02</v>
      </c>
      <c r="U58" s="263">
        <v>2.68</v>
      </c>
      <c r="V58" s="60">
        <v>6.81</v>
      </c>
      <c r="W58" s="32">
        <v>0.2515</v>
      </c>
      <c r="X58" s="33">
        <v>23.62</v>
      </c>
      <c r="Y58" s="33">
        <f t="shared" si="3"/>
        <v>0.2187037037</v>
      </c>
      <c r="Z58" s="261"/>
      <c r="AA58" s="261"/>
      <c r="AB58" s="19" t="s">
        <v>89</v>
      </c>
      <c r="AC58" s="261">
        <f>U58*'Data preparation'!$B$3/'Data preparation'!$B$2</f>
        <v>5.22213562</v>
      </c>
      <c r="AD58" s="38"/>
    </row>
    <row r="59">
      <c r="A59" s="61">
        <v>6.0</v>
      </c>
      <c r="B59" s="39" t="s">
        <v>87</v>
      </c>
      <c r="C59" s="47">
        <v>45419.0</v>
      </c>
      <c r="D59" s="44">
        <v>2304.0</v>
      </c>
      <c r="E59" s="236"/>
      <c r="F59" s="19">
        <v>2.0</v>
      </c>
      <c r="G59" s="25">
        <v>30.0</v>
      </c>
      <c r="H59" s="25">
        <v>3.0</v>
      </c>
      <c r="I59" s="24" t="b">
        <v>1</v>
      </c>
      <c r="J59" s="24" t="s">
        <v>51</v>
      </c>
      <c r="K59" s="24" t="s">
        <v>61</v>
      </c>
      <c r="L59" s="24">
        <v>3.0</v>
      </c>
      <c r="M59" s="24" t="s">
        <v>88</v>
      </c>
      <c r="N59" s="25"/>
      <c r="O59" s="25" t="s">
        <v>75</v>
      </c>
      <c r="P59" s="46" t="s">
        <v>55</v>
      </c>
      <c r="Q59" s="20">
        <v>12.0</v>
      </c>
      <c r="R59" s="63">
        <v>45524.0</v>
      </c>
      <c r="S59" s="24">
        <v>181.0</v>
      </c>
      <c r="T59" s="60">
        <v>2.57</v>
      </c>
      <c r="U59" s="60">
        <v>2.09</v>
      </c>
      <c r="V59" s="60">
        <v>8.15</v>
      </c>
      <c r="W59" s="32">
        <v>3.0E-4</v>
      </c>
      <c r="X59" s="33">
        <v>56.12</v>
      </c>
      <c r="Y59" s="33">
        <f t="shared" si="3"/>
        <v>0.3100552486</v>
      </c>
      <c r="Z59" s="61"/>
      <c r="AA59" s="61"/>
      <c r="AB59" s="61" t="s">
        <v>89</v>
      </c>
      <c r="AC59" s="61">
        <f>U59*'Data preparation'!$B$3/'Data preparation'!$B$2</f>
        <v>4.07248636</v>
      </c>
      <c r="AD59" s="38"/>
    </row>
  </sheetData>
  <autoFilter ref="$A$1:$AC$8">
    <sortState ref="A1:AC8">
      <sortCondition descending="1" ref="U1:U8"/>
      <sortCondition descending="1" ref="T1:T8"/>
      <sortCondition descending="1" ref="AA1:AA8"/>
    </sortState>
  </autoFilter>
  <mergeCells count="3">
    <mergeCell ref="F51:Q51"/>
    <mergeCell ref="T51:V51"/>
    <mergeCell ref="W51:AC51"/>
  </mergeCells>
  <conditionalFormatting sqref="Z2:Z9 S53:S59">
    <cfRule type="colorScale" priority="1">
      <colorScale>
        <cfvo type="min"/>
        <cfvo type="max"/>
        <color rgb="FFFFFFFF"/>
        <color rgb="FFFFD666"/>
      </colorScale>
    </cfRule>
  </conditionalFormatting>
  <conditionalFormatting sqref="AA2:AB8 Y9 X53:X59">
    <cfRule type="colorScale" priority="2">
      <colorScale>
        <cfvo type="min"/>
        <cfvo type="max"/>
        <color rgb="FFFFFFFF"/>
        <color rgb="FF57BB8A"/>
      </colorScale>
    </cfRule>
  </conditionalFormatting>
  <conditionalFormatting sqref="Y2:Y8">
    <cfRule type="colorScale" priority="3">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247" t="s">
        <v>337</v>
      </c>
    </row>
    <row r="8">
      <c r="B8" s="54" t="s">
        <v>338</v>
      </c>
    </row>
    <row r="9">
      <c r="B9" s="264" t="s">
        <v>339</v>
      </c>
    </row>
    <row r="10">
      <c r="B10" s="265" t="s">
        <v>340</v>
      </c>
      <c r="F10" s="54" t="s">
        <v>341</v>
      </c>
      <c r="G10" s="54" t="s">
        <v>342</v>
      </c>
      <c r="H10" s="54" t="s">
        <v>32</v>
      </c>
    </row>
    <row r="11">
      <c r="C11" s="54" t="s">
        <v>343</v>
      </c>
      <c r="D11" s="54">
        <v>-0.15</v>
      </c>
      <c r="F11" s="54">
        <v>0.0</v>
      </c>
      <c r="G11" s="54">
        <v>0.0</v>
      </c>
      <c r="H11" s="97" t="str">
        <f>F11/G11</f>
        <v>#DIV/0!</v>
      </c>
      <c r="I11" s="169" t="s">
        <v>344</v>
      </c>
    </row>
    <row r="12">
      <c r="C12" s="265" t="s">
        <v>345</v>
      </c>
    </row>
    <row r="13">
      <c r="C13" s="265" t="s">
        <v>346</v>
      </c>
    </row>
    <row r="14">
      <c r="B14" s="265" t="s">
        <v>347</v>
      </c>
      <c r="F14" s="54">
        <v>2.0</v>
      </c>
      <c r="G14" s="54">
        <v>2.0</v>
      </c>
      <c r="H14" s="97">
        <f>F14/G14</f>
        <v>1</v>
      </c>
    </row>
    <row r="15">
      <c r="C15" s="54" t="s">
        <v>343</v>
      </c>
      <c r="D15" s="54">
        <v>-0.1</v>
      </c>
    </row>
    <row r="16">
      <c r="C16" s="265" t="s">
        <v>348</v>
      </c>
    </row>
    <row r="17">
      <c r="C17" s="265" t="s">
        <v>349</v>
      </c>
    </row>
    <row r="18">
      <c r="B18" s="265" t="s">
        <v>350</v>
      </c>
      <c r="F18" s="54">
        <v>0.0</v>
      </c>
      <c r="G18" s="54">
        <v>0.0</v>
      </c>
      <c r="H18" s="97" t="str">
        <f>F18/G18</f>
        <v>#DIV/0!</v>
      </c>
    </row>
    <row r="19">
      <c r="C19" s="54" t="s">
        <v>343</v>
      </c>
      <c r="D19" s="54">
        <v>-0.15</v>
      </c>
    </row>
    <row r="20">
      <c r="C20" s="265" t="s">
        <v>351</v>
      </c>
    </row>
    <row r="21">
      <c r="C21" s="265" t="s">
        <v>352</v>
      </c>
    </row>
    <row r="25">
      <c r="B25" s="266" t="s">
        <v>353</v>
      </c>
    </row>
    <row r="26">
      <c r="B26" s="1" t="s">
        <v>0</v>
      </c>
      <c r="C26" s="1" t="s">
        <v>1</v>
      </c>
      <c r="D26" s="1" t="s">
        <v>2</v>
      </c>
      <c r="E26" s="1" t="s">
        <v>17</v>
      </c>
      <c r="F26" s="233" t="s">
        <v>130</v>
      </c>
      <c r="G26" s="233" t="s">
        <v>128</v>
      </c>
      <c r="H26" s="233" t="s">
        <v>129</v>
      </c>
      <c r="I26" s="238" t="s">
        <v>18</v>
      </c>
    </row>
    <row r="27">
      <c r="B27" s="61">
        <v>55.0</v>
      </c>
      <c r="C27" s="46" t="s">
        <v>59</v>
      </c>
      <c r="D27" s="110">
        <v>45419.0</v>
      </c>
      <c r="E27" s="166">
        <v>45465.0</v>
      </c>
      <c r="F27" s="30">
        <v>341.17</v>
      </c>
      <c r="G27" s="30">
        <v>228.32</v>
      </c>
      <c r="H27" s="260">
        <f>G27*0.1</f>
        <v>22.832</v>
      </c>
      <c r="I27" s="24">
        <v>56.0</v>
      </c>
    </row>
    <row r="28">
      <c r="B28" s="61">
        <v>167.0</v>
      </c>
      <c r="C28" s="46" t="s">
        <v>93</v>
      </c>
      <c r="D28" s="110">
        <v>45467.0</v>
      </c>
      <c r="E28" s="166">
        <v>45494.0</v>
      </c>
      <c r="F28" s="30">
        <v>17.23</v>
      </c>
      <c r="G28" s="30">
        <v>3.59</v>
      </c>
      <c r="H28" s="30">
        <v>38.66</v>
      </c>
      <c r="I28" s="24">
        <v>139.0</v>
      </c>
    </row>
    <row r="29">
      <c r="B29" s="61">
        <v>148.0</v>
      </c>
      <c r="C29" s="46" t="s">
        <v>71</v>
      </c>
      <c r="D29" s="110">
        <v>45504.0</v>
      </c>
      <c r="E29" s="234">
        <v>45504.0</v>
      </c>
      <c r="F29" s="30">
        <v>19.73</v>
      </c>
      <c r="G29" s="30">
        <v>47.88</v>
      </c>
      <c r="H29" s="41">
        <v>19.73</v>
      </c>
      <c r="I29" s="24">
        <v>91.0</v>
      </c>
    </row>
    <row r="30">
      <c r="B30" s="19">
        <v>48.0</v>
      </c>
      <c r="C30" s="46" t="s">
        <v>100</v>
      </c>
      <c r="D30" s="110">
        <v>45419.0</v>
      </c>
      <c r="E30" s="166">
        <v>45465.0</v>
      </c>
      <c r="F30" s="30">
        <v>12.73</v>
      </c>
      <c r="G30" s="30">
        <v>11.21</v>
      </c>
      <c r="H30" s="30">
        <v>16.21</v>
      </c>
      <c r="I30" s="24">
        <v>119.0</v>
      </c>
    </row>
    <row r="31">
      <c r="B31" s="61">
        <v>77.0</v>
      </c>
      <c r="C31" s="46" t="s">
        <v>82</v>
      </c>
      <c r="D31" s="110">
        <v>45498.0</v>
      </c>
      <c r="E31" s="234">
        <v>45498.0</v>
      </c>
      <c r="F31" s="30">
        <v>15.41</v>
      </c>
      <c r="G31" s="30">
        <v>1.42</v>
      </c>
      <c r="H31" s="41">
        <v>15.41</v>
      </c>
      <c r="I31" s="24">
        <v>81.0</v>
      </c>
    </row>
    <row r="32">
      <c r="B32" s="61">
        <v>59.0</v>
      </c>
      <c r="C32" s="46" t="s">
        <v>77</v>
      </c>
      <c r="D32" s="110">
        <v>45498.0</v>
      </c>
      <c r="E32" s="166">
        <v>45498.0</v>
      </c>
      <c r="F32" s="60">
        <v>6.51</v>
      </c>
      <c r="G32" s="60">
        <v>21.87</v>
      </c>
      <c r="H32" s="263">
        <v>8.63</v>
      </c>
      <c r="I32" s="24">
        <v>120.0</v>
      </c>
    </row>
    <row r="33">
      <c r="B33" s="61">
        <v>6.0</v>
      </c>
      <c r="C33" s="46" t="s">
        <v>87</v>
      </c>
      <c r="D33" s="110">
        <v>45419.0</v>
      </c>
      <c r="E33" s="133">
        <v>45488.0</v>
      </c>
      <c r="F33" s="60">
        <v>8.402</v>
      </c>
      <c r="G33" s="60">
        <v>3.56</v>
      </c>
      <c r="H33" s="267">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268" t="s">
        <v>354</v>
      </c>
      <c r="H5" s="269" t="s">
        <v>355</v>
      </c>
      <c r="J5" s="100"/>
    </row>
    <row r="6">
      <c r="B6" s="1" t="s">
        <v>0</v>
      </c>
      <c r="C6" s="1" t="s">
        <v>1</v>
      </c>
      <c r="D6" s="1" t="s">
        <v>2</v>
      </c>
      <c r="E6" s="1" t="s">
        <v>342</v>
      </c>
      <c r="F6" s="270" t="s">
        <v>356</v>
      </c>
      <c r="G6" s="271" t="s">
        <v>357</v>
      </c>
      <c r="H6" s="13" t="s">
        <v>358</v>
      </c>
      <c r="I6" s="15" t="s">
        <v>359</v>
      </c>
      <c r="J6" s="272" t="s">
        <v>360</v>
      </c>
    </row>
    <row r="7">
      <c r="B7" s="77">
        <v>55.0</v>
      </c>
      <c r="C7" s="46" t="s">
        <v>59</v>
      </c>
      <c r="D7" s="110">
        <v>45419.0</v>
      </c>
      <c r="E7" s="26">
        <v>56.0</v>
      </c>
      <c r="F7" s="273">
        <v>-0.16</v>
      </c>
      <c r="G7" s="26" t="s">
        <v>361</v>
      </c>
      <c r="H7" s="274">
        <v>2304.0</v>
      </c>
      <c r="I7" s="275">
        <v>1761.0</v>
      </c>
      <c r="J7" s="276">
        <f t="shared" ref="J7:J13" si="1">I7/H7</f>
        <v>0.7643229167</v>
      </c>
    </row>
    <row r="8">
      <c r="B8" s="77">
        <v>167.0</v>
      </c>
      <c r="C8" s="46" t="s">
        <v>93</v>
      </c>
      <c r="D8" s="133">
        <v>45467.0</v>
      </c>
      <c r="E8" s="26">
        <v>139.0</v>
      </c>
      <c r="F8" s="273">
        <v>-0.34</v>
      </c>
      <c r="G8" s="26" t="s">
        <v>362</v>
      </c>
      <c r="H8" s="277">
        <v>768.0</v>
      </c>
      <c r="I8" s="66">
        <v>431.0</v>
      </c>
      <c r="J8" s="276">
        <f t="shared" si="1"/>
        <v>0.5611979167</v>
      </c>
    </row>
    <row r="9">
      <c r="B9" s="77">
        <v>148.0</v>
      </c>
      <c r="C9" s="46" t="s">
        <v>71</v>
      </c>
      <c r="D9" s="110">
        <v>45504.0</v>
      </c>
      <c r="E9" s="26">
        <v>100.0</v>
      </c>
      <c r="F9" s="273">
        <v>-0.23</v>
      </c>
      <c r="G9" s="26" t="s">
        <v>363</v>
      </c>
      <c r="H9" s="278">
        <v>1536.0</v>
      </c>
      <c r="I9" s="66">
        <v>863.0</v>
      </c>
      <c r="J9" s="276">
        <f t="shared" si="1"/>
        <v>0.5618489583</v>
      </c>
    </row>
    <row r="10">
      <c r="B10" s="279">
        <v>48.0</v>
      </c>
      <c r="C10" s="46" t="s">
        <v>100</v>
      </c>
      <c r="D10" s="110">
        <v>45419.0</v>
      </c>
      <c r="E10" s="26">
        <v>122.0</v>
      </c>
      <c r="F10" s="273">
        <v>-0.23</v>
      </c>
      <c r="G10" s="26" t="s">
        <v>364</v>
      </c>
      <c r="H10" s="277">
        <v>1536.0</v>
      </c>
      <c r="I10" s="66">
        <v>656.0</v>
      </c>
      <c r="J10" s="276">
        <f t="shared" si="1"/>
        <v>0.4270833333</v>
      </c>
    </row>
    <row r="11">
      <c r="B11" s="77">
        <v>77.0</v>
      </c>
      <c r="C11" s="46" t="s">
        <v>82</v>
      </c>
      <c r="D11" s="110">
        <v>45498.0</v>
      </c>
      <c r="E11" s="26">
        <v>100.0</v>
      </c>
      <c r="F11" s="273">
        <v>-0.2</v>
      </c>
      <c r="G11" s="26" t="s">
        <v>365</v>
      </c>
      <c r="H11" s="278">
        <v>1152.0</v>
      </c>
      <c r="I11" s="66">
        <v>687.0</v>
      </c>
      <c r="J11" s="276">
        <f t="shared" si="1"/>
        <v>0.5963541667</v>
      </c>
    </row>
    <row r="12">
      <c r="B12" s="77">
        <v>59.0</v>
      </c>
      <c r="C12" s="46" t="s">
        <v>77</v>
      </c>
      <c r="D12" s="133">
        <v>45498.0</v>
      </c>
      <c r="E12" s="26">
        <v>101.0</v>
      </c>
      <c r="F12" s="273">
        <v>-0.24</v>
      </c>
      <c r="G12" s="26" t="s">
        <v>362</v>
      </c>
      <c r="H12" s="277">
        <v>1152.0</v>
      </c>
      <c r="I12" s="66">
        <v>511.0</v>
      </c>
      <c r="J12" s="276">
        <f t="shared" si="1"/>
        <v>0.4435763889</v>
      </c>
    </row>
    <row r="13">
      <c r="B13" s="77">
        <v>6.0</v>
      </c>
      <c r="C13" s="46" t="s">
        <v>87</v>
      </c>
      <c r="D13" s="110">
        <v>45419.0</v>
      </c>
      <c r="E13" s="46">
        <v>95.0</v>
      </c>
      <c r="F13" s="273">
        <v>-0.33</v>
      </c>
      <c r="G13" s="110" t="s">
        <v>366</v>
      </c>
      <c r="H13" s="277">
        <v>2304.0</v>
      </c>
      <c r="I13" s="66">
        <v>847.0</v>
      </c>
      <c r="J13" s="276">
        <f t="shared" si="1"/>
        <v>0.3676215278</v>
      </c>
    </row>
  </sheetData>
  <mergeCells count="2">
    <mergeCell ref="F5:G5"/>
    <mergeCell ref="H5:J5"/>
  </mergeCells>
  <drawing r:id="rId2"/>
  <legacyDrawing r:id="rId3"/>
</worksheet>
</file>