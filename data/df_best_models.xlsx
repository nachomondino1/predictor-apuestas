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Data preparation" sheetId="2" r:id="rId5"/>
    <sheet state="visible" name="Historial de entrenamientos" sheetId="3" r:id="rId6"/>
    <sheet state="visible" name="Historial de modelos" sheetId="4" r:id="rId7"/>
    <sheet state="visible" name="Peores modelos" sheetId="5" r:id="rId8"/>
    <sheet state="visible" name="Intro" sheetId="6" r:id="rId9"/>
  </sheets>
  <definedNames>
    <definedName hidden="1" localSheetId="0" name="_xlnm._FilterDatabase">'Modelos actuales'!$A$1:$AC$8</definedName>
    <definedName hidden="1" localSheetId="2" name="_xlnm._FilterDatabase">'Historial de entrenamientos'!$A$2:$L$999</definedName>
    <definedName hidden="1" localSheetId="3" name="_xlnm._FilterDatabase">'Historial de modelos'!$A$1:$AC$8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R1">
      <text>
        <t xml:space="preserve">Fecha de evaluacion de modelos ya entrenados con partidos missing ("en produccion").</t>
      </text>
    </comment>
    <comment authorId="0" ref="U1">
      <text>
        <t xml:space="preserve">Muchas veces hay modelos outlier...
que despues terminan cayendo y ajustandose </t>
      </text>
    </comment>
    <comment authorId="0" ref="V1">
      <text>
        <t xml:space="preserve">el m a utilizar cuando apuesto</t>
      </text>
    </comment>
    <comment authorId="0" ref="W1">
      <text>
        <t xml:space="preserve">Idealmente -0.5 para que vaya por el rdo predicho (por que tal vez a la gente no le paso el resultado a apostar)</t>
      </text>
    </comment>
    <comment authorId="0" ref="Z1">
      <text>
        <t xml:space="preserve">solo en las competiciones que estan en comp_to_select</t>
      </text>
    </comment>
    <comment authorId="0" ref="AB1">
      <text>
        <t xml:space="preserve">usando un m=15</t>
      </text>
    </comment>
    <comment authorId="0" ref="T3">
      <text>
        <t xml:space="preserve">arranco con un m balanceado en todas las ligas porque francia es medio un outlier respecto de las otras ligas y es basado en muy pocos partidos, por lo que, prefiero ser mas cauto y que el m sea parejo al menos en las primeras fechas.</t>
      </text>
    </comment>
    <comment authorId="0" ref="U3">
      <text>
        <t xml:space="preserve">dejo afuera outlier del 989</t>
      </text>
    </comment>
    <comment authorId="0" ref="S4">
      <text>
        <t xml:space="preserve">Fue porque son los de final de temporada y por arreglo de partidos?
</t>
      </text>
    </comment>
    <comment authorId="0" ref="U5">
      <text>
        <t xml:space="preserve">dejo afuera outlier de 808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2">
      <text>
        <t xml:space="preserve">Muchas veces hay modelos outlier...
que despues terminan cayendo y ajustandose </t>
      </text>
    </comment>
    <comment authorId="0" ref="L4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L7">
      <text>
        <t xml:space="preserve">Si bien no es el que mas roi_pp tiene, es el primero con under y n_years_to_select &gt;= 10.
n_years            Average of roi_por_partido
3                       0,06
5                       0,01
10                     0,17
None                 0,14
Grand Total       0,09
</t>
      </text>
    </comment>
    <comment authorId="0" ref="D11">
      <text>
        <t xml:space="preserve">El entrenamiento de modelos tardo de 2 a 3 dias</t>
      </text>
    </comment>
    <comment authorId="0" ref="E11">
      <text>
        <t xml:space="preserve">Probar sin cups porque aca tienen banda de peso.</t>
      </text>
    </comment>
    <comment authorId="0" ref="F12">
      <text>
        <t xml:space="preserve">inicio:  31/7 20 hs
Fin: 1/8 12hs
Duracion: 16 hs</t>
      </text>
    </comment>
    <comment authorId="0" ref="I12">
      <text>
        <t xml:space="preserve">muchos tienen 90 partidos, otros inclusive 60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R1">
      <text>
        <t xml:space="preserve">Fecha de evaluacion de modelos ya entrenados con partidos missing ("en produccion").</t>
      </text>
    </comment>
    <comment authorId="0" ref="S1">
      <text>
        <t xml:space="preserve">Muchas veces hay modelos outlier...
que despues terminan cayendo y ajustandose </t>
      </text>
    </comment>
    <comment authorId="0" ref="V1">
      <text>
        <t xml:space="preserve">el m a utilizar cuando apuesto</t>
      </text>
    </comment>
    <comment authorId="0" ref="W1">
      <text>
        <t xml:space="preserve">Idealmente -0.5 para que vaya por el rdo predicho (por que tal vez a la gente no le paso el resultado a apostar)</t>
      </text>
    </comment>
    <comment authorId="0" ref="Z1">
      <text>
        <t xml:space="preserve">solo en las competiciones que estan en comp_to_select</t>
      </text>
    </comment>
    <comment authorId="0" ref="AB1">
      <text>
        <t xml:space="preserve">usando un m=15</t>
      </text>
    </comment>
    <comment authorId="0" ref="AC3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AC8">
      <text>
        <t xml:space="preserve">Si bien no es el que mas roi_pp tiene, es el primero con under y n_years_to_select &gt;= 10.
n_years            Average of roi_por_partido
3                       0,06
5                       0,01
10                     0,17
None                 0,14
Grand Total       0,09
</t>
      </text>
    </comment>
    <comment authorId="0" ref="C19">
      <text>
        <t xml:space="preserve">Fecha de entrenamiento de modelos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6">
      <text>
        <t xml:space="preserve">Fecha de entrenamiento de modelos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6">
      <text>
        <t xml:space="preserve">Fecha de entrenamiento de modelos</t>
      </text>
    </comment>
    <comment authorId="0" ref="E26">
      <text>
        <t xml:space="preserve">Fecha de evaluacion de modelos ya entrenados con partidos missing ("en produccion").</t>
      </text>
    </comment>
    <comment authorId="0" ref="F26">
      <text>
        <t xml:space="preserve">Muchas veces hay modelos outlier...
que despues terminan cayendo y ajustandose </t>
      </text>
    </comment>
    <comment authorId="0" ref="I26">
      <text>
        <t xml:space="preserve">solo en las competiciones que estan en comp_to_select</t>
      </text>
    </comment>
    <comment authorId="0" ref="H27">
      <text>
        <t xml:space="preserve">arranco con un m balanceado en todas las ligas porque francia es medio un outlier respecto de las otras ligas y es basado en muy pocos partidos, por lo que, prefiero ser mas cauto y que el m sea parejo al menos en las primeras fechas.</t>
      </text>
    </comment>
  </commentList>
</comments>
</file>

<file path=xl/sharedStrings.xml><?xml version="1.0" encoding="utf-8"?>
<sst xmlns="http://schemas.openxmlformats.org/spreadsheetml/2006/main" count="400" uniqueCount="150">
  <si>
    <t>id_country</t>
  </si>
  <si>
    <t>country</t>
  </si>
  <si>
    <t>iteration_date</t>
  </si>
  <si>
    <t># modelos entrenados</t>
  </si>
  <si>
    <t>Hiperparametros probados</t>
  </si>
  <si>
    <t>n_model</t>
  </si>
  <si>
    <t>n_dias_ult_part</t>
  </si>
  <si>
    <t>n_anios_hist</t>
  </si>
  <si>
    <t>segun_localia</t>
  </si>
  <si>
    <t>thr_corr</t>
  </si>
  <si>
    <t>thr_fs</t>
  </si>
  <si>
    <t>n_years_to_select</t>
  </si>
  <si>
    <t>comp_to_select</t>
  </si>
  <si>
    <t>fill_na</t>
  </si>
  <si>
    <t>bal_type</t>
  </si>
  <si>
    <t>Model</t>
  </si>
  <si>
    <t>Cantidad de variables</t>
  </si>
  <si>
    <t>fecha_assess_model</t>
  </si>
  <si>
    <t xml:space="preserve">ROI pp en partido 50 promedio top 10 modelos </t>
  </si>
  <si>
    <t xml:space="preserve">ROI pp en partido 100 promedio top 10 modelos </t>
  </si>
  <si>
    <t xml:space="preserve">ROI pp promedio top 10 modelos </t>
  </si>
  <si>
    <t>m_to_use</t>
  </si>
  <si>
    <t>thr_prob_min_best</t>
  </si>
  <si>
    <t>roi_por_partido en partido 50</t>
  </si>
  <si>
    <t>ROI</t>
  </si>
  <si>
    <t>Cantidad de partidos missing</t>
  </si>
  <si>
    <t>roi_por_partido</t>
  </si>
  <si>
    <t>ROI_por_partido realidad</t>
  </si>
  <si>
    <t>Observaciones</t>
  </si>
  <si>
    <t>usa</t>
  </si>
  <si>
    <t>0.9</t>
  </si>
  <si>
    <t>0.2</t>
  </si>
  <si>
    <t>[1671, 1672]</t>
  </si>
  <si>
    <t>ml</t>
  </si>
  <si>
    <t>LogisticRegression</t>
  </si>
  <si>
    <t>-0.5</t>
  </si>
  <si>
    <t>france</t>
  </si>
  <si>
    <t>[551, 552, 553, 554, 555]</t>
  </si>
  <si>
    <t>under</t>
  </si>
  <si>
    <t>-0.25</t>
  </si>
  <si>
    <t>italy</t>
  </si>
  <si>
    <t xml:space="preserve">    l_modelos = [LogisticRegression(), SVC()]  
    d_params = {
        'construct': {
            'n_dias_ult_part': [30, 60],
            'n_years_h2h': [3],
            'segun_localia': [True, False]
        },
        'clean_data_2': {
            'competencies_to_select': [d_comps['comp_sin_b'], d_comps['all_comp']],
            'n_years_to_select': [5,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
            'k': [10] 
        }
    }</t>
  </si>
  <si>
    <t>0.10</t>
  </si>
  <si>
    <t>[771, 772, 773, 774]</t>
  </si>
  <si>
    <t>SVC</t>
  </si>
  <si>
    <t>Hasta el 20/8, le tenia miedo al doble oportunidad pero ahora ya no.</t>
  </si>
  <si>
    <t>england</t>
  </si>
  <si>
    <t>[481, 482, 483, 484]</t>
  </si>
  <si>
    <t>Uso el modelo 808 a pesar de ser outlier porque no veo overfitting en los hiperparametros de estrategia de apuesta.</t>
  </si>
  <si>
    <t>spain</t>
  </si>
  <si>
    <t xml:space="preserve">    l_modelos = [LogisticRegression(), SVC()]  #RandomForestClassifier(), XGBClassifier(), GradientBoostingClassifier(),  MLPClassifier()
    d_params = {
        'construct': {
            'n_dias_ult_part': [30, 60],
            'n_years_h2h': [3],
            'segun_localia': [True, False]
        },
        'clean_data_2': {
            'competencies_to_select': [d_comps['comp_sin_b'], d_comps['all_comp']],
            'n_years_to_select': [3, 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 #  'over'
            'k': [10] 
        }</t>
  </si>
  <si>
    <t>0.70</t>
  </si>
  <si>
    <t>[1481, 1482, 1483, 1484]</t>
  </si>
  <si>
    <t>germany</t>
  </si>
  <si>
    <t>0.7</t>
  </si>
  <si>
    <t>[591, 593, 594]</t>
  </si>
  <si>
    <t>argentina</t>
  </si>
  <si>
    <t>[61, 62, 64, 65, 66, 67]</t>
  </si>
  <si>
    <t>Parametros para apostar</t>
  </si>
  <si>
    <t>ROI asses --&gt; ROI realidad</t>
  </si>
  <si>
    <t>max roi pp</t>
  </si>
  <si>
    <t xml:space="preserve">Promedio ROI pp top 10 modelos </t>
  </si>
  <si>
    <t>max m</t>
  </si>
  <si>
    <t>16.36</t>
  </si>
  <si>
    <t>8.44</t>
  </si>
  <si>
    <t>7.92</t>
  </si>
  <si>
    <t>13.00</t>
  </si>
  <si>
    <t>12.84</t>
  </si>
  <si>
    <t>9.60</t>
  </si>
  <si>
    <t>10.49</t>
  </si>
  <si>
    <t>9.88</t>
  </si>
  <si>
    <t>3.73</t>
  </si>
  <si>
    <t>2.81</t>
  </si>
  <si>
    <t>Entrenamiento</t>
  </si>
  <si>
    <t>Evaluacion de modelos entrenados</t>
  </si>
  <si>
    <t>Pais</t>
  </si>
  <si>
    <t>Fecha</t>
  </si>
  <si>
    <t>Motivo de corrida</t>
  </si>
  <si>
    <t>Tiempo de entrenamiento</t>
  </si>
  <si>
    <t>En uso?</t>
  </si>
  <si>
    <t>Motivo de descarte</t>
  </si>
  <si>
    <t>Obs</t>
  </si>
  <si>
    <t>-</t>
  </si>
  <si>
    <t>No</t>
  </si>
  <si>
    <t>No puede predecir partidos de equipos recien ascendidos (Venezia, Parma y Como). No puedo salir al mercado sin predecir algunos partidos de la competicion. Sin serie B de Sofifa --&gt; lo arregle al agregar el rellenado de variable de jugadores cuando uno de los 2 equipos si tiene valor.
Mala integracion de jugadores. Habia jugadores duplicados en df_player de Sofifa?</t>
  </si>
  <si>
    <t>Lo intente volver a usar pero borre los df en preparacion (e.g. df_integrated) y en extraccion.</t>
  </si>
  <si>
    <t>No puede predecir partidos de equipos recien ascendidos. --&gt; lo arregle al agregar el rellenado de variable de jugadores cuando uno de los 2 equipos si tiene valor.</t>
  </si>
  <si>
    <r>
      <rPr>
        <rFont val="Arial"/>
        <color rgb="FF000000"/>
      </rPr>
      <t xml:space="preserve">Todos los modelos de SPA tienen sesgo debido a una mala integracion. Tengo que mejorar la integracion urgentemente
Excluyo el modelo que mejor rinde (547) del top 10 porque claramente es demasiado outlier.
</t>
    </r>
    <r>
      <rPr>
        <rFont val="Arial"/>
        <color rgb="FFFF0000"/>
      </rPr>
      <t>Lo intente volver a usar pero borre los df en preparacion en extraccion (e.g. df_teams_sofifa)</t>
    </r>
  </si>
  <si>
    <t>Si</t>
  </si>
  <si>
    <t xml:space="preserve">- No puede predecir rdos de partidos de Riestra ni de Independiente Rivadavia (los recien ascendidos, porque no estan en el fifa 24)
- Es logico que ande mal porque los partidos de Copa Argentina son en estadio neutral. Sofifa no le da mucha bola a los equipos de sudamerica.
No apostaria en ARG:
Todos los modelos de ARG son bastante pedorros. Solo 800 modelos de 2300, tienen rentabilidad al menos 0 o mas de rentabilidad. Ademas, se juega todos los dias y para un apostador te mata. </t>
  </si>
  <si>
    <t>El anterior entrenamiento (2024-05-06) tiene problemas con integracion y con prediccion de partidos de equipos recien ascendidos (Venezia, Parma y Como).</t>
  </si>
  <si>
    <t>Antes de incluir Serie B, los promedios en los top 10 modelos eran al menos tres veces mejores y en menos partidos (81 en vez de 100). Claramente la integracion tiene un gran impacto en los resultados.
- ROI pp promedio top 10 modelos: 31,4
- ROI pp partido 50 promedio top 10 modelos: 17,3
Pero ahora si tengo la prediccion de partidos jugados por los equipos recien ascendidos como Como, Venezia y Parma.</t>
  </si>
  <si>
    <t>- elimino paritdos de df_match para aumentar df_missing de 20 a 100 partidos y asi ganar robustez en la seleccion de modelos en assess.</t>
  </si>
  <si>
    <r>
      <rPr>
        <rFont val="Arial"/>
        <b/>
        <color theme="1"/>
      </rPr>
      <t>Cambio hiperparametros probados respecto a anterior entrenamiento (2024-05-07):</t>
    </r>
    <r>
      <rPr>
        <rFont val="Arial"/>
        <color theme="1"/>
      </rPr>
      <t xml:space="preserve">
- Probar sin</t>
    </r>
    <r>
      <rPr>
        <rFont val="Arial"/>
        <b/>
        <color theme="1"/>
      </rPr>
      <t xml:space="preserve"> n_years_to_select</t>
    </r>
    <r>
      <rPr>
        <rFont val="Arial"/>
        <color theme="1"/>
      </rPr>
      <t xml:space="preserve">=3 (no me gusta que use tan pocos years por la volatilidad?) 
- </t>
    </r>
    <r>
      <rPr>
        <rFont val="Arial"/>
        <b/>
        <color theme="1"/>
      </rPr>
      <t>comp_to_select</t>
    </r>
    <r>
      <rPr>
        <rFont val="Arial"/>
        <color theme="1"/>
      </rPr>
      <t>: agregar comps_sin_cup porque en Inglaterra hay muchos partidos de copa.</t>
    </r>
  </si>
  <si>
    <t>l_modelos = [LogisticRegression(), SVC()]  
    d_params = {
        'construct': {
            'n_dias_ult_part': [30, 60],
            'n_years_h2h': [3],
            'segun_localia': [True, False]
        },
        'clean_data_2': {
            'competencies_to_select': [d_comps['comp_sin_b'], d_comps['comp_sin_cups'],d_comps['all_comp']],
            'n_years_to_select': [5,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
            'k': [10] 
        }
    }</t>
  </si>
  <si>
    <t>2 a 3 dias</t>
  </si>
  <si>
    <r>
      <rPr>
        <rFont val="Arial"/>
        <color rgb="FFFF9900"/>
      </rPr>
      <t xml:space="preserve">Peores resultados respecto del entrenamiento anterior (2024-05-07).
</t>
    </r>
    <r>
      <rPr>
        <rFont val="Arial"/>
        <color theme="1"/>
      </rPr>
      <t xml:space="preserve">
Resultados de entrenamiento vs entrenamiento anterior
- ROI pp promedio top 10 modelos: 8,9 vs 12,73
- ROI pp en partido 50 promedio top 10 modelos: 11,2 vs 11,21    
- ROI pp en partido 100 promedio top 10 modelos: 5,5 vs 16,21</t>
    </r>
  </si>
  <si>
    <t>Por que da peor?</t>
  </si>
  <si>
    <t>El anterior entrenamiento (2024-05-06) no podria predecir partidos de equipos recien ascendidos. No puedo salir al mercado sin predecir algunos partidos de la competicion.
Mejoro df_teams_sofifa. Extraigo nuevamente de Sofifa. 
Vuelvo a integrar Sofifa a Flashscore jugadores y equipos.
Pruebo mas hiperparametros de apuesta</t>
  </si>
  <si>
    <t>16 horas</t>
  </si>
  <si>
    <r>
      <rPr>
        <rFont val="Arial"/>
        <color rgb="FFFF9900"/>
      </rPr>
      <t>Peores resultados respecto del entrenamiento anterior (2024-05-06).</t>
    </r>
    <r>
      <rPr>
        <rFont val="Arial"/>
        <color theme="1"/>
      </rPr>
      <t xml:space="preserve">
</t>
    </r>
  </si>
  <si>
    <t>De los top 10 models, hay 4 con 61 partidos, 4 con 91 y 2 con 100
Por que da peor?</t>
  </si>
  <si>
    <t xml:space="preserve">DISCLAIMER! Antes de hacer un nuevo entrenamiento, guarda los dataframes de la extraccion (p2) y la preparacion (p3 hasta integrate incluido) antes de sobreescribirlos. Tal vez el nuevo entrenamiento es peor al anterior y mejor tener la posibilidad de volver a atras. </t>
  </si>
  <si>
    <t>0.8</t>
  </si>
  <si>
    <t>[551, 552, 553, 554]</t>
  </si>
  <si>
    <t>-0.15</t>
  </si>
  <si>
    <t>[1481, 1483, 1484]</t>
  </si>
  <si>
    <t>21/7 - Paso del modelo 219 al 27 que es igual salvo que is_localia = True. Me parece correcto. A ver si este nuevo modelo tiene menos volatilidad que el 219.</t>
  </si>
  <si>
    <t>0.1</t>
  </si>
  <si>
    <t>[591, 592, 593, 594]</t>
  </si>
  <si>
    <t>0.80</t>
  </si>
  <si>
    <t>[771, 772, 773]</t>
  </si>
  <si>
    <t>ANTES DEL ASSES_MODEL DEL 20/08/2024</t>
  </si>
  <si>
    <t>0.90</t>
  </si>
  <si>
    <t>-0.10</t>
  </si>
  <si>
    <t>-0.50</t>
  </si>
  <si>
    <t>ANTES DEL ASSES_MODEL DEL 24/08/2024</t>
  </si>
  <si>
    <t>-0.2</t>
  </si>
  <si>
    <t>-0.1</t>
  </si>
  <si>
    <t>Peor modelo</t>
  </si>
  <si>
    <t>Todos los modelos</t>
  </si>
  <si>
    <t># partidos</t>
  </si>
  <si>
    <t>Peor ROI</t>
  </si>
  <si>
    <t>Peor ROI pp</t>
  </si>
  <si>
    <t># modelos</t>
  </si>
  <si>
    <t># modelos ROI &gt; 0</t>
  </si>
  <si>
    <t>% modelos ROI &gt; 0</t>
  </si>
  <si>
    <t>-0.28%</t>
  </si>
  <si>
    <t>-0.24%</t>
  </si>
  <si>
    <t>-0.23%</t>
  </si>
  <si>
    <t>-0.19%</t>
  </si>
  <si>
    <t>-0.20%</t>
  </si>
  <si>
    <t>-0.35%</t>
  </si>
  <si>
    <t>DOBLE OPORTUNIDAD</t>
  </si>
  <si>
    <t>Volver a seleccionar modelos sin Doble oportunidad?</t>
  </si>
  <si>
    <r>
      <rPr>
        <rFont val="Arial, sans-serif"/>
        <b/>
        <color rgb="FF0000FF"/>
        <sz val="11.0"/>
      </rPr>
      <t xml:space="preserve">¿Por qué lo descarte? </t>
    </r>
    <r>
      <rPr>
        <rFont val="Arial, sans-serif"/>
        <b val="0"/>
        <color rgb="FF0000FF"/>
        <sz val="11.0"/>
      </rPr>
      <t>Solo 3 de los 5 países tienen modelos con DP. Y en los que hay, solamente entre el 7% y el 17% de los partidos tiene DP y cuando hay, acierta aprox el 50%.</t>
    </r>
  </si>
  <si>
    <t>FRA:</t>
  </si>
  <si>
    <t># partidos acierto</t>
  </si>
  <si>
    <t>Precision</t>
  </si>
  <si>
    <t>threslhold</t>
  </si>
  <si>
    <t>Voy a dejar de asustarme y confiar. Ademas, el PSG-mont solo es 45% de prob.</t>
  </si>
  <si>
    <t>Cantidad de DP: 7% (4/56)</t>
  </si>
  <si>
    <t>% Acierto: 100% (4/4)</t>
  </si>
  <si>
    <t>SPA</t>
  </si>
  <si>
    <t>Cantidad de DP: 17% (16/91)</t>
  </si>
  <si>
    <t>% Acierto: 44% (7/16)</t>
  </si>
  <si>
    <t>GER</t>
  </si>
  <si>
    <t>Cantidad de DP: 13% (16/120)</t>
  </si>
  <si>
    <t>% Acierto: 56% (9/16)</t>
  </si>
  <si>
    <r>
      <rPr>
        <rFont val="Arial"/>
        <b/>
        <color theme="1"/>
        <sz val="24.0"/>
      </rPr>
      <t xml:space="preserve">Tabla. </t>
    </r>
    <r>
      <rPr>
        <rFont val="Arial"/>
        <color theme="1"/>
        <sz val="24.0"/>
      </rPr>
      <t>Resumen de actual iteracion por pais.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</si>
</sst>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#,##0.0"/>
    <numFmt numFmtId="166" formatCode="d/MM/yyyy"/>
    <numFmt numFmtId="167" formatCode="yyyy-mm-dd"/>
  </numFmts>
  <fonts count="1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sz val="11.0"/>
      <color rgb="FF000000"/>
      <name val="Calibri"/>
    </font>
    <font/>
    <font>
      <b/>
      <color rgb="FF000000"/>
      <name val="Arial"/>
    </font>
    <font>
      <color rgb="FFBF9000"/>
      <name val="Arial"/>
      <scheme val="minor"/>
    </font>
    <font>
      <color rgb="FFFF0000"/>
      <name val="Arial"/>
      <scheme val="minor"/>
    </font>
    <font>
      <color rgb="FF000000"/>
      <name val="Arial"/>
      <scheme val="minor"/>
    </font>
    <font>
      <color rgb="FFFF0000"/>
      <name val="Arial"/>
    </font>
    <font>
      <color rgb="FF000000"/>
      <name val="Arial"/>
    </font>
    <font>
      <b/>
      <sz val="24.0"/>
      <color theme="1"/>
      <name val="Arial"/>
      <scheme val="minor"/>
    </font>
    <font>
      <b/>
      <sz val="11.0"/>
      <color rgb="FF0000FF"/>
      <name val="Arial"/>
    </font>
    <font>
      <sz val="11.0"/>
      <color rgb="FF0000FF"/>
      <name val="Arial"/>
    </font>
    <font>
      <sz val="24.0"/>
      <color theme="1"/>
      <name val="Arial"/>
      <scheme val="minor"/>
    </font>
  </fonts>
  <fills count="17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B45F06"/>
        <bgColor rgb="FFB45F06"/>
      </patternFill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rgb="FF9FC5E8"/>
        <bgColor rgb="FF9FC5E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2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3" fillId="0" fontId="3" numFmtId="3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3" fillId="0" fontId="3" numFmtId="164" xfId="0" applyAlignment="1" applyBorder="1" applyFont="1" applyNumberFormat="1">
      <alignment horizontal="center" readingOrder="0" vertical="center"/>
    </xf>
    <xf borderId="3" fillId="4" fontId="3" numFmtId="0" xfId="0" applyAlignment="1" applyBorder="1" applyFill="1" applyFont="1">
      <alignment horizontal="center" readingOrder="0" vertical="center"/>
    </xf>
    <xf borderId="3" fillId="4" fontId="3" numFmtId="0" xfId="0" applyAlignment="1" applyBorder="1" applyFont="1">
      <alignment horizontal="left" readingOrder="0" vertical="center"/>
    </xf>
    <xf borderId="3" fillId="0" fontId="3" numFmtId="3" xfId="0" applyAlignment="1" applyBorder="1" applyFont="1" applyNumberForma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vertical="center"/>
    </xf>
    <xf borderId="3" fillId="0" fontId="3" numFmtId="9" xfId="0" applyAlignment="1" applyBorder="1" applyFont="1" applyNumberFormat="1">
      <alignment horizontal="center" readingOrder="0" vertical="center"/>
    </xf>
    <xf borderId="3" fillId="0" fontId="3" numFmtId="0" xfId="0" applyAlignment="1" applyBorder="1" applyFont="1">
      <alignment readingOrder="0" shrinkToFit="0" wrapText="1"/>
    </xf>
    <xf borderId="3" fillId="0" fontId="3" numFmtId="164" xfId="0" applyAlignment="1" applyBorder="1" applyFont="1" applyNumberFormat="1">
      <alignment horizontal="center" vertical="center"/>
    </xf>
    <xf borderId="3" fillId="6" fontId="3" numFmtId="165" xfId="0" applyAlignment="1" applyBorder="1" applyFill="1" applyFont="1" applyNumberFormat="1">
      <alignment horizontal="center" readingOrder="0" vertical="center"/>
    </xf>
    <xf borderId="3" fillId="0" fontId="3" numFmtId="165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vertical="center"/>
    </xf>
    <xf borderId="3" fillId="4" fontId="3" numFmtId="0" xfId="0" applyAlignment="1" applyBorder="1" applyFont="1">
      <alignment horizontal="left" shrinkToFit="0" vertical="center" wrapText="0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3" numFmtId="10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center" vertical="center"/>
    </xf>
    <xf borderId="3" fillId="4" fontId="3" numFmtId="0" xfId="0" applyAlignment="1" applyBorder="1" applyFont="1">
      <alignment horizontal="left" readingOrder="0" shrinkToFit="0" vertical="center" wrapText="0"/>
    </xf>
    <xf borderId="0" fillId="0" fontId="4" numFmtId="4" xfId="0" applyAlignment="1" applyFont="1" applyNumberFormat="1">
      <alignment readingOrder="0"/>
    </xf>
    <xf borderId="3" fillId="4" fontId="3" numFmtId="0" xfId="0" applyAlignment="1" applyBorder="1" applyFont="1">
      <alignment horizontal="left" vertical="center"/>
    </xf>
    <xf borderId="1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readingOrder="0" shrinkToFit="0" vertical="bottom" wrapText="1"/>
    </xf>
    <xf borderId="0" fillId="0" fontId="4" numFmtId="4" xfId="0" applyFont="1" applyNumberFormat="1"/>
    <xf borderId="1" fillId="5" fontId="3" numFmtId="165" xfId="0" applyAlignment="1" applyBorder="1" applyFont="1" applyNumberFormat="1">
      <alignment horizontal="center" readingOrder="0" vertical="center"/>
    </xf>
    <xf borderId="2" fillId="5" fontId="3" numFmtId="165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0" fillId="0" fontId="4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3" xfId="0" applyFont="1" applyNumberFormat="1"/>
    <xf borderId="0" fillId="0" fontId="4" numFmtId="3" xfId="0" applyAlignment="1" applyFont="1" applyNumberFormat="1">
      <alignment readingOrder="0"/>
    </xf>
    <xf borderId="0" fillId="0" fontId="4" numFmtId="9" xfId="0" applyAlignment="1" applyFont="1" applyNumberFormat="1">
      <alignment readingOrder="0"/>
    </xf>
    <xf borderId="0" fillId="0" fontId="4" numFmtId="164" xfId="0" applyFont="1" applyNumberFormat="1"/>
    <xf borderId="0" fillId="0" fontId="4" numFmtId="10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Font="1" applyNumberFormat="1"/>
    <xf borderId="0" fillId="0" fontId="4" numFmtId="0" xfId="0" applyAlignment="1" applyFont="1">
      <alignment horizontal="center" readingOrder="0" vertical="center"/>
    </xf>
    <xf borderId="5" fillId="7" fontId="6" numFmtId="0" xfId="0" applyAlignment="1" applyBorder="1" applyFill="1" applyFont="1">
      <alignment horizontal="right" readingOrder="0" shrinkToFit="0" vertical="bottom" wrapText="0"/>
    </xf>
    <xf borderId="5" fillId="8" fontId="6" numFmtId="0" xfId="0" applyAlignment="1" applyBorder="1" applyFill="1" applyFont="1">
      <alignment horizontal="right" readingOrder="0" shrinkToFit="0" vertical="bottom" wrapText="0"/>
    </xf>
    <xf borderId="0" fillId="0" fontId="5" numFmtId="0" xfId="0" applyAlignment="1" applyFont="1">
      <alignment horizontal="center" readingOrder="0" shrinkToFit="0" vertical="center" wrapText="1"/>
    </xf>
    <xf borderId="6" fillId="2" fontId="2" numFmtId="0" xfId="0" applyAlignment="1" applyBorder="1" applyFont="1">
      <alignment horizontal="center" readingOrder="0" shrinkToFit="0" vertical="center" wrapText="1"/>
    </xf>
    <xf borderId="7" fillId="0" fontId="7" numFmtId="0" xfId="0" applyBorder="1" applyFont="1"/>
    <xf borderId="0" fillId="3" fontId="2" numFmtId="0" xfId="0" applyAlignment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8" fillId="9" fontId="8" numFmtId="0" xfId="0" applyAlignment="1" applyBorder="1" applyFill="1" applyFont="1">
      <alignment horizontal="center" readingOrder="0" shrinkToFit="0" vertical="center" wrapText="1"/>
    </xf>
    <xf borderId="1" fillId="9" fontId="8" numFmtId="0" xfId="0" applyAlignment="1" applyBorder="1" applyFont="1">
      <alignment horizontal="center" readingOrder="0" shrinkToFit="0" vertical="center" wrapText="1"/>
    </xf>
    <xf borderId="2" fillId="9" fontId="8" numFmtId="0" xfId="0" applyAlignment="1" applyBorder="1" applyFont="1">
      <alignment horizontal="center" readingOrder="0" shrinkToFit="0" vertical="center" wrapText="1"/>
    </xf>
    <xf borderId="1" fillId="10" fontId="1" numFmtId="0" xfId="0" applyAlignment="1" applyBorder="1" applyFill="1" applyFont="1">
      <alignment horizontal="center" readingOrder="0" shrinkToFit="0" vertical="center" wrapText="1"/>
    </xf>
    <xf borderId="2" fillId="10" fontId="1" numFmtId="0" xfId="0" applyAlignment="1" applyBorder="1" applyFont="1">
      <alignment horizontal="center" readingOrder="0" shrinkToFit="0" vertical="center" wrapText="1"/>
    </xf>
    <xf borderId="1" fillId="0" fontId="4" numFmtId="0" xfId="0" applyBorder="1" applyFont="1"/>
    <xf borderId="8" fillId="4" fontId="3" numFmtId="0" xfId="0" applyAlignment="1" applyBorder="1" applyFont="1">
      <alignment horizontal="center" readingOrder="0" vertical="center"/>
    </xf>
    <xf borderId="1" fillId="4" fontId="4" numFmtId="0" xfId="0" applyBorder="1" applyFont="1"/>
    <xf borderId="2" fillId="4" fontId="4" numFmtId="0" xfId="0" applyBorder="1" applyFont="1"/>
    <xf borderId="1" fillId="5" fontId="4" numFmtId="0" xfId="0" applyAlignment="1" applyBorder="1" applyFont="1">
      <alignment horizontal="center" readingOrder="0" vertical="center"/>
    </xf>
    <xf borderId="2" fillId="5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5" fontId="4" numFmtId="165" xfId="0" applyAlignment="1" applyBorder="1" applyFont="1" applyNumberFormat="1">
      <alignment horizontal="center" readingOrder="0" vertical="center"/>
    </xf>
    <xf borderId="2" fillId="5" fontId="4" numFmtId="165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9" fillId="0" fontId="3" numFmtId="0" xfId="0" applyAlignment="1" applyBorder="1" applyFont="1">
      <alignment horizontal="center" vertical="center"/>
    </xf>
    <xf borderId="9" fillId="0" fontId="3" numFmtId="164" xfId="0" applyAlignment="1" applyBorder="1" applyFont="1" applyNumberFormat="1">
      <alignment horizontal="center" vertical="center"/>
    </xf>
    <xf borderId="1" fillId="5" fontId="4" numFmtId="0" xfId="0" applyBorder="1" applyFont="1"/>
    <xf borderId="2" fillId="5" fontId="4" numFmtId="0" xfId="0" applyBorder="1" applyFont="1"/>
    <xf borderId="1" fillId="4" fontId="3" numFmtId="0" xfId="0" applyAlignment="1" applyBorder="1" applyFont="1">
      <alignment horizontal="center" readingOrder="0" vertical="center"/>
    </xf>
    <xf borderId="1" fillId="5" fontId="4" numFmtId="3" xfId="0" applyBorder="1" applyFont="1" applyNumberFormat="1"/>
    <xf borderId="1" fillId="0" fontId="4" numFmtId="0" xfId="0" applyAlignment="1" applyBorder="1" applyFont="1">
      <alignment readingOrder="0" shrinkToFit="0" vertical="center" wrapText="1"/>
    </xf>
    <xf borderId="1" fillId="4" fontId="3" numFmtId="0" xfId="0" applyAlignment="1" applyBorder="1" applyFont="1">
      <alignment horizontal="left" readingOrder="0" shrinkToFit="0" vertical="center" wrapText="0"/>
    </xf>
    <xf borderId="2" fillId="4" fontId="3" numFmtId="0" xfId="0" applyAlignment="1" applyBorder="1" applyFon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6" fillId="0" fontId="4" numFmtId="0" xfId="0" applyBorder="1" applyFont="1"/>
    <xf borderId="7" fillId="0" fontId="4" numFmtId="0" xfId="0" applyBorder="1" applyFont="1"/>
    <xf borderId="0" fillId="0" fontId="4" numFmtId="10" xfId="0" applyFont="1" applyNumberFormat="1"/>
    <xf borderId="7" fillId="0" fontId="4" numFmtId="10" xfId="0" applyBorder="1" applyFont="1" applyNumberFormat="1"/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11" fontId="12" numFmtId="0" xfId="0" applyAlignment="1" applyFill="1" applyFont="1">
      <alignment horizontal="center" readingOrder="0" shrinkToFit="0" vertical="center" wrapText="1"/>
    </xf>
    <xf borderId="7" fillId="0" fontId="4" numFmtId="3" xfId="0" applyBorder="1" applyFont="1" applyNumberFormat="1"/>
    <xf borderId="3" fillId="0" fontId="3" numFmtId="0" xfId="0" applyAlignment="1" applyBorder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11" fontId="13" numFmtId="167" xfId="0" applyAlignment="1" applyFont="1" applyNumberFormat="1">
      <alignment horizontal="center" readingOrder="0"/>
    </xf>
    <xf borderId="0" fillId="0" fontId="4" numFmtId="9" xfId="0" applyFont="1" applyNumberFormat="1"/>
    <xf borderId="0" fillId="11" fontId="13" numFmtId="0" xfId="0" applyAlignment="1" applyFont="1">
      <alignment horizontal="left" readingOrder="0"/>
    </xf>
    <xf borderId="0" fillId="0" fontId="14" numFmtId="0" xfId="0" applyAlignment="1" applyFont="1">
      <alignment readingOrder="0"/>
    </xf>
    <xf borderId="0" fillId="0" fontId="5" numFmtId="0" xfId="0" applyFont="1"/>
    <xf borderId="0" fillId="0" fontId="4" numFmtId="0" xfId="0" applyFont="1"/>
    <xf borderId="6" fillId="12" fontId="5" numFmtId="0" xfId="0" applyAlignment="1" applyBorder="1" applyFill="1" applyFont="1">
      <alignment horizontal="center" readingOrder="0" vertical="center"/>
    </xf>
    <xf borderId="6" fillId="13" fontId="5" numFmtId="0" xfId="0" applyAlignment="1" applyBorder="1" applyFill="1" applyFont="1">
      <alignment horizontal="center" readingOrder="0" vertical="center"/>
    </xf>
    <xf borderId="8" fillId="14" fontId="1" numFmtId="0" xfId="0" applyAlignment="1" applyBorder="1" applyFill="1" applyFont="1">
      <alignment horizontal="center" readingOrder="0" shrinkToFit="0" vertical="center" wrapText="1"/>
    </xf>
    <xf borderId="1" fillId="14" fontId="1" numFmtId="0" xfId="0" applyAlignment="1" applyBorder="1" applyFont="1">
      <alignment horizontal="center" readingOrder="0" shrinkToFit="0" vertical="center" wrapText="1"/>
    </xf>
    <xf borderId="8" fillId="15" fontId="1" numFmtId="0" xfId="0" applyAlignment="1" applyBorder="1" applyFill="1" applyFont="1">
      <alignment horizontal="center" readingOrder="0" shrinkToFit="0" vertical="center" wrapText="1"/>
    </xf>
    <xf borderId="1" fillId="15" fontId="1" numFmtId="0" xfId="0" applyAlignment="1" applyBorder="1" applyFont="1">
      <alignment horizontal="center" shrinkToFit="0" vertical="center" wrapText="1"/>
    </xf>
    <xf borderId="2" fillId="15" fontId="1" numFmtId="0" xfId="0" applyAlignment="1" applyBorder="1" applyFont="1">
      <alignment horizontal="center" readingOrder="0" shrinkToFit="0" vertical="center" wrapText="1"/>
    </xf>
    <xf borderId="1" fillId="0" fontId="3" numFmtId="3" xfId="0" applyAlignment="1" applyBorder="1" applyFont="1" applyNumberFormat="1">
      <alignment horizontal="center" vertical="center"/>
    </xf>
    <xf borderId="8" fillId="0" fontId="3" numFmtId="9" xfId="0" applyAlignment="1" applyBorder="1" applyFont="1" applyNumberFormat="1">
      <alignment horizontal="center" readingOrder="0" vertical="center"/>
    </xf>
    <xf borderId="10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2" fillId="0" fontId="4" numFmtId="9" xfId="0" applyAlignment="1" applyBorder="1" applyFont="1" applyNumberFormat="1">
      <alignment horizontal="center" vertical="center"/>
    </xf>
    <xf borderId="8" fillId="0" fontId="4" numFmtId="0" xfId="0" applyAlignment="1" applyBorder="1" applyFont="1">
      <alignment horizontal="center" readingOrder="0" vertical="center"/>
    </xf>
    <xf borderId="8" fillId="0" fontId="4" numFmtId="0" xfId="0" applyAlignment="1" applyBorder="1" applyFont="1">
      <alignment horizontal="center" vertical="center"/>
    </xf>
    <xf borderId="1" fillId="0" fontId="3" numFmtId="3" xfId="0" applyAlignment="1" applyBorder="1" applyFont="1" applyNumberFormat="1">
      <alignment horizontal="center" readingOrder="0" vertical="center"/>
    </xf>
    <xf borderId="0" fillId="0" fontId="15" numFmtId="0" xfId="0" applyAlignment="1" applyFont="1">
      <alignment readingOrder="0"/>
    </xf>
    <xf borderId="0" fillId="0" fontId="16" numFmtId="0" xfId="0" applyAlignment="1" applyFont="1">
      <alignment readingOrder="0"/>
    </xf>
    <xf borderId="0" fillId="0" fontId="17" numFmtId="0" xfId="0" applyAlignment="1" applyFont="1">
      <alignment readingOrder="0"/>
    </xf>
    <xf borderId="3" fillId="16" fontId="3" numFmtId="165" xfId="0" applyAlignment="1" applyBorder="1" applyFill="1" applyFont="1" applyNumberFormat="1">
      <alignment horizontal="center" readingOrder="0" vertical="center"/>
    </xf>
    <xf borderId="1" fillId="16" fontId="3" numFmtId="165" xfId="0" applyAlignment="1" applyBorder="1" applyFont="1" applyNumberFormat="1">
      <alignment horizontal="center" readingOrder="0" vertical="center"/>
    </xf>
  </cellXfs>
  <cellStyles count="1">
    <cellStyle xfId="0" name="Normal" builtinId="0"/>
  </cellStyles>
  <dxfs count="1">
    <dxf>
      <font>
        <color rgb="FF274E13"/>
      </font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5" max="5" width="20.75"/>
    <col customWidth="1" min="13" max="13" width="20.5"/>
    <col customWidth="1" min="16" max="16" width="15.13"/>
    <col customWidth="1" min="29" max="29" width="65.13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1" t="s">
        <v>17</v>
      </c>
      <c r="S1" s="5" t="s">
        <v>18</v>
      </c>
      <c r="T1" s="5" t="s">
        <v>19</v>
      </c>
      <c r="U1" s="5" t="s">
        <v>20</v>
      </c>
      <c r="V1" s="6" t="s">
        <v>21</v>
      </c>
      <c r="W1" s="1" t="s">
        <v>22</v>
      </c>
      <c r="X1" s="6" t="s">
        <v>23</v>
      </c>
      <c r="Y1" s="6" t="s">
        <v>24</v>
      </c>
      <c r="Z1" s="7" t="s">
        <v>25</v>
      </c>
      <c r="AA1" s="1" t="s">
        <v>26</v>
      </c>
      <c r="AB1" s="6" t="s">
        <v>27</v>
      </c>
      <c r="AC1" s="1" t="s">
        <v>28</v>
      </c>
      <c r="AD1" s="8"/>
      <c r="AE1" s="8"/>
      <c r="AF1" s="8"/>
      <c r="AG1" s="8"/>
      <c r="AH1" s="8"/>
    </row>
    <row r="2">
      <c r="A2" s="9">
        <v>167.0</v>
      </c>
      <c r="B2" s="10" t="s">
        <v>29</v>
      </c>
      <c r="C2" s="11">
        <v>45467.0</v>
      </c>
      <c r="D2" s="12">
        <v>768.0</v>
      </c>
      <c r="E2" s="13"/>
      <c r="F2" s="14">
        <v>27.0</v>
      </c>
      <c r="G2" s="15">
        <v>30.0</v>
      </c>
      <c r="H2" s="16">
        <v>3.0</v>
      </c>
      <c r="I2" s="16" t="b">
        <v>1</v>
      </c>
      <c r="J2" s="15" t="s">
        <v>30</v>
      </c>
      <c r="K2" s="15" t="s">
        <v>31</v>
      </c>
      <c r="L2" s="15">
        <v>3.0</v>
      </c>
      <c r="M2" s="16" t="s">
        <v>32</v>
      </c>
      <c r="N2" s="15" t="s">
        <v>33</v>
      </c>
      <c r="O2" s="15"/>
      <c r="P2" s="17" t="s">
        <v>34</v>
      </c>
      <c r="Q2" s="18">
        <v>20.0</v>
      </c>
      <c r="R2" s="11">
        <v>45494.0</v>
      </c>
      <c r="S2" s="19">
        <v>3.59</v>
      </c>
      <c r="T2" s="19">
        <v>38.66</v>
      </c>
      <c r="U2" s="19">
        <v>17.23</v>
      </c>
      <c r="V2" s="9">
        <f>T2*'Data preparation'!$B$4/'Data preparation'!$B$3</f>
        <v>37.3176029</v>
      </c>
      <c r="W2" s="14" t="s">
        <v>35</v>
      </c>
      <c r="X2" s="20">
        <v>0.0825</v>
      </c>
      <c r="Y2" s="20">
        <v>45.07</v>
      </c>
      <c r="Z2" s="15">
        <v>139.0</v>
      </c>
      <c r="AA2" s="20">
        <f t="shared" ref="AA2:AA8" si="1">Y2/Z2</f>
        <v>0.3242446043</v>
      </c>
      <c r="AB2" s="20">
        <f>'Data preparation'!$B$2*AA2</f>
        <v>0.04863669065</v>
      </c>
      <c r="AC2" s="21"/>
    </row>
    <row r="3">
      <c r="A3" s="9">
        <v>55.0</v>
      </c>
      <c r="B3" s="10" t="s">
        <v>36</v>
      </c>
      <c r="C3" s="22">
        <v>45419.0</v>
      </c>
      <c r="D3" s="12">
        <v>2304.0</v>
      </c>
      <c r="E3" s="12"/>
      <c r="F3" s="14">
        <v>989.0</v>
      </c>
      <c r="G3" s="15">
        <v>30.0</v>
      </c>
      <c r="H3" s="16">
        <v>3.0</v>
      </c>
      <c r="I3" s="15" t="b">
        <v>0</v>
      </c>
      <c r="J3" s="15" t="s">
        <v>30</v>
      </c>
      <c r="K3" s="15"/>
      <c r="L3" s="15">
        <v>5.0</v>
      </c>
      <c r="M3" s="15" t="s">
        <v>37</v>
      </c>
      <c r="N3" s="15" t="s">
        <v>33</v>
      </c>
      <c r="O3" s="15" t="s">
        <v>38</v>
      </c>
      <c r="P3" s="17" t="s">
        <v>34</v>
      </c>
      <c r="Q3" s="18">
        <v>41.0</v>
      </c>
      <c r="R3" s="11">
        <v>45528.0</v>
      </c>
      <c r="S3" s="19">
        <v>74.59</v>
      </c>
      <c r="T3" s="23">
        <f>S3*0.25</f>
        <v>18.6475</v>
      </c>
      <c r="U3" s="19">
        <v>306.97</v>
      </c>
      <c r="V3" s="24">
        <f>T3*'Data preparation'!$B$4/'Data preparation'!$B$3</f>
        <v>18</v>
      </c>
      <c r="W3" s="14" t="s">
        <v>39</v>
      </c>
      <c r="X3" s="20">
        <v>4.15</v>
      </c>
      <c r="Y3" s="20">
        <v>1151.78</v>
      </c>
      <c r="Z3" s="15">
        <v>68.0</v>
      </c>
      <c r="AA3" s="20">
        <f t="shared" si="1"/>
        <v>16.93794118</v>
      </c>
      <c r="AB3" s="20">
        <f>'Data preparation'!$B$2*AA3</f>
        <v>2.540691176</v>
      </c>
      <c r="AC3" s="25"/>
    </row>
    <row r="4" ht="41.25" customHeight="1">
      <c r="A4" s="9">
        <v>77.0</v>
      </c>
      <c r="B4" s="10" t="s">
        <v>40</v>
      </c>
      <c r="C4" s="22">
        <v>45498.0</v>
      </c>
      <c r="D4" s="26">
        <v>1152.0</v>
      </c>
      <c r="E4" s="27" t="s">
        <v>41</v>
      </c>
      <c r="F4" s="14">
        <v>174.0</v>
      </c>
      <c r="G4" s="15">
        <v>30.0</v>
      </c>
      <c r="H4" s="15">
        <v>3.0</v>
      </c>
      <c r="I4" s="16" t="b">
        <v>1</v>
      </c>
      <c r="J4" s="15" t="s">
        <v>30</v>
      </c>
      <c r="K4" s="28" t="s">
        <v>42</v>
      </c>
      <c r="L4" s="15">
        <v>5.0</v>
      </c>
      <c r="M4" s="15" t="s">
        <v>43</v>
      </c>
      <c r="N4" s="15"/>
      <c r="O4" s="15" t="s">
        <v>38</v>
      </c>
      <c r="P4" s="17" t="s">
        <v>44</v>
      </c>
      <c r="Q4" s="18">
        <v>35.0</v>
      </c>
      <c r="R4" s="11">
        <v>45528.0</v>
      </c>
      <c r="S4" s="19">
        <v>0.5</v>
      </c>
      <c r="T4" s="19">
        <v>15.13</v>
      </c>
      <c r="U4" s="19">
        <v>18.11</v>
      </c>
      <c r="V4" s="24">
        <f>T4*'Data preparation'!$B$4/'Data preparation'!$B$3</f>
        <v>14.60463869</v>
      </c>
      <c r="W4" s="14" t="s">
        <v>35</v>
      </c>
      <c r="X4" s="29">
        <v>0.0205</v>
      </c>
      <c r="Y4" s="20">
        <v>56.36</v>
      </c>
      <c r="Z4" s="15">
        <v>112.0</v>
      </c>
      <c r="AA4" s="20">
        <f t="shared" si="1"/>
        <v>0.5032142857</v>
      </c>
      <c r="AB4" s="20">
        <f>'Data preparation'!$B$2*AA4</f>
        <v>0.07548214286</v>
      </c>
      <c r="AC4" s="21" t="s">
        <v>45</v>
      </c>
    </row>
    <row r="5" ht="31.5" customHeight="1">
      <c r="A5" s="9">
        <v>48.0</v>
      </c>
      <c r="B5" s="10" t="s">
        <v>46</v>
      </c>
      <c r="C5" s="30">
        <v>45419.0</v>
      </c>
      <c r="D5" s="12">
        <v>1536.0</v>
      </c>
      <c r="E5" s="31"/>
      <c r="F5" s="14">
        <v>808.0</v>
      </c>
      <c r="G5" s="15">
        <v>60.0</v>
      </c>
      <c r="H5" s="16">
        <v>3.0</v>
      </c>
      <c r="I5" s="16" t="b">
        <v>1</v>
      </c>
      <c r="J5" s="16"/>
      <c r="K5" s="16" t="s">
        <v>31</v>
      </c>
      <c r="L5" s="15">
        <v>3.0</v>
      </c>
      <c r="M5" s="16" t="s">
        <v>47</v>
      </c>
      <c r="N5" s="15" t="s">
        <v>33</v>
      </c>
      <c r="O5" s="16" t="s">
        <v>38</v>
      </c>
      <c r="P5" s="17" t="s">
        <v>44</v>
      </c>
      <c r="Q5" s="18">
        <v>34.0</v>
      </c>
      <c r="R5" s="11">
        <v>45528.0</v>
      </c>
      <c r="S5" s="19">
        <v>11.79</v>
      </c>
      <c r="T5" s="19">
        <v>10.54</v>
      </c>
      <c r="U5" s="19">
        <v>7.32</v>
      </c>
      <c r="V5" s="24">
        <f>T5*'Data preparation'!$B$4/'Data preparation'!$B$3</f>
        <v>10.17401796</v>
      </c>
      <c r="W5" s="9" t="s">
        <v>35</v>
      </c>
      <c r="X5" s="29">
        <v>1.39</v>
      </c>
      <c r="Y5" s="20">
        <v>417.54</v>
      </c>
      <c r="Z5" s="15">
        <v>139.0</v>
      </c>
      <c r="AA5" s="20">
        <f t="shared" si="1"/>
        <v>3.003884892</v>
      </c>
      <c r="AB5" s="20">
        <f>'Data preparation'!$B$2*AA5</f>
        <v>0.4505827338</v>
      </c>
      <c r="AC5" s="21" t="s">
        <v>48</v>
      </c>
      <c r="AG5" s="32"/>
    </row>
    <row r="6" ht="41.25" customHeight="1">
      <c r="A6" s="9">
        <v>148.0</v>
      </c>
      <c r="B6" s="10" t="s">
        <v>49</v>
      </c>
      <c r="C6" s="22">
        <v>45504.0</v>
      </c>
      <c r="D6" s="26">
        <v>1536.0</v>
      </c>
      <c r="E6" s="33" t="s">
        <v>50</v>
      </c>
      <c r="F6" s="14">
        <v>732.0</v>
      </c>
      <c r="G6" s="15">
        <v>30.0</v>
      </c>
      <c r="H6" s="15">
        <v>3.0</v>
      </c>
      <c r="I6" s="15" t="b">
        <v>0</v>
      </c>
      <c r="J6" s="28" t="s">
        <v>51</v>
      </c>
      <c r="K6" s="28"/>
      <c r="L6" s="15"/>
      <c r="M6" s="15" t="s">
        <v>52</v>
      </c>
      <c r="N6" s="15" t="s">
        <v>33</v>
      </c>
      <c r="O6" s="16" t="s">
        <v>38</v>
      </c>
      <c r="P6" s="34" t="s">
        <v>34</v>
      </c>
      <c r="Q6" s="18">
        <v>26.0</v>
      </c>
      <c r="R6" s="11">
        <v>45528.0</v>
      </c>
      <c r="S6" s="19">
        <v>67.78</v>
      </c>
      <c r="T6" s="19">
        <v>9.51</v>
      </c>
      <c r="U6" s="19">
        <v>12.03</v>
      </c>
      <c r="V6" s="24">
        <f>T6*'Data preparation'!$B$4/'Data preparation'!$B$3</f>
        <v>9.179782813</v>
      </c>
      <c r="W6" s="14" t="s">
        <v>39</v>
      </c>
      <c r="X6" s="20">
        <v>0.53</v>
      </c>
      <c r="Y6" s="20">
        <v>19.19</v>
      </c>
      <c r="Z6" s="15">
        <v>105.0</v>
      </c>
      <c r="AA6" s="20">
        <f t="shared" si="1"/>
        <v>0.1827619048</v>
      </c>
      <c r="AB6" s="20">
        <f>'Data preparation'!$B$2*AA6</f>
        <v>0.02741428571</v>
      </c>
      <c r="AC6" s="35"/>
      <c r="AG6" s="36"/>
    </row>
    <row r="7" ht="40.5" customHeight="1">
      <c r="A7" s="9">
        <v>59.0</v>
      </c>
      <c r="B7" s="10" t="s">
        <v>53</v>
      </c>
      <c r="C7" s="11">
        <v>45498.0</v>
      </c>
      <c r="D7" s="12">
        <v>1152.0</v>
      </c>
      <c r="E7" s="31" t="s">
        <v>41</v>
      </c>
      <c r="F7" s="14">
        <v>54.0</v>
      </c>
      <c r="G7" s="15">
        <v>30.0</v>
      </c>
      <c r="H7" s="15">
        <v>3.0</v>
      </c>
      <c r="I7" s="15" t="b">
        <v>1</v>
      </c>
      <c r="J7" s="15" t="s">
        <v>54</v>
      </c>
      <c r="K7" s="15" t="s">
        <v>42</v>
      </c>
      <c r="L7" s="15">
        <v>10.0</v>
      </c>
      <c r="M7" s="15" t="s">
        <v>55</v>
      </c>
      <c r="N7" s="15"/>
      <c r="O7" s="15" t="s">
        <v>38</v>
      </c>
      <c r="P7" s="17" t="s">
        <v>34</v>
      </c>
      <c r="Q7" s="18">
        <v>21.0</v>
      </c>
      <c r="R7" s="11">
        <v>45528.0</v>
      </c>
      <c r="S7" s="37">
        <v>7.02</v>
      </c>
      <c r="T7" s="38">
        <v>2.68</v>
      </c>
      <c r="U7" s="37">
        <v>6.81</v>
      </c>
      <c r="V7" s="24">
        <f>T7*'Data preparation'!$B$4/'Data preparation'!$B$3</f>
        <v>2.586941949</v>
      </c>
      <c r="W7" s="14" t="s">
        <v>35</v>
      </c>
      <c r="X7" s="29">
        <v>0.2515</v>
      </c>
      <c r="Y7" s="20">
        <v>23.62</v>
      </c>
      <c r="Z7" s="15">
        <v>108.0</v>
      </c>
      <c r="AA7" s="20">
        <f t="shared" si="1"/>
        <v>0.2187037037</v>
      </c>
      <c r="AB7" s="20">
        <f>'Data preparation'!$B$2*AA7</f>
        <v>0.03280555556</v>
      </c>
      <c r="AC7" s="21"/>
      <c r="AG7" s="36"/>
    </row>
    <row r="8" ht="39.0" customHeight="1">
      <c r="A8" s="9">
        <v>6.0</v>
      </c>
      <c r="B8" s="10" t="s">
        <v>56</v>
      </c>
      <c r="C8" s="30">
        <v>45419.0</v>
      </c>
      <c r="D8" s="12">
        <v>2304.0</v>
      </c>
      <c r="E8" s="13"/>
      <c r="F8" s="14">
        <v>2.0</v>
      </c>
      <c r="G8" s="16">
        <v>30.0</v>
      </c>
      <c r="H8" s="16">
        <v>3.0</v>
      </c>
      <c r="I8" s="15" t="b">
        <v>1</v>
      </c>
      <c r="J8" s="15" t="s">
        <v>54</v>
      </c>
      <c r="K8" s="15" t="s">
        <v>31</v>
      </c>
      <c r="L8" s="15">
        <v>3.0</v>
      </c>
      <c r="M8" s="15" t="s">
        <v>57</v>
      </c>
      <c r="N8" s="16"/>
      <c r="O8" s="16" t="s">
        <v>38</v>
      </c>
      <c r="P8" s="34" t="s">
        <v>34</v>
      </c>
      <c r="Q8" s="18">
        <v>12.0</v>
      </c>
      <c r="R8" s="39">
        <v>45524.0</v>
      </c>
      <c r="S8" s="37">
        <v>2.57</v>
      </c>
      <c r="T8" s="37">
        <v>2.09</v>
      </c>
      <c r="U8" s="37">
        <v>8.15</v>
      </c>
      <c r="V8" s="9">
        <f>T8*'Data preparation'!$B$4/'Data preparation'!$B$3</f>
        <v>2.01742861</v>
      </c>
      <c r="W8" s="9" t="s">
        <v>35</v>
      </c>
      <c r="X8" s="29">
        <v>3.0E-4</v>
      </c>
      <c r="Y8" s="20">
        <v>56.12</v>
      </c>
      <c r="Z8" s="15">
        <v>181.0</v>
      </c>
      <c r="AA8" s="20">
        <f t="shared" si="1"/>
        <v>0.3100552486</v>
      </c>
      <c r="AB8" s="20">
        <f>'Data preparation'!$B$2*AA8</f>
        <v>0.04650828729</v>
      </c>
      <c r="AC8" s="21"/>
      <c r="AG8" s="36"/>
    </row>
    <row r="9">
      <c r="AG9" s="36"/>
    </row>
    <row r="12" ht="20.25" customHeight="1"/>
    <row r="13" ht="20.25" customHeight="1"/>
    <row r="14" ht="20.25" customHeight="1"/>
    <row r="15" ht="20.25" customHeight="1">
      <c r="R15" s="40"/>
      <c r="S15" s="41"/>
      <c r="T15" s="41"/>
      <c r="U15" s="41"/>
      <c r="V15" s="42"/>
      <c r="W15" s="43"/>
      <c r="X15" s="44"/>
      <c r="Y15" s="44"/>
      <c r="AA15" s="44"/>
      <c r="AB15" s="44"/>
    </row>
    <row r="16" ht="20.25" customHeight="1">
      <c r="R16" s="45"/>
      <c r="S16" s="41"/>
      <c r="T16" s="41"/>
      <c r="U16" s="41"/>
      <c r="V16" s="42"/>
      <c r="W16" s="43"/>
      <c r="X16" s="44"/>
      <c r="Y16" s="44"/>
      <c r="AA16" s="44"/>
      <c r="AB16" s="44"/>
    </row>
    <row r="17" ht="20.25" customHeight="1">
      <c r="R17" s="45"/>
      <c r="S17" s="41"/>
      <c r="T17" s="41"/>
      <c r="U17" s="41"/>
      <c r="V17" s="42"/>
      <c r="W17" s="43"/>
      <c r="X17" s="46"/>
      <c r="Y17" s="44"/>
      <c r="AA17" s="44"/>
      <c r="AB17" s="44"/>
    </row>
    <row r="18" ht="20.25" customHeight="1">
      <c r="R18" s="45"/>
      <c r="S18" s="41"/>
      <c r="T18" s="41"/>
      <c r="U18" s="41"/>
      <c r="V18" s="42"/>
      <c r="W18" s="42"/>
      <c r="X18" s="46"/>
      <c r="Y18" s="44"/>
      <c r="AA18" s="44"/>
      <c r="AB18" s="44"/>
    </row>
    <row r="19">
      <c r="R19" s="40"/>
      <c r="S19" s="41"/>
      <c r="T19" s="41"/>
      <c r="U19" s="41"/>
      <c r="V19" s="42"/>
      <c r="W19" s="43"/>
      <c r="X19" s="44"/>
      <c r="Y19" s="44"/>
      <c r="AA19" s="44"/>
      <c r="AB19" s="44"/>
    </row>
    <row r="20">
      <c r="R20" s="40"/>
      <c r="S20" s="41"/>
      <c r="T20" s="41"/>
      <c r="U20" s="41"/>
      <c r="V20" s="42"/>
      <c r="W20" s="43"/>
      <c r="X20" s="46"/>
      <c r="Y20" s="44"/>
      <c r="AA20" s="44"/>
      <c r="AB20" s="44"/>
    </row>
    <row r="21">
      <c r="R21" s="40"/>
      <c r="S21" s="41"/>
      <c r="T21" s="41"/>
      <c r="U21" s="41"/>
      <c r="V21" s="42"/>
      <c r="W21" s="42"/>
      <c r="X21" s="46"/>
      <c r="Y21" s="44"/>
      <c r="AA21" s="44"/>
      <c r="AB21" s="44"/>
    </row>
  </sheetData>
  <autoFilter ref="$A$1:$AC$8">
    <sortState ref="A1:AC8">
      <sortCondition descending="1" ref="V1:V8"/>
      <sortCondition descending="1" ref="T1:T8"/>
      <sortCondition descending="1" ref="S1:S8"/>
      <sortCondition descending="1" ref="AA1:AA8"/>
    </sortState>
  </autoFilter>
  <conditionalFormatting sqref="Z2:Z8">
    <cfRule type="colorScale" priority="1">
      <colorScale>
        <cfvo type="min"/>
        <cfvo type="max"/>
        <color rgb="FFFFFFFF"/>
        <color rgb="FFFFD666"/>
      </colorScale>
    </cfRule>
  </conditionalFormatting>
  <conditionalFormatting sqref="AA2:AA8">
    <cfRule type="colorScale" priority="2">
      <colorScale>
        <cfvo type="min"/>
        <cfvo type="max"/>
        <color rgb="FFFFFFFF"/>
        <color rgb="FF57BB8A"/>
      </colorScale>
    </cfRule>
  </conditionalFormatting>
  <conditionalFormatting sqref="Y2:Y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12" max="12" width="20.75"/>
    <col customWidth="1" min="13" max="13" width="48.25"/>
    <col customWidth="1" min="14" max="14" width="44.75"/>
  </cols>
  <sheetData>
    <row r="1">
      <c r="A1" s="47" t="s">
        <v>58</v>
      </c>
    </row>
    <row r="2">
      <c r="A2" s="48" t="s">
        <v>59</v>
      </c>
      <c r="B2" s="44">
        <v>0.15</v>
      </c>
      <c r="I2" s="47"/>
    </row>
    <row r="3">
      <c r="A3" s="47" t="s">
        <v>60</v>
      </c>
      <c r="B3" s="49">
        <f>MAX('Modelos actuales'!T3:T7)</f>
        <v>18.6475</v>
      </c>
      <c r="E3" s="48" t="s">
        <v>61</v>
      </c>
    </row>
    <row r="4">
      <c r="A4" s="47" t="s">
        <v>62</v>
      </c>
      <c r="B4" s="48">
        <v>18.0</v>
      </c>
      <c r="F4" s="36">
        <f>AVERAGE(F7:F16)</f>
        <v>9.507</v>
      </c>
    </row>
    <row r="7">
      <c r="A7" s="50"/>
      <c r="B7" s="50"/>
      <c r="E7" s="51" t="s">
        <v>63</v>
      </c>
      <c r="F7" s="36">
        <f t="shared" ref="F7:F16" si="1">REPLACE(E7,FIND(".",E7),1,",")*1</f>
        <v>16.36</v>
      </c>
    </row>
    <row r="8">
      <c r="E8" s="52" t="s">
        <v>64</v>
      </c>
      <c r="F8" s="36">
        <f t="shared" si="1"/>
        <v>8.44</v>
      </c>
    </row>
    <row r="9">
      <c r="E9" s="51" t="s">
        <v>65</v>
      </c>
      <c r="F9" s="36">
        <f t="shared" si="1"/>
        <v>7.92</v>
      </c>
    </row>
    <row r="10">
      <c r="E10" s="52" t="s">
        <v>66</v>
      </c>
      <c r="F10" s="36">
        <f t="shared" si="1"/>
        <v>13</v>
      </c>
    </row>
    <row r="11">
      <c r="E11" s="51" t="s">
        <v>67</v>
      </c>
      <c r="F11" s="36">
        <f t="shared" si="1"/>
        <v>12.84</v>
      </c>
    </row>
    <row r="12">
      <c r="E12" s="52" t="s">
        <v>68</v>
      </c>
      <c r="F12" s="36">
        <f t="shared" si="1"/>
        <v>9.6</v>
      </c>
    </row>
    <row r="13">
      <c r="E13" s="51" t="s">
        <v>69</v>
      </c>
      <c r="F13" s="36">
        <f t="shared" si="1"/>
        <v>10.49</v>
      </c>
    </row>
    <row r="14">
      <c r="E14" s="52" t="s">
        <v>70</v>
      </c>
      <c r="F14" s="36">
        <f t="shared" si="1"/>
        <v>9.88</v>
      </c>
    </row>
    <row r="15">
      <c r="E15" s="51" t="s">
        <v>71</v>
      </c>
      <c r="F15" s="36">
        <f t="shared" si="1"/>
        <v>3.73</v>
      </c>
    </row>
    <row r="16">
      <c r="E16" s="52" t="s">
        <v>72</v>
      </c>
      <c r="F16" s="36">
        <f t="shared" si="1"/>
        <v>2.81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3" max="3" width="65.38"/>
    <col customWidth="1" min="7" max="9" width="13.25"/>
    <col customWidth="1" min="10" max="10" width="10.13"/>
    <col customWidth="1" min="11" max="11" width="65.38"/>
    <col customWidth="1" min="12" max="12" width="54.25"/>
  </cols>
  <sheetData>
    <row r="1">
      <c r="A1" s="53"/>
      <c r="B1" s="53"/>
      <c r="C1" s="53"/>
      <c r="D1" s="54" t="s">
        <v>73</v>
      </c>
      <c r="F1" s="55"/>
      <c r="G1" s="56" t="s">
        <v>74</v>
      </c>
      <c r="J1" s="53"/>
      <c r="K1" s="53"/>
      <c r="L1" s="53"/>
    </row>
    <row r="2">
      <c r="A2" s="57" t="s">
        <v>75</v>
      </c>
      <c r="B2" s="57" t="s">
        <v>76</v>
      </c>
      <c r="C2" s="57" t="s">
        <v>77</v>
      </c>
      <c r="D2" s="58" t="s">
        <v>3</v>
      </c>
      <c r="E2" s="59" t="s">
        <v>4</v>
      </c>
      <c r="F2" s="60" t="s">
        <v>78</v>
      </c>
      <c r="G2" s="61" t="s">
        <v>20</v>
      </c>
      <c r="H2" s="61" t="s">
        <v>18</v>
      </c>
      <c r="I2" s="62" t="s">
        <v>19</v>
      </c>
      <c r="J2" s="57" t="s">
        <v>79</v>
      </c>
      <c r="K2" s="57" t="s">
        <v>80</v>
      </c>
      <c r="L2" s="57" t="s">
        <v>81</v>
      </c>
    </row>
    <row r="3" ht="108.0" customHeight="1">
      <c r="A3" s="34" t="s">
        <v>40</v>
      </c>
      <c r="B3" s="30">
        <v>45418.0</v>
      </c>
      <c r="C3" s="63"/>
      <c r="D3" s="64">
        <v>768.0</v>
      </c>
      <c r="E3" s="65"/>
      <c r="F3" s="66"/>
      <c r="G3" s="67">
        <v>31.38</v>
      </c>
      <c r="H3" s="67">
        <v>17.31</v>
      </c>
      <c r="I3" s="68" t="s">
        <v>82</v>
      </c>
      <c r="J3" s="69" t="s">
        <v>83</v>
      </c>
      <c r="K3" s="70" t="s">
        <v>84</v>
      </c>
      <c r="L3" s="71" t="s">
        <v>85</v>
      </c>
    </row>
    <row r="4" ht="108.0" customHeight="1">
      <c r="A4" s="34" t="s">
        <v>49</v>
      </c>
      <c r="B4" s="30">
        <v>45418.0</v>
      </c>
      <c r="C4" s="63"/>
      <c r="D4" s="64">
        <v>768.0</v>
      </c>
      <c r="E4" s="65"/>
      <c r="F4" s="66"/>
      <c r="G4" s="72">
        <v>47.49</v>
      </c>
      <c r="H4" s="72">
        <v>182.82</v>
      </c>
      <c r="I4" s="73">
        <v>46.72</v>
      </c>
      <c r="J4" s="69" t="s">
        <v>83</v>
      </c>
      <c r="K4" s="70" t="s">
        <v>86</v>
      </c>
      <c r="L4" s="74" t="s">
        <v>87</v>
      </c>
    </row>
    <row r="5" ht="42.0" customHeight="1">
      <c r="A5" s="75" t="s">
        <v>46</v>
      </c>
      <c r="B5" s="30">
        <v>45419.0</v>
      </c>
      <c r="C5" s="63"/>
      <c r="D5" s="64">
        <v>1536.0</v>
      </c>
      <c r="E5" s="65"/>
      <c r="F5" s="66"/>
      <c r="G5" s="37">
        <v>12.73</v>
      </c>
      <c r="H5" s="37">
        <v>11.21</v>
      </c>
      <c r="I5" s="38">
        <v>16.21</v>
      </c>
      <c r="J5" s="69" t="s">
        <v>88</v>
      </c>
      <c r="K5" s="76"/>
      <c r="L5" s="77"/>
    </row>
    <row r="6" ht="52.5" customHeight="1">
      <c r="A6" s="78" t="s">
        <v>36</v>
      </c>
      <c r="B6" s="79">
        <v>45419.0</v>
      </c>
      <c r="C6" s="63"/>
      <c r="D6" s="64">
        <v>2304.0</v>
      </c>
      <c r="E6" s="65"/>
      <c r="F6" s="66"/>
      <c r="G6" s="80"/>
      <c r="H6" s="80"/>
      <c r="I6" s="81"/>
      <c r="J6" s="69" t="s">
        <v>88</v>
      </c>
      <c r="K6" s="76"/>
      <c r="L6" s="75" t="s">
        <v>48</v>
      </c>
    </row>
    <row r="7">
      <c r="A7" s="34" t="s">
        <v>56</v>
      </c>
      <c r="B7" s="30">
        <v>45419.0</v>
      </c>
      <c r="C7" s="63"/>
      <c r="D7" s="82">
        <v>2304.0</v>
      </c>
      <c r="E7" s="65"/>
      <c r="F7" s="66"/>
      <c r="G7" s="83"/>
      <c r="H7" s="83"/>
      <c r="I7" s="83"/>
      <c r="J7" s="69" t="s">
        <v>88</v>
      </c>
      <c r="K7" s="76"/>
      <c r="L7" s="75" t="s">
        <v>89</v>
      </c>
    </row>
    <row r="8">
      <c r="A8" s="34" t="s">
        <v>29</v>
      </c>
      <c r="B8" s="39">
        <v>45467.0</v>
      </c>
      <c r="C8" s="63"/>
      <c r="D8" s="82">
        <v>768.0</v>
      </c>
      <c r="E8" s="65"/>
      <c r="F8" s="66"/>
      <c r="G8" s="80"/>
      <c r="H8" s="80"/>
      <c r="I8" s="81"/>
      <c r="J8" s="69" t="s">
        <v>88</v>
      </c>
      <c r="K8" s="76"/>
      <c r="L8" s="77"/>
    </row>
    <row r="9" ht="106.5" customHeight="1">
      <c r="A9" s="34" t="s">
        <v>40</v>
      </c>
      <c r="B9" s="39">
        <v>45498.0</v>
      </c>
      <c r="C9" s="84" t="s">
        <v>90</v>
      </c>
      <c r="D9" s="82">
        <v>1152.0</v>
      </c>
      <c r="E9" s="85" t="s">
        <v>41</v>
      </c>
      <c r="F9" s="86"/>
      <c r="G9" s="37">
        <v>15.41</v>
      </c>
      <c r="H9" s="37">
        <v>1.42</v>
      </c>
      <c r="I9" s="38">
        <v>15.41</v>
      </c>
      <c r="J9" s="69" t="s">
        <v>88</v>
      </c>
      <c r="K9" s="84"/>
      <c r="L9" s="75" t="s">
        <v>91</v>
      </c>
    </row>
    <row r="10" ht="49.5" customHeight="1">
      <c r="A10" s="34" t="s">
        <v>53</v>
      </c>
      <c r="B10" s="39">
        <v>45498.0</v>
      </c>
      <c r="C10" s="84" t="s">
        <v>92</v>
      </c>
      <c r="D10" s="82">
        <v>1152.0</v>
      </c>
      <c r="E10" s="85" t="s">
        <v>41</v>
      </c>
      <c r="F10" s="86"/>
      <c r="G10" s="37">
        <v>6.51</v>
      </c>
      <c r="H10" s="37">
        <v>21.87</v>
      </c>
      <c r="I10" s="38">
        <v>8.63</v>
      </c>
      <c r="J10" s="75" t="s">
        <v>88</v>
      </c>
      <c r="K10" s="84"/>
      <c r="L10" s="75"/>
    </row>
    <row r="11" ht="49.5" customHeight="1">
      <c r="A11" s="75" t="s">
        <v>46</v>
      </c>
      <c r="B11" s="87">
        <v>45502.0</v>
      </c>
      <c r="C11" s="84" t="s">
        <v>93</v>
      </c>
      <c r="D11" s="82">
        <v>1728.0</v>
      </c>
      <c r="E11" s="85" t="s">
        <v>94</v>
      </c>
      <c r="F11" s="86" t="s">
        <v>95</v>
      </c>
      <c r="G11" s="37">
        <v>8.9</v>
      </c>
      <c r="H11" s="37">
        <v>11.2</v>
      </c>
      <c r="I11" s="38">
        <v>5.5</v>
      </c>
      <c r="J11" s="75" t="s">
        <v>88</v>
      </c>
      <c r="K11" s="84" t="s">
        <v>96</v>
      </c>
      <c r="L11" s="75" t="s">
        <v>97</v>
      </c>
    </row>
    <row r="12" ht="73.5" customHeight="1">
      <c r="A12" s="75" t="s">
        <v>49</v>
      </c>
      <c r="B12" s="87">
        <v>45504.0</v>
      </c>
      <c r="C12" s="84" t="s">
        <v>98</v>
      </c>
      <c r="D12" s="82">
        <v>1536.0</v>
      </c>
      <c r="E12" s="85" t="s">
        <v>50</v>
      </c>
      <c r="F12" s="86" t="s">
        <v>99</v>
      </c>
      <c r="G12" s="37">
        <v>19.73</v>
      </c>
      <c r="H12" s="37">
        <v>47.88</v>
      </c>
      <c r="I12" s="38" t="s">
        <v>82</v>
      </c>
      <c r="J12" s="75" t="s">
        <v>88</v>
      </c>
      <c r="K12" s="84" t="s">
        <v>100</v>
      </c>
      <c r="L12" s="75" t="s">
        <v>101</v>
      </c>
    </row>
    <row r="13">
      <c r="D13" s="88"/>
      <c r="F13" s="89"/>
      <c r="H13" s="90"/>
      <c r="I13" s="91"/>
      <c r="J13" s="8"/>
      <c r="K13" s="92"/>
      <c r="L13" s="93"/>
    </row>
    <row r="14">
      <c r="A14" s="94" t="s">
        <v>102</v>
      </c>
      <c r="D14" s="88"/>
      <c r="F14" s="89"/>
      <c r="H14" s="42"/>
      <c r="I14" s="95"/>
      <c r="J14" s="8"/>
      <c r="L14" s="93"/>
    </row>
    <row r="15">
      <c r="D15" s="88"/>
      <c r="F15" s="89"/>
      <c r="I15" s="89"/>
      <c r="J15" s="8"/>
      <c r="L15" s="93"/>
    </row>
    <row r="16">
      <c r="D16" s="88"/>
      <c r="F16" s="89"/>
      <c r="I16" s="89"/>
      <c r="J16" s="8"/>
      <c r="L16" s="93"/>
    </row>
    <row r="17">
      <c r="D17" s="88"/>
      <c r="F17" s="89"/>
      <c r="I17" s="89"/>
      <c r="J17" s="8"/>
      <c r="L17" s="93"/>
    </row>
    <row r="18">
      <c r="D18" s="88"/>
      <c r="F18" s="89"/>
      <c r="I18" s="89"/>
      <c r="J18" s="8"/>
      <c r="L18" s="93"/>
    </row>
    <row r="19">
      <c r="D19" s="88"/>
      <c r="F19" s="89"/>
      <c r="I19" s="89"/>
      <c r="J19" s="8"/>
      <c r="L19" s="93"/>
    </row>
    <row r="20">
      <c r="D20" s="88"/>
      <c r="F20" s="89"/>
      <c r="I20" s="89"/>
      <c r="J20" s="8"/>
      <c r="L20" s="93"/>
    </row>
    <row r="21">
      <c r="D21" s="88"/>
      <c r="F21" s="89"/>
      <c r="I21" s="89"/>
      <c r="J21" s="8"/>
      <c r="L21" s="93"/>
    </row>
    <row r="22">
      <c r="D22" s="88"/>
      <c r="F22" s="89"/>
      <c r="I22" s="89"/>
      <c r="J22" s="8"/>
      <c r="L22" s="93"/>
    </row>
    <row r="23">
      <c r="D23" s="88"/>
      <c r="F23" s="89"/>
      <c r="I23" s="89"/>
      <c r="J23" s="8"/>
      <c r="L23" s="93"/>
    </row>
    <row r="24">
      <c r="D24" s="88"/>
      <c r="F24" s="89"/>
      <c r="I24" s="89"/>
      <c r="J24" s="8"/>
      <c r="L24" s="93"/>
    </row>
    <row r="25">
      <c r="D25" s="88"/>
      <c r="F25" s="89"/>
      <c r="I25" s="89"/>
      <c r="J25" s="8"/>
      <c r="L25" s="93"/>
    </row>
    <row r="26">
      <c r="D26" s="88"/>
      <c r="F26" s="89"/>
      <c r="I26" s="89"/>
      <c r="J26" s="8"/>
      <c r="L26" s="93"/>
    </row>
    <row r="27">
      <c r="D27" s="88"/>
      <c r="F27" s="89"/>
      <c r="I27" s="89"/>
      <c r="J27" s="8"/>
      <c r="L27" s="93"/>
    </row>
    <row r="28">
      <c r="D28" s="88"/>
      <c r="F28" s="89"/>
      <c r="I28" s="89"/>
      <c r="J28" s="8"/>
      <c r="L28" s="93"/>
    </row>
    <row r="29">
      <c r="D29" s="88"/>
      <c r="F29" s="89"/>
      <c r="I29" s="89"/>
      <c r="J29" s="8"/>
      <c r="L29" s="93"/>
    </row>
    <row r="30">
      <c r="D30" s="88"/>
      <c r="F30" s="89"/>
      <c r="I30" s="89"/>
      <c r="J30" s="8"/>
      <c r="L30" s="93"/>
    </row>
    <row r="31">
      <c r="D31" s="88"/>
      <c r="F31" s="89"/>
      <c r="I31" s="89"/>
      <c r="J31" s="8"/>
      <c r="L31" s="93"/>
    </row>
    <row r="32">
      <c r="D32" s="88"/>
      <c r="F32" s="89"/>
      <c r="I32" s="89"/>
      <c r="J32" s="8"/>
      <c r="L32" s="93"/>
    </row>
    <row r="33">
      <c r="D33" s="88"/>
      <c r="F33" s="89"/>
      <c r="I33" s="89"/>
      <c r="J33" s="8"/>
      <c r="L33" s="93"/>
    </row>
    <row r="34">
      <c r="D34" s="88"/>
      <c r="F34" s="89"/>
      <c r="I34" s="89"/>
      <c r="J34" s="8"/>
      <c r="L34" s="93"/>
    </row>
    <row r="35">
      <c r="D35" s="88"/>
      <c r="F35" s="89"/>
      <c r="I35" s="89"/>
      <c r="J35" s="8"/>
      <c r="L35" s="93"/>
    </row>
    <row r="36">
      <c r="D36" s="88"/>
      <c r="F36" s="89"/>
      <c r="I36" s="89"/>
      <c r="J36" s="8"/>
      <c r="L36" s="93"/>
    </row>
    <row r="37">
      <c r="D37" s="88"/>
      <c r="F37" s="89"/>
      <c r="I37" s="89"/>
      <c r="J37" s="8"/>
      <c r="L37" s="93"/>
    </row>
    <row r="38">
      <c r="D38" s="88"/>
      <c r="F38" s="89"/>
      <c r="I38" s="89"/>
      <c r="J38" s="8"/>
      <c r="L38" s="93"/>
    </row>
    <row r="39">
      <c r="D39" s="88"/>
      <c r="F39" s="89"/>
      <c r="I39" s="89"/>
      <c r="J39" s="8"/>
      <c r="L39" s="93"/>
    </row>
    <row r="40">
      <c r="D40" s="88"/>
      <c r="F40" s="89"/>
      <c r="I40" s="89"/>
      <c r="J40" s="8"/>
      <c r="L40" s="93"/>
    </row>
    <row r="41">
      <c r="D41" s="88"/>
      <c r="F41" s="89"/>
      <c r="I41" s="89"/>
      <c r="J41" s="8"/>
      <c r="L41" s="93"/>
    </row>
    <row r="42">
      <c r="D42" s="88"/>
      <c r="F42" s="89"/>
      <c r="I42" s="89"/>
      <c r="J42" s="8"/>
      <c r="L42" s="93"/>
    </row>
    <row r="43">
      <c r="D43" s="88"/>
      <c r="F43" s="89"/>
      <c r="I43" s="89"/>
      <c r="J43" s="8"/>
      <c r="L43" s="93"/>
    </row>
    <row r="44">
      <c r="D44" s="88"/>
      <c r="F44" s="89"/>
      <c r="I44" s="89"/>
      <c r="J44" s="8"/>
      <c r="L44" s="93"/>
    </row>
    <row r="45">
      <c r="D45" s="88"/>
      <c r="F45" s="89"/>
      <c r="I45" s="89"/>
      <c r="J45" s="8"/>
      <c r="L45" s="93"/>
    </row>
    <row r="46">
      <c r="D46" s="88"/>
      <c r="F46" s="89"/>
      <c r="I46" s="89"/>
      <c r="J46" s="8"/>
      <c r="L46" s="93"/>
    </row>
    <row r="47">
      <c r="D47" s="88"/>
      <c r="F47" s="89"/>
      <c r="I47" s="89"/>
      <c r="J47" s="8"/>
      <c r="L47" s="93"/>
    </row>
    <row r="48">
      <c r="D48" s="88"/>
      <c r="F48" s="89"/>
      <c r="I48" s="89"/>
      <c r="J48" s="8"/>
      <c r="L48" s="93"/>
    </row>
    <row r="49">
      <c r="D49" s="88"/>
      <c r="F49" s="89"/>
      <c r="I49" s="89"/>
      <c r="J49" s="8"/>
      <c r="L49" s="93"/>
    </row>
    <row r="50">
      <c r="D50" s="88"/>
      <c r="F50" s="89"/>
      <c r="I50" s="89"/>
      <c r="J50" s="8"/>
      <c r="L50" s="93"/>
    </row>
    <row r="51">
      <c r="D51" s="88"/>
      <c r="F51" s="89"/>
      <c r="I51" s="89"/>
      <c r="J51" s="8"/>
      <c r="L51" s="93"/>
    </row>
    <row r="52">
      <c r="D52" s="88"/>
      <c r="F52" s="89"/>
      <c r="I52" s="89"/>
      <c r="J52" s="8"/>
      <c r="L52" s="93"/>
    </row>
    <row r="53">
      <c r="D53" s="88"/>
      <c r="F53" s="89"/>
      <c r="I53" s="89"/>
      <c r="J53" s="8"/>
      <c r="L53" s="93"/>
    </row>
    <row r="54">
      <c r="D54" s="88"/>
      <c r="F54" s="89"/>
      <c r="I54" s="89"/>
      <c r="J54" s="8"/>
      <c r="L54" s="93"/>
    </row>
    <row r="55">
      <c r="D55" s="88"/>
      <c r="F55" s="89"/>
      <c r="I55" s="89"/>
      <c r="J55" s="8"/>
      <c r="L55" s="93"/>
    </row>
    <row r="56">
      <c r="D56" s="88"/>
      <c r="F56" s="89"/>
      <c r="I56" s="89"/>
      <c r="J56" s="8"/>
      <c r="L56" s="93"/>
    </row>
    <row r="57">
      <c r="D57" s="88"/>
      <c r="F57" s="89"/>
      <c r="I57" s="89"/>
      <c r="J57" s="8"/>
      <c r="L57" s="93"/>
    </row>
    <row r="58">
      <c r="D58" s="88"/>
      <c r="F58" s="89"/>
      <c r="I58" s="89"/>
      <c r="J58" s="8"/>
      <c r="L58" s="93"/>
    </row>
    <row r="59">
      <c r="D59" s="88"/>
      <c r="F59" s="89"/>
      <c r="I59" s="89"/>
      <c r="J59" s="8"/>
      <c r="L59" s="93"/>
    </row>
    <row r="60">
      <c r="D60" s="88"/>
      <c r="F60" s="89"/>
      <c r="I60" s="89"/>
      <c r="J60" s="8"/>
      <c r="L60" s="93"/>
    </row>
    <row r="61">
      <c r="D61" s="88"/>
      <c r="F61" s="89"/>
      <c r="I61" s="89"/>
      <c r="J61" s="8"/>
      <c r="L61" s="93"/>
    </row>
    <row r="62">
      <c r="D62" s="88"/>
      <c r="F62" s="89"/>
      <c r="I62" s="89"/>
      <c r="J62" s="8"/>
      <c r="L62" s="93"/>
    </row>
    <row r="63">
      <c r="D63" s="88"/>
      <c r="F63" s="89"/>
      <c r="I63" s="89"/>
      <c r="J63" s="8"/>
      <c r="L63" s="93"/>
    </row>
    <row r="64">
      <c r="D64" s="88"/>
      <c r="F64" s="89"/>
      <c r="I64" s="89"/>
      <c r="J64" s="8"/>
      <c r="L64" s="93"/>
    </row>
    <row r="65">
      <c r="D65" s="88"/>
      <c r="F65" s="89"/>
      <c r="I65" s="89"/>
      <c r="J65" s="8"/>
      <c r="L65" s="93"/>
    </row>
    <row r="66">
      <c r="D66" s="88"/>
      <c r="F66" s="89"/>
      <c r="I66" s="89"/>
      <c r="J66" s="8"/>
      <c r="L66" s="93"/>
    </row>
    <row r="67">
      <c r="D67" s="88"/>
      <c r="F67" s="89"/>
      <c r="I67" s="89"/>
      <c r="J67" s="8"/>
      <c r="L67" s="93"/>
    </row>
    <row r="68">
      <c r="D68" s="88"/>
      <c r="F68" s="89"/>
      <c r="I68" s="89"/>
      <c r="J68" s="8"/>
      <c r="L68" s="93"/>
    </row>
    <row r="69">
      <c r="D69" s="88"/>
      <c r="F69" s="89"/>
      <c r="I69" s="89"/>
      <c r="J69" s="8"/>
      <c r="L69" s="93"/>
    </row>
    <row r="70">
      <c r="D70" s="88"/>
      <c r="F70" s="89"/>
      <c r="I70" s="89"/>
      <c r="J70" s="8"/>
      <c r="L70" s="93"/>
    </row>
    <row r="71">
      <c r="D71" s="88"/>
      <c r="F71" s="89"/>
      <c r="I71" s="89"/>
      <c r="J71" s="8"/>
      <c r="L71" s="93"/>
    </row>
    <row r="72">
      <c r="D72" s="88"/>
      <c r="F72" s="89"/>
      <c r="I72" s="89"/>
      <c r="J72" s="8"/>
      <c r="L72" s="93"/>
    </row>
    <row r="73">
      <c r="D73" s="88"/>
      <c r="F73" s="89"/>
      <c r="I73" s="89"/>
      <c r="J73" s="8"/>
      <c r="L73" s="93"/>
    </row>
    <row r="74">
      <c r="D74" s="88"/>
      <c r="F74" s="89"/>
      <c r="I74" s="89"/>
      <c r="J74" s="8"/>
      <c r="L74" s="93"/>
    </row>
    <row r="75">
      <c r="D75" s="88"/>
      <c r="F75" s="89"/>
      <c r="I75" s="89"/>
      <c r="J75" s="8"/>
      <c r="L75" s="93"/>
    </row>
    <row r="76">
      <c r="D76" s="88"/>
      <c r="F76" s="89"/>
      <c r="I76" s="89"/>
      <c r="J76" s="8"/>
      <c r="L76" s="93"/>
    </row>
    <row r="77">
      <c r="D77" s="88"/>
      <c r="F77" s="89"/>
      <c r="I77" s="89"/>
      <c r="J77" s="8"/>
      <c r="L77" s="93"/>
    </row>
    <row r="78">
      <c r="D78" s="88"/>
      <c r="F78" s="89"/>
      <c r="I78" s="89"/>
      <c r="J78" s="8"/>
      <c r="L78" s="93"/>
    </row>
    <row r="79">
      <c r="D79" s="88"/>
      <c r="F79" s="89"/>
      <c r="I79" s="89"/>
      <c r="J79" s="8"/>
      <c r="L79" s="93"/>
    </row>
    <row r="80">
      <c r="D80" s="88"/>
      <c r="F80" s="89"/>
      <c r="I80" s="89"/>
      <c r="J80" s="8"/>
      <c r="L80" s="93"/>
    </row>
    <row r="81">
      <c r="D81" s="88"/>
      <c r="F81" s="89"/>
      <c r="I81" s="89"/>
      <c r="J81" s="8"/>
      <c r="L81" s="93"/>
    </row>
    <row r="82">
      <c r="D82" s="88"/>
      <c r="F82" s="89"/>
      <c r="I82" s="89"/>
      <c r="J82" s="8"/>
      <c r="L82" s="93"/>
    </row>
    <row r="83">
      <c r="D83" s="88"/>
      <c r="F83" s="89"/>
      <c r="I83" s="89"/>
      <c r="J83" s="8"/>
      <c r="L83" s="93"/>
    </row>
    <row r="84">
      <c r="D84" s="88"/>
      <c r="F84" s="89"/>
      <c r="I84" s="89"/>
      <c r="J84" s="8"/>
      <c r="L84" s="93"/>
    </row>
    <row r="85">
      <c r="D85" s="88"/>
      <c r="F85" s="89"/>
      <c r="I85" s="89"/>
      <c r="J85" s="8"/>
      <c r="L85" s="93"/>
    </row>
    <row r="86">
      <c r="D86" s="88"/>
      <c r="F86" s="89"/>
      <c r="I86" s="89"/>
      <c r="J86" s="8"/>
      <c r="L86" s="93"/>
    </row>
    <row r="87">
      <c r="D87" s="88"/>
      <c r="F87" s="89"/>
      <c r="I87" s="89"/>
      <c r="J87" s="8"/>
      <c r="L87" s="93"/>
    </row>
    <row r="88">
      <c r="D88" s="88"/>
      <c r="F88" s="89"/>
      <c r="I88" s="89"/>
      <c r="J88" s="8"/>
      <c r="L88" s="93"/>
    </row>
    <row r="89">
      <c r="D89" s="88"/>
      <c r="F89" s="89"/>
      <c r="I89" s="89"/>
      <c r="J89" s="8"/>
      <c r="L89" s="93"/>
    </row>
    <row r="90">
      <c r="D90" s="88"/>
      <c r="F90" s="89"/>
      <c r="I90" s="89"/>
      <c r="J90" s="8"/>
      <c r="L90" s="93"/>
    </row>
    <row r="91">
      <c r="D91" s="88"/>
      <c r="F91" s="89"/>
      <c r="I91" s="89"/>
      <c r="J91" s="8"/>
      <c r="L91" s="93"/>
    </row>
    <row r="92">
      <c r="D92" s="88"/>
      <c r="F92" s="89"/>
      <c r="I92" s="89"/>
      <c r="J92" s="8"/>
      <c r="L92" s="93"/>
    </row>
    <row r="93">
      <c r="D93" s="88"/>
      <c r="F93" s="89"/>
      <c r="I93" s="89"/>
      <c r="J93" s="8"/>
      <c r="L93" s="93"/>
    </row>
    <row r="94">
      <c r="D94" s="88"/>
      <c r="F94" s="89"/>
      <c r="I94" s="89"/>
      <c r="J94" s="8"/>
      <c r="L94" s="93"/>
    </row>
    <row r="95">
      <c r="D95" s="88"/>
      <c r="F95" s="89"/>
      <c r="I95" s="89"/>
      <c r="J95" s="8"/>
      <c r="L95" s="93"/>
    </row>
    <row r="96">
      <c r="D96" s="88"/>
      <c r="F96" s="89"/>
      <c r="I96" s="89"/>
      <c r="J96" s="8"/>
      <c r="L96" s="93"/>
    </row>
    <row r="97">
      <c r="D97" s="88"/>
      <c r="F97" s="89"/>
      <c r="I97" s="89"/>
      <c r="J97" s="8"/>
      <c r="L97" s="93"/>
    </row>
    <row r="98">
      <c r="D98" s="88"/>
      <c r="F98" s="89"/>
      <c r="I98" s="89"/>
      <c r="J98" s="8"/>
      <c r="L98" s="93"/>
    </row>
    <row r="99">
      <c r="D99" s="88"/>
      <c r="F99" s="89"/>
      <c r="I99" s="89"/>
      <c r="J99" s="8"/>
      <c r="L99" s="93"/>
    </row>
    <row r="100">
      <c r="D100" s="88"/>
      <c r="F100" s="89"/>
      <c r="I100" s="89"/>
      <c r="J100" s="8"/>
      <c r="L100" s="93"/>
    </row>
    <row r="101">
      <c r="D101" s="88"/>
      <c r="F101" s="89"/>
      <c r="I101" s="89"/>
      <c r="J101" s="8"/>
      <c r="L101" s="93"/>
    </row>
    <row r="102">
      <c r="D102" s="88"/>
      <c r="F102" s="89"/>
      <c r="I102" s="89"/>
      <c r="J102" s="8"/>
      <c r="L102" s="93"/>
    </row>
    <row r="103">
      <c r="D103" s="88"/>
      <c r="F103" s="89"/>
      <c r="I103" s="89"/>
      <c r="J103" s="8"/>
      <c r="L103" s="93"/>
    </row>
    <row r="104">
      <c r="D104" s="88"/>
      <c r="F104" s="89"/>
      <c r="I104" s="89"/>
      <c r="J104" s="8"/>
      <c r="L104" s="93"/>
    </row>
    <row r="105">
      <c r="D105" s="88"/>
      <c r="F105" s="89"/>
      <c r="I105" s="89"/>
      <c r="J105" s="8"/>
      <c r="L105" s="93"/>
    </row>
    <row r="106">
      <c r="D106" s="88"/>
      <c r="F106" s="89"/>
      <c r="I106" s="89"/>
      <c r="J106" s="8"/>
      <c r="L106" s="93"/>
    </row>
    <row r="107">
      <c r="D107" s="88"/>
      <c r="F107" s="89"/>
      <c r="I107" s="89"/>
      <c r="J107" s="8"/>
      <c r="L107" s="93"/>
    </row>
    <row r="108">
      <c r="D108" s="88"/>
      <c r="F108" s="89"/>
      <c r="I108" s="89"/>
      <c r="J108" s="8"/>
      <c r="L108" s="93"/>
    </row>
    <row r="109">
      <c r="D109" s="88"/>
      <c r="F109" s="89"/>
      <c r="I109" s="89"/>
      <c r="J109" s="8"/>
      <c r="L109" s="93"/>
    </row>
    <row r="110">
      <c r="D110" s="88"/>
      <c r="F110" s="89"/>
      <c r="I110" s="89"/>
      <c r="J110" s="8"/>
      <c r="L110" s="93"/>
    </row>
    <row r="111">
      <c r="D111" s="88"/>
      <c r="F111" s="89"/>
      <c r="I111" s="89"/>
      <c r="J111" s="8"/>
      <c r="L111" s="93"/>
    </row>
    <row r="112">
      <c r="D112" s="88"/>
      <c r="F112" s="89"/>
      <c r="I112" s="89"/>
      <c r="J112" s="8"/>
      <c r="L112" s="93"/>
    </row>
    <row r="113">
      <c r="D113" s="88"/>
      <c r="F113" s="89"/>
      <c r="I113" s="89"/>
      <c r="J113" s="8"/>
      <c r="L113" s="93"/>
    </row>
    <row r="114">
      <c r="D114" s="88"/>
      <c r="F114" s="89"/>
      <c r="I114" s="89"/>
      <c r="J114" s="8"/>
      <c r="L114" s="93"/>
    </row>
    <row r="115">
      <c r="D115" s="88"/>
      <c r="F115" s="89"/>
      <c r="I115" s="89"/>
      <c r="J115" s="8"/>
      <c r="L115" s="93"/>
    </row>
    <row r="116">
      <c r="D116" s="88"/>
      <c r="F116" s="89"/>
      <c r="I116" s="89"/>
      <c r="J116" s="8"/>
      <c r="L116" s="93"/>
    </row>
    <row r="117">
      <c r="D117" s="88"/>
      <c r="F117" s="89"/>
      <c r="I117" s="89"/>
      <c r="J117" s="8"/>
      <c r="L117" s="93"/>
    </row>
    <row r="118">
      <c r="D118" s="88"/>
      <c r="F118" s="89"/>
      <c r="I118" s="89"/>
      <c r="J118" s="8"/>
      <c r="L118" s="93"/>
    </row>
    <row r="119">
      <c r="D119" s="88"/>
      <c r="F119" s="89"/>
      <c r="I119" s="89"/>
      <c r="J119" s="8"/>
      <c r="L119" s="93"/>
    </row>
    <row r="120">
      <c r="D120" s="88"/>
      <c r="F120" s="89"/>
      <c r="I120" s="89"/>
      <c r="J120" s="8"/>
      <c r="L120" s="93"/>
    </row>
    <row r="121">
      <c r="D121" s="88"/>
      <c r="F121" s="89"/>
      <c r="I121" s="89"/>
      <c r="J121" s="8"/>
      <c r="L121" s="93"/>
    </row>
    <row r="122">
      <c r="D122" s="88"/>
      <c r="F122" s="89"/>
      <c r="I122" s="89"/>
      <c r="J122" s="8"/>
      <c r="L122" s="93"/>
    </row>
    <row r="123">
      <c r="D123" s="88"/>
      <c r="F123" s="89"/>
      <c r="I123" s="89"/>
      <c r="J123" s="8"/>
      <c r="L123" s="93"/>
    </row>
    <row r="124">
      <c r="D124" s="88"/>
      <c r="F124" s="89"/>
      <c r="I124" s="89"/>
      <c r="J124" s="8"/>
      <c r="L124" s="93"/>
    </row>
    <row r="125">
      <c r="D125" s="88"/>
      <c r="F125" s="89"/>
      <c r="I125" s="89"/>
      <c r="J125" s="8"/>
      <c r="L125" s="93"/>
    </row>
    <row r="126">
      <c r="D126" s="88"/>
      <c r="F126" s="89"/>
      <c r="I126" s="89"/>
      <c r="J126" s="8"/>
      <c r="L126" s="93"/>
    </row>
    <row r="127">
      <c r="D127" s="88"/>
      <c r="F127" s="89"/>
      <c r="I127" s="89"/>
      <c r="J127" s="8"/>
      <c r="L127" s="93"/>
    </row>
    <row r="128">
      <c r="D128" s="88"/>
      <c r="F128" s="89"/>
      <c r="I128" s="89"/>
      <c r="J128" s="8"/>
      <c r="L128" s="93"/>
    </row>
    <row r="129">
      <c r="D129" s="88"/>
      <c r="F129" s="89"/>
      <c r="I129" s="89"/>
      <c r="J129" s="8"/>
      <c r="L129" s="93"/>
    </row>
    <row r="130">
      <c r="D130" s="88"/>
      <c r="F130" s="89"/>
      <c r="I130" s="89"/>
      <c r="J130" s="8"/>
      <c r="L130" s="93"/>
    </row>
    <row r="131">
      <c r="D131" s="88"/>
      <c r="F131" s="89"/>
      <c r="I131" s="89"/>
      <c r="J131" s="8"/>
      <c r="L131" s="93"/>
    </row>
    <row r="132">
      <c r="D132" s="88"/>
      <c r="F132" s="89"/>
      <c r="I132" s="89"/>
      <c r="J132" s="8"/>
      <c r="L132" s="93"/>
    </row>
    <row r="133">
      <c r="D133" s="88"/>
      <c r="F133" s="89"/>
      <c r="I133" s="89"/>
      <c r="J133" s="8"/>
      <c r="L133" s="93"/>
    </row>
    <row r="134">
      <c r="D134" s="88"/>
      <c r="F134" s="89"/>
      <c r="I134" s="89"/>
      <c r="J134" s="8"/>
      <c r="L134" s="93"/>
    </row>
    <row r="135">
      <c r="D135" s="88"/>
      <c r="F135" s="89"/>
      <c r="I135" s="89"/>
      <c r="J135" s="8"/>
      <c r="L135" s="93"/>
    </row>
    <row r="136">
      <c r="D136" s="88"/>
      <c r="F136" s="89"/>
      <c r="I136" s="89"/>
      <c r="J136" s="8"/>
      <c r="L136" s="93"/>
    </row>
    <row r="137">
      <c r="D137" s="88"/>
      <c r="F137" s="89"/>
      <c r="I137" s="89"/>
      <c r="J137" s="8"/>
      <c r="L137" s="93"/>
    </row>
    <row r="138">
      <c r="D138" s="88"/>
      <c r="F138" s="89"/>
      <c r="I138" s="89"/>
      <c r="J138" s="8"/>
      <c r="L138" s="93"/>
    </row>
    <row r="139">
      <c r="D139" s="88"/>
      <c r="F139" s="89"/>
      <c r="I139" s="89"/>
      <c r="J139" s="8"/>
      <c r="L139" s="93"/>
    </row>
    <row r="140">
      <c r="D140" s="88"/>
      <c r="F140" s="89"/>
      <c r="I140" s="89"/>
      <c r="J140" s="8"/>
      <c r="L140" s="93"/>
    </row>
    <row r="141">
      <c r="D141" s="88"/>
      <c r="F141" s="89"/>
      <c r="I141" s="89"/>
      <c r="J141" s="8"/>
      <c r="L141" s="93"/>
    </row>
    <row r="142">
      <c r="D142" s="88"/>
      <c r="F142" s="89"/>
      <c r="I142" s="89"/>
      <c r="J142" s="8"/>
      <c r="L142" s="93"/>
    </row>
    <row r="143">
      <c r="D143" s="88"/>
      <c r="F143" s="89"/>
      <c r="I143" s="89"/>
      <c r="J143" s="8"/>
      <c r="L143" s="93"/>
    </row>
    <row r="144">
      <c r="D144" s="88"/>
      <c r="F144" s="89"/>
      <c r="I144" s="89"/>
      <c r="J144" s="8"/>
      <c r="L144" s="93"/>
    </row>
    <row r="145">
      <c r="D145" s="88"/>
      <c r="F145" s="89"/>
      <c r="I145" s="89"/>
      <c r="J145" s="8"/>
      <c r="L145" s="93"/>
    </row>
    <row r="146">
      <c r="D146" s="88"/>
      <c r="F146" s="89"/>
      <c r="I146" s="89"/>
      <c r="J146" s="8"/>
      <c r="L146" s="93"/>
    </row>
    <row r="147">
      <c r="D147" s="88"/>
      <c r="F147" s="89"/>
      <c r="I147" s="89"/>
      <c r="J147" s="8"/>
      <c r="L147" s="93"/>
    </row>
    <row r="148">
      <c r="D148" s="88"/>
      <c r="F148" s="89"/>
      <c r="I148" s="89"/>
      <c r="J148" s="8"/>
      <c r="L148" s="93"/>
    </row>
    <row r="149">
      <c r="D149" s="88"/>
      <c r="F149" s="89"/>
      <c r="I149" s="89"/>
      <c r="J149" s="8"/>
      <c r="L149" s="93"/>
    </row>
    <row r="150">
      <c r="D150" s="88"/>
      <c r="F150" s="89"/>
      <c r="I150" s="89"/>
      <c r="J150" s="8"/>
      <c r="L150" s="93"/>
    </row>
    <row r="151">
      <c r="D151" s="88"/>
      <c r="F151" s="89"/>
      <c r="I151" s="89"/>
      <c r="J151" s="8"/>
      <c r="L151" s="93"/>
    </row>
    <row r="152">
      <c r="D152" s="88"/>
      <c r="F152" s="89"/>
      <c r="I152" s="89"/>
      <c r="J152" s="8"/>
      <c r="L152" s="93"/>
    </row>
    <row r="153">
      <c r="D153" s="88"/>
      <c r="F153" s="89"/>
      <c r="I153" s="89"/>
      <c r="J153" s="8"/>
      <c r="L153" s="93"/>
    </row>
    <row r="154">
      <c r="D154" s="88"/>
      <c r="F154" s="89"/>
      <c r="I154" s="89"/>
      <c r="J154" s="8"/>
      <c r="L154" s="93"/>
    </row>
    <row r="155">
      <c r="D155" s="88"/>
      <c r="F155" s="89"/>
      <c r="I155" s="89"/>
      <c r="J155" s="8"/>
      <c r="L155" s="93"/>
    </row>
    <row r="156">
      <c r="D156" s="88"/>
      <c r="F156" s="89"/>
      <c r="I156" s="89"/>
      <c r="J156" s="8"/>
      <c r="L156" s="93"/>
    </row>
    <row r="157">
      <c r="D157" s="88"/>
      <c r="F157" s="89"/>
      <c r="I157" s="89"/>
      <c r="J157" s="8"/>
      <c r="L157" s="93"/>
    </row>
    <row r="158">
      <c r="D158" s="88"/>
      <c r="F158" s="89"/>
      <c r="I158" s="89"/>
      <c r="J158" s="8"/>
      <c r="L158" s="93"/>
    </row>
    <row r="159">
      <c r="D159" s="88"/>
      <c r="F159" s="89"/>
      <c r="I159" s="89"/>
      <c r="J159" s="8"/>
      <c r="L159" s="93"/>
    </row>
    <row r="160">
      <c r="D160" s="88"/>
      <c r="F160" s="89"/>
      <c r="I160" s="89"/>
      <c r="J160" s="8"/>
      <c r="L160" s="93"/>
    </row>
    <row r="161">
      <c r="D161" s="88"/>
      <c r="F161" s="89"/>
      <c r="I161" s="89"/>
      <c r="J161" s="8"/>
      <c r="L161" s="93"/>
    </row>
    <row r="162">
      <c r="D162" s="88"/>
      <c r="F162" s="89"/>
      <c r="I162" s="89"/>
      <c r="J162" s="8"/>
      <c r="L162" s="93"/>
    </row>
    <row r="163">
      <c r="D163" s="88"/>
      <c r="F163" s="89"/>
      <c r="I163" s="89"/>
      <c r="J163" s="8"/>
      <c r="L163" s="93"/>
    </row>
    <row r="164">
      <c r="D164" s="88"/>
      <c r="F164" s="89"/>
      <c r="I164" s="89"/>
      <c r="J164" s="8"/>
      <c r="L164" s="93"/>
    </row>
    <row r="165">
      <c r="D165" s="88"/>
      <c r="F165" s="89"/>
      <c r="I165" s="89"/>
      <c r="J165" s="8"/>
      <c r="L165" s="93"/>
    </row>
    <row r="166">
      <c r="D166" s="88"/>
      <c r="F166" s="89"/>
      <c r="I166" s="89"/>
      <c r="J166" s="8"/>
      <c r="L166" s="93"/>
    </row>
    <row r="167">
      <c r="D167" s="88"/>
      <c r="F167" s="89"/>
      <c r="I167" s="89"/>
      <c r="J167" s="8"/>
      <c r="L167" s="93"/>
    </row>
    <row r="168">
      <c r="D168" s="88"/>
      <c r="F168" s="89"/>
      <c r="I168" s="89"/>
      <c r="J168" s="8"/>
      <c r="L168" s="93"/>
    </row>
    <row r="169">
      <c r="D169" s="88"/>
      <c r="F169" s="89"/>
      <c r="I169" s="89"/>
      <c r="J169" s="8"/>
      <c r="L169" s="93"/>
    </row>
    <row r="170">
      <c r="D170" s="88"/>
      <c r="F170" s="89"/>
      <c r="I170" s="89"/>
      <c r="J170" s="8"/>
      <c r="L170" s="93"/>
    </row>
    <row r="171">
      <c r="D171" s="88"/>
      <c r="F171" s="89"/>
      <c r="I171" s="89"/>
      <c r="J171" s="8"/>
      <c r="L171" s="93"/>
    </row>
    <row r="172">
      <c r="D172" s="88"/>
      <c r="F172" s="89"/>
      <c r="I172" s="89"/>
      <c r="J172" s="8"/>
      <c r="L172" s="93"/>
    </row>
    <row r="173">
      <c r="D173" s="88"/>
      <c r="F173" s="89"/>
      <c r="I173" s="89"/>
      <c r="J173" s="8"/>
      <c r="L173" s="93"/>
    </row>
    <row r="174">
      <c r="D174" s="88"/>
      <c r="F174" s="89"/>
      <c r="I174" s="89"/>
      <c r="J174" s="8"/>
      <c r="L174" s="93"/>
    </row>
    <row r="175">
      <c r="D175" s="88"/>
      <c r="F175" s="89"/>
      <c r="I175" s="89"/>
      <c r="J175" s="8"/>
      <c r="L175" s="93"/>
    </row>
    <row r="176">
      <c r="D176" s="88"/>
      <c r="F176" s="89"/>
      <c r="I176" s="89"/>
      <c r="J176" s="8"/>
      <c r="L176" s="93"/>
    </row>
    <row r="177">
      <c r="D177" s="88"/>
      <c r="F177" s="89"/>
      <c r="I177" s="89"/>
      <c r="J177" s="8"/>
      <c r="L177" s="93"/>
    </row>
    <row r="178">
      <c r="D178" s="88"/>
      <c r="F178" s="89"/>
      <c r="I178" s="89"/>
      <c r="J178" s="8"/>
      <c r="L178" s="93"/>
    </row>
    <row r="179">
      <c r="D179" s="88"/>
      <c r="F179" s="89"/>
      <c r="I179" s="89"/>
      <c r="J179" s="8"/>
      <c r="L179" s="93"/>
    </row>
    <row r="180">
      <c r="D180" s="88"/>
      <c r="F180" s="89"/>
      <c r="I180" s="89"/>
      <c r="J180" s="8"/>
      <c r="L180" s="93"/>
    </row>
    <row r="181">
      <c r="D181" s="88"/>
      <c r="F181" s="89"/>
      <c r="I181" s="89"/>
      <c r="J181" s="8"/>
      <c r="L181" s="93"/>
    </row>
    <row r="182">
      <c r="D182" s="88"/>
      <c r="F182" s="89"/>
      <c r="I182" s="89"/>
      <c r="J182" s="8"/>
      <c r="L182" s="93"/>
    </row>
    <row r="183">
      <c r="D183" s="88"/>
      <c r="F183" s="89"/>
      <c r="I183" s="89"/>
      <c r="J183" s="8"/>
      <c r="L183" s="93"/>
    </row>
    <row r="184">
      <c r="D184" s="88"/>
      <c r="F184" s="89"/>
      <c r="I184" s="89"/>
      <c r="J184" s="8"/>
      <c r="L184" s="93"/>
    </row>
    <row r="185">
      <c r="D185" s="88"/>
      <c r="F185" s="89"/>
      <c r="I185" s="89"/>
      <c r="J185" s="8"/>
      <c r="L185" s="93"/>
    </row>
    <row r="186">
      <c r="D186" s="88"/>
      <c r="F186" s="89"/>
      <c r="I186" s="89"/>
      <c r="J186" s="8"/>
      <c r="L186" s="93"/>
    </row>
    <row r="187">
      <c r="D187" s="88"/>
      <c r="F187" s="89"/>
      <c r="I187" s="89"/>
      <c r="J187" s="8"/>
      <c r="L187" s="93"/>
    </row>
    <row r="188">
      <c r="D188" s="88"/>
      <c r="F188" s="89"/>
      <c r="I188" s="89"/>
      <c r="J188" s="8"/>
      <c r="L188" s="93"/>
    </row>
    <row r="189">
      <c r="D189" s="88"/>
      <c r="F189" s="89"/>
      <c r="I189" s="89"/>
      <c r="J189" s="8"/>
      <c r="L189" s="93"/>
    </row>
    <row r="190">
      <c r="D190" s="88"/>
      <c r="F190" s="89"/>
      <c r="I190" s="89"/>
      <c r="J190" s="8"/>
      <c r="L190" s="93"/>
    </row>
    <row r="191">
      <c r="D191" s="88"/>
      <c r="F191" s="89"/>
      <c r="I191" s="89"/>
      <c r="J191" s="8"/>
      <c r="L191" s="93"/>
    </row>
    <row r="192">
      <c r="D192" s="88"/>
      <c r="F192" s="89"/>
      <c r="I192" s="89"/>
      <c r="J192" s="8"/>
      <c r="L192" s="93"/>
    </row>
    <row r="193">
      <c r="D193" s="88"/>
      <c r="F193" s="89"/>
      <c r="I193" s="89"/>
      <c r="J193" s="8"/>
      <c r="L193" s="93"/>
    </row>
    <row r="194">
      <c r="D194" s="88"/>
      <c r="F194" s="89"/>
      <c r="I194" s="89"/>
      <c r="J194" s="8"/>
      <c r="L194" s="93"/>
    </row>
    <row r="195">
      <c r="D195" s="88"/>
      <c r="F195" s="89"/>
      <c r="I195" s="89"/>
      <c r="J195" s="8"/>
      <c r="L195" s="93"/>
    </row>
    <row r="196">
      <c r="D196" s="88"/>
      <c r="F196" s="89"/>
      <c r="I196" s="89"/>
      <c r="J196" s="8"/>
      <c r="L196" s="93"/>
    </row>
    <row r="197">
      <c r="D197" s="88"/>
      <c r="F197" s="89"/>
      <c r="I197" s="89"/>
      <c r="J197" s="8"/>
      <c r="L197" s="93"/>
    </row>
    <row r="198">
      <c r="D198" s="88"/>
      <c r="F198" s="89"/>
      <c r="I198" s="89"/>
      <c r="J198" s="8"/>
      <c r="L198" s="93"/>
    </row>
    <row r="199">
      <c r="D199" s="88"/>
      <c r="F199" s="89"/>
      <c r="I199" s="89"/>
      <c r="J199" s="8"/>
      <c r="L199" s="93"/>
    </row>
    <row r="200">
      <c r="D200" s="88"/>
      <c r="F200" s="89"/>
      <c r="I200" s="89"/>
      <c r="J200" s="8"/>
      <c r="L200" s="93"/>
    </row>
    <row r="201">
      <c r="D201" s="88"/>
      <c r="F201" s="89"/>
      <c r="I201" s="89"/>
      <c r="J201" s="8"/>
      <c r="L201" s="93"/>
    </row>
    <row r="202">
      <c r="D202" s="88"/>
      <c r="F202" s="89"/>
      <c r="I202" s="89"/>
      <c r="J202" s="8"/>
      <c r="L202" s="93"/>
    </row>
    <row r="203">
      <c r="D203" s="88"/>
      <c r="F203" s="89"/>
      <c r="I203" s="89"/>
      <c r="J203" s="8"/>
      <c r="L203" s="93"/>
    </row>
    <row r="204">
      <c r="D204" s="88"/>
      <c r="F204" s="89"/>
      <c r="I204" s="89"/>
      <c r="J204" s="8"/>
      <c r="L204" s="93"/>
    </row>
    <row r="205">
      <c r="D205" s="88"/>
      <c r="F205" s="89"/>
      <c r="I205" s="89"/>
      <c r="J205" s="8"/>
      <c r="L205" s="93"/>
    </row>
    <row r="206">
      <c r="D206" s="88"/>
      <c r="F206" s="89"/>
      <c r="I206" s="89"/>
      <c r="J206" s="8"/>
      <c r="L206" s="93"/>
    </row>
    <row r="207">
      <c r="D207" s="88"/>
      <c r="F207" s="89"/>
      <c r="I207" s="89"/>
      <c r="J207" s="8"/>
      <c r="L207" s="93"/>
    </row>
    <row r="208">
      <c r="D208" s="88"/>
      <c r="F208" s="89"/>
      <c r="I208" s="89"/>
      <c r="J208" s="8"/>
      <c r="L208" s="93"/>
    </row>
    <row r="209">
      <c r="D209" s="88"/>
      <c r="F209" s="89"/>
      <c r="I209" s="89"/>
      <c r="J209" s="8"/>
      <c r="L209" s="93"/>
    </row>
    <row r="210">
      <c r="D210" s="88"/>
      <c r="F210" s="89"/>
      <c r="I210" s="89"/>
      <c r="J210" s="8"/>
      <c r="L210" s="93"/>
    </row>
    <row r="211">
      <c r="D211" s="88"/>
      <c r="F211" s="89"/>
      <c r="I211" s="89"/>
      <c r="J211" s="8"/>
      <c r="L211" s="93"/>
    </row>
    <row r="212">
      <c r="D212" s="88"/>
      <c r="F212" s="89"/>
      <c r="I212" s="89"/>
      <c r="J212" s="8"/>
      <c r="L212" s="93"/>
    </row>
    <row r="213">
      <c r="D213" s="88"/>
      <c r="F213" s="89"/>
      <c r="I213" s="89"/>
      <c r="J213" s="8"/>
      <c r="L213" s="93"/>
    </row>
    <row r="214">
      <c r="D214" s="88"/>
      <c r="F214" s="89"/>
      <c r="I214" s="89"/>
      <c r="J214" s="8"/>
      <c r="L214" s="93"/>
    </row>
    <row r="215">
      <c r="D215" s="88"/>
      <c r="F215" s="89"/>
      <c r="I215" s="89"/>
      <c r="J215" s="8"/>
      <c r="L215" s="93"/>
    </row>
    <row r="216">
      <c r="D216" s="88"/>
      <c r="F216" s="89"/>
      <c r="I216" s="89"/>
      <c r="J216" s="8"/>
      <c r="L216" s="93"/>
    </row>
    <row r="217">
      <c r="D217" s="88"/>
      <c r="F217" s="89"/>
      <c r="I217" s="89"/>
      <c r="J217" s="8"/>
      <c r="L217" s="93"/>
    </row>
    <row r="218">
      <c r="D218" s="88"/>
      <c r="F218" s="89"/>
      <c r="I218" s="89"/>
      <c r="J218" s="8"/>
      <c r="L218" s="93"/>
    </row>
    <row r="219">
      <c r="D219" s="88"/>
      <c r="F219" s="89"/>
      <c r="I219" s="89"/>
      <c r="J219" s="8"/>
      <c r="L219" s="93"/>
    </row>
    <row r="220">
      <c r="D220" s="88"/>
      <c r="F220" s="89"/>
      <c r="I220" s="89"/>
      <c r="J220" s="8"/>
      <c r="L220" s="93"/>
    </row>
    <row r="221">
      <c r="D221" s="88"/>
      <c r="F221" s="89"/>
      <c r="I221" s="89"/>
      <c r="J221" s="8"/>
      <c r="L221" s="93"/>
    </row>
    <row r="222">
      <c r="D222" s="88"/>
      <c r="F222" s="89"/>
      <c r="I222" s="89"/>
      <c r="J222" s="8"/>
      <c r="L222" s="93"/>
    </row>
    <row r="223">
      <c r="D223" s="88"/>
      <c r="F223" s="89"/>
      <c r="I223" s="89"/>
      <c r="J223" s="8"/>
      <c r="L223" s="93"/>
    </row>
    <row r="224">
      <c r="D224" s="88"/>
      <c r="F224" s="89"/>
      <c r="I224" s="89"/>
      <c r="J224" s="8"/>
      <c r="L224" s="93"/>
    </row>
    <row r="225">
      <c r="D225" s="88"/>
      <c r="F225" s="89"/>
      <c r="I225" s="89"/>
      <c r="J225" s="8"/>
      <c r="L225" s="93"/>
    </row>
    <row r="226">
      <c r="D226" s="88"/>
      <c r="F226" s="89"/>
      <c r="I226" s="89"/>
      <c r="J226" s="8"/>
      <c r="L226" s="93"/>
    </row>
    <row r="227">
      <c r="D227" s="88"/>
      <c r="F227" s="89"/>
      <c r="I227" s="89"/>
      <c r="J227" s="8"/>
      <c r="L227" s="93"/>
    </row>
    <row r="228">
      <c r="D228" s="88"/>
      <c r="F228" s="89"/>
      <c r="I228" s="89"/>
      <c r="J228" s="8"/>
      <c r="L228" s="93"/>
    </row>
    <row r="229">
      <c r="D229" s="88"/>
      <c r="F229" s="89"/>
      <c r="I229" s="89"/>
      <c r="J229" s="8"/>
      <c r="L229" s="93"/>
    </row>
    <row r="230">
      <c r="D230" s="88"/>
      <c r="F230" s="89"/>
      <c r="I230" s="89"/>
      <c r="J230" s="8"/>
      <c r="L230" s="93"/>
    </row>
    <row r="231">
      <c r="D231" s="88"/>
      <c r="F231" s="89"/>
      <c r="I231" s="89"/>
      <c r="J231" s="8"/>
      <c r="L231" s="93"/>
    </row>
    <row r="232">
      <c r="D232" s="88"/>
      <c r="F232" s="89"/>
      <c r="I232" s="89"/>
      <c r="J232" s="8"/>
      <c r="L232" s="93"/>
    </row>
    <row r="233">
      <c r="D233" s="88"/>
      <c r="F233" s="89"/>
      <c r="I233" s="89"/>
      <c r="J233" s="8"/>
      <c r="L233" s="93"/>
    </row>
    <row r="234">
      <c r="D234" s="88"/>
      <c r="F234" s="89"/>
      <c r="I234" s="89"/>
      <c r="J234" s="8"/>
      <c r="L234" s="93"/>
    </row>
    <row r="235">
      <c r="D235" s="88"/>
      <c r="F235" s="89"/>
      <c r="I235" s="89"/>
      <c r="J235" s="8"/>
      <c r="L235" s="93"/>
    </row>
    <row r="236">
      <c r="D236" s="88"/>
      <c r="F236" s="89"/>
      <c r="I236" s="89"/>
      <c r="J236" s="8"/>
      <c r="L236" s="93"/>
    </row>
    <row r="237">
      <c r="D237" s="88"/>
      <c r="F237" s="89"/>
      <c r="I237" s="89"/>
      <c r="J237" s="8"/>
      <c r="L237" s="93"/>
    </row>
    <row r="238">
      <c r="D238" s="88"/>
      <c r="F238" s="89"/>
      <c r="I238" s="89"/>
      <c r="J238" s="8"/>
      <c r="L238" s="93"/>
    </row>
    <row r="239">
      <c r="D239" s="88"/>
      <c r="F239" s="89"/>
      <c r="I239" s="89"/>
      <c r="J239" s="8"/>
      <c r="L239" s="93"/>
    </row>
    <row r="240">
      <c r="D240" s="88"/>
      <c r="F240" s="89"/>
      <c r="I240" s="89"/>
      <c r="J240" s="8"/>
      <c r="L240" s="93"/>
    </row>
    <row r="241">
      <c r="D241" s="88"/>
      <c r="F241" s="89"/>
      <c r="I241" s="89"/>
      <c r="J241" s="8"/>
      <c r="L241" s="93"/>
    </row>
    <row r="242">
      <c r="D242" s="88"/>
      <c r="F242" s="89"/>
      <c r="I242" s="89"/>
      <c r="J242" s="8"/>
      <c r="L242" s="93"/>
    </row>
    <row r="243">
      <c r="D243" s="88"/>
      <c r="F243" s="89"/>
      <c r="I243" s="89"/>
      <c r="J243" s="8"/>
      <c r="L243" s="93"/>
    </row>
    <row r="244">
      <c r="D244" s="88"/>
      <c r="F244" s="89"/>
      <c r="I244" s="89"/>
      <c r="J244" s="8"/>
      <c r="L244" s="93"/>
    </row>
    <row r="245">
      <c r="D245" s="88"/>
      <c r="F245" s="89"/>
      <c r="I245" s="89"/>
      <c r="J245" s="8"/>
      <c r="L245" s="93"/>
    </row>
    <row r="246">
      <c r="D246" s="88"/>
      <c r="F246" s="89"/>
      <c r="I246" s="89"/>
      <c r="J246" s="8"/>
      <c r="L246" s="93"/>
    </row>
    <row r="247">
      <c r="D247" s="88"/>
      <c r="F247" s="89"/>
      <c r="I247" s="89"/>
      <c r="J247" s="8"/>
      <c r="L247" s="93"/>
    </row>
    <row r="248">
      <c r="D248" s="88"/>
      <c r="F248" s="89"/>
      <c r="I248" s="89"/>
      <c r="J248" s="8"/>
      <c r="L248" s="93"/>
    </row>
    <row r="249">
      <c r="D249" s="88"/>
      <c r="F249" s="89"/>
      <c r="I249" s="89"/>
      <c r="J249" s="8"/>
      <c r="L249" s="93"/>
    </row>
    <row r="250">
      <c r="D250" s="88"/>
      <c r="F250" s="89"/>
      <c r="I250" s="89"/>
      <c r="J250" s="8"/>
      <c r="L250" s="93"/>
    </row>
    <row r="251">
      <c r="D251" s="88"/>
      <c r="F251" s="89"/>
      <c r="I251" s="89"/>
      <c r="J251" s="8"/>
      <c r="L251" s="93"/>
    </row>
    <row r="252">
      <c r="D252" s="88"/>
      <c r="F252" s="89"/>
      <c r="I252" s="89"/>
      <c r="J252" s="8"/>
      <c r="L252" s="93"/>
    </row>
    <row r="253">
      <c r="D253" s="88"/>
      <c r="F253" s="89"/>
      <c r="I253" s="89"/>
      <c r="J253" s="8"/>
      <c r="L253" s="93"/>
    </row>
    <row r="254">
      <c r="D254" s="88"/>
      <c r="F254" s="89"/>
      <c r="I254" s="89"/>
      <c r="J254" s="8"/>
      <c r="L254" s="93"/>
    </row>
    <row r="255">
      <c r="D255" s="88"/>
      <c r="F255" s="89"/>
      <c r="I255" s="89"/>
      <c r="J255" s="8"/>
      <c r="L255" s="93"/>
    </row>
    <row r="256">
      <c r="D256" s="88"/>
      <c r="F256" s="89"/>
      <c r="I256" s="89"/>
      <c r="J256" s="8"/>
      <c r="L256" s="93"/>
    </row>
    <row r="257">
      <c r="D257" s="88"/>
      <c r="F257" s="89"/>
      <c r="I257" s="89"/>
      <c r="J257" s="8"/>
      <c r="L257" s="93"/>
    </row>
    <row r="258">
      <c r="D258" s="88"/>
      <c r="F258" s="89"/>
      <c r="I258" s="89"/>
      <c r="J258" s="8"/>
      <c r="L258" s="93"/>
    </row>
    <row r="259">
      <c r="D259" s="88"/>
      <c r="F259" s="89"/>
      <c r="I259" s="89"/>
      <c r="J259" s="8"/>
      <c r="L259" s="93"/>
    </row>
    <row r="260">
      <c r="D260" s="88"/>
      <c r="F260" s="89"/>
      <c r="I260" s="89"/>
      <c r="J260" s="8"/>
      <c r="L260" s="93"/>
    </row>
    <row r="261">
      <c r="D261" s="88"/>
      <c r="F261" s="89"/>
      <c r="I261" s="89"/>
      <c r="J261" s="8"/>
      <c r="L261" s="93"/>
    </row>
    <row r="262">
      <c r="D262" s="88"/>
      <c r="F262" s="89"/>
      <c r="I262" s="89"/>
      <c r="J262" s="8"/>
      <c r="L262" s="93"/>
    </row>
    <row r="263">
      <c r="D263" s="88"/>
      <c r="F263" s="89"/>
      <c r="I263" s="89"/>
      <c r="J263" s="8"/>
      <c r="L263" s="93"/>
    </row>
    <row r="264">
      <c r="D264" s="88"/>
      <c r="F264" s="89"/>
      <c r="I264" s="89"/>
      <c r="J264" s="8"/>
      <c r="L264" s="93"/>
    </row>
    <row r="265">
      <c r="D265" s="88"/>
      <c r="F265" s="89"/>
      <c r="I265" s="89"/>
      <c r="J265" s="8"/>
      <c r="L265" s="93"/>
    </row>
    <row r="266">
      <c r="D266" s="88"/>
      <c r="F266" s="89"/>
      <c r="I266" s="89"/>
      <c r="J266" s="8"/>
      <c r="L266" s="93"/>
    </row>
    <row r="267">
      <c r="D267" s="88"/>
      <c r="F267" s="89"/>
      <c r="I267" s="89"/>
      <c r="J267" s="8"/>
      <c r="L267" s="93"/>
    </row>
    <row r="268">
      <c r="D268" s="88"/>
      <c r="F268" s="89"/>
      <c r="I268" s="89"/>
      <c r="J268" s="8"/>
      <c r="L268" s="93"/>
    </row>
    <row r="269">
      <c r="D269" s="88"/>
      <c r="F269" s="89"/>
      <c r="I269" s="89"/>
      <c r="J269" s="8"/>
      <c r="L269" s="93"/>
    </row>
    <row r="270">
      <c r="D270" s="88"/>
      <c r="F270" s="89"/>
      <c r="I270" s="89"/>
      <c r="J270" s="8"/>
      <c r="L270" s="93"/>
    </row>
    <row r="271">
      <c r="D271" s="88"/>
      <c r="F271" s="89"/>
      <c r="I271" s="89"/>
      <c r="J271" s="8"/>
      <c r="L271" s="93"/>
    </row>
    <row r="272">
      <c r="D272" s="88"/>
      <c r="F272" s="89"/>
      <c r="I272" s="89"/>
      <c r="J272" s="8"/>
      <c r="L272" s="93"/>
    </row>
    <row r="273">
      <c r="D273" s="88"/>
      <c r="F273" s="89"/>
      <c r="I273" s="89"/>
      <c r="J273" s="8"/>
      <c r="L273" s="93"/>
    </row>
    <row r="274">
      <c r="D274" s="88"/>
      <c r="F274" s="89"/>
      <c r="I274" s="89"/>
      <c r="J274" s="8"/>
      <c r="L274" s="93"/>
    </row>
    <row r="275">
      <c r="D275" s="88"/>
      <c r="F275" s="89"/>
      <c r="I275" s="89"/>
      <c r="J275" s="8"/>
      <c r="L275" s="93"/>
    </row>
    <row r="276">
      <c r="D276" s="88"/>
      <c r="F276" s="89"/>
      <c r="I276" s="89"/>
      <c r="J276" s="8"/>
      <c r="L276" s="93"/>
    </row>
    <row r="277">
      <c r="D277" s="88"/>
      <c r="F277" s="89"/>
      <c r="I277" s="89"/>
      <c r="J277" s="8"/>
      <c r="L277" s="93"/>
    </row>
    <row r="278">
      <c r="D278" s="88"/>
      <c r="F278" s="89"/>
      <c r="I278" s="89"/>
      <c r="J278" s="8"/>
      <c r="L278" s="93"/>
    </row>
    <row r="279">
      <c r="D279" s="88"/>
      <c r="F279" s="89"/>
      <c r="I279" s="89"/>
      <c r="J279" s="8"/>
      <c r="L279" s="93"/>
    </row>
    <row r="280">
      <c r="D280" s="88"/>
      <c r="F280" s="89"/>
      <c r="I280" s="89"/>
      <c r="J280" s="8"/>
      <c r="L280" s="93"/>
    </row>
    <row r="281">
      <c r="D281" s="88"/>
      <c r="F281" s="89"/>
      <c r="I281" s="89"/>
      <c r="J281" s="8"/>
      <c r="L281" s="93"/>
    </row>
    <row r="282">
      <c r="D282" s="88"/>
      <c r="F282" s="89"/>
      <c r="I282" s="89"/>
      <c r="J282" s="8"/>
      <c r="L282" s="93"/>
    </row>
    <row r="283">
      <c r="D283" s="88"/>
      <c r="F283" s="89"/>
      <c r="I283" s="89"/>
      <c r="J283" s="8"/>
      <c r="L283" s="93"/>
    </row>
    <row r="284">
      <c r="D284" s="88"/>
      <c r="F284" s="89"/>
      <c r="I284" s="89"/>
      <c r="J284" s="8"/>
      <c r="L284" s="93"/>
    </row>
    <row r="285">
      <c r="D285" s="88"/>
      <c r="F285" s="89"/>
      <c r="I285" s="89"/>
      <c r="J285" s="8"/>
      <c r="L285" s="93"/>
    </row>
    <row r="286">
      <c r="D286" s="88"/>
      <c r="F286" s="89"/>
      <c r="I286" s="89"/>
      <c r="J286" s="8"/>
      <c r="L286" s="93"/>
    </row>
    <row r="287">
      <c r="D287" s="88"/>
      <c r="F287" s="89"/>
      <c r="I287" s="89"/>
      <c r="J287" s="8"/>
      <c r="L287" s="93"/>
    </row>
    <row r="288">
      <c r="D288" s="88"/>
      <c r="F288" s="89"/>
      <c r="I288" s="89"/>
      <c r="J288" s="8"/>
      <c r="L288" s="93"/>
    </row>
    <row r="289">
      <c r="D289" s="88"/>
      <c r="F289" s="89"/>
      <c r="I289" s="89"/>
      <c r="J289" s="8"/>
      <c r="L289" s="93"/>
    </row>
    <row r="290">
      <c r="D290" s="88"/>
      <c r="F290" s="89"/>
      <c r="I290" s="89"/>
      <c r="J290" s="8"/>
      <c r="L290" s="93"/>
    </row>
    <row r="291">
      <c r="D291" s="88"/>
      <c r="F291" s="89"/>
      <c r="I291" s="89"/>
      <c r="J291" s="8"/>
      <c r="L291" s="93"/>
    </row>
    <row r="292">
      <c r="D292" s="88"/>
      <c r="F292" s="89"/>
      <c r="I292" s="89"/>
      <c r="J292" s="8"/>
      <c r="L292" s="93"/>
    </row>
    <row r="293">
      <c r="D293" s="88"/>
      <c r="F293" s="89"/>
      <c r="I293" s="89"/>
      <c r="J293" s="8"/>
      <c r="L293" s="93"/>
    </row>
    <row r="294">
      <c r="D294" s="88"/>
      <c r="F294" s="89"/>
      <c r="I294" s="89"/>
      <c r="J294" s="8"/>
      <c r="L294" s="93"/>
    </row>
    <row r="295">
      <c r="D295" s="88"/>
      <c r="F295" s="89"/>
      <c r="I295" s="89"/>
      <c r="J295" s="8"/>
      <c r="L295" s="93"/>
    </row>
    <row r="296">
      <c r="D296" s="88"/>
      <c r="F296" s="89"/>
      <c r="I296" s="89"/>
      <c r="J296" s="8"/>
      <c r="L296" s="93"/>
    </row>
    <row r="297">
      <c r="D297" s="88"/>
      <c r="F297" s="89"/>
      <c r="I297" s="89"/>
      <c r="J297" s="8"/>
      <c r="L297" s="93"/>
    </row>
    <row r="298">
      <c r="D298" s="88"/>
      <c r="F298" s="89"/>
      <c r="I298" s="89"/>
      <c r="J298" s="8"/>
      <c r="L298" s="93"/>
    </row>
    <row r="299">
      <c r="D299" s="88"/>
      <c r="F299" s="89"/>
      <c r="I299" s="89"/>
      <c r="J299" s="8"/>
      <c r="L299" s="93"/>
    </row>
    <row r="300">
      <c r="D300" s="88"/>
      <c r="F300" s="89"/>
      <c r="I300" s="89"/>
      <c r="J300" s="8"/>
      <c r="L300" s="93"/>
    </row>
    <row r="301">
      <c r="D301" s="88"/>
      <c r="F301" s="89"/>
      <c r="I301" s="89"/>
      <c r="J301" s="8"/>
      <c r="L301" s="93"/>
    </row>
    <row r="302">
      <c r="D302" s="88"/>
      <c r="F302" s="89"/>
      <c r="I302" s="89"/>
      <c r="J302" s="8"/>
      <c r="L302" s="93"/>
    </row>
    <row r="303">
      <c r="D303" s="88"/>
      <c r="F303" s="89"/>
      <c r="I303" s="89"/>
      <c r="J303" s="8"/>
      <c r="L303" s="93"/>
    </row>
    <row r="304">
      <c r="D304" s="88"/>
      <c r="F304" s="89"/>
      <c r="I304" s="89"/>
      <c r="J304" s="8"/>
      <c r="L304" s="93"/>
    </row>
    <row r="305">
      <c r="D305" s="88"/>
      <c r="F305" s="89"/>
      <c r="I305" s="89"/>
      <c r="J305" s="8"/>
      <c r="L305" s="93"/>
    </row>
    <row r="306">
      <c r="D306" s="88"/>
      <c r="F306" s="89"/>
      <c r="I306" s="89"/>
      <c r="J306" s="8"/>
      <c r="L306" s="93"/>
    </row>
    <row r="307">
      <c r="D307" s="88"/>
      <c r="F307" s="89"/>
      <c r="I307" s="89"/>
      <c r="J307" s="8"/>
      <c r="L307" s="93"/>
    </row>
    <row r="308">
      <c r="D308" s="88"/>
      <c r="F308" s="89"/>
      <c r="I308" s="89"/>
      <c r="J308" s="8"/>
      <c r="L308" s="93"/>
    </row>
    <row r="309">
      <c r="D309" s="88"/>
      <c r="F309" s="89"/>
      <c r="I309" s="89"/>
      <c r="J309" s="8"/>
      <c r="L309" s="93"/>
    </row>
    <row r="310">
      <c r="D310" s="88"/>
      <c r="F310" s="89"/>
      <c r="I310" s="89"/>
      <c r="J310" s="8"/>
      <c r="L310" s="93"/>
    </row>
    <row r="311">
      <c r="D311" s="88"/>
      <c r="F311" s="89"/>
      <c r="I311" s="89"/>
      <c r="J311" s="8"/>
      <c r="L311" s="93"/>
    </row>
    <row r="312">
      <c r="D312" s="88"/>
      <c r="F312" s="89"/>
      <c r="I312" s="89"/>
      <c r="J312" s="8"/>
      <c r="L312" s="93"/>
    </row>
    <row r="313">
      <c r="D313" s="88"/>
      <c r="F313" s="89"/>
      <c r="I313" s="89"/>
      <c r="J313" s="8"/>
      <c r="L313" s="93"/>
    </row>
    <row r="314">
      <c r="D314" s="88"/>
      <c r="F314" s="89"/>
      <c r="I314" s="89"/>
      <c r="J314" s="8"/>
      <c r="L314" s="93"/>
    </row>
    <row r="315">
      <c r="D315" s="88"/>
      <c r="F315" s="89"/>
      <c r="I315" s="89"/>
      <c r="J315" s="8"/>
      <c r="L315" s="93"/>
    </row>
    <row r="316">
      <c r="D316" s="88"/>
      <c r="F316" s="89"/>
      <c r="I316" s="89"/>
      <c r="J316" s="8"/>
      <c r="L316" s="93"/>
    </row>
    <row r="317">
      <c r="D317" s="88"/>
      <c r="F317" s="89"/>
      <c r="I317" s="89"/>
      <c r="J317" s="8"/>
      <c r="L317" s="93"/>
    </row>
    <row r="318">
      <c r="D318" s="88"/>
      <c r="F318" s="89"/>
      <c r="I318" s="89"/>
      <c r="J318" s="8"/>
      <c r="L318" s="93"/>
    </row>
    <row r="319">
      <c r="D319" s="88"/>
      <c r="F319" s="89"/>
      <c r="I319" s="89"/>
      <c r="J319" s="8"/>
      <c r="L319" s="93"/>
    </row>
    <row r="320">
      <c r="D320" s="88"/>
      <c r="F320" s="89"/>
      <c r="I320" s="89"/>
      <c r="J320" s="8"/>
      <c r="L320" s="93"/>
    </row>
    <row r="321">
      <c r="D321" s="88"/>
      <c r="F321" s="89"/>
      <c r="I321" s="89"/>
      <c r="J321" s="8"/>
      <c r="L321" s="93"/>
    </row>
    <row r="322">
      <c r="D322" s="88"/>
      <c r="F322" s="89"/>
      <c r="I322" s="89"/>
      <c r="J322" s="8"/>
      <c r="L322" s="93"/>
    </row>
    <row r="323">
      <c r="D323" s="88"/>
      <c r="F323" s="89"/>
      <c r="I323" s="89"/>
      <c r="J323" s="8"/>
      <c r="L323" s="93"/>
    </row>
    <row r="324">
      <c r="D324" s="88"/>
      <c r="F324" s="89"/>
      <c r="I324" s="89"/>
      <c r="J324" s="8"/>
      <c r="L324" s="93"/>
    </row>
    <row r="325">
      <c r="D325" s="88"/>
      <c r="F325" s="89"/>
      <c r="I325" s="89"/>
      <c r="J325" s="8"/>
      <c r="L325" s="93"/>
    </row>
    <row r="326">
      <c r="D326" s="88"/>
      <c r="F326" s="89"/>
      <c r="I326" s="89"/>
      <c r="J326" s="8"/>
      <c r="L326" s="93"/>
    </row>
    <row r="327">
      <c r="D327" s="88"/>
      <c r="F327" s="89"/>
      <c r="I327" s="89"/>
      <c r="J327" s="8"/>
      <c r="L327" s="93"/>
    </row>
    <row r="328">
      <c r="D328" s="88"/>
      <c r="F328" s="89"/>
      <c r="I328" s="89"/>
      <c r="J328" s="8"/>
      <c r="L328" s="93"/>
    </row>
    <row r="329">
      <c r="D329" s="88"/>
      <c r="F329" s="89"/>
      <c r="I329" s="89"/>
      <c r="J329" s="8"/>
      <c r="L329" s="93"/>
    </row>
    <row r="330">
      <c r="D330" s="88"/>
      <c r="F330" s="89"/>
      <c r="I330" s="89"/>
      <c r="J330" s="8"/>
      <c r="L330" s="93"/>
    </row>
    <row r="331">
      <c r="D331" s="88"/>
      <c r="F331" s="89"/>
      <c r="I331" s="89"/>
      <c r="J331" s="8"/>
      <c r="L331" s="93"/>
    </row>
    <row r="332">
      <c r="D332" s="88"/>
      <c r="F332" s="89"/>
      <c r="I332" s="89"/>
      <c r="J332" s="8"/>
      <c r="L332" s="93"/>
    </row>
    <row r="333">
      <c r="D333" s="88"/>
      <c r="F333" s="89"/>
      <c r="I333" s="89"/>
      <c r="J333" s="8"/>
      <c r="L333" s="93"/>
    </row>
    <row r="334">
      <c r="D334" s="88"/>
      <c r="F334" s="89"/>
      <c r="I334" s="89"/>
      <c r="J334" s="8"/>
      <c r="L334" s="93"/>
    </row>
    <row r="335">
      <c r="D335" s="88"/>
      <c r="F335" s="89"/>
      <c r="I335" s="89"/>
      <c r="J335" s="8"/>
      <c r="L335" s="93"/>
    </row>
    <row r="336">
      <c r="D336" s="88"/>
      <c r="F336" s="89"/>
      <c r="I336" s="89"/>
      <c r="J336" s="8"/>
      <c r="L336" s="93"/>
    </row>
    <row r="337">
      <c r="D337" s="88"/>
      <c r="F337" s="89"/>
      <c r="I337" s="89"/>
      <c r="J337" s="8"/>
      <c r="L337" s="93"/>
    </row>
    <row r="338">
      <c r="D338" s="88"/>
      <c r="F338" s="89"/>
      <c r="I338" s="89"/>
      <c r="J338" s="8"/>
      <c r="L338" s="93"/>
    </row>
    <row r="339">
      <c r="D339" s="88"/>
      <c r="F339" s="89"/>
      <c r="I339" s="89"/>
      <c r="J339" s="8"/>
      <c r="L339" s="93"/>
    </row>
    <row r="340">
      <c r="D340" s="88"/>
      <c r="F340" s="89"/>
      <c r="I340" s="89"/>
      <c r="J340" s="8"/>
      <c r="L340" s="93"/>
    </row>
    <row r="341">
      <c r="D341" s="88"/>
      <c r="F341" s="89"/>
      <c r="I341" s="89"/>
      <c r="J341" s="8"/>
      <c r="L341" s="93"/>
    </row>
    <row r="342">
      <c r="D342" s="88"/>
      <c r="F342" s="89"/>
      <c r="I342" s="89"/>
      <c r="J342" s="8"/>
      <c r="L342" s="93"/>
    </row>
    <row r="343">
      <c r="D343" s="88"/>
      <c r="F343" s="89"/>
      <c r="I343" s="89"/>
      <c r="J343" s="8"/>
      <c r="L343" s="93"/>
    </row>
    <row r="344">
      <c r="D344" s="88"/>
      <c r="F344" s="89"/>
      <c r="I344" s="89"/>
      <c r="J344" s="8"/>
      <c r="L344" s="93"/>
    </row>
    <row r="345">
      <c r="D345" s="88"/>
      <c r="F345" s="89"/>
      <c r="I345" s="89"/>
      <c r="J345" s="8"/>
      <c r="L345" s="93"/>
    </row>
    <row r="346">
      <c r="D346" s="88"/>
      <c r="F346" s="89"/>
      <c r="I346" s="89"/>
      <c r="J346" s="8"/>
      <c r="L346" s="93"/>
    </row>
    <row r="347">
      <c r="D347" s="88"/>
      <c r="F347" s="89"/>
      <c r="I347" s="89"/>
      <c r="J347" s="8"/>
      <c r="L347" s="93"/>
    </row>
    <row r="348">
      <c r="D348" s="88"/>
      <c r="F348" s="89"/>
      <c r="I348" s="89"/>
      <c r="J348" s="8"/>
      <c r="L348" s="93"/>
    </row>
    <row r="349">
      <c r="D349" s="88"/>
      <c r="F349" s="89"/>
      <c r="I349" s="89"/>
      <c r="J349" s="8"/>
      <c r="L349" s="93"/>
    </row>
    <row r="350">
      <c r="D350" s="88"/>
      <c r="F350" s="89"/>
      <c r="I350" s="89"/>
      <c r="J350" s="8"/>
      <c r="L350" s="93"/>
    </row>
    <row r="351">
      <c r="D351" s="88"/>
      <c r="F351" s="89"/>
      <c r="I351" s="89"/>
      <c r="J351" s="8"/>
      <c r="L351" s="93"/>
    </row>
    <row r="352">
      <c r="D352" s="88"/>
      <c r="F352" s="89"/>
      <c r="I352" s="89"/>
      <c r="J352" s="8"/>
      <c r="L352" s="93"/>
    </row>
    <row r="353">
      <c r="D353" s="88"/>
      <c r="F353" s="89"/>
      <c r="I353" s="89"/>
      <c r="J353" s="8"/>
      <c r="L353" s="93"/>
    </row>
    <row r="354">
      <c r="D354" s="88"/>
      <c r="F354" s="89"/>
      <c r="I354" s="89"/>
      <c r="J354" s="8"/>
      <c r="L354" s="93"/>
    </row>
    <row r="355">
      <c r="D355" s="88"/>
      <c r="F355" s="89"/>
      <c r="I355" s="89"/>
      <c r="J355" s="8"/>
      <c r="L355" s="93"/>
    </row>
    <row r="356">
      <c r="D356" s="88"/>
      <c r="F356" s="89"/>
      <c r="I356" s="89"/>
      <c r="J356" s="8"/>
      <c r="L356" s="93"/>
    </row>
    <row r="357">
      <c r="D357" s="88"/>
      <c r="F357" s="89"/>
      <c r="I357" s="89"/>
      <c r="J357" s="8"/>
      <c r="L357" s="93"/>
    </row>
    <row r="358">
      <c r="D358" s="88"/>
      <c r="F358" s="89"/>
      <c r="I358" s="89"/>
      <c r="J358" s="8"/>
      <c r="L358" s="93"/>
    </row>
    <row r="359">
      <c r="D359" s="88"/>
      <c r="F359" s="89"/>
      <c r="I359" s="89"/>
      <c r="J359" s="8"/>
      <c r="L359" s="93"/>
    </row>
    <row r="360">
      <c r="D360" s="88"/>
      <c r="F360" s="89"/>
      <c r="I360" s="89"/>
      <c r="J360" s="8"/>
      <c r="L360" s="93"/>
    </row>
    <row r="361">
      <c r="D361" s="88"/>
      <c r="F361" s="89"/>
      <c r="I361" s="89"/>
      <c r="J361" s="8"/>
      <c r="L361" s="93"/>
    </row>
    <row r="362">
      <c r="D362" s="88"/>
      <c r="F362" s="89"/>
      <c r="I362" s="89"/>
      <c r="J362" s="8"/>
      <c r="L362" s="93"/>
    </row>
    <row r="363">
      <c r="D363" s="88"/>
      <c r="F363" s="89"/>
      <c r="I363" s="89"/>
      <c r="J363" s="8"/>
      <c r="L363" s="93"/>
    </row>
    <row r="364">
      <c r="D364" s="88"/>
      <c r="F364" s="89"/>
      <c r="I364" s="89"/>
      <c r="J364" s="8"/>
      <c r="L364" s="93"/>
    </row>
    <row r="365">
      <c r="D365" s="88"/>
      <c r="F365" s="89"/>
      <c r="I365" s="89"/>
      <c r="J365" s="8"/>
      <c r="L365" s="93"/>
    </row>
    <row r="366">
      <c r="D366" s="88"/>
      <c r="F366" s="89"/>
      <c r="I366" s="89"/>
      <c r="J366" s="8"/>
      <c r="L366" s="93"/>
    </row>
    <row r="367">
      <c r="D367" s="88"/>
      <c r="F367" s="89"/>
      <c r="I367" s="89"/>
      <c r="J367" s="8"/>
      <c r="L367" s="93"/>
    </row>
    <row r="368">
      <c r="D368" s="88"/>
      <c r="F368" s="89"/>
      <c r="I368" s="89"/>
      <c r="J368" s="8"/>
      <c r="L368" s="93"/>
    </row>
    <row r="369">
      <c r="D369" s="88"/>
      <c r="F369" s="89"/>
      <c r="I369" s="89"/>
      <c r="J369" s="8"/>
      <c r="L369" s="93"/>
    </row>
    <row r="370">
      <c r="D370" s="88"/>
      <c r="F370" s="89"/>
      <c r="I370" s="89"/>
      <c r="J370" s="8"/>
      <c r="L370" s="93"/>
    </row>
    <row r="371">
      <c r="D371" s="88"/>
      <c r="F371" s="89"/>
      <c r="I371" s="89"/>
      <c r="J371" s="8"/>
      <c r="L371" s="93"/>
    </row>
    <row r="372">
      <c r="D372" s="88"/>
      <c r="F372" s="89"/>
      <c r="I372" s="89"/>
      <c r="J372" s="8"/>
      <c r="L372" s="93"/>
    </row>
    <row r="373">
      <c r="D373" s="88"/>
      <c r="F373" s="89"/>
      <c r="I373" s="89"/>
      <c r="J373" s="8"/>
      <c r="L373" s="93"/>
    </row>
    <row r="374">
      <c r="D374" s="88"/>
      <c r="F374" s="89"/>
      <c r="I374" s="89"/>
      <c r="J374" s="8"/>
      <c r="L374" s="93"/>
    </row>
    <row r="375">
      <c r="D375" s="88"/>
      <c r="F375" s="89"/>
      <c r="I375" s="89"/>
      <c r="J375" s="8"/>
      <c r="L375" s="93"/>
    </row>
    <row r="376">
      <c r="D376" s="88"/>
      <c r="F376" s="89"/>
      <c r="I376" s="89"/>
      <c r="J376" s="8"/>
      <c r="L376" s="93"/>
    </row>
    <row r="377">
      <c r="D377" s="88"/>
      <c r="F377" s="89"/>
      <c r="I377" s="89"/>
      <c r="J377" s="8"/>
      <c r="L377" s="93"/>
    </row>
    <row r="378">
      <c r="D378" s="88"/>
      <c r="F378" s="89"/>
      <c r="I378" s="89"/>
      <c r="J378" s="8"/>
      <c r="L378" s="93"/>
    </row>
    <row r="379">
      <c r="D379" s="88"/>
      <c r="F379" s="89"/>
      <c r="I379" s="89"/>
      <c r="J379" s="8"/>
      <c r="L379" s="93"/>
    </row>
    <row r="380">
      <c r="D380" s="88"/>
      <c r="F380" s="89"/>
      <c r="I380" s="89"/>
      <c r="J380" s="8"/>
      <c r="L380" s="93"/>
    </row>
    <row r="381">
      <c r="D381" s="88"/>
      <c r="F381" s="89"/>
      <c r="I381" s="89"/>
      <c r="J381" s="8"/>
      <c r="L381" s="93"/>
    </row>
    <row r="382">
      <c r="D382" s="88"/>
      <c r="F382" s="89"/>
      <c r="I382" s="89"/>
      <c r="J382" s="8"/>
      <c r="L382" s="93"/>
    </row>
    <row r="383">
      <c r="D383" s="88"/>
      <c r="F383" s="89"/>
      <c r="I383" s="89"/>
      <c r="J383" s="8"/>
      <c r="L383" s="93"/>
    </row>
    <row r="384">
      <c r="D384" s="88"/>
      <c r="F384" s="89"/>
      <c r="I384" s="89"/>
      <c r="J384" s="8"/>
      <c r="L384" s="93"/>
    </row>
    <row r="385">
      <c r="D385" s="88"/>
      <c r="F385" s="89"/>
      <c r="I385" s="89"/>
      <c r="J385" s="8"/>
      <c r="L385" s="93"/>
    </row>
    <row r="386">
      <c r="D386" s="88"/>
      <c r="F386" s="89"/>
      <c r="I386" s="89"/>
      <c r="J386" s="8"/>
      <c r="L386" s="93"/>
    </row>
    <row r="387">
      <c r="D387" s="88"/>
      <c r="F387" s="89"/>
      <c r="I387" s="89"/>
      <c r="J387" s="8"/>
      <c r="L387" s="93"/>
    </row>
    <row r="388">
      <c r="D388" s="88"/>
      <c r="F388" s="89"/>
      <c r="I388" s="89"/>
      <c r="J388" s="8"/>
      <c r="L388" s="93"/>
    </row>
    <row r="389">
      <c r="D389" s="88"/>
      <c r="F389" s="89"/>
      <c r="I389" s="89"/>
      <c r="J389" s="8"/>
      <c r="L389" s="93"/>
    </row>
    <row r="390">
      <c r="D390" s="88"/>
      <c r="F390" s="89"/>
      <c r="I390" s="89"/>
      <c r="J390" s="8"/>
      <c r="L390" s="93"/>
    </row>
    <row r="391">
      <c r="D391" s="88"/>
      <c r="F391" s="89"/>
      <c r="I391" s="89"/>
      <c r="J391" s="8"/>
      <c r="L391" s="93"/>
    </row>
    <row r="392">
      <c r="D392" s="88"/>
      <c r="F392" s="89"/>
      <c r="I392" s="89"/>
      <c r="J392" s="8"/>
      <c r="L392" s="93"/>
    </row>
    <row r="393">
      <c r="D393" s="88"/>
      <c r="F393" s="89"/>
      <c r="I393" s="89"/>
      <c r="J393" s="8"/>
      <c r="L393" s="93"/>
    </row>
    <row r="394">
      <c r="D394" s="88"/>
      <c r="F394" s="89"/>
      <c r="I394" s="89"/>
      <c r="J394" s="8"/>
      <c r="L394" s="93"/>
    </row>
    <row r="395">
      <c r="D395" s="88"/>
      <c r="F395" s="89"/>
      <c r="I395" s="89"/>
      <c r="J395" s="8"/>
      <c r="L395" s="93"/>
    </row>
    <row r="396">
      <c r="D396" s="88"/>
      <c r="F396" s="89"/>
      <c r="I396" s="89"/>
      <c r="J396" s="8"/>
      <c r="L396" s="93"/>
    </row>
    <row r="397">
      <c r="D397" s="88"/>
      <c r="F397" s="89"/>
      <c r="I397" s="89"/>
      <c r="J397" s="8"/>
      <c r="L397" s="93"/>
    </row>
    <row r="398">
      <c r="D398" s="88"/>
      <c r="F398" s="89"/>
      <c r="I398" s="89"/>
      <c r="J398" s="8"/>
      <c r="L398" s="93"/>
    </row>
    <row r="399">
      <c r="D399" s="88"/>
      <c r="F399" s="89"/>
      <c r="I399" s="89"/>
      <c r="J399" s="8"/>
      <c r="L399" s="93"/>
    </row>
    <row r="400">
      <c r="D400" s="88"/>
      <c r="F400" s="89"/>
      <c r="I400" s="89"/>
      <c r="J400" s="8"/>
      <c r="L400" s="93"/>
    </row>
    <row r="401">
      <c r="D401" s="88"/>
      <c r="F401" s="89"/>
      <c r="I401" s="89"/>
      <c r="J401" s="8"/>
      <c r="L401" s="93"/>
    </row>
    <row r="402">
      <c r="D402" s="88"/>
      <c r="F402" s="89"/>
      <c r="I402" s="89"/>
      <c r="J402" s="8"/>
      <c r="L402" s="93"/>
    </row>
    <row r="403">
      <c r="D403" s="88"/>
      <c r="F403" s="89"/>
      <c r="I403" s="89"/>
      <c r="J403" s="8"/>
      <c r="L403" s="93"/>
    </row>
    <row r="404">
      <c r="D404" s="88"/>
      <c r="F404" s="89"/>
      <c r="I404" s="89"/>
      <c r="J404" s="8"/>
      <c r="L404" s="93"/>
    </row>
    <row r="405">
      <c r="D405" s="88"/>
      <c r="F405" s="89"/>
      <c r="I405" s="89"/>
      <c r="J405" s="8"/>
      <c r="L405" s="93"/>
    </row>
    <row r="406">
      <c r="D406" s="88"/>
      <c r="F406" s="89"/>
      <c r="I406" s="89"/>
      <c r="J406" s="8"/>
      <c r="L406" s="93"/>
    </row>
    <row r="407">
      <c r="D407" s="88"/>
      <c r="F407" s="89"/>
      <c r="I407" s="89"/>
      <c r="J407" s="8"/>
      <c r="L407" s="93"/>
    </row>
    <row r="408">
      <c r="D408" s="88"/>
      <c r="F408" s="89"/>
      <c r="I408" s="89"/>
      <c r="J408" s="8"/>
      <c r="L408" s="93"/>
    </row>
    <row r="409">
      <c r="D409" s="88"/>
      <c r="F409" s="89"/>
      <c r="I409" s="89"/>
      <c r="J409" s="8"/>
      <c r="L409" s="93"/>
    </row>
    <row r="410">
      <c r="D410" s="88"/>
      <c r="F410" s="89"/>
      <c r="I410" s="89"/>
      <c r="J410" s="8"/>
      <c r="L410" s="93"/>
    </row>
    <row r="411">
      <c r="D411" s="88"/>
      <c r="F411" s="89"/>
      <c r="I411" s="89"/>
      <c r="J411" s="8"/>
      <c r="L411" s="93"/>
    </row>
    <row r="412">
      <c r="D412" s="88"/>
      <c r="F412" s="89"/>
      <c r="I412" s="89"/>
      <c r="J412" s="8"/>
      <c r="L412" s="93"/>
    </row>
    <row r="413">
      <c r="D413" s="88"/>
      <c r="F413" s="89"/>
      <c r="I413" s="89"/>
      <c r="J413" s="8"/>
      <c r="L413" s="93"/>
    </row>
    <row r="414">
      <c r="D414" s="88"/>
      <c r="F414" s="89"/>
      <c r="I414" s="89"/>
      <c r="J414" s="8"/>
      <c r="L414" s="93"/>
    </row>
    <row r="415">
      <c r="D415" s="88"/>
      <c r="F415" s="89"/>
      <c r="I415" s="89"/>
      <c r="J415" s="8"/>
      <c r="L415" s="93"/>
    </row>
    <row r="416">
      <c r="D416" s="88"/>
      <c r="F416" s="89"/>
      <c r="I416" s="89"/>
      <c r="J416" s="8"/>
      <c r="L416" s="93"/>
    </row>
    <row r="417">
      <c r="D417" s="88"/>
      <c r="F417" s="89"/>
      <c r="I417" s="89"/>
      <c r="J417" s="8"/>
      <c r="L417" s="93"/>
    </row>
    <row r="418">
      <c r="D418" s="88"/>
      <c r="F418" s="89"/>
      <c r="I418" s="89"/>
      <c r="J418" s="8"/>
      <c r="L418" s="93"/>
    </row>
    <row r="419">
      <c r="D419" s="88"/>
      <c r="F419" s="89"/>
      <c r="I419" s="89"/>
      <c r="J419" s="8"/>
      <c r="L419" s="93"/>
    </row>
    <row r="420">
      <c r="D420" s="88"/>
      <c r="F420" s="89"/>
      <c r="I420" s="89"/>
      <c r="J420" s="8"/>
      <c r="L420" s="93"/>
    </row>
    <row r="421">
      <c r="D421" s="88"/>
      <c r="F421" s="89"/>
      <c r="I421" s="89"/>
      <c r="J421" s="8"/>
      <c r="L421" s="93"/>
    </row>
    <row r="422">
      <c r="D422" s="88"/>
      <c r="F422" s="89"/>
      <c r="I422" s="89"/>
      <c r="J422" s="8"/>
      <c r="L422" s="93"/>
    </row>
    <row r="423">
      <c r="D423" s="88"/>
      <c r="F423" s="89"/>
      <c r="I423" s="89"/>
      <c r="J423" s="8"/>
      <c r="L423" s="93"/>
    </row>
    <row r="424">
      <c r="D424" s="88"/>
      <c r="F424" s="89"/>
      <c r="I424" s="89"/>
      <c r="J424" s="8"/>
      <c r="L424" s="93"/>
    </row>
    <row r="425">
      <c r="D425" s="88"/>
      <c r="F425" s="89"/>
      <c r="I425" s="89"/>
      <c r="J425" s="8"/>
      <c r="L425" s="93"/>
    </row>
    <row r="426">
      <c r="D426" s="88"/>
      <c r="F426" s="89"/>
      <c r="I426" s="89"/>
      <c r="J426" s="8"/>
      <c r="L426" s="93"/>
    </row>
    <row r="427">
      <c r="D427" s="88"/>
      <c r="F427" s="89"/>
      <c r="I427" s="89"/>
      <c r="J427" s="8"/>
      <c r="L427" s="93"/>
    </row>
    <row r="428">
      <c r="D428" s="88"/>
      <c r="F428" s="89"/>
      <c r="I428" s="89"/>
      <c r="J428" s="8"/>
      <c r="L428" s="93"/>
    </row>
    <row r="429">
      <c r="D429" s="88"/>
      <c r="F429" s="89"/>
      <c r="I429" s="89"/>
      <c r="J429" s="8"/>
      <c r="L429" s="93"/>
    </row>
    <row r="430">
      <c r="D430" s="88"/>
      <c r="F430" s="89"/>
      <c r="I430" s="89"/>
      <c r="J430" s="8"/>
      <c r="L430" s="93"/>
    </row>
    <row r="431">
      <c r="D431" s="88"/>
      <c r="F431" s="89"/>
      <c r="I431" s="89"/>
      <c r="J431" s="8"/>
      <c r="L431" s="93"/>
    </row>
    <row r="432">
      <c r="D432" s="88"/>
      <c r="F432" s="89"/>
      <c r="I432" s="89"/>
      <c r="J432" s="8"/>
      <c r="L432" s="93"/>
    </row>
    <row r="433">
      <c r="D433" s="88"/>
      <c r="F433" s="89"/>
      <c r="I433" s="89"/>
      <c r="J433" s="8"/>
      <c r="L433" s="93"/>
    </row>
    <row r="434">
      <c r="D434" s="88"/>
      <c r="F434" s="89"/>
      <c r="I434" s="89"/>
      <c r="J434" s="8"/>
      <c r="L434" s="93"/>
    </row>
    <row r="435">
      <c r="D435" s="88"/>
      <c r="F435" s="89"/>
      <c r="I435" s="89"/>
      <c r="J435" s="8"/>
      <c r="L435" s="93"/>
    </row>
    <row r="436">
      <c r="D436" s="88"/>
      <c r="F436" s="89"/>
      <c r="I436" s="89"/>
      <c r="J436" s="8"/>
      <c r="L436" s="93"/>
    </row>
    <row r="437">
      <c r="D437" s="88"/>
      <c r="F437" s="89"/>
      <c r="I437" s="89"/>
      <c r="J437" s="8"/>
      <c r="L437" s="93"/>
    </row>
    <row r="438">
      <c r="D438" s="88"/>
      <c r="F438" s="89"/>
      <c r="I438" s="89"/>
      <c r="J438" s="8"/>
      <c r="L438" s="93"/>
    </row>
    <row r="439">
      <c r="D439" s="88"/>
      <c r="F439" s="89"/>
      <c r="I439" s="89"/>
      <c r="J439" s="8"/>
      <c r="L439" s="93"/>
    </row>
    <row r="440">
      <c r="D440" s="88"/>
      <c r="F440" s="89"/>
      <c r="I440" s="89"/>
      <c r="J440" s="8"/>
      <c r="L440" s="93"/>
    </row>
    <row r="441">
      <c r="D441" s="88"/>
      <c r="F441" s="89"/>
      <c r="I441" s="89"/>
      <c r="J441" s="8"/>
      <c r="L441" s="93"/>
    </row>
    <row r="442">
      <c r="D442" s="88"/>
      <c r="F442" s="89"/>
      <c r="I442" s="89"/>
      <c r="J442" s="8"/>
      <c r="L442" s="93"/>
    </row>
    <row r="443">
      <c r="D443" s="88"/>
      <c r="F443" s="89"/>
      <c r="I443" s="89"/>
      <c r="J443" s="8"/>
      <c r="L443" s="93"/>
    </row>
    <row r="444">
      <c r="D444" s="88"/>
      <c r="F444" s="89"/>
      <c r="I444" s="89"/>
      <c r="J444" s="8"/>
      <c r="L444" s="93"/>
    </row>
    <row r="445">
      <c r="D445" s="88"/>
      <c r="F445" s="89"/>
      <c r="I445" s="89"/>
      <c r="J445" s="8"/>
      <c r="L445" s="93"/>
    </row>
    <row r="446">
      <c r="D446" s="88"/>
      <c r="F446" s="89"/>
      <c r="I446" s="89"/>
      <c r="J446" s="8"/>
      <c r="L446" s="93"/>
    </row>
    <row r="447">
      <c r="D447" s="88"/>
      <c r="F447" s="89"/>
      <c r="I447" s="89"/>
      <c r="J447" s="8"/>
      <c r="L447" s="93"/>
    </row>
    <row r="448">
      <c r="D448" s="88"/>
      <c r="F448" s="89"/>
      <c r="I448" s="89"/>
      <c r="J448" s="8"/>
      <c r="L448" s="93"/>
    </row>
    <row r="449">
      <c r="D449" s="88"/>
      <c r="F449" s="89"/>
      <c r="I449" s="89"/>
      <c r="J449" s="8"/>
      <c r="L449" s="93"/>
    </row>
    <row r="450">
      <c r="D450" s="88"/>
      <c r="F450" s="89"/>
      <c r="I450" s="89"/>
      <c r="J450" s="8"/>
      <c r="L450" s="93"/>
    </row>
    <row r="451">
      <c r="D451" s="88"/>
      <c r="F451" s="89"/>
      <c r="I451" s="89"/>
      <c r="J451" s="8"/>
      <c r="L451" s="93"/>
    </row>
    <row r="452">
      <c r="D452" s="88"/>
      <c r="F452" s="89"/>
      <c r="I452" s="89"/>
      <c r="J452" s="8"/>
      <c r="L452" s="93"/>
    </row>
    <row r="453">
      <c r="D453" s="88"/>
      <c r="F453" s="89"/>
      <c r="I453" s="89"/>
      <c r="J453" s="8"/>
      <c r="L453" s="93"/>
    </row>
    <row r="454">
      <c r="D454" s="88"/>
      <c r="F454" s="89"/>
      <c r="I454" s="89"/>
      <c r="J454" s="8"/>
      <c r="L454" s="93"/>
    </row>
    <row r="455">
      <c r="D455" s="88"/>
      <c r="F455" s="89"/>
      <c r="I455" s="89"/>
      <c r="J455" s="8"/>
      <c r="L455" s="93"/>
    </row>
    <row r="456">
      <c r="D456" s="88"/>
      <c r="F456" s="89"/>
      <c r="I456" s="89"/>
      <c r="J456" s="8"/>
      <c r="L456" s="93"/>
    </row>
    <row r="457">
      <c r="D457" s="88"/>
      <c r="F457" s="89"/>
      <c r="I457" s="89"/>
      <c r="J457" s="8"/>
      <c r="L457" s="93"/>
    </row>
    <row r="458">
      <c r="D458" s="88"/>
      <c r="F458" s="89"/>
      <c r="I458" s="89"/>
      <c r="J458" s="8"/>
      <c r="L458" s="93"/>
    </row>
    <row r="459">
      <c r="D459" s="88"/>
      <c r="F459" s="89"/>
      <c r="I459" s="89"/>
      <c r="J459" s="8"/>
      <c r="L459" s="93"/>
    </row>
    <row r="460">
      <c r="D460" s="88"/>
      <c r="F460" s="89"/>
      <c r="I460" s="89"/>
      <c r="J460" s="8"/>
      <c r="L460" s="93"/>
    </row>
    <row r="461">
      <c r="D461" s="88"/>
      <c r="F461" s="89"/>
      <c r="I461" s="89"/>
      <c r="J461" s="8"/>
      <c r="L461" s="93"/>
    </row>
    <row r="462">
      <c r="D462" s="88"/>
      <c r="F462" s="89"/>
      <c r="I462" s="89"/>
      <c r="J462" s="8"/>
      <c r="L462" s="93"/>
    </row>
    <row r="463">
      <c r="D463" s="88"/>
      <c r="F463" s="89"/>
      <c r="I463" s="89"/>
      <c r="J463" s="8"/>
      <c r="L463" s="93"/>
    </row>
    <row r="464">
      <c r="D464" s="88"/>
      <c r="F464" s="89"/>
      <c r="I464" s="89"/>
      <c r="J464" s="8"/>
      <c r="L464" s="93"/>
    </row>
    <row r="465">
      <c r="D465" s="88"/>
      <c r="F465" s="89"/>
      <c r="I465" s="89"/>
      <c r="J465" s="8"/>
      <c r="L465" s="93"/>
    </row>
    <row r="466">
      <c r="D466" s="88"/>
      <c r="F466" s="89"/>
      <c r="I466" s="89"/>
      <c r="J466" s="8"/>
      <c r="L466" s="93"/>
    </row>
    <row r="467">
      <c r="D467" s="88"/>
      <c r="F467" s="89"/>
      <c r="I467" s="89"/>
      <c r="J467" s="8"/>
      <c r="L467" s="93"/>
    </row>
    <row r="468">
      <c r="D468" s="88"/>
      <c r="F468" s="89"/>
      <c r="I468" s="89"/>
      <c r="J468" s="8"/>
      <c r="L468" s="93"/>
    </row>
    <row r="469">
      <c r="D469" s="88"/>
      <c r="F469" s="89"/>
      <c r="I469" s="89"/>
      <c r="J469" s="8"/>
      <c r="L469" s="93"/>
    </row>
    <row r="470">
      <c r="D470" s="88"/>
      <c r="F470" s="89"/>
      <c r="I470" s="89"/>
      <c r="J470" s="8"/>
      <c r="L470" s="93"/>
    </row>
    <row r="471">
      <c r="D471" s="88"/>
      <c r="F471" s="89"/>
      <c r="I471" s="89"/>
      <c r="J471" s="8"/>
      <c r="L471" s="93"/>
    </row>
    <row r="472">
      <c r="D472" s="88"/>
      <c r="F472" s="89"/>
      <c r="I472" s="89"/>
      <c r="J472" s="8"/>
      <c r="L472" s="93"/>
    </row>
    <row r="473">
      <c r="D473" s="88"/>
      <c r="F473" s="89"/>
      <c r="I473" s="89"/>
      <c r="J473" s="8"/>
      <c r="L473" s="93"/>
    </row>
    <row r="474">
      <c r="D474" s="88"/>
      <c r="F474" s="89"/>
      <c r="I474" s="89"/>
      <c r="J474" s="8"/>
      <c r="L474" s="93"/>
    </row>
    <row r="475">
      <c r="D475" s="88"/>
      <c r="F475" s="89"/>
      <c r="I475" s="89"/>
      <c r="J475" s="8"/>
      <c r="L475" s="93"/>
    </row>
    <row r="476">
      <c r="D476" s="88"/>
      <c r="F476" s="89"/>
      <c r="I476" s="89"/>
      <c r="J476" s="8"/>
      <c r="L476" s="93"/>
    </row>
    <row r="477">
      <c r="D477" s="88"/>
      <c r="F477" s="89"/>
      <c r="I477" s="89"/>
      <c r="J477" s="8"/>
      <c r="L477" s="93"/>
    </row>
    <row r="478">
      <c r="D478" s="88"/>
      <c r="F478" s="89"/>
      <c r="I478" s="89"/>
      <c r="J478" s="8"/>
      <c r="L478" s="93"/>
    </row>
    <row r="479">
      <c r="D479" s="88"/>
      <c r="F479" s="89"/>
      <c r="I479" s="89"/>
      <c r="J479" s="8"/>
      <c r="L479" s="93"/>
    </row>
    <row r="480">
      <c r="D480" s="88"/>
      <c r="F480" s="89"/>
      <c r="I480" s="89"/>
      <c r="J480" s="8"/>
      <c r="L480" s="93"/>
    </row>
    <row r="481">
      <c r="D481" s="88"/>
      <c r="F481" s="89"/>
      <c r="I481" s="89"/>
      <c r="J481" s="8"/>
      <c r="L481" s="93"/>
    </row>
    <row r="482">
      <c r="D482" s="88"/>
      <c r="F482" s="89"/>
      <c r="I482" s="89"/>
      <c r="J482" s="8"/>
      <c r="L482" s="93"/>
    </row>
    <row r="483">
      <c r="D483" s="88"/>
      <c r="F483" s="89"/>
      <c r="I483" s="89"/>
      <c r="J483" s="8"/>
      <c r="L483" s="93"/>
    </row>
    <row r="484">
      <c r="D484" s="88"/>
      <c r="F484" s="89"/>
      <c r="I484" s="89"/>
      <c r="J484" s="8"/>
      <c r="L484" s="93"/>
    </row>
    <row r="485">
      <c r="D485" s="88"/>
      <c r="F485" s="89"/>
      <c r="I485" s="89"/>
      <c r="J485" s="8"/>
      <c r="L485" s="93"/>
    </row>
    <row r="486">
      <c r="D486" s="88"/>
      <c r="F486" s="89"/>
      <c r="I486" s="89"/>
      <c r="J486" s="8"/>
      <c r="L486" s="93"/>
    </row>
    <row r="487">
      <c r="D487" s="88"/>
      <c r="F487" s="89"/>
      <c r="I487" s="89"/>
      <c r="J487" s="8"/>
      <c r="L487" s="93"/>
    </row>
    <row r="488">
      <c r="D488" s="88"/>
      <c r="F488" s="89"/>
      <c r="I488" s="89"/>
      <c r="J488" s="8"/>
      <c r="L488" s="93"/>
    </row>
    <row r="489">
      <c r="D489" s="88"/>
      <c r="F489" s="89"/>
      <c r="I489" s="89"/>
      <c r="J489" s="8"/>
      <c r="L489" s="93"/>
    </row>
    <row r="490">
      <c r="D490" s="88"/>
      <c r="F490" s="89"/>
      <c r="I490" s="89"/>
      <c r="J490" s="8"/>
      <c r="L490" s="93"/>
    </row>
    <row r="491">
      <c r="D491" s="88"/>
      <c r="F491" s="89"/>
      <c r="I491" s="89"/>
      <c r="J491" s="8"/>
      <c r="L491" s="93"/>
    </row>
    <row r="492">
      <c r="D492" s="88"/>
      <c r="F492" s="89"/>
      <c r="I492" s="89"/>
      <c r="J492" s="8"/>
      <c r="L492" s="93"/>
    </row>
    <row r="493">
      <c r="D493" s="88"/>
      <c r="F493" s="89"/>
      <c r="I493" s="89"/>
      <c r="J493" s="8"/>
      <c r="L493" s="93"/>
    </row>
    <row r="494">
      <c r="D494" s="88"/>
      <c r="F494" s="89"/>
      <c r="I494" s="89"/>
      <c r="J494" s="8"/>
      <c r="L494" s="93"/>
    </row>
    <row r="495">
      <c r="D495" s="88"/>
      <c r="F495" s="89"/>
      <c r="I495" s="89"/>
      <c r="J495" s="8"/>
      <c r="L495" s="93"/>
    </row>
    <row r="496">
      <c r="D496" s="88"/>
      <c r="F496" s="89"/>
      <c r="I496" s="89"/>
      <c r="J496" s="8"/>
      <c r="L496" s="93"/>
    </row>
    <row r="497">
      <c r="D497" s="88"/>
      <c r="F497" s="89"/>
      <c r="I497" s="89"/>
      <c r="J497" s="8"/>
      <c r="L497" s="93"/>
    </row>
    <row r="498">
      <c r="D498" s="88"/>
      <c r="F498" s="89"/>
      <c r="I498" s="89"/>
      <c r="J498" s="8"/>
      <c r="L498" s="93"/>
    </row>
    <row r="499">
      <c r="D499" s="88"/>
      <c r="F499" s="89"/>
      <c r="I499" s="89"/>
      <c r="J499" s="8"/>
      <c r="L499" s="93"/>
    </row>
    <row r="500">
      <c r="D500" s="88"/>
      <c r="F500" s="89"/>
      <c r="I500" s="89"/>
      <c r="J500" s="8"/>
      <c r="L500" s="93"/>
    </row>
    <row r="501">
      <c r="D501" s="88"/>
      <c r="F501" s="89"/>
      <c r="I501" s="89"/>
      <c r="J501" s="8"/>
      <c r="L501" s="93"/>
    </row>
    <row r="502">
      <c r="D502" s="88"/>
      <c r="F502" s="89"/>
      <c r="I502" s="89"/>
      <c r="J502" s="8"/>
      <c r="L502" s="93"/>
    </row>
    <row r="503">
      <c r="D503" s="88"/>
      <c r="F503" s="89"/>
      <c r="I503" s="89"/>
      <c r="J503" s="8"/>
      <c r="L503" s="93"/>
    </row>
    <row r="504">
      <c r="D504" s="88"/>
      <c r="F504" s="89"/>
      <c r="I504" s="89"/>
      <c r="J504" s="8"/>
      <c r="L504" s="93"/>
    </row>
    <row r="505">
      <c r="D505" s="88"/>
      <c r="F505" s="89"/>
      <c r="I505" s="89"/>
      <c r="J505" s="8"/>
      <c r="L505" s="93"/>
    </row>
    <row r="506">
      <c r="D506" s="88"/>
      <c r="F506" s="89"/>
      <c r="I506" s="89"/>
      <c r="J506" s="8"/>
      <c r="L506" s="93"/>
    </row>
    <row r="507">
      <c r="D507" s="88"/>
      <c r="F507" s="89"/>
      <c r="I507" s="89"/>
      <c r="J507" s="8"/>
      <c r="L507" s="93"/>
    </row>
    <row r="508">
      <c r="D508" s="88"/>
      <c r="F508" s="89"/>
      <c r="I508" s="89"/>
      <c r="J508" s="8"/>
      <c r="L508" s="93"/>
    </row>
    <row r="509">
      <c r="D509" s="88"/>
      <c r="F509" s="89"/>
      <c r="I509" s="89"/>
      <c r="J509" s="8"/>
      <c r="L509" s="93"/>
    </row>
    <row r="510">
      <c r="D510" s="88"/>
      <c r="F510" s="89"/>
      <c r="I510" s="89"/>
      <c r="J510" s="8"/>
      <c r="L510" s="93"/>
    </row>
    <row r="511">
      <c r="D511" s="88"/>
      <c r="F511" s="89"/>
      <c r="I511" s="89"/>
      <c r="J511" s="8"/>
      <c r="L511" s="93"/>
    </row>
    <row r="512">
      <c r="D512" s="88"/>
      <c r="F512" s="89"/>
      <c r="I512" s="89"/>
      <c r="J512" s="8"/>
      <c r="L512" s="93"/>
    </row>
    <row r="513">
      <c r="D513" s="88"/>
      <c r="F513" s="89"/>
      <c r="I513" s="89"/>
      <c r="J513" s="8"/>
      <c r="L513" s="93"/>
    </row>
    <row r="514">
      <c r="D514" s="88"/>
      <c r="F514" s="89"/>
      <c r="I514" s="89"/>
      <c r="J514" s="8"/>
      <c r="L514" s="93"/>
    </row>
    <row r="515">
      <c r="D515" s="88"/>
      <c r="F515" s="89"/>
      <c r="I515" s="89"/>
      <c r="J515" s="8"/>
      <c r="L515" s="93"/>
    </row>
    <row r="516">
      <c r="D516" s="88"/>
      <c r="F516" s="89"/>
      <c r="I516" s="89"/>
      <c r="J516" s="8"/>
      <c r="L516" s="93"/>
    </row>
    <row r="517">
      <c r="D517" s="88"/>
      <c r="F517" s="89"/>
      <c r="I517" s="89"/>
      <c r="J517" s="8"/>
      <c r="L517" s="93"/>
    </row>
    <row r="518">
      <c r="D518" s="88"/>
      <c r="F518" s="89"/>
      <c r="I518" s="89"/>
      <c r="J518" s="8"/>
      <c r="L518" s="93"/>
    </row>
    <row r="519">
      <c r="D519" s="88"/>
      <c r="F519" s="89"/>
      <c r="I519" s="89"/>
      <c r="J519" s="8"/>
      <c r="L519" s="93"/>
    </row>
    <row r="520">
      <c r="D520" s="88"/>
      <c r="F520" s="89"/>
      <c r="I520" s="89"/>
      <c r="J520" s="8"/>
      <c r="L520" s="93"/>
    </row>
    <row r="521">
      <c r="D521" s="88"/>
      <c r="F521" s="89"/>
      <c r="I521" s="89"/>
      <c r="J521" s="8"/>
      <c r="L521" s="93"/>
    </row>
    <row r="522">
      <c r="D522" s="88"/>
      <c r="F522" s="89"/>
      <c r="I522" s="89"/>
      <c r="J522" s="8"/>
      <c r="L522" s="93"/>
    </row>
    <row r="523">
      <c r="D523" s="88"/>
      <c r="F523" s="89"/>
      <c r="I523" s="89"/>
      <c r="J523" s="8"/>
      <c r="L523" s="93"/>
    </row>
    <row r="524">
      <c r="D524" s="88"/>
      <c r="F524" s="89"/>
      <c r="I524" s="89"/>
      <c r="J524" s="8"/>
      <c r="L524" s="93"/>
    </row>
    <row r="525">
      <c r="D525" s="88"/>
      <c r="F525" s="89"/>
      <c r="I525" s="89"/>
      <c r="J525" s="8"/>
      <c r="L525" s="93"/>
    </row>
    <row r="526">
      <c r="D526" s="88"/>
      <c r="F526" s="89"/>
      <c r="I526" s="89"/>
      <c r="J526" s="8"/>
      <c r="L526" s="93"/>
    </row>
    <row r="527">
      <c r="D527" s="88"/>
      <c r="F527" s="89"/>
      <c r="I527" s="89"/>
      <c r="J527" s="8"/>
      <c r="L527" s="93"/>
    </row>
    <row r="528">
      <c r="D528" s="88"/>
      <c r="F528" s="89"/>
      <c r="I528" s="89"/>
      <c r="J528" s="8"/>
      <c r="L528" s="93"/>
    </row>
    <row r="529">
      <c r="D529" s="88"/>
      <c r="F529" s="89"/>
      <c r="I529" s="89"/>
      <c r="J529" s="8"/>
      <c r="L529" s="93"/>
    </row>
    <row r="530">
      <c r="D530" s="88"/>
      <c r="F530" s="89"/>
      <c r="I530" s="89"/>
      <c r="J530" s="8"/>
      <c r="L530" s="93"/>
    </row>
    <row r="531">
      <c r="D531" s="88"/>
      <c r="F531" s="89"/>
      <c r="I531" s="89"/>
      <c r="J531" s="8"/>
      <c r="L531" s="93"/>
    </row>
    <row r="532">
      <c r="D532" s="88"/>
      <c r="F532" s="89"/>
      <c r="I532" s="89"/>
      <c r="J532" s="8"/>
      <c r="L532" s="93"/>
    </row>
    <row r="533">
      <c r="D533" s="88"/>
      <c r="F533" s="89"/>
      <c r="I533" s="89"/>
      <c r="J533" s="8"/>
      <c r="L533" s="93"/>
    </row>
    <row r="534">
      <c r="D534" s="88"/>
      <c r="F534" s="89"/>
      <c r="I534" s="89"/>
      <c r="J534" s="8"/>
      <c r="L534" s="93"/>
    </row>
    <row r="535">
      <c r="D535" s="88"/>
      <c r="F535" s="89"/>
      <c r="I535" s="89"/>
      <c r="J535" s="8"/>
      <c r="L535" s="93"/>
    </row>
    <row r="536">
      <c r="D536" s="88"/>
      <c r="F536" s="89"/>
      <c r="I536" s="89"/>
      <c r="J536" s="8"/>
      <c r="L536" s="93"/>
    </row>
    <row r="537">
      <c r="D537" s="88"/>
      <c r="F537" s="89"/>
      <c r="I537" s="89"/>
      <c r="J537" s="8"/>
      <c r="L537" s="93"/>
    </row>
    <row r="538">
      <c r="D538" s="88"/>
      <c r="F538" s="89"/>
      <c r="I538" s="89"/>
      <c r="J538" s="8"/>
      <c r="L538" s="93"/>
    </row>
    <row r="539">
      <c r="D539" s="88"/>
      <c r="F539" s="89"/>
      <c r="I539" s="89"/>
      <c r="J539" s="8"/>
      <c r="L539" s="93"/>
    </row>
    <row r="540">
      <c r="D540" s="88"/>
      <c r="F540" s="89"/>
      <c r="I540" s="89"/>
      <c r="J540" s="8"/>
      <c r="L540" s="93"/>
    </row>
    <row r="541">
      <c r="D541" s="88"/>
      <c r="F541" s="89"/>
      <c r="I541" s="89"/>
      <c r="J541" s="8"/>
      <c r="L541" s="93"/>
    </row>
    <row r="542">
      <c r="D542" s="88"/>
      <c r="F542" s="89"/>
      <c r="I542" s="89"/>
      <c r="J542" s="8"/>
      <c r="L542" s="93"/>
    </row>
    <row r="543">
      <c r="D543" s="88"/>
      <c r="F543" s="89"/>
      <c r="I543" s="89"/>
      <c r="J543" s="8"/>
      <c r="L543" s="93"/>
    </row>
    <row r="544">
      <c r="D544" s="88"/>
      <c r="F544" s="89"/>
      <c r="I544" s="89"/>
      <c r="J544" s="8"/>
      <c r="L544" s="93"/>
    </row>
    <row r="545">
      <c r="D545" s="88"/>
      <c r="F545" s="89"/>
      <c r="I545" s="89"/>
      <c r="J545" s="8"/>
      <c r="L545" s="93"/>
    </row>
    <row r="546">
      <c r="D546" s="88"/>
      <c r="F546" s="89"/>
      <c r="I546" s="89"/>
      <c r="J546" s="8"/>
      <c r="L546" s="93"/>
    </row>
    <row r="547">
      <c r="D547" s="88"/>
      <c r="F547" s="89"/>
      <c r="I547" s="89"/>
      <c r="J547" s="8"/>
      <c r="L547" s="93"/>
    </row>
    <row r="548">
      <c r="D548" s="88"/>
      <c r="F548" s="89"/>
      <c r="I548" s="89"/>
      <c r="J548" s="8"/>
      <c r="L548" s="93"/>
    </row>
    <row r="549">
      <c r="D549" s="88"/>
      <c r="F549" s="89"/>
      <c r="I549" s="89"/>
      <c r="J549" s="8"/>
      <c r="L549" s="93"/>
    </row>
    <row r="550">
      <c r="D550" s="88"/>
      <c r="F550" s="89"/>
      <c r="I550" s="89"/>
      <c r="J550" s="8"/>
      <c r="L550" s="93"/>
    </row>
    <row r="551">
      <c r="D551" s="88"/>
      <c r="F551" s="89"/>
      <c r="I551" s="89"/>
      <c r="J551" s="8"/>
      <c r="L551" s="93"/>
    </row>
    <row r="552">
      <c r="D552" s="88"/>
      <c r="F552" s="89"/>
      <c r="I552" s="89"/>
      <c r="J552" s="8"/>
      <c r="L552" s="93"/>
    </row>
    <row r="553">
      <c r="D553" s="88"/>
      <c r="F553" s="89"/>
      <c r="I553" s="89"/>
      <c r="J553" s="8"/>
      <c r="L553" s="93"/>
    </row>
    <row r="554">
      <c r="D554" s="88"/>
      <c r="F554" s="89"/>
      <c r="I554" s="89"/>
      <c r="J554" s="8"/>
      <c r="L554" s="93"/>
    </row>
    <row r="555">
      <c r="D555" s="88"/>
      <c r="F555" s="89"/>
      <c r="I555" s="89"/>
      <c r="J555" s="8"/>
      <c r="L555" s="93"/>
    </row>
    <row r="556">
      <c r="D556" s="88"/>
      <c r="F556" s="89"/>
      <c r="I556" s="89"/>
      <c r="J556" s="8"/>
      <c r="L556" s="93"/>
    </row>
    <row r="557">
      <c r="D557" s="88"/>
      <c r="F557" s="89"/>
      <c r="I557" s="89"/>
      <c r="J557" s="8"/>
      <c r="L557" s="93"/>
    </row>
    <row r="558">
      <c r="D558" s="88"/>
      <c r="F558" s="89"/>
      <c r="I558" s="89"/>
      <c r="J558" s="8"/>
      <c r="L558" s="93"/>
    </row>
    <row r="559">
      <c r="D559" s="88"/>
      <c r="F559" s="89"/>
      <c r="I559" s="89"/>
      <c r="J559" s="8"/>
      <c r="L559" s="93"/>
    </row>
    <row r="560">
      <c r="D560" s="88"/>
      <c r="F560" s="89"/>
      <c r="I560" s="89"/>
      <c r="J560" s="8"/>
      <c r="L560" s="93"/>
    </row>
    <row r="561">
      <c r="D561" s="88"/>
      <c r="F561" s="89"/>
      <c r="I561" s="89"/>
      <c r="J561" s="8"/>
      <c r="L561" s="93"/>
    </row>
    <row r="562">
      <c r="D562" s="88"/>
      <c r="F562" s="89"/>
      <c r="I562" s="89"/>
      <c r="J562" s="8"/>
      <c r="L562" s="93"/>
    </row>
    <row r="563">
      <c r="D563" s="88"/>
      <c r="F563" s="89"/>
      <c r="I563" s="89"/>
      <c r="J563" s="8"/>
      <c r="L563" s="93"/>
    </row>
    <row r="564">
      <c r="D564" s="88"/>
      <c r="F564" s="89"/>
      <c r="I564" s="89"/>
      <c r="J564" s="8"/>
      <c r="L564" s="93"/>
    </row>
    <row r="565">
      <c r="D565" s="88"/>
      <c r="F565" s="89"/>
      <c r="I565" s="89"/>
      <c r="J565" s="8"/>
      <c r="L565" s="93"/>
    </row>
    <row r="566">
      <c r="D566" s="88"/>
      <c r="F566" s="89"/>
      <c r="I566" s="89"/>
      <c r="J566" s="8"/>
      <c r="L566" s="93"/>
    </row>
    <row r="567">
      <c r="D567" s="88"/>
      <c r="F567" s="89"/>
      <c r="I567" s="89"/>
      <c r="J567" s="8"/>
      <c r="L567" s="93"/>
    </row>
    <row r="568">
      <c r="D568" s="88"/>
      <c r="F568" s="89"/>
      <c r="I568" s="89"/>
      <c r="J568" s="8"/>
      <c r="L568" s="93"/>
    </row>
    <row r="569">
      <c r="D569" s="88"/>
      <c r="F569" s="89"/>
      <c r="I569" s="89"/>
      <c r="J569" s="8"/>
      <c r="L569" s="93"/>
    </row>
    <row r="570">
      <c r="D570" s="88"/>
      <c r="F570" s="89"/>
      <c r="I570" s="89"/>
      <c r="J570" s="8"/>
      <c r="L570" s="93"/>
    </row>
    <row r="571">
      <c r="D571" s="88"/>
      <c r="F571" s="89"/>
      <c r="I571" s="89"/>
      <c r="J571" s="8"/>
      <c r="L571" s="93"/>
    </row>
    <row r="572">
      <c r="D572" s="88"/>
      <c r="F572" s="89"/>
      <c r="I572" s="89"/>
      <c r="J572" s="8"/>
      <c r="L572" s="93"/>
    </row>
    <row r="573">
      <c r="D573" s="88"/>
      <c r="F573" s="89"/>
      <c r="I573" s="89"/>
      <c r="J573" s="8"/>
      <c r="L573" s="93"/>
    </row>
    <row r="574">
      <c r="D574" s="88"/>
      <c r="F574" s="89"/>
      <c r="I574" s="89"/>
      <c r="J574" s="8"/>
      <c r="L574" s="93"/>
    </row>
    <row r="575">
      <c r="D575" s="88"/>
      <c r="F575" s="89"/>
      <c r="I575" s="89"/>
      <c r="J575" s="8"/>
      <c r="L575" s="93"/>
    </row>
    <row r="576">
      <c r="D576" s="88"/>
      <c r="F576" s="89"/>
      <c r="I576" s="89"/>
      <c r="J576" s="8"/>
      <c r="L576" s="93"/>
    </row>
    <row r="577">
      <c r="D577" s="88"/>
      <c r="F577" s="89"/>
      <c r="I577" s="89"/>
      <c r="J577" s="8"/>
      <c r="L577" s="93"/>
    </row>
    <row r="578">
      <c r="D578" s="88"/>
      <c r="F578" s="89"/>
      <c r="I578" s="89"/>
      <c r="J578" s="8"/>
      <c r="L578" s="93"/>
    </row>
    <row r="579">
      <c r="D579" s="88"/>
      <c r="F579" s="89"/>
      <c r="I579" s="89"/>
      <c r="J579" s="8"/>
      <c r="L579" s="93"/>
    </row>
    <row r="580">
      <c r="D580" s="88"/>
      <c r="F580" s="89"/>
      <c r="I580" s="89"/>
      <c r="J580" s="8"/>
      <c r="L580" s="93"/>
    </row>
    <row r="581">
      <c r="D581" s="88"/>
      <c r="F581" s="89"/>
      <c r="I581" s="89"/>
      <c r="J581" s="8"/>
      <c r="L581" s="93"/>
    </row>
    <row r="582">
      <c r="D582" s="88"/>
      <c r="F582" s="89"/>
      <c r="I582" s="89"/>
      <c r="J582" s="8"/>
      <c r="L582" s="93"/>
    </row>
    <row r="583">
      <c r="D583" s="88"/>
      <c r="F583" s="89"/>
      <c r="I583" s="89"/>
      <c r="J583" s="8"/>
      <c r="L583" s="93"/>
    </row>
    <row r="584">
      <c r="D584" s="88"/>
      <c r="F584" s="89"/>
      <c r="I584" s="89"/>
      <c r="J584" s="8"/>
      <c r="L584" s="93"/>
    </row>
    <row r="585">
      <c r="D585" s="88"/>
      <c r="F585" s="89"/>
      <c r="I585" s="89"/>
      <c r="J585" s="8"/>
      <c r="L585" s="93"/>
    </row>
    <row r="586">
      <c r="D586" s="88"/>
      <c r="F586" s="89"/>
      <c r="I586" s="89"/>
      <c r="J586" s="8"/>
      <c r="L586" s="93"/>
    </row>
    <row r="587">
      <c r="D587" s="88"/>
      <c r="F587" s="89"/>
      <c r="I587" s="89"/>
      <c r="J587" s="8"/>
      <c r="L587" s="93"/>
    </row>
    <row r="588">
      <c r="D588" s="88"/>
      <c r="F588" s="89"/>
      <c r="I588" s="89"/>
      <c r="J588" s="8"/>
      <c r="L588" s="93"/>
    </row>
    <row r="589">
      <c r="D589" s="88"/>
      <c r="F589" s="89"/>
      <c r="I589" s="89"/>
      <c r="J589" s="8"/>
      <c r="L589" s="93"/>
    </row>
    <row r="590">
      <c r="D590" s="88"/>
      <c r="F590" s="89"/>
      <c r="I590" s="89"/>
      <c r="J590" s="8"/>
      <c r="L590" s="93"/>
    </row>
    <row r="591">
      <c r="D591" s="88"/>
      <c r="F591" s="89"/>
      <c r="I591" s="89"/>
      <c r="J591" s="8"/>
      <c r="L591" s="93"/>
    </row>
    <row r="592">
      <c r="D592" s="88"/>
      <c r="F592" s="89"/>
      <c r="I592" s="89"/>
      <c r="J592" s="8"/>
      <c r="L592" s="93"/>
    </row>
    <row r="593">
      <c r="D593" s="88"/>
      <c r="F593" s="89"/>
      <c r="I593" s="89"/>
      <c r="J593" s="8"/>
      <c r="L593" s="93"/>
    </row>
    <row r="594">
      <c r="D594" s="88"/>
      <c r="F594" s="89"/>
      <c r="I594" s="89"/>
      <c r="J594" s="8"/>
      <c r="L594" s="93"/>
    </row>
    <row r="595">
      <c r="D595" s="88"/>
      <c r="F595" s="89"/>
      <c r="I595" s="89"/>
      <c r="J595" s="8"/>
      <c r="L595" s="93"/>
    </row>
    <row r="596">
      <c r="D596" s="88"/>
      <c r="F596" s="89"/>
      <c r="I596" s="89"/>
      <c r="J596" s="8"/>
      <c r="L596" s="93"/>
    </row>
    <row r="597">
      <c r="D597" s="88"/>
      <c r="F597" s="89"/>
      <c r="I597" s="89"/>
      <c r="J597" s="8"/>
      <c r="L597" s="93"/>
    </row>
    <row r="598">
      <c r="D598" s="88"/>
      <c r="F598" s="89"/>
      <c r="I598" s="89"/>
      <c r="J598" s="8"/>
      <c r="L598" s="93"/>
    </row>
    <row r="599">
      <c r="D599" s="88"/>
      <c r="F599" s="89"/>
      <c r="I599" s="89"/>
      <c r="J599" s="8"/>
      <c r="L599" s="93"/>
    </row>
    <row r="600">
      <c r="D600" s="88"/>
      <c r="F600" s="89"/>
      <c r="I600" s="89"/>
      <c r="J600" s="8"/>
      <c r="L600" s="93"/>
    </row>
    <row r="601">
      <c r="D601" s="88"/>
      <c r="F601" s="89"/>
      <c r="I601" s="89"/>
      <c r="J601" s="8"/>
      <c r="L601" s="93"/>
    </row>
    <row r="602">
      <c r="D602" s="88"/>
      <c r="F602" s="89"/>
      <c r="I602" s="89"/>
      <c r="J602" s="8"/>
      <c r="L602" s="93"/>
    </row>
    <row r="603">
      <c r="D603" s="88"/>
      <c r="F603" s="89"/>
      <c r="I603" s="89"/>
      <c r="J603" s="8"/>
      <c r="L603" s="93"/>
    </row>
    <row r="604">
      <c r="D604" s="88"/>
      <c r="F604" s="89"/>
      <c r="I604" s="89"/>
      <c r="J604" s="8"/>
      <c r="L604" s="93"/>
    </row>
    <row r="605">
      <c r="D605" s="88"/>
      <c r="F605" s="89"/>
      <c r="I605" s="89"/>
      <c r="J605" s="8"/>
      <c r="L605" s="93"/>
    </row>
    <row r="606">
      <c r="D606" s="88"/>
      <c r="F606" s="89"/>
      <c r="I606" s="89"/>
      <c r="J606" s="8"/>
      <c r="L606" s="93"/>
    </row>
    <row r="607">
      <c r="D607" s="88"/>
      <c r="F607" s="89"/>
      <c r="I607" s="89"/>
      <c r="J607" s="8"/>
      <c r="L607" s="93"/>
    </row>
    <row r="608">
      <c r="D608" s="88"/>
      <c r="F608" s="89"/>
      <c r="I608" s="89"/>
      <c r="J608" s="8"/>
      <c r="L608" s="93"/>
    </row>
    <row r="609">
      <c r="D609" s="88"/>
      <c r="F609" s="89"/>
      <c r="I609" s="89"/>
      <c r="J609" s="8"/>
      <c r="L609" s="93"/>
    </row>
    <row r="610">
      <c r="D610" s="88"/>
      <c r="F610" s="89"/>
      <c r="I610" s="89"/>
      <c r="J610" s="8"/>
      <c r="L610" s="93"/>
    </row>
    <row r="611">
      <c r="D611" s="88"/>
      <c r="F611" s="89"/>
      <c r="I611" s="89"/>
      <c r="J611" s="8"/>
      <c r="L611" s="93"/>
    </row>
    <row r="612">
      <c r="D612" s="88"/>
      <c r="F612" s="89"/>
      <c r="I612" s="89"/>
      <c r="J612" s="8"/>
      <c r="L612" s="93"/>
    </row>
    <row r="613">
      <c r="D613" s="88"/>
      <c r="F613" s="89"/>
      <c r="I613" s="89"/>
      <c r="J613" s="8"/>
      <c r="L613" s="93"/>
    </row>
    <row r="614">
      <c r="D614" s="88"/>
      <c r="F614" s="89"/>
      <c r="I614" s="89"/>
      <c r="J614" s="8"/>
      <c r="L614" s="93"/>
    </row>
    <row r="615">
      <c r="D615" s="88"/>
      <c r="F615" s="89"/>
      <c r="I615" s="89"/>
      <c r="J615" s="8"/>
      <c r="L615" s="93"/>
    </row>
    <row r="616">
      <c r="D616" s="88"/>
      <c r="F616" s="89"/>
      <c r="I616" s="89"/>
      <c r="J616" s="8"/>
      <c r="L616" s="93"/>
    </row>
    <row r="617">
      <c r="D617" s="88"/>
      <c r="F617" s="89"/>
      <c r="I617" s="89"/>
      <c r="J617" s="8"/>
      <c r="L617" s="93"/>
    </row>
    <row r="618">
      <c r="D618" s="88"/>
      <c r="F618" s="89"/>
      <c r="I618" s="89"/>
      <c r="J618" s="8"/>
      <c r="L618" s="93"/>
    </row>
    <row r="619">
      <c r="D619" s="88"/>
      <c r="F619" s="89"/>
      <c r="I619" s="89"/>
      <c r="J619" s="8"/>
      <c r="L619" s="93"/>
    </row>
    <row r="620">
      <c r="D620" s="88"/>
      <c r="F620" s="89"/>
      <c r="I620" s="89"/>
      <c r="J620" s="8"/>
      <c r="L620" s="93"/>
    </row>
    <row r="621">
      <c r="D621" s="88"/>
      <c r="F621" s="89"/>
      <c r="I621" s="89"/>
      <c r="J621" s="8"/>
      <c r="L621" s="93"/>
    </row>
    <row r="622">
      <c r="D622" s="88"/>
      <c r="F622" s="89"/>
      <c r="I622" s="89"/>
      <c r="J622" s="8"/>
      <c r="L622" s="93"/>
    </row>
    <row r="623">
      <c r="D623" s="88"/>
      <c r="F623" s="89"/>
      <c r="I623" s="89"/>
      <c r="J623" s="8"/>
      <c r="L623" s="93"/>
    </row>
    <row r="624">
      <c r="D624" s="88"/>
      <c r="F624" s="89"/>
      <c r="I624" s="89"/>
      <c r="J624" s="8"/>
      <c r="L624" s="93"/>
    </row>
    <row r="625">
      <c r="D625" s="88"/>
      <c r="F625" s="89"/>
      <c r="I625" s="89"/>
      <c r="J625" s="8"/>
      <c r="L625" s="93"/>
    </row>
    <row r="626">
      <c r="D626" s="88"/>
      <c r="F626" s="89"/>
      <c r="I626" s="89"/>
      <c r="J626" s="8"/>
      <c r="L626" s="93"/>
    </row>
    <row r="627">
      <c r="D627" s="88"/>
      <c r="F627" s="89"/>
      <c r="I627" s="89"/>
      <c r="J627" s="8"/>
      <c r="L627" s="93"/>
    </row>
    <row r="628">
      <c r="D628" s="88"/>
      <c r="F628" s="89"/>
      <c r="I628" s="89"/>
      <c r="J628" s="8"/>
      <c r="L628" s="93"/>
    </row>
    <row r="629">
      <c r="D629" s="88"/>
      <c r="F629" s="89"/>
      <c r="I629" s="89"/>
      <c r="J629" s="8"/>
      <c r="L629" s="93"/>
    </row>
    <row r="630">
      <c r="D630" s="88"/>
      <c r="F630" s="89"/>
      <c r="I630" s="89"/>
      <c r="J630" s="8"/>
      <c r="L630" s="93"/>
    </row>
    <row r="631">
      <c r="D631" s="88"/>
      <c r="F631" s="89"/>
      <c r="I631" s="89"/>
      <c r="J631" s="8"/>
      <c r="L631" s="93"/>
    </row>
    <row r="632">
      <c r="D632" s="88"/>
      <c r="F632" s="89"/>
      <c r="I632" s="89"/>
      <c r="J632" s="8"/>
      <c r="L632" s="93"/>
    </row>
    <row r="633">
      <c r="D633" s="88"/>
      <c r="F633" s="89"/>
      <c r="I633" s="89"/>
      <c r="J633" s="8"/>
      <c r="L633" s="93"/>
    </row>
    <row r="634">
      <c r="D634" s="88"/>
      <c r="F634" s="89"/>
      <c r="I634" s="89"/>
      <c r="J634" s="8"/>
      <c r="L634" s="93"/>
    </row>
    <row r="635">
      <c r="D635" s="88"/>
      <c r="F635" s="89"/>
      <c r="I635" s="89"/>
      <c r="J635" s="8"/>
      <c r="L635" s="93"/>
    </row>
    <row r="636">
      <c r="D636" s="88"/>
      <c r="F636" s="89"/>
      <c r="I636" s="89"/>
      <c r="J636" s="8"/>
      <c r="L636" s="93"/>
    </row>
    <row r="637">
      <c r="D637" s="88"/>
      <c r="F637" s="89"/>
      <c r="I637" s="89"/>
      <c r="J637" s="8"/>
      <c r="L637" s="93"/>
    </row>
    <row r="638">
      <c r="D638" s="88"/>
      <c r="F638" s="89"/>
      <c r="I638" s="89"/>
      <c r="J638" s="8"/>
      <c r="L638" s="93"/>
    </row>
    <row r="639">
      <c r="D639" s="88"/>
      <c r="F639" s="89"/>
      <c r="I639" s="89"/>
      <c r="J639" s="8"/>
      <c r="L639" s="93"/>
    </row>
    <row r="640">
      <c r="D640" s="88"/>
      <c r="F640" s="89"/>
      <c r="I640" s="89"/>
      <c r="J640" s="8"/>
      <c r="L640" s="93"/>
    </row>
    <row r="641">
      <c r="D641" s="88"/>
      <c r="F641" s="89"/>
      <c r="I641" s="89"/>
      <c r="J641" s="8"/>
      <c r="L641" s="93"/>
    </row>
    <row r="642">
      <c r="D642" s="88"/>
      <c r="F642" s="89"/>
      <c r="I642" s="89"/>
      <c r="J642" s="8"/>
      <c r="L642" s="93"/>
    </row>
    <row r="643">
      <c r="D643" s="88"/>
      <c r="F643" s="89"/>
      <c r="I643" s="89"/>
      <c r="J643" s="8"/>
      <c r="L643" s="93"/>
    </row>
    <row r="644">
      <c r="D644" s="88"/>
      <c r="F644" s="89"/>
      <c r="I644" s="89"/>
      <c r="J644" s="8"/>
      <c r="L644" s="93"/>
    </row>
    <row r="645">
      <c r="D645" s="88"/>
      <c r="F645" s="89"/>
      <c r="I645" s="89"/>
      <c r="J645" s="8"/>
      <c r="L645" s="93"/>
    </row>
    <row r="646">
      <c r="D646" s="88"/>
      <c r="F646" s="89"/>
      <c r="I646" s="89"/>
      <c r="J646" s="8"/>
      <c r="L646" s="93"/>
    </row>
    <row r="647">
      <c r="D647" s="88"/>
      <c r="F647" s="89"/>
      <c r="I647" s="89"/>
      <c r="J647" s="8"/>
      <c r="L647" s="93"/>
    </row>
    <row r="648">
      <c r="D648" s="88"/>
      <c r="F648" s="89"/>
      <c r="I648" s="89"/>
      <c r="J648" s="8"/>
      <c r="L648" s="93"/>
    </row>
    <row r="649">
      <c r="D649" s="88"/>
      <c r="F649" s="89"/>
      <c r="I649" s="89"/>
      <c r="J649" s="8"/>
      <c r="L649" s="93"/>
    </row>
    <row r="650">
      <c r="D650" s="88"/>
      <c r="F650" s="89"/>
      <c r="I650" s="89"/>
      <c r="J650" s="8"/>
      <c r="L650" s="93"/>
    </row>
    <row r="651">
      <c r="D651" s="88"/>
      <c r="F651" s="89"/>
      <c r="I651" s="89"/>
      <c r="J651" s="8"/>
      <c r="L651" s="93"/>
    </row>
    <row r="652">
      <c r="D652" s="88"/>
      <c r="F652" s="89"/>
      <c r="I652" s="89"/>
      <c r="J652" s="8"/>
      <c r="L652" s="93"/>
    </row>
    <row r="653">
      <c r="D653" s="88"/>
      <c r="F653" s="89"/>
      <c r="I653" s="89"/>
      <c r="J653" s="8"/>
      <c r="L653" s="93"/>
    </row>
    <row r="654">
      <c r="D654" s="88"/>
      <c r="F654" s="89"/>
      <c r="I654" s="89"/>
      <c r="J654" s="8"/>
      <c r="L654" s="93"/>
    </row>
    <row r="655">
      <c r="D655" s="88"/>
      <c r="F655" s="89"/>
      <c r="I655" s="89"/>
      <c r="J655" s="8"/>
      <c r="L655" s="93"/>
    </row>
    <row r="656">
      <c r="D656" s="88"/>
      <c r="F656" s="89"/>
      <c r="I656" s="89"/>
      <c r="J656" s="8"/>
      <c r="L656" s="93"/>
    </row>
    <row r="657">
      <c r="D657" s="88"/>
      <c r="F657" s="89"/>
      <c r="I657" s="89"/>
      <c r="J657" s="8"/>
      <c r="L657" s="93"/>
    </row>
    <row r="658">
      <c r="D658" s="88"/>
      <c r="F658" s="89"/>
      <c r="I658" s="89"/>
      <c r="J658" s="8"/>
      <c r="L658" s="93"/>
    </row>
    <row r="659">
      <c r="D659" s="88"/>
      <c r="F659" s="89"/>
      <c r="I659" s="89"/>
      <c r="J659" s="8"/>
      <c r="L659" s="93"/>
    </row>
    <row r="660">
      <c r="D660" s="88"/>
      <c r="F660" s="89"/>
      <c r="I660" s="89"/>
      <c r="J660" s="8"/>
      <c r="L660" s="93"/>
    </row>
    <row r="661">
      <c r="D661" s="88"/>
      <c r="F661" s="89"/>
      <c r="I661" s="89"/>
      <c r="J661" s="8"/>
      <c r="L661" s="93"/>
    </row>
    <row r="662">
      <c r="D662" s="88"/>
      <c r="F662" s="89"/>
      <c r="I662" s="89"/>
      <c r="J662" s="8"/>
      <c r="L662" s="93"/>
    </row>
    <row r="663">
      <c r="D663" s="88"/>
      <c r="F663" s="89"/>
      <c r="I663" s="89"/>
      <c r="J663" s="8"/>
      <c r="L663" s="93"/>
    </row>
    <row r="664">
      <c r="D664" s="88"/>
      <c r="F664" s="89"/>
      <c r="I664" s="89"/>
      <c r="J664" s="8"/>
      <c r="L664" s="93"/>
    </row>
    <row r="665">
      <c r="D665" s="88"/>
      <c r="F665" s="89"/>
      <c r="I665" s="89"/>
      <c r="J665" s="8"/>
      <c r="L665" s="93"/>
    </row>
    <row r="666">
      <c r="D666" s="88"/>
      <c r="F666" s="89"/>
      <c r="I666" s="89"/>
      <c r="J666" s="8"/>
      <c r="L666" s="93"/>
    </row>
    <row r="667">
      <c r="D667" s="88"/>
      <c r="F667" s="89"/>
      <c r="I667" s="89"/>
      <c r="J667" s="8"/>
      <c r="L667" s="93"/>
    </row>
    <row r="668">
      <c r="D668" s="88"/>
      <c r="F668" s="89"/>
      <c r="I668" s="89"/>
      <c r="J668" s="8"/>
      <c r="L668" s="93"/>
    </row>
    <row r="669">
      <c r="D669" s="88"/>
      <c r="F669" s="89"/>
      <c r="I669" s="89"/>
      <c r="J669" s="8"/>
      <c r="L669" s="93"/>
    </row>
    <row r="670">
      <c r="D670" s="88"/>
      <c r="F670" s="89"/>
      <c r="I670" s="89"/>
      <c r="J670" s="8"/>
      <c r="L670" s="93"/>
    </row>
    <row r="671">
      <c r="D671" s="88"/>
      <c r="F671" s="89"/>
      <c r="I671" s="89"/>
      <c r="J671" s="8"/>
      <c r="L671" s="93"/>
    </row>
    <row r="672">
      <c r="D672" s="88"/>
      <c r="F672" s="89"/>
      <c r="I672" s="89"/>
      <c r="J672" s="8"/>
      <c r="L672" s="93"/>
    </row>
    <row r="673">
      <c r="D673" s="88"/>
      <c r="F673" s="89"/>
      <c r="I673" s="89"/>
      <c r="J673" s="8"/>
      <c r="L673" s="93"/>
    </row>
    <row r="674">
      <c r="D674" s="88"/>
      <c r="F674" s="89"/>
      <c r="I674" s="89"/>
      <c r="J674" s="8"/>
      <c r="L674" s="93"/>
    </row>
    <row r="675">
      <c r="D675" s="88"/>
      <c r="F675" s="89"/>
      <c r="I675" s="89"/>
      <c r="J675" s="8"/>
      <c r="L675" s="93"/>
    </row>
    <row r="676">
      <c r="D676" s="88"/>
      <c r="F676" s="89"/>
      <c r="I676" s="89"/>
      <c r="J676" s="8"/>
      <c r="L676" s="93"/>
    </row>
    <row r="677">
      <c r="D677" s="88"/>
      <c r="F677" s="89"/>
      <c r="I677" s="89"/>
      <c r="J677" s="8"/>
      <c r="L677" s="93"/>
    </row>
    <row r="678">
      <c r="D678" s="88"/>
      <c r="F678" s="89"/>
      <c r="I678" s="89"/>
      <c r="J678" s="8"/>
      <c r="L678" s="93"/>
    </row>
    <row r="679">
      <c r="D679" s="88"/>
      <c r="F679" s="89"/>
      <c r="I679" s="89"/>
      <c r="J679" s="8"/>
      <c r="L679" s="93"/>
    </row>
    <row r="680">
      <c r="D680" s="88"/>
      <c r="F680" s="89"/>
      <c r="I680" s="89"/>
      <c r="J680" s="8"/>
      <c r="L680" s="93"/>
    </row>
    <row r="681">
      <c r="D681" s="88"/>
      <c r="F681" s="89"/>
      <c r="I681" s="89"/>
      <c r="J681" s="8"/>
      <c r="L681" s="93"/>
    </row>
    <row r="682">
      <c r="D682" s="88"/>
      <c r="F682" s="89"/>
      <c r="I682" s="89"/>
      <c r="J682" s="8"/>
      <c r="L682" s="93"/>
    </row>
    <row r="683">
      <c r="D683" s="88"/>
      <c r="F683" s="89"/>
      <c r="I683" s="89"/>
      <c r="J683" s="8"/>
      <c r="L683" s="93"/>
    </row>
    <row r="684">
      <c r="D684" s="88"/>
      <c r="F684" s="89"/>
      <c r="I684" s="89"/>
      <c r="J684" s="8"/>
      <c r="L684" s="93"/>
    </row>
    <row r="685">
      <c r="D685" s="88"/>
      <c r="F685" s="89"/>
      <c r="I685" s="89"/>
      <c r="J685" s="8"/>
      <c r="L685" s="93"/>
    </row>
    <row r="686">
      <c r="D686" s="88"/>
      <c r="F686" s="89"/>
      <c r="I686" s="89"/>
      <c r="J686" s="8"/>
      <c r="L686" s="93"/>
    </row>
    <row r="687">
      <c r="D687" s="88"/>
      <c r="F687" s="89"/>
      <c r="I687" s="89"/>
      <c r="J687" s="8"/>
      <c r="L687" s="93"/>
    </row>
    <row r="688">
      <c r="D688" s="88"/>
      <c r="F688" s="89"/>
      <c r="I688" s="89"/>
      <c r="J688" s="8"/>
      <c r="L688" s="93"/>
    </row>
    <row r="689">
      <c r="D689" s="88"/>
      <c r="F689" s="89"/>
      <c r="I689" s="89"/>
      <c r="J689" s="8"/>
      <c r="L689" s="93"/>
    </row>
    <row r="690">
      <c r="D690" s="88"/>
      <c r="F690" s="89"/>
      <c r="I690" s="89"/>
      <c r="J690" s="8"/>
      <c r="L690" s="93"/>
    </row>
    <row r="691">
      <c r="D691" s="88"/>
      <c r="F691" s="89"/>
      <c r="I691" s="89"/>
      <c r="J691" s="8"/>
      <c r="L691" s="93"/>
    </row>
    <row r="692">
      <c r="D692" s="88"/>
      <c r="F692" s="89"/>
      <c r="I692" s="89"/>
      <c r="J692" s="8"/>
      <c r="L692" s="93"/>
    </row>
    <row r="693">
      <c r="D693" s="88"/>
      <c r="F693" s="89"/>
      <c r="I693" s="89"/>
      <c r="J693" s="8"/>
      <c r="L693" s="93"/>
    </row>
    <row r="694">
      <c r="D694" s="88"/>
      <c r="F694" s="89"/>
      <c r="I694" s="89"/>
      <c r="J694" s="8"/>
      <c r="L694" s="93"/>
    </row>
    <row r="695">
      <c r="D695" s="88"/>
      <c r="F695" s="89"/>
      <c r="I695" s="89"/>
      <c r="J695" s="8"/>
      <c r="L695" s="93"/>
    </row>
    <row r="696">
      <c r="D696" s="88"/>
      <c r="F696" s="89"/>
      <c r="I696" s="89"/>
      <c r="J696" s="8"/>
      <c r="L696" s="93"/>
    </row>
    <row r="697">
      <c r="D697" s="88"/>
      <c r="F697" s="89"/>
      <c r="I697" s="89"/>
      <c r="J697" s="8"/>
      <c r="L697" s="93"/>
    </row>
    <row r="698">
      <c r="D698" s="88"/>
      <c r="F698" s="89"/>
      <c r="I698" s="89"/>
      <c r="J698" s="8"/>
      <c r="L698" s="93"/>
    </row>
    <row r="699">
      <c r="D699" s="88"/>
      <c r="F699" s="89"/>
      <c r="I699" s="89"/>
      <c r="J699" s="8"/>
      <c r="L699" s="93"/>
    </row>
    <row r="700">
      <c r="D700" s="88"/>
      <c r="F700" s="89"/>
      <c r="I700" s="89"/>
      <c r="J700" s="8"/>
      <c r="L700" s="93"/>
    </row>
    <row r="701">
      <c r="D701" s="88"/>
      <c r="F701" s="89"/>
      <c r="I701" s="89"/>
      <c r="J701" s="8"/>
      <c r="L701" s="93"/>
    </row>
    <row r="702">
      <c r="D702" s="88"/>
      <c r="F702" s="89"/>
      <c r="I702" s="89"/>
      <c r="J702" s="8"/>
      <c r="L702" s="93"/>
    </row>
    <row r="703">
      <c r="D703" s="88"/>
      <c r="F703" s="89"/>
      <c r="I703" s="89"/>
      <c r="J703" s="8"/>
      <c r="L703" s="93"/>
    </row>
    <row r="704">
      <c r="D704" s="88"/>
      <c r="F704" s="89"/>
      <c r="I704" s="89"/>
      <c r="J704" s="8"/>
      <c r="L704" s="93"/>
    </row>
    <row r="705">
      <c r="D705" s="88"/>
      <c r="F705" s="89"/>
      <c r="I705" s="89"/>
      <c r="J705" s="8"/>
      <c r="L705" s="93"/>
    </row>
    <row r="706">
      <c r="D706" s="88"/>
      <c r="F706" s="89"/>
      <c r="I706" s="89"/>
      <c r="J706" s="8"/>
      <c r="L706" s="93"/>
    </row>
    <row r="707">
      <c r="D707" s="88"/>
      <c r="F707" s="89"/>
      <c r="I707" s="89"/>
      <c r="J707" s="8"/>
      <c r="L707" s="93"/>
    </row>
    <row r="708">
      <c r="D708" s="88"/>
      <c r="F708" s="89"/>
      <c r="I708" s="89"/>
      <c r="J708" s="8"/>
      <c r="L708" s="93"/>
    </row>
    <row r="709">
      <c r="D709" s="88"/>
      <c r="F709" s="89"/>
      <c r="I709" s="89"/>
      <c r="J709" s="8"/>
      <c r="L709" s="93"/>
    </row>
    <row r="710">
      <c r="D710" s="88"/>
      <c r="F710" s="89"/>
      <c r="I710" s="89"/>
      <c r="J710" s="8"/>
      <c r="L710" s="93"/>
    </row>
    <row r="711">
      <c r="D711" s="88"/>
      <c r="F711" s="89"/>
      <c r="I711" s="89"/>
      <c r="J711" s="8"/>
      <c r="L711" s="93"/>
    </row>
    <row r="712">
      <c r="D712" s="88"/>
      <c r="F712" s="89"/>
      <c r="I712" s="89"/>
      <c r="J712" s="8"/>
      <c r="L712" s="93"/>
    </row>
    <row r="713">
      <c r="D713" s="88"/>
      <c r="F713" s="89"/>
      <c r="I713" s="89"/>
      <c r="J713" s="8"/>
      <c r="L713" s="93"/>
    </row>
    <row r="714">
      <c r="D714" s="88"/>
      <c r="F714" s="89"/>
      <c r="I714" s="89"/>
      <c r="J714" s="8"/>
      <c r="L714" s="93"/>
    </row>
    <row r="715">
      <c r="D715" s="88"/>
      <c r="F715" s="89"/>
      <c r="I715" s="89"/>
      <c r="J715" s="8"/>
      <c r="L715" s="93"/>
    </row>
    <row r="716">
      <c r="D716" s="88"/>
      <c r="F716" s="89"/>
      <c r="I716" s="89"/>
      <c r="J716" s="8"/>
      <c r="L716" s="93"/>
    </row>
    <row r="717">
      <c r="D717" s="88"/>
      <c r="F717" s="89"/>
      <c r="I717" s="89"/>
      <c r="J717" s="8"/>
      <c r="L717" s="93"/>
    </row>
    <row r="718">
      <c r="D718" s="88"/>
      <c r="F718" s="89"/>
      <c r="I718" s="89"/>
      <c r="J718" s="8"/>
      <c r="L718" s="93"/>
    </row>
    <row r="719">
      <c r="D719" s="88"/>
      <c r="F719" s="89"/>
      <c r="I719" s="89"/>
      <c r="J719" s="8"/>
      <c r="L719" s="93"/>
    </row>
    <row r="720">
      <c r="D720" s="88"/>
      <c r="F720" s="89"/>
      <c r="I720" s="89"/>
      <c r="J720" s="8"/>
      <c r="L720" s="93"/>
    </row>
    <row r="721">
      <c r="D721" s="88"/>
      <c r="F721" s="89"/>
      <c r="I721" s="89"/>
      <c r="J721" s="8"/>
      <c r="L721" s="93"/>
    </row>
    <row r="722">
      <c r="D722" s="88"/>
      <c r="F722" s="89"/>
      <c r="I722" s="89"/>
      <c r="J722" s="8"/>
      <c r="L722" s="93"/>
    </row>
    <row r="723">
      <c r="D723" s="88"/>
      <c r="F723" s="89"/>
      <c r="I723" s="89"/>
      <c r="J723" s="8"/>
      <c r="L723" s="93"/>
    </row>
    <row r="724">
      <c r="D724" s="88"/>
      <c r="F724" s="89"/>
      <c r="I724" s="89"/>
      <c r="J724" s="8"/>
      <c r="L724" s="93"/>
    </row>
    <row r="725">
      <c r="D725" s="88"/>
      <c r="F725" s="89"/>
      <c r="I725" s="89"/>
      <c r="J725" s="8"/>
      <c r="L725" s="93"/>
    </row>
    <row r="726">
      <c r="D726" s="88"/>
      <c r="F726" s="89"/>
      <c r="I726" s="89"/>
      <c r="J726" s="8"/>
      <c r="L726" s="93"/>
    </row>
    <row r="727">
      <c r="D727" s="88"/>
      <c r="F727" s="89"/>
      <c r="I727" s="89"/>
      <c r="J727" s="8"/>
      <c r="L727" s="93"/>
    </row>
    <row r="728">
      <c r="D728" s="88"/>
      <c r="F728" s="89"/>
      <c r="I728" s="89"/>
      <c r="J728" s="8"/>
      <c r="L728" s="93"/>
    </row>
    <row r="729">
      <c r="D729" s="88"/>
      <c r="F729" s="89"/>
      <c r="I729" s="89"/>
      <c r="J729" s="8"/>
      <c r="L729" s="93"/>
    </row>
    <row r="730">
      <c r="D730" s="88"/>
      <c r="F730" s="89"/>
      <c r="I730" s="89"/>
      <c r="J730" s="8"/>
      <c r="L730" s="93"/>
    </row>
    <row r="731">
      <c r="D731" s="88"/>
      <c r="F731" s="89"/>
      <c r="I731" s="89"/>
      <c r="J731" s="8"/>
      <c r="L731" s="93"/>
    </row>
    <row r="732">
      <c r="D732" s="88"/>
      <c r="F732" s="89"/>
      <c r="I732" s="89"/>
      <c r="J732" s="8"/>
      <c r="L732" s="93"/>
    </row>
    <row r="733">
      <c r="D733" s="88"/>
      <c r="F733" s="89"/>
      <c r="I733" s="89"/>
      <c r="J733" s="8"/>
      <c r="L733" s="93"/>
    </row>
    <row r="734">
      <c r="D734" s="88"/>
      <c r="F734" s="89"/>
      <c r="I734" s="89"/>
      <c r="J734" s="8"/>
      <c r="L734" s="93"/>
    </row>
    <row r="735">
      <c r="D735" s="88"/>
      <c r="F735" s="89"/>
      <c r="I735" s="89"/>
      <c r="J735" s="8"/>
      <c r="L735" s="93"/>
    </row>
    <row r="736">
      <c r="D736" s="88"/>
      <c r="F736" s="89"/>
      <c r="I736" s="89"/>
      <c r="J736" s="8"/>
      <c r="L736" s="93"/>
    </row>
    <row r="737">
      <c r="D737" s="88"/>
      <c r="F737" s="89"/>
      <c r="I737" s="89"/>
      <c r="J737" s="8"/>
      <c r="L737" s="93"/>
    </row>
    <row r="738">
      <c r="D738" s="88"/>
      <c r="F738" s="89"/>
      <c r="I738" s="89"/>
      <c r="J738" s="8"/>
      <c r="L738" s="93"/>
    </row>
    <row r="739">
      <c r="D739" s="88"/>
      <c r="F739" s="89"/>
      <c r="I739" s="89"/>
      <c r="J739" s="8"/>
      <c r="L739" s="93"/>
    </row>
    <row r="740">
      <c r="D740" s="88"/>
      <c r="F740" s="89"/>
      <c r="I740" s="89"/>
      <c r="J740" s="8"/>
      <c r="L740" s="93"/>
    </row>
    <row r="741">
      <c r="D741" s="88"/>
      <c r="F741" s="89"/>
      <c r="I741" s="89"/>
      <c r="J741" s="8"/>
      <c r="L741" s="93"/>
    </row>
    <row r="742">
      <c r="D742" s="88"/>
      <c r="F742" s="89"/>
      <c r="I742" s="89"/>
      <c r="J742" s="8"/>
      <c r="L742" s="93"/>
    </row>
    <row r="743">
      <c r="D743" s="88"/>
      <c r="F743" s="89"/>
      <c r="I743" s="89"/>
      <c r="J743" s="8"/>
      <c r="L743" s="93"/>
    </row>
    <row r="744">
      <c r="D744" s="88"/>
      <c r="F744" s="89"/>
      <c r="I744" s="89"/>
      <c r="J744" s="8"/>
      <c r="L744" s="93"/>
    </row>
    <row r="745">
      <c r="D745" s="88"/>
      <c r="F745" s="89"/>
      <c r="I745" s="89"/>
      <c r="J745" s="8"/>
      <c r="L745" s="93"/>
    </row>
    <row r="746">
      <c r="D746" s="88"/>
      <c r="F746" s="89"/>
      <c r="I746" s="89"/>
      <c r="J746" s="8"/>
      <c r="L746" s="93"/>
    </row>
    <row r="747">
      <c r="D747" s="88"/>
      <c r="F747" s="89"/>
      <c r="I747" s="89"/>
      <c r="J747" s="8"/>
      <c r="L747" s="93"/>
    </row>
    <row r="748">
      <c r="D748" s="88"/>
      <c r="F748" s="89"/>
      <c r="I748" s="89"/>
      <c r="J748" s="8"/>
      <c r="L748" s="93"/>
    </row>
    <row r="749">
      <c r="D749" s="88"/>
      <c r="F749" s="89"/>
      <c r="I749" s="89"/>
      <c r="J749" s="8"/>
      <c r="L749" s="93"/>
    </row>
    <row r="750">
      <c r="D750" s="88"/>
      <c r="F750" s="89"/>
      <c r="I750" s="89"/>
      <c r="J750" s="8"/>
      <c r="L750" s="93"/>
    </row>
    <row r="751">
      <c r="D751" s="88"/>
      <c r="F751" s="89"/>
      <c r="I751" s="89"/>
      <c r="J751" s="8"/>
      <c r="L751" s="93"/>
    </row>
    <row r="752">
      <c r="D752" s="88"/>
      <c r="F752" s="89"/>
      <c r="I752" s="89"/>
      <c r="J752" s="8"/>
      <c r="L752" s="93"/>
    </row>
    <row r="753">
      <c r="D753" s="88"/>
      <c r="F753" s="89"/>
      <c r="I753" s="89"/>
      <c r="J753" s="8"/>
      <c r="L753" s="93"/>
    </row>
    <row r="754">
      <c r="D754" s="88"/>
      <c r="F754" s="89"/>
      <c r="I754" s="89"/>
      <c r="J754" s="8"/>
      <c r="L754" s="93"/>
    </row>
    <row r="755">
      <c r="D755" s="88"/>
      <c r="F755" s="89"/>
      <c r="I755" s="89"/>
      <c r="J755" s="8"/>
      <c r="L755" s="93"/>
    </row>
    <row r="756">
      <c r="D756" s="88"/>
      <c r="F756" s="89"/>
      <c r="I756" s="89"/>
      <c r="J756" s="8"/>
      <c r="L756" s="93"/>
    </row>
    <row r="757">
      <c r="D757" s="88"/>
      <c r="F757" s="89"/>
      <c r="I757" s="89"/>
      <c r="J757" s="8"/>
      <c r="L757" s="93"/>
    </row>
    <row r="758">
      <c r="D758" s="88"/>
      <c r="F758" s="89"/>
      <c r="I758" s="89"/>
      <c r="J758" s="8"/>
      <c r="L758" s="93"/>
    </row>
    <row r="759">
      <c r="D759" s="88"/>
      <c r="F759" s="89"/>
      <c r="I759" s="89"/>
      <c r="J759" s="8"/>
      <c r="L759" s="93"/>
    </row>
    <row r="760">
      <c r="D760" s="88"/>
      <c r="F760" s="89"/>
      <c r="I760" s="89"/>
      <c r="J760" s="8"/>
      <c r="L760" s="93"/>
    </row>
    <row r="761">
      <c r="D761" s="88"/>
      <c r="F761" s="89"/>
      <c r="I761" s="89"/>
      <c r="J761" s="8"/>
      <c r="L761" s="93"/>
    </row>
    <row r="762">
      <c r="D762" s="88"/>
      <c r="F762" s="89"/>
      <c r="I762" s="89"/>
      <c r="J762" s="8"/>
      <c r="L762" s="93"/>
    </row>
    <row r="763">
      <c r="D763" s="88"/>
      <c r="F763" s="89"/>
      <c r="I763" s="89"/>
      <c r="J763" s="8"/>
      <c r="L763" s="93"/>
    </row>
    <row r="764">
      <c r="D764" s="88"/>
      <c r="F764" s="89"/>
      <c r="I764" s="89"/>
      <c r="J764" s="8"/>
      <c r="L764" s="93"/>
    </row>
    <row r="765">
      <c r="D765" s="88"/>
      <c r="F765" s="89"/>
      <c r="I765" s="89"/>
      <c r="J765" s="8"/>
      <c r="L765" s="93"/>
    </row>
    <row r="766">
      <c r="D766" s="88"/>
      <c r="F766" s="89"/>
      <c r="I766" s="89"/>
      <c r="J766" s="8"/>
      <c r="L766" s="93"/>
    </row>
    <row r="767">
      <c r="D767" s="88"/>
      <c r="F767" s="89"/>
      <c r="I767" s="89"/>
      <c r="J767" s="8"/>
      <c r="L767" s="93"/>
    </row>
    <row r="768">
      <c r="D768" s="88"/>
      <c r="F768" s="89"/>
      <c r="I768" s="89"/>
      <c r="J768" s="8"/>
      <c r="L768" s="93"/>
    </row>
    <row r="769">
      <c r="D769" s="88"/>
      <c r="F769" s="89"/>
      <c r="I769" s="89"/>
      <c r="J769" s="8"/>
      <c r="L769" s="93"/>
    </row>
    <row r="770">
      <c r="D770" s="88"/>
      <c r="F770" s="89"/>
      <c r="I770" s="89"/>
      <c r="J770" s="8"/>
      <c r="L770" s="93"/>
    </row>
    <row r="771">
      <c r="D771" s="88"/>
      <c r="F771" s="89"/>
      <c r="I771" s="89"/>
      <c r="J771" s="8"/>
      <c r="L771" s="93"/>
    </row>
    <row r="772">
      <c r="D772" s="88"/>
      <c r="F772" s="89"/>
      <c r="I772" s="89"/>
      <c r="J772" s="8"/>
      <c r="L772" s="93"/>
    </row>
    <row r="773">
      <c r="D773" s="88"/>
      <c r="F773" s="89"/>
      <c r="I773" s="89"/>
      <c r="J773" s="8"/>
      <c r="L773" s="93"/>
    </row>
    <row r="774">
      <c r="D774" s="88"/>
      <c r="F774" s="89"/>
      <c r="I774" s="89"/>
      <c r="J774" s="8"/>
      <c r="L774" s="93"/>
    </row>
    <row r="775">
      <c r="D775" s="88"/>
      <c r="F775" s="89"/>
      <c r="I775" s="89"/>
      <c r="J775" s="8"/>
      <c r="L775" s="93"/>
    </row>
    <row r="776">
      <c r="D776" s="88"/>
      <c r="F776" s="89"/>
      <c r="I776" s="89"/>
      <c r="J776" s="8"/>
      <c r="L776" s="93"/>
    </row>
    <row r="777">
      <c r="D777" s="88"/>
      <c r="F777" s="89"/>
      <c r="I777" s="89"/>
      <c r="J777" s="8"/>
      <c r="L777" s="93"/>
    </row>
    <row r="778">
      <c r="D778" s="88"/>
      <c r="F778" s="89"/>
      <c r="I778" s="89"/>
      <c r="J778" s="8"/>
      <c r="L778" s="93"/>
    </row>
    <row r="779">
      <c r="D779" s="88"/>
      <c r="F779" s="89"/>
      <c r="I779" s="89"/>
      <c r="J779" s="8"/>
      <c r="L779" s="93"/>
    </row>
    <row r="780">
      <c r="D780" s="88"/>
      <c r="F780" s="89"/>
      <c r="I780" s="89"/>
      <c r="J780" s="8"/>
      <c r="L780" s="93"/>
    </row>
    <row r="781">
      <c r="D781" s="88"/>
      <c r="F781" s="89"/>
      <c r="I781" s="89"/>
      <c r="J781" s="8"/>
      <c r="L781" s="93"/>
    </row>
    <row r="782">
      <c r="D782" s="88"/>
      <c r="F782" s="89"/>
      <c r="I782" s="89"/>
      <c r="J782" s="8"/>
      <c r="L782" s="93"/>
    </row>
    <row r="783">
      <c r="D783" s="88"/>
      <c r="F783" s="89"/>
      <c r="I783" s="89"/>
      <c r="J783" s="8"/>
      <c r="L783" s="93"/>
    </row>
    <row r="784">
      <c r="D784" s="88"/>
      <c r="F784" s="89"/>
      <c r="I784" s="89"/>
      <c r="J784" s="8"/>
      <c r="L784" s="93"/>
    </row>
    <row r="785">
      <c r="D785" s="88"/>
      <c r="F785" s="89"/>
      <c r="I785" s="89"/>
      <c r="J785" s="8"/>
      <c r="L785" s="93"/>
    </row>
    <row r="786">
      <c r="D786" s="88"/>
      <c r="F786" s="89"/>
      <c r="I786" s="89"/>
      <c r="J786" s="8"/>
      <c r="L786" s="93"/>
    </row>
    <row r="787">
      <c r="D787" s="88"/>
      <c r="F787" s="89"/>
      <c r="I787" s="89"/>
      <c r="J787" s="8"/>
      <c r="L787" s="93"/>
    </row>
    <row r="788">
      <c r="D788" s="88"/>
      <c r="F788" s="89"/>
      <c r="I788" s="89"/>
      <c r="J788" s="8"/>
      <c r="L788" s="93"/>
    </row>
    <row r="789">
      <c r="D789" s="88"/>
      <c r="F789" s="89"/>
      <c r="I789" s="89"/>
      <c r="J789" s="8"/>
      <c r="L789" s="93"/>
    </row>
    <row r="790">
      <c r="D790" s="88"/>
      <c r="F790" s="89"/>
      <c r="I790" s="89"/>
      <c r="J790" s="8"/>
      <c r="L790" s="93"/>
    </row>
    <row r="791">
      <c r="D791" s="88"/>
      <c r="F791" s="89"/>
      <c r="I791" s="89"/>
      <c r="J791" s="8"/>
      <c r="L791" s="93"/>
    </row>
    <row r="792">
      <c r="D792" s="88"/>
      <c r="F792" s="89"/>
      <c r="I792" s="89"/>
      <c r="J792" s="8"/>
      <c r="L792" s="93"/>
    </row>
    <row r="793">
      <c r="D793" s="88"/>
      <c r="F793" s="89"/>
      <c r="I793" s="89"/>
      <c r="J793" s="8"/>
      <c r="L793" s="93"/>
    </row>
    <row r="794">
      <c r="D794" s="88"/>
      <c r="F794" s="89"/>
      <c r="I794" s="89"/>
      <c r="J794" s="8"/>
      <c r="L794" s="93"/>
    </row>
    <row r="795">
      <c r="D795" s="88"/>
      <c r="F795" s="89"/>
      <c r="I795" s="89"/>
      <c r="J795" s="8"/>
      <c r="L795" s="93"/>
    </row>
    <row r="796">
      <c r="D796" s="88"/>
      <c r="F796" s="89"/>
      <c r="I796" s="89"/>
      <c r="J796" s="8"/>
      <c r="L796" s="93"/>
    </row>
    <row r="797">
      <c r="D797" s="88"/>
      <c r="F797" s="89"/>
      <c r="I797" s="89"/>
      <c r="J797" s="8"/>
      <c r="L797" s="93"/>
    </row>
    <row r="798">
      <c r="D798" s="88"/>
      <c r="F798" s="89"/>
      <c r="I798" s="89"/>
      <c r="J798" s="8"/>
      <c r="L798" s="93"/>
    </row>
    <row r="799">
      <c r="D799" s="88"/>
      <c r="F799" s="89"/>
      <c r="I799" s="89"/>
      <c r="J799" s="8"/>
      <c r="L799" s="93"/>
    </row>
    <row r="800">
      <c r="D800" s="88"/>
      <c r="F800" s="89"/>
      <c r="I800" s="89"/>
      <c r="J800" s="8"/>
      <c r="L800" s="93"/>
    </row>
    <row r="801">
      <c r="D801" s="88"/>
      <c r="F801" s="89"/>
      <c r="I801" s="89"/>
      <c r="J801" s="8"/>
      <c r="L801" s="93"/>
    </row>
    <row r="802">
      <c r="D802" s="88"/>
      <c r="F802" s="89"/>
      <c r="I802" s="89"/>
      <c r="J802" s="8"/>
      <c r="L802" s="93"/>
    </row>
    <row r="803">
      <c r="D803" s="88"/>
      <c r="F803" s="89"/>
      <c r="I803" s="89"/>
      <c r="J803" s="8"/>
      <c r="L803" s="93"/>
    </row>
    <row r="804">
      <c r="D804" s="88"/>
      <c r="F804" s="89"/>
      <c r="I804" s="89"/>
      <c r="J804" s="8"/>
      <c r="L804" s="93"/>
    </row>
    <row r="805">
      <c r="D805" s="88"/>
      <c r="F805" s="89"/>
      <c r="I805" s="89"/>
      <c r="J805" s="8"/>
      <c r="L805" s="93"/>
    </row>
    <row r="806">
      <c r="D806" s="88"/>
      <c r="F806" s="89"/>
      <c r="I806" s="89"/>
      <c r="J806" s="8"/>
      <c r="L806" s="93"/>
    </row>
    <row r="807">
      <c r="D807" s="88"/>
      <c r="F807" s="89"/>
      <c r="I807" s="89"/>
      <c r="J807" s="8"/>
      <c r="L807" s="93"/>
    </row>
    <row r="808">
      <c r="D808" s="88"/>
      <c r="F808" s="89"/>
      <c r="I808" s="89"/>
      <c r="J808" s="8"/>
      <c r="L808" s="93"/>
    </row>
    <row r="809">
      <c r="D809" s="88"/>
      <c r="F809" s="89"/>
      <c r="I809" s="89"/>
      <c r="J809" s="8"/>
      <c r="L809" s="93"/>
    </row>
    <row r="810">
      <c r="D810" s="88"/>
      <c r="F810" s="89"/>
      <c r="I810" s="89"/>
      <c r="J810" s="8"/>
      <c r="L810" s="93"/>
    </row>
    <row r="811">
      <c r="D811" s="88"/>
      <c r="F811" s="89"/>
      <c r="I811" s="89"/>
      <c r="J811" s="8"/>
      <c r="L811" s="93"/>
    </row>
    <row r="812">
      <c r="D812" s="88"/>
      <c r="F812" s="89"/>
      <c r="I812" s="89"/>
      <c r="J812" s="8"/>
      <c r="L812" s="93"/>
    </row>
    <row r="813">
      <c r="D813" s="88"/>
      <c r="F813" s="89"/>
      <c r="I813" s="89"/>
      <c r="J813" s="8"/>
      <c r="L813" s="93"/>
    </row>
    <row r="814">
      <c r="D814" s="88"/>
      <c r="F814" s="89"/>
      <c r="I814" s="89"/>
      <c r="J814" s="8"/>
      <c r="L814" s="93"/>
    </row>
    <row r="815">
      <c r="D815" s="88"/>
      <c r="F815" s="89"/>
      <c r="I815" s="89"/>
      <c r="J815" s="8"/>
      <c r="L815" s="93"/>
    </row>
    <row r="816">
      <c r="D816" s="88"/>
      <c r="F816" s="89"/>
      <c r="I816" s="89"/>
      <c r="J816" s="8"/>
      <c r="L816" s="93"/>
    </row>
    <row r="817">
      <c r="D817" s="88"/>
      <c r="F817" s="89"/>
      <c r="I817" s="89"/>
      <c r="J817" s="8"/>
      <c r="L817" s="93"/>
    </row>
    <row r="818">
      <c r="D818" s="88"/>
      <c r="F818" s="89"/>
      <c r="I818" s="89"/>
      <c r="J818" s="8"/>
      <c r="L818" s="93"/>
    </row>
    <row r="819">
      <c r="D819" s="88"/>
      <c r="F819" s="89"/>
      <c r="I819" s="89"/>
      <c r="J819" s="8"/>
      <c r="L819" s="93"/>
    </row>
    <row r="820">
      <c r="D820" s="88"/>
      <c r="F820" s="89"/>
      <c r="I820" s="89"/>
      <c r="J820" s="8"/>
      <c r="L820" s="93"/>
    </row>
    <row r="821">
      <c r="D821" s="88"/>
      <c r="F821" s="89"/>
      <c r="I821" s="89"/>
      <c r="J821" s="8"/>
      <c r="L821" s="93"/>
    </row>
    <row r="822">
      <c r="D822" s="88"/>
      <c r="F822" s="89"/>
      <c r="I822" s="89"/>
      <c r="J822" s="8"/>
      <c r="L822" s="93"/>
    </row>
    <row r="823">
      <c r="D823" s="88"/>
      <c r="F823" s="89"/>
      <c r="I823" s="89"/>
      <c r="J823" s="8"/>
      <c r="L823" s="93"/>
    </row>
    <row r="824">
      <c r="D824" s="88"/>
      <c r="F824" s="89"/>
      <c r="I824" s="89"/>
      <c r="J824" s="8"/>
      <c r="L824" s="93"/>
    </row>
    <row r="825">
      <c r="D825" s="88"/>
      <c r="F825" s="89"/>
      <c r="I825" s="89"/>
      <c r="J825" s="8"/>
      <c r="L825" s="93"/>
    </row>
    <row r="826">
      <c r="D826" s="88"/>
      <c r="F826" s="89"/>
      <c r="I826" s="89"/>
      <c r="J826" s="8"/>
      <c r="L826" s="93"/>
    </row>
    <row r="827">
      <c r="D827" s="88"/>
      <c r="F827" s="89"/>
      <c r="I827" s="89"/>
      <c r="J827" s="8"/>
      <c r="L827" s="93"/>
    </row>
    <row r="828">
      <c r="D828" s="88"/>
      <c r="F828" s="89"/>
      <c r="I828" s="89"/>
      <c r="J828" s="8"/>
      <c r="L828" s="93"/>
    </row>
    <row r="829">
      <c r="D829" s="88"/>
      <c r="F829" s="89"/>
      <c r="I829" s="89"/>
      <c r="J829" s="8"/>
      <c r="L829" s="93"/>
    </row>
    <row r="830">
      <c r="D830" s="88"/>
      <c r="F830" s="89"/>
      <c r="I830" s="89"/>
      <c r="J830" s="8"/>
      <c r="L830" s="93"/>
    </row>
    <row r="831">
      <c r="D831" s="88"/>
      <c r="F831" s="89"/>
      <c r="I831" s="89"/>
      <c r="J831" s="8"/>
      <c r="L831" s="93"/>
    </row>
    <row r="832">
      <c r="D832" s="88"/>
      <c r="F832" s="89"/>
      <c r="I832" s="89"/>
      <c r="J832" s="8"/>
      <c r="L832" s="93"/>
    </row>
    <row r="833">
      <c r="D833" s="88"/>
      <c r="F833" s="89"/>
      <c r="I833" s="89"/>
      <c r="J833" s="8"/>
      <c r="L833" s="93"/>
    </row>
    <row r="834">
      <c r="D834" s="88"/>
      <c r="F834" s="89"/>
      <c r="I834" s="89"/>
      <c r="J834" s="8"/>
      <c r="L834" s="93"/>
    </row>
    <row r="835">
      <c r="D835" s="88"/>
      <c r="F835" s="89"/>
      <c r="I835" s="89"/>
      <c r="J835" s="8"/>
      <c r="L835" s="93"/>
    </row>
    <row r="836">
      <c r="D836" s="88"/>
      <c r="F836" s="89"/>
      <c r="I836" s="89"/>
      <c r="J836" s="8"/>
      <c r="L836" s="93"/>
    </row>
    <row r="837">
      <c r="D837" s="88"/>
      <c r="F837" s="89"/>
      <c r="I837" s="89"/>
      <c r="J837" s="8"/>
      <c r="L837" s="93"/>
    </row>
    <row r="838">
      <c r="D838" s="88"/>
      <c r="F838" s="89"/>
      <c r="I838" s="89"/>
      <c r="J838" s="8"/>
      <c r="L838" s="93"/>
    </row>
    <row r="839">
      <c r="D839" s="88"/>
      <c r="F839" s="89"/>
      <c r="I839" s="89"/>
      <c r="J839" s="8"/>
      <c r="L839" s="93"/>
    </row>
    <row r="840">
      <c r="D840" s="88"/>
      <c r="F840" s="89"/>
      <c r="I840" s="89"/>
      <c r="J840" s="8"/>
      <c r="L840" s="93"/>
    </row>
    <row r="841">
      <c r="D841" s="88"/>
      <c r="F841" s="89"/>
      <c r="I841" s="89"/>
      <c r="J841" s="8"/>
      <c r="L841" s="93"/>
    </row>
    <row r="842">
      <c r="D842" s="88"/>
      <c r="F842" s="89"/>
      <c r="I842" s="89"/>
      <c r="J842" s="8"/>
      <c r="L842" s="93"/>
    </row>
    <row r="843">
      <c r="D843" s="88"/>
      <c r="F843" s="89"/>
      <c r="I843" s="89"/>
      <c r="J843" s="8"/>
      <c r="L843" s="93"/>
    </row>
    <row r="844">
      <c r="D844" s="88"/>
      <c r="F844" s="89"/>
      <c r="I844" s="89"/>
      <c r="J844" s="8"/>
      <c r="L844" s="93"/>
    </row>
    <row r="845">
      <c r="D845" s="88"/>
      <c r="F845" s="89"/>
      <c r="I845" s="89"/>
      <c r="J845" s="8"/>
      <c r="L845" s="93"/>
    </row>
    <row r="846">
      <c r="D846" s="88"/>
      <c r="F846" s="89"/>
      <c r="I846" s="89"/>
      <c r="J846" s="8"/>
      <c r="L846" s="93"/>
    </row>
    <row r="847">
      <c r="D847" s="88"/>
      <c r="F847" s="89"/>
      <c r="I847" s="89"/>
      <c r="J847" s="8"/>
      <c r="L847" s="93"/>
    </row>
    <row r="848">
      <c r="D848" s="88"/>
      <c r="F848" s="89"/>
      <c r="I848" s="89"/>
      <c r="J848" s="8"/>
      <c r="L848" s="93"/>
    </row>
    <row r="849">
      <c r="D849" s="88"/>
      <c r="F849" s="89"/>
      <c r="I849" s="89"/>
      <c r="J849" s="8"/>
      <c r="L849" s="93"/>
    </row>
    <row r="850">
      <c r="D850" s="88"/>
      <c r="F850" s="89"/>
      <c r="I850" s="89"/>
      <c r="J850" s="8"/>
      <c r="L850" s="93"/>
    </row>
    <row r="851">
      <c r="D851" s="88"/>
      <c r="F851" s="89"/>
      <c r="I851" s="89"/>
      <c r="J851" s="8"/>
      <c r="L851" s="93"/>
    </row>
    <row r="852">
      <c r="D852" s="88"/>
      <c r="F852" s="89"/>
      <c r="I852" s="89"/>
      <c r="J852" s="8"/>
      <c r="L852" s="93"/>
    </row>
    <row r="853">
      <c r="D853" s="88"/>
      <c r="F853" s="89"/>
      <c r="I853" s="89"/>
      <c r="J853" s="8"/>
      <c r="L853" s="93"/>
    </row>
    <row r="854">
      <c r="D854" s="88"/>
      <c r="F854" s="89"/>
      <c r="I854" s="89"/>
      <c r="J854" s="8"/>
      <c r="L854" s="93"/>
    </row>
    <row r="855">
      <c r="D855" s="88"/>
      <c r="F855" s="89"/>
      <c r="I855" s="89"/>
      <c r="J855" s="8"/>
      <c r="L855" s="93"/>
    </row>
    <row r="856">
      <c r="D856" s="88"/>
      <c r="F856" s="89"/>
      <c r="I856" s="89"/>
      <c r="J856" s="8"/>
      <c r="L856" s="93"/>
    </row>
    <row r="857">
      <c r="D857" s="88"/>
      <c r="F857" s="89"/>
      <c r="I857" s="89"/>
      <c r="J857" s="8"/>
      <c r="L857" s="93"/>
    </row>
    <row r="858">
      <c r="D858" s="88"/>
      <c r="F858" s="89"/>
      <c r="I858" s="89"/>
      <c r="J858" s="8"/>
      <c r="L858" s="93"/>
    </row>
    <row r="859">
      <c r="D859" s="88"/>
      <c r="F859" s="89"/>
      <c r="I859" s="89"/>
      <c r="J859" s="8"/>
      <c r="L859" s="93"/>
    </row>
    <row r="860">
      <c r="D860" s="88"/>
      <c r="F860" s="89"/>
      <c r="I860" s="89"/>
      <c r="J860" s="8"/>
      <c r="L860" s="93"/>
    </row>
    <row r="861">
      <c r="D861" s="88"/>
      <c r="F861" s="89"/>
      <c r="I861" s="89"/>
      <c r="J861" s="8"/>
      <c r="L861" s="93"/>
    </row>
    <row r="862">
      <c r="D862" s="88"/>
      <c r="F862" s="89"/>
      <c r="I862" s="89"/>
      <c r="J862" s="8"/>
      <c r="L862" s="93"/>
    </row>
    <row r="863">
      <c r="D863" s="88"/>
      <c r="F863" s="89"/>
      <c r="I863" s="89"/>
      <c r="J863" s="8"/>
      <c r="L863" s="93"/>
    </row>
    <row r="864">
      <c r="D864" s="88"/>
      <c r="F864" s="89"/>
      <c r="I864" s="89"/>
      <c r="J864" s="8"/>
      <c r="L864" s="93"/>
    </row>
    <row r="865">
      <c r="D865" s="88"/>
      <c r="F865" s="89"/>
      <c r="I865" s="89"/>
      <c r="J865" s="8"/>
      <c r="L865" s="93"/>
    </row>
    <row r="866">
      <c r="D866" s="88"/>
      <c r="F866" s="89"/>
      <c r="I866" s="89"/>
      <c r="J866" s="8"/>
      <c r="L866" s="93"/>
    </row>
    <row r="867">
      <c r="D867" s="88"/>
      <c r="F867" s="89"/>
      <c r="I867" s="89"/>
      <c r="J867" s="8"/>
      <c r="L867" s="93"/>
    </row>
    <row r="868">
      <c r="D868" s="88"/>
      <c r="F868" s="89"/>
      <c r="I868" s="89"/>
      <c r="J868" s="8"/>
      <c r="L868" s="93"/>
    </row>
    <row r="869">
      <c r="D869" s="88"/>
      <c r="F869" s="89"/>
      <c r="I869" s="89"/>
      <c r="J869" s="8"/>
      <c r="L869" s="93"/>
    </row>
    <row r="870">
      <c r="D870" s="88"/>
      <c r="F870" s="89"/>
      <c r="I870" s="89"/>
      <c r="J870" s="8"/>
      <c r="L870" s="93"/>
    </row>
    <row r="871">
      <c r="D871" s="88"/>
      <c r="F871" s="89"/>
      <c r="I871" s="89"/>
      <c r="J871" s="8"/>
      <c r="L871" s="93"/>
    </row>
    <row r="872">
      <c r="D872" s="88"/>
      <c r="F872" s="89"/>
      <c r="I872" s="89"/>
      <c r="J872" s="8"/>
      <c r="L872" s="93"/>
    </row>
    <row r="873">
      <c r="D873" s="88"/>
      <c r="F873" s="89"/>
      <c r="I873" s="89"/>
      <c r="J873" s="8"/>
      <c r="L873" s="93"/>
    </row>
    <row r="874">
      <c r="D874" s="88"/>
      <c r="F874" s="89"/>
      <c r="I874" s="89"/>
      <c r="J874" s="8"/>
      <c r="L874" s="93"/>
    </row>
    <row r="875">
      <c r="D875" s="88"/>
      <c r="F875" s="89"/>
      <c r="I875" s="89"/>
      <c r="J875" s="8"/>
      <c r="L875" s="93"/>
    </row>
    <row r="876">
      <c r="D876" s="88"/>
      <c r="F876" s="89"/>
      <c r="I876" s="89"/>
      <c r="J876" s="8"/>
      <c r="L876" s="93"/>
    </row>
    <row r="877">
      <c r="D877" s="88"/>
      <c r="F877" s="89"/>
      <c r="I877" s="89"/>
      <c r="J877" s="8"/>
      <c r="L877" s="93"/>
    </row>
    <row r="878">
      <c r="D878" s="88"/>
      <c r="F878" s="89"/>
      <c r="I878" s="89"/>
      <c r="J878" s="8"/>
      <c r="L878" s="93"/>
    </row>
    <row r="879">
      <c r="D879" s="88"/>
      <c r="F879" s="89"/>
      <c r="I879" s="89"/>
      <c r="J879" s="8"/>
      <c r="L879" s="93"/>
    </row>
    <row r="880">
      <c r="D880" s="88"/>
      <c r="F880" s="89"/>
      <c r="I880" s="89"/>
      <c r="J880" s="8"/>
      <c r="L880" s="93"/>
    </row>
    <row r="881">
      <c r="D881" s="88"/>
      <c r="F881" s="89"/>
      <c r="I881" s="89"/>
      <c r="J881" s="8"/>
      <c r="L881" s="93"/>
    </row>
    <row r="882">
      <c r="D882" s="88"/>
      <c r="F882" s="89"/>
      <c r="I882" s="89"/>
      <c r="J882" s="8"/>
      <c r="L882" s="93"/>
    </row>
    <row r="883">
      <c r="D883" s="88"/>
      <c r="F883" s="89"/>
      <c r="I883" s="89"/>
      <c r="J883" s="8"/>
      <c r="L883" s="93"/>
    </row>
    <row r="884">
      <c r="D884" s="88"/>
      <c r="F884" s="89"/>
      <c r="I884" s="89"/>
      <c r="J884" s="8"/>
      <c r="L884" s="93"/>
    </row>
    <row r="885">
      <c r="D885" s="88"/>
      <c r="F885" s="89"/>
      <c r="I885" s="89"/>
      <c r="J885" s="8"/>
      <c r="L885" s="93"/>
    </row>
    <row r="886">
      <c r="D886" s="88"/>
      <c r="F886" s="89"/>
      <c r="I886" s="89"/>
      <c r="J886" s="8"/>
      <c r="L886" s="93"/>
    </row>
    <row r="887">
      <c r="D887" s="88"/>
      <c r="F887" s="89"/>
      <c r="I887" s="89"/>
      <c r="J887" s="8"/>
      <c r="L887" s="93"/>
    </row>
    <row r="888">
      <c r="D888" s="88"/>
      <c r="F888" s="89"/>
      <c r="I888" s="89"/>
      <c r="J888" s="8"/>
      <c r="L888" s="93"/>
    </row>
    <row r="889">
      <c r="D889" s="88"/>
      <c r="F889" s="89"/>
      <c r="I889" s="89"/>
      <c r="J889" s="8"/>
      <c r="L889" s="93"/>
    </row>
    <row r="890">
      <c r="D890" s="88"/>
      <c r="F890" s="89"/>
      <c r="I890" s="89"/>
      <c r="J890" s="8"/>
      <c r="L890" s="93"/>
    </row>
    <row r="891">
      <c r="D891" s="88"/>
      <c r="F891" s="89"/>
      <c r="I891" s="89"/>
      <c r="J891" s="8"/>
      <c r="L891" s="93"/>
    </row>
    <row r="892">
      <c r="D892" s="88"/>
      <c r="F892" s="89"/>
      <c r="I892" s="89"/>
      <c r="J892" s="8"/>
      <c r="L892" s="93"/>
    </row>
    <row r="893">
      <c r="D893" s="88"/>
      <c r="F893" s="89"/>
      <c r="I893" s="89"/>
      <c r="J893" s="8"/>
      <c r="L893" s="93"/>
    </row>
    <row r="894">
      <c r="D894" s="88"/>
      <c r="F894" s="89"/>
      <c r="I894" s="89"/>
      <c r="J894" s="8"/>
      <c r="L894" s="93"/>
    </row>
    <row r="895">
      <c r="D895" s="88"/>
      <c r="F895" s="89"/>
      <c r="I895" s="89"/>
      <c r="J895" s="8"/>
      <c r="L895" s="93"/>
    </row>
    <row r="896">
      <c r="D896" s="88"/>
      <c r="F896" s="89"/>
      <c r="I896" s="89"/>
      <c r="J896" s="8"/>
      <c r="L896" s="93"/>
    </row>
    <row r="897">
      <c r="D897" s="88"/>
      <c r="F897" s="89"/>
      <c r="I897" s="89"/>
      <c r="J897" s="8"/>
      <c r="L897" s="93"/>
    </row>
    <row r="898">
      <c r="D898" s="88"/>
      <c r="F898" s="89"/>
      <c r="I898" s="89"/>
      <c r="J898" s="8"/>
      <c r="L898" s="93"/>
    </row>
    <row r="899">
      <c r="D899" s="88"/>
      <c r="F899" s="89"/>
      <c r="I899" s="89"/>
      <c r="J899" s="8"/>
      <c r="L899" s="93"/>
    </row>
    <row r="900">
      <c r="D900" s="88"/>
      <c r="F900" s="89"/>
      <c r="I900" s="89"/>
      <c r="J900" s="8"/>
      <c r="L900" s="93"/>
    </row>
    <row r="901">
      <c r="D901" s="88"/>
      <c r="F901" s="89"/>
      <c r="I901" s="89"/>
      <c r="J901" s="8"/>
      <c r="L901" s="93"/>
    </row>
    <row r="902">
      <c r="D902" s="88"/>
      <c r="F902" s="89"/>
      <c r="I902" s="89"/>
      <c r="J902" s="8"/>
      <c r="L902" s="93"/>
    </row>
    <row r="903">
      <c r="D903" s="88"/>
      <c r="F903" s="89"/>
      <c r="I903" s="89"/>
      <c r="J903" s="8"/>
      <c r="L903" s="93"/>
    </row>
    <row r="904">
      <c r="D904" s="88"/>
      <c r="F904" s="89"/>
      <c r="I904" s="89"/>
      <c r="J904" s="8"/>
      <c r="L904" s="93"/>
    </row>
    <row r="905">
      <c r="D905" s="88"/>
      <c r="F905" s="89"/>
      <c r="I905" s="89"/>
      <c r="J905" s="8"/>
      <c r="L905" s="93"/>
    </row>
    <row r="906">
      <c r="D906" s="88"/>
      <c r="F906" s="89"/>
      <c r="I906" s="89"/>
      <c r="J906" s="8"/>
      <c r="L906" s="93"/>
    </row>
    <row r="907">
      <c r="D907" s="88"/>
      <c r="F907" s="89"/>
      <c r="I907" s="89"/>
      <c r="J907" s="8"/>
      <c r="L907" s="93"/>
    </row>
    <row r="908">
      <c r="D908" s="88"/>
      <c r="F908" s="89"/>
      <c r="I908" s="89"/>
      <c r="J908" s="8"/>
      <c r="L908" s="93"/>
    </row>
    <row r="909">
      <c r="D909" s="88"/>
      <c r="F909" s="89"/>
      <c r="I909" s="89"/>
      <c r="J909" s="8"/>
      <c r="L909" s="93"/>
    </row>
    <row r="910">
      <c r="D910" s="88"/>
      <c r="F910" s="89"/>
      <c r="I910" s="89"/>
      <c r="J910" s="8"/>
      <c r="L910" s="93"/>
    </row>
    <row r="911">
      <c r="D911" s="88"/>
      <c r="F911" s="89"/>
      <c r="I911" s="89"/>
      <c r="J911" s="8"/>
      <c r="L911" s="93"/>
    </row>
    <row r="912">
      <c r="D912" s="88"/>
      <c r="F912" s="89"/>
      <c r="I912" s="89"/>
      <c r="J912" s="8"/>
      <c r="L912" s="93"/>
    </row>
    <row r="913">
      <c r="D913" s="88"/>
      <c r="F913" s="89"/>
      <c r="I913" s="89"/>
      <c r="J913" s="8"/>
      <c r="L913" s="93"/>
    </row>
    <row r="914">
      <c r="D914" s="88"/>
      <c r="F914" s="89"/>
      <c r="I914" s="89"/>
      <c r="J914" s="8"/>
      <c r="L914" s="93"/>
    </row>
    <row r="915">
      <c r="D915" s="88"/>
      <c r="F915" s="89"/>
      <c r="I915" s="89"/>
      <c r="J915" s="8"/>
      <c r="L915" s="93"/>
    </row>
    <row r="916">
      <c r="D916" s="88"/>
      <c r="F916" s="89"/>
      <c r="I916" s="89"/>
      <c r="J916" s="8"/>
      <c r="L916" s="93"/>
    </row>
    <row r="917">
      <c r="D917" s="88"/>
      <c r="F917" s="89"/>
      <c r="I917" s="89"/>
      <c r="J917" s="8"/>
      <c r="L917" s="93"/>
    </row>
    <row r="918">
      <c r="D918" s="88"/>
      <c r="F918" s="89"/>
      <c r="I918" s="89"/>
      <c r="J918" s="8"/>
      <c r="L918" s="93"/>
    </row>
    <row r="919">
      <c r="D919" s="88"/>
      <c r="F919" s="89"/>
      <c r="I919" s="89"/>
      <c r="J919" s="8"/>
      <c r="L919" s="93"/>
    </row>
    <row r="920">
      <c r="D920" s="88"/>
      <c r="F920" s="89"/>
      <c r="I920" s="89"/>
      <c r="J920" s="8"/>
      <c r="L920" s="93"/>
    </row>
    <row r="921">
      <c r="D921" s="88"/>
      <c r="F921" s="89"/>
      <c r="I921" s="89"/>
      <c r="J921" s="8"/>
      <c r="L921" s="93"/>
    </row>
    <row r="922">
      <c r="D922" s="88"/>
      <c r="F922" s="89"/>
      <c r="I922" s="89"/>
      <c r="J922" s="8"/>
      <c r="L922" s="93"/>
    </row>
    <row r="923">
      <c r="D923" s="88"/>
      <c r="F923" s="89"/>
      <c r="I923" s="89"/>
      <c r="J923" s="8"/>
      <c r="L923" s="93"/>
    </row>
    <row r="924">
      <c r="D924" s="88"/>
      <c r="F924" s="89"/>
      <c r="I924" s="89"/>
      <c r="J924" s="8"/>
      <c r="L924" s="93"/>
    </row>
    <row r="925">
      <c r="D925" s="88"/>
      <c r="F925" s="89"/>
      <c r="I925" s="89"/>
      <c r="J925" s="8"/>
      <c r="L925" s="93"/>
    </row>
    <row r="926">
      <c r="D926" s="88"/>
      <c r="F926" s="89"/>
      <c r="I926" s="89"/>
      <c r="J926" s="8"/>
      <c r="L926" s="93"/>
    </row>
    <row r="927">
      <c r="D927" s="88"/>
      <c r="F927" s="89"/>
      <c r="I927" s="89"/>
      <c r="J927" s="8"/>
      <c r="L927" s="93"/>
    </row>
    <row r="928">
      <c r="D928" s="88"/>
      <c r="F928" s="89"/>
      <c r="I928" s="89"/>
      <c r="J928" s="8"/>
      <c r="L928" s="93"/>
    </row>
    <row r="929">
      <c r="D929" s="88"/>
      <c r="F929" s="89"/>
      <c r="I929" s="89"/>
      <c r="J929" s="8"/>
      <c r="L929" s="93"/>
    </row>
    <row r="930">
      <c r="D930" s="88"/>
      <c r="F930" s="89"/>
      <c r="I930" s="89"/>
      <c r="J930" s="8"/>
      <c r="L930" s="93"/>
    </row>
    <row r="931">
      <c r="D931" s="88"/>
      <c r="F931" s="89"/>
      <c r="I931" s="89"/>
      <c r="J931" s="8"/>
      <c r="L931" s="93"/>
    </row>
    <row r="932">
      <c r="D932" s="88"/>
      <c r="F932" s="89"/>
      <c r="I932" s="89"/>
      <c r="J932" s="8"/>
      <c r="L932" s="93"/>
    </row>
    <row r="933">
      <c r="D933" s="88"/>
      <c r="F933" s="89"/>
      <c r="I933" s="89"/>
      <c r="J933" s="8"/>
      <c r="L933" s="93"/>
    </row>
    <row r="934">
      <c r="D934" s="88"/>
      <c r="F934" s="89"/>
      <c r="I934" s="89"/>
      <c r="J934" s="8"/>
      <c r="L934" s="93"/>
    </row>
    <row r="935">
      <c r="D935" s="88"/>
      <c r="F935" s="89"/>
      <c r="I935" s="89"/>
      <c r="J935" s="8"/>
      <c r="L935" s="93"/>
    </row>
    <row r="936">
      <c r="D936" s="88"/>
      <c r="F936" s="89"/>
      <c r="I936" s="89"/>
      <c r="J936" s="8"/>
      <c r="L936" s="93"/>
    </row>
    <row r="937">
      <c r="D937" s="88"/>
      <c r="F937" s="89"/>
      <c r="I937" s="89"/>
      <c r="J937" s="8"/>
      <c r="L937" s="93"/>
    </row>
    <row r="938">
      <c r="D938" s="88"/>
      <c r="F938" s="89"/>
      <c r="I938" s="89"/>
      <c r="J938" s="8"/>
      <c r="L938" s="93"/>
    </row>
    <row r="939">
      <c r="D939" s="88"/>
      <c r="F939" s="89"/>
      <c r="I939" s="89"/>
      <c r="J939" s="8"/>
      <c r="L939" s="93"/>
    </row>
    <row r="940">
      <c r="D940" s="88"/>
      <c r="F940" s="89"/>
      <c r="I940" s="89"/>
      <c r="J940" s="8"/>
      <c r="L940" s="93"/>
    </row>
    <row r="941">
      <c r="D941" s="88"/>
      <c r="F941" s="89"/>
      <c r="I941" s="89"/>
      <c r="J941" s="8"/>
      <c r="L941" s="93"/>
    </row>
    <row r="942">
      <c r="D942" s="88"/>
      <c r="F942" s="89"/>
      <c r="I942" s="89"/>
      <c r="J942" s="8"/>
      <c r="L942" s="93"/>
    </row>
    <row r="943">
      <c r="D943" s="88"/>
      <c r="F943" s="89"/>
      <c r="I943" s="89"/>
      <c r="J943" s="8"/>
      <c r="L943" s="93"/>
    </row>
    <row r="944">
      <c r="D944" s="88"/>
      <c r="F944" s="89"/>
      <c r="I944" s="89"/>
      <c r="J944" s="8"/>
      <c r="L944" s="93"/>
    </row>
    <row r="945">
      <c r="D945" s="88"/>
      <c r="F945" s="89"/>
      <c r="I945" s="89"/>
      <c r="J945" s="8"/>
      <c r="L945" s="93"/>
    </row>
    <row r="946">
      <c r="D946" s="88"/>
      <c r="F946" s="89"/>
      <c r="I946" s="89"/>
      <c r="J946" s="8"/>
      <c r="L946" s="93"/>
    </row>
    <row r="947">
      <c r="D947" s="88"/>
      <c r="F947" s="89"/>
      <c r="I947" s="89"/>
      <c r="J947" s="8"/>
      <c r="L947" s="93"/>
    </row>
    <row r="948">
      <c r="D948" s="88"/>
      <c r="F948" s="89"/>
      <c r="I948" s="89"/>
      <c r="J948" s="8"/>
      <c r="L948" s="93"/>
    </row>
    <row r="949">
      <c r="D949" s="88"/>
      <c r="F949" s="89"/>
      <c r="I949" s="89"/>
      <c r="J949" s="8"/>
      <c r="L949" s="93"/>
    </row>
    <row r="950">
      <c r="D950" s="88"/>
      <c r="F950" s="89"/>
      <c r="I950" s="89"/>
      <c r="J950" s="8"/>
      <c r="L950" s="93"/>
    </row>
    <row r="951">
      <c r="D951" s="88"/>
      <c r="F951" s="89"/>
      <c r="I951" s="89"/>
      <c r="J951" s="8"/>
      <c r="L951" s="93"/>
    </row>
    <row r="952">
      <c r="D952" s="88"/>
      <c r="F952" s="89"/>
      <c r="I952" s="89"/>
      <c r="J952" s="8"/>
      <c r="L952" s="93"/>
    </row>
    <row r="953">
      <c r="D953" s="88"/>
      <c r="F953" s="89"/>
      <c r="I953" s="89"/>
      <c r="J953" s="8"/>
      <c r="L953" s="93"/>
    </row>
    <row r="954">
      <c r="D954" s="88"/>
      <c r="F954" s="89"/>
      <c r="I954" s="89"/>
      <c r="J954" s="8"/>
      <c r="L954" s="93"/>
    </row>
    <row r="955">
      <c r="D955" s="88"/>
      <c r="F955" s="89"/>
      <c r="I955" s="89"/>
      <c r="J955" s="8"/>
      <c r="L955" s="93"/>
    </row>
    <row r="956">
      <c r="D956" s="88"/>
      <c r="F956" s="89"/>
      <c r="I956" s="89"/>
      <c r="J956" s="8"/>
      <c r="L956" s="93"/>
    </row>
    <row r="957">
      <c r="D957" s="88"/>
      <c r="F957" s="89"/>
      <c r="I957" s="89"/>
      <c r="J957" s="8"/>
      <c r="L957" s="93"/>
    </row>
    <row r="958">
      <c r="D958" s="88"/>
      <c r="F958" s="89"/>
      <c r="I958" s="89"/>
      <c r="J958" s="8"/>
      <c r="L958" s="93"/>
    </row>
    <row r="959">
      <c r="D959" s="88"/>
      <c r="F959" s="89"/>
      <c r="I959" s="89"/>
      <c r="J959" s="8"/>
      <c r="L959" s="93"/>
    </row>
    <row r="960">
      <c r="D960" s="88"/>
      <c r="F960" s="89"/>
      <c r="I960" s="89"/>
      <c r="J960" s="8"/>
      <c r="L960" s="93"/>
    </row>
    <row r="961">
      <c r="D961" s="88"/>
      <c r="F961" s="89"/>
      <c r="I961" s="89"/>
      <c r="J961" s="8"/>
      <c r="L961" s="93"/>
    </row>
    <row r="962">
      <c r="D962" s="88"/>
      <c r="F962" s="89"/>
      <c r="I962" s="89"/>
      <c r="J962" s="8"/>
      <c r="L962" s="93"/>
    </row>
    <row r="963">
      <c r="D963" s="88"/>
      <c r="F963" s="89"/>
      <c r="I963" s="89"/>
      <c r="J963" s="8"/>
      <c r="L963" s="93"/>
    </row>
    <row r="964">
      <c r="D964" s="88"/>
      <c r="F964" s="89"/>
      <c r="I964" s="89"/>
      <c r="J964" s="8"/>
      <c r="L964" s="93"/>
    </row>
    <row r="965">
      <c r="D965" s="88"/>
      <c r="F965" s="89"/>
      <c r="I965" s="89"/>
      <c r="J965" s="8"/>
      <c r="L965" s="93"/>
    </row>
    <row r="966">
      <c r="D966" s="88"/>
      <c r="F966" s="89"/>
      <c r="I966" s="89"/>
      <c r="J966" s="8"/>
      <c r="L966" s="93"/>
    </row>
    <row r="967">
      <c r="D967" s="88"/>
      <c r="F967" s="89"/>
      <c r="I967" s="89"/>
      <c r="J967" s="8"/>
      <c r="L967" s="93"/>
    </row>
    <row r="968">
      <c r="D968" s="88"/>
      <c r="F968" s="89"/>
      <c r="I968" s="89"/>
      <c r="J968" s="8"/>
      <c r="L968" s="93"/>
    </row>
    <row r="969">
      <c r="D969" s="88"/>
      <c r="F969" s="89"/>
      <c r="I969" s="89"/>
      <c r="J969" s="8"/>
      <c r="L969" s="93"/>
    </row>
    <row r="970">
      <c r="D970" s="88"/>
      <c r="F970" s="89"/>
      <c r="I970" s="89"/>
      <c r="J970" s="8"/>
      <c r="L970" s="93"/>
    </row>
    <row r="971">
      <c r="D971" s="88"/>
      <c r="F971" s="89"/>
      <c r="I971" s="89"/>
      <c r="J971" s="8"/>
      <c r="L971" s="93"/>
    </row>
    <row r="972">
      <c r="D972" s="88"/>
      <c r="F972" s="89"/>
      <c r="I972" s="89"/>
      <c r="J972" s="8"/>
      <c r="L972" s="93"/>
    </row>
    <row r="973">
      <c r="D973" s="88"/>
      <c r="F973" s="89"/>
      <c r="I973" s="89"/>
      <c r="J973" s="8"/>
      <c r="L973" s="93"/>
    </row>
    <row r="974">
      <c r="D974" s="88"/>
      <c r="F974" s="89"/>
      <c r="I974" s="89"/>
      <c r="J974" s="8"/>
      <c r="L974" s="93"/>
    </row>
    <row r="975">
      <c r="D975" s="88"/>
      <c r="F975" s="89"/>
      <c r="I975" s="89"/>
      <c r="J975" s="8"/>
      <c r="L975" s="93"/>
    </row>
    <row r="976">
      <c r="D976" s="88"/>
      <c r="F976" s="89"/>
      <c r="I976" s="89"/>
      <c r="J976" s="8"/>
      <c r="L976" s="93"/>
    </row>
    <row r="977">
      <c r="D977" s="88"/>
      <c r="F977" s="89"/>
      <c r="I977" s="89"/>
      <c r="J977" s="8"/>
      <c r="L977" s="93"/>
    </row>
    <row r="978">
      <c r="D978" s="88"/>
      <c r="F978" s="89"/>
      <c r="I978" s="89"/>
      <c r="J978" s="8"/>
      <c r="L978" s="93"/>
    </row>
    <row r="979">
      <c r="D979" s="88"/>
      <c r="F979" s="89"/>
      <c r="I979" s="89"/>
      <c r="J979" s="8"/>
      <c r="L979" s="93"/>
    </row>
    <row r="980">
      <c r="D980" s="88"/>
      <c r="F980" s="89"/>
      <c r="I980" s="89"/>
      <c r="J980" s="8"/>
      <c r="L980" s="93"/>
    </row>
    <row r="981">
      <c r="D981" s="88"/>
      <c r="F981" s="89"/>
      <c r="I981" s="89"/>
      <c r="J981" s="8"/>
      <c r="L981" s="93"/>
    </row>
    <row r="982">
      <c r="D982" s="88"/>
      <c r="F982" s="89"/>
      <c r="I982" s="89"/>
      <c r="J982" s="8"/>
      <c r="L982" s="93"/>
    </row>
    <row r="983">
      <c r="D983" s="88"/>
      <c r="F983" s="89"/>
      <c r="I983" s="89"/>
      <c r="J983" s="8"/>
      <c r="L983" s="93"/>
    </row>
    <row r="984">
      <c r="D984" s="88"/>
      <c r="F984" s="89"/>
      <c r="I984" s="89"/>
      <c r="J984" s="8"/>
      <c r="L984" s="93"/>
    </row>
    <row r="985">
      <c r="D985" s="88"/>
      <c r="F985" s="89"/>
      <c r="I985" s="89"/>
      <c r="J985" s="8"/>
      <c r="L985" s="93"/>
    </row>
    <row r="986">
      <c r="D986" s="88"/>
      <c r="F986" s="89"/>
      <c r="I986" s="89"/>
      <c r="J986" s="8"/>
      <c r="L986" s="93"/>
    </row>
    <row r="987">
      <c r="D987" s="88"/>
      <c r="F987" s="89"/>
      <c r="I987" s="89"/>
      <c r="J987" s="8"/>
      <c r="L987" s="93"/>
    </row>
    <row r="988">
      <c r="D988" s="88"/>
      <c r="F988" s="89"/>
      <c r="I988" s="89"/>
      <c r="J988" s="8"/>
      <c r="L988" s="93"/>
    </row>
    <row r="989">
      <c r="D989" s="88"/>
      <c r="F989" s="89"/>
      <c r="I989" s="89"/>
      <c r="J989" s="8"/>
      <c r="L989" s="93"/>
    </row>
    <row r="990">
      <c r="D990" s="88"/>
      <c r="F990" s="89"/>
      <c r="I990" s="89"/>
      <c r="J990" s="8"/>
      <c r="L990" s="93"/>
    </row>
    <row r="991">
      <c r="D991" s="88"/>
      <c r="F991" s="89"/>
      <c r="I991" s="89"/>
      <c r="J991" s="8"/>
      <c r="L991" s="93"/>
    </row>
    <row r="992">
      <c r="D992" s="88"/>
      <c r="F992" s="89"/>
      <c r="I992" s="89"/>
      <c r="J992" s="8"/>
      <c r="L992" s="93"/>
    </row>
    <row r="993">
      <c r="D993" s="88"/>
      <c r="F993" s="89"/>
      <c r="I993" s="89"/>
      <c r="J993" s="8"/>
      <c r="L993" s="93"/>
    </row>
    <row r="994">
      <c r="D994" s="88"/>
      <c r="F994" s="89"/>
      <c r="I994" s="89"/>
      <c r="J994" s="8"/>
      <c r="L994" s="93"/>
    </row>
    <row r="995">
      <c r="D995" s="88"/>
      <c r="F995" s="89"/>
      <c r="I995" s="89"/>
      <c r="J995" s="8"/>
      <c r="L995" s="93"/>
    </row>
    <row r="996">
      <c r="D996" s="88"/>
      <c r="F996" s="89"/>
      <c r="I996" s="89"/>
      <c r="J996" s="8"/>
      <c r="L996" s="93"/>
    </row>
    <row r="997">
      <c r="D997" s="88"/>
      <c r="F997" s="89"/>
      <c r="I997" s="89"/>
      <c r="J997" s="8"/>
      <c r="L997" s="93"/>
    </row>
    <row r="998">
      <c r="D998" s="88"/>
      <c r="F998" s="89"/>
      <c r="I998" s="89"/>
      <c r="J998" s="8"/>
      <c r="L998" s="93"/>
    </row>
    <row r="999">
      <c r="D999" s="88"/>
      <c r="F999" s="89"/>
      <c r="I999" s="89"/>
      <c r="J999" s="8"/>
      <c r="L999" s="93"/>
    </row>
    <row r="1000">
      <c r="D1000" s="88"/>
      <c r="F1000" s="89"/>
      <c r="I1000" s="89"/>
      <c r="J1000" s="8"/>
      <c r="L1000" s="93"/>
    </row>
  </sheetData>
  <autoFilter ref="$A$2:$L$999">
    <sortState ref="A2:L999">
      <sortCondition ref="B2:B999"/>
    </sortState>
  </autoFilter>
  <mergeCells count="3">
    <mergeCell ref="D1:F1"/>
    <mergeCell ref="G1:I1"/>
    <mergeCell ref="A14:B21"/>
  </mergeCells>
  <conditionalFormatting sqref="J3:J12">
    <cfRule type="cellIs" dxfId="0" priority="1" operator="equal">
      <formula>"Si"</formula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5" max="5" width="20.75"/>
    <col customWidth="1" min="13" max="13" width="20.5"/>
    <col customWidth="1" min="16" max="16" width="15.13"/>
    <col customWidth="1" min="29" max="29" width="65.13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1" t="s">
        <v>17</v>
      </c>
      <c r="S1" s="5" t="s">
        <v>20</v>
      </c>
      <c r="T1" s="5" t="s">
        <v>18</v>
      </c>
      <c r="U1" s="5" t="s">
        <v>19</v>
      </c>
      <c r="V1" s="6" t="s">
        <v>21</v>
      </c>
      <c r="W1" s="1" t="s">
        <v>22</v>
      </c>
      <c r="X1" s="6" t="s">
        <v>23</v>
      </c>
      <c r="Y1" s="6" t="s">
        <v>24</v>
      </c>
      <c r="Z1" s="1" t="s">
        <v>25</v>
      </c>
      <c r="AA1" s="1" t="s">
        <v>26</v>
      </c>
      <c r="AB1" s="6" t="s">
        <v>27</v>
      </c>
      <c r="AC1" s="1" t="s">
        <v>28</v>
      </c>
      <c r="AD1" s="8"/>
      <c r="AE1" s="8"/>
      <c r="AF1" s="8"/>
      <c r="AG1" s="8"/>
      <c r="AH1" s="8"/>
    </row>
    <row r="2">
      <c r="A2" s="9">
        <v>55.0</v>
      </c>
      <c r="B2" s="10" t="s">
        <v>36</v>
      </c>
      <c r="C2" s="22">
        <v>45419.0</v>
      </c>
      <c r="D2" s="12">
        <v>2304.0</v>
      </c>
      <c r="E2" s="12"/>
      <c r="F2" s="14">
        <v>91.0</v>
      </c>
      <c r="G2" s="15">
        <v>30.0</v>
      </c>
      <c r="H2" s="16">
        <v>3.0</v>
      </c>
      <c r="I2" s="16" t="b">
        <v>1</v>
      </c>
      <c r="J2" s="15" t="s">
        <v>103</v>
      </c>
      <c r="K2" s="15" t="s">
        <v>31</v>
      </c>
      <c r="L2" s="15">
        <v>5.0</v>
      </c>
      <c r="M2" s="16" t="s">
        <v>104</v>
      </c>
      <c r="N2" s="16"/>
      <c r="O2" s="16"/>
      <c r="P2" s="34" t="s">
        <v>44</v>
      </c>
      <c r="Q2" s="18">
        <v>18.0</v>
      </c>
      <c r="R2" s="11">
        <v>45465.0</v>
      </c>
      <c r="S2" s="19">
        <v>341.17</v>
      </c>
      <c r="T2" s="19">
        <v>228.32</v>
      </c>
      <c r="U2" s="19">
        <f>T2*0.3</f>
        <v>68.496</v>
      </c>
      <c r="V2" s="9">
        <f>U2*'Data preparation'!$B$4/'Data preparation'!$B$3</f>
        <v>66.1176029</v>
      </c>
      <c r="W2" s="14" t="s">
        <v>105</v>
      </c>
      <c r="X2" s="20">
        <v>15.0684194244387</v>
      </c>
      <c r="Y2" s="20">
        <v>445.1980482158149</v>
      </c>
      <c r="Z2" s="15">
        <v>56.0</v>
      </c>
      <c r="AA2" s="20">
        <f t="shared" ref="AA2:AA9" si="1">Y2/Z2</f>
        <v>7.949965147</v>
      </c>
      <c r="AB2" s="20">
        <f>'Data preparation'!$B$2*AA2</f>
        <v>1.192494772</v>
      </c>
      <c r="AC2" s="25"/>
    </row>
    <row r="3">
      <c r="A3" s="9">
        <v>148.0</v>
      </c>
      <c r="B3" s="10" t="s">
        <v>49</v>
      </c>
      <c r="C3" s="22">
        <v>45418.0</v>
      </c>
      <c r="D3" s="12">
        <v>768.0</v>
      </c>
      <c r="E3" s="13"/>
      <c r="F3" s="14">
        <v>300.0</v>
      </c>
      <c r="G3" s="28">
        <v>30.0</v>
      </c>
      <c r="H3" s="96">
        <v>3.0</v>
      </c>
      <c r="I3" s="16" t="b">
        <v>0</v>
      </c>
      <c r="J3" s="28" t="s">
        <v>54</v>
      </c>
      <c r="K3" s="96"/>
      <c r="L3" s="15">
        <v>10.0</v>
      </c>
      <c r="M3" s="16" t="s">
        <v>106</v>
      </c>
      <c r="N3" s="15" t="s">
        <v>33</v>
      </c>
      <c r="O3" s="15" t="s">
        <v>38</v>
      </c>
      <c r="P3" s="7" t="s">
        <v>34</v>
      </c>
      <c r="Q3" s="18">
        <v>32.0</v>
      </c>
      <c r="R3" s="22">
        <v>45440.0</v>
      </c>
      <c r="S3" s="19">
        <v>47.49</v>
      </c>
      <c r="T3" s="19">
        <v>182.82</v>
      </c>
      <c r="U3" s="19">
        <v>46.72</v>
      </c>
      <c r="V3" s="9">
        <f>U3*'Data preparation'!$B$4/'Data preparation'!$B$3</f>
        <v>45.09773428</v>
      </c>
      <c r="W3" s="14" t="s">
        <v>35</v>
      </c>
      <c r="X3" s="20">
        <v>1.0888</v>
      </c>
      <c r="Y3" s="20">
        <v>119.43</v>
      </c>
      <c r="Z3" s="15">
        <v>91.0</v>
      </c>
      <c r="AA3" s="20">
        <f t="shared" si="1"/>
        <v>1.312417582</v>
      </c>
      <c r="AB3" s="20">
        <f>'Data preparation'!$B$2*AA3</f>
        <v>0.1968626374</v>
      </c>
      <c r="AC3" s="35"/>
    </row>
    <row r="4" ht="41.25" customHeight="1">
      <c r="A4" s="9">
        <v>167.0</v>
      </c>
      <c r="B4" s="10" t="s">
        <v>29</v>
      </c>
      <c r="C4" s="11">
        <v>45467.0</v>
      </c>
      <c r="D4" s="12">
        <v>768.0</v>
      </c>
      <c r="E4" s="13"/>
      <c r="F4" s="14">
        <v>27.0</v>
      </c>
      <c r="G4" s="15">
        <v>30.0</v>
      </c>
      <c r="H4" s="16">
        <v>3.0</v>
      </c>
      <c r="I4" s="16" t="b">
        <v>1</v>
      </c>
      <c r="J4" s="15" t="s">
        <v>30</v>
      </c>
      <c r="K4" s="15" t="s">
        <v>31</v>
      </c>
      <c r="L4" s="15">
        <v>3.0</v>
      </c>
      <c r="M4" s="16" t="s">
        <v>32</v>
      </c>
      <c r="N4" s="15" t="s">
        <v>33</v>
      </c>
      <c r="O4" s="15"/>
      <c r="P4" s="17" t="s">
        <v>34</v>
      </c>
      <c r="Q4" s="18">
        <v>20.0</v>
      </c>
      <c r="R4" s="11">
        <v>45494.0</v>
      </c>
      <c r="S4" s="19">
        <v>17.23</v>
      </c>
      <c r="T4" s="19">
        <v>3.59</v>
      </c>
      <c r="U4" s="19">
        <v>38.66</v>
      </c>
      <c r="V4" s="9">
        <f>U4*'Data preparation'!$B$4/'Data preparation'!$B$3</f>
        <v>37.3176029</v>
      </c>
      <c r="W4" s="14" t="s">
        <v>35</v>
      </c>
      <c r="X4" s="20">
        <v>0.0825</v>
      </c>
      <c r="Y4" s="20">
        <v>45.07</v>
      </c>
      <c r="Z4" s="15">
        <v>139.0</v>
      </c>
      <c r="AA4" s="20">
        <f t="shared" si="1"/>
        <v>0.3242446043</v>
      </c>
      <c r="AB4" s="20">
        <f>'Data preparation'!$B$2*AA4</f>
        <v>0.04863669065</v>
      </c>
      <c r="AC4" s="21" t="s">
        <v>107</v>
      </c>
    </row>
    <row r="5" ht="31.5" customHeight="1">
      <c r="A5" s="14">
        <v>48.0</v>
      </c>
      <c r="B5" s="10" t="s">
        <v>46</v>
      </c>
      <c r="C5" s="22">
        <v>45419.0</v>
      </c>
      <c r="D5" s="12">
        <v>1536.0</v>
      </c>
      <c r="E5" s="31"/>
      <c r="F5" s="14">
        <v>808.0</v>
      </c>
      <c r="G5" s="15">
        <v>60.0</v>
      </c>
      <c r="H5" s="16">
        <v>3.0</v>
      </c>
      <c r="I5" s="16" t="b">
        <v>1</v>
      </c>
      <c r="J5" s="16"/>
      <c r="K5" s="16" t="s">
        <v>31</v>
      </c>
      <c r="L5" s="15">
        <v>3.0</v>
      </c>
      <c r="M5" s="16" t="s">
        <v>47</v>
      </c>
      <c r="N5" s="15" t="s">
        <v>33</v>
      </c>
      <c r="O5" s="16" t="s">
        <v>38</v>
      </c>
      <c r="P5" s="17" t="s">
        <v>44</v>
      </c>
      <c r="Q5" s="18">
        <v>34.0</v>
      </c>
      <c r="R5" s="11">
        <v>45465.0</v>
      </c>
      <c r="S5" s="19">
        <v>12.73</v>
      </c>
      <c r="T5" s="19">
        <v>11.21</v>
      </c>
      <c r="U5" s="19">
        <v>16.21</v>
      </c>
      <c r="V5" s="9">
        <f>U5*'Data preparation'!$B$4/'Data preparation'!$B$3</f>
        <v>15.64713769</v>
      </c>
      <c r="W5" s="9" t="s">
        <v>35</v>
      </c>
      <c r="X5" s="20">
        <v>0.7596</v>
      </c>
      <c r="Y5" s="20">
        <v>526.32</v>
      </c>
      <c r="Z5" s="15">
        <v>119.0</v>
      </c>
      <c r="AA5" s="20">
        <f t="shared" si="1"/>
        <v>4.422857143</v>
      </c>
      <c r="AB5" s="20">
        <f>'Data preparation'!$B$2*AA5</f>
        <v>0.6634285714</v>
      </c>
      <c r="AC5" s="21" t="s">
        <v>48</v>
      </c>
      <c r="AG5" s="32"/>
    </row>
    <row r="6" ht="41.25" customHeight="1">
      <c r="A6" s="9">
        <v>77.0</v>
      </c>
      <c r="B6" s="10" t="s">
        <v>40</v>
      </c>
      <c r="C6" s="11">
        <v>45498.0</v>
      </c>
      <c r="D6" s="12">
        <v>1152.0</v>
      </c>
      <c r="E6" s="31" t="s">
        <v>41</v>
      </c>
      <c r="F6" s="14">
        <v>174.0</v>
      </c>
      <c r="G6" s="15">
        <v>30.0</v>
      </c>
      <c r="H6" s="15">
        <v>3.0</v>
      </c>
      <c r="I6" s="15" t="b">
        <v>1</v>
      </c>
      <c r="J6" s="15" t="s">
        <v>30</v>
      </c>
      <c r="K6" s="15" t="s">
        <v>108</v>
      </c>
      <c r="L6" s="15">
        <v>5.0</v>
      </c>
      <c r="M6" s="15" t="s">
        <v>43</v>
      </c>
      <c r="N6" s="16"/>
      <c r="O6" s="16" t="s">
        <v>38</v>
      </c>
      <c r="P6" s="34" t="s">
        <v>44</v>
      </c>
      <c r="Q6" s="18">
        <v>35.0</v>
      </c>
      <c r="R6" s="11">
        <v>45498.0</v>
      </c>
      <c r="S6" s="19">
        <v>15.41</v>
      </c>
      <c r="T6" s="19">
        <v>1.42</v>
      </c>
      <c r="U6" s="19">
        <v>15.41</v>
      </c>
      <c r="V6" s="9">
        <f>U6*'Data preparation'!$B$4/'Data preparation'!$B$3</f>
        <v>14.87491621</v>
      </c>
      <c r="W6" s="9" t="s">
        <v>35</v>
      </c>
      <c r="X6" s="29">
        <v>0.047</v>
      </c>
      <c r="Y6" s="20">
        <v>22.1969</v>
      </c>
      <c r="Z6" s="15">
        <v>100.0</v>
      </c>
      <c r="AA6" s="20">
        <f t="shared" si="1"/>
        <v>0.221969</v>
      </c>
      <c r="AB6" s="20">
        <f>'Data preparation'!$B$2*AA6</f>
        <v>0.03329535</v>
      </c>
      <c r="AC6" s="21"/>
      <c r="AG6" s="36"/>
    </row>
    <row r="7" ht="40.5" customHeight="1">
      <c r="A7" s="9">
        <v>59.0</v>
      </c>
      <c r="B7" s="10" t="s">
        <v>53</v>
      </c>
      <c r="C7" s="11">
        <v>45498.0</v>
      </c>
      <c r="D7" s="12">
        <v>1152.0</v>
      </c>
      <c r="E7" s="31" t="s">
        <v>41</v>
      </c>
      <c r="F7" s="14">
        <v>287.0</v>
      </c>
      <c r="G7" s="15">
        <v>30.0</v>
      </c>
      <c r="H7" s="15">
        <v>3.0</v>
      </c>
      <c r="I7" s="15" t="b">
        <v>1</v>
      </c>
      <c r="J7" s="16"/>
      <c r="K7" s="16"/>
      <c r="L7" s="16"/>
      <c r="M7" s="15" t="s">
        <v>109</v>
      </c>
      <c r="N7" s="15" t="s">
        <v>33</v>
      </c>
      <c r="O7" s="16"/>
      <c r="P7" s="17" t="s">
        <v>34</v>
      </c>
      <c r="Q7" s="18">
        <v>47.0</v>
      </c>
      <c r="R7" s="11">
        <v>45498.0</v>
      </c>
      <c r="S7" s="19">
        <v>6.51</v>
      </c>
      <c r="T7" s="19">
        <v>21.87</v>
      </c>
      <c r="U7" s="19">
        <v>8.63</v>
      </c>
      <c r="V7" s="9">
        <f>U7*'Data preparation'!$B$4/'Data preparation'!$B$3</f>
        <v>8.330339188</v>
      </c>
      <c r="W7" s="14" t="s">
        <v>105</v>
      </c>
      <c r="X7" s="29">
        <v>0.3172</v>
      </c>
      <c r="Y7" s="20">
        <v>16.6877</v>
      </c>
      <c r="Z7" s="15">
        <v>120.0</v>
      </c>
      <c r="AA7" s="20">
        <f t="shared" si="1"/>
        <v>0.1390641667</v>
      </c>
      <c r="AB7" s="20">
        <f>'Data preparation'!$B$2*AA7</f>
        <v>0.020859625</v>
      </c>
      <c r="AC7" s="21"/>
      <c r="AG7" s="36"/>
    </row>
    <row r="8" ht="39.0" customHeight="1">
      <c r="A8" s="9">
        <v>6.0</v>
      </c>
      <c r="B8" s="10" t="s">
        <v>56</v>
      </c>
      <c r="C8" s="22">
        <v>45419.0</v>
      </c>
      <c r="D8" s="12">
        <v>2304.0</v>
      </c>
      <c r="E8" s="13"/>
      <c r="F8" s="14">
        <v>779.0</v>
      </c>
      <c r="G8" s="16">
        <v>30.0</v>
      </c>
      <c r="H8" s="16">
        <v>3.0</v>
      </c>
      <c r="I8" s="16" t="b">
        <v>0</v>
      </c>
      <c r="J8" s="16"/>
      <c r="K8" s="15" t="s">
        <v>31</v>
      </c>
      <c r="L8" s="15">
        <v>10.0</v>
      </c>
      <c r="M8" s="15" t="s">
        <v>57</v>
      </c>
      <c r="N8" s="16" t="s">
        <v>33</v>
      </c>
      <c r="O8" s="16" t="s">
        <v>38</v>
      </c>
      <c r="P8" s="34" t="s">
        <v>34</v>
      </c>
      <c r="Q8" s="18">
        <v>21.0</v>
      </c>
      <c r="R8" s="11">
        <v>45488.0</v>
      </c>
      <c r="S8" s="19">
        <v>8.402</v>
      </c>
      <c r="T8" s="19">
        <v>3.56</v>
      </c>
      <c r="U8" s="19">
        <v>8.4</v>
      </c>
      <c r="V8" s="9">
        <f>U8*'Data preparation'!$B$4/'Data preparation'!$B$3</f>
        <v>8.108325513</v>
      </c>
      <c r="W8" s="9" t="s">
        <v>35</v>
      </c>
      <c r="X8" s="29">
        <v>-6.0E-4</v>
      </c>
      <c r="Y8" s="20">
        <v>8.39</v>
      </c>
      <c r="Z8" s="15">
        <v>92.0</v>
      </c>
      <c r="AA8" s="20">
        <f t="shared" si="1"/>
        <v>0.09119565217</v>
      </c>
      <c r="AB8" s="20">
        <f>'Data preparation'!$B$2*AA8</f>
        <v>0.01367934783</v>
      </c>
      <c r="AC8" s="21"/>
      <c r="AG8" s="36"/>
    </row>
    <row r="9" ht="40.5" customHeight="1">
      <c r="A9" s="9">
        <v>77.0</v>
      </c>
      <c r="B9" s="10" t="s">
        <v>40</v>
      </c>
      <c r="C9" s="22">
        <v>45418.0</v>
      </c>
      <c r="D9" s="12">
        <v>768.0</v>
      </c>
      <c r="E9" s="31"/>
      <c r="F9" s="14">
        <v>358.0</v>
      </c>
      <c r="G9" s="15">
        <v>30.0</v>
      </c>
      <c r="H9" s="15">
        <v>3.0</v>
      </c>
      <c r="I9" s="15" t="b">
        <v>0</v>
      </c>
      <c r="J9" s="15" t="s">
        <v>110</v>
      </c>
      <c r="K9" s="15"/>
      <c r="L9" s="15"/>
      <c r="M9" s="15" t="s">
        <v>111</v>
      </c>
      <c r="N9" s="16"/>
      <c r="O9" s="15" t="s">
        <v>38</v>
      </c>
      <c r="P9" s="34" t="s">
        <v>34</v>
      </c>
      <c r="Q9" s="18">
        <v>36.0</v>
      </c>
      <c r="R9" s="11">
        <v>45446.0</v>
      </c>
      <c r="S9" s="67">
        <v>31.38</v>
      </c>
      <c r="T9" s="67">
        <v>17.31</v>
      </c>
      <c r="U9" s="68">
        <f>S9</f>
        <v>31.38</v>
      </c>
      <c r="V9" s="9">
        <f>U9*'Data preparation'!$B$4/'Data preparation'!$B$3</f>
        <v>30.29038745</v>
      </c>
      <c r="W9" s="14">
        <v>-0.15</v>
      </c>
      <c r="X9" s="29">
        <v>0.0598</v>
      </c>
      <c r="Y9" s="20">
        <v>60.54</v>
      </c>
      <c r="Z9" s="15">
        <v>81.0</v>
      </c>
      <c r="AA9" s="20">
        <f t="shared" si="1"/>
        <v>0.7474074074</v>
      </c>
      <c r="AB9" s="20">
        <f>'Data preparation'!$B$2*AA9</f>
        <v>0.1121111111</v>
      </c>
      <c r="AC9" s="21"/>
      <c r="AG9" s="36"/>
    </row>
    <row r="10">
      <c r="C10" s="97"/>
      <c r="D10" s="97"/>
      <c r="E10" s="97"/>
      <c r="F10" s="97"/>
      <c r="H10" s="98"/>
      <c r="AB10" s="99"/>
      <c r="AG10" s="36"/>
    </row>
    <row r="11">
      <c r="C11" s="97"/>
      <c r="D11" s="97"/>
      <c r="E11" s="97"/>
      <c r="F11" s="97"/>
      <c r="R11" s="100"/>
      <c r="S11" s="42"/>
      <c r="T11" s="42"/>
      <c r="U11" s="42"/>
      <c r="V11" s="42"/>
      <c r="AG11" s="36"/>
    </row>
    <row r="12">
      <c r="C12" s="97"/>
      <c r="D12" s="97"/>
      <c r="E12" s="97"/>
      <c r="F12" s="97"/>
      <c r="S12" s="32"/>
      <c r="T12" s="90"/>
      <c r="U12" s="90"/>
      <c r="AG12" s="36"/>
    </row>
    <row r="13">
      <c r="C13" s="97"/>
      <c r="D13" s="97"/>
      <c r="E13" s="97"/>
      <c r="F13" s="97"/>
      <c r="T13" s="90"/>
      <c r="U13" s="90"/>
      <c r="AB13" s="42"/>
      <c r="AG13" s="36"/>
    </row>
    <row r="14">
      <c r="T14" s="42"/>
      <c r="U14" s="42"/>
      <c r="AG14" s="36"/>
    </row>
    <row r="17">
      <c r="J17" s="98"/>
    </row>
    <row r="18">
      <c r="A18" s="101" t="s">
        <v>112</v>
      </c>
      <c r="C18" s="97"/>
      <c r="D18" s="97"/>
      <c r="E18" s="97"/>
      <c r="F18" s="97"/>
      <c r="H18" s="98"/>
      <c r="AB18" s="99"/>
      <c r="AG18" s="36"/>
    </row>
    <row r="19">
      <c r="A19" s="1" t="s">
        <v>0</v>
      </c>
      <c r="B19" s="2" t="s">
        <v>1</v>
      </c>
      <c r="C19" s="1" t="s">
        <v>2</v>
      </c>
      <c r="D19" s="3" t="s">
        <v>3</v>
      </c>
      <c r="E19" s="3" t="s">
        <v>4</v>
      </c>
      <c r="F19" s="1" t="s">
        <v>5</v>
      </c>
      <c r="G19" s="1" t="s">
        <v>6</v>
      </c>
      <c r="H19" s="1" t="s">
        <v>7</v>
      </c>
      <c r="I19" s="1" t="s">
        <v>8</v>
      </c>
      <c r="J19" s="1" t="s">
        <v>9</v>
      </c>
      <c r="K19" s="1" t="s">
        <v>10</v>
      </c>
      <c r="L19" s="1" t="s">
        <v>11</v>
      </c>
      <c r="M19" s="1" t="s">
        <v>12</v>
      </c>
      <c r="N19" s="1" t="s">
        <v>13</v>
      </c>
      <c r="O19" s="1" t="s">
        <v>14</v>
      </c>
      <c r="P19" s="1" t="s">
        <v>15</v>
      </c>
      <c r="Q19" s="4" t="s">
        <v>16</v>
      </c>
      <c r="R19" s="102" t="s">
        <v>17</v>
      </c>
      <c r="S19" s="47" t="s">
        <v>20</v>
      </c>
      <c r="T19" s="47" t="s">
        <v>18</v>
      </c>
      <c r="U19" s="47" t="s">
        <v>19</v>
      </c>
      <c r="V19" s="47" t="s">
        <v>21</v>
      </c>
      <c r="W19" s="102" t="s">
        <v>22</v>
      </c>
      <c r="X19" s="47" t="s">
        <v>23</v>
      </c>
      <c r="Y19" s="47" t="s">
        <v>24</v>
      </c>
      <c r="Z19" s="102" t="s">
        <v>25</v>
      </c>
      <c r="AA19" s="102" t="s">
        <v>26</v>
      </c>
      <c r="AB19" s="47" t="s">
        <v>27</v>
      </c>
      <c r="AC19" s="102" t="s">
        <v>28</v>
      </c>
      <c r="AG19" s="36"/>
    </row>
    <row r="20" ht="17.25" customHeight="1">
      <c r="A20" s="9">
        <v>55.0</v>
      </c>
      <c r="B20" s="10" t="s">
        <v>36</v>
      </c>
      <c r="C20" s="22">
        <v>45419.0</v>
      </c>
      <c r="D20" s="12">
        <v>2304.0</v>
      </c>
      <c r="E20" s="12"/>
      <c r="F20" s="14">
        <v>91.0</v>
      </c>
      <c r="G20" s="15">
        <v>30.0</v>
      </c>
      <c r="H20" s="16">
        <v>3.0</v>
      </c>
      <c r="I20" s="16" t="b">
        <v>1</v>
      </c>
      <c r="J20" s="15" t="s">
        <v>103</v>
      </c>
      <c r="K20" s="15" t="s">
        <v>31</v>
      </c>
      <c r="L20" s="15">
        <v>5.0</v>
      </c>
      <c r="M20" s="16" t="s">
        <v>104</v>
      </c>
      <c r="N20" s="16"/>
      <c r="O20" s="16"/>
      <c r="P20" s="34" t="s">
        <v>44</v>
      </c>
      <c r="Q20" s="18">
        <v>18.0</v>
      </c>
      <c r="R20" s="40">
        <v>45465.0</v>
      </c>
      <c r="S20" s="41">
        <v>341.17</v>
      </c>
      <c r="T20" s="41">
        <v>228.32</v>
      </c>
      <c r="U20" s="41">
        <v>22.832</v>
      </c>
      <c r="V20" s="42">
        <v>17.717537506466634</v>
      </c>
      <c r="W20" s="43" t="s">
        <v>105</v>
      </c>
      <c r="X20" s="44">
        <v>15.0684194244387</v>
      </c>
      <c r="Y20" s="44">
        <v>445.1980482158149</v>
      </c>
      <c r="Z20" s="48">
        <v>56.0</v>
      </c>
      <c r="AA20" s="44">
        <v>7.94996514671098</v>
      </c>
      <c r="AB20" s="44">
        <v>1.192494772006647</v>
      </c>
      <c r="AG20" s="36"/>
    </row>
    <row r="21" ht="17.25" customHeight="1">
      <c r="A21" s="9">
        <v>167.0</v>
      </c>
      <c r="B21" s="10" t="s">
        <v>29</v>
      </c>
      <c r="C21" s="11">
        <v>45467.0</v>
      </c>
      <c r="D21" s="12">
        <v>768.0</v>
      </c>
      <c r="E21" s="13"/>
      <c r="F21" s="14">
        <v>27.0</v>
      </c>
      <c r="G21" s="15">
        <v>30.0</v>
      </c>
      <c r="H21" s="16">
        <v>3.0</v>
      </c>
      <c r="I21" s="16" t="b">
        <v>1</v>
      </c>
      <c r="J21" s="15" t="s">
        <v>30</v>
      </c>
      <c r="K21" s="15" t="s">
        <v>31</v>
      </c>
      <c r="L21" s="15">
        <v>3.0</v>
      </c>
      <c r="M21" s="16" t="s">
        <v>32</v>
      </c>
      <c r="N21" s="15" t="s">
        <v>33</v>
      </c>
      <c r="O21" s="15"/>
      <c r="P21" s="17" t="s">
        <v>34</v>
      </c>
      <c r="Q21" s="18">
        <v>20.0</v>
      </c>
      <c r="R21" s="40">
        <v>45494.0</v>
      </c>
      <c r="S21" s="41">
        <v>17.23</v>
      </c>
      <c r="T21" s="41">
        <v>3.59</v>
      </c>
      <c r="U21" s="41">
        <v>38.66</v>
      </c>
      <c r="V21" s="42">
        <v>30.0</v>
      </c>
      <c r="W21" s="43" t="s">
        <v>35</v>
      </c>
      <c r="X21" s="44">
        <v>0.0825</v>
      </c>
      <c r="Y21" s="44">
        <v>45.07</v>
      </c>
      <c r="Z21" s="48">
        <v>139.0</v>
      </c>
      <c r="AA21" s="44">
        <v>0.3242446043165468</v>
      </c>
      <c r="AB21" s="44">
        <v>0.048636690647482016</v>
      </c>
      <c r="AC21" s="48" t="s">
        <v>107</v>
      </c>
      <c r="AG21" s="36"/>
    </row>
    <row r="22" ht="17.25" customHeight="1">
      <c r="A22" s="9">
        <v>148.0</v>
      </c>
      <c r="B22" s="10" t="s">
        <v>49</v>
      </c>
      <c r="C22" s="22">
        <v>45504.0</v>
      </c>
      <c r="D22" s="26">
        <v>1536.0</v>
      </c>
      <c r="E22" s="33" t="s">
        <v>50</v>
      </c>
      <c r="F22" s="14">
        <v>559.0</v>
      </c>
      <c r="G22" s="28">
        <v>30.0</v>
      </c>
      <c r="H22" s="28">
        <v>3.0</v>
      </c>
      <c r="I22" s="15" t="b">
        <v>0</v>
      </c>
      <c r="J22" s="28" t="s">
        <v>113</v>
      </c>
      <c r="K22" s="28" t="s">
        <v>42</v>
      </c>
      <c r="L22" s="15"/>
      <c r="M22" s="15" t="s">
        <v>106</v>
      </c>
      <c r="N22" s="15" t="s">
        <v>33</v>
      </c>
      <c r="O22" s="15"/>
      <c r="P22" s="34" t="s">
        <v>34</v>
      </c>
      <c r="Q22" s="18">
        <v>31.0</v>
      </c>
      <c r="R22" s="45">
        <v>45504.0</v>
      </c>
      <c r="S22" s="41">
        <v>19.73</v>
      </c>
      <c r="T22" s="41">
        <v>47.88</v>
      </c>
      <c r="U22" s="41">
        <v>19.73</v>
      </c>
      <c r="V22" s="42">
        <v>15.310398344542163</v>
      </c>
      <c r="W22" s="43" t="s">
        <v>114</v>
      </c>
      <c r="X22" s="44">
        <v>1.11</v>
      </c>
      <c r="Y22" s="44">
        <v>41.47</v>
      </c>
      <c r="Z22" s="48">
        <v>91.0</v>
      </c>
      <c r="AA22" s="44">
        <v>0.4557142857142857</v>
      </c>
      <c r="AB22" s="44">
        <v>0.06835714285714285</v>
      </c>
      <c r="AC22" s="48"/>
      <c r="AG22" s="36"/>
    </row>
    <row r="23" ht="17.25" customHeight="1">
      <c r="A23" s="14">
        <v>48.0</v>
      </c>
      <c r="B23" s="10" t="s">
        <v>46</v>
      </c>
      <c r="C23" s="30">
        <v>45419.0</v>
      </c>
      <c r="D23" s="12">
        <v>1536.0</v>
      </c>
      <c r="E23" s="31"/>
      <c r="F23" s="14">
        <v>808.0</v>
      </c>
      <c r="G23" s="15">
        <v>60.0</v>
      </c>
      <c r="H23" s="16">
        <v>3.0</v>
      </c>
      <c r="I23" s="16" t="b">
        <v>1</v>
      </c>
      <c r="J23" s="16"/>
      <c r="K23" s="16" t="s">
        <v>31</v>
      </c>
      <c r="L23" s="15">
        <v>3.0</v>
      </c>
      <c r="M23" s="16" t="s">
        <v>47</v>
      </c>
      <c r="N23" s="15" t="s">
        <v>33</v>
      </c>
      <c r="O23" s="16" t="s">
        <v>38</v>
      </c>
      <c r="P23" s="17" t="s">
        <v>44</v>
      </c>
      <c r="Q23" s="18">
        <v>34.0</v>
      </c>
      <c r="R23" s="40">
        <v>45465.0</v>
      </c>
      <c r="S23" s="41">
        <v>12.73</v>
      </c>
      <c r="T23" s="41">
        <v>11.21</v>
      </c>
      <c r="U23" s="41">
        <v>16.21</v>
      </c>
      <c r="V23" s="42">
        <v>12.578892912571135</v>
      </c>
      <c r="W23" s="42" t="s">
        <v>35</v>
      </c>
      <c r="X23" s="44">
        <v>0.7596</v>
      </c>
      <c r="Y23" s="44">
        <v>526.32</v>
      </c>
      <c r="Z23" s="48">
        <v>119.0</v>
      </c>
      <c r="AA23" s="44">
        <v>4.4228571428571435</v>
      </c>
      <c r="AB23" s="44">
        <v>0.6634285714285715</v>
      </c>
      <c r="AC23" s="48" t="s">
        <v>48</v>
      </c>
    </row>
    <row r="24" ht="17.25" customHeight="1">
      <c r="A24" s="9">
        <v>77.0</v>
      </c>
      <c r="B24" s="10" t="s">
        <v>40</v>
      </c>
      <c r="C24" s="22">
        <v>45498.0</v>
      </c>
      <c r="D24" s="26">
        <v>1152.0</v>
      </c>
      <c r="E24" s="27" t="s">
        <v>41</v>
      </c>
      <c r="F24" s="14">
        <v>174.0</v>
      </c>
      <c r="G24" s="15">
        <v>30.0</v>
      </c>
      <c r="H24" s="15">
        <v>3.0</v>
      </c>
      <c r="I24" s="15" t="b">
        <v>1</v>
      </c>
      <c r="J24" s="15" t="s">
        <v>113</v>
      </c>
      <c r="K24" s="15" t="s">
        <v>42</v>
      </c>
      <c r="L24" s="15">
        <v>5.0</v>
      </c>
      <c r="M24" s="15" t="s">
        <v>43</v>
      </c>
      <c r="N24" s="16"/>
      <c r="O24" s="15" t="s">
        <v>38</v>
      </c>
      <c r="P24" s="17" t="s">
        <v>44</v>
      </c>
      <c r="Q24" s="18">
        <v>35.0</v>
      </c>
      <c r="R24" s="45">
        <v>45498.0</v>
      </c>
      <c r="S24" s="41">
        <v>15.41</v>
      </c>
      <c r="T24" s="41">
        <v>1.42</v>
      </c>
      <c r="U24" s="41">
        <v>15.41</v>
      </c>
      <c r="V24" s="42">
        <v>11.958096223486809</v>
      </c>
      <c r="W24" s="43" t="s">
        <v>115</v>
      </c>
      <c r="X24" s="46">
        <v>0.047</v>
      </c>
      <c r="Y24" s="44">
        <v>22.19</v>
      </c>
      <c r="Z24" s="48">
        <v>81.0</v>
      </c>
      <c r="AA24" s="44">
        <v>0.27395061728395065</v>
      </c>
      <c r="AB24" s="44">
        <v>0.0410925925925926</v>
      </c>
      <c r="AC24" s="48"/>
    </row>
    <row r="25" ht="17.25" customHeight="1">
      <c r="A25" s="9">
        <v>59.0</v>
      </c>
      <c r="B25" s="10" t="s">
        <v>53</v>
      </c>
      <c r="C25" s="11">
        <v>45498.0</v>
      </c>
      <c r="D25" s="12">
        <v>1152.0</v>
      </c>
      <c r="E25" s="31" t="s">
        <v>41</v>
      </c>
      <c r="F25" s="14">
        <v>287.0</v>
      </c>
      <c r="G25" s="15">
        <v>30.0</v>
      </c>
      <c r="H25" s="15">
        <v>3.0</v>
      </c>
      <c r="I25" s="15" t="b">
        <v>1</v>
      </c>
      <c r="J25" s="16"/>
      <c r="K25" s="16"/>
      <c r="L25" s="16"/>
      <c r="M25" s="15" t="s">
        <v>109</v>
      </c>
      <c r="N25" s="15" t="s">
        <v>33</v>
      </c>
      <c r="O25" s="16"/>
      <c r="P25" s="17" t="s">
        <v>34</v>
      </c>
      <c r="Q25" s="18">
        <v>47.0</v>
      </c>
      <c r="R25" s="40">
        <v>45498.0</v>
      </c>
      <c r="S25" s="41">
        <v>6.51</v>
      </c>
      <c r="T25" s="41">
        <v>21.87</v>
      </c>
      <c r="U25" s="41">
        <v>8.63</v>
      </c>
      <c r="V25" s="42">
        <v>6.696844283497156</v>
      </c>
      <c r="W25" s="43" t="s">
        <v>105</v>
      </c>
      <c r="X25" s="46">
        <v>0.3172</v>
      </c>
      <c r="Y25" s="44">
        <v>16.6877</v>
      </c>
      <c r="Z25" s="48">
        <v>120.0</v>
      </c>
      <c r="AA25" s="44">
        <v>0.13906416666666666</v>
      </c>
      <c r="AB25" s="44">
        <v>0.020859624999999996</v>
      </c>
      <c r="AC25" s="48"/>
    </row>
    <row r="26" ht="17.25" customHeight="1">
      <c r="A26" s="9">
        <v>6.0</v>
      </c>
      <c r="B26" s="10" t="s">
        <v>56</v>
      </c>
      <c r="C26" s="30">
        <v>45419.0</v>
      </c>
      <c r="D26" s="12">
        <v>2304.0</v>
      </c>
      <c r="E26" s="13"/>
      <c r="F26" s="14">
        <v>2.0</v>
      </c>
      <c r="G26" s="16">
        <v>30.0</v>
      </c>
      <c r="H26" s="16">
        <v>3.0</v>
      </c>
      <c r="I26" s="15" t="b">
        <v>1</v>
      </c>
      <c r="J26" s="15" t="s">
        <v>54</v>
      </c>
      <c r="K26" s="15" t="s">
        <v>31</v>
      </c>
      <c r="L26" s="15">
        <v>3.0</v>
      </c>
      <c r="M26" s="15" t="s">
        <v>57</v>
      </c>
      <c r="N26" s="16"/>
      <c r="O26" s="16" t="s">
        <v>38</v>
      </c>
      <c r="P26" s="34" t="s">
        <v>34</v>
      </c>
      <c r="Q26" s="18">
        <v>12.0</v>
      </c>
      <c r="R26" s="40">
        <v>45488.0</v>
      </c>
      <c r="S26" s="41">
        <v>8.402</v>
      </c>
      <c r="T26" s="41">
        <v>3.56</v>
      </c>
      <c r="U26" s="41">
        <v>8.4</v>
      </c>
      <c r="V26" s="42">
        <v>6.518365235385412</v>
      </c>
      <c r="W26" s="42" t="s">
        <v>35</v>
      </c>
      <c r="X26" s="46">
        <v>-6.0E-4</v>
      </c>
      <c r="Y26" s="44">
        <v>8.39</v>
      </c>
      <c r="Z26" s="48">
        <v>92.0</v>
      </c>
      <c r="AA26" s="44">
        <v>0.09119565217391305</v>
      </c>
      <c r="AB26" s="44">
        <v>0.013679347826086957</v>
      </c>
      <c r="AC26" s="48"/>
    </row>
    <row r="30">
      <c r="W30" s="47"/>
    </row>
    <row r="31">
      <c r="W31" s="42"/>
    </row>
    <row r="32">
      <c r="W32" s="42"/>
    </row>
    <row r="33">
      <c r="W33" s="42"/>
    </row>
    <row r="34">
      <c r="A34" s="101" t="s">
        <v>116</v>
      </c>
      <c r="W34" s="42"/>
    </row>
    <row r="35">
      <c r="E35" s="103" t="s">
        <v>17</v>
      </c>
      <c r="F35" s="48" t="s">
        <v>18</v>
      </c>
      <c r="G35" s="48" t="s">
        <v>19</v>
      </c>
      <c r="H35" s="48" t="s">
        <v>20</v>
      </c>
      <c r="I35" s="48" t="s">
        <v>21</v>
      </c>
      <c r="J35" s="103" t="s">
        <v>22</v>
      </c>
      <c r="K35" s="48" t="s">
        <v>23</v>
      </c>
      <c r="L35" s="48" t="s">
        <v>24</v>
      </c>
      <c r="M35" s="103" t="s">
        <v>25</v>
      </c>
      <c r="N35" s="103" t="s">
        <v>26</v>
      </c>
      <c r="O35" s="48" t="s">
        <v>27</v>
      </c>
      <c r="W35" s="42"/>
    </row>
    <row r="36">
      <c r="E36" s="40">
        <v>45494.0</v>
      </c>
      <c r="F36" s="41">
        <v>3.59</v>
      </c>
      <c r="G36" s="41">
        <v>38.66</v>
      </c>
      <c r="H36" s="41">
        <v>17.23</v>
      </c>
      <c r="I36" s="42">
        <v>25.0</v>
      </c>
      <c r="J36" s="43" t="s">
        <v>35</v>
      </c>
      <c r="K36" s="44">
        <v>0.0825</v>
      </c>
      <c r="L36" s="44">
        <v>45.07</v>
      </c>
      <c r="M36" s="48">
        <v>139.0</v>
      </c>
      <c r="N36" s="44">
        <v>0.3242446043165468</v>
      </c>
      <c r="O36" s="44">
        <v>0.048636690647482016</v>
      </c>
      <c r="W36" s="49"/>
    </row>
    <row r="37">
      <c r="E37" s="45">
        <v>45524.0</v>
      </c>
      <c r="F37" s="41">
        <v>210.44</v>
      </c>
      <c r="G37" s="41">
        <v>27.357200000000002</v>
      </c>
      <c r="H37" s="41">
        <v>321.99</v>
      </c>
      <c r="I37" s="42">
        <v>17.690894981893432</v>
      </c>
      <c r="J37" s="43" t="s">
        <v>105</v>
      </c>
      <c r="K37" s="44">
        <v>6.11</v>
      </c>
      <c r="L37" s="44">
        <v>576.79</v>
      </c>
      <c r="M37" s="48">
        <v>65.0</v>
      </c>
      <c r="N37" s="44">
        <v>8.873692307692307</v>
      </c>
      <c r="O37" s="44">
        <v>1.3310538461538461</v>
      </c>
      <c r="S37" s="42"/>
      <c r="T37" s="42"/>
      <c r="U37" s="42"/>
      <c r="V37" s="42"/>
      <c r="W37" s="42"/>
    </row>
    <row r="38">
      <c r="E38" s="45">
        <v>45524.0</v>
      </c>
      <c r="F38" s="41">
        <v>1.29</v>
      </c>
      <c r="G38" s="41">
        <v>24.57</v>
      </c>
      <c r="H38" s="41">
        <v>45.88</v>
      </c>
      <c r="I38" s="42">
        <v>15.888515261251941</v>
      </c>
      <c r="J38" s="43" t="s">
        <v>117</v>
      </c>
      <c r="K38" s="46">
        <v>0.0259</v>
      </c>
      <c r="L38" s="44">
        <v>176.41</v>
      </c>
      <c r="M38" s="48">
        <v>110.0</v>
      </c>
      <c r="N38" s="44">
        <v>1.6037272727272727</v>
      </c>
      <c r="O38" s="44">
        <v>0.2405590909090909</v>
      </c>
      <c r="T38" s="42"/>
      <c r="W38" s="42"/>
    </row>
    <row r="39">
      <c r="E39" s="45">
        <v>45524.0</v>
      </c>
      <c r="F39" s="41">
        <v>15.49</v>
      </c>
      <c r="G39" s="41">
        <v>23.57</v>
      </c>
      <c r="H39" s="41">
        <v>126.26</v>
      </c>
      <c r="I39" s="42">
        <v>15.24185204345577</v>
      </c>
      <c r="J39" s="42" t="s">
        <v>35</v>
      </c>
      <c r="K39" s="46">
        <v>0.5835</v>
      </c>
      <c r="L39" s="44">
        <v>1462.61</v>
      </c>
      <c r="M39" s="48">
        <v>132.0</v>
      </c>
      <c r="N39" s="44">
        <v>11.080378787878788</v>
      </c>
      <c r="O39" s="44">
        <v>1.662056818181818</v>
      </c>
      <c r="T39" s="42"/>
      <c r="W39" s="42"/>
    </row>
    <row r="40">
      <c r="E40" s="40">
        <v>45524.0</v>
      </c>
      <c r="F40" s="41">
        <v>132.04</v>
      </c>
      <c r="G40" s="41">
        <v>20.81</v>
      </c>
      <c r="H40" s="41">
        <v>24.28</v>
      </c>
      <c r="I40" s="42">
        <v>13.457061562338335</v>
      </c>
      <c r="J40" s="43" t="s">
        <v>114</v>
      </c>
      <c r="K40" s="44">
        <v>0.83</v>
      </c>
      <c r="L40" s="44">
        <v>42.28</v>
      </c>
      <c r="M40" s="48">
        <v>101.0</v>
      </c>
      <c r="N40" s="44">
        <v>0.41861386138613865</v>
      </c>
      <c r="O40" s="44">
        <v>0.06279207920792079</v>
      </c>
      <c r="T40" s="42"/>
      <c r="W40" s="42"/>
    </row>
    <row r="41">
      <c r="E41" s="40">
        <v>45524.0</v>
      </c>
      <c r="F41" s="41">
        <v>16.27</v>
      </c>
      <c r="G41" s="41">
        <v>6.68</v>
      </c>
      <c r="H41" s="41">
        <v>5.36</v>
      </c>
      <c r="I41" s="42">
        <v>4.319710294878428</v>
      </c>
      <c r="J41" s="43" t="s">
        <v>118</v>
      </c>
      <c r="K41" s="46">
        <v>0.2515</v>
      </c>
      <c r="L41" s="44">
        <v>14.87</v>
      </c>
      <c r="M41" s="48">
        <v>101.0</v>
      </c>
      <c r="N41" s="44">
        <v>0.14722772277227722</v>
      </c>
      <c r="O41" s="44">
        <v>0.022084158415841583</v>
      </c>
      <c r="T41" s="42"/>
      <c r="W41" s="42"/>
    </row>
    <row r="42">
      <c r="E42" s="40">
        <v>45524.0</v>
      </c>
      <c r="F42" s="41">
        <v>2.57</v>
      </c>
      <c r="G42" s="41">
        <v>2.09</v>
      </c>
      <c r="H42" s="41">
        <v>8.15</v>
      </c>
      <c r="I42" s="42">
        <v>1.3515261251939992</v>
      </c>
      <c r="J42" s="42" t="s">
        <v>35</v>
      </c>
      <c r="K42" s="46">
        <v>3.0E-4</v>
      </c>
      <c r="L42" s="44">
        <v>56.12</v>
      </c>
      <c r="M42" s="48">
        <v>181.0</v>
      </c>
      <c r="N42" s="44">
        <v>0.31005524861878453</v>
      </c>
      <c r="O42" s="44">
        <v>0.046508287292817675</v>
      </c>
      <c r="T42" s="42"/>
    </row>
    <row r="43">
      <c r="W43" s="42"/>
    </row>
    <row r="44">
      <c r="T44" s="42"/>
      <c r="V44" s="42"/>
    </row>
  </sheetData>
  <autoFilter ref="$A$1:$AC$8">
    <sortState ref="A1:AC8">
      <sortCondition descending="1" ref="U1:U8"/>
      <sortCondition descending="1" ref="T1:T8"/>
      <sortCondition descending="1" ref="AA1:AA8"/>
    </sortState>
  </autoFilter>
  <conditionalFormatting sqref="Z2:Z9">
    <cfRule type="colorScale" priority="1">
      <colorScale>
        <cfvo type="min"/>
        <cfvo type="max"/>
        <color rgb="FFFFFFFF"/>
        <color rgb="FFFFD666"/>
      </colorScale>
    </cfRule>
  </conditionalFormatting>
  <conditionalFormatting sqref="AA2:AB8 Y9">
    <cfRule type="colorScale" priority="2">
      <colorScale>
        <cfvo type="min"/>
        <cfvo type="max"/>
        <color rgb="FFFFFFFF"/>
        <color rgb="FF57BB8A"/>
      </colorScale>
    </cfRule>
  </conditionalFormatting>
  <conditionalFormatting sqref="Y2:Y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5">
      <c r="F5" s="104" t="s">
        <v>119</v>
      </c>
      <c r="H5" s="105" t="s">
        <v>120</v>
      </c>
      <c r="J5" s="55"/>
    </row>
    <row r="6">
      <c r="B6" s="1" t="s">
        <v>0</v>
      </c>
      <c r="C6" s="1" t="s">
        <v>1</v>
      </c>
      <c r="D6" s="1" t="s">
        <v>2</v>
      </c>
      <c r="E6" s="1" t="s">
        <v>121</v>
      </c>
      <c r="F6" s="106" t="s">
        <v>122</v>
      </c>
      <c r="G6" s="107" t="s">
        <v>123</v>
      </c>
      <c r="H6" s="108" t="s">
        <v>124</v>
      </c>
      <c r="I6" s="109" t="s">
        <v>125</v>
      </c>
      <c r="J6" s="110" t="s">
        <v>126</v>
      </c>
    </row>
    <row r="7">
      <c r="B7" s="111">
        <v>55.0</v>
      </c>
      <c r="C7" s="34" t="s">
        <v>36</v>
      </c>
      <c r="D7" s="30">
        <v>45419.0</v>
      </c>
      <c r="E7" s="17">
        <v>56.0</v>
      </c>
      <c r="F7" s="112">
        <v>-0.16</v>
      </c>
      <c r="G7" s="17" t="s">
        <v>127</v>
      </c>
      <c r="H7" s="113">
        <v>2304.0</v>
      </c>
      <c r="I7" s="114">
        <v>1761.0</v>
      </c>
      <c r="J7" s="115">
        <f t="shared" ref="J7:J13" si="1">I7/H7</f>
        <v>0.7643229167</v>
      </c>
    </row>
    <row r="8">
      <c r="B8" s="111">
        <v>167.0</v>
      </c>
      <c r="C8" s="34" t="s">
        <v>29</v>
      </c>
      <c r="D8" s="39">
        <v>45467.0</v>
      </c>
      <c r="E8" s="17">
        <v>139.0</v>
      </c>
      <c r="F8" s="112">
        <v>-0.34</v>
      </c>
      <c r="G8" s="17" t="s">
        <v>128</v>
      </c>
      <c r="H8" s="116">
        <v>768.0</v>
      </c>
      <c r="I8" s="69">
        <v>431.0</v>
      </c>
      <c r="J8" s="115">
        <f t="shared" si="1"/>
        <v>0.5611979167</v>
      </c>
    </row>
    <row r="9">
      <c r="B9" s="111">
        <v>148.0</v>
      </c>
      <c r="C9" s="34" t="s">
        <v>49</v>
      </c>
      <c r="D9" s="30">
        <v>45504.0</v>
      </c>
      <c r="E9" s="17">
        <v>100.0</v>
      </c>
      <c r="F9" s="112">
        <v>-0.23</v>
      </c>
      <c r="G9" s="17" t="s">
        <v>129</v>
      </c>
      <c r="H9" s="117">
        <v>1536.0</v>
      </c>
      <c r="I9" s="69">
        <v>863.0</v>
      </c>
      <c r="J9" s="115">
        <f t="shared" si="1"/>
        <v>0.5618489583</v>
      </c>
    </row>
    <row r="10">
      <c r="B10" s="118">
        <v>48.0</v>
      </c>
      <c r="C10" s="34" t="s">
        <v>46</v>
      </c>
      <c r="D10" s="30">
        <v>45419.0</v>
      </c>
      <c r="E10" s="17">
        <v>122.0</v>
      </c>
      <c r="F10" s="112">
        <v>-0.23</v>
      </c>
      <c r="G10" s="17" t="s">
        <v>130</v>
      </c>
      <c r="H10" s="116">
        <v>1536.0</v>
      </c>
      <c r="I10" s="69">
        <v>656.0</v>
      </c>
      <c r="J10" s="115">
        <f t="shared" si="1"/>
        <v>0.4270833333</v>
      </c>
    </row>
    <row r="11">
      <c r="B11" s="111">
        <v>77.0</v>
      </c>
      <c r="C11" s="34" t="s">
        <v>40</v>
      </c>
      <c r="D11" s="30">
        <v>45498.0</v>
      </c>
      <c r="E11" s="17">
        <v>100.0</v>
      </c>
      <c r="F11" s="112">
        <v>-0.2</v>
      </c>
      <c r="G11" s="17" t="s">
        <v>131</v>
      </c>
      <c r="H11" s="117">
        <v>1152.0</v>
      </c>
      <c r="I11" s="69">
        <v>687.0</v>
      </c>
      <c r="J11" s="115">
        <f t="shared" si="1"/>
        <v>0.5963541667</v>
      </c>
    </row>
    <row r="12">
      <c r="B12" s="111">
        <v>59.0</v>
      </c>
      <c r="C12" s="34" t="s">
        <v>53</v>
      </c>
      <c r="D12" s="39">
        <v>45498.0</v>
      </c>
      <c r="E12" s="17">
        <v>101.0</v>
      </c>
      <c r="F12" s="112">
        <v>-0.24</v>
      </c>
      <c r="G12" s="17" t="s">
        <v>128</v>
      </c>
      <c r="H12" s="116">
        <v>1152.0</v>
      </c>
      <c r="I12" s="69">
        <v>511.0</v>
      </c>
      <c r="J12" s="115">
        <f t="shared" si="1"/>
        <v>0.4435763889</v>
      </c>
    </row>
    <row r="13">
      <c r="B13" s="111">
        <v>6.0</v>
      </c>
      <c r="C13" s="34" t="s">
        <v>56</v>
      </c>
      <c r="D13" s="30">
        <v>45419.0</v>
      </c>
      <c r="E13" s="34">
        <v>95.0</v>
      </c>
      <c r="F13" s="112">
        <v>-0.33</v>
      </c>
      <c r="G13" s="30" t="s">
        <v>132</v>
      </c>
      <c r="H13" s="116">
        <v>2304.0</v>
      </c>
      <c r="I13" s="69">
        <v>847.0</v>
      </c>
      <c r="J13" s="115">
        <f t="shared" si="1"/>
        <v>0.3676215278</v>
      </c>
    </row>
  </sheetData>
  <mergeCells count="2">
    <mergeCell ref="F5:G5"/>
    <mergeCell ref="H5:J5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sheetData>
    <row r="7">
      <c r="B7" s="101" t="s">
        <v>133</v>
      </c>
    </row>
    <row r="8">
      <c r="B8" s="48" t="s">
        <v>134</v>
      </c>
    </row>
    <row r="9">
      <c r="B9" s="119" t="s">
        <v>135</v>
      </c>
    </row>
    <row r="10">
      <c r="B10" s="120" t="s">
        <v>136</v>
      </c>
      <c r="F10" s="48" t="s">
        <v>137</v>
      </c>
      <c r="G10" s="48" t="s">
        <v>121</v>
      </c>
      <c r="H10" s="48" t="s">
        <v>138</v>
      </c>
    </row>
    <row r="11">
      <c r="C11" s="48" t="s">
        <v>139</v>
      </c>
      <c r="D11" s="48">
        <v>-0.15</v>
      </c>
      <c r="F11" s="48">
        <v>0.0</v>
      </c>
      <c r="G11" s="48">
        <v>0.0</v>
      </c>
      <c r="H11" s="99" t="str">
        <f>F11/G11</f>
        <v>#DIV/0!</v>
      </c>
      <c r="I11" s="47" t="s">
        <v>140</v>
      </c>
    </row>
    <row r="12">
      <c r="C12" s="120" t="s">
        <v>141</v>
      </c>
    </row>
    <row r="13">
      <c r="C13" s="120" t="s">
        <v>142</v>
      </c>
    </row>
    <row r="14">
      <c r="B14" s="120" t="s">
        <v>143</v>
      </c>
      <c r="F14" s="48">
        <v>2.0</v>
      </c>
      <c r="G14" s="48">
        <v>2.0</v>
      </c>
      <c r="H14" s="99">
        <f>F14/G14</f>
        <v>1</v>
      </c>
    </row>
    <row r="15">
      <c r="C15" s="48" t="s">
        <v>139</v>
      </c>
      <c r="D15" s="48">
        <v>-0.1</v>
      </c>
    </row>
    <row r="16">
      <c r="C16" s="120" t="s">
        <v>144</v>
      </c>
    </row>
    <row r="17">
      <c r="C17" s="120" t="s">
        <v>145</v>
      </c>
    </row>
    <row r="18">
      <c r="B18" s="120" t="s">
        <v>146</v>
      </c>
      <c r="F18" s="48">
        <v>0.0</v>
      </c>
      <c r="G18" s="48">
        <v>0.0</v>
      </c>
      <c r="H18" s="99" t="str">
        <f>F18/G18</f>
        <v>#DIV/0!</v>
      </c>
    </row>
    <row r="19">
      <c r="C19" s="48" t="s">
        <v>139</v>
      </c>
      <c r="D19" s="48">
        <v>-0.15</v>
      </c>
    </row>
    <row r="20">
      <c r="C20" s="120" t="s">
        <v>147</v>
      </c>
    </row>
    <row r="21">
      <c r="C21" s="120" t="s">
        <v>148</v>
      </c>
    </row>
    <row r="25">
      <c r="B25" s="121" t="s">
        <v>149</v>
      </c>
    </row>
    <row r="26">
      <c r="B26" s="1" t="s">
        <v>0</v>
      </c>
      <c r="C26" s="1" t="s">
        <v>1</v>
      </c>
      <c r="D26" s="1" t="s">
        <v>2</v>
      </c>
      <c r="E26" s="1" t="s">
        <v>17</v>
      </c>
      <c r="F26" s="5" t="s">
        <v>20</v>
      </c>
      <c r="G26" s="5" t="s">
        <v>18</v>
      </c>
      <c r="H26" s="5" t="s">
        <v>19</v>
      </c>
      <c r="I26" s="7" t="s">
        <v>25</v>
      </c>
    </row>
    <row r="27">
      <c r="B27" s="9">
        <v>55.0</v>
      </c>
      <c r="C27" s="34" t="s">
        <v>36</v>
      </c>
      <c r="D27" s="30">
        <v>45419.0</v>
      </c>
      <c r="E27" s="11">
        <v>45465.0</v>
      </c>
      <c r="F27" s="19">
        <v>341.17</v>
      </c>
      <c r="G27" s="19">
        <v>228.32</v>
      </c>
      <c r="H27" s="23">
        <f>G27*0.1</f>
        <v>22.832</v>
      </c>
      <c r="I27" s="15">
        <v>56.0</v>
      </c>
    </row>
    <row r="28">
      <c r="B28" s="9">
        <v>167.0</v>
      </c>
      <c r="C28" s="34" t="s">
        <v>29</v>
      </c>
      <c r="D28" s="30">
        <v>45467.0</v>
      </c>
      <c r="E28" s="11">
        <v>45494.0</v>
      </c>
      <c r="F28" s="19">
        <v>17.23</v>
      </c>
      <c r="G28" s="19">
        <v>3.59</v>
      </c>
      <c r="H28" s="19">
        <v>38.66</v>
      </c>
      <c r="I28" s="15">
        <v>139.0</v>
      </c>
    </row>
    <row r="29">
      <c r="B29" s="9">
        <v>148.0</v>
      </c>
      <c r="C29" s="34" t="s">
        <v>49</v>
      </c>
      <c r="D29" s="30">
        <v>45504.0</v>
      </c>
      <c r="E29" s="22">
        <v>45504.0</v>
      </c>
      <c r="F29" s="19">
        <v>19.73</v>
      </c>
      <c r="G29" s="19">
        <v>47.88</v>
      </c>
      <c r="H29" s="122">
        <v>19.73</v>
      </c>
      <c r="I29" s="15">
        <v>91.0</v>
      </c>
    </row>
    <row r="30">
      <c r="B30" s="14">
        <v>48.0</v>
      </c>
      <c r="C30" s="34" t="s">
        <v>46</v>
      </c>
      <c r="D30" s="30">
        <v>45419.0</v>
      </c>
      <c r="E30" s="11">
        <v>45465.0</v>
      </c>
      <c r="F30" s="19">
        <v>12.73</v>
      </c>
      <c r="G30" s="19">
        <v>11.21</v>
      </c>
      <c r="H30" s="19">
        <v>16.21</v>
      </c>
      <c r="I30" s="15">
        <v>119.0</v>
      </c>
    </row>
    <row r="31">
      <c r="B31" s="9">
        <v>77.0</v>
      </c>
      <c r="C31" s="34" t="s">
        <v>40</v>
      </c>
      <c r="D31" s="30">
        <v>45498.0</v>
      </c>
      <c r="E31" s="22">
        <v>45498.0</v>
      </c>
      <c r="F31" s="19">
        <v>15.41</v>
      </c>
      <c r="G31" s="19">
        <v>1.42</v>
      </c>
      <c r="H31" s="122">
        <v>15.41</v>
      </c>
      <c r="I31" s="15">
        <v>81.0</v>
      </c>
    </row>
    <row r="32">
      <c r="B32" s="9">
        <v>59.0</v>
      </c>
      <c r="C32" s="34" t="s">
        <v>53</v>
      </c>
      <c r="D32" s="30">
        <v>45498.0</v>
      </c>
      <c r="E32" s="11">
        <v>45498.0</v>
      </c>
      <c r="F32" s="37">
        <v>6.51</v>
      </c>
      <c r="G32" s="37">
        <v>21.87</v>
      </c>
      <c r="H32" s="38">
        <v>8.63</v>
      </c>
      <c r="I32" s="15">
        <v>120.0</v>
      </c>
    </row>
    <row r="33">
      <c r="B33" s="9">
        <v>6.0</v>
      </c>
      <c r="C33" s="34" t="s">
        <v>56</v>
      </c>
      <c r="D33" s="30">
        <v>45419.0</v>
      </c>
      <c r="E33" s="39">
        <v>45488.0</v>
      </c>
      <c r="F33" s="37">
        <v>8.402</v>
      </c>
      <c r="G33" s="37">
        <v>3.56</v>
      </c>
      <c r="H33" s="123">
        <v>8.4</v>
      </c>
      <c r="I33" s="15">
        <v>92.0</v>
      </c>
    </row>
  </sheetData>
  <conditionalFormatting sqref="I27:I33">
    <cfRule type="colorScale" priority="1">
      <colorScale>
        <cfvo type="min"/>
        <cfvo type="max"/>
        <color rgb="FFFFFFFF"/>
        <color rgb="FFFFD666"/>
      </colorScale>
    </cfRule>
  </conditionalFormatting>
  <drawing r:id="rId2"/>
  <legacyDrawing r:id="rId3"/>
</worksheet>
</file>