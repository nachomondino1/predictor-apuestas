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actuales'!$A$1:$L$8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K1">
      <text>
        <t xml:space="preserve">los que mas valor tienen suelen tener un rdo mucho mas rentable que otro.
</t>
      </text>
    </comment>
    <comment authorId="0" ref="K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<sst xmlns="http://schemas.openxmlformats.org/spreadsheetml/2006/main" count="257" uniqueCount="207">
  <si>
    <t>id_country</t>
  </si>
  <si>
    <t>country</t>
  </si>
  <si>
    <t>iteration_date</t>
  </si>
  <si>
    <t>n_model</t>
  </si>
  <si>
    <t>model_name</t>
  </si>
  <si>
    <t>f1_score</t>
  </si>
  <si>
    <t>dif_prec_bm</t>
  </si>
  <si>
    <t>G/P sin ea</t>
  </si>
  <si>
    <t>G/P con ea</t>
  </si>
  <si>
    <t>m</t>
  </si>
  <si>
    <t>Multiplicador ea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</si>
  <si>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</si>
  <si>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</si>
  <si>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</si>
  <si>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</si>
  <si>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</si>
  <si>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</si>
  <si>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</si>
  <si>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</si>
  <si>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</si>
  <si>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</si>
  <si>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</si>
  <si>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</si>
  <si>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</si>
  <si>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</si>
  <si>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</si>
  <si>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</si>
  <si>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</si>
  <si>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</si>
  <si>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</si>
  <si>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</si>
  <si>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</si>
  <si>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</si>
  <si>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</si>
  <si>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</si>
  <si>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</si>
  <si>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</si>
  <si>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</si>
  <si>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</si>
  <si>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</si>
  <si>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</si>
  <si>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</si>
  <si>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</si>
  <si>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</si>
  <si>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</si>
  <si>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</si>
  <si>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</si>
  <si>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</si>
  <si>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</si>
  <si>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</si>
  <si>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</si>
  <si>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</si>
  <si>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</si>
  <si>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</si>
  <si>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</si>
  <si>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</si>
  <si>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</si>
  <si>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</si>
  <si>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</si>
  <si>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</si>
  <si>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</si>
  <si>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</si>
  <si>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</si>
  <si>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</si>
  <si>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</si>
  <si>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</si>
  <si>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</si>
  <si>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</si>
  <si>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</si>
  <si>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</si>
  <si>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</si>
  <si>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</si>
  <si>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</si>
  <si>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</si>
  <si>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</si>
  <si>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</si>
  <si>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</si>
  <si>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</si>
  <si>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</si>
  <si>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</si>
  <si>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</si>
  <si>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</si>
  <si>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</si>
  <si>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</si>
  <si>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</si>
  <si>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</si>
  <si>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</si>
  <si>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</si>
  <si>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</si>
  <si>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</si>
  <si>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</si>
  <si>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</si>
  <si>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</si>
  <si>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</si>
  <si>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</si>
  <si>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</si>
  <si>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</si>
  <si>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</si>
  <si>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</si>
  <si>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</si>
  <si>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</si>
  <si>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</si>
  <si>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</si>
  <si>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</si>
  <si>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</si>
  <si>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</si>
  <si>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</si>
  <si>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</si>
  <si>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</si>
  <si>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</si>
  <si>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</si>
  <si>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</si>
  <si>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</si>
  <si>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</si>
  <si>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</si>
  <si>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</si>
  <si>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</si>
  <si>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</si>
  <si>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</si>
  <si>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</si>
  <si>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</si>
  <si>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</si>
  <si>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</si>
  <si>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</si>
  <si>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</si>
  <si>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</si>
  <si>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</si>
  <si>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ENG</t>
  </si>
  <si>
    <t>FRA</t>
  </si>
  <si>
    <t>8.23</t>
  </si>
  <si>
    <t>12.12</t>
  </si>
  <si>
    <t>7.28</t>
  </si>
  <si>
    <t>6.77</t>
  </si>
  <si>
    <t>6.19</t>
  </si>
  <si>
    <t>8.08</t>
  </si>
  <si>
    <t>7.00</t>
  </si>
  <si>
    <t>11.03</t>
  </si>
  <si>
    <t>Country</t>
  </si>
  <si>
    <t>Correl ROI y Expected ROI</t>
  </si>
  <si>
    <t>5.21</t>
  </si>
  <si>
    <t>5.15</t>
  </si>
  <si>
    <t>mean</t>
  </si>
  <si>
    <t>2.84</t>
  </si>
  <si>
    <t>median</t>
  </si>
  <si>
    <t>4.25</t>
  </si>
  <si>
    <t>p25</t>
  </si>
  <si>
    <t>2.86</t>
  </si>
  <si>
    <t>p75</t>
  </si>
  <si>
    <t>2.45</t>
  </si>
  <si>
    <t>3.10</t>
  </si>
  <si>
    <t>1.56</t>
  </si>
  <si>
    <t>2.26</t>
  </si>
  <si>
    <t>2.55</t>
  </si>
  <si>
    <t>1.24</t>
  </si>
  <si>
    <t>5.36</t>
  </si>
  <si>
    <t>Gracias a las nuevas métricas de G/P sin bank en test, me di cuenta de que:</t>
  </si>
  <si>
    <t>La rentabilidad en ITA está en el visitante y no en el empate como creía.</t>
  </si>
  <si>
    <t>1.57</t>
  </si>
  <si>
    <t>La rentabilidad en ENG y GER está en el empate tal como creía.</t>
  </si>
  <si>
    <t>1.16</t>
  </si>
  <si>
    <t>En SPA esta repartido aunque Empate saca una ventaja.</t>
  </si>
  <si>
    <t>1.29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</si>
  <si>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</si>
  <si>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</si>
  <si>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1.84</t>
  </si>
  <si>
    <t>1.78</t>
  </si>
  <si>
    <t>1.41</t>
  </si>
  <si>
    <t>1.25</t>
  </si>
  <si>
    <t>2.09</t>
  </si>
  <si>
    <t>4.57</t>
  </si>
  <si>
    <t>3.56</t>
  </si>
  <si>
    <t>10.02</t>
  </si>
  <si>
    <t>8.99</t>
  </si>
  <si>
    <t>11.62</t>
  </si>
  <si>
    <t>9.62</t>
  </si>
  <si>
    <t>3.12</t>
  </si>
  <si>
    <t>11.84</t>
  </si>
  <si>
    <t>9.01</t>
  </si>
  <si>
    <t>8.15</t>
  </si>
  <si>
    <t>8.67</t>
  </si>
  <si>
    <t>6.42</t>
  </si>
  <si>
    <t>10.81</t>
  </si>
  <si>
    <t>2.13</t>
  </si>
  <si>
    <t>7.26</t>
  </si>
  <si>
    <t>6.67</t>
  </si>
  <si>
    <t>4.71</t>
  </si>
  <si>
    <t>0.17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</si>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</sst>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2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1" fillId="5" fontId="3" numFmtId="0" xfId="0" applyAlignment="1" applyBorder="1" applyFill="1" applyFont="1">
      <alignment horizontal="center" readingOrder="0" vertical="center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5" fontId="3" numFmtId="0" xfId="0" applyAlignment="1" applyFont="1">
      <alignment readingOrder="0"/>
    </xf>
    <xf borderId="0" fillId="6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6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9" fontId="8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9" fontId="8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7" fillId="9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0" fontId="3" numFmtId="0" xfId="0" applyAlignment="1" applyFill="1" applyFont="1">
      <alignment readingOrder="0"/>
    </xf>
    <xf borderId="0" fillId="0" fontId="3" numFmtId="9" xfId="0" applyFont="1" applyNumberFormat="1"/>
    <xf borderId="9" fillId="11" fontId="10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2" fontId="10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5" fontId="3" numFmtId="166" xfId="0" applyAlignment="1" applyFont="1" applyNumberFormat="1">
      <alignment readingOrder="0"/>
    </xf>
    <xf borderId="0" fillId="13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0" fontId="3" numFmtId="0" xfId="0" applyFont="1"/>
    <xf borderId="0" fillId="0" fontId="5" numFmtId="0" xfId="0" applyAlignment="1" applyFont="1">
      <alignment horizontal="center" readingOrder="0" vertical="center"/>
    </xf>
    <xf borderId="0" fillId="10" fontId="3" numFmtId="0" xfId="0" applyFont="1"/>
    <xf borderId="0" fillId="0" fontId="3" numFmtId="49" xfId="0" applyFont="1" applyNumberFormat="1"/>
    <xf borderId="7" fillId="14" fontId="5" numFmtId="0" xfId="0" applyAlignment="1" applyBorder="1" applyFill="1" applyFont="1">
      <alignment horizontal="center" readingOrder="0" shrinkToFit="0" vertical="center" wrapText="1"/>
    </xf>
    <xf borderId="1" fillId="0" fontId="6" numFmtId="0" xfId="0" applyBorder="1" applyFont="1"/>
    <xf borderId="7" fillId="15" fontId="13" numFmtId="0" xfId="0" applyAlignment="1" applyBorder="1" applyFill="1" applyFont="1">
      <alignment horizontal="center" readingOrder="0" shrinkToFit="0" vertical="center" wrapText="1"/>
    </xf>
    <xf borderId="2" fillId="0" fontId="6" numFmtId="0" xfId="0" applyBorder="1" applyFont="1"/>
    <xf borderId="7" fillId="10" fontId="5" numFmtId="0" xfId="0" applyAlignment="1" applyBorder="1" applyFont="1">
      <alignment horizontal="center" readingOrder="0" shrinkToFit="0" vertical="center" wrapText="1"/>
    </xf>
    <xf borderId="1" fillId="10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16" fontId="5" numFmtId="0" xfId="0" applyAlignment="1" applyFill="1" applyFont="1">
      <alignment horizontal="center" readingOrder="0" shrinkToFit="0" vertical="center" wrapText="1"/>
    </xf>
    <xf borderId="0" fillId="10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6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6" t="s">
        <v>10</v>
      </c>
      <c r="L1" s="7" t="s">
        <v>11</v>
      </c>
      <c r="M1" s="8"/>
      <c r="N1" s="9"/>
      <c r="O1" s="9"/>
      <c r="P1" s="9"/>
    </row>
    <row r="2" ht="39.0" hidden="1" customHeight="1">
      <c r="A2" s="10">
        <v>6.0</v>
      </c>
      <c r="B2" s="11" t="s">
        <v>12</v>
      </c>
      <c r="C2" s="12"/>
      <c r="D2" s="13"/>
      <c r="E2" s="13"/>
      <c r="F2" s="14"/>
      <c r="G2" s="14"/>
      <c r="H2" s="14"/>
      <c r="I2" s="15"/>
      <c r="J2" s="14"/>
      <c r="K2" s="15"/>
      <c r="L2" s="14"/>
      <c r="M2" s="14"/>
      <c r="N2" s="16"/>
      <c r="O2" s="14"/>
      <c r="P2" s="14"/>
    </row>
    <row r="3" hidden="1">
      <c r="A3" s="17">
        <v>167.0</v>
      </c>
      <c r="B3" s="17" t="s">
        <v>13</v>
      </c>
      <c r="C3" s="18">
        <v>45570.0</v>
      </c>
      <c r="D3" s="18"/>
      <c r="E3" s="18"/>
      <c r="F3" s="14"/>
      <c r="G3" s="14"/>
      <c r="H3" s="14"/>
      <c r="I3" s="15"/>
      <c r="J3" s="14"/>
      <c r="K3" s="15"/>
      <c r="L3" s="19"/>
      <c r="M3" s="14"/>
      <c r="N3" s="20"/>
      <c r="O3" s="14"/>
      <c r="P3" s="14"/>
    </row>
    <row r="4" ht="19.5" customHeight="1">
      <c r="A4" s="21">
        <v>48.0</v>
      </c>
      <c r="B4" s="22" t="s">
        <v>14</v>
      </c>
      <c r="C4" s="18">
        <v>45679.0</v>
      </c>
      <c r="D4" s="23">
        <v>395.0</v>
      </c>
      <c r="E4" s="23" t="s">
        <v>15</v>
      </c>
      <c r="F4" s="19">
        <v>57.2457163045398</v>
      </c>
      <c r="G4" s="24">
        <v>1.99999999999998</v>
      </c>
      <c r="H4" s="24">
        <v>153.7</v>
      </c>
      <c r="I4" s="24">
        <f>-24.6+
3369.18+
163.23
</f>
        <v>3507.81</v>
      </c>
      <c r="J4" s="19">
        <v>30.0</v>
      </c>
      <c r="K4" s="24">
        <f t="shared" ref="K4:K8" si="1">I4/H4</f>
        <v>22.82244632</v>
      </c>
      <c r="L4" s="14">
        <f>J4*'Data preparation'!$C$2</f>
        <v>9</v>
      </c>
    </row>
    <row r="5">
      <c r="A5" s="17">
        <v>55.0</v>
      </c>
      <c r="B5" s="22" t="s">
        <v>16</v>
      </c>
      <c r="C5" s="18">
        <v>45679.0</v>
      </c>
      <c r="D5" s="23">
        <v>724.0</v>
      </c>
      <c r="E5" s="23" t="s">
        <v>15</v>
      </c>
      <c r="F5" s="24">
        <v>57.7626974489822</v>
      </c>
      <c r="G5" s="24">
        <v>7.0</v>
      </c>
      <c r="H5" s="24">
        <v>174.21</v>
      </c>
      <c r="I5" s="24">
        <f>1224.87+
478.33+
122.61
</f>
        <v>1825.81</v>
      </c>
      <c r="J5" s="24">
        <f>60/2</f>
        <v>30</v>
      </c>
      <c r="K5" s="24">
        <f t="shared" si="1"/>
        <v>10.48051203</v>
      </c>
      <c r="L5" s="14">
        <f>J5*'Data preparation'!$C$2</f>
        <v>9</v>
      </c>
      <c r="N5" s="25"/>
    </row>
    <row r="6">
      <c r="A6" s="26">
        <v>59.0</v>
      </c>
      <c r="B6" s="26" t="s">
        <v>17</v>
      </c>
      <c r="C6" s="18">
        <v>45680.0</v>
      </c>
      <c r="D6" s="23">
        <v>935.0</v>
      </c>
      <c r="E6" s="23" t="s">
        <v>15</v>
      </c>
      <c r="F6" s="24">
        <v>61.8147668934429</v>
      </c>
      <c r="G6" s="24">
        <v>5.0</v>
      </c>
      <c r="H6" s="24">
        <v>149.66</v>
      </c>
      <c r="I6" s="24">
        <f>861.06+
7577.03+
-15.69
</f>
        <v>8422.4</v>
      </c>
      <c r="J6" s="24">
        <f>50/2</f>
        <v>25</v>
      </c>
      <c r="K6" s="24">
        <f t="shared" si="1"/>
        <v>56.27689429</v>
      </c>
      <c r="L6" s="14">
        <f>J6*'Data preparation'!$C$2</f>
        <v>7.5</v>
      </c>
    </row>
    <row r="7">
      <c r="A7" s="17">
        <v>77.0</v>
      </c>
      <c r="B7" s="17" t="s">
        <v>18</v>
      </c>
      <c r="C7" s="18">
        <v>45677.0</v>
      </c>
      <c r="D7" s="23">
        <v>47.0</v>
      </c>
      <c r="E7" s="23" t="s">
        <v>15</v>
      </c>
      <c r="F7" s="24">
        <v>60.7563651137594</v>
      </c>
      <c r="G7" s="24">
        <v>12.0</v>
      </c>
      <c r="H7" s="24">
        <v>152.96</v>
      </c>
      <c r="I7" s="24">
        <f>66+
2085.95+
204.69
</f>
        <v>2356.64</v>
      </c>
      <c r="J7" s="19">
        <v>60.0</v>
      </c>
      <c r="K7" s="24">
        <f t="shared" si="1"/>
        <v>15.40690377</v>
      </c>
      <c r="L7" s="14">
        <f>J7*'Data preparation'!$C$2</f>
        <v>18</v>
      </c>
    </row>
    <row r="8">
      <c r="A8" s="17">
        <v>148.0</v>
      </c>
      <c r="B8" s="17" t="s">
        <v>19</v>
      </c>
      <c r="C8" s="18">
        <v>45677.0</v>
      </c>
      <c r="D8" s="23">
        <v>112.0</v>
      </c>
      <c r="E8" s="23" t="s">
        <v>15</v>
      </c>
      <c r="F8" s="24">
        <v>56.318574213311</v>
      </c>
      <c r="G8" s="24">
        <v>8.0</v>
      </c>
      <c r="H8" s="24">
        <v>127.26</v>
      </c>
      <c r="I8" s="24">
        <f>1920.79+
729.18+
-17.44
</f>
        <v>2632.53</v>
      </c>
      <c r="J8" s="19">
        <v>40.0</v>
      </c>
      <c r="K8" s="24">
        <f t="shared" si="1"/>
        <v>20.68623291</v>
      </c>
      <c r="L8" s="14">
        <f>J8*'Data preparation'!$C$2</f>
        <v>12</v>
      </c>
    </row>
    <row r="9" ht="20.25" customHeight="1">
      <c r="F9" s="14"/>
      <c r="G9" s="14"/>
      <c r="H9" s="14"/>
      <c r="I9" s="15"/>
      <c r="J9" s="14"/>
      <c r="K9" s="15"/>
    </row>
    <row r="10" ht="20.25" customHeight="1">
      <c r="I10" s="27"/>
      <c r="K10" s="27"/>
    </row>
    <row r="11">
      <c r="I11" s="27"/>
      <c r="K11" s="27"/>
      <c r="L11" s="28"/>
      <c r="M11" s="28"/>
    </row>
    <row r="12" ht="20.25" customHeight="1">
      <c r="F12" s="29"/>
      <c r="G12" s="29"/>
      <c r="H12" s="29"/>
      <c r="I12" s="30"/>
      <c r="J12" s="29"/>
      <c r="K12" s="30"/>
      <c r="L12" s="31"/>
      <c r="M12" s="31"/>
      <c r="N12" s="29"/>
      <c r="O12" s="29"/>
    </row>
    <row r="13">
      <c r="A13" s="32"/>
      <c r="C13" s="33"/>
      <c r="G13" s="34"/>
      <c r="H13" s="34"/>
      <c r="I13" s="34"/>
      <c r="K13" s="34"/>
    </row>
    <row r="14">
      <c r="C14" s="33"/>
      <c r="F14" s="34"/>
      <c r="G14" s="34"/>
      <c r="H14" s="34"/>
      <c r="I14" s="34"/>
      <c r="J14" s="34"/>
      <c r="K14" s="34"/>
    </row>
    <row r="15">
      <c r="C15" s="33"/>
      <c r="F15" s="34"/>
      <c r="G15" s="34"/>
      <c r="H15" s="34"/>
      <c r="I15" s="34"/>
      <c r="J15" s="34"/>
      <c r="K15" s="34"/>
    </row>
    <row r="16">
      <c r="C16" s="33"/>
      <c r="F16" s="34"/>
      <c r="I16" s="27"/>
      <c r="K16" s="34"/>
    </row>
    <row r="17">
      <c r="C17" s="33"/>
      <c r="F17" s="34"/>
      <c r="H17" s="35"/>
      <c r="I17" s="27"/>
      <c r="K17" s="34"/>
    </row>
    <row r="18">
      <c r="C18" s="33"/>
      <c r="F18" s="34"/>
      <c r="I18" s="27"/>
      <c r="K18" s="27"/>
    </row>
    <row r="19">
      <c r="C19" s="33"/>
      <c r="F19" s="34"/>
      <c r="G19" s="36"/>
      <c r="H19" s="36"/>
      <c r="I19" s="34"/>
      <c r="J19" s="36"/>
      <c r="K19" s="34"/>
      <c r="N19" s="36"/>
    </row>
    <row r="20">
      <c r="C20" s="33"/>
      <c r="F20" s="34"/>
      <c r="G20" s="36"/>
      <c r="H20" s="36"/>
      <c r="I20" s="34"/>
      <c r="J20" s="36"/>
      <c r="K20" s="34"/>
      <c r="N20" s="36"/>
    </row>
    <row r="21">
      <c r="F21" s="36"/>
      <c r="G21" s="36"/>
      <c r="H21" s="36"/>
      <c r="I21" s="34"/>
      <c r="J21" s="36"/>
      <c r="K21" s="34"/>
      <c r="N21" s="36"/>
    </row>
    <row r="22">
      <c r="E22" s="35"/>
      <c r="I22" s="34"/>
      <c r="J22" s="35"/>
      <c r="K22" s="27"/>
    </row>
    <row r="23">
      <c r="E23" s="35"/>
      <c r="I23" s="34"/>
      <c r="J23" s="35"/>
      <c r="K23" s="27"/>
    </row>
    <row r="24">
      <c r="I24" s="27"/>
      <c r="K24" s="27"/>
    </row>
    <row r="25">
      <c r="F25" s="36"/>
      <c r="G25" s="36"/>
      <c r="H25" s="36"/>
      <c r="I25" s="34"/>
      <c r="J25" s="36"/>
      <c r="K25" s="34"/>
    </row>
    <row r="26">
      <c r="F26" s="36"/>
      <c r="G26" s="36"/>
      <c r="H26" s="36"/>
      <c r="I26" s="34"/>
      <c r="J26" s="36"/>
      <c r="K26" s="34"/>
    </row>
    <row r="27">
      <c r="A27" s="32"/>
      <c r="C27" s="33"/>
      <c r="G27" s="34"/>
      <c r="H27" s="34"/>
      <c r="I27" s="34"/>
      <c r="K27" s="34"/>
    </row>
    <row r="28">
      <c r="C28" s="33"/>
      <c r="F28" s="34"/>
      <c r="G28" s="34"/>
      <c r="H28" s="34"/>
      <c r="I28" s="34"/>
      <c r="J28" s="34"/>
      <c r="K28" s="34"/>
    </row>
    <row r="29">
      <c r="C29" s="33"/>
      <c r="F29" s="34"/>
      <c r="G29" s="34"/>
      <c r="H29" s="34"/>
      <c r="I29" s="34"/>
      <c r="J29" s="34"/>
      <c r="K29" s="34"/>
    </row>
    <row r="30">
      <c r="C30" s="33"/>
      <c r="F30" s="34"/>
      <c r="G30" s="34"/>
      <c r="H30" s="34"/>
      <c r="I30" s="34"/>
      <c r="K30" s="34"/>
    </row>
    <row r="31">
      <c r="C31" s="33"/>
      <c r="F31" s="34"/>
      <c r="G31" s="34"/>
      <c r="H31" s="34"/>
      <c r="I31" s="34"/>
      <c r="K31" s="34"/>
    </row>
    <row r="32">
      <c r="I32" s="27"/>
      <c r="K32" s="27"/>
      <c r="N32" s="36"/>
    </row>
    <row r="33">
      <c r="I33" s="27"/>
      <c r="K33" s="27"/>
      <c r="N33" s="36"/>
    </row>
    <row r="34">
      <c r="I34" s="27"/>
      <c r="K34" s="27"/>
      <c r="N34" s="36"/>
    </row>
    <row r="35">
      <c r="I35" s="27"/>
      <c r="K35" s="27"/>
    </row>
    <row r="36">
      <c r="I36" s="27"/>
      <c r="K36" s="27"/>
    </row>
    <row r="37">
      <c r="I37" s="27"/>
      <c r="K37" s="27"/>
    </row>
    <row r="38">
      <c r="I38" s="27"/>
      <c r="K38" s="27"/>
    </row>
    <row r="39">
      <c r="I39" s="27"/>
      <c r="K39" s="27"/>
    </row>
    <row r="40">
      <c r="I40" s="27"/>
      <c r="K40" s="27"/>
    </row>
    <row r="41">
      <c r="I41" s="27"/>
      <c r="K41" s="27"/>
    </row>
    <row r="42">
      <c r="I42" s="27"/>
      <c r="K42" s="27"/>
    </row>
    <row r="43">
      <c r="I43" s="27"/>
      <c r="K43" s="27"/>
    </row>
    <row r="44">
      <c r="I44" s="27"/>
      <c r="K44" s="27"/>
    </row>
    <row r="45">
      <c r="I45" s="27"/>
      <c r="K45" s="27"/>
    </row>
    <row r="46">
      <c r="I46" s="27"/>
      <c r="K46" s="27"/>
    </row>
    <row r="47">
      <c r="I47" s="27"/>
      <c r="K47" s="27"/>
    </row>
    <row r="48">
      <c r="I48" s="27"/>
      <c r="K48" s="27"/>
    </row>
    <row r="49">
      <c r="I49" s="27"/>
      <c r="K49" s="27"/>
    </row>
    <row r="50">
      <c r="I50" s="27"/>
      <c r="K50" s="27"/>
    </row>
    <row r="51">
      <c r="I51" s="27"/>
      <c r="K51" s="27"/>
    </row>
    <row r="52">
      <c r="I52" s="27"/>
      <c r="K52" s="27"/>
    </row>
    <row r="53">
      <c r="I53" s="27"/>
      <c r="K53" s="27"/>
    </row>
    <row r="54">
      <c r="I54" s="27"/>
      <c r="K54" s="27"/>
    </row>
    <row r="55">
      <c r="I55" s="27"/>
      <c r="K55" s="27"/>
    </row>
    <row r="56">
      <c r="I56" s="27"/>
      <c r="K56" s="27"/>
    </row>
    <row r="57">
      <c r="I57" s="27"/>
      <c r="K57" s="27"/>
    </row>
    <row r="58">
      <c r="I58" s="27"/>
      <c r="K58" s="27"/>
    </row>
    <row r="59">
      <c r="I59" s="27"/>
      <c r="K59" s="27"/>
    </row>
    <row r="60">
      <c r="I60" s="27"/>
      <c r="K60" s="27"/>
    </row>
    <row r="61">
      <c r="I61" s="27"/>
      <c r="K61" s="27"/>
    </row>
    <row r="62">
      <c r="I62" s="27"/>
      <c r="K62" s="27"/>
    </row>
    <row r="63">
      <c r="I63" s="27"/>
      <c r="K63" s="27"/>
    </row>
    <row r="64">
      <c r="I64" s="27"/>
      <c r="K64" s="27"/>
    </row>
    <row r="65">
      <c r="I65" s="27"/>
      <c r="K65" s="27"/>
    </row>
    <row r="66">
      <c r="I66" s="27"/>
      <c r="K66" s="27"/>
    </row>
    <row r="67">
      <c r="I67" s="27"/>
      <c r="K67" s="27"/>
    </row>
    <row r="68">
      <c r="I68" s="27"/>
      <c r="K68" s="27"/>
    </row>
    <row r="69">
      <c r="I69" s="27"/>
      <c r="K69" s="27"/>
    </row>
    <row r="70">
      <c r="I70" s="27"/>
      <c r="K70" s="27"/>
    </row>
    <row r="71">
      <c r="I71" s="27"/>
      <c r="K71" s="27"/>
    </row>
    <row r="72">
      <c r="I72" s="27"/>
      <c r="K72" s="27"/>
    </row>
    <row r="73">
      <c r="I73" s="27"/>
      <c r="K73" s="27"/>
    </row>
    <row r="74">
      <c r="I74" s="27"/>
      <c r="K74" s="27"/>
    </row>
    <row r="75">
      <c r="I75" s="27"/>
      <c r="K75" s="27"/>
    </row>
    <row r="76">
      <c r="I76" s="27"/>
      <c r="K76" s="27"/>
    </row>
    <row r="77">
      <c r="I77" s="27"/>
      <c r="K77" s="27"/>
    </row>
    <row r="78">
      <c r="I78" s="27"/>
      <c r="K78" s="27"/>
    </row>
    <row r="79">
      <c r="I79" s="27"/>
      <c r="K79" s="27"/>
    </row>
    <row r="80">
      <c r="I80" s="27"/>
      <c r="K80" s="27"/>
    </row>
    <row r="81">
      <c r="I81" s="27"/>
      <c r="K81" s="27"/>
    </row>
    <row r="82">
      <c r="I82" s="27"/>
      <c r="K82" s="27"/>
    </row>
    <row r="83">
      <c r="I83" s="27"/>
      <c r="K83" s="27"/>
    </row>
    <row r="84">
      <c r="I84" s="27"/>
      <c r="K84" s="27"/>
    </row>
    <row r="85">
      <c r="I85" s="27"/>
      <c r="K85" s="27"/>
    </row>
    <row r="86">
      <c r="I86" s="27"/>
      <c r="K86" s="27"/>
    </row>
    <row r="87">
      <c r="I87" s="27"/>
      <c r="K87" s="27"/>
    </row>
    <row r="88">
      <c r="I88" s="27"/>
      <c r="K88" s="27"/>
    </row>
    <row r="89">
      <c r="I89" s="27"/>
      <c r="K89" s="27"/>
    </row>
    <row r="90">
      <c r="I90" s="27"/>
      <c r="K90" s="27"/>
    </row>
    <row r="91">
      <c r="I91" s="27"/>
      <c r="K91" s="27"/>
    </row>
    <row r="92">
      <c r="I92" s="27"/>
      <c r="K92" s="27"/>
    </row>
    <row r="93">
      <c r="I93" s="27"/>
      <c r="K93" s="27"/>
    </row>
    <row r="94">
      <c r="I94" s="27"/>
      <c r="K94" s="27"/>
    </row>
    <row r="95">
      <c r="I95" s="27"/>
      <c r="K95" s="27"/>
    </row>
    <row r="96">
      <c r="I96" s="27"/>
      <c r="K96" s="27"/>
    </row>
    <row r="97">
      <c r="I97" s="27"/>
      <c r="K97" s="27"/>
    </row>
    <row r="98">
      <c r="I98" s="27"/>
      <c r="K98" s="27"/>
    </row>
    <row r="99">
      <c r="I99" s="27"/>
      <c r="K99" s="27"/>
    </row>
    <row r="100">
      <c r="I100" s="27"/>
      <c r="K100" s="27"/>
    </row>
    <row r="101">
      <c r="I101" s="27"/>
      <c r="K101" s="27"/>
    </row>
    <row r="102">
      <c r="I102" s="27"/>
      <c r="K102" s="27"/>
    </row>
    <row r="103">
      <c r="I103" s="27"/>
      <c r="K103" s="27"/>
      <c r="L103" s="19"/>
    </row>
    <row r="104">
      <c r="I104" s="27"/>
      <c r="K104" s="27"/>
      <c r="L104" s="19"/>
    </row>
    <row r="105">
      <c r="I105" s="27"/>
      <c r="K105" s="27"/>
      <c r="L105" s="19"/>
    </row>
    <row r="106">
      <c r="I106" s="27"/>
      <c r="K106" s="27"/>
      <c r="L106" s="19"/>
    </row>
    <row r="107">
      <c r="I107" s="27"/>
      <c r="K107" s="27"/>
      <c r="L107" s="19"/>
    </row>
    <row r="108">
      <c r="I108" s="27"/>
      <c r="K108" s="27"/>
      <c r="L108" s="19"/>
    </row>
    <row r="109">
      <c r="I109" s="27"/>
      <c r="K109" s="27"/>
      <c r="L109" s="19"/>
    </row>
    <row r="110">
      <c r="I110" s="27"/>
      <c r="K110" s="27"/>
      <c r="L110" s="19"/>
    </row>
    <row r="111">
      <c r="I111" s="27"/>
      <c r="K111" s="27"/>
      <c r="L111" s="19"/>
    </row>
    <row r="112">
      <c r="I112" s="27"/>
      <c r="K112" s="27"/>
      <c r="L112" s="19"/>
    </row>
    <row r="113">
      <c r="I113" s="27"/>
      <c r="K113" s="27"/>
      <c r="L113" s="19"/>
    </row>
    <row r="114">
      <c r="I114" s="27"/>
      <c r="K114" s="27"/>
      <c r="L114" s="19"/>
    </row>
    <row r="115">
      <c r="I115" s="27"/>
      <c r="K115" s="27"/>
      <c r="L115" s="19"/>
    </row>
    <row r="116">
      <c r="I116" s="27"/>
      <c r="K116" s="27"/>
      <c r="L116" s="19"/>
    </row>
    <row r="117">
      <c r="I117" s="27"/>
      <c r="K117" s="27"/>
      <c r="L117" s="19"/>
    </row>
    <row r="118">
      <c r="I118" s="27"/>
      <c r="K118" s="27"/>
      <c r="L118" s="19"/>
    </row>
    <row r="119">
      <c r="I119" s="27"/>
      <c r="K119" s="27"/>
      <c r="L119" s="19"/>
    </row>
    <row r="120">
      <c r="I120" s="27"/>
      <c r="K120" s="27"/>
      <c r="L120" s="19"/>
    </row>
    <row r="121">
      <c r="I121" s="27"/>
      <c r="K121" s="27"/>
      <c r="L121" s="19"/>
    </row>
    <row r="122">
      <c r="I122" s="27"/>
      <c r="K122" s="27"/>
      <c r="L122" s="19"/>
    </row>
    <row r="123">
      <c r="I123" s="27"/>
      <c r="K123" s="27"/>
      <c r="L123" s="19"/>
    </row>
    <row r="124">
      <c r="I124" s="27"/>
      <c r="K124" s="27"/>
      <c r="L124" s="19"/>
    </row>
    <row r="125">
      <c r="I125" s="27"/>
      <c r="K125" s="27"/>
      <c r="L125" s="19"/>
    </row>
    <row r="126">
      <c r="I126" s="27"/>
      <c r="K126" s="27"/>
      <c r="L126" s="19"/>
    </row>
    <row r="127">
      <c r="I127" s="27"/>
      <c r="K127" s="27"/>
      <c r="L127" s="19"/>
    </row>
    <row r="128">
      <c r="I128" s="27"/>
      <c r="K128" s="27"/>
      <c r="L128" s="19"/>
    </row>
    <row r="129">
      <c r="I129" s="27"/>
      <c r="K129" s="27"/>
      <c r="L129" s="19"/>
    </row>
    <row r="130">
      <c r="I130" s="27"/>
      <c r="K130" s="27"/>
      <c r="L130" s="19"/>
    </row>
    <row r="131">
      <c r="I131" s="27"/>
      <c r="K131" s="27"/>
      <c r="L131" s="19"/>
    </row>
    <row r="132">
      <c r="I132" s="27"/>
      <c r="K132" s="27"/>
      <c r="L132" s="19"/>
    </row>
    <row r="133">
      <c r="I133" s="27"/>
      <c r="K133" s="27"/>
    </row>
    <row r="134">
      <c r="I134" s="27"/>
      <c r="K134" s="27"/>
    </row>
    <row r="135">
      <c r="I135" s="27"/>
      <c r="K135" s="27"/>
    </row>
    <row r="136">
      <c r="I136" s="27"/>
      <c r="K136" s="27"/>
    </row>
    <row r="137">
      <c r="I137" s="27"/>
      <c r="K137" s="27"/>
    </row>
    <row r="138">
      <c r="I138" s="27"/>
      <c r="K138" s="27"/>
    </row>
    <row r="139">
      <c r="I139" s="27"/>
      <c r="K139" s="27"/>
    </row>
    <row r="140">
      <c r="I140" s="27"/>
      <c r="K140" s="27"/>
    </row>
    <row r="141">
      <c r="I141" s="27"/>
      <c r="K141" s="27"/>
    </row>
    <row r="142">
      <c r="I142" s="27"/>
      <c r="K142" s="27"/>
    </row>
    <row r="143">
      <c r="I143" s="27"/>
      <c r="K143" s="27"/>
    </row>
    <row r="144">
      <c r="I144" s="27"/>
      <c r="K144" s="27"/>
    </row>
    <row r="145">
      <c r="I145" s="27"/>
      <c r="K145" s="27"/>
    </row>
    <row r="146">
      <c r="I146" s="27"/>
      <c r="K146" s="27"/>
    </row>
    <row r="147">
      <c r="I147" s="27"/>
      <c r="K147" s="27"/>
    </row>
    <row r="148">
      <c r="I148" s="27"/>
      <c r="K148" s="27"/>
    </row>
    <row r="149">
      <c r="I149" s="27"/>
      <c r="K149" s="27"/>
    </row>
    <row r="150">
      <c r="I150" s="27"/>
      <c r="K150" s="27"/>
    </row>
    <row r="151">
      <c r="I151" s="27"/>
      <c r="K151" s="27"/>
    </row>
    <row r="152">
      <c r="I152" s="27"/>
      <c r="K152" s="27"/>
    </row>
    <row r="153">
      <c r="I153" s="27"/>
      <c r="K153" s="27"/>
    </row>
    <row r="154">
      <c r="I154" s="27"/>
      <c r="K154" s="27"/>
    </row>
    <row r="155">
      <c r="I155" s="27"/>
      <c r="K155" s="27"/>
    </row>
    <row r="156">
      <c r="I156" s="27"/>
      <c r="K156" s="27"/>
    </row>
    <row r="157">
      <c r="I157" s="27"/>
      <c r="K157" s="27"/>
    </row>
    <row r="158">
      <c r="I158" s="27"/>
      <c r="K158" s="27"/>
    </row>
    <row r="159">
      <c r="I159" s="27"/>
      <c r="K159" s="27"/>
    </row>
    <row r="160">
      <c r="I160" s="27"/>
      <c r="K160" s="27"/>
    </row>
    <row r="161">
      <c r="I161" s="27"/>
      <c r="K161" s="27"/>
    </row>
    <row r="162">
      <c r="I162" s="27"/>
      <c r="K162" s="27"/>
    </row>
    <row r="163">
      <c r="I163" s="27"/>
      <c r="K163" s="27"/>
    </row>
    <row r="164">
      <c r="I164" s="27"/>
      <c r="K164" s="27"/>
    </row>
    <row r="165">
      <c r="I165" s="27"/>
      <c r="K165" s="27"/>
    </row>
    <row r="166">
      <c r="I166" s="27"/>
      <c r="K166" s="27"/>
    </row>
    <row r="167">
      <c r="I167" s="27"/>
      <c r="K167" s="27"/>
    </row>
    <row r="168">
      <c r="I168" s="27"/>
      <c r="K168" s="27"/>
    </row>
    <row r="169">
      <c r="I169" s="27"/>
      <c r="K169" s="27"/>
    </row>
    <row r="170">
      <c r="I170" s="27"/>
      <c r="K170" s="27"/>
    </row>
    <row r="171">
      <c r="I171" s="27"/>
      <c r="K171" s="27"/>
    </row>
    <row r="172">
      <c r="I172" s="27"/>
      <c r="K172" s="27"/>
    </row>
    <row r="173">
      <c r="I173" s="27"/>
      <c r="K173" s="27"/>
    </row>
    <row r="174">
      <c r="I174" s="27"/>
      <c r="K174" s="27"/>
    </row>
    <row r="175">
      <c r="I175" s="27"/>
      <c r="K175" s="27"/>
    </row>
    <row r="176">
      <c r="I176" s="27"/>
      <c r="K176" s="27"/>
    </row>
    <row r="177">
      <c r="I177" s="27"/>
      <c r="K177" s="27"/>
    </row>
    <row r="178">
      <c r="I178" s="27"/>
      <c r="K178" s="27"/>
    </row>
    <row r="179">
      <c r="I179" s="27"/>
      <c r="K179" s="27"/>
    </row>
    <row r="180">
      <c r="I180" s="27"/>
      <c r="K180" s="27"/>
    </row>
    <row r="181">
      <c r="I181" s="27"/>
      <c r="K181" s="27"/>
    </row>
    <row r="182">
      <c r="I182" s="27"/>
      <c r="K182" s="27"/>
    </row>
    <row r="183">
      <c r="I183" s="27"/>
      <c r="K183" s="27"/>
    </row>
    <row r="184">
      <c r="I184" s="27"/>
      <c r="K184" s="27"/>
    </row>
    <row r="185">
      <c r="I185" s="27"/>
      <c r="K185" s="27"/>
    </row>
    <row r="186">
      <c r="I186" s="27"/>
      <c r="K186" s="27"/>
    </row>
    <row r="187">
      <c r="I187" s="27"/>
      <c r="K187" s="27"/>
    </row>
    <row r="188">
      <c r="I188" s="27"/>
      <c r="K188" s="27"/>
    </row>
    <row r="189">
      <c r="I189" s="27"/>
      <c r="K189" s="27"/>
    </row>
    <row r="190">
      <c r="I190" s="27"/>
      <c r="K190" s="27"/>
    </row>
    <row r="191">
      <c r="I191" s="27"/>
      <c r="K191" s="27"/>
    </row>
    <row r="192">
      <c r="I192" s="27"/>
      <c r="K192" s="27"/>
    </row>
    <row r="193">
      <c r="I193" s="27"/>
      <c r="K193" s="27"/>
    </row>
    <row r="194">
      <c r="I194" s="27"/>
      <c r="K194" s="27"/>
    </row>
    <row r="195">
      <c r="I195" s="27"/>
      <c r="K195" s="27"/>
    </row>
    <row r="196">
      <c r="I196" s="27"/>
      <c r="K196" s="27"/>
    </row>
    <row r="197">
      <c r="I197" s="27"/>
      <c r="K197" s="27"/>
    </row>
    <row r="198">
      <c r="I198" s="27"/>
      <c r="K198" s="27"/>
    </row>
    <row r="199">
      <c r="I199" s="27"/>
      <c r="K199" s="27"/>
    </row>
    <row r="200">
      <c r="I200" s="27"/>
      <c r="K200" s="27"/>
    </row>
    <row r="201">
      <c r="I201" s="27"/>
      <c r="K201" s="27"/>
    </row>
    <row r="202">
      <c r="I202" s="27"/>
      <c r="K202" s="27"/>
    </row>
    <row r="203">
      <c r="I203" s="27"/>
      <c r="K203" s="27"/>
    </row>
    <row r="204">
      <c r="I204" s="27"/>
      <c r="K204" s="27"/>
    </row>
    <row r="205">
      <c r="I205" s="27"/>
      <c r="K205" s="27"/>
    </row>
    <row r="206">
      <c r="I206" s="27"/>
      <c r="K206" s="27"/>
    </row>
    <row r="207">
      <c r="I207" s="27"/>
      <c r="K207" s="27"/>
    </row>
    <row r="208">
      <c r="I208" s="27"/>
      <c r="K208" s="27"/>
    </row>
    <row r="209">
      <c r="I209" s="27"/>
      <c r="K209" s="27"/>
    </row>
    <row r="210">
      <c r="I210" s="27"/>
      <c r="K210" s="27"/>
    </row>
    <row r="211">
      <c r="I211" s="27"/>
      <c r="K211" s="27"/>
    </row>
    <row r="212">
      <c r="I212" s="27"/>
      <c r="K212" s="27"/>
    </row>
    <row r="213">
      <c r="I213" s="27"/>
      <c r="K213" s="27"/>
    </row>
    <row r="214">
      <c r="I214" s="27"/>
      <c r="K214" s="27"/>
    </row>
    <row r="215">
      <c r="I215" s="27"/>
      <c r="K215" s="27"/>
    </row>
    <row r="216">
      <c r="I216" s="27"/>
      <c r="K216" s="27"/>
    </row>
    <row r="217">
      <c r="I217" s="27"/>
      <c r="K217" s="27"/>
    </row>
    <row r="218">
      <c r="I218" s="27"/>
      <c r="K218" s="27"/>
    </row>
    <row r="219">
      <c r="I219" s="27"/>
      <c r="K219" s="27"/>
    </row>
    <row r="220">
      <c r="I220" s="27"/>
      <c r="K220" s="27"/>
    </row>
    <row r="221">
      <c r="I221" s="27"/>
      <c r="K221" s="27"/>
    </row>
    <row r="222">
      <c r="I222" s="27"/>
      <c r="K222" s="27"/>
    </row>
    <row r="223">
      <c r="I223" s="27"/>
      <c r="K223" s="27"/>
    </row>
    <row r="224">
      <c r="I224" s="27"/>
      <c r="K224" s="27"/>
    </row>
    <row r="225">
      <c r="I225" s="27"/>
      <c r="K225" s="27"/>
    </row>
    <row r="226">
      <c r="I226" s="27"/>
      <c r="K226" s="27"/>
    </row>
    <row r="227">
      <c r="I227" s="27"/>
      <c r="K227" s="27"/>
    </row>
    <row r="228">
      <c r="I228" s="27"/>
      <c r="K228" s="27"/>
    </row>
    <row r="229">
      <c r="I229" s="27"/>
      <c r="K229" s="27"/>
    </row>
    <row r="230">
      <c r="I230" s="27"/>
      <c r="K230" s="27"/>
    </row>
    <row r="231">
      <c r="I231" s="27"/>
      <c r="K231" s="27"/>
    </row>
    <row r="232">
      <c r="I232" s="27"/>
      <c r="K232" s="27"/>
    </row>
    <row r="233">
      <c r="I233" s="27"/>
      <c r="K233" s="27"/>
    </row>
    <row r="234">
      <c r="I234" s="27"/>
      <c r="K234" s="27"/>
    </row>
    <row r="235">
      <c r="I235" s="27"/>
      <c r="K235" s="27"/>
    </row>
    <row r="236">
      <c r="I236" s="27"/>
      <c r="K236" s="27"/>
    </row>
    <row r="237">
      <c r="I237" s="27"/>
      <c r="K237" s="27"/>
    </row>
    <row r="238">
      <c r="I238" s="27"/>
      <c r="K238" s="27"/>
    </row>
    <row r="239">
      <c r="I239" s="27"/>
      <c r="K239" s="27"/>
    </row>
    <row r="240">
      <c r="I240" s="27"/>
      <c r="K240" s="27"/>
    </row>
    <row r="241">
      <c r="I241" s="27"/>
      <c r="K241" s="27"/>
    </row>
    <row r="242">
      <c r="I242" s="27"/>
      <c r="K242" s="27"/>
    </row>
    <row r="243">
      <c r="I243" s="27"/>
      <c r="K243" s="27"/>
    </row>
    <row r="244">
      <c r="I244" s="27"/>
      <c r="K244" s="27"/>
    </row>
    <row r="245">
      <c r="I245" s="27"/>
      <c r="K245" s="27"/>
    </row>
    <row r="246">
      <c r="I246" s="27"/>
      <c r="K246" s="27"/>
    </row>
    <row r="247">
      <c r="I247" s="27"/>
      <c r="K247" s="27"/>
    </row>
    <row r="248">
      <c r="I248" s="27"/>
      <c r="K248" s="27"/>
    </row>
    <row r="249">
      <c r="I249" s="27"/>
      <c r="K249" s="27"/>
    </row>
    <row r="250">
      <c r="I250" s="27"/>
      <c r="K250" s="27"/>
    </row>
    <row r="251">
      <c r="I251" s="27"/>
      <c r="K251" s="27"/>
    </row>
    <row r="252">
      <c r="I252" s="27"/>
      <c r="K252" s="27"/>
    </row>
    <row r="253">
      <c r="I253" s="27"/>
      <c r="K253" s="27"/>
    </row>
    <row r="254">
      <c r="I254" s="27"/>
      <c r="K254" s="27"/>
    </row>
    <row r="255">
      <c r="I255" s="27"/>
      <c r="K255" s="27"/>
    </row>
    <row r="256">
      <c r="I256" s="27"/>
      <c r="K256" s="27"/>
    </row>
    <row r="257">
      <c r="I257" s="27"/>
      <c r="K257" s="27"/>
    </row>
    <row r="258">
      <c r="I258" s="27"/>
      <c r="K258" s="27"/>
    </row>
    <row r="259">
      <c r="I259" s="27"/>
      <c r="K259" s="27"/>
    </row>
    <row r="260">
      <c r="I260" s="27"/>
      <c r="K260" s="27"/>
    </row>
    <row r="261">
      <c r="I261" s="27"/>
      <c r="K261" s="27"/>
    </row>
    <row r="262">
      <c r="I262" s="27"/>
      <c r="K262" s="27"/>
    </row>
    <row r="263">
      <c r="I263" s="27"/>
      <c r="K263" s="27"/>
    </row>
    <row r="264">
      <c r="I264" s="27"/>
      <c r="K264" s="27"/>
    </row>
    <row r="265">
      <c r="I265" s="27"/>
      <c r="K265" s="27"/>
    </row>
    <row r="266">
      <c r="I266" s="27"/>
      <c r="K266" s="27"/>
    </row>
    <row r="267">
      <c r="I267" s="27"/>
      <c r="K267" s="27"/>
    </row>
    <row r="268">
      <c r="I268" s="27"/>
      <c r="K268" s="27"/>
    </row>
    <row r="269">
      <c r="I269" s="27"/>
      <c r="K269" s="27"/>
    </row>
    <row r="270">
      <c r="I270" s="27"/>
      <c r="K270" s="27"/>
    </row>
    <row r="271">
      <c r="I271" s="27"/>
      <c r="K271" s="27"/>
    </row>
    <row r="272">
      <c r="I272" s="27"/>
      <c r="K272" s="27"/>
    </row>
    <row r="273">
      <c r="I273" s="27"/>
      <c r="K273" s="27"/>
    </row>
    <row r="274">
      <c r="I274" s="27"/>
      <c r="K274" s="27"/>
    </row>
    <row r="275">
      <c r="I275" s="27"/>
      <c r="K275" s="27"/>
    </row>
    <row r="276">
      <c r="I276" s="27"/>
      <c r="K276" s="27"/>
    </row>
    <row r="277">
      <c r="I277" s="27"/>
      <c r="K277" s="27"/>
    </row>
    <row r="278">
      <c r="I278" s="27"/>
      <c r="K278" s="27"/>
    </row>
    <row r="279">
      <c r="I279" s="27"/>
      <c r="K279" s="27"/>
    </row>
    <row r="280">
      <c r="I280" s="27"/>
      <c r="K280" s="27"/>
    </row>
    <row r="281">
      <c r="I281" s="27"/>
      <c r="K281" s="27"/>
    </row>
    <row r="282">
      <c r="I282" s="27"/>
      <c r="K282" s="27"/>
    </row>
    <row r="283">
      <c r="I283" s="27"/>
      <c r="K283" s="27"/>
    </row>
    <row r="284">
      <c r="I284" s="27"/>
      <c r="K284" s="27"/>
    </row>
    <row r="285">
      <c r="I285" s="27"/>
      <c r="K285" s="27"/>
    </row>
    <row r="286">
      <c r="I286" s="27"/>
      <c r="K286" s="27"/>
    </row>
    <row r="287">
      <c r="I287" s="27"/>
      <c r="K287" s="27"/>
    </row>
    <row r="288">
      <c r="I288" s="27"/>
      <c r="K288" s="27"/>
    </row>
    <row r="289">
      <c r="I289" s="27"/>
      <c r="K289" s="27"/>
    </row>
    <row r="290">
      <c r="I290" s="27"/>
      <c r="K290" s="27"/>
    </row>
    <row r="291">
      <c r="I291" s="27"/>
      <c r="K291" s="27"/>
    </row>
    <row r="292">
      <c r="I292" s="27"/>
      <c r="K292" s="27"/>
    </row>
    <row r="293">
      <c r="I293" s="27"/>
      <c r="K293" s="27"/>
    </row>
    <row r="294">
      <c r="I294" s="27"/>
      <c r="K294" s="27"/>
    </row>
    <row r="295">
      <c r="I295" s="27"/>
      <c r="K295" s="27"/>
    </row>
    <row r="296">
      <c r="I296" s="27"/>
      <c r="K296" s="27"/>
    </row>
    <row r="297">
      <c r="I297" s="27"/>
      <c r="K297" s="27"/>
    </row>
    <row r="298">
      <c r="I298" s="27"/>
      <c r="K298" s="27"/>
    </row>
    <row r="299">
      <c r="I299" s="27"/>
      <c r="K299" s="27"/>
    </row>
    <row r="300">
      <c r="I300" s="27"/>
      <c r="K300" s="27"/>
    </row>
    <row r="301">
      <c r="I301" s="27"/>
      <c r="K301" s="27"/>
    </row>
    <row r="302">
      <c r="I302" s="27"/>
      <c r="K302" s="27"/>
    </row>
    <row r="303">
      <c r="I303" s="27"/>
      <c r="K303" s="27"/>
    </row>
    <row r="304">
      <c r="I304" s="27"/>
      <c r="K304" s="27"/>
    </row>
    <row r="305">
      <c r="I305" s="27"/>
      <c r="K305" s="27"/>
    </row>
    <row r="306">
      <c r="I306" s="27"/>
      <c r="K306" s="27"/>
    </row>
    <row r="307">
      <c r="I307" s="27"/>
      <c r="K307" s="27"/>
    </row>
    <row r="308">
      <c r="I308" s="27"/>
      <c r="K308" s="27"/>
    </row>
    <row r="309">
      <c r="I309" s="27"/>
      <c r="K309" s="27"/>
    </row>
    <row r="310">
      <c r="I310" s="27"/>
      <c r="K310" s="27"/>
    </row>
    <row r="311">
      <c r="I311" s="27"/>
      <c r="K311" s="27"/>
    </row>
    <row r="312">
      <c r="I312" s="27"/>
      <c r="K312" s="27"/>
    </row>
    <row r="313">
      <c r="I313" s="27"/>
      <c r="K313" s="27"/>
    </row>
    <row r="314">
      <c r="I314" s="27"/>
      <c r="K314" s="27"/>
    </row>
    <row r="315">
      <c r="I315" s="27"/>
      <c r="K315" s="27"/>
    </row>
    <row r="316">
      <c r="I316" s="27"/>
      <c r="K316" s="27"/>
    </row>
    <row r="317">
      <c r="I317" s="27"/>
      <c r="K317" s="27"/>
    </row>
    <row r="318">
      <c r="I318" s="27"/>
      <c r="K318" s="27"/>
    </row>
    <row r="319">
      <c r="I319" s="27"/>
      <c r="K319" s="27"/>
    </row>
    <row r="320">
      <c r="I320" s="27"/>
      <c r="K320" s="27"/>
    </row>
    <row r="321">
      <c r="I321" s="27"/>
      <c r="K321" s="27"/>
    </row>
    <row r="322">
      <c r="I322" s="27"/>
      <c r="K322" s="27"/>
    </row>
    <row r="323">
      <c r="I323" s="27"/>
      <c r="K323" s="27"/>
    </row>
    <row r="324">
      <c r="I324" s="27"/>
      <c r="K324" s="27"/>
    </row>
    <row r="325">
      <c r="I325" s="27"/>
      <c r="K325" s="27"/>
    </row>
    <row r="326">
      <c r="I326" s="27"/>
      <c r="K326" s="27"/>
    </row>
    <row r="327">
      <c r="I327" s="27"/>
      <c r="K327" s="27"/>
    </row>
    <row r="328">
      <c r="I328" s="27"/>
      <c r="K328" s="27"/>
    </row>
    <row r="329">
      <c r="I329" s="27"/>
      <c r="K329" s="27"/>
    </row>
    <row r="330">
      <c r="I330" s="27"/>
      <c r="K330" s="27"/>
    </row>
    <row r="331">
      <c r="I331" s="27"/>
      <c r="K331" s="27"/>
    </row>
    <row r="332">
      <c r="I332" s="27"/>
      <c r="K332" s="27"/>
    </row>
    <row r="333">
      <c r="I333" s="27"/>
      <c r="K333" s="27"/>
    </row>
    <row r="334">
      <c r="I334" s="27"/>
      <c r="K334" s="27"/>
    </row>
    <row r="335">
      <c r="I335" s="27"/>
      <c r="K335" s="27"/>
    </row>
    <row r="336">
      <c r="I336" s="27"/>
      <c r="K336" s="27"/>
    </row>
    <row r="337">
      <c r="I337" s="27"/>
      <c r="K337" s="27"/>
    </row>
    <row r="338">
      <c r="I338" s="27"/>
      <c r="K338" s="27"/>
    </row>
    <row r="339">
      <c r="I339" s="27"/>
      <c r="K339" s="27"/>
    </row>
    <row r="340">
      <c r="I340" s="27"/>
      <c r="K340" s="27"/>
    </row>
    <row r="341">
      <c r="I341" s="27"/>
      <c r="K341" s="27"/>
    </row>
    <row r="342">
      <c r="I342" s="27"/>
      <c r="K342" s="27"/>
    </row>
    <row r="343">
      <c r="I343" s="27"/>
      <c r="K343" s="27"/>
    </row>
    <row r="344">
      <c r="I344" s="27"/>
      <c r="K344" s="27"/>
    </row>
    <row r="345">
      <c r="I345" s="27"/>
      <c r="K345" s="27"/>
    </row>
    <row r="346">
      <c r="I346" s="27"/>
      <c r="K346" s="27"/>
    </row>
    <row r="347">
      <c r="I347" s="27"/>
      <c r="K347" s="27"/>
    </row>
    <row r="348">
      <c r="I348" s="27"/>
      <c r="K348" s="27"/>
    </row>
    <row r="349">
      <c r="I349" s="27"/>
      <c r="K349" s="27"/>
    </row>
    <row r="350">
      <c r="I350" s="27"/>
      <c r="K350" s="27"/>
    </row>
    <row r="351">
      <c r="I351" s="27"/>
      <c r="K351" s="27"/>
    </row>
    <row r="352">
      <c r="I352" s="27"/>
      <c r="K352" s="27"/>
    </row>
    <row r="353">
      <c r="I353" s="27"/>
      <c r="K353" s="27"/>
    </row>
    <row r="354">
      <c r="I354" s="27"/>
      <c r="K354" s="27"/>
    </row>
    <row r="355">
      <c r="I355" s="27"/>
      <c r="K355" s="27"/>
    </row>
    <row r="356">
      <c r="I356" s="27"/>
      <c r="K356" s="27"/>
    </row>
    <row r="357">
      <c r="I357" s="27"/>
      <c r="K357" s="27"/>
    </row>
    <row r="358">
      <c r="I358" s="27"/>
      <c r="K358" s="27"/>
    </row>
    <row r="359">
      <c r="I359" s="27"/>
      <c r="K359" s="27"/>
    </row>
    <row r="360">
      <c r="I360" s="27"/>
      <c r="K360" s="27"/>
    </row>
    <row r="361">
      <c r="I361" s="27"/>
      <c r="K361" s="27"/>
    </row>
    <row r="362">
      <c r="I362" s="27"/>
      <c r="K362" s="27"/>
    </row>
    <row r="363">
      <c r="I363" s="27"/>
      <c r="K363" s="27"/>
    </row>
    <row r="364">
      <c r="I364" s="27"/>
      <c r="K364" s="27"/>
    </row>
    <row r="365">
      <c r="I365" s="27"/>
      <c r="K365" s="27"/>
    </row>
    <row r="366">
      <c r="I366" s="27"/>
      <c r="K366" s="27"/>
    </row>
    <row r="367">
      <c r="I367" s="27"/>
      <c r="K367" s="27"/>
    </row>
    <row r="368">
      <c r="I368" s="27"/>
      <c r="K368" s="27"/>
    </row>
    <row r="369">
      <c r="I369" s="27"/>
      <c r="K369" s="27"/>
    </row>
    <row r="370">
      <c r="I370" s="27"/>
      <c r="K370" s="27"/>
    </row>
    <row r="371">
      <c r="I371" s="27"/>
      <c r="K371" s="27"/>
    </row>
    <row r="372">
      <c r="I372" s="27"/>
      <c r="K372" s="27"/>
    </row>
    <row r="373">
      <c r="I373" s="27"/>
      <c r="K373" s="27"/>
    </row>
    <row r="374">
      <c r="I374" s="27"/>
      <c r="K374" s="27"/>
    </row>
    <row r="375">
      <c r="I375" s="27"/>
      <c r="K375" s="27"/>
    </row>
    <row r="376">
      <c r="I376" s="27"/>
      <c r="K376" s="27"/>
    </row>
    <row r="377">
      <c r="I377" s="27"/>
      <c r="K377" s="27"/>
    </row>
    <row r="378">
      <c r="I378" s="27"/>
      <c r="K378" s="27"/>
    </row>
    <row r="379">
      <c r="I379" s="27"/>
      <c r="K379" s="27"/>
    </row>
    <row r="380">
      <c r="I380" s="27"/>
      <c r="K380" s="27"/>
    </row>
    <row r="381">
      <c r="I381" s="27"/>
      <c r="K381" s="27"/>
    </row>
    <row r="382">
      <c r="I382" s="27"/>
      <c r="K382" s="27"/>
    </row>
    <row r="383">
      <c r="I383" s="27"/>
      <c r="K383" s="27"/>
    </row>
    <row r="384">
      <c r="I384" s="27"/>
      <c r="K384" s="27"/>
    </row>
    <row r="385">
      <c r="I385" s="27"/>
      <c r="K385" s="27"/>
    </row>
    <row r="386">
      <c r="I386" s="27"/>
      <c r="K386" s="27"/>
    </row>
    <row r="387">
      <c r="I387" s="27"/>
      <c r="K387" s="27"/>
    </row>
    <row r="388">
      <c r="I388" s="27"/>
      <c r="K388" s="27"/>
    </row>
    <row r="389">
      <c r="I389" s="27"/>
      <c r="K389" s="27"/>
    </row>
    <row r="390">
      <c r="I390" s="27"/>
      <c r="K390" s="27"/>
    </row>
    <row r="391">
      <c r="I391" s="27"/>
      <c r="K391" s="27"/>
    </row>
    <row r="392">
      <c r="I392" s="27"/>
      <c r="K392" s="27"/>
    </row>
    <row r="393">
      <c r="I393" s="27"/>
      <c r="K393" s="27"/>
    </row>
    <row r="394">
      <c r="I394" s="27"/>
      <c r="K394" s="27"/>
    </row>
    <row r="395">
      <c r="I395" s="27"/>
      <c r="K395" s="27"/>
    </row>
    <row r="396">
      <c r="I396" s="27"/>
      <c r="K396" s="27"/>
    </row>
    <row r="397">
      <c r="I397" s="27"/>
      <c r="K397" s="27"/>
    </row>
    <row r="398">
      <c r="I398" s="27"/>
      <c r="K398" s="27"/>
    </row>
    <row r="399">
      <c r="I399" s="27"/>
      <c r="K399" s="27"/>
    </row>
    <row r="400">
      <c r="I400" s="27"/>
      <c r="K400" s="27"/>
    </row>
    <row r="401">
      <c r="I401" s="27"/>
      <c r="K401" s="27"/>
    </row>
    <row r="402">
      <c r="I402" s="27"/>
      <c r="K402" s="27"/>
    </row>
    <row r="403">
      <c r="I403" s="27"/>
      <c r="K403" s="27"/>
    </row>
    <row r="404">
      <c r="I404" s="27"/>
      <c r="K404" s="27"/>
    </row>
    <row r="405">
      <c r="I405" s="27"/>
      <c r="K405" s="27"/>
    </row>
    <row r="406">
      <c r="I406" s="27"/>
      <c r="K406" s="27"/>
    </row>
    <row r="407">
      <c r="I407" s="27"/>
      <c r="K407" s="27"/>
    </row>
    <row r="408">
      <c r="I408" s="27"/>
      <c r="K408" s="27"/>
    </row>
    <row r="409">
      <c r="I409" s="27"/>
      <c r="K409" s="27"/>
    </row>
    <row r="410">
      <c r="I410" s="27"/>
      <c r="K410" s="27"/>
    </row>
    <row r="411">
      <c r="I411" s="27"/>
      <c r="K411" s="27"/>
    </row>
    <row r="412">
      <c r="I412" s="27"/>
      <c r="K412" s="27"/>
    </row>
    <row r="413">
      <c r="I413" s="27"/>
      <c r="K413" s="27"/>
    </row>
    <row r="414">
      <c r="I414" s="27"/>
      <c r="K414" s="27"/>
    </row>
    <row r="415">
      <c r="I415" s="27"/>
      <c r="K415" s="27"/>
    </row>
    <row r="416">
      <c r="I416" s="27"/>
      <c r="K416" s="27"/>
    </row>
    <row r="417">
      <c r="I417" s="27"/>
      <c r="K417" s="27"/>
    </row>
    <row r="418">
      <c r="I418" s="27"/>
      <c r="K418" s="27"/>
    </row>
    <row r="419">
      <c r="I419" s="27"/>
      <c r="K419" s="27"/>
    </row>
    <row r="420">
      <c r="I420" s="27"/>
      <c r="K420" s="27"/>
    </row>
    <row r="421">
      <c r="I421" s="27"/>
      <c r="K421" s="27"/>
    </row>
    <row r="422">
      <c r="I422" s="27"/>
      <c r="K422" s="27"/>
    </row>
    <row r="423">
      <c r="I423" s="27"/>
      <c r="K423" s="27"/>
    </row>
    <row r="424">
      <c r="I424" s="27"/>
      <c r="K424" s="27"/>
    </row>
    <row r="425">
      <c r="I425" s="27"/>
      <c r="K425" s="27"/>
    </row>
    <row r="426">
      <c r="I426" s="27"/>
      <c r="K426" s="27"/>
    </row>
    <row r="427">
      <c r="I427" s="27"/>
      <c r="K427" s="27"/>
    </row>
    <row r="428">
      <c r="I428" s="27"/>
      <c r="K428" s="27"/>
    </row>
    <row r="429">
      <c r="I429" s="27"/>
      <c r="K429" s="27"/>
    </row>
    <row r="430">
      <c r="I430" s="27"/>
      <c r="K430" s="27"/>
    </row>
    <row r="431">
      <c r="I431" s="27"/>
      <c r="K431" s="27"/>
    </row>
    <row r="432">
      <c r="I432" s="27"/>
      <c r="K432" s="27"/>
    </row>
    <row r="433">
      <c r="I433" s="27"/>
      <c r="K433" s="27"/>
    </row>
    <row r="434">
      <c r="I434" s="27"/>
      <c r="K434" s="27"/>
    </row>
    <row r="435">
      <c r="I435" s="27"/>
      <c r="K435" s="27"/>
    </row>
    <row r="436">
      <c r="I436" s="27"/>
      <c r="K436" s="27"/>
    </row>
    <row r="437">
      <c r="I437" s="27"/>
      <c r="K437" s="27"/>
    </row>
    <row r="438">
      <c r="I438" s="27"/>
      <c r="K438" s="27"/>
    </row>
    <row r="439">
      <c r="I439" s="27"/>
      <c r="K439" s="27"/>
    </row>
    <row r="440">
      <c r="I440" s="27"/>
      <c r="K440" s="27"/>
    </row>
    <row r="441">
      <c r="I441" s="27"/>
      <c r="K441" s="27"/>
    </row>
    <row r="442">
      <c r="I442" s="27"/>
      <c r="K442" s="27"/>
    </row>
    <row r="443">
      <c r="I443" s="27"/>
      <c r="K443" s="27"/>
    </row>
    <row r="444">
      <c r="I444" s="27"/>
      <c r="K444" s="27"/>
    </row>
    <row r="445">
      <c r="I445" s="27"/>
      <c r="K445" s="27"/>
    </row>
    <row r="446">
      <c r="I446" s="27"/>
      <c r="K446" s="27"/>
    </row>
    <row r="447">
      <c r="I447" s="27"/>
      <c r="K447" s="27"/>
    </row>
    <row r="448">
      <c r="I448" s="27"/>
      <c r="K448" s="27"/>
    </row>
    <row r="449">
      <c r="I449" s="27"/>
      <c r="K449" s="27"/>
    </row>
    <row r="450">
      <c r="I450" s="27"/>
      <c r="K450" s="27"/>
    </row>
    <row r="451">
      <c r="I451" s="27"/>
      <c r="K451" s="27"/>
    </row>
    <row r="452">
      <c r="I452" s="27"/>
      <c r="K452" s="27"/>
    </row>
    <row r="453">
      <c r="I453" s="27"/>
      <c r="K453" s="27"/>
    </row>
    <row r="454">
      <c r="I454" s="27"/>
      <c r="K454" s="27"/>
    </row>
    <row r="455">
      <c r="I455" s="27"/>
      <c r="K455" s="27"/>
    </row>
    <row r="456">
      <c r="I456" s="27"/>
      <c r="K456" s="27"/>
    </row>
    <row r="457">
      <c r="I457" s="27"/>
      <c r="K457" s="27"/>
    </row>
    <row r="458">
      <c r="I458" s="27"/>
      <c r="K458" s="27"/>
    </row>
    <row r="459">
      <c r="I459" s="27"/>
      <c r="K459" s="27"/>
    </row>
    <row r="460">
      <c r="I460" s="27"/>
      <c r="K460" s="27"/>
    </row>
    <row r="461">
      <c r="I461" s="27"/>
      <c r="K461" s="27"/>
    </row>
    <row r="462">
      <c r="I462" s="27"/>
      <c r="K462" s="27"/>
    </row>
    <row r="463">
      <c r="I463" s="27"/>
      <c r="K463" s="27"/>
    </row>
    <row r="464">
      <c r="I464" s="27"/>
      <c r="K464" s="27"/>
    </row>
    <row r="465">
      <c r="I465" s="27"/>
      <c r="K465" s="27"/>
    </row>
    <row r="466">
      <c r="I466" s="27"/>
      <c r="K466" s="27"/>
    </row>
    <row r="467">
      <c r="I467" s="27"/>
      <c r="K467" s="27"/>
    </row>
    <row r="468">
      <c r="I468" s="27"/>
      <c r="K468" s="27"/>
    </row>
    <row r="469">
      <c r="I469" s="27"/>
      <c r="K469" s="27"/>
    </row>
    <row r="470">
      <c r="I470" s="27"/>
      <c r="K470" s="27"/>
    </row>
    <row r="471">
      <c r="I471" s="27"/>
      <c r="K471" s="27"/>
    </row>
    <row r="472">
      <c r="I472" s="27"/>
      <c r="K472" s="27"/>
    </row>
    <row r="473">
      <c r="I473" s="27"/>
      <c r="K473" s="27"/>
    </row>
    <row r="474">
      <c r="I474" s="27"/>
      <c r="K474" s="27"/>
    </row>
    <row r="475">
      <c r="I475" s="27"/>
      <c r="K475" s="27"/>
    </row>
    <row r="476">
      <c r="I476" s="27"/>
      <c r="K476" s="27"/>
    </row>
    <row r="477">
      <c r="I477" s="27"/>
      <c r="K477" s="27"/>
    </row>
    <row r="478">
      <c r="I478" s="27"/>
      <c r="K478" s="27"/>
    </row>
    <row r="479">
      <c r="I479" s="27"/>
      <c r="K479" s="27"/>
    </row>
    <row r="480">
      <c r="I480" s="27"/>
      <c r="K480" s="27"/>
    </row>
    <row r="481">
      <c r="I481" s="27"/>
      <c r="K481" s="27"/>
    </row>
    <row r="482">
      <c r="I482" s="27"/>
      <c r="K482" s="27"/>
    </row>
    <row r="483">
      <c r="I483" s="27"/>
      <c r="K483" s="27"/>
    </row>
    <row r="484">
      <c r="I484" s="27"/>
      <c r="K484" s="27"/>
    </row>
    <row r="485">
      <c r="I485" s="27"/>
      <c r="K485" s="27"/>
    </row>
    <row r="486">
      <c r="I486" s="27"/>
      <c r="K486" s="27"/>
    </row>
    <row r="487">
      <c r="I487" s="27"/>
      <c r="K487" s="27"/>
    </row>
    <row r="488">
      <c r="I488" s="27"/>
      <c r="K488" s="27"/>
    </row>
    <row r="489">
      <c r="I489" s="27"/>
      <c r="K489" s="27"/>
    </row>
    <row r="490">
      <c r="I490" s="27"/>
      <c r="K490" s="27"/>
    </row>
    <row r="491">
      <c r="I491" s="27"/>
      <c r="K491" s="27"/>
    </row>
    <row r="492">
      <c r="I492" s="27"/>
      <c r="K492" s="27"/>
    </row>
    <row r="493">
      <c r="I493" s="27"/>
      <c r="K493" s="27"/>
    </row>
    <row r="494">
      <c r="I494" s="27"/>
      <c r="K494" s="27"/>
    </row>
    <row r="495">
      <c r="I495" s="27"/>
      <c r="K495" s="27"/>
    </row>
    <row r="496">
      <c r="I496" s="27"/>
      <c r="K496" s="27"/>
    </row>
    <row r="497">
      <c r="I497" s="27"/>
      <c r="K497" s="27"/>
    </row>
    <row r="498">
      <c r="I498" s="27"/>
      <c r="K498" s="27"/>
    </row>
    <row r="499">
      <c r="I499" s="27"/>
      <c r="K499" s="27"/>
    </row>
    <row r="500">
      <c r="I500" s="27"/>
      <c r="K500" s="27"/>
    </row>
    <row r="501">
      <c r="I501" s="27"/>
      <c r="K501" s="27"/>
    </row>
    <row r="502">
      <c r="I502" s="27"/>
      <c r="K502" s="27"/>
    </row>
    <row r="503">
      <c r="I503" s="27"/>
      <c r="K503" s="27"/>
    </row>
    <row r="504">
      <c r="I504" s="27"/>
      <c r="K504" s="27"/>
    </row>
    <row r="505">
      <c r="I505" s="27"/>
      <c r="K505" s="27"/>
    </row>
    <row r="506">
      <c r="I506" s="27"/>
      <c r="K506" s="27"/>
    </row>
    <row r="507">
      <c r="I507" s="27"/>
      <c r="K507" s="27"/>
    </row>
    <row r="508">
      <c r="I508" s="27"/>
      <c r="K508" s="27"/>
    </row>
    <row r="509">
      <c r="I509" s="27"/>
      <c r="K509" s="27"/>
    </row>
    <row r="510">
      <c r="I510" s="27"/>
      <c r="K510" s="27"/>
    </row>
    <row r="511">
      <c r="I511" s="27"/>
      <c r="K511" s="27"/>
    </row>
    <row r="512">
      <c r="I512" s="27"/>
      <c r="K512" s="27"/>
    </row>
    <row r="513">
      <c r="I513" s="27"/>
      <c r="K513" s="27"/>
    </row>
    <row r="514">
      <c r="I514" s="27"/>
      <c r="K514" s="27"/>
    </row>
    <row r="515">
      <c r="I515" s="27"/>
      <c r="K515" s="27"/>
    </row>
    <row r="516">
      <c r="I516" s="27"/>
      <c r="K516" s="27"/>
    </row>
    <row r="517">
      <c r="I517" s="27"/>
      <c r="K517" s="27"/>
    </row>
    <row r="518">
      <c r="I518" s="27"/>
      <c r="K518" s="27"/>
    </row>
    <row r="519">
      <c r="I519" s="27"/>
      <c r="K519" s="27"/>
    </row>
    <row r="520">
      <c r="I520" s="27"/>
      <c r="K520" s="27"/>
    </row>
    <row r="521">
      <c r="I521" s="27"/>
      <c r="K521" s="27"/>
    </row>
    <row r="522">
      <c r="I522" s="27"/>
      <c r="K522" s="27"/>
    </row>
    <row r="523">
      <c r="I523" s="27"/>
      <c r="K523" s="27"/>
    </row>
    <row r="524">
      <c r="I524" s="27"/>
      <c r="K524" s="27"/>
    </row>
    <row r="525">
      <c r="I525" s="27"/>
      <c r="K525" s="27"/>
    </row>
    <row r="526">
      <c r="I526" s="27"/>
      <c r="K526" s="27"/>
    </row>
    <row r="527">
      <c r="I527" s="27"/>
      <c r="K527" s="27"/>
    </row>
    <row r="528">
      <c r="I528" s="27"/>
      <c r="K528" s="27"/>
    </row>
    <row r="529">
      <c r="I529" s="27"/>
      <c r="K529" s="27"/>
    </row>
    <row r="530">
      <c r="I530" s="27"/>
      <c r="K530" s="27"/>
    </row>
    <row r="531">
      <c r="I531" s="27"/>
      <c r="K531" s="27"/>
    </row>
    <row r="532">
      <c r="I532" s="27"/>
      <c r="K532" s="27"/>
    </row>
    <row r="533">
      <c r="I533" s="27"/>
      <c r="K533" s="27"/>
    </row>
    <row r="534">
      <c r="I534" s="27"/>
      <c r="K534" s="27"/>
    </row>
    <row r="535">
      <c r="I535" s="27"/>
      <c r="K535" s="27"/>
    </row>
    <row r="536">
      <c r="I536" s="27"/>
      <c r="K536" s="27"/>
    </row>
    <row r="537">
      <c r="I537" s="27"/>
      <c r="K537" s="27"/>
    </row>
    <row r="538">
      <c r="I538" s="27"/>
      <c r="K538" s="27"/>
    </row>
    <row r="539">
      <c r="I539" s="27"/>
      <c r="K539" s="27"/>
    </row>
    <row r="540">
      <c r="I540" s="27"/>
      <c r="K540" s="27"/>
    </row>
    <row r="541">
      <c r="I541" s="27"/>
      <c r="K541" s="27"/>
    </row>
    <row r="542">
      <c r="I542" s="27"/>
      <c r="K542" s="27"/>
    </row>
    <row r="543">
      <c r="I543" s="27"/>
      <c r="K543" s="27"/>
    </row>
    <row r="544">
      <c r="I544" s="27"/>
      <c r="K544" s="27"/>
    </row>
    <row r="545">
      <c r="I545" s="27"/>
      <c r="K545" s="27"/>
    </row>
    <row r="546">
      <c r="I546" s="27"/>
      <c r="K546" s="27"/>
    </row>
    <row r="547">
      <c r="I547" s="27"/>
      <c r="K547" s="27"/>
    </row>
    <row r="548">
      <c r="I548" s="27"/>
      <c r="K548" s="27"/>
    </row>
    <row r="549">
      <c r="I549" s="27"/>
      <c r="K549" s="27"/>
    </row>
    <row r="550">
      <c r="I550" s="27"/>
      <c r="K550" s="27"/>
    </row>
    <row r="551">
      <c r="I551" s="27"/>
      <c r="K551" s="27"/>
    </row>
    <row r="552">
      <c r="I552" s="27"/>
      <c r="K552" s="27"/>
    </row>
    <row r="553">
      <c r="I553" s="27"/>
      <c r="K553" s="27"/>
    </row>
    <row r="554">
      <c r="I554" s="27"/>
      <c r="K554" s="27"/>
    </row>
    <row r="555">
      <c r="I555" s="27"/>
      <c r="K555" s="27"/>
    </row>
    <row r="556">
      <c r="I556" s="27"/>
      <c r="K556" s="27"/>
    </row>
    <row r="557">
      <c r="I557" s="27"/>
      <c r="K557" s="27"/>
    </row>
    <row r="558">
      <c r="I558" s="27"/>
      <c r="K558" s="27"/>
    </row>
    <row r="559">
      <c r="I559" s="27"/>
      <c r="K559" s="27"/>
    </row>
    <row r="560">
      <c r="I560" s="27"/>
      <c r="K560" s="27"/>
    </row>
    <row r="561">
      <c r="I561" s="27"/>
      <c r="K561" s="27"/>
    </row>
    <row r="562">
      <c r="I562" s="27"/>
      <c r="K562" s="27"/>
    </row>
    <row r="563">
      <c r="I563" s="27"/>
      <c r="K563" s="27"/>
    </row>
    <row r="564">
      <c r="I564" s="27"/>
      <c r="K564" s="27"/>
    </row>
    <row r="565">
      <c r="I565" s="27"/>
      <c r="K565" s="27"/>
    </row>
    <row r="566">
      <c r="I566" s="27"/>
      <c r="K566" s="27"/>
    </row>
    <row r="567">
      <c r="I567" s="27"/>
      <c r="K567" s="27"/>
    </row>
    <row r="568">
      <c r="I568" s="27"/>
      <c r="K568" s="27"/>
    </row>
    <row r="569">
      <c r="I569" s="27"/>
      <c r="K569" s="27"/>
    </row>
    <row r="570">
      <c r="I570" s="27"/>
      <c r="K570" s="27"/>
    </row>
    <row r="571">
      <c r="I571" s="27"/>
      <c r="K571" s="27"/>
    </row>
    <row r="572">
      <c r="I572" s="27"/>
      <c r="K572" s="27"/>
    </row>
    <row r="573">
      <c r="I573" s="27"/>
      <c r="K573" s="27"/>
    </row>
    <row r="574">
      <c r="I574" s="27"/>
      <c r="K574" s="27"/>
    </row>
    <row r="575">
      <c r="I575" s="27"/>
      <c r="K575" s="27"/>
    </row>
    <row r="576">
      <c r="I576" s="27"/>
      <c r="K576" s="27"/>
    </row>
    <row r="577">
      <c r="I577" s="27"/>
      <c r="K577" s="27"/>
    </row>
    <row r="578">
      <c r="I578" s="27"/>
      <c r="K578" s="27"/>
    </row>
    <row r="579">
      <c r="I579" s="27"/>
      <c r="K579" s="27"/>
    </row>
    <row r="580">
      <c r="I580" s="27"/>
      <c r="K580" s="27"/>
    </row>
    <row r="581">
      <c r="I581" s="27"/>
      <c r="K581" s="27"/>
    </row>
    <row r="582">
      <c r="I582" s="27"/>
      <c r="K582" s="27"/>
    </row>
    <row r="583">
      <c r="I583" s="27"/>
      <c r="K583" s="27"/>
    </row>
    <row r="584">
      <c r="I584" s="27"/>
      <c r="K584" s="27"/>
    </row>
    <row r="585">
      <c r="I585" s="27"/>
      <c r="K585" s="27"/>
    </row>
    <row r="586">
      <c r="I586" s="27"/>
      <c r="K586" s="27"/>
    </row>
    <row r="587">
      <c r="I587" s="27"/>
      <c r="K587" s="27"/>
    </row>
    <row r="588">
      <c r="I588" s="27"/>
      <c r="K588" s="27"/>
    </row>
    <row r="589">
      <c r="I589" s="27"/>
      <c r="K589" s="27"/>
    </row>
    <row r="590">
      <c r="I590" s="27"/>
      <c r="K590" s="27"/>
    </row>
    <row r="591">
      <c r="I591" s="27"/>
      <c r="K591" s="27"/>
    </row>
    <row r="592">
      <c r="I592" s="27"/>
      <c r="K592" s="27"/>
    </row>
    <row r="593">
      <c r="I593" s="27"/>
      <c r="K593" s="27"/>
    </row>
    <row r="594">
      <c r="I594" s="27"/>
      <c r="K594" s="27"/>
    </row>
    <row r="595">
      <c r="I595" s="27"/>
      <c r="K595" s="27"/>
    </row>
    <row r="596">
      <c r="I596" s="27"/>
      <c r="K596" s="27"/>
    </row>
    <row r="597">
      <c r="I597" s="27"/>
      <c r="K597" s="27"/>
    </row>
    <row r="598">
      <c r="I598" s="27"/>
      <c r="K598" s="27"/>
    </row>
    <row r="599">
      <c r="I599" s="27"/>
      <c r="K599" s="27"/>
    </row>
    <row r="600">
      <c r="I600" s="27"/>
      <c r="K600" s="27"/>
    </row>
    <row r="601">
      <c r="I601" s="27"/>
      <c r="K601" s="27"/>
    </row>
    <row r="602">
      <c r="I602" s="27"/>
      <c r="K602" s="27"/>
    </row>
    <row r="603">
      <c r="I603" s="27"/>
      <c r="K603" s="27"/>
    </row>
    <row r="604">
      <c r="I604" s="27"/>
      <c r="K604" s="27"/>
    </row>
    <row r="605">
      <c r="I605" s="27"/>
      <c r="K605" s="27"/>
    </row>
    <row r="606">
      <c r="I606" s="27"/>
      <c r="K606" s="27"/>
    </row>
    <row r="607">
      <c r="I607" s="27"/>
      <c r="K607" s="27"/>
    </row>
    <row r="608">
      <c r="I608" s="27"/>
      <c r="K608" s="27"/>
    </row>
    <row r="609">
      <c r="I609" s="27"/>
      <c r="K609" s="27"/>
    </row>
    <row r="610">
      <c r="I610" s="27"/>
      <c r="K610" s="27"/>
    </row>
    <row r="611">
      <c r="I611" s="27"/>
      <c r="K611" s="27"/>
    </row>
    <row r="612">
      <c r="I612" s="27"/>
      <c r="K612" s="27"/>
    </row>
    <row r="613">
      <c r="I613" s="27"/>
      <c r="K613" s="27"/>
    </row>
    <row r="614">
      <c r="I614" s="27"/>
      <c r="K614" s="27"/>
    </row>
    <row r="615">
      <c r="I615" s="27"/>
      <c r="K615" s="27"/>
    </row>
    <row r="616">
      <c r="I616" s="27"/>
      <c r="K616" s="27"/>
    </row>
    <row r="617">
      <c r="I617" s="27"/>
      <c r="K617" s="27"/>
    </row>
    <row r="618">
      <c r="I618" s="27"/>
      <c r="K618" s="27"/>
    </row>
    <row r="619">
      <c r="I619" s="27"/>
      <c r="K619" s="27"/>
    </row>
    <row r="620">
      <c r="I620" s="27"/>
      <c r="K620" s="27"/>
    </row>
    <row r="621">
      <c r="I621" s="27"/>
      <c r="K621" s="27"/>
    </row>
    <row r="622">
      <c r="I622" s="27"/>
      <c r="K622" s="27"/>
    </row>
    <row r="623">
      <c r="I623" s="27"/>
      <c r="K623" s="27"/>
    </row>
    <row r="624">
      <c r="I624" s="27"/>
      <c r="K624" s="27"/>
    </row>
    <row r="625">
      <c r="I625" s="27"/>
      <c r="K625" s="27"/>
    </row>
    <row r="626">
      <c r="I626" s="27"/>
      <c r="K626" s="27"/>
    </row>
    <row r="627">
      <c r="I627" s="27"/>
      <c r="K627" s="27"/>
    </row>
    <row r="628">
      <c r="I628" s="27"/>
      <c r="K628" s="27"/>
    </row>
    <row r="629">
      <c r="I629" s="27"/>
      <c r="K629" s="27"/>
    </row>
    <row r="630">
      <c r="I630" s="27"/>
      <c r="K630" s="27"/>
    </row>
    <row r="631">
      <c r="I631" s="27"/>
      <c r="K631" s="27"/>
    </row>
    <row r="632">
      <c r="I632" s="27"/>
      <c r="K632" s="27"/>
    </row>
    <row r="633">
      <c r="I633" s="27"/>
      <c r="K633" s="27"/>
    </row>
    <row r="634">
      <c r="I634" s="27"/>
      <c r="K634" s="27"/>
    </row>
    <row r="635">
      <c r="I635" s="27"/>
      <c r="K635" s="27"/>
    </row>
    <row r="636">
      <c r="I636" s="27"/>
      <c r="K636" s="27"/>
    </row>
    <row r="637">
      <c r="I637" s="27"/>
      <c r="K637" s="27"/>
    </row>
    <row r="638">
      <c r="I638" s="27"/>
      <c r="K638" s="27"/>
    </row>
    <row r="639">
      <c r="I639" s="27"/>
      <c r="K639" s="27"/>
    </row>
    <row r="640">
      <c r="I640" s="27"/>
      <c r="K640" s="27"/>
    </row>
    <row r="641">
      <c r="I641" s="27"/>
      <c r="K641" s="27"/>
    </row>
    <row r="642">
      <c r="I642" s="27"/>
      <c r="K642" s="27"/>
    </row>
    <row r="643">
      <c r="I643" s="27"/>
      <c r="K643" s="27"/>
    </row>
    <row r="644">
      <c r="I644" s="27"/>
      <c r="K644" s="27"/>
    </row>
    <row r="645">
      <c r="I645" s="27"/>
      <c r="K645" s="27"/>
    </row>
    <row r="646">
      <c r="I646" s="27"/>
      <c r="K646" s="27"/>
    </row>
    <row r="647">
      <c r="I647" s="27"/>
      <c r="K647" s="27"/>
    </row>
    <row r="648">
      <c r="I648" s="27"/>
      <c r="K648" s="27"/>
    </row>
    <row r="649">
      <c r="I649" s="27"/>
      <c r="K649" s="27"/>
    </row>
    <row r="650">
      <c r="I650" s="27"/>
      <c r="K650" s="27"/>
    </row>
    <row r="651">
      <c r="I651" s="27"/>
      <c r="K651" s="27"/>
    </row>
    <row r="652">
      <c r="I652" s="27"/>
      <c r="K652" s="27"/>
    </row>
    <row r="653">
      <c r="I653" s="27"/>
      <c r="K653" s="27"/>
    </row>
    <row r="654">
      <c r="I654" s="27"/>
      <c r="K654" s="27"/>
    </row>
    <row r="655">
      <c r="I655" s="27"/>
      <c r="K655" s="27"/>
    </row>
    <row r="656">
      <c r="I656" s="27"/>
      <c r="K656" s="27"/>
    </row>
    <row r="657">
      <c r="I657" s="27"/>
      <c r="K657" s="27"/>
    </row>
    <row r="658">
      <c r="I658" s="27"/>
      <c r="K658" s="27"/>
    </row>
    <row r="659">
      <c r="I659" s="27"/>
      <c r="K659" s="27"/>
    </row>
    <row r="660">
      <c r="I660" s="27"/>
      <c r="K660" s="27"/>
    </row>
    <row r="661">
      <c r="I661" s="27"/>
      <c r="K661" s="27"/>
    </row>
    <row r="662">
      <c r="I662" s="27"/>
      <c r="K662" s="27"/>
    </row>
    <row r="663">
      <c r="I663" s="27"/>
      <c r="K663" s="27"/>
    </row>
    <row r="664">
      <c r="I664" s="27"/>
      <c r="K664" s="27"/>
    </row>
    <row r="665">
      <c r="I665" s="27"/>
      <c r="K665" s="27"/>
    </row>
    <row r="666">
      <c r="I666" s="27"/>
      <c r="K666" s="27"/>
    </row>
    <row r="667">
      <c r="I667" s="27"/>
      <c r="K667" s="27"/>
    </row>
    <row r="668">
      <c r="I668" s="27"/>
      <c r="K668" s="27"/>
    </row>
    <row r="669">
      <c r="I669" s="27"/>
      <c r="K669" s="27"/>
    </row>
    <row r="670">
      <c r="I670" s="27"/>
      <c r="K670" s="27"/>
    </row>
    <row r="671">
      <c r="I671" s="27"/>
      <c r="K671" s="27"/>
    </row>
    <row r="672">
      <c r="I672" s="27"/>
      <c r="K672" s="27"/>
    </row>
    <row r="673">
      <c r="I673" s="27"/>
      <c r="K673" s="27"/>
    </row>
    <row r="674">
      <c r="I674" s="27"/>
      <c r="K674" s="27"/>
    </row>
    <row r="675">
      <c r="I675" s="27"/>
      <c r="K675" s="27"/>
    </row>
    <row r="676">
      <c r="I676" s="27"/>
      <c r="K676" s="27"/>
    </row>
    <row r="677">
      <c r="I677" s="27"/>
      <c r="K677" s="27"/>
    </row>
    <row r="678">
      <c r="I678" s="27"/>
      <c r="K678" s="27"/>
    </row>
    <row r="679">
      <c r="I679" s="27"/>
      <c r="K679" s="27"/>
    </row>
    <row r="680">
      <c r="I680" s="27"/>
      <c r="K680" s="27"/>
    </row>
    <row r="681">
      <c r="I681" s="27"/>
      <c r="K681" s="27"/>
    </row>
    <row r="682">
      <c r="I682" s="27"/>
      <c r="K682" s="27"/>
    </row>
    <row r="683">
      <c r="I683" s="27"/>
      <c r="K683" s="27"/>
    </row>
    <row r="684">
      <c r="I684" s="27"/>
      <c r="K684" s="27"/>
    </row>
    <row r="685">
      <c r="I685" s="27"/>
      <c r="K685" s="27"/>
    </row>
    <row r="686">
      <c r="I686" s="27"/>
      <c r="K686" s="27"/>
    </row>
    <row r="687">
      <c r="I687" s="27"/>
      <c r="K687" s="27"/>
    </row>
    <row r="688">
      <c r="I688" s="27"/>
      <c r="K688" s="27"/>
    </row>
    <row r="689">
      <c r="I689" s="27"/>
      <c r="K689" s="27"/>
    </row>
    <row r="690">
      <c r="I690" s="27"/>
      <c r="K690" s="27"/>
    </row>
    <row r="691">
      <c r="I691" s="27"/>
      <c r="K691" s="27"/>
    </row>
    <row r="692">
      <c r="I692" s="27"/>
      <c r="K692" s="27"/>
    </row>
    <row r="693">
      <c r="I693" s="27"/>
      <c r="K693" s="27"/>
    </row>
    <row r="694">
      <c r="I694" s="27"/>
      <c r="K694" s="27"/>
    </row>
    <row r="695">
      <c r="I695" s="27"/>
      <c r="K695" s="27"/>
    </row>
    <row r="696">
      <c r="I696" s="27"/>
      <c r="K696" s="27"/>
    </row>
    <row r="697">
      <c r="I697" s="27"/>
      <c r="K697" s="27"/>
    </row>
    <row r="698">
      <c r="I698" s="27"/>
      <c r="K698" s="27"/>
    </row>
    <row r="699">
      <c r="I699" s="27"/>
      <c r="K699" s="27"/>
    </row>
    <row r="700">
      <c r="I700" s="27"/>
      <c r="K700" s="27"/>
    </row>
    <row r="701">
      <c r="I701" s="27"/>
      <c r="K701" s="27"/>
    </row>
    <row r="702">
      <c r="I702" s="27"/>
      <c r="K702" s="27"/>
    </row>
    <row r="703">
      <c r="I703" s="27"/>
      <c r="K703" s="27"/>
    </row>
    <row r="704">
      <c r="I704" s="27"/>
      <c r="K704" s="27"/>
    </row>
    <row r="705">
      <c r="I705" s="27"/>
      <c r="K705" s="27"/>
    </row>
    <row r="706">
      <c r="I706" s="27"/>
      <c r="K706" s="27"/>
    </row>
    <row r="707">
      <c r="I707" s="27"/>
      <c r="K707" s="27"/>
    </row>
    <row r="708">
      <c r="I708" s="27"/>
      <c r="K708" s="27"/>
    </row>
    <row r="709">
      <c r="I709" s="27"/>
      <c r="K709" s="27"/>
    </row>
    <row r="710">
      <c r="I710" s="27"/>
      <c r="K710" s="27"/>
    </row>
    <row r="711">
      <c r="I711" s="27"/>
      <c r="K711" s="27"/>
    </row>
    <row r="712">
      <c r="I712" s="27"/>
      <c r="K712" s="27"/>
    </row>
    <row r="713">
      <c r="I713" s="27"/>
      <c r="K713" s="27"/>
    </row>
    <row r="714">
      <c r="I714" s="27"/>
      <c r="K714" s="27"/>
    </row>
    <row r="715">
      <c r="I715" s="27"/>
      <c r="K715" s="27"/>
    </row>
    <row r="716">
      <c r="I716" s="27"/>
      <c r="K716" s="27"/>
    </row>
    <row r="717">
      <c r="I717" s="27"/>
      <c r="K717" s="27"/>
    </row>
    <row r="718">
      <c r="I718" s="27"/>
      <c r="K718" s="27"/>
    </row>
    <row r="719">
      <c r="I719" s="27"/>
      <c r="K719" s="27"/>
    </row>
    <row r="720">
      <c r="I720" s="27"/>
      <c r="K720" s="27"/>
    </row>
    <row r="721">
      <c r="I721" s="27"/>
      <c r="K721" s="27"/>
    </row>
    <row r="722">
      <c r="I722" s="27"/>
      <c r="K722" s="27"/>
    </row>
    <row r="723">
      <c r="I723" s="27"/>
      <c r="K723" s="27"/>
    </row>
    <row r="724">
      <c r="I724" s="27"/>
      <c r="K724" s="27"/>
    </row>
    <row r="725">
      <c r="I725" s="27"/>
      <c r="K725" s="27"/>
    </row>
    <row r="726">
      <c r="I726" s="27"/>
      <c r="K726" s="27"/>
    </row>
    <row r="727">
      <c r="I727" s="27"/>
      <c r="K727" s="27"/>
    </row>
    <row r="728">
      <c r="I728" s="27"/>
      <c r="K728" s="27"/>
    </row>
    <row r="729">
      <c r="I729" s="27"/>
      <c r="K729" s="27"/>
    </row>
    <row r="730">
      <c r="I730" s="27"/>
      <c r="K730" s="27"/>
    </row>
    <row r="731">
      <c r="I731" s="27"/>
      <c r="K731" s="27"/>
    </row>
    <row r="732">
      <c r="I732" s="27"/>
      <c r="K732" s="27"/>
    </row>
    <row r="733">
      <c r="I733" s="27"/>
      <c r="K733" s="27"/>
    </row>
    <row r="734">
      <c r="I734" s="27"/>
      <c r="K734" s="27"/>
    </row>
    <row r="735">
      <c r="I735" s="27"/>
      <c r="K735" s="27"/>
    </row>
    <row r="736">
      <c r="I736" s="27"/>
      <c r="K736" s="27"/>
    </row>
    <row r="737">
      <c r="I737" s="27"/>
      <c r="K737" s="27"/>
    </row>
    <row r="738">
      <c r="I738" s="27"/>
      <c r="K738" s="27"/>
    </row>
    <row r="739">
      <c r="I739" s="27"/>
      <c r="K739" s="27"/>
    </row>
    <row r="740">
      <c r="I740" s="27"/>
      <c r="K740" s="27"/>
    </row>
    <row r="741">
      <c r="I741" s="27"/>
      <c r="K741" s="27"/>
    </row>
    <row r="742">
      <c r="I742" s="27"/>
      <c r="K742" s="27"/>
    </row>
    <row r="743">
      <c r="I743" s="27"/>
      <c r="K743" s="27"/>
    </row>
    <row r="744">
      <c r="I744" s="27"/>
      <c r="K744" s="27"/>
    </row>
    <row r="745">
      <c r="I745" s="27"/>
      <c r="K745" s="27"/>
    </row>
    <row r="746">
      <c r="I746" s="27"/>
      <c r="K746" s="27"/>
    </row>
    <row r="747">
      <c r="I747" s="27"/>
      <c r="K747" s="27"/>
    </row>
    <row r="748">
      <c r="I748" s="27"/>
      <c r="K748" s="27"/>
    </row>
    <row r="749">
      <c r="I749" s="27"/>
      <c r="K749" s="27"/>
    </row>
    <row r="750">
      <c r="I750" s="27"/>
      <c r="K750" s="27"/>
    </row>
    <row r="751">
      <c r="I751" s="27"/>
      <c r="K751" s="27"/>
    </row>
    <row r="752">
      <c r="I752" s="27"/>
      <c r="K752" s="27"/>
    </row>
    <row r="753">
      <c r="I753" s="27"/>
      <c r="K753" s="27"/>
    </row>
    <row r="754">
      <c r="I754" s="27"/>
      <c r="K754" s="27"/>
    </row>
    <row r="755">
      <c r="I755" s="27"/>
      <c r="K755" s="27"/>
    </row>
    <row r="756">
      <c r="I756" s="27"/>
      <c r="K756" s="27"/>
    </row>
    <row r="757">
      <c r="I757" s="27"/>
      <c r="K757" s="27"/>
    </row>
    <row r="758">
      <c r="I758" s="27"/>
      <c r="K758" s="27"/>
    </row>
    <row r="759">
      <c r="I759" s="27"/>
      <c r="K759" s="27"/>
    </row>
    <row r="760">
      <c r="I760" s="27"/>
      <c r="K760" s="27"/>
    </row>
    <row r="761">
      <c r="I761" s="27"/>
      <c r="K761" s="27"/>
    </row>
    <row r="762">
      <c r="I762" s="27"/>
      <c r="K762" s="27"/>
    </row>
    <row r="763">
      <c r="I763" s="27"/>
      <c r="K763" s="27"/>
    </row>
    <row r="764">
      <c r="I764" s="27"/>
      <c r="K764" s="27"/>
    </row>
    <row r="765">
      <c r="I765" s="27"/>
      <c r="K765" s="27"/>
    </row>
    <row r="766">
      <c r="I766" s="27"/>
      <c r="K766" s="27"/>
    </row>
    <row r="767">
      <c r="I767" s="27"/>
      <c r="K767" s="27"/>
    </row>
    <row r="768">
      <c r="I768" s="27"/>
      <c r="K768" s="27"/>
    </row>
    <row r="769">
      <c r="I769" s="27"/>
      <c r="K769" s="27"/>
    </row>
    <row r="770">
      <c r="I770" s="27"/>
      <c r="K770" s="27"/>
    </row>
    <row r="771">
      <c r="I771" s="27"/>
      <c r="K771" s="27"/>
    </row>
    <row r="772">
      <c r="I772" s="27"/>
      <c r="K772" s="27"/>
    </row>
    <row r="773">
      <c r="I773" s="27"/>
      <c r="K773" s="27"/>
    </row>
    <row r="774">
      <c r="I774" s="27"/>
      <c r="K774" s="27"/>
    </row>
    <row r="775">
      <c r="I775" s="27"/>
      <c r="K775" s="27"/>
    </row>
    <row r="776">
      <c r="I776" s="27"/>
      <c r="K776" s="27"/>
    </row>
    <row r="777">
      <c r="I777" s="27"/>
      <c r="K777" s="27"/>
    </row>
    <row r="778">
      <c r="I778" s="27"/>
      <c r="K778" s="27"/>
    </row>
    <row r="779">
      <c r="I779" s="27"/>
      <c r="K779" s="27"/>
    </row>
    <row r="780">
      <c r="I780" s="27"/>
      <c r="K780" s="27"/>
    </row>
    <row r="781">
      <c r="I781" s="27"/>
      <c r="K781" s="27"/>
    </row>
    <row r="782">
      <c r="I782" s="27"/>
      <c r="K782" s="27"/>
    </row>
    <row r="783">
      <c r="I783" s="27"/>
      <c r="K783" s="27"/>
    </row>
    <row r="784">
      <c r="I784" s="27"/>
      <c r="K784" s="27"/>
    </row>
    <row r="785">
      <c r="I785" s="27"/>
      <c r="K785" s="27"/>
    </row>
    <row r="786">
      <c r="I786" s="27"/>
      <c r="K786" s="27"/>
    </row>
    <row r="787">
      <c r="I787" s="27"/>
      <c r="K787" s="27"/>
    </row>
    <row r="788">
      <c r="I788" s="27"/>
      <c r="K788" s="27"/>
    </row>
    <row r="789">
      <c r="I789" s="27"/>
      <c r="K789" s="27"/>
    </row>
    <row r="790">
      <c r="I790" s="27"/>
      <c r="K790" s="27"/>
    </row>
    <row r="791">
      <c r="I791" s="27"/>
      <c r="K791" s="27"/>
    </row>
    <row r="792">
      <c r="I792" s="27"/>
      <c r="K792" s="27"/>
    </row>
    <row r="793">
      <c r="I793" s="27"/>
      <c r="K793" s="27"/>
    </row>
    <row r="794">
      <c r="I794" s="27"/>
      <c r="K794" s="27"/>
    </row>
    <row r="795">
      <c r="I795" s="27"/>
      <c r="K795" s="27"/>
    </row>
    <row r="796">
      <c r="I796" s="27"/>
      <c r="K796" s="27"/>
    </row>
    <row r="797">
      <c r="I797" s="27"/>
      <c r="K797" s="27"/>
    </row>
    <row r="798">
      <c r="I798" s="27"/>
      <c r="K798" s="27"/>
    </row>
    <row r="799">
      <c r="I799" s="27"/>
      <c r="K799" s="27"/>
    </row>
    <row r="800">
      <c r="I800" s="27"/>
      <c r="K800" s="27"/>
    </row>
    <row r="801">
      <c r="I801" s="27"/>
      <c r="K801" s="27"/>
    </row>
    <row r="802">
      <c r="I802" s="27"/>
      <c r="K802" s="27"/>
    </row>
    <row r="803">
      <c r="I803" s="27"/>
      <c r="K803" s="27"/>
    </row>
    <row r="804">
      <c r="I804" s="27"/>
      <c r="K804" s="27"/>
    </row>
    <row r="805">
      <c r="I805" s="27"/>
      <c r="K805" s="27"/>
    </row>
    <row r="806">
      <c r="I806" s="27"/>
      <c r="K806" s="27"/>
    </row>
    <row r="807">
      <c r="I807" s="27"/>
      <c r="K807" s="27"/>
    </row>
    <row r="808">
      <c r="I808" s="27"/>
      <c r="K808" s="27"/>
    </row>
    <row r="809">
      <c r="I809" s="27"/>
      <c r="K809" s="27"/>
    </row>
    <row r="810">
      <c r="I810" s="27"/>
      <c r="K810" s="27"/>
    </row>
    <row r="811">
      <c r="I811" s="27"/>
      <c r="K811" s="27"/>
    </row>
    <row r="812">
      <c r="I812" s="27"/>
      <c r="K812" s="27"/>
    </row>
    <row r="813">
      <c r="I813" s="27"/>
      <c r="K813" s="27"/>
    </row>
    <row r="814">
      <c r="I814" s="27"/>
      <c r="K814" s="27"/>
    </row>
    <row r="815">
      <c r="I815" s="27"/>
      <c r="K815" s="27"/>
    </row>
    <row r="816">
      <c r="I816" s="27"/>
      <c r="K816" s="27"/>
    </row>
    <row r="817">
      <c r="I817" s="27"/>
      <c r="K817" s="27"/>
    </row>
    <row r="818">
      <c r="I818" s="27"/>
      <c r="K818" s="27"/>
    </row>
    <row r="819">
      <c r="I819" s="27"/>
      <c r="K819" s="27"/>
    </row>
    <row r="820">
      <c r="I820" s="27"/>
      <c r="K820" s="27"/>
    </row>
    <row r="821">
      <c r="I821" s="27"/>
      <c r="K821" s="27"/>
    </row>
    <row r="822">
      <c r="I822" s="27"/>
      <c r="K822" s="27"/>
    </row>
    <row r="823">
      <c r="I823" s="27"/>
      <c r="K823" s="27"/>
    </row>
    <row r="824">
      <c r="I824" s="27"/>
      <c r="K824" s="27"/>
    </row>
    <row r="825">
      <c r="I825" s="27"/>
      <c r="K825" s="27"/>
    </row>
    <row r="826">
      <c r="I826" s="27"/>
      <c r="K826" s="27"/>
    </row>
    <row r="827">
      <c r="I827" s="27"/>
      <c r="K827" s="27"/>
    </row>
    <row r="828">
      <c r="I828" s="27"/>
      <c r="K828" s="27"/>
    </row>
    <row r="829">
      <c r="I829" s="27"/>
      <c r="K829" s="27"/>
    </row>
    <row r="830">
      <c r="I830" s="27"/>
      <c r="K830" s="27"/>
    </row>
    <row r="831">
      <c r="I831" s="27"/>
      <c r="K831" s="27"/>
    </row>
    <row r="832">
      <c r="I832" s="27"/>
      <c r="K832" s="27"/>
    </row>
    <row r="833">
      <c r="I833" s="27"/>
      <c r="K833" s="27"/>
    </row>
    <row r="834">
      <c r="I834" s="27"/>
      <c r="K834" s="27"/>
    </row>
    <row r="835">
      <c r="I835" s="27"/>
      <c r="K835" s="27"/>
    </row>
    <row r="836">
      <c r="I836" s="27"/>
      <c r="K836" s="27"/>
    </row>
    <row r="837">
      <c r="I837" s="27"/>
      <c r="K837" s="27"/>
    </row>
    <row r="838">
      <c r="I838" s="27"/>
      <c r="K838" s="27"/>
    </row>
    <row r="839">
      <c r="I839" s="27"/>
      <c r="K839" s="27"/>
    </row>
    <row r="840">
      <c r="I840" s="27"/>
      <c r="K840" s="27"/>
    </row>
    <row r="841">
      <c r="I841" s="27"/>
      <c r="K841" s="27"/>
    </row>
    <row r="842">
      <c r="I842" s="27"/>
      <c r="K842" s="27"/>
    </row>
    <row r="843">
      <c r="I843" s="27"/>
      <c r="K843" s="27"/>
    </row>
    <row r="844">
      <c r="I844" s="27"/>
      <c r="K844" s="27"/>
    </row>
    <row r="845">
      <c r="I845" s="27"/>
      <c r="K845" s="27"/>
    </row>
    <row r="846">
      <c r="I846" s="27"/>
      <c r="K846" s="27"/>
    </row>
    <row r="847">
      <c r="I847" s="27"/>
      <c r="K847" s="27"/>
    </row>
    <row r="848">
      <c r="I848" s="27"/>
      <c r="K848" s="27"/>
    </row>
    <row r="849">
      <c r="I849" s="27"/>
      <c r="K849" s="27"/>
    </row>
    <row r="850">
      <c r="I850" s="27"/>
      <c r="K850" s="27"/>
    </row>
    <row r="851">
      <c r="I851" s="27"/>
      <c r="K851" s="27"/>
    </row>
    <row r="852">
      <c r="I852" s="27"/>
      <c r="K852" s="27"/>
    </row>
    <row r="853">
      <c r="I853" s="27"/>
      <c r="K853" s="27"/>
    </row>
    <row r="854">
      <c r="I854" s="27"/>
      <c r="K854" s="27"/>
    </row>
    <row r="855">
      <c r="I855" s="27"/>
      <c r="K855" s="27"/>
    </row>
    <row r="856">
      <c r="I856" s="27"/>
      <c r="K856" s="27"/>
    </row>
    <row r="857">
      <c r="I857" s="27"/>
      <c r="K857" s="27"/>
    </row>
    <row r="858">
      <c r="I858" s="27"/>
      <c r="K858" s="27"/>
    </row>
    <row r="859">
      <c r="I859" s="27"/>
      <c r="K859" s="27"/>
    </row>
    <row r="860">
      <c r="I860" s="27"/>
      <c r="K860" s="27"/>
    </row>
    <row r="861">
      <c r="I861" s="27"/>
      <c r="K861" s="27"/>
    </row>
    <row r="862">
      <c r="I862" s="27"/>
      <c r="K862" s="27"/>
    </row>
    <row r="863">
      <c r="I863" s="27"/>
      <c r="K863" s="27"/>
    </row>
    <row r="864">
      <c r="I864" s="27"/>
      <c r="K864" s="27"/>
    </row>
    <row r="865">
      <c r="I865" s="27"/>
      <c r="K865" s="27"/>
    </row>
    <row r="866">
      <c r="I866" s="27"/>
      <c r="K866" s="27"/>
    </row>
    <row r="867">
      <c r="I867" s="27"/>
      <c r="K867" s="27"/>
    </row>
    <row r="868">
      <c r="I868" s="27"/>
      <c r="K868" s="27"/>
    </row>
    <row r="869">
      <c r="I869" s="27"/>
      <c r="K869" s="27"/>
    </row>
    <row r="870">
      <c r="I870" s="27"/>
      <c r="K870" s="27"/>
    </row>
    <row r="871">
      <c r="I871" s="27"/>
      <c r="K871" s="27"/>
    </row>
    <row r="872">
      <c r="I872" s="27"/>
      <c r="K872" s="27"/>
    </row>
    <row r="873">
      <c r="I873" s="27"/>
      <c r="K873" s="27"/>
    </row>
    <row r="874">
      <c r="I874" s="27"/>
      <c r="K874" s="27"/>
    </row>
    <row r="875">
      <c r="I875" s="27"/>
      <c r="K875" s="27"/>
    </row>
    <row r="876">
      <c r="I876" s="27"/>
      <c r="K876" s="27"/>
    </row>
    <row r="877">
      <c r="I877" s="27"/>
      <c r="K877" s="27"/>
    </row>
    <row r="878">
      <c r="I878" s="27"/>
      <c r="K878" s="27"/>
    </row>
    <row r="879">
      <c r="I879" s="27"/>
      <c r="K879" s="27"/>
    </row>
    <row r="880">
      <c r="I880" s="27"/>
      <c r="K880" s="27"/>
    </row>
    <row r="881">
      <c r="I881" s="27"/>
      <c r="K881" s="27"/>
    </row>
    <row r="882">
      <c r="I882" s="27"/>
      <c r="K882" s="27"/>
    </row>
    <row r="883">
      <c r="I883" s="27"/>
      <c r="K883" s="27"/>
    </row>
    <row r="884">
      <c r="I884" s="27"/>
      <c r="K884" s="27"/>
    </row>
    <row r="885">
      <c r="I885" s="27"/>
      <c r="K885" s="27"/>
    </row>
    <row r="886">
      <c r="I886" s="27"/>
      <c r="K886" s="27"/>
    </row>
    <row r="887">
      <c r="I887" s="27"/>
      <c r="K887" s="27"/>
    </row>
    <row r="888">
      <c r="I888" s="27"/>
      <c r="K888" s="27"/>
    </row>
    <row r="889">
      <c r="I889" s="27"/>
      <c r="K889" s="27"/>
    </row>
    <row r="890">
      <c r="I890" s="27"/>
      <c r="K890" s="27"/>
    </row>
    <row r="891">
      <c r="I891" s="27"/>
      <c r="K891" s="27"/>
    </row>
    <row r="892">
      <c r="I892" s="27"/>
      <c r="K892" s="27"/>
    </row>
    <row r="893">
      <c r="I893" s="27"/>
      <c r="K893" s="27"/>
    </row>
    <row r="894">
      <c r="I894" s="27"/>
      <c r="K894" s="27"/>
    </row>
    <row r="895">
      <c r="I895" s="27"/>
      <c r="K895" s="27"/>
    </row>
    <row r="896">
      <c r="I896" s="27"/>
      <c r="K896" s="27"/>
    </row>
    <row r="897">
      <c r="I897" s="27"/>
      <c r="K897" s="27"/>
    </row>
    <row r="898">
      <c r="I898" s="27"/>
      <c r="K898" s="27"/>
    </row>
    <row r="899">
      <c r="I899" s="27"/>
      <c r="K899" s="27"/>
    </row>
    <row r="900">
      <c r="I900" s="27"/>
      <c r="K900" s="27"/>
    </row>
    <row r="901">
      <c r="I901" s="27"/>
      <c r="K901" s="27"/>
    </row>
    <row r="902">
      <c r="I902" s="27"/>
      <c r="K902" s="27"/>
    </row>
    <row r="903">
      <c r="I903" s="27"/>
      <c r="K903" s="27"/>
    </row>
    <row r="904">
      <c r="I904" s="27"/>
      <c r="K904" s="27"/>
    </row>
    <row r="905">
      <c r="I905" s="27"/>
      <c r="K905" s="27"/>
    </row>
    <row r="906">
      <c r="I906" s="27"/>
      <c r="K906" s="27"/>
    </row>
    <row r="907">
      <c r="I907" s="27"/>
      <c r="K907" s="27"/>
    </row>
    <row r="908">
      <c r="I908" s="27"/>
      <c r="K908" s="27"/>
    </row>
    <row r="909">
      <c r="I909" s="27"/>
      <c r="K909" s="27"/>
    </row>
    <row r="910">
      <c r="I910" s="27"/>
      <c r="K910" s="27"/>
    </row>
    <row r="911">
      <c r="I911" s="27"/>
      <c r="K911" s="27"/>
    </row>
    <row r="912">
      <c r="I912" s="27"/>
      <c r="K912" s="27"/>
    </row>
    <row r="913">
      <c r="I913" s="27"/>
      <c r="K913" s="27"/>
    </row>
    <row r="914">
      <c r="I914" s="27"/>
      <c r="K914" s="27"/>
    </row>
    <row r="915">
      <c r="I915" s="27"/>
      <c r="K915" s="27"/>
    </row>
    <row r="916">
      <c r="I916" s="27"/>
      <c r="K916" s="27"/>
    </row>
    <row r="917">
      <c r="I917" s="27"/>
      <c r="K917" s="27"/>
    </row>
    <row r="918">
      <c r="I918" s="27"/>
      <c r="K918" s="27"/>
    </row>
    <row r="919">
      <c r="I919" s="27"/>
      <c r="K919" s="27"/>
    </row>
    <row r="920">
      <c r="I920" s="27"/>
      <c r="K920" s="27"/>
    </row>
    <row r="921">
      <c r="I921" s="27"/>
      <c r="K921" s="27"/>
    </row>
    <row r="922">
      <c r="I922" s="27"/>
      <c r="K922" s="27"/>
    </row>
    <row r="923">
      <c r="I923" s="27"/>
      <c r="K923" s="27"/>
    </row>
    <row r="924">
      <c r="I924" s="27"/>
      <c r="K924" s="27"/>
    </row>
    <row r="925">
      <c r="I925" s="27"/>
      <c r="K925" s="27"/>
    </row>
    <row r="926">
      <c r="I926" s="27"/>
      <c r="K926" s="27"/>
    </row>
    <row r="927">
      <c r="I927" s="27"/>
      <c r="K927" s="27"/>
    </row>
    <row r="928">
      <c r="I928" s="27"/>
      <c r="K928" s="27"/>
    </row>
    <row r="929">
      <c r="I929" s="27"/>
      <c r="K929" s="27"/>
    </row>
    <row r="930">
      <c r="I930" s="27"/>
      <c r="K930" s="27"/>
    </row>
    <row r="931">
      <c r="I931" s="27"/>
      <c r="K931" s="27"/>
    </row>
    <row r="932">
      <c r="I932" s="27"/>
      <c r="K932" s="27"/>
    </row>
    <row r="933">
      <c r="I933" s="27"/>
      <c r="K933" s="27"/>
    </row>
    <row r="934">
      <c r="I934" s="27"/>
      <c r="K934" s="27"/>
    </row>
    <row r="935">
      <c r="I935" s="27"/>
      <c r="K935" s="27"/>
    </row>
    <row r="936">
      <c r="I936" s="27"/>
      <c r="K936" s="27"/>
    </row>
    <row r="937">
      <c r="I937" s="27"/>
      <c r="K937" s="27"/>
    </row>
    <row r="938">
      <c r="I938" s="27"/>
      <c r="K938" s="27"/>
    </row>
    <row r="939">
      <c r="I939" s="27"/>
      <c r="K939" s="27"/>
    </row>
    <row r="940">
      <c r="I940" s="27"/>
      <c r="K940" s="27"/>
    </row>
    <row r="941">
      <c r="I941" s="27"/>
      <c r="K941" s="27"/>
    </row>
    <row r="942">
      <c r="I942" s="27"/>
      <c r="K942" s="27"/>
    </row>
    <row r="943">
      <c r="I943" s="27"/>
      <c r="K943" s="27"/>
    </row>
    <row r="944">
      <c r="I944" s="27"/>
      <c r="K944" s="27"/>
    </row>
    <row r="945">
      <c r="I945" s="27"/>
      <c r="K945" s="27"/>
    </row>
    <row r="946">
      <c r="I946" s="27"/>
      <c r="K946" s="27"/>
    </row>
    <row r="947">
      <c r="I947" s="27"/>
      <c r="K947" s="27"/>
    </row>
    <row r="948">
      <c r="I948" s="27"/>
      <c r="K948" s="27"/>
    </row>
    <row r="949">
      <c r="I949" s="27"/>
      <c r="K949" s="27"/>
    </row>
    <row r="950">
      <c r="I950" s="27"/>
      <c r="K950" s="27"/>
    </row>
    <row r="951">
      <c r="I951" s="27"/>
      <c r="K951" s="27"/>
    </row>
    <row r="952">
      <c r="I952" s="27"/>
      <c r="K952" s="27"/>
    </row>
    <row r="953">
      <c r="I953" s="27"/>
      <c r="K953" s="27"/>
    </row>
    <row r="954">
      <c r="I954" s="27"/>
      <c r="K954" s="27"/>
    </row>
    <row r="955">
      <c r="I955" s="27"/>
      <c r="K955" s="27"/>
    </row>
    <row r="956">
      <c r="I956" s="27"/>
      <c r="K956" s="27"/>
    </row>
    <row r="957">
      <c r="I957" s="27"/>
      <c r="K957" s="27"/>
    </row>
    <row r="958">
      <c r="I958" s="27"/>
      <c r="K958" s="27"/>
    </row>
    <row r="959">
      <c r="I959" s="27"/>
      <c r="K959" s="27"/>
    </row>
    <row r="960">
      <c r="I960" s="27"/>
      <c r="K960" s="27"/>
    </row>
    <row r="961">
      <c r="I961" s="27"/>
      <c r="K961" s="27"/>
    </row>
    <row r="962">
      <c r="I962" s="27"/>
      <c r="K962" s="27"/>
    </row>
    <row r="963">
      <c r="I963" s="27"/>
      <c r="K963" s="27"/>
    </row>
    <row r="964">
      <c r="I964" s="27"/>
      <c r="K964" s="27"/>
    </row>
    <row r="965">
      <c r="I965" s="27"/>
      <c r="K965" s="27"/>
    </row>
    <row r="966">
      <c r="I966" s="27"/>
      <c r="K966" s="27"/>
    </row>
    <row r="967">
      <c r="I967" s="27"/>
      <c r="K967" s="27"/>
    </row>
    <row r="968">
      <c r="I968" s="27"/>
      <c r="K968" s="27"/>
    </row>
    <row r="969">
      <c r="I969" s="27"/>
      <c r="K969" s="27"/>
    </row>
    <row r="970">
      <c r="I970" s="27"/>
      <c r="K970" s="27"/>
    </row>
    <row r="971">
      <c r="I971" s="27"/>
      <c r="K971" s="27"/>
    </row>
    <row r="972">
      <c r="I972" s="27"/>
      <c r="K972" s="27"/>
    </row>
    <row r="973">
      <c r="I973" s="27"/>
      <c r="K973" s="27"/>
    </row>
    <row r="974">
      <c r="I974" s="27"/>
      <c r="K974" s="27"/>
    </row>
    <row r="975">
      <c r="I975" s="27"/>
      <c r="K975" s="27"/>
    </row>
    <row r="976">
      <c r="I976" s="27"/>
      <c r="K976" s="27"/>
    </row>
    <row r="977">
      <c r="I977" s="27"/>
      <c r="K977" s="27"/>
    </row>
    <row r="978">
      <c r="I978" s="27"/>
      <c r="K978" s="27"/>
    </row>
    <row r="979">
      <c r="I979" s="27"/>
      <c r="K979" s="27"/>
    </row>
    <row r="980">
      <c r="I980" s="27"/>
      <c r="K980" s="27"/>
    </row>
    <row r="981">
      <c r="I981" s="27"/>
      <c r="K981" s="27"/>
    </row>
    <row r="982">
      <c r="I982" s="27"/>
      <c r="K982" s="27"/>
    </row>
    <row r="983">
      <c r="I983" s="27"/>
      <c r="K983" s="27"/>
    </row>
    <row r="984">
      <c r="I984" s="27"/>
      <c r="K984" s="27"/>
    </row>
    <row r="985">
      <c r="I985" s="27"/>
      <c r="K985" s="27"/>
    </row>
    <row r="986">
      <c r="I986" s="27"/>
      <c r="K986" s="27"/>
    </row>
    <row r="987">
      <c r="I987" s="27"/>
      <c r="K987" s="27"/>
    </row>
    <row r="988">
      <c r="I988" s="27"/>
      <c r="K988" s="27"/>
    </row>
    <row r="989">
      <c r="I989" s="27"/>
      <c r="K989" s="27"/>
    </row>
    <row r="990">
      <c r="I990" s="27"/>
      <c r="K990" s="27"/>
    </row>
    <row r="991">
      <c r="I991" s="27"/>
      <c r="K991" s="27"/>
    </row>
    <row r="992">
      <c r="I992" s="27"/>
      <c r="K992" s="27"/>
    </row>
    <row r="993">
      <c r="I993" s="27"/>
      <c r="K993" s="27"/>
    </row>
    <row r="994">
      <c r="I994" s="27"/>
      <c r="K994" s="27"/>
    </row>
    <row r="995">
      <c r="I995" s="27"/>
      <c r="K995" s="27"/>
    </row>
    <row r="996">
      <c r="I996" s="27"/>
      <c r="K996" s="27"/>
    </row>
    <row r="997">
      <c r="I997" s="27"/>
      <c r="K997" s="27"/>
    </row>
    <row r="998">
      <c r="I998" s="27"/>
      <c r="K998" s="27"/>
    </row>
    <row r="999">
      <c r="I999" s="27"/>
      <c r="K999" s="27"/>
    </row>
    <row r="1000">
      <c r="I1000" s="27"/>
      <c r="K1000" s="27"/>
    </row>
    <row r="1001">
      <c r="I1001" s="27"/>
      <c r="K1001" s="27"/>
    </row>
    <row r="1002">
      <c r="I1002" s="27"/>
      <c r="K1002" s="27"/>
    </row>
    <row r="1003">
      <c r="I1003" s="27"/>
      <c r="K1003" s="27"/>
    </row>
    <row r="1004">
      <c r="I1004" s="27"/>
      <c r="K1004" s="27"/>
    </row>
    <row r="1005">
      <c r="I1005" s="27"/>
      <c r="K1005" s="27"/>
    </row>
    <row r="1006">
      <c r="I1006" s="27"/>
      <c r="K1006" s="27"/>
    </row>
    <row r="1007">
      <c r="I1007" s="27"/>
      <c r="K1007" s="27"/>
    </row>
    <row r="1008">
      <c r="I1008" s="27"/>
      <c r="K1008" s="27"/>
    </row>
    <row r="1009">
      <c r="I1009" s="27"/>
      <c r="K1009" s="27"/>
    </row>
    <row r="1010">
      <c r="I1010" s="27"/>
      <c r="K1010" s="27"/>
    </row>
    <row r="1011">
      <c r="I1011" s="27"/>
      <c r="K1011" s="27"/>
    </row>
    <row r="1012">
      <c r="I1012" s="27"/>
      <c r="K1012" s="27"/>
    </row>
    <row r="1013">
      <c r="I1013" s="27"/>
      <c r="K1013" s="27"/>
    </row>
    <row r="1014">
      <c r="I1014" s="27"/>
      <c r="K1014" s="27"/>
    </row>
    <row r="1015">
      <c r="I1015" s="27"/>
      <c r="K1015" s="27"/>
    </row>
    <row r="1016">
      <c r="I1016" s="27"/>
      <c r="K1016" s="27"/>
    </row>
    <row r="1017">
      <c r="I1017" s="27"/>
      <c r="K1017" s="27"/>
    </row>
    <row r="1018">
      <c r="I1018" s="27"/>
      <c r="K1018" s="27"/>
    </row>
    <row r="1019">
      <c r="I1019" s="27"/>
      <c r="K1019" s="27"/>
    </row>
    <row r="1020">
      <c r="I1020" s="27"/>
      <c r="K1020" s="27"/>
    </row>
    <row r="1021">
      <c r="I1021" s="27"/>
      <c r="K1021" s="27"/>
    </row>
    <row r="1022">
      <c r="I1022" s="27"/>
      <c r="K1022" s="27"/>
    </row>
    <row r="1023">
      <c r="I1023" s="27"/>
      <c r="K1023" s="27"/>
    </row>
    <row r="1024">
      <c r="I1024" s="27"/>
      <c r="K1024" s="27"/>
    </row>
    <row r="1025">
      <c r="I1025" s="27"/>
      <c r="K1025" s="27"/>
    </row>
    <row r="1026">
      <c r="I1026" s="27"/>
      <c r="K1026" s="27"/>
    </row>
    <row r="1027">
      <c r="I1027" s="27"/>
      <c r="K1027" s="27"/>
    </row>
    <row r="1028">
      <c r="I1028" s="27"/>
      <c r="K1028" s="27"/>
    </row>
    <row r="1029">
      <c r="I1029" s="27"/>
      <c r="K1029" s="27"/>
    </row>
    <row r="1030">
      <c r="I1030" s="27"/>
      <c r="K1030" s="27"/>
    </row>
    <row r="1031">
      <c r="I1031" s="27"/>
      <c r="K1031" s="27"/>
    </row>
    <row r="1032">
      <c r="I1032" s="27"/>
      <c r="K1032" s="27"/>
    </row>
    <row r="1033">
      <c r="I1033" s="27"/>
      <c r="K1033" s="27"/>
    </row>
    <row r="1034">
      <c r="I1034" s="27"/>
      <c r="K1034" s="27"/>
    </row>
    <row r="1035">
      <c r="I1035" s="27"/>
      <c r="K1035" s="27"/>
    </row>
    <row r="1036">
      <c r="I1036" s="27"/>
      <c r="K1036" s="27"/>
    </row>
    <row r="1037">
      <c r="I1037" s="27"/>
      <c r="K1037" s="27"/>
    </row>
    <row r="1038">
      <c r="I1038" s="27"/>
      <c r="K1038" s="27"/>
    </row>
    <row r="1039">
      <c r="I1039" s="27"/>
      <c r="K1039" s="27"/>
    </row>
    <row r="1040">
      <c r="I1040" s="27"/>
      <c r="K1040" s="27"/>
    </row>
    <row r="1041">
      <c r="I1041" s="27"/>
      <c r="K1041" s="27"/>
    </row>
    <row r="1042">
      <c r="I1042" s="27"/>
      <c r="K1042" s="27"/>
    </row>
    <row r="1043">
      <c r="I1043" s="27"/>
      <c r="K1043" s="27"/>
    </row>
    <row r="1044">
      <c r="I1044" s="27"/>
      <c r="K1044" s="27"/>
    </row>
    <row r="1045">
      <c r="I1045" s="27"/>
      <c r="K1045" s="27"/>
    </row>
    <row r="1046">
      <c r="I1046" s="27"/>
      <c r="K1046" s="27"/>
    </row>
    <row r="1047">
      <c r="I1047" s="27"/>
      <c r="K1047" s="27"/>
    </row>
    <row r="1048">
      <c r="I1048" s="27"/>
      <c r="K1048" s="27"/>
    </row>
    <row r="1049">
      <c r="I1049" s="27"/>
      <c r="K1049" s="27"/>
    </row>
    <row r="1050">
      <c r="I1050" s="27"/>
      <c r="K1050" s="27"/>
    </row>
    <row r="1051">
      <c r="I1051" s="27"/>
      <c r="K1051" s="27"/>
    </row>
    <row r="1052">
      <c r="I1052" s="27"/>
      <c r="K1052" s="27"/>
    </row>
    <row r="1053">
      <c r="I1053" s="27"/>
      <c r="K1053" s="27"/>
    </row>
    <row r="1054">
      <c r="I1054" s="27"/>
      <c r="K1054" s="27"/>
    </row>
    <row r="1055">
      <c r="I1055" s="27"/>
      <c r="K1055" s="27"/>
    </row>
    <row r="1056">
      <c r="I1056" s="27"/>
      <c r="K1056" s="27"/>
    </row>
    <row r="1057">
      <c r="I1057" s="27"/>
      <c r="K1057" s="27"/>
    </row>
    <row r="1058">
      <c r="I1058" s="27"/>
      <c r="K1058" s="27"/>
    </row>
    <row r="1059">
      <c r="I1059" s="27"/>
      <c r="K1059" s="27"/>
    </row>
    <row r="1060">
      <c r="I1060" s="27"/>
      <c r="K1060" s="27"/>
    </row>
    <row r="1061">
      <c r="I1061" s="27"/>
      <c r="K1061" s="27"/>
    </row>
    <row r="1062">
      <c r="I1062" s="27"/>
      <c r="K1062" s="27"/>
    </row>
    <row r="1063">
      <c r="I1063" s="27"/>
      <c r="K1063" s="27"/>
    </row>
    <row r="1064">
      <c r="I1064" s="27"/>
      <c r="K1064" s="27"/>
    </row>
    <row r="1065">
      <c r="I1065" s="27"/>
      <c r="K1065" s="27"/>
    </row>
    <row r="1066">
      <c r="I1066" s="27"/>
      <c r="K1066" s="27"/>
    </row>
    <row r="1067">
      <c r="I1067" s="27"/>
      <c r="K1067" s="27"/>
    </row>
    <row r="1068">
      <c r="I1068" s="27"/>
      <c r="K1068" s="27"/>
    </row>
    <row r="1069">
      <c r="I1069" s="27"/>
      <c r="K1069" s="27"/>
    </row>
    <row r="1070">
      <c r="I1070" s="27"/>
      <c r="K1070" s="27"/>
    </row>
    <row r="1071">
      <c r="I1071" s="27"/>
      <c r="K1071" s="27"/>
    </row>
    <row r="1072">
      <c r="I1072" s="27"/>
      <c r="K1072" s="27"/>
    </row>
    <row r="1073">
      <c r="I1073" s="27"/>
      <c r="K1073" s="27"/>
    </row>
    <row r="1074">
      <c r="I1074" s="27"/>
      <c r="K1074" s="27"/>
    </row>
    <row r="1075">
      <c r="I1075" s="27"/>
      <c r="K1075" s="27"/>
    </row>
    <row r="1076">
      <c r="I1076" s="27"/>
      <c r="K1076" s="27"/>
    </row>
    <row r="1077">
      <c r="I1077" s="27"/>
      <c r="K1077" s="27"/>
    </row>
    <row r="1078">
      <c r="I1078" s="27"/>
      <c r="K1078" s="27"/>
    </row>
    <row r="1079">
      <c r="I1079" s="27"/>
      <c r="K1079" s="27"/>
    </row>
    <row r="1080">
      <c r="I1080" s="27"/>
      <c r="K1080" s="27"/>
    </row>
    <row r="1081">
      <c r="I1081" s="27"/>
      <c r="K1081" s="27"/>
    </row>
    <row r="1082">
      <c r="I1082" s="27"/>
      <c r="K1082" s="27"/>
    </row>
    <row r="1083">
      <c r="I1083" s="27"/>
      <c r="K1083" s="27"/>
    </row>
    <row r="1084">
      <c r="I1084" s="27"/>
      <c r="K1084" s="27"/>
    </row>
    <row r="1085">
      <c r="I1085" s="27"/>
      <c r="K1085" s="27"/>
    </row>
    <row r="1086">
      <c r="I1086" s="27"/>
      <c r="K1086" s="27"/>
    </row>
    <row r="1087">
      <c r="I1087" s="27"/>
      <c r="K1087" s="27"/>
    </row>
    <row r="1088">
      <c r="I1088" s="27"/>
      <c r="K1088" s="27"/>
    </row>
    <row r="1089">
      <c r="I1089" s="27"/>
      <c r="K1089" s="27"/>
    </row>
    <row r="1090">
      <c r="I1090" s="27"/>
      <c r="K1090" s="27"/>
    </row>
    <row r="1091">
      <c r="I1091" s="27"/>
      <c r="K1091" s="27"/>
    </row>
    <row r="1092">
      <c r="I1092" s="27"/>
      <c r="K1092" s="27"/>
    </row>
    <row r="1093">
      <c r="I1093" s="27"/>
      <c r="K1093" s="27"/>
    </row>
    <row r="1094">
      <c r="I1094" s="27"/>
      <c r="K1094" s="27"/>
    </row>
    <row r="1095">
      <c r="I1095" s="27"/>
      <c r="K1095" s="27"/>
    </row>
    <row r="1096">
      <c r="I1096" s="27"/>
      <c r="K1096" s="27"/>
    </row>
    <row r="1097">
      <c r="I1097" s="27"/>
      <c r="K1097" s="27"/>
    </row>
    <row r="1098">
      <c r="I1098" s="27"/>
      <c r="K1098" s="27"/>
    </row>
    <row r="1099">
      <c r="I1099" s="27"/>
      <c r="K1099" s="27"/>
    </row>
    <row r="1100">
      <c r="I1100" s="27"/>
      <c r="K1100" s="27"/>
    </row>
    <row r="1101">
      <c r="I1101" s="27"/>
      <c r="K1101" s="27"/>
    </row>
    <row r="1102">
      <c r="I1102" s="27"/>
      <c r="K1102" s="27"/>
    </row>
    <row r="1103">
      <c r="I1103" s="27"/>
      <c r="K1103" s="27"/>
    </row>
    <row r="1104">
      <c r="I1104" s="27"/>
      <c r="K1104" s="27"/>
    </row>
    <row r="1105">
      <c r="I1105" s="27"/>
      <c r="K1105" s="27"/>
    </row>
    <row r="1106">
      <c r="I1106" s="27"/>
      <c r="K1106" s="27"/>
    </row>
    <row r="1107">
      <c r="I1107" s="27"/>
      <c r="K1107" s="27"/>
    </row>
    <row r="1108">
      <c r="I1108" s="27"/>
      <c r="K1108" s="27"/>
    </row>
    <row r="1109">
      <c r="I1109" s="27"/>
      <c r="K1109" s="27"/>
    </row>
    <row r="1110">
      <c r="I1110" s="27"/>
      <c r="K1110" s="27"/>
    </row>
    <row r="1111">
      <c r="I1111" s="27"/>
      <c r="K1111" s="27"/>
    </row>
    <row r="1112">
      <c r="I1112" s="27"/>
      <c r="K1112" s="27"/>
    </row>
    <row r="1113">
      <c r="I1113" s="27"/>
      <c r="K1113" s="27"/>
    </row>
    <row r="1114">
      <c r="I1114" s="27"/>
      <c r="K1114" s="27"/>
    </row>
    <row r="1115">
      <c r="I1115" s="27"/>
      <c r="K1115" s="27"/>
    </row>
    <row r="1116">
      <c r="I1116" s="27"/>
      <c r="K1116" s="27"/>
    </row>
    <row r="1117">
      <c r="I1117" s="27"/>
      <c r="K1117" s="27"/>
    </row>
    <row r="1118">
      <c r="I1118" s="27"/>
      <c r="K1118" s="27"/>
    </row>
    <row r="1119">
      <c r="I1119" s="27"/>
      <c r="K1119" s="27"/>
    </row>
    <row r="1120">
      <c r="I1120" s="27"/>
      <c r="K1120" s="27"/>
    </row>
    <row r="1121">
      <c r="I1121" s="27"/>
      <c r="K1121" s="27"/>
    </row>
    <row r="1122">
      <c r="I1122" s="27"/>
      <c r="K1122" s="27"/>
    </row>
    <row r="1123">
      <c r="I1123" s="27"/>
      <c r="K1123" s="27"/>
    </row>
    <row r="1124">
      <c r="I1124" s="27"/>
      <c r="K1124" s="27"/>
    </row>
    <row r="1125">
      <c r="I1125" s="27"/>
      <c r="K1125" s="27"/>
    </row>
    <row r="1126">
      <c r="I1126" s="27"/>
      <c r="K1126" s="27"/>
    </row>
    <row r="1127">
      <c r="I1127" s="27"/>
      <c r="K1127" s="27"/>
    </row>
    <row r="1128">
      <c r="I1128" s="27"/>
      <c r="K1128" s="27"/>
    </row>
    <row r="1129">
      <c r="I1129" s="27"/>
      <c r="K1129" s="27"/>
    </row>
    <row r="1130">
      <c r="I1130" s="27"/>
      <c r="K1130" s="27"/>
    </row>
    <row r="1131">
      <c r="I1131" s="27"/>
      <c r="K1131" s="27"/>
    </row>
    <row r="1132">
      <c r="I1132" s="27"/>
      <c r="K1132" s="27"/>
    </row>
    <row r="1133">
      <c r="I1133" s="27"/>
      <c r="K1133" s="27"/>
    </row>
    <row r="1134">
      <c r="I1134" s="27"/>
      <c r="K1134" s="27"/>
    </row>
    <row r="1135">
      <c r="I1135" s="27"/>
      <c r="K1135" s="27"/>
    </row>
    <row r="1136">
      <c r="I1136" s="27"/>
      <c r="K1136" s="27"/>
    </row>
    <row r="1137">
      <c r="I1137" s="27"/>
      <c r="K1137" s="27"/>
    </row>
    <row r="1138">
      <c r="I1138" s="27"/>
      <c r="K1138" s="27"/>
    </row>
    <row r="1139">
      <c r="I1139" s="27"/>
      <c r="K1139" s="27"/>
    </row>
    <row r="1140">
      <c r="I1140" s="27"/>
      <c r="K1140" s="27"/>
    </row>
    <row r="1141">
      <c r="I1141" s="27"/>
      <c r="K1141" s="27"/>
    </row>
    <row r="1142">
      <c r="I1142" s="27"/>
      <c r="K1142" s="27"/>
    </row>
    <row r="1143">
      <c r="I1143" s="27"/>
      <c r="K1143" s="27"/>
    </row>
    <row r="1144">
      <c r="I1144" s="27"/>
      <c r="K1144" s="27"/>
    </row>
    <row r="1145">
      <c r="I1145" s="27"/>
      <c r="K1145" s="27"/>
    </row>
    <row r="1146">
      <c r="I1146" s="27"/>
      <c r="K1146" s="27"/>
    </row>
    <row r="1147">
      <c r="I1147" s="27"/>
      <c r="K1147" s="27"/>
    </row>
    <row r="1148">
      <c r="I1148" s="27"/>
      <c r="K1148" s="27"/>
    </row>
    <row r="1149">
      <c r="I1149" s="27"/>
      <c r="K1149" s="27"/>
    </row>
    <row r="1150">
      <c r="I1150" s="27"/>
      <c r="K1150" s="27"/>
    </row>
    <row r="1151">
      <c r="I1151" s="27"/>
      <c r="K1151" s="27"/>
    </row>
    <row r="1152">
      <c r="I1152" s="27"/>
      <c r="K1152" s="27"/>
    </row>
    <row r="1153">
      <c r="I1153" s="27"/>
      <c r="K1153" s="27"/>
    </row>
    <row r="1154">
      <c r="I1154" s="27"/>
      <c r="K1154" s="27"/>
    </row>
    <row r="1155">
      <c r="I1155" s="27"/>
      <c r="K1155" s="27"/>
    </row>
    <row r="1156">
      <c r="I1156" s="27"/>
      <c r="K1156" s="27"/>
    </row>
    <row r="1157">
      <c r="I1157" s="27"/>
      <c r="K1157" s="27"/>
    </row>
    <row r="1158">
      <c r="I1158" s="27"/>
      <c r="K1158" s="27"/>
    </row>
    <row r="1159">
      <c r="I1159" s="27"/>
      <c r="K1159" s="27"/>
    </row>
    <row r="1160">
      <c r="I1160" s="27"/>
      <c r="K1160" s="27"/>
    </row>
    <row r="1161">
      <c r="I1161" s="27"/>
      <c r="K1161" s="27"/>
    </row>
    <row r="1162">
      <c r="I1162" s="27"/>
      <c r="K1162" s="27"/>
    </row>
    <row r="1163">
      <c r="I1163" s="27"/>
      <c r="K1163" s="27"/>
    </row>
    <row r="1164">
      <c r="I1164" s="27"/>
      <c r="K1164" s="27"/>
    </row>
    <row r="1165">
      <c r="I1165" s="27"/>
      <c r="K1165" s="27"/>
    </row>
    <row r="1166">
      <c r="I1166" s="27"/>
      <c r="K1166" s="27"/>
    </row>
    <row r="1167">
      <c r="I1167" s="27"/>
      <c r="K1167" s="27"/>
    </row>
    <row r="1168">
      <c r="I1168" s="27"/>
      <c r="K1168" s="27"/>
    </row>
    <row r="1169">
      <c r="I1169" s="27"/>
      <c r="K1169" s="27"/>
    </row>
    <row r="1170">
      <c r="I1170" s="27"/>
      <c r="K1170" s="27"/>
    </row>
    <row r="1171">
      <c r="I1171" s="27"/>
      <c r="K1171" s="27"/>
    </row>
    <row r="1172">
      <c r="I1172" s="27"/>
      <c r="K1172" s="27"/>
    </row>
    <row r="1173">
      <c r="I1173" s="27"/>
      <c r="K1173" s="27"/>
    </row>
    <row r="1174">
      <c r="I1174" s="27"/>
      <c r="K1174" s="27"/>
    </row>
    <row r="1175">
      <c r="I1175" s="27"/>
      <c r="K1175" s="27"/>
    </row>
    <row r="1176">
      <c r="I1176" s="27"/>
      <c r="K1176" s="27"/>
    </row>
    <row r="1177">
      <c r="I1177" s="27"/>
      <c r="K1177" s="27"/>
    </row>
    <row r="1178">
      <c r="I1178" s="27"/>
      <c r="K1178" s="27"/>
    </row>
    <row r="1179">
      <c r="I1179" s="27"/>
      <c r="K1179" s="27"/>
    </row>
    <row r="1180">
      <c r="I1180" s="27"/>
      <c r="K1180" s="27"/>
    </row>
    <row r="1181">
      <c r="I1181" s="27"/>
      <c r="K1181" s="27"/>
    </row>
    <row r="1182">
      <c r="I1182" s="27"/>
      <c r="K1182" s="27"/>
    </row>
    <row r="1183">
      <c r="I1183" s="27"/>
      <c r="K1183" s="27"/>
    </row>
    <row r="1184">
      <c r="I1184" s="27"/>
      <c r="K1184" s="27"/>
    </row>
    <row r="1185">
      <c r="I1185" s="27"/>
      <c r="K1185" s="27"/>
    </row>
    <row r="1186">
      <c r="I1186" s="27"/>
      <c r="K1186" s="27"/>
    </row>
    <row r="1187">
      <c r="I1187" s="27"/>
      <c r="K1187" s="27"/>
    </row>
    <row r="1188">
      <c r="I1188" s="27"/>
      <c r="K1188" s="27"/>
    </row>
    <row r="1189">
      <c r="I1189" s="27"/>
      <c r="K1189" s="27"/>
    </row>
    <row r="1190">
      <c r="I1190" s="27"/>
      <c r="K1190" s="27"/>
    </row>
    <row r="1191">
      <c r="I1191" s="27"/>
      <c r="K1191" s="27"/>
    </row>
    <row r="1192">
      <c r="I1192" s="27"/>
      <c r="K1192" s="27"/>
    </row>
    <row r="1193">
      <c r="I1193" s="27"/>
      <c r="K1193" s="27"/>
    </row>
    <row r="1194">
      <c r="I1194" s="27"/>
      <c r="K1194" s="27"/>
    </row>
    <row r="1195">
      <c r="I1195" s="27"/>
      <c r="K1195" s="27"/>
    </row>
    <row r="1196">
      <c r="I1196" s="27"/>
      <c r="K1196" s="27"/>
    </row>
    <row r="1197">
      <c r="I1197" s="27"/>
      <c r="K1197" s="27"/>
    </row>
    <row r="1198">
      <c r="I1198" s="27"/>
      <c r="K1198" s="27"/>
    </row>
    <row r="1199">
      <c r="I1199" s="27"/>
      <c r="K1199" s="27"/>
    </row>
    <row r="1200">
      <c r="I1200" s="27"/>
      <c r="K1200" s="27"/>
    </row>
    <row r="1201">
      <c r="I1201" s="27"/>
      <c r="K1201" s="27"/>
    </row>
    <row r="1202">
      <c r="I1202" s="27"/>
      <c r="K1202" s="27"/>
    </row>
    <row r="1203">
      <c r="I1203" s="27"/>
      <c r="K1203" s="27"/>
    </row>
    <row r="1204">
      <c r="I1204" s="27"/>
      <c r="K1204" s="27"/>
    </row>
    <row r="1205">
      <c r="I1205" s="27"/>
      <c r="K1205" s="27"/>
    </row>
    <row r="1206">
      <c r="I1206" s="27"/>
      <c r="K1206" s="27"/>
    </row>
    <row r="1207">
      <c r="I1207" s="27"/>
      <c r="K1207" s="27"/>
    </row>
    <row r="1208">
      <c r="I1208" s="27"/>
      <c r="K1208" s="27"/>
    </row>
    <row r="1209">
      <c r="I1209" s="27"/>
      <c r="K1209" s="27"/>
    </row>
    <row r="1210">
      <c r="I1210" s="27"/>
      <c r="K1210" s="27"/>
    </row>
    <row r="1211">
      <c r="I1211" s="27"/>
      <c r="K1211" s="27"/>
    </row>
    <row r="1212">
      <c r="I1212" s="27"/>
      <c r="K1212" s="27"/>
    </row>
    <row r="1213">
      <c r="I1213" s="27"/>
      <c r="K1213" s="27"/>
    </row>
    <row r="1214">
      <c r="I1214" s="27"/>
      <c r="K1214" s="27"/>
    </row>
    <row r="1215">
      <c r="I1215" s="27"/>
      <c r="K1215" s="27"/>
    </row>
    <row r="1216">
      <c r="I1216" s="27"/>
      <c r="K1216" s="27"/>
    </row>
    <row r="1217">
      <c r="I1217" s="27"/>
      <c r="K1217" s="27"/>
    </row>
    <row r="1218">
      <c r="I1218" s="27"/>
      <c r="K1218" s="27"/>
    </row>
    <row r="1219">
      <c r="I1219" s="27"/>
      <c r="K1219" s="27"/>
    </row>
    <row r="1220">
      <c r="I1220" s="27"/>
      <c r="K1220" s="27"/>
    </row>
    <row r="1221">
      <c r="I1221" s="27"/>
      <c r="K1221" s="27"/>
    </row>
    <row r="1222">
      <c r="I1222" s="27"/>
      <c r="K1222" s="27"/>
    </row>
    <row r="1223">
      <c r="I1223" s="27"/>
      <c r="K1223" s="27"/>
    </row>
    <row r="1224">
      <c r="I1224" s="27"/>
      <c r="K1224" s="27"/>
    </row>
    <row r="1225">
      <c r="I1225" s="27"/>
      <c r="K1225" s="27"/>
    </row>
    <row r="1226">
      <c r="I1226" s="27"/>
      <c r="K1226" s="27"/>
    </row>
    <row r="1227">
      <c r="I1227" s="27"/>
      <c r="K1227" s="27"/>
    </row>
    <row r="1228">
      <c r="I1228" s="27"/>
      <c r="K1228" s="27"/>
    </row>
    <row r="1229">
      <c r="I1229" s="27"/>
      <c r="K1229" s="27"/>
    </row>
    <row r="1230">
      <c r="I1230" s="27"/>
      <c r="K1230" s="27"/>
    </row>
    <row r="1231">
      <c r="I1231" s="27"/>
      <c r="K1231" s="27"/>
    </row>
    <row r="1232">
      <c r="I1232" s="27"/>
      <c r="K1232" s="27"/>
    </row>
    <row r="1233">
      <c r="I1233" s="27"/>
      <c r="K1233" s="27"/>
    </row>
    <row r="1234">
      <c r="I1234" s="27"/>
      <c r="K1234" s="27"/>
    </row>
    <row r="1235">
      <c r="I1235" s="27"/>
      <c r="K1235" s="27"/>
    </row>
    <row r="1236">
      <c r="I1236" s="27"/>
      <c r="K1236" s="27"/>
    </row>
    <row r="1237">
      <c r="I1237" s="27"/>
      <c r="K1237" s="27"/>
    </row>
    <row r="1238">
      <c r="I1238" s="27"/>
      <c r="K1238" s="27"/>
    </row>
    <row r="1239">
      <c r="I1239" s="27"/>
      <c r="K1239" s="27"/>
    </row>
    <row r="1240">
      <c r="I1240" s="27"/>
      <c r="K1240" s="27"/>
    </row>
    <row r="1241">
      <c r="I1241" s="27"/>
      <c r="K1241" s="27"/>
    </row>
    <row r="1242">
      <c r="I1242" s="27"/>
      <c r="K1242" s="27"/>
    </row>
    <row r="1243">
      <c r="I1243" s="27"/>
      <c r="K1243" s="27"/>
    </row>
    <row r="1244">
      <c r="I1244" s="27"/>
      <c r="K1244" s="27"/>
    </row>
    <row r="1245">
      <c r="I1245" s="27"/>
      <c r="K1245" s="27"/>
    </row>
    <row r="1246">
      <c r="I1246" s="27"/>
      <c r="K1246" s="27"/>
    </row>
    <row r="1247">
      <c r="I1247" s="27"/>
      <c r="K1247" s="27"/>
    </row>
    <row r="1248">
      <c r="I1248" s="27"/>
      <c r="K1248" s="27"/>
    </row>
    <row r="1249">
      <c r="I1249" s="27"/>
      <c r="K1249" s="27"/>
    </row>
    <row r="1250">
      <c r="I1250" s="27"/>
      <c r="K1250" s="27"/>
    </row>
    <row r="1251">
      <c r="I1251" s="27"/>
      <c r="K1251" s="27"/>
    </row>
    <row r="1252">
      <c r="I1252" s="27"/>
      <c r="K1252" s="27"/>
    </row>
    <row r="1253">
      <c r="I1253" s="27"/>
      <c r="K1253" s="27"/>
    </row>
    <row r="1254">
      <c r="I1254" s="27"/>
      <c r="K1254" s="27"/>
    </row>
    <row r="1255">
      <c r="I1255" s="27"/>
      <c r="K1255" s="27"/>
    </row>
    <row r="1256">
      <c r="I1256" s="27"/>
      <c r="K1256" s="27"/>
    </row>
    <row r="1257">
      <c r="I1257" s="27"/>
      <c r="K1257" s="27"/>
    </row>
    <row r="1258">
      <c r="I1258" s="27"/>
      <c r="K1258" s="27"/>
    </row>
    <row r="1259">
      <c r="I1259" s="27"/>
      <c r="K1259" s="27"/>
    </row>
    <row r="1260">
      <c r="I1260" s="27"/>
      <c r="K1260" s="27"/>
    </row>
    <row r="1261">
      <c r="I1261" s="27"/>
      <c r="K1261" s="27"/>
    </row>
    <row r="1262">
      <c r="I1262" s="27"/>
      <c r="K1262" s="27"/>
    </row>
    <row r="1263">
      <c r="I1263" s="27"/>
      <c r="K1263" s="27"/>
    </row>
    <row r="1264">
      <c r="I1264" s="27"/>
      <c r="K1264" s="27"/>
    </row>
    <row r="1265">
      <c r="I1265" s="27"/>
      <c r="K1265" s="27"/>
    </row>
    <row r="1266">
      <c r="I1266" s="27"/>
      <c r="K1266" s="27"/>
    </row>
    <row r="1267">
      <c r="I1267" s="27"/>
      <c r="K1267" s="27"/>
    </row>
    <row r="1268">
      <c r="I1268" s="27"/>
      <c r="K1268" s="27"/>
    </row>
    <row r="1269">
      <c r="I1269" s="27"/>
      <c r="K1269" s="27"/>
    </row>
    <row r="1270">
      <c r="I1270" s="27"/>
      <c r="K1270" s="27"/>
    </row>
    <row r="1271">
      <c r="I1271" s="27"/>
      <c r="K1271" s="27"/>
    </row>
    <row r="1272">
      <c r="I1272" s="27"/>
      <c r="K1272" s="27"/>
    </row>
    <row r="1273">
      <c r="I1273" s="27"/>
      <c r="K1273" s="27"/>
    </row>
    <row r="1274">
      <c r="I1274" s="27"/>
      <c r="K1274" s="27"/>
    </row>
    <row r="1275">
      <c r="I1275" s="27"/>
      <c r="K1275" s="27"/>
    </row>
    <row r="1276">
      <c r="I1276" s="27"/>
      <c r="K1276" s="27"/>
    </row>
    <row r="1277">
      <c r="I1277" s="27"/>
      <c r="K1277" s="27"/>
    </row>
    <row r="1278">
      <c r="I1278" s="27"/>
      <c r="K1278" s="27"/>
    </row>
    <row r="1279">
      <c r="I1279" s="27"/>
      <c r="K1279" s="27"/>
    </row>
    <row r="1280">
      <c r="I1280" s="27"/>
      <c r="K1280" s="27"/>
    </row>
    <row r="1281">
      <c r="I1281" s="27"/>
      <c r="K1281" s="27"/>
    </row>
    <row r="1282">
      <c r="I1282" s="27"/>
      <c r="K1282" s="27"/>
    </row>
    <row r="1283">
      <c r="I1283" s="27"/>
      <c r="K1283" s="27"/>
    </row>
    <row r="1284">
      <c r="I1284" s="27"/>
      <c r="K1284" s="27"/>
    </row>
    <row r="1285">
      <c r="I1285" s="27"/>
      <c r="K1285" s="27"/>
    </row>
    <row r="1286">
      <c r="I1286" s="27"/>
      <c r="K1286" s="27"/>
    </row>
    <row r="1287">
      <c r="I1287" s="27"/>
      <c r="K1287" s="27"/>
    </row>
    <row r="1288">
      <c r="I1288" s="27"/>
      <c r="K1288" s="27"/>
    </row>
    <row r="1289">
      <c r="I1289" s="27"/>
      <c r="K1289" s="27"/>
    </row>
    <row r="1290">
      <c r="I1290" s="27"/>
      <c r="K1290" s="27"/>
    </row>
    <row r="1291">
      <c r="I1291" s="27"/>
      <c r="K1291" s="27"/>
    </row>
    <row r="1292">
      <c r="I1292" s="27"/>
      <c r="K1292" s="27"/>
    </row>
    <row r="1293">
      <c r="I1293" s="27"/>
      <c r="K1293" s="27"/>
    </row>
    <row r="1294">
      <c r="I1294" s="27"/>
      <c r="K1294" s="27"/>
    </row>
    <row r="1295">
      <c r="I1295" s="27"/>
      <c r="K1295" s="27"/>
    </row>
    <row r="1296">
      <c r="I1296" s="27"/>
      <c r="K1296" s="27"/>
    </row>
    <row r="1297">
      <c r="I1297" s="27"/>
      <c r="K1297" s="27"/>
    </row>
    <row r="1298">
      <c r="I1298" s="27"/>
      <c r="K1298" s="27"/>
    </row>
    <row r="1299">
      <c r="I1299" s="27"/>
      <c r="K1299" s="27"/>
    </row>
    <row r="1300">
      <c r="I1300" s="27"/>
      <c r="K1300" s="27"/>
    </row>
    <row r="1301">
      <c r="I1301" s="27"/>
      <c r="K1301" s="27"/>
    </row>
    <row r="1302">
      <c r="I1302" s="27"/>
      <c r="K1302" s="27"/>
    </row>
    <row r="1303">
      <c r="I1303" s="27"/>
      <c r="K1303" s="27"/>
    </row>
    <row r="1304">
      <c r="I1304" s="27"/>
      <c r="K1304" s="27"/>
    </row>
    <row r="1305">
      <c r="I1305" s="27"/>
      <c r="K1305" s="27"/>
    </row>
    <row r="1306">
      <c r="I1306" s="27"/>
      <c r="K1306" s="27"/>
    </row>
    <row r="1307">
      <c r="I1307" s="27"/>
      <c r="K1307" s="27"/>
    </row>
    <row r="1308">
      <c r="I1308" s="27"/>
      <c r="K1308" s="27"/>
    </row>
    <row r="1309">
      <c r="I1309" s="27"/>
      <c r="K1309" s="27"/>
    </row>
    <row r="1310">
      <c r="I1310" s="27"/>
      <c r="K1310" s="27"/>
    </row>
    <row r="1311">
      <c r="I1311" s="27"/>
      <c r="K1311" s="27"/>
    </row>
    <row r="1312">
      <c r="I1312" s="27"/>
      <c r="K1312" s="27"/>
    </row>
    <row r="1313">
      <c r="I1313" s="27"/>
      <c r="K1313" s="27"/>
    </row>
    <row r="1314">
      <c r="I1314" s="27"/>
      <c r="K1314" s="27"/>
    </row>
    <row r="1315">
      <c r="I1315" s="27"/>
      <c r="K1315" s="27"/>
    </row>
    <row r="1316">
      <c r="I1316" s="27"/>
      <c r="K1316" s="27"/>
    </row>
    <row r="1317">
      <c r="I1317" s="27"/>
      <c r="K1317" s="27"/>
    </row>
    <row r="1318">
      <c r="I1318" s="27"/>
      <c r="K1318" s="27"/>
    </row>
    <row r="1319">
      <c r="I1319" s="27"/>
      <c r="K1319" s="27"/>
    </row>
    <row r="1320">
      <c r="I1320" s="27"/>
      <c r="K1320" s="27"/>
    </row>
    <row r="1321">
      <c r="I1321" s="27"/>
      <c r="K1321" s="27"/>
    </row>
    <row r="1322">
      <c r="I1322" s="27"/>
      <c r="K1322" s="27"/>
    </row>
    <row r="1323">
      <c r="I1323" s="27"/>
      <c r="K1323" s="27"/>
    </row>
    <row r="1324">
      <c r="I1324" s="27"/>
      <c r="K1324" s="27"/>
    </row>
    <row r="1325">
      <c r="I1325" s="27"/>
      <c r="K1325" s="27"/>
    </row>
    <row r="1326">
      <c r="I1326" s="27"/>
      <c r="K1326" s="27"/>
    </row>
    <row r="1327">
      <c r="I1327" s="27"/>
      <c r="K1327" s="27"/>
    </row>
    <row r="1328">
      <c r="I1328" s="27"/>
      <c r="K1328" s="27"/>
    </row>
    <row r="1329">
      <c r="I1329" s="27"/>
      <c r="K1329" s="27"/>
    </row>
    <row r="1330">
      <c r="I1330" s="27"/>
      <c r="K1330" s="27"/>
    </row>
    <row r="1331">
      <c r="I1331" s="27"/>
      <c r="K1331" s="27"/>
    </row>
    <row r="1332">
      <c r="I1332" s="27"/>
      <c r="K1332" s="27"/>
    </row>
    <row r="1333">
      <c r="I1333" s="27"/>
      <c r="K1333" s="27"/>
    </row>
    <row r="1334">
      <c r="I1334" s="27"/>
      <c r="K1334" s="27"/>
    </row>
    <row r="1335">
      <c r="I1335" s="27"/>
      <c r="K1335" s="27"/>
    </row>
    <row r="1336">
      <c r="I1336" s="27"/>
      <c r="K1336" s="27"/>
    </row>
    <row r="1337">
      <c r="I1337" s="27"/>
      <c r="K1337" s="27"/>
    </row>
    <row r="1338">
      <c r="I1338" s="27"/>
      <c r="K1338" s="27"/>
    </row>
    <row r="1339">
      <c r="I1339" s="27"/>
      <c r="K1339" s="27"/>
    </row>
    <row r="1340">
      <c r="I1340" s="27"/>
      <c r="K1340" s="27"/>
    </row>
    <row r="1341">
      <c r="I1341" s="27"/>
      <c r="K1341" s="27"/>
    </row>
    <row r="1342">
      <c r="I1342" s="27"/>
      <c r="K1342" s="27"/>
    </row>
    <row r="1343">
      <c r="I1343" s="27"/>
      <c r="K1343" s="27"/>
    </row>
    <row r="1344">
      <c r="I1344" s="27"/>
      <c r="K1344" s="27"/>
    </row>
    <row r="1345">
      <c r="I1345" s="27"/>
      <c r="K1345" s="27"/>
    </row>
    <row r="1346">
      <c r="I1346" s="27"/>
      <c r="K1346" s="27"/>
    </row>
    <row r="1347">
      <c r="I1347" s="27"/>
      <c r="K1347" s="27"/>
    </row>
    <row r="1348">
      <c r="I1348" s="27"/>
      <c r="K1348" s="27"/>
    </row>
    <row r="1349">
      <c r="I1349" s="27"/>
      <c r="K1349" s="27"/>
    </row>
    <row r="1350">
      <c r="I1350" s="27"/>
      <c r="K1350" s="27"/>
    </row>
    <row r="1351">
      <c r="I1351" s="27"/>
      <c r="K1351" s="27"/>
    </row>
    <row r="1352">
      <c r="I1352" s="27"/>
      <c r="K1352" s="27"/>
    </row>
    <row r="1353">
      <c r="I1353" s="27"/>
      <c r="K1353" s="27"/>
    </row>
    <row r="1354">
      <c r="I1354" s="27"/>
      <c r="K1354" s="27"/>
    </row>
    <row r="1355">
      <c r="I1355" s="27"/>
      <c r="K1355" s="27"/>
    </row>
    <row r="1356">
      <c r="I1356" s="27"/>
      <c r="K1356" s="27"/>
    </row>
    <row r="1357">
      <c r="I1357" s="27"/>
      <c r="K1357" s="27"/>
    </row>
    <row r="1358">
      <c r="I1358" s="27"/>
      <c r="K1358" s="27"/>
    </row>
    <row r="1359">
      <c r="I1359" s="27"/>
      <c r="K1359" s="27"/>
    </row>
    <row r="1360">
      <c r="I1360" s="27"/>
      <c r="K1360" s="27"/>
    </row>
    <row r="1361">
      <c r="I1361" s="27"/>
      <c r="K1361" s="27"/>
    </row>
    <row r="1362">
      <c r="I1362" s="27"/>
      <c r="K1362" s="27"/>
    </row>
    <row r="1363">
      <c r="I1363" s="27"/>
      <c r="K1363" s="27"/>
    </row>
    <row r="1364">
      <c r="I1364" s="27"/>
      <c r="K1364" s="27"/>
    </row>
    <row r="1365">
      <c r="I1365" s="27"/>
      <c r="K1365" s="27"/>
    </row>
    <row r="1366">
      <c r="I1366" s="27"/>
      <c r="K1366" s="27"/>
    </row>
    <row r="1367">
      <c r="I1367" s="27"/>
      <c r="K1367" s="27"/>
    </row>
    <row r="1368">
      <c r="I1368" s="27"/>
      <c r="K1368" s="27"/>
    </row>
    <row r="1369">
      <c r="I1369" s="27"/>
      <c r="K1369" s="27"/>
    </row>
    <row r="1370">
      <c r="I1370" s="27"/>
      <c r="K1370" s="27"/>
    </row>
    <row r="1371">
      <c r="I1371" s="27"/>
      <c r="K1371" s="27"/>
    </row>
    <row r="1372">
      <c r="I1372" s="27"/>
      <c r="K1372" s="27"/>
    </row>
    <row r="1373">
      <c r="I1373" s="27"/>
      <c r="K1373" s="27"/>
    </row>
    <row r="1374">
      <c r="I1374" s="27"/>
      <c r="K1374" s="27"/>
    </row>
    <row r="1375">
      <c r="I1375" s="27"/>
      <c r="K1375" s="27"/>
    </row>
    <row r="1376">
      <c r="I1376" s="27"/>
      <c r="K1376" s="27"/>
    </row>
    <row r="1377">
      <c r="I1377" s="27"/>
      <c r="K1377" s="27"/>
    </row>
    <row r="1378">
      <c r="I1378" s="27"/>
      <c r="K1378" s="27"/>
    </row>
    <row r="1379">
      <c r="I1379" s="27"/>
      <c r="K1379" s="27"/>
    </row>
    <row r="1380">
      <c r="I1380" s="27"/>
      <c r="K1380" s="27"/>
    </row>
    <row r="1381">
      <c r="I1381" s="27"/>
      <c r="K1381" s="27"/>
    </row>
    <row r="1382">
      <c r="I1382" s="27"/>
      <c r="K1382" s="27"/>
    </row>
    <row r="1383">
      <c r="I1383" s="27"/>
      <c r="K1383" s="27"/>
    </row>
    <row r="1384">
      <c r="I1384" s="27"/>
      <c r="K1384" s="27"/>
    </row>
    <row r="1385">
      <c r="I1385" s="27"/>
      <c r="K1385" s="27"/>
    </row>
    <row r="1386">
      <c r="I1386" s="27"/>
      <c r="K1386" s="27"/>
    </row>
    <row r="1387">
      <c r="I1387" s="27"/>
      <c r="K1387" s="27"/>
    </row>
    <row r="1388">
      <c r="I1388" s="27"/>
      <c r="K1388" s="27"/>
    </row>
    <row r="1389">
      <c r="I1389" s="27"/>
      <c r="K1389" s="27"/>
    </row>
    <row r="1390">
      <c r="I1390" s="27"/>
      <c r="K1390" s="27"/>
    </row>
    <row r="1391">
      <c r="I1391" s="27"/>
      <c r="K1391" s="27"/>
    </row>
    <row r="1392">
      <c r="I1392" s="27"/>
      <c r="K1392" s="27"/>
    </row>
    <row r="1393">
      <c r="I1393" s="27"/>
      <c r="K1393" s="27"/>
    </row>
    <row r="1394">
      <c r="I1394" s="27"/>
      <c r="K1394" s="27"/>
    </row>
    <row r="1395">
      <c r="I1395" s="27"/>
      <c r="K1395" s="27"/>
    </row>
    <row r="1396">
      <c r="I1396" s="27"/>
      <c r="K1396" s="27"/>
    </row>
    <row r="1397">
      <c r="I1397" s="27"/>
      <c r="K1397" s="27"/>
    </row>
    <row r="1398">
      <c r="I1398" s="27"/>
      <c r="K1398" s="27"/>
    </row>
    <row r="1399">
      <c r="I1399" s="27"/>
      <c r="K1399" s="27"/>
    </row>
    <row r="1400">
      <c r="I1400" s="27"/>
      <c r="K1400" s="27"/>
    </row>
    <row r="1401">
      <c r="I1401" s="27"/>
      <c r="K1401" s="27"/>
    </row>
    <row r="1402">
      <c r="I1402" s="27"/>
      <c r="K1402" s="27"/>
    </row>
    <row r="1403">
      <c r="I1403" s="27"/>
      <c r="K1403" s="27"/>
    </row>
    <row r="1404">
      <c r="I1404" s="27"/>
      <c r="K1404" s="27"/>
    </row>
    <row r="1405">
      <c r="I1405" s="27"/>
      <c r="K1405" s="27"/>
    </row>
    <row r="1406">
      <c r="I1406" s="27"/>
      <c r="K1406" s="27"/>
    </row>
    <row r="1407">
      <c r="I1407" s="27"/>
      <c r="K1407" s="27"/>
    </row>
    <row r="1408">
      <c r="I1408" s="27"/>
      <c r="K1408" s="27"/>
    </row>
    <row r="1409">
      <c r="I1409" s="27"/>
      <c r="K1409" s="27"/>
    </row>
    <row r="1410">
      <c r="I1410" s="27"/>
      <c r="K1410" s="27"/>
    </row>
    <row r="1411">
      <c r="I1411" s="27"/>
      <c r="K1411" s="27"/>
    </row>
    <row r="1412">
      <c r="I1412" s="27"/>
      <c r="K1412" s="27"/>
    </row>
    <row r="1413">
      <c r="I1413" s="27"/>
      <c r="K1413" s="27"/>
    </row>
    <row r="1414">
      <c r="I1414" s="27"/>
      <c r="K1414" s="27"/>
    </row>
    <row r="1415">
      <c r="I1415" s="27"/>
      <c r="K1415" s="27"/>
    </row>
    <row r="1416">
      <c r="I1416" s="27"/>
      <c r="K1416" s="27"/>
    </row>
    <row r="1417">
      <c r="I1417" s="27"/>
      <c r="K1417" s="27"/>
    </row>
    <row r="1418">
      <c r="I1418" s="27"/>
      <c r="K1418" s="27"/>
    </row>
    <row r="1419">
      <c r="I1419" s="27"/>
      <c r="K1419" s="27"/>
    </row>
    <row r="1420">
      <c r="I1420" s="27"/>
      <c r="K1420" s="27"/>
    </row>
    <row r="1421">
      <c r="I1421" s="27"/>
      <c r="K1421" s="27"/>
    </row>
    <row r="1422">
      <c r="I1422" s="27"/>
      <c r="K1422" s="27"/>
    </row>
    <row r="1423">
      <c r="I1423" s="27"/>
      <c r="K1423" s="27"/>
    </row>
    <row r="1424">
      <c r="I1424" s="27"/>
      <c r="K1424" s="27"/>
    </row>
    <row r="1425">
      <c r="I1425" s="27"/>
      <c r="K1425" s="27"/>
    </row>
    <row r="1426">
      <c r="I1426" s="27"/>
      <c r="K1426" s="27"/>
    </row>
    <row r="1427">
      <c r="I1427" s="27"/>
      <c r="K1427" s="27"/>
    </row>
    <row r="1428">
      <c r="I1428" s="27"/>
      <c r="K1428" s="27"/>
    </row>
    <row r="1429">
      <c r="I1429" s="27"/>
      <c r="K1429" s="27"/>
    </row>
    <row r="1430">
      <c r="I1430" s="27"/>
      <c r="K1430" s="27"/>
    </row>
    <row r="1431">
      <c r="I1431" s="27"/>
      <c r="K1431" s="27"/>
    </row>
    <row r="1432">
      <c r="I1432" s="27"/>
      <c r="K1432" s="27"/>
    </row>
    <row r="1433">
      <c r="I1433" s="27"/>
      <c r="K1433" s="27"/>
    </row>
    <row r="1434">
      <c r="I1434" s="27"/>
      <c r="K1434" s="27"/>
    </row>
    <row r="1435">
      <c r="I1435" s="27"/>
      <c r="K1435" s="27"/>
    </row>
    <row r="1436">
      <c r="I1436" s="27"/>
      <c r="K1436" s="27"/>
    </row>
    <row r="1437">
      <c r="I1437" s="27"/>
      <c r="K1437" s="27"/>
    </row>
    <row r="1438">
      <c r="I1438" s="27"/>
      <c r="K1438" s="27"/>
    </row>
    <row r="1439">
      <c r="I1439" s="27"/>
      <c r="K1439" s="27"/>
    </row>
    <row r="1440">
      <c r="I1440" s="27"/>
      <c r="K1440" s="27"/>
    </row>
    <row r="1441">
      <c r="I1441" s="27"/>
      <c r="K1441" s="27"/>
    </row>
    <row r="1442">
      <c r="I1442" s="27"/>
      <c r="K1442" s="27"/>
    </row>
    <row r="1443">
      <c r="I1443" s="27"/>
      <c r="K1443" s="27"/>
    </row>
    <row r="1444">
      <c r="I1444" s="27"/>
      <c r="K1444" s="27"/>
    </row>
    <row r="1445">
      <c r="I1445" s="27"/>
      <c r="K1445" s="27"/>
    </row>
    <row r="1446">
      <c r="I1446" s="27"/>
      <c r="K1446" s="27"/>
    </row>
    <row r="1447">
      <c r="I1447" s="27"/>
      <c r="K1447" s="27"/>
    </row>
    <row r="1448">
      <c r="I1448" s="27"/>
      <c r="K1448" s="27"/>
    </row>
    <row r="1449">
      <c r="I1449" s="27"/>
      <c r="K1449" s="27"/>
    </row>
    <row r="1450">
      <c r="I1450" s="27"/>
      <c r="K1450" s="27"/>
    </row>
    <row r="1451">
      <c r="I1451" s="27"/>
      <c r="K1451" s="27"/>
    </row>
    <row r="1452">
      <c r="I1452" s="27"/>
      <c r="K1452" s="27"/>
    </row>
    <row r="1453">
      <c r="I1453" s="27"/>
      <c r="K1453" s="27"/>
    </row>
    <row r="1454">
      <c r="I1454" s="27"/>
      <c r="K1454" s="27"/>
    </row>
    <row r="1455">
      <c r="I1455" s="27"/>
      <c r="K1455" s="27"/>
    </row>
    <row r="1456">
      <c r="I1456" s="27"/>
      <c r="K1456" s="27"/>
    </row>
    <row r="1457">
      <c r="I1457" s="27"/>
      <c r="K1457" s="27"/>
    </row>
    <row r="1458">
      <c r="I1458" s="27"/>
      <c r="K1458" s="27"/>
    </row>
    <row r="1459">
      <c r="I1459" s="27"/>
      <c r="K1459" s="27"/>
    </row>
    <row r="1460">
      <c r="I1460" s="27"/>
      <c r="K1460" s="27"/>
    </row>
    <row r="1461">
      <c r="I1461" s="27"/>
      <c r="K1461" s="27"/>
    </row>
    <row r="1462">
      <c r="I1462" s="27"/>
      <c r="K1462" s="27"/>
    </row>
    <row r="1463">
      <c r="I1463" s="27"/>
      <c r="K1463" s="27"/>
    </row>
    <row r="1464">
      <c r="I1464" s="27"/>
      <c r="K1464" s="27"/>
    </row>
    <row r="1465">
      <c r="I1465" s="27"/>
      <c r="K1465" s="27"/>
    </row>
    <row r="1466">
      <c r="I1466" s="27"/>
      <c r="K1466" s="27"/>
    </row>
    <row r="1467">
      <c r="I1467" s="27"/>
      <c r="K1467" s="27"/>
    </row>
    <row r="1468">
      <c r="I1468" s="27"/>
      <c r="K1468" s="27"/>
    </row>
    <row r="1469">
      <c r="I1469" s="27"/>
      <c r="K1469" s="27"/>
    </row>
    <row r="1470">
      <c r="I1470" s="27"/>
      <c r="K1470" s="27"/>
    </row>
    <row r="1471">
      <c r="I1471" s="27"/>
      <c r="K1471" s="27"/>
    </row>
    <row r="1472">
      <c r="I1472" s="27"/>
      <c r="K1472" s="27"/>
    </row>
    <row r="1473">
      <c r="I1473" s="27"/>
      <c r="K1473" s="27"/>
    </row>
    <row r="1474">
      <c r="I1474" s="27"/>
      <c r="K1474" s="27"/>
    </row>
    <row r="1475">
      <c r="I1475" s="27"/>
      <c r="K1475" s="27"/>
    </row>
    <row r="1476">
      <c r="I1476" s="27"/>
      <c r="K1476" s="27"/>
    </row>
    <row r="1477">
      <c r="I1477" s="27"/>
      <c r="K1477" s="27"/>
    </row>
    <row r="1478">
      <c r="I1478" s="27"/>
      <c r="K1478" s="27"/>
    </row>
    <row r="1479">
      <c r="I1479" s="27"/>
      <c r="K1479" s="27"/>
    </row>
    <row r="1480">
      <c r="I1480" s="27"/>
      <c r="K1480" s="27"/>
    </row>
    <row r="1481">
      <c r="I1481" s="27"/>
      <c r="K1481" s="27"/>
    </row>
    <row r="1482">
      <c r="I1482" s="27"/>
      <c r="K1482" s="27"/>
    </row>
    <row r="1483">
      <c r="I1483" s="27"/>
      <c r="K1483" s="27"/>
    </row>
    <row r="1484">
      <c r="I1484" s="27"/>
      <c r="K1484" s="27"/>
    </row>
    <row r="1485">
      <c r="I1485" s="27"/>
      <c r="K1485" s="27"/>
    </row>
    <row r="1486">
      <c r="I1486" s="27"/>
      <c r="K1486" s="27"/>
    </row>
    <row r="1487">
      <c r="I1487" s="27"/>
      <c r="K1487" s="27"/>
    </row>
    <row r="1488">
      <c r="I1488" s="27"/>
      <c r="K1488" s="27"/>
    </row>
    <row r="1489">
      <c r="I1489" s="27"/>
      <c r="K1489" s="27"/>
    </row>
    <row r="1490">
      <c r="I1490" s="27"/>
      <c r="K1490" s="27"/>
    </row>
    <row r="1491">
      <c r="I1491" s="27"/>
      <c r="K1491" s="27"/>
    </row>
    <row r="1492">
      <c r="I1492" s="27"/>
      <c r="K1492" s="27"/>
    </row>
    <row r="1493">
      <c r="I1493" s="27"/>
      <c r="K1493" s="27"/>
    </row>
    <row r="1494">
      <c r="I1494" s="27"/>
      <c r="K1494" s="27"/>
    </row>
    <row r="1495">
      <c r="I1495" s="27"/>
      <c r="K1495" s="27"/>
    </row>
    <row r="1496">
      <c r="I1496" s="27"/>
      <c r="K1496" s="27"/>
    </row>
    <row r="1497">
      <c r="I1497" s="27"/>
      <c r="K1497" s="27"/>
    </row>
    <row r="1498">
      <c r="I1498" s="27"/>
      <c r="K1498" s="27"/>
    </row>
    <row r="1499">
      <c r="I1499" s="27"/>
      <c r="K1499" s="27"/>
    </row>
    <row r="1500">
      <c r="I1500" s="27"/>
      <c r="K1500" s="27"/>
    </row>
    <row r="1501">
      <c r="I1501" s="27"/>
      <c r="K1501" s="27"/>
    </row>
    <row r="1502">
      <c r="I1502" s="27"/>
      <c r="K1502" s="27"/>
    </row>
    <row r="1503">
      <c r="I1503" s="27"/>
      <c r="K1503" s="27"/>
    </row>
    <row r="1504">
      <c r="I1504" s="27"/>
      <c r="K1504" s="27"/>
    </row>
    <row r="1505">
      <c r="I1505" s="27"/>
      <c r="K1505" s="27"/>
    </row>
    <row r="1506">
      <c r="I1506" s="27"/>
      <c r="K1506" s="27"/>
    </row>
    <row r="1507">
      <c r="I1507" s="27"/>
      <c r="K1507" s="27"/>
    </row>
    <row r="1508">
      <c r="I1508" s="27"/>
      <c r="K1508" s="27"/>
    </row>
    <row r="1509">
      <c r="I1509" s="27"/>
      <c r="K1509" s="27"/>
    </row>
    <row r="1510">
      <c r="I1510" s="27"/>
      <c r="K1510" s="27"/>
    </row>
    <row r="1511">
      <c r="I1511" s="27"/>
      <c r="K1511" s="27"/>
    </row>
    <row r="1512">
      <c r="I1512" s="27"/>
      <c r="K1512" s="27"/>
    </row>
    <row r="1513">
      <c r="I1513" s="27"/>
      <c r="K1513" s="27"/>
    </row>
    <row r="1514">
      <c r="I1514" s="27"/>
      <c r="K1514" s="27"/>
    </row>
    <row r="1515">
      <c r="I1515" s="27"/>
      <c r="K1515" s="27"/>
    </row>
    <row r="1516">
      <c r="I1516" s="27"/>
      <c r="K1516" s="27"/>
    </row>
    <row r="1517">
      <c r="I1517" s="27"/>
      <c r="K1517" s="27"/>
    </row>
    <row r="1518">
      <c r="I1518" s="27"/>
      <c r="K1518" s="27"/>
    </row>
    <row r="1519">
      <c r="I1519" s="27"/>
      <c r="K1519" s="27"/>
    </row>
    <row r="1520">
      <c r="I1520" s="27"/>
      <c r="K1520" s="27"/>
    </row>
    <row r="1521">
      <c r="I1521" s="27"/>
      <c r="K1521" s="27"/>
    </row>
    <row r="1522">
      <c r="I1522" s="27"/>
      <c r="K1522" s="27"/>
    </row>
    <row r="1523">
      <c r="I1523" s="27"/>
      <c r="K1523" s="27"/>
    </row>
    <row r="1524">
      <c r="I1524" s="27"/>
      <c r="K1524" s="27"/>
    </row>
    <row r="1525">
      <c r="I1525" s="27"/>
      <c r="K1525" s="27"/>
    </row>
    <row r="1526">
      <c r="I1526" s="27"/>
      <c r="K1526" s="27"/>
    </row>
    <row r="1527">
      <c r="I1527" s="27"/>
      <c r="K1527" s="27"/>
    </row>
    <row r="1528">
      <c r="I1528" s="27"/>
      <c r="K1528" s="27"/>
    </row>
    <row r="1529">
      <c r="I1529" s="27"/>
      <c r="K1529" s="27"/>
    </row>
    <row r="1530">
      <c r="I1530" s="27"/>
      <c r="K1530" s="27"/>
    </row>
    <row r="1531">
      <c r="I1531" s="27"/>
      <c r="K1531" s="27"/>
    </row>
    <row r="1532">
      <c r="I1532" s="27"/>
      <c r="K1532" s="27"/>
    </row>
    <row r="1533">
      <c r="I1533" s="27"/>
      <c r="K1533" s="27"/>
    </row>
    <row r="1534">
      <c r="I1534" s="27"/>
      <c r="K1534" s="27"/>
    </row>
    <row r="1535">
      <c r="I1535" s="27"/>
      <c r="K1535" s="27"/>
    </row>
    <row r="1536">
      <c r="I1536" s="27"/>
      <c r="K1536" s="27"/>
    </row>
    <row r="1537">
      <c r="I1537" s="27"/>
      <c r="K1537" s="27"/>
    </row>
    <row r="1538">
      <c r="I1538" s="27"/>
      <c r="K1538" s="27"/>
    </row>
    <row r="1539">
      <c r="I1539" s="27"/>
      <c r="K1539" s="27"/>
    </row>
    <row r="1540">
      <c r="I1540" s="27"/>
      <c r="K1540" s="27"/>
    </row>
    <row r="1541">
      <c r="I1541" s="27"/>
      <c r="K1541" s="27"/>
    </row>
    <row r="1542">
      <c r="I1542" s="27"/>
      <c r="K1542" s="27"/>
    </row>
    <row r="1543">
      <c r="I1543" s="27"/>
      <c r="K1543" s="27"/>
    </row>
    <row r="1544">
      <c r="I1544" s="27"/>
      <c r="K1544" s="27"/>
    </row>
    <row r="1545">
      <c r="I1545" s="27"/>
      <c r="K1545" s="27"/>
    </row>
    <row r="1546">
      <c r="I1546" s="27"/>
      <c r="K1546" s="27"/>
    </row>
    <row r="1547">
      <c r="I1547" s="27"/>
      <c r="K1547" s="27"/>
    </row>
    <row r="1548">
      <c r="I1548" s="27"/>
      <c r="K1548" s="27"/>
    </row>
    <row r="1549">
      <c r="I1549" s="27"/>
      <c r="K1549" s="27"/>
    </row>
    <row r="1550">
      <c r="I1550" s="27"/>
      <c r="K1550" s="27"/>
    </row>
    <row r="1551">
      <c r="I1551" s="27"/>
      <c r="K1551" s="27"/>
    </row>
    <row r="1552">
      <c r="I1552" s="27"/>
      <c r="K1552" s="27"/>
    </row>
    <row r="1553">
      <c r="I1553" s="27"/>
      <c r="K1553" s="27"/>
    </row>
    <row r="1554">
      <c r="I1554" s="27"/>
      <c r="K1554" s="27"/>
    </row>
    <row r="1555">
      <c r="I1555" s="27"/>
      <c r="K1555" s="27"/>
    </row>
    <row r="1556">
      <c r="I1556" s="27"/>
      <c r="K1556" s="27"/>
    </row>
    <row r="1557">
      <c r="I1557" s="27"/>
      <c r="K1557" s="27"/>
    </row>
    <row r="1558">
      <c r="I1558" s="27"/>
      <c r="K1558" s="27"/>
    </row>
    <row r="1559">
      <c r="I1559" s="27"/>
      <c r="K1559" s="27"/>
    </row>
    <row r="1560">
      <c r="I1560" s="27"/>
      <c r="K1560" s="27"/>
    </row>
    <row r="1561">
      <c r="I1561" s="27"/>
      <c r="K1561" s="27"/>
    </row>
    <row r="1562">
      <c r="I1562" s="27"/>
      <c r="K1562" s="27"/>
    </row>
    <row r="1563">
      <c r="I1563" s="27"/>
      <c r="K1563" s="27"/>
    </row>
    <row r="1564">
      <c r="I1564" s="27"/>
      <c r="K1564" s="27"/>
    </row>
    <row r="1565">
      <c r="I1565" s="27"/>
      <c r="K1565" s="27"/>
    </row>
    <row r="1566">
      <c r="I1566" s="27"/>
      <c r="K1566" s="27"/>
    </row>
    <row r="1567">
      <c r="I1567" s="27"/>
      <c r="K1567" s="27"/>
    </row>
    <row r="1568">
      <c r="I1568" s="27"/>
      <c r="K1568" s="27"/>
    </row>
    <row r="1569">
      <c r="I1569" s="27"/>
      <c r="K1569" s="27"/>
    </row>
    <row r="1570">
      <c r="I1570" s="27"/>
      <c r="K1570" s="27"/>
    </row>
    <row r="1571">
      <c r="I1571" s="27"/>
      <c r="K1571" s="27"/>
    </row>
    <row r="1572">
      <c r="I1572" s="27"/>
      <c r="K1572" s="27"/>
    </row>
    <row r="1573">
      <c r="I1573" s="27"/>
      <c r="K1573" s="27"/>
    </row>
    <row r="1574">
      <c r="I1574" s="27"/>
      <c r="K1574" s="27"/>
    </row>
    <row r="1575">
      <c r="I1575" s="27"/>
      <c r="K1575" s="27"/>
    </row>
    <row r="1576">
      <c r="I1576" s="27"/>
      <c r="K1576" s="27"/>
    </row>
    <row r="1577">
      <c r="I1577" s="27"/>
      <c r="K1577" s="27"/>
    </row>
    <row r="1578">
      <c r="I1578" s="27"/>
      <c r="K1578" s="27"/>
    </row>
    <row r="1579">
      <c r="I1579" s="27"/>
      <c r="K1579" s="27"/>
    </row>
    <row r="1580">
      <c r="I1580" s="27"/>
      <c r="K1580" s="27"/>
    </row>
    <row r="1581">
      <c r="I1581" s="27"/>
      <c r="K1581" s="27"/>
    </row>
    <row r="1582">
      <c r="I1582" s="27"/>
      <c r="K1582" s="27"/>
    </row>
    <row r="1583">
      <c r="I1583" s="27"/>
      <c r="K1583" s="27"/>
    </row>
    <row r="1584">
      <c r="I1584" s="27"/>
      <c r="K1584" s="27"/>
    </row>
    <row r="1585">
      <c r="I1585" s="27"/>
      <c r="K1585" s="27"/>
    </row>
    <row r="1586">
      <c r="I1586" s="27"/>
      <c r="K1586" s="27"/>
    </row>
    <row r="1587">
      <c r="I1587" s="27"/>
      <c r="K1587" s="27"/>
    </row>
    <row r="1588">
      <c r="I1588" s="27"/>
      <c r="K1588" s="27"/>
    </row>
    <row r="1589">
      <c r="I1589" s="27"/>
      <c r="K1589" s="27"/>
    </row>
    <row r="1590">
      <c r="I1590" s="27"/>
      <c r="K1590" s="27"/>
    </row>
    <row r="1591">
      <c r="I1591" s="27"/>
      <c r="K1591" s="27"/>
    </row>
    <row r="1592">
      <c r="I1592" s="27"/>
      <c r="K1592" s="27"/>
    </row>
    <row r="1593">
      <c r="I1593" s="27"/>
      <c r="K1593" s="27"/>
    </row>
    <row r="1594">
      <c r="I1594" s="27"/>
      <c r="K1594" s="27"/>
    </row>
    <row r="1595">
      <c r="I1595" s="27"/>
      <c r="K1595" s="27"/>
    </row>
  </sheetData>
  <autoFilter ref="$A$1:$L$8"/>
  <conditionalFormatting sqref="H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30"/>
      <c r="J1" s="29"/>
      <c r="K1" s="30"/>
      <c r="L1" s="31"/>
    </row>
    <row r="2">
      <c r="A2" s="32">
        <v>48.0</v>
      </c>
      <c r="B2" s="37" t="s">
        <v>14</v>
      </c>
      <c r="C2" s="33">
        <v>45679.0</v>
      </c>
      <c r="D2" s="35">
        <v>395.0</v>
      </c>
      <c r="E2" s="35" t="s">
        <v>15</v>
      </c>
      <c r="F2" s="35">
        <v>57.9999999999999</v>
      </c>
      <c r="G2" s="34">
        <v>2.0</v>
      </c>
      <c r="H2" s="34">
        <v>153.7</v>
      </c>
      <c r="I2" s="38">
        <v>3507.81</v>
      </c>
      <c r="J2" s="35">
        <v>30.0</v>
      </c>
      <c r="K2" s="34">
        <v>22.82244632400781</v>
      </c>
      <c r="L2" s="37">
        <v>9.0</v>
      </c>
    </row>
    <row r="3">
      <c r="A3" s="35">
        <v>55.0</v>
      </c>
      <c r="B3" s="37" t="s">
        <v>16</v>
      </c>
      <c r="C3" s="33">
        <v>45679.0</v>
      </c>
      <c r="D3" s="35">
        <v>724.0</v>
      </c>
      <c r="E3" s="35" t="s">
        <v>15</v>
      </c>
      <c r="F3" s="34">
        <v>61.0</v>
      </c>
      <c r="G3" s="34">
        <v>7.0</v>
      </c>
      <c r="H3" s="34">
        <v>174.21</v>
      </c>
      <c r="I3" s="34">
        <v>1825.8099999999997</v>
      </c>
      <c r="J3" s="34">
        <v>30.0</v>
      </c>
      <c r="K3" s="34">
        <v>10.480512025716088</v>
      </c>
      <c r="L3" s="37">
        <v>9.0</v>
      </c>
    </row>
    <row r="4">
      <c r="A4" s="35">
        <v>59.0</v>
      </c>
      <c r="B4" s="35" t="s">
        <v>17</v>
      </c>
      <c r="C4" s="33">
        <v>45680.0</v>
      </c>
      <c r="D4" s="35">
        <v>1051.0</v>
      </c>
      <c r="E4" s="35" t="s">
        <v>15</v>
      </c>
      <c r="F4" s="34">
        <v>62.0</v>
      </c>
      <c r="G4" s="34">
        <v>3.0</v>
      </c>
      <c r="H4" s="34">
        <v>171.72</v>
      </c>
      <c r="I4" s="39">
        <v>5053.5599999999995</v>
      </c>
      <c r="J4" s="34">
        <v>25.0</v>
      </c>
      <c r="K4" s="34">
        <v>29.429070580013974</v>
      </c>
      <c r="L4" s="37">
        <v>7.5</v>
      </c>
    </row>
    <row r="5">
      <c r="A5" s="17">
        <v>77.0</v>
      </c>
      <c r="B5" s="17" t="s">
        <v>18</v>
      </c>
      <c r="C5" s="18">
        <v>45677.0</v>
      </c>
      <c r="D5" s="23">
        <v>931.0</v>
      </c>
      <c r="E5" s="23" t="s">
        <v>15</v>
      </c>
      <c r="F5" s="35">
        <v>60.0</v>
      </c>
      <c r="G5" s="35">
        <v>11.0</v>
      </c>
      <c r="H5" s="35">
        <v>190.1</v>
      </c>
      <c r="I5" s="40">
        <f>2.59+
1339.47+
236.53
</f>
        <v>1578.59</v>
      </c>
      <c r="J5" s="35">
        <v>40.0</v>
      </c>
      <c r="K5" s="34">
        <f t="shared" ref="K5:K6" si="1">I5/H5</f>
        <v>8.303997896</v>
      </c>
    </row>
    <row r="6">
      <c r="A6" s="17">
        <v>148.0</v>
      </c>
      <c r="B6" s="17" t="s">
        <v>19</v>
      </c>
      <c r="C6" s="18">
        <v>45677.0</v>
      </c>
      <c r="D6" s="23">
        <v>112.0</v>
      </c>
      <c r="E6" s="23" t="s">
        <v>15</v>
      </c>
      <c r="H6" s="41">
        <v>127.26</v>
      </c>
      <c r="I6" s="42">
        <f>1920.79+
729.18+
-17.44
</f>
        <v>2632.53</v>
      </c>
      <c r="J6" s="35">
        <v>40.0</v>
      </c>
      <c r="K6" s="34">
        <f t="shared" si="1"/>
        <v>20.68623291</v>
      </c>
    </row>
    <row r="7">
      <c r="I7" s="27"/>
      <c r="K7" s="27"/>
    </row>
    <row r="8">
      <c r="F8" s="36"/>
      <c r="G8" s="36"/>
      <c r="H8" s="36"/>
      <c r="I8" s="34"/>
      <c r="J8" s="36"/>
      <c r="K8" s="34"/>
    </row>
    <row r="9">
      <c r="F9" s="36"/>
      <c r="G9" s="36"/>
      <c r="H9" s="36"/>
      <c r="I9" s="34"/>
      <c r="J9" s="36"/>
      <c r="K9" s="34"/>
    </row>
    <row r="10">
      <c r="F10" s="36"/>
      <c r="G10" s="36"/>
      <c r="H10" s="36"/>
      <c r="I10" s="34"/>
      <c r="J10" s="36"/>
      <c r="K10" s="34"/>
    </row>
    <row r="11">
      <c r="E11" s="43" t="s">
        <v>20</v>
      </c>
      <c r="H11" s="35" t="s">
        <v>21</v>
      </c>
      <c r="I11" s="38" t="s">
        <v>22</v>
      </c>
      <c r="J11" s="44" t="s">
        <v>23</v>
      </c>
      <c r="K11" s="27"/>
    </row>
    <row r="12">
      <c r="E12" s="43" t="s">
        <v>24</v>
      </c>
      <c r="H12" s="35" t="s">
        <v>25</v>
      </c>
      <c r="I12" s="38" t="s">
        <v>26</v>
      </c>
      <c r="J12" s="44" t="s">
        <v>27</v>
      </c>
      <c r="K12" s="27"/>
    </row>
    <row r="13">
      <c r="I13" s="27"/>
      <c r="K13" s="27"/>
    </row>
    <row r="14">
      <c r="F14" s="36"/>
      <c r="G14" s="36"/>
      <c r="H14" s="36"/>
      <c r="I14" s="34"/>
      <c r="J14" s="36"/>
      <c r="K14" s="34"/>
    </row>
    <row r="15">
      <c r="F15" s="36"/>
      <c r="G15" s="36"/>
      <c r="H15" s="36"/>
      <c r="I15" s="34"/>
      <c r="J15" s="36"/>
      <c r="K15" s="34"/>
    </row>
    <row r="16">
      <c r="A16" s="32">
        <v>48.0</v>
      </c>
      <c r="B16" s="37" t="s">
        <v>14</v>
      </c>
      <c r="C16" s="33">
        <v>45679.0</v>
      </c>
      <c r="D16" s="35">
        <v>1363.0</v>
      </c>
      <c r="E16" s="35" t="s">
        <v>15</v>
      </c>
      <c r="F16" s="35">
        <v>57.5213675213675</v>
      </c>
      <c r="G16" s="34">
        <v>5.99999999999999</v>
      </c>
      <c r="H16" s="34">
        <v>127.72</v>
      </c>
      <c r="I16" s="34">
        <v>958.71</v>
      </c>
      <c r="J16" s="35">
        <v>40.0</v>
      </c>
      <c r="K16" s="34">
        <v>7.50634199812089</v>
      </c>
      <c r="L16" s="37">
        <v>12.0</v>
      </c>
    </row>
    <row r="17">
      <c r="A17" s="35">
        <v>55.0</v>
      </c>
      <c r="B17" s="37" t="s">
        <v>16</v>
      </c>
      <c r="C17" s="33">
        <v>45679.0</v>
      </c>
      <c r="D17" s="35">
        <v>724.0</v>
      </c>
      <c r="E17" s="35" t="s">
        <v>15</v>
      </c>
      <c r="F17" s="34">
        <v>57.7626974489822</v>
      </c>
      <c r="G17" s="34">
        <v>7.0</v>
      </c>
      <c r="H17" s="34">
        <v>174.21</v>
      </c>
      <c r="I17" s="34">
        <v>1825.8099999999997</v>
      </c>
      <c r="J17" s="34">
        <v>30.0</v>
      </c>
      <c r="K17" s="34">
        <v>10.480512025716088</v>
      </c>
      <c r="L17" s="37">
        <v>9.0</v>
      </c>
    </row>
    <row r="18">
      <c r="A18" s="35">
        <v>59.0</v>
      </c>
      <c r="B18" s="35" t="s">
        <v>17</v>
      </c>
      <c r="C18" s="33">
        <v>45680.0</v>
      </c>
      <c r="D18" s="35">
        <v>935.0</v>
      </c>
      <c r="E18" s="35" t="s">
        <v>15</v>
      </c>
      <c r="F18" s="34">
        <v>61.8147668934429</v>
      </c>
      <c r="G18" s="34">
        <v>5.0</v>
      </c>
      <c r="H18" s="34">
        <v>149.66</v>
      </c>
      <c r="I18" s="34">
        <v>8422.4</v>
      </c>
      <c r="J18" s="34"/>
      <c r="K18" s="34">
        <v>56.27689429373246</v>
      </c>
      <c r="L18" s="37">
        <v>0.0</v>
      </c>
    </row>
    <row r="19">
      <c r="A19" s="35">
        <v>77.0</v>
      </c>
      <c r="B19" s="35" t="s">
        <v>18</v>
      </c>
      <c r="C19" s="33">
        <v>45677.0</v>
      </c>
      <c r="D19" s="35">
        <v>47.0</v>
      </c>
      <c r="E19" s="35" t="s">
        <v>15</v>
      </c>
      <c r="F19" s="34">
        <v>60.7563651137594</v>
      </c>
      <c r="G19" s="34">
        <v>12.0</v>
      </c>
      <c r="H19" s="34">
        <v>152.96</v>
      </c>
      <c r="I19" s="34">
        <v>2356.64</v>
      </c>
      <c r="J19" s="35">
        <v>60.0</v>
      </c>
      <c r="K19" s="34">
        <v>15.406903765690375</v>
      </c>
      <c r="L19" s="37">
        <v>18.0</v>
      </c>
    </row>
    <row r="20">
      <c r="A20" s="35">
        <v>148.0</v>
      </c>
      <c r="B20" s="35" t="s">
        <v>19</v>
      </c>
      <c r="C20" s="33">
        <v>45677.0</v>
      </c>
      <c r="D20" s="35">
        <v>1475.0</v>
      </c>
      <c r="E20" s="35" t="s">
        <v>15</v>
      </c>
      <c r="F20" s="34">
        <v>56.4173196363555</v>
      </c>
      <c r="G20" s="34">
        <v>6.99999999999999</v>
      </c>
      <c r="H20" s="34">
        <v>101.46</v>
      </c>
      <c r="I20" s="34">
        <v>795.72</v>
      </c>
      <c r="J20" s="35">
        <v>30.0</v>
      </c>
      <c r="K20" s="34">
        <v>7.842696629213484</v>
      </c>
      <c r="L20" s="37">
        <v>9.0</v>
      </c>
    </row>
    <row r="21">
      <c r="I21" s="27"/>
      <c r="K21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2">
      <c r="B2" s="8"/>
      <c r="C2" s="45" t="s">
        <v>28</v>
      </c>
      <c r="E2" s="46"/>
      <c r="F2" s="47" t="s">
        <v>29</v>
      </c>
      <c r="H2" s="46"/>
    </row>
    <row r="3">
      <c r="B3" s="48" t="s">
        <v>30</v>
      </c>
      <c r="C3" s="49" t="s">
        <v>31</v>
      </c>
      <c r="D3" s="48" t="s">
        <v>32</v>
      </c>
      <c r="E3" s="50" t="s">
        <v>33</v>
      </c>
      <c r="F3" s="48" t="s">
        <v>34</v>
      </c>
      <c r="G3" s="48" t="s">
        <v>35</v>
      </c>
      <c r="H3" s="48" t="s">
        <v>36</v>
      </c>
    </row>
    <row r="4">
      <c r="B4" s="51" t="s">
        <v>37</v>
      </c>
      <c r="C4" s="52" t="s">
        <v>38</v>
      </c>
      <c r="D4" s="53" t="s">
        <v>39</v>
      </c>
      <c r="E4" s="54" t="s">
        <v>40</v>
      </c>
      <c r="F4" s="55" t="s">
        <v>41</v>
      </c>
      <c r="G4" s="55" t="s">
        <v>42</v>
      </c>
      <c r="H4" s="53"/>
    </row>
    <row r="5">
      <c r="B5" s="51" t="s">
        <v>43</v>
      </c>
      <c r="C5" s="56" t="s">
        <v>44</v>
      </c>
      <c r="D5" s="57"/>
      <c r="E5" s="54" t="s">
        <v>40</v>
      </c>
      <c r="F5" s="58" t="s">
        <v>45</v>
      </c>
      <c r="G5" s="59" t="s">
        <v>46</v>
      </c>
      <c r="H5" s="53"/>
    </row>
    <row r="6">
      <c r="B6" s="51" t="s">
        <v>47</v>
      </c>
      <c r="C6" s="52" t="s">
        <v>38</v>
      </c>
      <c r="D6" s="53" t="s">
        <v>48</v>
      </c>
      <c r="E6" s="54" t="s">
        <v>40</v>
      </c>
      <c r="F6" s="53" t="s">
        <v>49</v>
      </c>
      <c r="G6" s="53"/>
      <c r="H6" s="53"/>
    </row>
    <row r="7">
      <c r="B7" s="53" t="s">
        <v>50</v>
      </c>
      <c r="C7" s="60" t="s">
        <v>51</v>
      </c>
      <c r="D7" s="53"/>
      <c r="E7" s="61" t="s">
        <v>52</v>
      </c>
      <c r="F7" s="52" t="s">
        <v>53</v>
      </c>
      <c r="G7" s="53"/>
      <c r="H7" s="53" t="s">
        <v>54</v>
      </c>
    </row>
    <row r="8">
      <c r="B8" s="62" t="s">
        <v>55</v>
      </c>
      <c r="C8" s="63" t="s">
        <v>56</v>
      </c>
      <c r="D8" s="64"/>
      <c r="E8" s="62" t="s">
        <v>57</v>
      </c>
      <c r="F8" s="65" t="s">
        <v>58</v>
      </c>
      <c r="G8" s="66" t="s">
        <v>59</v>
      </c>
      <c r="H8" s="64"/>
    </row>
    <row r="9">
      <c r="B9" s="17" t="s">
        <v>60</v>
      </c>
      <c r="C9" s="67" t="s">
        <v>56</v>
      </c>
      <c r="D9" s="68"/>
      <c r="E9" s="68"/>
      <c r="F9" s="69"/>
      <c r="G9" s="68"/>
      <c r="H9" s="68"/>
    </row>
    <row r="10">
      <c r="B10" s="17" t="s">
        <v>61</v>
      </c>
      <c r="C10" s="69"/>
      <c r="D10" s="68"/>
      <c r="E10" s="68"/>
      <c r="F10" s="69"/>
      <c r="G10" s="55" t="s">
        <v>42</v>
      </c>
      <c r="H10" s="68"/>
    </row>
    <row r="11">
      <c r="B11" s="17" t="s">
        <v>62</v>
      </c>
      <c r="C11" s="69"/>
      <c r="D11" s="68"/>
      <c r="E11" s="68"/>
      <c r="F11" s="69"/>
      <c r="G11" s="26" t="s">
        <v>63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47"/>
      <c r="C1" s="19"/>
      <c r="L1" s="70"/>
    </row>
    <row r="2">
      <c r="A2" s="19"/>
      <c r="B2" s="47" t="s">
        <v>64</v>
      </c>
      <c r="C2" s="19">
        <v>0.3</v>
      </c>
      <c r="L2" s="70"/>
    </row>
    <row r="3">
      <c r="A3" s="19"/>
      <c r="B3" s="47" t="s">
        <v>65</v>
      </c>
      <c r="C3" s="14">
        <f>AVERAGE('Modelos actuales'!L4:L8)</f>
        <v>11.1</v>
      </c>
      <c r="L3" s="70"/>
      <c r="P3" s="70"/>
    </row>
    <row r="4">
      <c r="A4" s="19"/>
      <c r="B4" s="70"/>
      <c r="L4" s="70"/>
      <c r="P4" s="70"/>
    </row>
    <row r="5">
      <c r="A5" s="19"/>
      <c r="B5" s="70" t="s">
        <v>66</v>
      </c>
      <c r="L5" s="70" t="s">
        <v>67</v>
      </c>
      <c r="P5" s="70" t="s">
        <v>68</v>
      </c>
    </row>
    <row r="6">
      <c r="A6" s="19"/>
      <c r="B6" s="35" t="s">
        <v>69</v>
      </c>
      <c r="F6" s="35" t="s">
        <v>70</v>
      </c>
      <c r="K6" s="29"/>
      <c r="L6" s="29" t="s">
        <v>71</v>
      </c>
      <c r="N6" s="29" t="s">
        <v>72</v>
      </c>
      <c r="P6" s="29" t="s">
        <v>73</v>
      </c>
      <c r="R6" s="29" t="s">
        <v>74</v>
      </c>
      <c r="V6" s="29" t="s">
        <v>75</v>
      </c>
      <c r="AA6" s="35" t="s">
        <v>76</v>
      </c>
      <c r="AB6" s="35" t="s">
        <v>77</v>
      </c>
    </row>
    <row r="7">
      <c r="A7" s="19"/>
      <c r="K7" s="71"/>
      <c r="L7" s="72" t="str">
        <f>AVERAGE(L10:L19)</f>
        <v>#VALUE!</v>
      </c>
      <c r="N7" s="37" t="str">
        <f>SUM(N10:N29)/SUM(M10:M19)</f>
        <v>#VALUE!</v>
      </c>
      <c r="P7" s="73">
        <v>1.0</v>
      </c>
      <c r="R7" s="35">
        <v>1.0</v>
      </c>
      <c r="S7" s="37">
        <f t="shared" ref="S7:S9" si="1">COUNTIF($P$7:$P1775,R7)</f>
        <v>11</v>
      </c>
      <c r="T7" s="74">
        <f t="shared" ref="T7:T9" si="2">S7/$S$10</f>
        <v>0.3055555556</v>
      </c>
      <c r="V7" s="37">
        <v>33.0</v>
      </c>
      <c r="W7" s="74">
        <f t="shared" ref="W7:W9" si="3">(S7-V7)/V7</f>
        <v>-0.6666666667</v>
      </c>
      <c r="AA7" s="35" t="s">
        <v>78</v>
      </c>
      <c r="AB7" s="37">
        <f t="shared" ref="AB7:AB16" si="4">LEFT(REPLACE(AA7,1,1,""),FIND(",", AA7)-2)/1</f>
        <v>81</v>
      </c>
    </row>
    <row r="8">
      <c r="A8" s="19"/>
      <c r="B8" s="75" t="s">
        <v>79</v>
      </c>
      <c r="C8" s="76" t="str">
        <f t="shared" ref="C8:C17" si="5">REPLACE(B8,FIND(".",B8),1,",")*1</f>
        <v>#VALUE!</v>
      </c>
      <c r="F8" s="41" t="s">
        <v>80</v>
      </c>
      <c r="G8" s="76" t="str">
        <f t="shared" ref="G8:G27" si="6">REPLACE(F8,FIND(".",F8),1,",")*1</f>
        <v>#VALUE!</v>
      </c>
      <c r="I8" s="35">
        <v>30.0</v>
      </c>
      <c r="J8" s="35">
        <v>50.0</v>
      </c>
      <c r="K8" s="19"/>
      <c r="P8" s="73">
        <v>2.0</v>
      </c>
      <c r="R8" s="35">
        <v>0.0</v>
      </c>
      <c r="S8" s="37">
        <f t="shared" si="1"/>
        <v>13</v>
      </c>
      <c r="T8" s="74">
        <f t="shared" si="2"/>
        <v>0.3611111111</v>
      </c>
      <c r="V8" s="37">
        <v>19.0</v>
      </c>
      <c r="W8" s="74">
        <f t="shared" si="3"/>
        <v>-0.3157894737</v>
      </c>
      <c r="AA8" s="35" t="s">
        <v>81</v>
      </c>
      <c r="AB8" s="37">
        <f t="shared" si="4"/>
        <v>54</v>
      </c>
    </row>
    <row r="9">
      <c r="A9" s="19"/>
      <c r="B9" s="75" t="s">
        <v>82</v>
      </c>
      <c r="C9" s="76" t="str">
        <f t="shared" si="5"/>
        <v>#VALUE!</v>
      </c>
      <c r="F9" s="41" t="s">
        <v>83</v>
      </c>
      <c r="G9" s="76" t="str">
        <f t="shared" si="6"/>
        <v>#VALUE!</v>
      </c>
      <c r="I9" s="35">
        <v>30.0</v>
      </c>
      <c r="J9" s="35">
        <v>50.0</v>
      </c>
      <c r="K9" s="19"/>
      <c r="L9" s="71" t="s">
        <v>84</v>
      </c>
      <c r="M9" s="71" t="s">
        <v>85</v>
      </c>
      <c r="N9" s="29" t="s">
        <v>86</v>
      </c>
      <c r="P9" s="73">
        <v>0.0</v>
      </c>
      <c r="R9" s="35">
        <v>2.0</v>
      </c>
      <c r="S9" s="37">
        <f t="shared" si="1"/>
        <v>12</v>
      </c>
      <c r="T9" s="74">
        <f t="shared" si="2"/>
        <v>0.3333333333</v>
      </c>
      <c r="V9" s="37">
        <v>24.0</v>
      </c>
      <c r="W9" s="74">
        <f t="shared" si="3"/>
        <v>-0.5</v>
      </c>
      <c r="AA9" s="35" t="s">
        <v>87</v>
      </c>
      <c r="AB9" s="37">
        <f t="shared" si="4"/>
        <v>81</v>
      </c>
    </row>
    <row r="10">
      <c r="A10" s="19"/>
      <c r="B10" s="77" t="s">
        <v>88</v>
      </c>
      <c r="C10" s="76" t="str">
        <f t="shared" si="5"/>
        <v>#VALUE!</v>
      </c>
      <c r="F10" s="41" t="s">
        <v>89</v>
      </c>
      <c r="G10" s="76" t="str">
        <f t="shared" si="6"/>
        <v>#VALUE!</v>
      </c>
      <c r="I10" s="35">
        <v>20.0</v>
      </c>
      <c r="J10" s="35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7" t="str">
        <f t="shared" ref="N10:N19" si="9">M10*L10</f>
        <v>#VALUE!</v>
      </c>
      <c r="P10" s="73">
        <v>0.0</v>
      </c>
      <c r="S10" s="37">
        <f>SUM(S7:S9)</f>
        <v>36</v>
      </c>
      <c r="V10" s="37">
        <f>SUM(V7:V9)</f>
        <v>76</v>
      </c>
      <c r="AA10" s="35" t="s">
        <v>90</v>
      </c>
      <c r="AB10" s="37">
        <f t="shared" si="4"/>
        <v>54</v>
      </c>
    </row>
    <row r="11">
      <c r="B11" s="75" t="s">
        <v>91</v>
      </c>
      <c r="C11" s="76" t="str">
        <f t="shared" si="5"/>
        <v>#VALUE!</v>
      </c>
      <c r="F11" s="41" t="s">
        <v>92</v>
      </c>
      <c r="G11" s="76" t="str">
        <f t="shared" si="6"/>
        <v>#VALUE!</v>
      </c>
      <c r="I11" s="35">
        <v>20.0</v>
      </c>
      <c r="J11" s="35">
        <v>40.0</v>
      </c>
      <c r="K11" s="19"/>
      <c r="L11" s="20" t="str">
        <f t="shared" si="7"/>
        <v>#VALUE!</v>
      </c>
      <c r="M11" s="19">
        <f t="shared" si="8"/>
        <v>256</v>
      </c>
      <c r="N11" s="37" t="str">
        <f t="shared" si="9"/>
        <v>#VALUE!</v>
      </c>
      <c r="P11" s="73">
        <v>0.0</v>
      </c>
      <c r="AA11" s="35" t="s">
        <v>93</v>
      </c>
      <c r="AB11" s="37">
        <f t="shared" si="4"/>
        <v>54</v>
      </c>
    </row>
    <row r="12">
      <c r="B12" s="77" t="s">
        <v>94</v>
      </c>
      <c r="C12" s="76" t="str">
        <f t="shared" si="5"/>
        <v>#VALUE!</v>
      </c>
      <c r="F12" s="41" t="s">
        <v>95</v>
      </c>
      <c r="G12" s="76" t="str">
        <f t="shared" si="6"/>
        <v>#VALUE!</v>
      </c>
      <c r="I12" s="35">
        <v>20.0</v>
      </c>
      <c r="J12" s="35">
        <v>40.0</v>
      </c>
      <c r="K12" s="19"/>
      <c r="L12" s="20" t="str">
        <f t="shared" si="7"/>
        <v>#VALUE!</v>
      </c>
      <c r="M12" s="19">
        <f t="shared" si="8"/>
        <v>128</v>
      </c>
      <c r="N12" s="37" t="str">
        <f t="shared" si="9"/>
        <v>#VALUE!</v>
      </c>
      <c r="P12" s="73">
        <v>2.0</v>
      </c>
      <c r="AA12" s="35" t="s">
        <v>90</v>
      </c>
      <c r="AB12" s="37">
        <f t="shared" si="4"/>
        <v>54</v>
      </c>
    </row>
    <row r="13">
      <c r="B13" s="75" t="s">
        <v>96</v>
      </c>
      <c r="C13" s="76" t="str">
        <f t="shared" si="5"/>
        <v>#VALUE!</v>
      </c>
      <c r="F13" s="41" t="s">
        <v>97</v>
      </c>
      <c r="G13" s="76" t="str">
        <f t="shared" si="6"/>
        <v>#VALUE!</v>
      </c>
      <c r="I13" s="35">
        <v>20.0</v>
      </c>
      <c r="J13" s="35">
        <v>40.0</v>
      </c>
      <c r="L13" s="20" t="str">
        <f t="shared" si="7"/>
        <v>#VALUE!</v>
      </c>
      <c r="M13" s="19">
        <f t="shared" si="8"/>
        <v>64</v>
      </c>
      <c r="N13" s="37" t="str">
        <f t="shared" si="9"/>
        <v>#VALUE!</v>
      </c>
      <c r="P13" s="73">
        <v>1.0</v>
      </c>
      <c r="Q13" s="31"/>
      <c r="R13" s="68"/>
      <c r="S13" s="78" t="s">
        <v>98</v>
      </c>
      <c r="T13" s="78" t="s">
        <v>99</v>
      </c>
      <c r="U13" s="78" t="s">
        <v>100</v>
      </c>
      <c r="AA13" s="35" t="s">
        <v>101</v>
      </c>
      <c r="AB13" s="37">
        <f t="shared" si="4"/>
        <v>81</v>
      </c>
    </row>
    <row r="14">
      <c r="B14" s="75" t="s">
        <v>102</v>
      </c>
      <c r="C14" s="76" t="str">
        <f t="shared" si="5"/>
        <v>#VALUE!</v>
      </c>
      <c r="F14" s="41" t="s">
        <v>103</v>
      </c>
      <c r="G14" s="76" t="str">
        <f t="shared" si="6"/>
        <v>#VALUE!</v>
      </c>
      <c r="I14" s="35">
        <v>20.0</v>
      </c>
      <c r="J14" s="35">
        <v>40.0</v>
      </c>
      <c r="L14" s="20" t="str">
        <f t="shared" si="7"/>
        <v>#VALUE!</v>
      </c>
      <c r="M14" s="19">
        <f t="shared" si="8"/>
        <v>32</v>
      </c>
      <c r="N14" s="37" t="str">
        <f t="shared" si="9"/>
        <v>#VALUE!</v>
      </c>
      <c r="P14" s="73">
        <v>0.0</v>
      </c>
      <c r="R14" s="78">
        <v>1.0</v>
      </c>
      <c r="S14" s="68">
        <v>18.0</v>
      </c>
      <c r="T14" s="68">
        <v>21.0</v>
      </c>
      <c r="U14" s="68">
        <v>11.0</v>
      </c>
      <c r="AA14" s="35" t="s">
        <v>104</v>
      </c>
      <c r="AB14" s="37">
        <f t="shared" si="4"/>
        <v>81</v>
      </c>
    </row>
    <row r="15">
      <c r="B15" s="75" t="s">
        <v>105</v>
      </c>
      <c r="C15" s="76" t="str">
        <f t="shared" si="5"/>
        <v>#VALUE!</v>
      </c>
      <c r="F15" s="41" t="s">
        <v>106</v>
      </c>
      <c r="G15" s="76" t="str">
        <f t="shared" si="6"/>
        <v>#VALUE!</v>
      </c>
      <c r="I15" s="35">
        <v>20.0</v>
      </c>
      <c r="J15" s="35">
        <v>40.0</v>
      </c>
      <c r="L15" s="20" t="str">
        <f t="shared" si="7"/>
        <v>#VALUE!</v>
      </c>
      <c r="M15" s="19">
        <f t="shared" si="8"/>
        <v>16</v>
      </c>
      <c r="N15" s="37" t="str">
        <f t="shared" si="9"/>
        <v>#VALUE!</v>
      </c>
      <c r="P15" s="73">
        <v>1.0</v>
      </c>
      <c r="R15" s="78">
        <v>0.0</v>
      </c>
      <c r="S15" s="68">
        <v>8.0</v>
      </c>
      <c r="T15" s="68">
        <v>0.0</v>
      </c>
      <c r="U15" s="68">
        <v>13.0</v>
      </c>
      <c r="AA15" s="35" t="s">
        <v>107</v>
      </c>
      <c r="AB15" s="37">
        <f t="shared" si="4"/>
        <v>54</v>
      </c>
    </row>
    <row r="16">
      <c r="B16" s="75" t="s">
        <v>108</v>
      </c>
      <c r="C16" s="76" t="str">
        <f t="shared" si="5"/>
        <v>#VALUE!</v>
      </c>
      <c r="F16" s="41" t="s">
        <v>109</v>
      </c>
      <c r="G16" s="76" t="str">
        <f t="shared" si="6"/>
        <v>#VALUE!</v>
      </c>
      <c r="I16" s="35">
        <v>20.0</v>
      </c>
      <c r="J16" s="35">
        <v>40.0</v>
      </c>
      <c r="L16" s="20" t="str">
        <f t="shared" si="7"/>
        <v>#VALUE!</v>
      </c>
      <c r="M16" s="19">
        <f t="shared" si="8"/>
        <v>8</v>
      </c>
      <c r="N16" s="37" t="str">
        <f t="shared" si="9"/>
        <v>#VALUE!</v>
      </c>
      <c r="P16" s="73">
        <v>0.0</v>
      </c>
      <c r="R16" s="78">
        <v>2.0</v>
      </c>
      <c r="S16" s="68">
        <v>10.0</v>
      </c>
      <c r="T16" s="68">
        <v>15.0</v>
      </c>
      <c r="U16" s="68">
        <v>12.0</v>
      </c>
      <c r="AA16" s="35" t="s">
        <v>110</v>
      </c>
      <c r="AB16" s="37">
        <f t="shared" si="4"/>
        <v>81</v>
      </c>
    </row>
    <row r="17">
      <c r="B17" s="75" t="s">
        <v>111</v>
      </c>
      <c r="C17" s="76" t="str">
        <f t="shared" si="5"/>
        <v>#VALUE!</v>
      </c>
      <c r="F17" s="41" t="s">
        <v>112</v>
      </c>
      <c r="G17" s="76" t="str">
        <f t="shared" si="6"/>
        <v>#VALUE!</v>
      </c>
      <c r="I17" s="35">
        <v>20.0</v>
      </c>
      <c r="J17" s="35">
        <v>40.0</v>
      </c>
      <c r="L17" s="20" t="str">
        <f t="shared" si="7"/>
        <v>#VALUE!</v>
      </c>
      <c r="M17" s="19">
        <f t="shared" si="8"/>
        <v>4</v>
      </c>
      <c r="N17" s="37" t="str">
        <f t="shared" si="9"/>
        <v>#VALUE!</v>
      </c>
      <c r="P17" s="73">
        <v>0.0</v>
      </c>
      <c r="R17" s="78" t="s">
        <v>113</v>
      </c>
      <c r="S17" s="79">
        <f t="shared" ref="S17:U17" si="10">SUM(S14:S16)</f>
        <v>36</v>
      </c>
      <c r="T17" s="68">
        <f t="shared" si="10"/>
        <v>36</v>
      </c>
      <c r="U17" s="68">
        <f t="shared" si="10"/>
        <v>36</v>
      </c>
    </row>
    <row r="18">
      <c r="F18" s="41" t="s">
        <v>114</v>
      </c>
      <c r="G18" s="76" t="str">
        <f t="shared" si="6"/>
        <v>#VALUE!</v>
      </c>
      <c r="I18" s="35">
        <v>10.0</v>
      </c>
      <c r="L18" s="20" t="str">
        <f t="shared" si="7"/>
        <v>#VALUE!</v>
      </c>
      <c r="M18" s="19">
        <f t="shared" si="8"/>
        <v>2</v>
      </c>
      <c r="N18" s="37" t="str">
        <f t="shared" si="9"/>
        <v>#VALUE!</v>
      </c>
      <c r="P18" s="73">
        <v>2.0</v>
      </c>
      <c r="R18" s="14"/>
      <c r="S18" s="14"/>
      <c r="T18" s="14"/>
      <c r="U18" s="14"/>
    </row>
    <row r="19">
      <c r="B19" s="29" t="s">
        <v>115</v>
      </c>
      <c r="C19" s="37" t="str">
        <f>AVERAGE(C8:C17)</f>
        <v>#VALUE!</v>
      </c>
      <c r="F19" s="41" t="s">
        <v>116</v>
      </c>
      <c r="G19" s="76" t="str">
        <f t="shared" si="6"/>
        <v>#VALUE!</v>
      </c>
      <c r="I19" s="35">
        <v>10.0</v>
      </c>
      <c r="L19" s="20" t="str">
        <f t="shared" si="7"/>
        <v>#VALUE!</v>
      </c>
      <c r="M19" s="19">
        <v>1.0</v>
      </c>
      <c r="N19" s="37" t="str">
        <f t="shared" si="9"/>
        <v>#VALUE!</v>
      </c>
      <c r="P19" s="73">
        <v>2.0</v>
      </c>
      <c r="R19" s="14"/>
      <c r="S19" s="14"/>
      <c r="T19" s="14"/>
      <c r="U19" s="14"/>
      <c r="AA19" s="35" t="s">
        <v>117</v>
      </c>
      <c r="AB19" s="37">
        <f>AVERAGE(AB7:AB16)</f>
        <v>67.5</v>
      </c>
    </row>
    <row r="20">
      <c r="F20" s="41" t="s">
        <v>118</v>
      </c>
      <c r="G20" s="76" t="str">
        <f t="shared" si="6"/>
        <v>#VALUE!</v>
      </c>
      <c r="I20" s="35">
        <v>10.0</v>
      </c>
      <c r="P20" s="73">
        <v>2.0</v>
      </c>
      <c r="R20" s="14"/>
      <c r="S20" s="14"/>
      <c r="T20" s="14"/>
      <c r="U20" s="14"/>
    </row>
    <row r="21">
      <c r="F21" s="41" t="s">
        <v>119</v>
      </c>
      <c r="G21" s="76" t="str">
        <f t="shared" si="6"/>
        <v>#VALUE!</v>
      </c>
      <c r="I21" s="35">
        <v>10.0</v>
      </c>
      <c r="P21" s="73">
        <v>0.0</v>
      </c>
      <c r="R21" s="68"/>
      <c r="S21" s="78" t="s">
        <v>98</v>
      </c>
      <c r="T21" s="78" t="s">
        <v>99</v>
      </c>
      <c r="U21" s="78" t="s">
        <v>100</v>
      </c>
    </row>
    <row r="22">
      <c r="C22" s="76"/>
      <c r="F22" s="41" t="s">
        <v>120</v>
      </c>
      <c r="G22" s="76" t="str">
        <f t="shared" si="6"/>
        <v>#VALUE!</v>
      </c>
      <c r="I22" s="35">
        <v>10.0</v>
      </c>
      <c r="P22" s="73">
        <v>0.0</v>
      </c>
      <c r="R22" s="78">
        <v>1.0</v>
      </c>
      <c r="S22" s="80">
        <f t="shared" ref="S22:U22" si="11">S14/S$17</f>
        <v>0.5</v>
      </c>
      <c r="T22" s="80">
        <f t="shared" si="11"/>
        <v>0.5833333333</v>
      </c>
      <c r="U22" s="80">
        <f t="shared" si="11"/>
        <v>0.3055555556</v>
      </c>
    </row>
    <row r="23">
      <c r="C23" s="76"/>
      <c r="F23" s="81">
        <v>45356.0</v>
      </c>
      <c r="G23" s="76" t="str">
        <f t="shared" si="6"/>
        <v>#VALUE!</v>
      </c>
      <c r="I23" s="35">
        <v>10.0</v>
      </c>
      <c r="P23" s="73">
        <v>2.0</v>
      </c>
      <c r="R23" s="78">
        <v>0.0</v>
      </c>
      <c r="S23" s="80">
        <f t="shared" ref="S23:U23" si="12">S15/S$17</f>
        <v>0.2222222222</v>
      </c>
      <c r="T23" s="80">
        <f t="shared" si="12"/>
        <v>0</v>
      </c>
      <c r="U23" s="80">
        <f t="shared" si="12"/>
        <v>0.3611111111</v>
      </c>
    </row>
    <row r="24">
      <c r="F24" s="41" t="s">
        <v>121</v>
      </c>
      <c r="G24" s="76" t="str">
        <f t="shared" si="6"/>
        <v>#VALUE!</v>
      </c>
      <c r="I24" s="35">
        <v>10.0</v>
      </c>
      <c r="P24" s="73">
        <v>2.0</v>
      </c>
      <c r="R24" s="78">
        <v>2.0</v>
      </c>
      <c r="S24" s="80">
        <f t="shared" ref="S24:U24" si="13">S16/S$17</f>
        <v>0.2777777778</v>
      </c>
      <c r="T24" s="80">
        <f t="shared" si="13"/>
        <v>0.4166666667</v>
      </c>
      <c r="U24" s="80">
        <f t="shared" si="13"/>
        <v>0.3333333333</v>
      </c>
    </row>
    <row r="25">
      <c r="F25" s="41" t="s">
        <v>122</v>
      </c>
      <c r="G25" s="76" t="str">
        <f t="shared" si="6"/>
        <v>#VALUE!</v>
      </c>
      <c r="I25" s="35">
        <v>10.0</v>
      </c>
      <c r="P25" s="73">
        <v>1.0</v>
      </c>
      <c r="R25" s="78" t="s">
        <v>113</v>
      </c>
      <c r="S25" s="79">
        <f t="shared" ref="S25:U25" si="14">SUM(S22:S24)</f>
        <v>1</v>
      </c>
      <c r="T25" s="80">
        <f t="shared" si="14"/>
        <v>1</v>
      </c>
      <c r="U25" s="80">
        <f t="shared" si="14"/>
        <v>1</v>
      </c>
    </row>
    <row r="26">
      <c r="F26" s="41" t="s">
        <v>123</v>
      </c>
      <c r="G26" s="76" t="str">
        <f t="shared" si="6"/>
        <v>#VALUE!</v>
      </c>
      <c r="I26" s="35">
        <v>10.0</v>
      </c>
      <c r="P26" s="73">
        <v>0.0</v>
      </c>
    </row>
    <row r="27">
      <c r="F27" s="81">
        <v>45542.0</v>
      </c>
      <c r="G27" s="76" t="str">
        <f t="shared" si="6"/>
        <v>#VALUE!</v>
      </c>
      <c r="I27" s="35">
        <v>10.0</v>
      </c>
      <c r="P27" s="73">
        <v>2.0</v>
      </c>
    </row>
    <row r="28">
      <c r="P28" s="73">
        <v>1.0</v>
      </c>
    </row>
    <row r="29">
      <c r="F29" s="29" t="s">
        <v>115</v>
      </c>
      <c r="G29" s="37" t="str">
        <f>AVERAGE(G8:G27)</f>
        <v>#VALUE!</v>
      </c>
      <c r="H29" s="29"/>
      <c r="I29" s="72">
        <f>AVERAGE(I8:I27)</f>
        <v>16</v>
      </c>
      <c r="J29" s="72">
        <f>AVERAGE(J8:J17)</f>
        <v>42</v>
      </c>
      <c r="P29" s="73">
        <v>1.0</v>
      </c>
    </row>
    <row r="30">
      <c r="P30" s="73">
        <v>2.0</v>
      </c>
    </row>
    <row r="31">
      <c r="P31" s="73">
        <v>0.0</v>
      </c>
    </row>
    <row r="32">
      <c r="B32" s="43" t="s">
        <v>124</v>
      </c>
      <c r="G32" s="76"/>
      <c r="P32" s="73">
        <v>1.0</v>
      </c>
    </row>
    <row r="33">
      <c r="B33" s="82" t="s">
        <v>125</v>
      </c>
      <c r="G33" s="83"/>
      <c r="P33" s="73">
        <v>1.0</v>
      </c>
    </row>
    <row r="34">
      <c r="P34" s="73">
        <v>2.0</v>
      </c>
    </row>
    <row r="35">
      <c r="H35" s="29" t="s">
        <v>126</v>
      </c>
      <c r="P35" s="73">
        <v>0.0</v>
      </c>
    </row>
    <row r="36">
      <c r="G36" s="29" t="s">
        <v>127</v>
      </c>
      <c r="H36" s="84">
        <v>4.555000000000001</v>
      </c>
      <c r="P36" s="73">
        <v>1.0</v>
      </c>
    </row>
    <row r="37">
      <c r="A37" s="31"/>
      <c r="B37" s="31"/>
      <c r="C37" s="31"/>
      <c r="D37" s="85">
        <f>AVERAGE(D39:D1775)</f>
        <v>5.245625</v>
      </c>
      <c r="G37" s="29" t="s">
        <v>128</v>
      </c>
      <c r="H37" s="84">
        <v>7.555294117647058</v>
      </c>
      <c r="P37" s="73">
        <v>0.0</v>
      </c>
    </row>
    <row r="38">
      <c r="G38" s="29" t="s">
        <v>26</v>
      </c>
      <c r="H38" s="86">
        <v>2.21</v>
      </c>
      <c r="P38" s="73">
        <v>2.0</v>
      </c>
    </row>
    <row r="39">
      <c r="C39" s="87" t="s">
        <v>129</v>
      </c>
      <c r="D39" s="76">
        <f t="shared" ref="D39:D221" si="15">IF(COUNTA(C39)=1,C39/1,"")</f>
        <v>8.23</v>
      </c>
      <c r="G39" s="29" t="s">
        <v>27</v>
      </c>
      <c r="H39" s="84">
        <v>9.938235294117648</v>
      </c>
      <c r="P39" s="73">
        <v>2.0</v>
      </c>
    </row>
    <row r="40">
      <c r="C40" s="88" t="s">
        <v>130</v>
      </c>
      <c r="D40" s="76">
        <f t="shared" si="15"/>
        <v>12.12</v>
      </c>
      <c r="G40" s="29" t="s">
        <v>23</v>
      </c>
      <c r="H40" s="84">
        <v>3.3411111111111107</v>
      </c>
      <c r="P40" s="73">
        <v>0.0</v>
      </c>
    </row>
    <row r="41">
      <c r="C41" s="88" t="s">
        <v>131</v>
      </c>
      <c r="D41" s="76">
        <f t="shared" si="15"/>
        <v>7.28</v>
      </c>
      <c r="P41" s="73">
        <v>1.0</v>
      </c>
    </row>
    <row r="42">
      <c r="C42" s="88" t="s">
        <v>132</v>
      </c>
      <c r="D42" s="76">
        <f t="shared" si="15"/>
        <v>6.77</v>
      </c>
      <c r="P42" s="73">
        <v>1.0</v>
      </c>
    </row>
    <row r="43">
      <c r="C43" s="88" t="s">
        <v>133</v>
      </c>
      <c r="D43" s="76">
        <f t="shared" si="15"/>
        <v>6.19</v>
      </c>
      <c r="P43" s="73"/>
    </row>
    <row r="44">
      <c r="C44" s="88" t="s">
        <v>134</v>
      </c>
      <c r="D44" s="76">
        <f t="shared" si="15"/>
        <v>8.08</v>
      </c>
      <c r="P44" s="73"/>
    </row>
    <row r="45">
      <c r="C45" s="88" t="s">
        <v>135</v>
      </c>
      <c r="D45" s="76">
        <f t="shared" si="15"/>
        <v>7</v>
      </c>
      <c r="P45" s="73"/>
    </row>
    <row r="46">
      <c r="C46" s="88" t="s">
        <v>136</v>
      </c>
      <c r="D46" s="76">
        <f t="shared" si="15"/>
        <v>11.03</v>
      </c>
      <c r="G46" s="48" t="s">
        <v>137</v>
      </c>
      <c r="H46" s="48" t="s">
        <v>138</v>
      </c>
      <c r="P46" s="73"/>
    </row>
    <row r="47">
      <c r="C47" s="88" t="s">
        <v>139</v>
      </c>
      <c r="D47" s="76">
        <f t="shared" si="15"/>
        <v>5.21</v>
      </c>
      <c r="G47" s="53" t="s">
        <v>127</v>
      </c>
      <c r="H47" s="89">
        <v>0.376453591155815</v>
      </c>
      <c r="P47" s="73"/>
    </row>
    <row r="48">
      <c r="C48" s="88" t="s">
        <v>140</v>
      </c>
      <c r="D48" s="76">
        <f t="shared" si="15"/>
        <v>5.15</v>
      </c>
      <c r="G48" s="53" t="s">
        <v>128</v>
      </c>
      <c r="H48" s="89">
        <v>0.36678739680281</v>
      </c>
      <c r="J48" s="35" t="s">
        <v>141</v>
      </c>
      <c r="K48" s="74">
        <f>AVERAGE(H47:H51)</f>
        <v>0.326199044</v>
      </c>
      <c r="P48" s="73"/>
    </row>
    <row r="49">
      <c r="C49" s="88" t="s">
        <v>142</v>
      </c>
      <c r="D49" s="76">
        <f t="shared" si="15"/>
        <v>2.84</v>
      </c>
      <c r="G49" s="53" t="s">
        <v>26</v>
      </c>
      <c r="H49" s="89">
        <v>0.142870351877935</v>
      </c>
      <c r="J49" s="35" t="s">
        <v>143</v>
      </c>
      <c r="K49" s="74">
        <f>MEDIAN(H47:H51)</f>
        <v>0.3667873968</v>
      </c>
      <c r="P49" s="73"/>
    </row>
    <row r="50">
      <c r="C50" s="88" t="s">
        <v>144</v>
      </c>
      <c r="D50" s="76">
        <f t="shared" si="15"/>
        <v>4.25</v>
      </c>
      <c r="G50" s="53" t="s">
        <v>27</v>
      </c>
      <c r="H50" s="89">
        <v>0.497437843674554</v>
      </c>
      <c r="J50" s="35" t="s">
        <v>145</v>
      </c>
      <c r="K50" s="74">
        <f>PERCENTILE(H47:H51,0.25)</f>
        <v>0.2474460363</v>
      </c>
      <c r="P50" s="73"/>
    </row>
    <row r="51">
      <c r="C51" s="88" t="s">
        <v>146</v>
      </c>
      <c r="D51" s="76">
        <f t="shared" si="15"/>
        <v>2.86</v>
      </c>
      <c r="G51" s="53" t="s">
        <v>23</v>
      </c>
      <c r="H51" s="89">
        <v>0.247446036291655</v>
      </c>
      <c r="J51" s="35" t="s">
        <v>147</v>
      </c>
      <c r="K51" s="74">
        <f>PERCENTILE(H47:H51,0.75)</f>
        <v>0.3764535912</v>
      </c>
      <c r="P51" s="73"/>
    </row>
    <row r="52">
      <c r="C52" s="88" t="s">
        <v>148</v>
      </c>
      <c r="D52" s="76">
        <f t="shared" si="15"/>
        <v>2.45</v>
      </c>
      <c r="P52" s="73"/>
    </row>
    <row r="53">
      <c r="C53" s="88" t="s">
        <v>149</v>
      </c>
      <c r="D53" s="76">
        <f t="shared" si="15"/>
        <v>3.1</v>
      </c>
      <c r="P53" s="73"/>
    </row>
    <row r="54">
      <c r="C54" s="88" t="s">
        <v>150</v>
      </c>
      <c r="D54" s="76">
        <f t="shared" si="15"/>
        <v>1.56</v>
      </c>
      <c r="P54" s="73"/>
    </row>
    <row r="55">
      <c r="C55" s="88" t="s">
        <v>151</v>
      </c>
      <c r="D55" s="76">
        <f t="shared" si="15"/>
        <v>2.26</v>
      </c>
      <c r="P55" s="73"/>
    </row>
    <row r="56">
      <c r="C56" s="88" t="s">
        <v>152</v>
      </c>
      <c r="D56" s="76">
        <f t="shared" si="15"/>
        <v>2.55</v>
      </c>
      <c r="P56" s="73"/>
    </row>
    <row r="57">
      <c r="C57" s="88" t="s">
        <v>153</v>
      </c>
      <c r="D57" s="76">
        <f t="shared" si="15"/>
        <v>1.24</v>
      </c>
      <c r="P57" s="73"/>
    </row>
    <row r="58">
      <c r="C58" s="88" t="s">
        <v>154</v>
      </c>
      <c r="D58" s="76">
        <f t="shared" si="15"/>
        <v>5.36</v>
      </c>
      <c r="G58" s="90" t="s">
        <v>155</v>
      </c>
      <c r="H58" s="91"/>
      <c r="P58" s="73"/>
    </row>
    <row r="59">
      <c r="C59" s="88" t="s">
        <v>82</v>
      </c>
      <c r="D59" s="76">
        <f t="shared" si="15"/>
        <v>3.67</v>
      </c>
      <c r="G59" s="91"/>
      <c r="H59" s="92" t="s">
        <v>156</v>
      </c>
      <c r="P59" s="73"/>
    </row>
    <row r="60">
      <c r="C60" s="88" t="s">
        <v>157</v>
      </c>
      <c r="D60" s="76">
        <f t="shared" si="15"/>
        <v>1.57</v>
      </c>
      <c r="G60" s="91"/>
      <c r="H60" s="92" t="s">
        <v>158</v>
      </c>
      <c r="P60" s="73"/>
    </row>
    <row r="61">
      <c r="C61" s="88" t="s">
        <v>159</v>
      </c>
      <c r="D61" s="76">
        <f t="shared" si="15"/>
        <v>1.16</v>
      </c>
      <c r="G61" s="91"/>
      <c r="H61" s="92" t="s">
        <v>160</v>
      </c>
      <c r="P61" s="73"/>
    </row>
    <row r="62">
      <c r="C62" s="88" t="s">
        <v>161</v>
      </c>
      <c r="D62" s="76">
        <f t="shared" si="15"/>
        <v>1.29</v>
      </c>
      <c r="G62" s="91"/>
      <c r="H62" s="92" t="s">
        <v>162</v>
      </c>
      <c r="P62" s="73"/>
    </row>
    <row r="63">
      <c r="C63" s="88" t="s">
        <v>146</v>
      </c>
      <c r="D63" s="76">
        <f t="shared" si="15"/>
        <v>2.86</v>
      </c>
      <c r="G63" s="91"/>
      <c r="H63" s="92" t="s">
        <v>163</v>
      </c>
      <c r="P63" s="73"/>
    </row>
    <row r="64">
      <c r="C64" s="88" t="s">
        <v>164</v>
      </c>
      <c r="D64" s="76">
        <f t="shared" si="15"/>
        <v>1.84</v>
      </c>
      <c r="P64" s="73"/>
    </row>
    <row r="65">
      <c r="C65" s="88" t="s">
        <v>165</v>
      </c>
      <c r="D65" s="76">
        <f t="shared" si="15"/>
        <v>1.78</v>
      </c>
      <c r="P65" s="73"/>
    </row>
    <row r="66">
      <c r="C66" s="88" t="s">
        <v>166</v>
      </c>
      <c r="D66" s="76">
        <f t="shared" si="15"/>
        <v>1.41</v>
      </c>
      <c r="P66" s="73"/>
    </row>
    <row r="67">
      <c r="C67" s="88" t="s">
        <v>167</v>
      </c>
      <c r="D67" s="76">
        <f t="shared" si="15"/>
        <v>1.25</v>
      </c>
      <c r="P67" s="73"/>
    </row>
    <row r="68">
      <c r="C68" s="88" t="s">
        <v>168</v>
      </c>
      <c r="D68" s="76">
        <f t="shared" si="15"/>
        <v>2.09</v>
      </c>
      <c r="P68" s="73"/>
    </row>
    <row r="69">
      <c r="C69" s="88" t="s">
        <v>169</v>
      </c>
      <c r="D69" s="76">
        <f t="shared" si="15"/>
        <v>4.57</v>
      </c>
      <c r="P69" s="73"/>
    </row>
    <row r="70">
      <c r="C70" s="88" t="s">
        <v>170</v>
      </c>
      <c r="D70" s="76">
        <f t="shared" si="15"/>
        <v>3.56</v>
      </c>
      <c r="P70" s="73"/>
    </row>
    <row r="71">
      <c r="C71" s="88" t="s">
        <v>171</v>
      </c>
      <c r="D71" s="76">
        <f t="shared" si="15"/>
        <v>10.02</v>
      </c>
      <c r="F71" s="93"/>
      <c r="P71" s="73"/>
    </row>
    <row r="72">
      <c r="C72" s="88" t="s">
        <v>172</v>
      </c>
      <c r="D72" s="76">
        <f t="shared" si="15"/>
        <v>8.99</v>
      </c>
      <c r="P72" s="73"/>
    </row>
    <row r="73">
      <c r="C73" s="88" t="s">
        <v>173</v>
      </c>
      <c r="D73" s="76">
        <f t="shared" si="15"/>
        <v>11.62</v>
      </c>
      <c r="P73" s="73"/>
    </row>
    <row r="74">
      <c r="C74" s="88" t="s">
        <v>174</v>
      </c>
      <c r="D74" s="76">
        <f t="shared" si="15"/>
        <v>9.62</v>
      </c>
      <c r="P74" s="73"/>
    </row>
    <row r="75">
      <c r="C75" s="88" t="s">
        <v>175</v>
      </c>
      <c r="D75" s="76">
        <f t="shared" si="15"/>
        <v>3.12</v>
      </c>
      <c r="P75" s="73"/>
    </row>
    <row r="76">
      <c r="C76" s="88" t="s">
        <v>176</v>
      </c>
      <c r="D76" s="76">
        <f t="shared" si="15"/>
        <v>11.84</v>
      </c>
      <c r="P76" s="73"/>
    </row>
    <row r="77">
      <c r="C77" s="88" t="s">
        <v>177</v>
      </c>
      <c r="D77" s="76">
        <f t="shared" si="15"/>
        <v>9.01</v>
      </c>
      <c r="P77" s="73"/>
    </row>
    <row r="78">
      <c r="C78" s="88" t="s">
        <v>178</v>
      </c>
      <c r="D78" s="76">
        <f t="shared" si="15"/>
        <v>8.15</v>
      </c>
      <c r="P78" s="94"/>
    </row>
    <row r="79">
      <c r="C79" s="88" t="s">
        <v>179</v>
      </c>
      <c r="D79" s="76">
        <f t="shared" si="15"/>
        <v>8.67</v>
      </c>
      <c r="P79" s="94"/>
    </row>
    <row r="80">
      <c r="C80" s="88" t="s">
        <v>180</v>
      </c>
      <c r="D80" s="76">
        <f t="shared" si="15"/>
        <v>6.42</v>
      </c>
      <c r="P80" s="94"/>
    </row>
    <row r="81">
      <c r="C81" s="88" t="s">
        <v>181</v>
      </c>
      <c r="D81" s="76">
        <f t="shared" si="15"/>
        <v>10.81</v>
      </c>
      <c r="P81" s="94"/>
    </row>
    <row r="82">
      <c r="C82" s="88" t="s">
        <v>182</v>
      </c>
      <c r="D82" s="76">
        <f t="shared" si="15"/>
        <v>2.13</v>
      </c>
      <c r="P82" s="94"/>
    </row>
    <row r="83">
      <c r="C83" s="88" t="s">
        <v>183</v>
      </c>
      <c r="D83" s="76">
        <f t="shared" si="15"/>
        <v>7.26</v>
      </c>
      <c r="P83" s="94"/>
    </row>
    <row r="84">
      <c r="C84" s="88" t="s">
        <v>184</v>
      </c>
      <c r="D84" s="76">
        <f t="shared" si="15"/>
        <v>6.67</v>
      </c>
      <c r="P84" s="94"/>
    </row>
    <row r="85">
      <c r="C85" s="88" t="s">
        <v>185</v>
      </c>
      <c r="D85" s="76">
        <f t="shared" si="15"/>
        <v>4.71</v>
      </c>
      <c r="P85" s="94"/>
    </row>
    <row r="86">
      <c r="C86" s="88" t="s">
        <v>186</v>
      </c>
      <c r="D86" s="76">
        <f t="shared" si="15"/>
        <v>0.17</v>
      </c>
      <c r="P86" s="94"/>
    </row>
    <row r="87">
      <c r="C87" s="88"/>
      <c r="D87" s="76" t="str">
        <f t="shared" si="15"/>
        <v/>
      </c>
      <c r="P87" s="94"/>
    </row>
    <row r="88">
      <c r="C88" s="88"/>
      <c r="D88" s="76" t="str">
        <f t="shared" si="15"/>
        <v/>
      </c>
      <c r="P88" s="94"/>
    </row>
    <row r="89">
      <c r="C89" s="88"/>
      <c r="D89" s="76" t="str">
        <f t="shared" si="15"/>
        <v/>
      </c>
      <c r="P89" s="94"/>
    </row>
    <row r="90">
      <c r="C90" s="88"/>
      <c r="D90" s="76" t="str">
        <f t="shared" si="15"/>
        <v/>
      </c>
      <c r="P90" s="94"/>
    </row>
    <row r="91">
      <c r="C91" s="88"/>
      <c r="D91" s="76" t="str">
        <f t="shared" si="15"/>
        <v/>
      </c>
      <c r="P91" s="94"/>
    </row>
    <row r="92">
      <c r="C92" s="88"/>
      <c r="D92" s="76" t="str">
        <f t="shared" si="15"/>
        <v/>
      </c>
      <c r="P92" s="94"/>
    </row>
    <row r="93">
      <c r="C93" s="88"/>
      <c r="D93" s="76" t="str">
        <f t="shared" si="15"/>
        <v/>
      </c>
      <c r="P93" s="94"/>
    </row>
    <row r="94">
      <c r="C94" s="88"/>
      <c r="D94" s="76" t="str">
        <f t="shared" si="15"/>
        <v/>
      </c>
      <c r="P94" s="94"/>
    </row>
    <row r="95">
      <c r="C95" s="88"/>
      <c r="D95" s="76" t="str">
        <f t="shared" si="15"/>
        <v/>
      </c>
      <c r="P95" s="94"/>
    </row>
    <row r="96">
      <c r="C96" s="88"/>
      <c r="D96" s="76" t="str">
        <f t="shared" si="15"/>
        <v/>
      </c>
      <c r="P96" s="94"/>
    </row>
    <row r="97">
      <c r="C97" s="88"/>
      <c r="D97" s="76" t="str">
        <f t="shared" si="15"/>
        <v/>
      </c>
      <c r="P97" s="94"/>
    </row>
    <row r="98">
      <c r="C98" s="88"/>
      <c r="D98" s="76" t="str">
        <f t="shared" si="15"/>
        <v/>
      </c>
      <c r="P98" s="94"/>
    </row>
    <row r="99">
      <c r="C99" s="88"/>
      <c r="D99" s="76" t="str">
        <f t="shared" si="15"/>
        <v/>
      </c>
      <c r="P99" s="94"/>
    </row>
    <row r="100">
      <c r="C100" s="88"/>
      <c r="D100" s="76" t="str">
        <f t="shared" si="15"/>
        <v/>
      </c>
      <c r="P100" s="94"/>
    </row>
    <row r="101">
      <c r="C101" s="88"/>
      <c r="D101" s="76" t="str">
        <f t="shared" si="15"/>
        <v/>
      </c>
      <c r="P101" s="94"/>
    </row>
    <row r="102">
      <c r="C102" s="88"/>
      <c r="D102" s="76" t="str">
        <f t="shared" si="15"/>
        <v/>
      </c>
      <c r="P102" s="94"/>
    </row>
    <row r="103">
      <c r="C103" s="88"/>
      <c r="D103" s="76" t="str">
        <f t="shared" si="15"/>
        <v/>
      </c>
      <c r="P103" s="94"/>
    </row>
    <row r="104">
      <c r="C104" s="88"/>
      <c r="D104" s="76" t="str">
        <f t="shared" si="15"/>
        <v/>
      </c>
      <c r="N104" s="95"/>
      <c r="P104" s="94"/>
    </row>
    <row r="105">
      <c r="C105" s="88"/>
      <c r="D105" s="76" t="str">
        <f t="shared" si="15"/>
        <v/>
      </c>
      <c r="N105" s="14"/>
      <c r="P105" s="94"/>
    </row>
    <row r="106">
      <c r="C106" s="88"/>
      <c r="D106" s="76" t="str">
        <f t="shared" si="15"/>
        <v/>
      </c>
      <c r="N106" s="14"/>
      <c r="P106" s="94"/>
    </row>
    <row r="107">
      <c r="C107" s="88"/>
      <c r="D107" s="76" t="str">
        <f t="shared" si="15"/>
        <v/>
      </c>
      <c r="N107" s="14"/>
      <c r="P107" s="94"/>
    </row>
    <row r="108">
      <c r="C108" s="88"/>
      <c r="D108" s="76" t="str">
        <f t="shared" si="15"/>
        <v/>
      </c>
      <c r="N108" s="14"/>
      <c r="P108" s="94"/>
    </row>
    <row r="109">
      <c r="C109" s="88"/>
      <c r="D109" s="76" t="str">
        <f t="shared" si="15"/>
        <v/>
      </c>
      <c r="N109" s="14"/>
      <c r="P109" s="94"/>
    </row>
    <row r="110">
      <c r="C110" s="88"/>
      <c r="D110" s="76" t="str">
        <f t="shared" si="15"/>
        <v/>
      </c>
      <c r="N110" s="14"/>
      <c r="P110" s="94"/>
    </row>
    <row r="111">
      <c r="C111" s="88"/>
      <c r="D111" s="76" t="str">
        <f t="shared" si="15"/>
        <v/>
      </c>
      <c r="N111" s="14"/>
      <c r="P111" s="94"/>
    </row>
    <row r="112">
      <c r="C112" s="88"/>
      <c r="D112" s="76" t="str">
        <f t="shared" si="15"/>
        <v/>
      </c>
      <c r="P112" s="94"/>
    </row>
    <row r="113">
      <c r="C113" s="88"/>
      <c r="D113" s="76" t="str">
        <f t="shared" si="15"/>
        <v/>
      </c>
      <c r="P113" s="94"/>
    </row>
    <row r="114">
      <c r="C114" s="88"/>
      <c r="D114" s="76" t="str">
        <f t="shared" si="15"/>
        <v/>
      </c>
      <c r="P114" s="94"/>
    </row>
    <row r="115">
      <c r="C115" s="88"/>
      <c r="D115" s="76" t="str">
        <f t="shared" si="15"/>
        <v/>
      </c>
      <c r="P115" s="94"/>
    </row>
    <row r="116">
      <c r="C116" s="88"/>
      <c r="D116" s="76" t="str">
        <f t="shared" si="15"/>
        <v/>
      </c>
      <c r="P116" s="94"/>
    </row>
    <row r="117">
      <c r="C117" s="88"/>
      <c r="D117" s="76" t="str">
        <f t="shared" si="15"/>
        <v/>
      </c>
      <c r="P117" s="94"/>
    </row>
    <row r="118">
      <c r="C118" s="88"/>
      <c r="D118" s="76" t="str">
        <f t="shared" si="15"/>
        <v/>
      </c>
      <c r="P118" s="94"/>
    </row>
    <row r="119">
      <c r="C119" s="88"/>
      <c r="D119" s="76" t="str">
        <f t="shared" si="15"/>
        <v/>
      </c>
      <c r="P119" s="94"/>
    </row>
    <row r="120">
      <c r="C120" s="88"/>
      <c r="D120" s="76" t="str">
        <f t="shared" si="15"/>
        <v/>
      </c>
      <c r="P120" s="94"/>
    </row>
    <row r="121">
      <c r="C121" s="88"/>
      <c r="D121" s="76" t="str">
        <f t="shared" si="15"/>
        <v/>
      </c>
      <c r="P121" s="94"/>
    </row>
    <row r="122">
      <c r="C122" s="88"/>
      <c r="D122" s="76" t="str">
        <f t="shared" si="15"/>
        <v/>
      </c>
      <c r="P122" s="94"/>
    </row>
    <row r="123">
      <c r="C123" s="88"/>
      <c r="D123" s="76" t="str">
        <f t="shared" si="15"/>
        <v/>
      </c>
      <c r="P123" s="94"/>
    </row>
    <row r="124">
      <c r="C124" s="88"/>
      <c r="D124" s="76" t="str">
        <f t="shared" si="15"/>
        <v/>
      </c>
      <c r="P124" s="94"/>
    </row>
    <row r="125">
      <c r="C125" s="88"/>
      <c r="D125" s="76" t="str">
        <f t="shared" si="15"/>
        <v/>
      </c>
      <c r="P125" s="94"/>
    </row>
    <row r="126">
      <c r="C126" s="88"/>
      <c r="D126" s="76" t="str">
        <f t="shared" si="15"/>
        <v/>
      </c>
      <c r="P126" s="94"/>
    </row>
    <row r="127">
      <c r="C127" s="88"/>
      <c r="D127" s="76" t="str">
        <f t="shared" si="15"/>
        <v/>
      </c>
      <c r="P127" s="94"/>
    </row>
    <row r="128">
      <c r="C128" s="88"/>
      <c r="D128" s="76" t="str">
        <f t="shared" si="15"/>
        <v/>
      </c>
      <c r="P128" s="94"/>
    </row>
    <row r="129">
      <c r="C129" s="88"/>
      <c r="D129" s="76" t="str">
        <f t="shared" si="15"/>
        <v/>
      </c>
      <c r="P129" s="94"/>
    </row>
    <row r="130">
      <c r="C130" s="88"/>
      <c r="D130" s="76" t="str">
        <f t="shared" si="15"/>
        <v/>
      </c>
      <c r="P130" s="94"/>
    </row>
    <row r="131">
      <c r="C131" s="88"/>
      <c r="D131" s="76" t="str">
        <f t="shared" si="15"/>
        <v/>
      </c>
      <c r="P131" s="94"/>
    </row>
    <row r="132">
      <c r="C132" s="88"/>
      <c r="D132" s="76" t="str">
        <f t="shared" si="15"/>
        <v/>
      </c>
      <c r="P132" s="94"/>
    </row>
    <row r="133">
      <c r="C133" s="88"/>
      <c r="D133" s="76" t="str">
        <f t="shared" si="15"/>
        <v/>
      </c>
      <c r="P133" s="94"/>
    </row>
    <row r="134">
      <c r="C134" s="88"/>
      <c r="D134" s="76" t="str">
        <f t="shared" si="15"/>
        <v/>
      </c>
      <c r="P134" s="94"/>
    </row>
    <row r="135">
      <c r="C135" s="88"/>
      <c r="D135" s="76" t="str">
        <f t="shared" si="15"/>
        <v/>
      </c>
      <c r="P135" s="94"/>
    </row>
    <row r="136">
      <c r="C136" s="88"/>
      <c r="D136" s="76" t="str">
        <f t="shared" si="15"/>
        <v/>
      </c>
      <c r="P136" s="94"/>
    </row>
    <row r="137">
      <c r="C137" s="88"/>
      <c r="D137" s="76" t="str">
        <f t="shared" si="15"/>
        <v/>
      </c>
      <c r="P137" s="94"/>
    </row>
    <row r="138">
      <c r="C138" s="88"/>
      <c r="D138" s="76" t="str">
        <f t="shared" si="15"/>
        <v/>
      </c>
      <c r="P138" s="94"/>
    </row>
    <row r="139">
      <c r="C139" s="88"/>
      <c r="D139" s="76" t="str">
        <f t="shared" si="15"/>
        <v/>
      </c>
      <c r="P139" s="94"/>
    </row>
    <row r="140">
      <c r="C140" s="88"/>
      <c r="D140" s="76" t="str">
        <f t="shared" si="15"/>
        <v/>
      </c>
      <c r="H140" s="35">
        <v>49.0</v>
      </c>
      <c r="J140" s="35">
        <v>0.51</v>
      </c>
      <c r="K140" s="35">
        <v>46.0</v>
      </c>
      <c r="P140" s="94"/>
    </row>
    <row r="141">
      <c r="C141" s="88"/>
      <c r="D141" s="76" t="str">
        <f t="shared" si="15"/>
        <v/>
      </c>
      <c r="H141" s="35">
        <v>43.0</v>
      </c>
      <c r="J141" s="35">
        <v>0.55</v>
      </c>
      <c r="K141" s="35">
        <v>43.0</v>
      </c>
      <c r="P141" s="94"/>
    </row>
    <row r="142">
      <c r="C142" s="88"/>
      <c r="D142" s="76" t="str">
        <f t="shared" si="15"/>
        <v/>
      </c>
      <c r="H142" s="35">
        <v>42.0</v>
      </c>
      <c r="J142" s="35">
        <v>0.46</v>
      </c>
      <c r="K142" s="35">
        <v>42.0</v>
      </c>
      <c r="P142" s="94"/>
    </row>
    <row r="143">
      <c r="C143" s="88"/>
      <c r="D143" s="76" t="str">
        <f t="shared" si="15"/>
        <v/>
      </c>
      <c r="H143" s="35">
        <v>45.0</v>
      </c>
      <c r="J143" s="35">
        <v>0.45</v>
      </c>
      <c r="K143" s="35">
        <v>49.0</v>
      </c>
      <c r="P143" s="94"/>
    </row>
    <row r="144">
      <c r="C144" s="88"/>
      <c r="D144" s="76" t="str">
        <f t="shared" si="15"/>
        <v/>
      </c>
      <c r="H144" s="35">
        <v>44.0</v>
      </c>
      <c r="J144" s="35">
        <v>0.5</v>
      </c>
      <c r="K144" s="35">
        <v>45.0</v>
      </c>
      <c r="P144" s="94"/>
    </row>
    <row r="145">
      <c r="C145" s="88"/>
      <c r="D145" s="76" t="str">
        <f t="shared" si="15"/>
        <v/>
      </c>
      <c r="H145" s="35">
        <v>42.0</v>
      </c>
      <c r="J145" s="35">
        <v>0.51</v>
      </c>
      <c r="K145" s="35">
        <v>43.0</v>
      </c>
      <c r="P145" s="94"/>
    </row>
    <row r="146">
      <c r="C146" s="88"/>
      <c r="D146" s="76" t="str">
        <f t="shared" si="15"/>
        <v/>
      </c>
      <c r="H146" s="35">
        <v>46.0</v>
      </c>
      <c r="J146" s="35">
        <v>0.53</v>
      </c>
      <c r="K146" s="35">
        <v>44.0</v>
      </c>
      <c r="P146" s="94"/>
    </row>
    <row r="147">
      <c r="C147" s="88"/>
      <c r="D147" s="76" t="str">
        <f t="shared" si="15"/>
        <v/>
      </c>
      <c r="H147" s="35">
        <v>48.0</v>
      </c>
      <c r="J147" s="35">
        <v>0.45</v>
      </c>
      <c r="K147" s="35">
        <v>51.0</v>
      </c>
      <c r="P147" s="94"/>
    </row>
    <row r="148">
      <c r="C148" s="88"/>
      <c r="D148" s="76" t="str">
        <f t="shared" si="15"/>
        <v/>
      </c>
      <c r="H148" s="35">
        <v>47.0</v>
      </c>
      <c r="J148" s="35">
        <v>0.48</v>
      </c>
      <c r="K148" s="35">
        <v>42.0</v>
      </c>
      <c r="P148" s="94"/>
    </row>
    <row r="149">
      <c r="C149" s="88"/>
      <c r="D149" s="76" t="str">
        <f t="shared" si="15"/>
        <v/>
      </c>
      <c r="H149" s="35">
        <v>48.0</v>
      </c>
      <c r="J149" s="35">
        <v>0.53</v>
      </c>
      <c r="K149" s="35">
        <v>47.0</v>
      </c>
      <c r="P149" s="94"/>
    </row>
    <row r="150">
      <c r="C150" s="88"/>
      <c r="D150" s="76" t="str">
        <f t="shared" si="15"/>
        <v/>
      </c>
      <c r="H150" s="35">
        <v>47.0</v>
      </c>
      <c r="J150" s="35">
        <v>0.47</v>
      </c>
      <c r="K150" s="35">
        <v>45.0</v>
      </c>
      <c r="P150" s="94"/>
    </row>
    <row r="151">
      <c r="C151" s="88"/>
      <c r="D151" s="76" t="str">
        <f t="shared" si="15"/>
        <v/>
      </c>
      <c r="H151" s="35">
        <v>49.0</v>
      </c>
      <c r="J151" s="35">
        <v>0.52</v>
      </c>
      <c r="K151" s="35">
        <v>47.0</v>
      </c>
      <c r="P151" s="94"/>
    </row>
    <row r="152">
      <c r="C152" s="88"/>
      <c r="D152" s="76" t="str">
        <f t="shared" si="15"/>
        <v/>
      </c>
      <c r="H152" s="35">
        <v>42.0</v>
      </c>
      <c r="J152" s="35">
        <v>0.46</v>
      </c>
      <c r="K152" s="35">
        <v>46.0</v>
      </c>
      <c r="P152" s="94"/>
    </row>
    <row r="153">
      <c r="C153" s="88"/>
      <c r="D153" s="76" t="str">
        <f t="shared" si="15"/>
        <v/>
      </c>
      <c r="H153" s="35">
        <v>48.0</v>
      </c>
      <c r="J153" s="35">
        <v>0.46</v>
      </c>
      <c r="K153" s="35">
        <v>47.0</v>
      </c>
      <c r="P153" s="94"/>
    </row>
    <row r="154">
      <c r="C154" s="88"/>
      <c r="D154" s="76" t="str">
        <f t="shared" si="15"/>
        <v/>
      </c>
      <c r="H154" s="35">
        <v>48.0</v>
      </c>
      <c r="J154" s="35">
        <v>0.5</v>
      </c>
      <c r="K154" s="35">
        <v>48.0</v>
      </c>
      <c r="P154" s="94"/>
    </row>
    <row r="155">
      <c r="C155" s="88"/>
      <c r="D155" s="76" t="str">
        <f t="shared" si="15"/>
        <v/>
      </c>
      <c r="H155" s="35">
        <v>42.0</v>
      </c>
      <c r="J155" s="35">
        <v>0.5</v>
      </c>
      <c r="K155" s="35">
        <v>48.0</v>
      </c>
      <c r="P155" s="94"/>
    </row>
    <row r="156">
      <c r="C156" s="88"/>
      <c r="D156" s="76" t="str">
        <f t="shared" si="15"/>
        <v/>
      </c>
      <c r="H156" s="35">
        <v>46.0</v>
      </c>
      <c r="J156" s="35">
        <v>0.52</v>
      </c>
      <c r="K156" s="35">
        <v>46.0</v>
      </c>
      <c r="P156" s="94"/>
    </row>
    <row r="157">
      <c r="C157" s="88"/>
      <c r="D157" s="76" t="str">
        <f t="shared" si="15"/>
        <v/>
      </c>
      <c r="H157" s="35">
        <v>43.0</v>
      </c>
      <c r="J157" s="35">
        <v>0.51</v>
      </c>
      <c r="K157" s="35">
        <v>49.0</v>
      </c>
      <c r="P157" s="94"/>
    </row>
    <row r="158">
      <c r="C158" s="88"/>
      <c r="D158" s="76" t="str">
        <f t="shared" si="15"/>
        <v/>
      </c>
      <c r="H158" s="35">
        <v>46.0</v>
      </c>
      <c r="J158" s="35">
        <v>0.53</v>
      </c>
      <c r="K158" s="35">
        <v>45.0</v>
      </c>
      <c r="P158" s="94"/>
    </row>
    <row r="159">
      <c r="C159" s="88"/>
      <c r="D159" s="76" t="str">
        <f t="shared" si="15"/>
        <v/>
      </c>
      <c r="H159" s="35">
        <v>44.0</v>
      </c>
      <c r="J159" s="35">
        <v>0.45</v>
      </c>
      <c r="K159" s="35">
        <v>48.0</v>
      </c>
      <c r="P159" s="94"/>
    </row>
    <row r="160">
      <c r="C160" s="88"/>
      <c r="D160" s="76" t="str">
        <f t="shared" si="15"/>
        <v/>
      </c>
      <c r="H160" s="35">
        <v>47.0</v>
      </c>
      <c r="J160" s="35">
        <v>0.52</v>
      </c>
      <c r="K160" s="35">
        <v>47.0</v>
      </c>
      <c r="P160" s="94"/>
    </row>
    <row r="161">
      <c r="C161" s="88"/>
      <c r="D161" s="76" t="str">
        <f t="shared" si="15"/>
        <v/>
      </c>
      <c r="H161" s="35">
        <v>50.0</v>
      </c>
      <c r="J161" s="35">
        <v>0.5</v>
      </c>
      <c r="K161" s="35">
        <v>47.0</v>
      </c>
      <c r="P161" s="94"/>
    </row>
    <row r="162">
      <c r="C162" s="88"/>
      <c r="D162" s="76" t="str">
        <f t="shared" si="15"/>
        <v/>
      </c>
      <c r="H162" s="35">
        <v>47.0</v>
      </c>
      <c r="J162" s="35">
        <v>0.52</v>
      </c>
      <c r="K162" s="35">
        <v>45.0</v>
      </c>
      <c r="P162" s="94"/>
    </row>
    <row r="163">
      <c r="C163" s="88"/>
      <c r="D163" s="76" t="str">
        <f t="shared" si="15"/>
        <v/>
      </c>
      <c r="H163" s="35">
        <v>46.0</v>
      </c>
      <c r="J163" s="35">
        <v>0.49</v>
      </c>
      <c r="K163" s="35">
        <v>44.0</v>
      </c>
      <c r="P163" s="94"/>
    </row>
    <row r="164">
      <c r="C164" s="88"/>
      <c r="D164" s="76" t="str">
        <f t="shared" si="15"/>
        <v/>
      </c>
      <c r="H164" s="35">
        <v>47.0</v>
      </c>
      <c r="J164" s="35">
        <v>0.52</v>
      </c>
      <c r="K164" s="35">
        <v>49.0</v>
      </c>
      <c r="P164" s="94"/>
    </row>
    <row r="165">
      <c r="C165" s="88"/>
      <c r="D165" s="76" t="str">
        <f t="shared" si="15"/>
        <v/>
      </c>
      <c r="H165" s="35">
        <v>44.0</v>
      </c>
      <c r="J165" s="35">
        <v>0.49</v>
      </c>
      <c r="K165" s="35">
        <v>45.0</v>
      </c>
      <c r="P165" s="94"/>
    </row>
    <row r="166">
      <c r="C166" s="88"/>
      <c r="D166" s="76" t="str">
        <f t="shared" si="15"/>
        <v/>
      </c>
      <c r="H166" s="35">
        <v>45.0</v>
      </c>
      <c r="J166" s="35">
        <v>0.51</v>
      </c>
      <c r="K166" s="35">
        <v>40.0</v>
      </c>
      <c r="P166" s="94"/>
    </row>
    <row r="167">
      <c r="C167" s="88"/>
      <c r="D167" s="76" t="str">
        <f t="shared" si="15"/>
        <v/>
      </c>
      <c r="H167" s="35">
        <v>39.0</v>
      </c>
      <c r="J167" s="35">
        <v>0.49</v>
      </c>
      <c r="K167" s="35">
        <v>44.0</v>
      </c>
      <c r="P167" s="94"/>
    </row>
    <row r="168">
      <c r="C168" s="88"/>
      <c r="D168" s="76" t="str">
        <f t="shared" si="15"/>
        <v/>
      </c>
      <c r="H168" s="35">
        <v>44.0</v>
      </c>
      <c r="J168" s="35">
        <v>0.5</v>
      </c>
      <c r="K168" s="35">
        <v>46.0</v>
      </c>
      <c r="P168" s="94"/>
    </row>
    <row r="169">
      <c r="C169" s="88"/>
      <c r="D169" s="76" t="str">
        <f t="shared" si="15"/>
        <v/>
      </c>
      <c r="H169" s="35">
        <v>46.0</v>
      </c>
      <c r="J169" s="35">
        <v>0.5</v>
      </c>
      <c r="K169" s="35">
        <v>44.0</v>
      </c>
      <c r="P169" s="94"/>
    </row>
    <row r="170">
      <c r="C170" s="88"/>
      <c r="D170" s="76" t="str">
        <f t="shared" si="15"/>
        <v/>
      </c>
      <c r="H170" s="35">
        <v>48.0</v>
      </c>
      <c r="J170" s="35">
        <v>0.5</v>
      </c>
      <c r="K170" s="35">
        <v>41.0</v>
      </c>
      <c r="P170" s="94"/>
    </row>
    <row r="171">
      <c r="C171" s="88"/>
      <c r="D171" s="76" t="str">
        <f t="shared" si="15"/>
        <v/>
      </c>
      <c r="H171" s="35">
        <v>45.0</v>
      </c>
      <c r="J171" s="35">
        <v>0.44</v>
      </c>
      <c r="K171" s="35">
        <v>50.0</v>
      </c>
      <c r="P171" s="94"/>
    </row>
    <row r="172">
      <c r="C172" s="88"/>
      <c r="D172" s="76" t="str">
        <f t="shared" si="15"/>
        <v/>
      </c>
      <c r="H172" s="35">
        <v>51.0</v>
      </c>
      <c r="J172" s="35">
        <v>0.49</v>
      </c>
      <c r="K172" s="35">
        <v>45.0</v>
      </c>
      <c r="P172" s="94"/>
    </row>
    <row r="173">
      <c r="C173" s="88"/>
      <c r="D173" s="76" t="str">
        <f t="shared" si="15"/>
        <v/>
      </c>
      <c r="H173" s="35">
        <v>46.0</v>
      </c>
      <c r="J173" s="35">
        <v>0.49</v>
      </c>
      <c r="K173" s="35">
        <v>47.0</v>
      </c>
      <c r="P173" s="94"/>
    </row>
    <row r="174">
      <c r="C174" s="88"/>
      <c r="D174" s="76" t="str">
        <f t="shared" si="15"/>
        <v/>
      </c>
      <c r="H174" s="35">
        <v>46.0</v>
      </c>
      <c r="J174" s="35">
        <v>0.51</v>
      </c>
      <c r="K174" s="35">
        <v>45.0</v>
      </c>
      <c r="P174" s="94"/>
    </row>
    <row r="175">
      <c r="C175" s="88"/>
      <c r="D175" s="76" t="str">
        <f t="shared" si="15"/>
        <v/>
      </c>
      <c r="H175" s="35">
        <v>45.0</v>
      </c>
      <c r="J175" s="35">
        <v>0.48</v>
      </c>
      <c r="K175" s="35">
        <v>52.0</v>
      </c>
      <c r="P175" s="94"/>
    </row>
    <row r="176">
      <c r="C176" s="88"/>
      <c r="D176" s="76" t="str">
        <f t="shared" si="15"/>
        <v/>
      </c>
      <c r="H176" s="35">
        <v>44.0</v>
      </c>
      <c r="J176" s="35">
        <v>0.53</v>
      </c>
      <c r="K176" s="35">
        <v>44.0</v>
      </c>
      <c r="P176" s="94"/>
    </row>
    <row r="177">
      <c r="C177" s="88"/>
      <c r="D177" s="76" t="str">
        <f t="shared" si="15"/>
        <v/>
      </c>
      <c r="H177" s="35">
        <v>44.0</v>
      </c>
      <c r="J177" s="35">
        <v>0.48</v>
      </c>
      <c r="K177" s="35">
        <v>49.0</v>
      </c>
      <c r="P177" s="94"/>
    </row>
    <row r="178">
      <c r="C178" s="88"/>
      <c r="D178" s="76" t="str">
        <f t="shared" si="15"/>
        <v/>
      </c>
      <c r="H178" s="35">
        <v>46.0</v>
      </c>
      <c r="J178" s="35">
        <v>0.46</v>
      </c>
      <c r="K178" s="35">
        <v>45.0</v>
      </c>
      <c r="P178" s="94"/>
    </row>
    <row r="179">
      <c r="C179" s="88"/>
      <c r="D179" s="76" t="str">
        <f t="shared" si="15"/>
        <v/>
      </c>
      <c r="H179" s="35">
        <v>45.0</v>
      </c>
      <c r="J179" s="35">
        <v>0.49</v>
      </c>
      <c r="K179" s="35">
        <v>57.0</v>
      </c>
      <c r="P179" s="94"/>
    </row>
    <row r="180">
      <c r="C180" s="88"/>
      <c r="D180" s="76" t="str">
        <f t="shared" si="15"/>
        <v/>
      </c>
      <c r="H180" s="35">
        <v>46.0</v>
      </c>
      <c r="J180" s="35">
        <v>0.51</v>
      </c>
      <c r="K180" s="35">
        <v>49.0</v>
      </c>
      <c r="P180" s="94"/>
    </row>
    <row r="181">
      <c r="C181" s="88"/>
      <c r="D181" s="76" t="str">
        <f t="shared" si="15"/>
        <v/>
      </c>
      <c r="H181" s="35">
        <v>47.0</v>
      </c>
      <c r="J181" s="35">
        <v>0.51</v>
      </c>
      <c r="K181" s="35">
        <v>44.0</v>
      </c>
      <c r="P181" s="94"/>
    </row>
    <row r="182">
      <c r="C182" s="88"/>
      <c r="D182" s="76" t="str">
        <f t="shared" si="15"/>
        <v/>
      </c>
      <c r="H182" s="35">
        <v>49.0</v>
      </c>
      <c r="J182" s="35">
        <v>0.51</v>
      </c>
      <c r="K182" s="35">
        <v>51.0</v>
      </c>
      <c r="P182" s="94"/>
    </row>
    <row r="183">
      <c r="C183" s="88"/>
      <c r="D183" s="76" t="str">
        <f t="shared" si="15"/>
        <v/>
      </c>
      <c r="H183" s="35">
        <v>49.0</v>
      </c>
      <c r="J183" s="35">
        <v>0.45</v>
      </c>
      <c r="K183" s="35">
        <v>52.0</v>
      </c>
      <c r="P183" s="94"/>
    </row>
    <row r="184">
      <c r="C184" s="88"/>
      <c r="D184" s="76" t="str">
        <f t="shared" si="15"/>
        <v/>
      </c>
      <c r="H184" s="35">
        <v>39.0</v>
      </c>
      <c r="J184" s="35">
        <v>0.59</v>
      </c>
      <c r="K184" s="35">
        <v>43.0</v>
      </c>
      <c r="P184" s="94"/>
    </row>
    <row r="185">
      <c r="C185" s="88"/>
      <c r="D185" s="76" t="str">
        <f t="shared" si="15"/>
        <v/>
      </c>
      <c r="H185" s="35">
        <v>54.0</v>
      </c>
      <c r="J185" s="35">
        <v>0.54</v>
      </c>
      <c r="K185" s="35">
        <v>39.0</v>
      </c>
      <c r="P185" s="94"/>
    </row>
    <row r="186">
      <c r="C186" s="88"/>
      <c r="D186" s="76" t="str">
        <f t="shared" si="15"/>
        <v/>
      </c>
      <c r="H186" s="35">
        <v>43.0</v>
      </c>
      <c r="J186" s="35">
        <v>0.5</v>
      </c>
      <c r="K186" s="35">
        <v>46.0</v>
      </c>
      <c r="P186" s="94"/>
    </row>
    <row r="187">
      <c r="C187" s="88"/>
      <c r="D187" s="76" t="str">
        <f t="shared" si="15"/>
        <v/>
      </c>
      <c r="H187" s="35">
        <v>50.0</v>
      </c>
      <c r="J187" s="35">
        <v>0.44</v>
      </c>
      <c r="K187" s="35">
        <v>44.0</v>
      </c>
      <c r="P187" s="94"/>
    </row>
    <row r="188">
      <c r="C188" s="88"/>
      <c r="D188" s="76" t="str">
        <f t="shared" si="15"/>
        <v/>
      </c>
      <c r="H188" s="35">
        <v>43.0</v>
      </c>
      <c r="J188" s="35">
        <v>0.54</v>
      </c>
      <c r="K188" s="35">
        <v>52.0</v>
      </c>
      <c r="P188" s="94"/>
    </row>
    <row r="189">
      <c r="C189" s="88"/>
      <c r="D189" s="76" t="str">
        <f t="shared" si="15"/>
        <v/>
      </c>
      <c r="H189" s="35">
        <v>51.0</v>
      </c>
      <c r="J189" s="35">
        <v>0.59</v>
      </c>
      <c r="K189" s="35">
        <v>48.0</v>
      </c>
      <c r="P189" s="94"/>
    </row>
    <row r="190">
      <c r="C190" s="88"/>
      <c r="D190" s="76" t="str">
        <f t="shared" si="15"/>
        <v/>
      </c>
      <c r="H190" s="35">
        <v>45.0</v>
      </c>
      <c r="J190" s="35">
        <v>0.53</v>
      </c>
      <c r="K190" s="35">
        <v>43.0</v>
      </c>
      <c r="P190" s="94"/>
    </row>
    <row r="191">
      <c r="C191" s="88"/>
      <c r="D191" s="76" t="str">
        <f t="shared" si="15"/>
        <v/>
      </c>
      <c r="H191" s="35">
        <v>45.0</v>
      </c>
      <c r="J191" s="35">
        <v>0.49</v>
      </c>
      <c r="K191" s="35">
        <v>47.0</v>
      </c>
      <c r="P191" s="94"/>
    </row>
    <row r="192">
      <c r="C192" s="88"/>
      <c r="D192" s="76" t="str">
        <f t="shared" si="15"/>
        <v/>
      </c>
      <c r="H192" s="35">
        <v>54.0</v>
      </c>
      <c r="J192" s="35">
        <v>0.51</v>
      </c>
      <c r="K192" s="35">
        <v>40.0</v>
      </c>
      <c r="P192" s="94"/>
    </row>
    <row r="193">
      <c r="C193" s="88"/>
      <c r="D193" s="76" t="str">
        <f t="shared" si="15"/>
        <v/>
      </c>
      <c r="H193" s="35">
        <v>43.0</v>
      </c>
      <c r="J193" s="35">
        <v>0.55</v>
      </c>
      <c r="K193" s="35">
        <v>47.0</v>
      </c>
      <c r="P193" s="94"/>
    </row>
    <row r="194">
      <c r="C194" s="88"/>
      <c r="D194" s="76" t="str">
        <f t="shared" si="15"/>
        <v/>
      </c>
      <c r="H194" s="35">
        <v>48.0</v>
      </c>
      <c r="J194" s="35">
        <v>0.63</v>
      </c>
      <c r="K194" s="35">
        <v>45.0</v>
      </c>
      <c r="P194" s="94"/>
    </row>
    <row r="195">
      <c r="C195" s="88"/>
      <c r="D195" s="76" t="str">
        <f t="shared" si="15"/>
        <v/>
      </c>
      <c r="H195" s="35">
        <v>47.0</v>
      </c>
      <c r="J195" s="35">
        <v>0.49</v>
      </c>
      <c r="K195" s="35">
        <v>49.0</v>
      </c>
      <c r="P195" s="94"/>
    </row>
    <row r="196">
      <c r="C196" s="88"/>
      <c r="D196" s="76" t="str">
        <f t="shared" si="15"/>
        <v/>
      </c>
      <c r="H196" s="35">
        <v>48.0</v>
      </c>
      <c r="J196" s="35">
        <v>0.48</v>
      </c>
      <c r="K196" s="35">
        <v>45.0</v>
      </c>
      <c r="P196" s="94"/>
    </row>
    <row r="197">
      <c r="C197" s="88"/>
      <c r="D197" s="76" t="str">
        <f t="shared" si="15"/>
        <v/>
      </c>
      <c r="H197" s="35">
        <v>49.0</v>
      </c>
      <c r="J197" s="35">
        <v>0.52</v>
      </c>
      <c r="K197" s="35">
        <v>43.0</v>
      </c>
      <c r="P197" s="94"/>
    </row>
    <row r="198">
      <c r="C198" s="88"/>
      <c r="D198" s="76" t="str">
        <f t="shared" si="15"/>
        <v/>
      </c>
      <c r="H198" s="35">
        <v>50.0</v>
      </c>
      <c r="J198" s="35">
        <v>0.46</v>
      </c>
      <c r="K198" s="35">
        <v>47.0</v>
      </c>
      <c r="P198" s="94"/>
    </row>
    <row r="199">
      <c r="C199" s="88"/>
      <c r="D199" s="76" t="str">
        <f t="shared" si="15"/>
        <v/>
      </c>
      <c r="H199" s="35">
        <v>54.0</v>
      </c>
      <c r="J199" s="35">
        <v>0.62</v>
      </c>
      <c r="K199" s="35">
        <v>41.0</v>
      </c>
      <c r="P199" s="94"/>
    </row>
    <row r="200">
      <c r="C200" s="88"/>
      <c r="D200" s="76" t="str">
        <f t="shared" si="15"/>
        <v/>
      </c>
      <c r="H200" s="35">
        <v>41.0</v>
      </c>
      <c r="J200" s="35">
        <v>0.59</v>
      </c>
      <c r="K200" s="35">
        <v>42.0</v>
      </c>
      <c r="P200" s="94"/>
    </row>
    <row r="201">
      <c r="C201" s="88"/>
      <c r="D201" s="76" t="str">
        <f t="shared" si="15"/>
        <v/>
      </c>
      <c r="H201" s="35">
        <v>45.0</v>
      </c>
      <c r="J201" s="35">
        <v>0.54</v>
      </c>
      <c r="K201" s="35">
        <v>40.0</v>
      </c>
      <c r="P201" s="94"/>
    </row>
    <row r="202">
      <c r="C202" s="88"/>
      <c r="D202" s="76" t="str">
        <f t="shared" si="15"/>
        <v/>
      </c>
      <c r="H202" s="35">
        <v>46.0</v>
      </c>
      <c r="J202" s="35">
        <v>0.49</v>
      </c>
      <c r="K202" s="35">
        <v>45.0</v>
      </c>
      <c r="P202" s="94"/>
    </row>
    <row r="203">
      <c r="C203" s="88"/>
      <c r="D203" s="76" t="str">
        <f t="shared" si="15"/>
        <v/>
      </c>
      <c r="H203" s="35">
        <v>48.0</v>
      </c>
      <c r="J203" s="35">
        <v>0.55</v>
      </c>
      <c r="K203" s="35">
        <v>47.0</v>
      </c>
      <c r="P203" s="94"/>
    </row>
    <row r="204">
      <c r="C204" s="88"/>
      <c r="D204" s="76" t="str">
        <f t="shared" si="15"/>
        <v/>
      </c>
      <c r="H204" s="35">
        <v>49.0</v>
      </c>
      <c r="J204" s="35">
        <v>0.46</v>
      </c>
      <c r="K204" s="35">
        <v>50.0</v>
      </c>
      <c r="P204" s="94"/>
    </row>
    <row r="205">
      <c r="C205" s="88"/>
      <c r="D205" s="76" t="str">
        <f t="shared" si="15"/>
        <v/>
      </c>
      <c r="H205" s="35">
        <v>45.0</v>
      </c>
      <c r="J205" s="35">
        <v>0.5</v>
      </c>
      <c r="K205" s="35">
        <v>41.0</v>
      </c>
      <c r="P205" s="94"/>
    </row>
    <row r="206">
      <c r="C206" s="88"/>
      <c r="D206" s="76" t="str">
        <f t="shared" si="15"/>
        <v/>
      </c>
      <c r="H206" s="35">
        <v>40.0</v>
      </c>
      <c r="J206" s="35">
        <v>0.54</v>
      </c>
      <c r="K206" s="35">
        <v>38.0</v>
      </c>
      <c r="P206" s="94"/>
    </row>
    <row r="207">
      <c r="C207" s="88"/>
      <c r="D207" s="76" t="str">
        <f t="shared" si="15"/>
        <v/>
      </c>
      <c r="H207" s="35">
        <v>46.0</v>
      </c>
      <c r="J207" s="35">
        <v>0.47</v>
      </c>
      <c r="K207" s="35">
        <v>38.0</v>
      </c>
      <c r="P207" s="94"/>
    </row>
    <row r="208">
      <c r="C208" s="88"/>
      <c r="D208" s="76" t="str">
        <f t="shared" si="15"/>
        <v/>
      </c>
      <c r="H208" s="35">
        <v>40.0</v>
      </c>
      <c r="J208" s="35">
        <v>0.44</v>
      </c>
      <c r="K208" s="35">
        <v>45.0</v>
      </c>
      <c r="P208" s="94"/>
    </row>
    <row r="209">
      <c r="C209" s="88"/>
      <c r="D209" s="76" t="str">
        <f t="shared" si="15"/>
        <v/>
      </c>
      <c r="H209" s="35">
        <v>41.0</v>
      </c>
      <c r="J209" s="35">
        <v>0.44</v>
      </c>
      <c r="K209" s="35">
        <v>41.0</v>
      </c>
      <c r="P209" s="94"/>
    </row>
    <row r="210">
      <c r="C210" s="88"/>
      <c r="D210" s="76" t="str">
        <f t="shared" si="15"/>
        <v/>
      </c>
      <c r="H210" s="35">
        <v>43.0</v>
      </c>
      <c r="J210" s="35">
        <v>0.48</v>
      </c>
      <c r="K210" s="35">
        <v>49.0</v>
      </c>
      <c r="P210" s="94"/>
    </row>
    <row r="211">
      <c r="C211" s="88"/>
      <c r="D211" s="76" t="str">
        <f t="shared" si="15"/>
        <v/>
      </c>
      <c r="H211" s="35">
        <v>41.0</v>
      </c>
      <c r="J211" s="35">
        <v>0.57</v>
      </c>
      <c r="K211" s="35">
        <v>39.0</v>
      </c>
      <c r="P211" s="94"/>
    </row>
    <row r="212">
      <c r="C212" s="88"/>
      <c r="D212" s="76" t="str">
        <f t="shared" si="15"/>
        <v/>
      </c>
      <c r="H212" s="35">
        <v>45.0</v>
      </c>
      <c r="J212" s="35">
        <v>0.54</v>
      </c>
      <c r="K212" s="35">
        <v>46.0</v>
      </c>
      <c r="P212" s="94"/>
    </row>
    <row r="213">
      <c r="C213" s="88"/>
      <c r="D213" s="76" t="str">
        <f t="shared" si="15"/>
        <v/>
      </c>
      <c r="H213" s="35">
        <v>43.0</v>
      </c>
      <c r="J213" s="35">
        <v>0.56</v>
      </c>
      <c r="K213" s="35">
        <v>44.0</v>
      </c>
      <c r="P213" s="96"/>
    </row>
    <row r="214">
      <c r="C214" s="88"/>
      <c r="D214" s="76" t="str">
        <f t="shared" si="15"/>
        <v/>
      </c>
      <c r="H214" s="35">
        <v>47.0</v>
      </c>
      <c r="J214" s="35">
        <v>0.52</v>
      </c>
      <c r="K214" s="35">
        <v>51.0</v>
      </c>
      <c r="P214" s="96"/>
    </row>
    <row r="215">
      <c r="C215" s="88"/>
      <c r="D215" s="76" t="str">
        <f t="shared" si="15"/>
        <v/>
      </c>
      <c r="H215" s="35">
        <v>44.0</v>
      </c>
      <c r="J215" s="35">
        <v>0.49</v>
      </c>
      <c r="K215" s="35">
        <v>50.0</v>
      </c>
      <c r="P215" s="96"/>
    </row>
    <row r="216">
      <c r="C216" s="88"/>
      <c r="D216" s="76" t="str">
        <f t="shared" si="15"/>
        <v/>
      </c>
      <c r="H216" s="35">
        <v>44.0</v>
      </c>
      <c r="J216" s="35">
        <v>0.56</v>
      </c>
      <c r="K216" s="35">
        <v>45.0</v>
      </c>
      <c r="P216" s="96"/>
    </row>
    <row r="217">
      <c r="C217" s="88"/>
      <c r="D217" s="76" t="str">
        <f t="shared" si="15"/>
        <v/>
      </c>
      <c r="H217" s="35">
        <v>42.0</v>
      </c>
      <c r="J217" s="35">
        <v>0.51</v>
      </c>
      <c r="K217" s="35">
        <v>46.0</v>
      </c>
      <c r="P217" s="96"/>
    </row>
    <row r="218">
      <c r="C218" s="88"/>
      <c r="D218" s="76" t="str">
        <f t="shared" si="15"/>
        <v/>
      </c>
      <c r="H218" s="35">
        <v>49.0</v>
      </c>
      <c r="J218" s="35">
        <v>0.51</v>
      </c>
      <c r="K218" s="35">
        <v>46.0</v>
      </c>
      <c r="P218" s="96"/>
    </row>
    <row r="219">
      <c r="C219" s="88"/>
      <c r="D219" s="76" t="str">
        <f t="shared" si="15"/>
        <v/>
      </c>
      <c r="H219" s="35">
        <v>47.0</v>
      </c>
      <c r="J219" s="35">
        <v>0.52</v>
      </c>
      <c r="K219" s="35">
        <v>41.0</v>
      </c>
      <c r="P219" s="96"/>
    </row>
    <row r="220">
      <c r="C220" s="88"/>
      <c r="D220" s="76" t="str">
        <f t="shared" si="15"/>
        <v/>
      </c>
      <c r="H220" s="35">
        <v>45.0</v>
      </c>
      <c r="J220" s="35">
        <v>0.53</v>
      </c>
      <c r="K220" s="35">
        <v>42.0</v>
      </c>
      <c r="P220" s="96"/>
    </row>
    <row r="221">
      <c r="C221" s="88"/>
      <c r="D221" s="76" t="str">
        <f t="shared" si="15"/>
        <v/>
      </c>
      <c r="H221" s="35">
        <v>42.0</v>
      </c>
      <c r="J221" s="35">
        <v>0.52</v>
      </c>
      <c r="K221" s="35">
        <v>42.0</v>
      </c>
      <c r="P221" s="96"/>
    </row>
    <row r="222">
      <c r="C222" s="88"/>
      <c r="H222" s="35">
        <v>39.0</v>
      </c>
      <c r="J222" s="35">
        <v>0.49</v>
      </c>
      <c r="K222" s="35">
        <v>39.0</v>
      </c>
      <c r="P222" s="96"/>
    </row>
    <row r="223">
      <c r="C223" s="88"/>
      <c r="H223" s="35">
        <v>43.0</v>
      </c>
      <c r="J223" s="35">
        <v>0.5</v>
      </c>
      <c r="K223" s="35">
        <v>50.0</v>
      </c>
      <c r="P223" s="96"/>
    </row>
    <row r="224">
      <c r="C224" s="88"/>
      <c r="H224" s="35">
        <v>49.0</v>
      </c>
      <c r="J224" s="35">
        <v>0.47</v>
      </c>
      <c r="K224" s="35">
        <v>48.0</v>
      </c>
      <c r="P224" s="96"/>
    </row>
    <row r="225">
      <c r="C225" s="88"/>
      <c r="H225" s="35">
        <v>41.0</v>
      </c>
      <c r="J225" s="35">
        <v>0.52</v>
      </c>
      <c r="K225" s="35">
        <v>40.0</v>
      </c>
      <c r="P225" s="96"/>
    </row>
    <row r="226">
      <c r="C226" s="88"/>
      <c r="H226" s="35">
        <v>43.0</v>
      </c>
      <c r="J226" s="35">
        <v>0.48</v>
      </c>
      <c r="K226" s="35">
        <v>43.0</v>
      </c>
      <c r="P226" s="96"/>
    </row>
    <row r="227">
      <c r="C227" s="88"/>
      <c r="H227" s="35">
        <v>44.0</v>
      </c>
      <c r="J227" s="35">
        <v>0.47</v>
      </c>
      <c r="K227" s="35">
        <v>47.0</v>
      </c>
      <c r="P227" s="96"/>
    </row>
    <row r="228">
      <c r="C228" s="88"/>
      <c r="H228" s="35">
        <v>45.0</v>
      </c>
      <c r="J228" s="35">
        <v>0.54</v>
      </c>
      <c r="K228" s="35">
        <v>41.0</v>
      </c>
      <c r="P228" s="96"/>
    </row>
    <row r="229">
      <c r="C229" s="88"/>
      <c r="H229" s="35">
        <v>44.0</v>
      </c>
      <c r="J229" s="35">
        <v>0.51</v>
      </c>
      <c r="K229" s="35">
        <v>42.0</v>
      </c>
      <c r="P229" s="96"/>
    </row>
    <row r="230">
      <c r="C230" s="88"/>
      <c r="H230" s="35">
        <v>44.0</v>
      </c>
      <c r="J230" s="35">
        <v>0.48</v>
      </c>
      <c r="K230" s="35">
        <v>41.0</v>
      </c>
      <c r="P230" s="96"/>
    </row>
    <row r="231">
      <c r="C231" s="88"/>
      <c r="H231" s="35">
        <v>43.0</v>
      </c>
      <c r="J231" s="35">
        <v>0.52</v>
      </c>
      <c r="K231" s="35">
        <v>43.0</v>
      </c>
      <c r="P231" s="96"/>
    </row>
    <row r="232">
      <c r="C232" s="88"/>
      <c r="H232" s="35">
        <v>44.0</v>
      </c>
      <c r="J232" s="35">
        <v>0.53</v>
      </c>
      <c r="K232" s="35">
        <v>41.0</v>
      </c>
      <c r="P232" s="96"/>
    </row>
    <row r="233">
      <c r="C233" s="88"/>
      <c r="H233" s="35">
        <v>44.0</v>
      </c>
      <c r="J233" s="35">
        <v>0.52</v>
      </c>
      <c r="K233" s="35">
        <v>39.0</v>
      </c>
      <c r="P233" s="96"/>
    </row>
    <row r="234">
      <c r="C234" s="88"/>
      <c r="H234" s="35">
        <v>45.0</v>
      </c>
      <c r="J234" s="35">
        <v>0.5</v>
      </c>
      <c r="K234" s="35">
        <v>45.0</v>
      </c>
      <c r="P234" s="96"/>
    </row>
    <row r="235">
      <c r="C235" s="88"/>
      <c r="H235" s="35">
        <v>43.0</v>
      </c>
      <c r="J235" s="35">
        <v>0.53</v>
      </c>
      <c r="K235" s="35">
        <v>40.0</v>
      </c>
      <c r="P235" s="96"/>
    </row>
    <row r="236">
      <c r="C236" s="88"/>
      <c r="H236" s="35">
        <v>41.0</v>
      </c>
      <c r="J236" s="35">
        <v>0.56</v>
      </c>
      <c r="K236" s="35">
        <v>43.0</v>
      </c>
      <c r="P236" s="96"/>
    </row>
    <row r="237">
      <c r="C237" s="88"/>
      <c r="H237" s="35">
        <v>46.0</v>
      </c>
      <c r="J237" s="35">
        <v>0.51</v>
      </c>
      <c r="K237" s="35">
        <v>45.0</v>
      </c>
      <c r="P237" s="96"/>
    </row>
    <row r="238">
      <c r="C238" s="88"/>
      <c r="H238" s="35">
        <v>46.0</v>
      </c>
      <c r="J238" s="35">
        <v>0.53</v>
      </c>
      <c r="K238" s="35">
        <v>46.0</v>
      </c>
      <c r="P238" s="96"/>
    </row>
    <row r="239">
      <c r="C239" s="88"/>
      <c r="H239" s="35">
        <v>51.0</v>
      </c>
      <c r="J239" s="35">
        <v>0.53</v>
      </c>
      <c r="K239" s="35">
        <v>41.0</v>
      </c>
      <c r="P239" s="96"/>
    </row>
    <row r="240">
      <c r="C240" s="88"/>
      <c r="H240" s="35">
        <v>49.0</v>
      </c>
      <c r="J240" s="35">
        <v>0.57</v>
      </c>
      <c r="K240" s="35">
        <v>37.0</v>
      </c>
      <c r="P240" s="96"/>
    </row>
    <row r="241">
      <c r="C241" s="88"/>
      <c r="H241" s="35">
        <v>40.0</v>
      </c>
      <c r="J241" s="35">
        <v>0.52</v>
      </c>
      <c r="K241" s="35">
        <v>46.0</v>
      </c>
      <c r="P241" s="96"/>
    </row>
    <row r="242">
      <c r="C242" s="88"/>
      <c r="H242" s="35">
        <v>49.0</v>
      </c>
      <c r="J242" s="35">
        <v>0.48</v>
      </c>
      <c r="K242" s="35">
        <v>47.0</v>
      </c>
      <c r="P242" s="96"/>
    </row>
    <row r="243">
      <c r="C243" s="88"/>
      <c r="H243" s="35">
        <v>44.0</v>
      </c>
      <c r="J243" s="35">
        <v>0.51</v>
      </c>
      <c r="K243" s="35">
        <v>41.0</v>
      </c>
      <c r="P243" s="96"/>
    </row>
    <row r="244">
      <c r="C244" s="88"/>
      <c r="H244" s="35">
        <v>45.0</v>
      </c>
      <c r="J244" s="35">
        <v>0.52</v>
      </c>
      <c r="K244" s="35">
        <v>45.0</v>
      </c>
      <c r="P244" s="96"/>
    </row>
    <row r="245">
      <c r="C245" s="88"/>
      <c r="H245" s="35">
        <v>46.0</v>
      </c>
      <c r="J245" s="35">
        <v>0.48</v>
      </c>
      <c r="K245" s="35">
        <v>45.0</v>
      </c>
      <c r="P245" s="96"/>
    </row>
    <row r="246">
      <c r="C246" s="88"/>
      <c r="H246" s="35">
        <v>44.0</v>
      </c>
      <c r="J246" s="35">
        <v>0.46</v>
      </c>
      <c r="K246" s="35">
        <v>47.0</v>
      </c>
      <c r="P246" s="96"/>
    </row>
    <row r="247">
      <c r="C247" s="88"/>
      <c r="H247" s="35">
        <v>50.0</v>
      </c>
      <c r="J247" s="35">
        <v>0.53</v>
      </c>
      <c r="K247" s="35">
        <v>46.0</v>
      </c>
      <c r="P247" s="96"/>
    </row>
    <row r="248">
      <c r="C248" s="88"/>
      <c r="H248" s="35">
        <v>44.0</v>
      </c>
      <c r="J248" s="35">
        <v>0.55</v>
      </c>
      <c r="K248" s="35">
        <v>42.0</v>
      </c>
      <c r="P248" s="96"/>
    </row>
    <row r="249">
      <c r="C249" s="88"/>
      <c r="H249" s="35">
        <v>37.0</v>
      </c>
      <c r="J249" s="35">
        <v>0.47</v>
      </c>
      <c r="K249" s="35">
        <v>47.0</v>
      </c>
      <c r="P249" s="96"/>
    </row>
    <row r="250">
      <c r="C250" s="88"/>
      <c r="H250" s="35">
        <v>46.0</v>
      </c>
      <c r="J250" s="35">
        <v>0.54</v>
      </c>
      <c r="K250" s="35">
        <v>46.0</v>
      </c>
      <c r="P250" s="96"/>
    </row>
    <row r="251">
      <c r="C251" s="88"/>
      <c r="H251" s="35">
        <v>46.0</v>
      </c>
      <c r="J251" s="35">
        <v>0.52</v>
      </c>
      <c r="K251" s="35">
        <v>48.0</v>
      </c>
      <c r="P251" s="96"/>
    </row>
    <row r="252">
      <c r="C252" s="88"/>
      <c r="H252" s="35">
        <v>45.0</v>
      </c>
      <c r="J252" s="35">
        <v>0.5</v>
      </c>
      <c r="K252" s="35">
        <v>38.0</v>
      </c>
      <c r="P252" s="96"/>
    </row>
    <row r="253">
      <c r="C253" s="88"/>
      <c r="H253" s="35">
        <v>38.0</v>
      </c>
      <c r="J253" s="35">
        <v>0.47</v>
      </c>
      <c r="K253" s="35">
        <v>53.0</v>
      </c>
      <c r="P253" s="96"/>
    </row>
    <row r="254">
      <c r="C254" s="88"/>
      <c r="H254" s="35">
        <v>44.0</v>
      </c>
      <c r="J254" s="35">
        <v>0.47</v>
      </c>
      <c r="K254" s="35">
        <v>42.0</v>
      </c>
      <c r="P254" s="96"/>
    </row>
    <row r="255">
      <c r="C255" s="88"/>
      <c r="H255" s="35">
        <v>47.0</v>
      </c>
      <c r="J255" s="35">
        <v>0.55</v>
      </c>
      <c r="K255" s="35">
        <v>49.0</v>
      </c>
      <c r="P255" s="96"/>
    </row>
    <row r="256">
      <c r="C256" s="88"/>
      <c r="H256" s="35">
        <v>45.0</v>
      </c>
      <c r="J256" s="35">
        <v>0.53</v>
      </c>
      <c r="K256" s="35">
        <v>42.0</v>
      </c>
      <c r="P256" s="96"/>
    </row>
    <row r="257">
      <c r="C257" s="88"/>
      <c r="H257" s="35">
        <v>38.0</v>
      </c>
      <c r="J257" s="35">
        <v>0.46</v>
      </c>
      <c r="K257" s="35">
        <v>45.0</v>
      </c>
      <c r="P257" s="96"/>
    </row>
    <row r="258">
      <c r="C258" s="88"/>
      <c r="H258" s="35">
        <v>44.0</v>
      </c>
      <c r="J258" s="35">
        <v>0.48</v>
      </c>
      <c r="K258" s="35">
        <v>44.0</v>
      </c>
      <c r="P258" s="96"/>
    </row>
    <row r="259">
      <c r="C259" s="88"/>
      <c r="H259" s="35">
        <v>41.0</v>
      </c>
      <c r="J259" s="35">
        <v>0.51</v>
      </c>
      <c r="K259" s="35">
        <v>45.0</v>
      </c>
      <c r="P259" s="96"/>
    </row>
    <row r="260">
      <c r="C260" s="88"/>
      <c r="H260" s="35">
        <v>44.0</v>
      </c>
      <c r="J260" s="35">
        <v>0.54</v>
      </c>
      <c r="K260" s="35">
        <v>42.0</v>
      </c>
      <c r="P260" s="96"/>
    </row>
    <row r="261">
      <c r="C261" s="88"/>
      <c r="H261" s="35">
        <v>45.0</v>
      </c>
      <c r="J261" s="35">
        <v>0.54</v>
      </c>
      <c r="K261" s="35">
        <v>49.0</v>
      </c>
      <c r="P261" s="96"/>
    </row>
    <row r="262">
      <c r="C262" s="88"/>
      <c r="H262" s="35">
        <v>44.0</v>
      </c>
      <c r="J262" s="35">
        <v>0.57</v>
      </c>
      <c r="K262" s="35">
        <v>44.0</v>
      </c>
      <c r="P262" s="96"/>
    </row>
    <row r="263">
      <c r="C263" s="88"/>
      <c r="H263" s="35">
        <v>53.0</v>
      </c>
      <c r="J263" s="35">
        <v>0.57</v>
      </c>
      <c r="K263" s="35">
        <v>50.0</v>
      </c>
      <c r="P263" s="96"/>
    </row>
    <row r="264">
      <c r="C264" s="88"/>
      <c r="H264" s="35">
        <v>45.0</v>
      </c>
      <c r="J264" s="35">
        <v>0.5</v>
      </c>
      <c r="K264" s="35">
        <v>39.0</v>
      </c>
      <c r="P264" s="96"/>
    </row>
    <row r="265">
      <c r="C265" s="88"/>
      <c r="H265" s="35">
        <v>38.0</v>
      </c>
      <c r="J265" s="35">
        <v>0.45</v>
      </c>
      <c r="K265" s="35">
        <v>46.0</v>
      </c>
      <c r="P265" s="96"/>
    </row>
    <row r="266">
      <c r="C266" s="88"/>
      <c r="H266" s="35">
        <v>48.0</v>
      </c>
      <c r="J266" s="35">
        <v>0.52</v>
      </c>
      <c r="K266" s="35">
        <v>44.0</v>
      </c>
      <c r="P266" s="96"/>
    </row>
    <row r="267">
      <c r="C267" s="88"/>
      <c r="H267" s="35">
        <v>47.0</v>
      </c>
      <c r="J267" s="35">
        <v>0.55</v>
      </c>
      <c r="K267" s="35">
        <v>49.0</v>
      </c>
      <c r="P267" s="96"/>
    </row>
    <row r="268">
      <c r="C268" s="88"/>
      <c r="H268" s="35">
        <v>49.0</v>
      </c>
      <c r="J268" s="35">
        <v>0.53</v>
      </c>
      <c r="K268" s="35">
        <v>37.0</v>
      </c>
      <c r="P268" s="96"/>
    </row>
    <row r="269">
      <c r="C269" s="88"/>
      <c r="H269" s="35">
        <v>41.0</v>
      </c>
      <c r="J269" s="35">
        <v>0.51</v>
      </c>
      <c r="K269" s="35">
        <v>45.0</v>
      </c>
      <c r="P269" s="96"/>
    </row>
    <row r="270">
      <c r="C270" s="88"/>
      <c r="H270" s="35">
        <v>50.0</v>
      </c>
      <c r="J270" s="35">
        <v>0.52</v>
      </c>
      <c r="K270" s="35">
        <v>46.0</v>
      </c>
      <c r="P270" s="96"/>
    </row>
    <row r="271">
      <c r="C271" s="88"/>
      <c r="H271" s="35">
        <v>52.0</v>
      </c>
      <c r="J271" s="35">
        <v>0.53</v>
      </c>
      <c r="K271" s="35">
        <v>43.0</v>
      </c>
      <c r="P271" s="96"/>
    </row>
    <row r="272">
      <c r="C272" s="88"/>
      <c r="H272" s="35">
        <v>45.0</v>
      </c>
      <c r="J272" s="35">
        <v>0.54</v>
      </c>
      <c r="K272" s="35">
        <v>40.0</v>
      </c>
      <c r="P272" s="96"/>
    </row>
    <row r="273">
      <c r="C273" s="88"/>
      <c r="H273" s="35">
        <v>37.0</v>
      </c>
      <c r="J273" s="35">
        <v>0.49</v>
      </c>
      <c r="K273" s="35">
        <v>39.0</v>
      </c>
      <c r="P273" s="96"/>
    </row>
    <row r="274">
      <c r="C274" s="88"/>
      <c r="H274" s="35">
        <v>43.0</v>
      </c>
      <c r="J274" s="35">
        <v>0.49</v>
      </c>
      <c r="K274" s="35">
        <v>43.0</v>
      </c>
      <c r="P274" s="96"/>
    </row>
    <row r="275">
      <c r="C275" s="88"/>
      <c r="H275" s="35">
        <v>38.0</v>
      </c>
      <c r="J275" s="35">
        <v>0.48</v>
      </c>
      <c r="K275" s="35">
        <v>42.0</v>
      </c>
      <c r="P275" s="96"/>
    </row>
    <row r="276">
      <c r="C276" s="88"/>
      <c r="H276" s="35">
        <v>42.0</v>
      </c>
      <c r="J276" s="35">
        <v>0.49</v>
      </c>
      <c r="K276" s="35">
        <v>46.0</v>
      </c>
      <c r="P276" s="96"/>
    </row>
    <row r="277">
      <c r="C277" s="88"/>
      <c r="H277" s="35">
        <v>42.0</v>
      </c>
      <c r="J277" s="35">
        <v>0.54</v>
      </c>
      <c r="K277" s="35">
        <v>45.0</v>
      </c>
      <c r="P277" s="96"/>
    </row>
    <row r="278">
      <c r="C278" s="88"/>
      <c r="H278" s="35">
        <v>43.0</v>
      </c>
      <c r="J278" s="35">
        <v>0.51</v>
      </c>
      <c r="K278" s="35">
        <v>42.0</v>
      </c>
      <c r="P278" s="96"/>
    </row>
    <row r="279">
      <c r="C279" s="88"/>
      <c r="H279" s="35">
        <v>44.0</v>
      </c>
      <c r="J279" s="35">
        <v>0.53</v>
      </c>
      <c r="K279" s="35">
        <v>46.0</v>
      </c>
      <c r="P279" s="96"/>
    </row>
    <row r="280">
      <c r="C280" s="88"/>
      <c r="H280" s="35">
        <v>43.0</v>
      </c>
      <c r="J280" s="35">
        <v>0.5</v>
      </c>
      <c r="K280" s="35">
        <v>41.0</v>
      </c>
      <c r="P280" s="96"/>
    </row>
    <row r="281">
      <c r="C281" s="88"/>
      <c r="H281" s="35">
        <v>40.0</v>
      </c>
      <c r="J281" s="35">
        <v>0.51</v>
      </c>
      <c r="K281" s="35">
        <v>42.0</v>
      </c>
      <c r="P281" s="96"/>
    </row>
    <row r="282">
      <c r="C282" s="88"/>
      <c r="H282" s="35">
        <v>40.0</v>
      </c>
      <c r="J282" s="35">
        <v>0.5</v>
      </c>
      <c r="K282" s="35">
        <v>48.0</v>
      </c>
      <c r="P282" s="96"/>
    </row>
    <row r="283">
      <c r="C283" s="88"/>
      <c r="H283" s="35">
        <v>46.0</v>
      </c>
      <c r="J283" s="35">
        <v>0.51</v>
      </c>
      <c r="K283" s="35">
        <v>48.0</v>
      </c>
      <c r="P283" s="96"/>
    </row>
    <row r="284">
      <c r="C284" s="88"/>
      <c r="H284" s="35">
        <v>48.0</v>
      </c>
      <c r="J284" s="35">
        <v>0.48</v>
      </c>
      <c r="K284" s="35">
        <v>46.0</v>
      </c>
      <c r="P284" s="96"/>
    </row>
    <row r="285">
      <c r="C285" s="88"/>
      <c r="H285" s="35">
        <v>48.0</v>
      </c>
      <c r="J285" s="35">
        <v>0.52</v>
      </c>
      <c r="K285" s="35">
        <v>44.0</v>
      </c>
      <c r="P285" s="96"/>
    </row>
    <row r="286">
      <c r="C286" s="88"/>
      <c r="H286" s="35">
        <v>41.0</v>
      </c>
      <c r="J286" s="35">
        <v>0.54</v>
      </c>
      <c r="K286" s="35">
        <v>46.0</v>
      </c>
      <c r="P286" s="96"/>
    </row>
    <row r="287">
      <c r="C287" s="88"/>
      <c r="H287" s="35">
        <v>45.0</v>
      </c>
      <c r="J287" s="35">
        <v>0.47</v>
      </c>
      <c r="K287" s="35">
        <v>41.0</v>
      </c>
      <c r="P287" s="96"/>
    </row>
    <row r="288">
      <c r="C288" s="88"/>
      <c r="H288" s="35">
        <v>47.0</v>
      </c>
      <c r="J288" s="35">
        <v>0.54</v>
      </c>
      <c r="K288" s="35">
        <v>45.0</v>
      </c>
      <c r="P288" s="96"/>
    </row>
    <row r="289">
      <c r="C289" s="88"/>
      <c r="H289" s="35">
        <v>42.0</v>
      </c>
      <c r="J289" s="35">
        <v>0.52</v>
      </c>
      <c r="K289" s="35">
        <v>42.0</v>
      </c>
      <c r="P289" s="96"/>
    </row>
    <row r="290">
      <c r="C290" s="88"/>
      <c r="H290" s="35">
        <v>48.0</v>
      </c>
      <c r="J290" s="35">
        <v>0.5</v>
      </c>
      <c r="K290" s="35">
        <v>44.0</v>
      </c>
      <c r="P290" s="96"/>
    </row>
    <row r="291">
      <c r="C291" s="88"/>
      <c r="H291" s="35">
        <v>42.0</v>
      </c>
      <c r="J291" s="35">
        <v>0.47</v>
      </c>
      <c r="K291" s="35">
        <v>44.0</v>
      </c>
      <c r="P291" s="96"/>
    </row>
    <row r="292">
      <c r="C292" s="88"/>
      <c r="H292" s="35">
        <v>45.0</v>
      </c>
      <c r="J292" s="35">
        <v>0.49</v>
      </c>
      <c r="K292" s="35">
        <v>43.0</v>
      </c>
      <c r="P292" s="96"/>
    </row>
    <row r="293">
      <c r="C293" s="88"/>
      <c r="H293" s="35">
        <v>46.0</v>
      </c>
      <c r="J293" s="35">
        <v>0.49</v>
      </c>
      <c r="K293" s="35">
        <v>41.0</v>
      </c>
      <c r="P293" s="96"/>
    </row>
    <row r="294">
      <c r="C294" s="88"/>
      <c r="H294" s="35">
        <v>47.0</v>
      </c>
      <c r="J294" s="35">
        <v>0.54</v>
      </c>
      <c r="K294" s="35">
        <v>40.0</v>
      </c>
      <c r="P294" s="96"/>
    </row>
    <row r="295">
      <c r="C295" s="88"/>
      <c r="H295" s="35">
        <v>46.0</v>
      </c>
      <c r="J295" s="35">
        <v>0.52</v>
      </c>
      <c r="K295" s="35">
        <v>46.0</v>
      </c>
      <c r="P295" s="96"/>
    </row>
    <row r="296">
      <c r="C296" s="88"/>
      <c r="H296" s="35">
        <v>47.0</v>
      </c>
      <c r="J296" s="35">
        <v>0.56</v>
      </c>
      <c r="K296" s="35">
        <v>45.0</v>
      </c>
      <c r="P296" s="96"/>
    </row>
    <row r="297">
      <c r="C297" s="88"/>
      <c r="H297" s="35">
        <v>49.0</v>
      </c>
      <c r="J297" s="35">
        <v>0.48</v>
      </c>
      <c r="K297" s="35">
        <v>46.0</v>
      </c>
      <c r="P297" s="96"/>
    </row>
    <row r="298">
      <c r="C298" s="88"/>
      <c r="H298" s="35">
        <v>45.0</v>
      </c>
      <c r="J298" s="35">
        <v>0.5</v>
      </c>
      <c r="K298" s="35">
        <v>46.0</v>
      </c>
      <c r="P298" s="96"/>
    </row>
    <row r="299">
      <c r="C299" s="88"/>
      <c r="H299" s="35">
        <v>47.0</v>
      </c>
      <c r="J299" s="35">
        <v>0.5</v>
      </c>
      <c r="K299" s="35">
        <v>44.0</v>
      </c>
      <c r="P299" s="96"/>
    </row>
    <row r="300">
      <c r="C300" s="88"/>
      <c r="H300" s="35">
        <v>42.0</v>
      </c>
      <c r="J300" s="35">
        <v>0.5</v>
      </c>
      <c r="K300" s="35">
        <v>43.0</v>
      </c>
      <c r="P300" s="96"/>
    </row>
    <row r="301">
      <c r="C301" s="88"/>
      <c r="H301" s="35">
        <v>45.0</v>
      </c>
      <c r="J301" s="35">
        <v>0.48</v>
      </c>
      <c r="K301" s="35">
        <v>42.0</v>
      </c>
      <c r="P301" s="96"/>
    </row>
    <row r="302">
      <c r="C302" s="88"/>
      <c r="H302" s="35">
        <v>42.0</v>
      </c>
      <c r="J302" s="35">
        <v>0.48</v>
      </c>
      <c r="K302" s="35">
        <v>42.0</v>
      </c>
      <c r="P302" s="96"/>
    </row>
    <row r="303">
      <c r="C303" s="88"/>
      <c r="H303" s="35">
        <v>42.0</v>
      </c>
      <c r="J303" s="35">
        <v>0.53</v>
      </c>
      <c r="K303" s="35">
        <v>45.0</v>
      </c>
      <c r="P303" s="96"/>
    </row>
    <row r="304">
      <c r="C304" s="88"/>
      <c r="H304" s="35">
        <v>40.0</v>
      </c>
      <c r="J304" s="35">
        <v>0.51</v>
      </c>
      <c r="K304" s="35">
        <v>43.0</v>
      </c>
      <c r="P304" s="96"/>
    </row>
    <row r="305">
      <c r="C305" s="88"/>
      <c r="H305" s="35">
        <v>48.0</v>
      </c>
      <c r="J305" s="35">
        <v>0.49</v>
      </c>
      <c r="K305" s="35">
        <v>51.0</v>
      </c>
      <c r="P305" s="96"/>
    </row>
    <row r="306">
      <c r="C306" s="88"/>
      <c r="H306" s="35">
        <v>45.0</v>
      </c>
      <c r="J306" s="35">
        <v>0.51</v>
      </c>
      <c r="K306" s="35">
        <v>41.0</v>
      </c>
      <c r="P306" s="96"/>
    </row>
    <row r="307">
      <c r="C307" s="88"/>
      <c r="H307" s="35">
        <v>37.0</v>
      </c>
      <c r="J307" s="35">
        <v>0.5</v>
      </c>
      <c r="K307" s="35">
        <v>50.0</v>
      </c>
      <c r="P307" s="96"/>
    </row>
    <row r="308">
      <c r="C308" s="88"/>
      <c r="H308" s="35">
        <v>47.0</v>
      </c>
      <c r="J308" s="35">
        <v>0.51</v>
      </c>
      <c r="K308" s="35">
        <v>41.0</v>
      </c>
      <c r="P308" s="96"/>
    </row>
    <row r="309">
      <c r="C309" s="88"/>
      <c r="H309" s="35">
        <v>46.0</v>
      </c>
      <c r="J309" s="35">
        <v>0.52</v>
      </c>
      <c r="K309" s="35">
        <v>44.0</v>
      </c>
      <c r="P309" s="96"/>
    </row>
    <row r="310">
      <c r="C310" s="88"/>
      <c r="H310" s="35">
        <v>41.0</v>
      </c>
      <c r="J310" s="35">
        <v>0.46</v>
      </c>
      <c r="K310" s="35">
        <v>46.0</v>
      </c>
      <c r="P310" s="96"/>
    </row>
    <row r="311">
      <c r="C311" s="88"/>
      <c r="H311" s="35">
        <v>46.0</v>
      </c>
      <c r="J311" s="35">
        <v>0.46</v>
      </c>
      <c r="K311" s="35">
        <v>41.0</v>
      </c>
      <c r="P311" s="96"/>
    </row>
    <row r="312">
      <c r="C312" s="88"/>
      <c r="H312" s="35">
        <v>49.0</v>
      </c>
      <c r="J312" s="35">
        <v>0.48</v>
      </c>
      <c r="K312" s="35">
        <v>39.0</v>
      </c>
      <c r="P312" s="96"/>
    </row>
    <row r="313">
      <c r="C313" s="88"/>
      <c r="H313" s="35">
        <v>46.0</v>
      </c>
      <c r="J313" s="35">
        <v>0.43</v>
      </c>
      <c r="K313" s="35">
        <v>49.0</v>
      </c>
      <c r="P313" s="96"/>
    </row>
    <row r="314">
      <c r="C314" s="88"/>
      <c r="H314" s="35">
        <v>45.0</v>
      </c>
      <c r="J314" s="35">
        <v>0.52</v>
      </c>
      <c r="K314" s="35">
        <v>48.0</v>
      </c>
      <c r="P314" s="96"/>
    </row>
    <row r="315">
      <c r="C315" s="88"/>
      <c r="H315" s="35">
        <v>43.0</v>
      </c>
      <c r="J315" s="35">
        <v>0.42</v>
      </c>
      <c r="K315" s="35">
        <v>43.0</v>
      </c>
      <c r="P315" s="96"/>
    </row>
    <row r="316">
      <c r="C316" s="88"/>
      <c r="H316" s="35">
        <v>43.0</v>
      </c>
      <c r="J316" s="35">
        <v>0.48</v>
      </c>
      <c r="K316" s="35">
        <v>40.0</v>
      </c>
      <c r="P316" s="96"/>
    </row>
    <row r="317">
      <c r="C317" s="88"/>
      <c r="H317" s="35">
        <v>47.0</v>
      </c>
      <c r="J317" s="35">
        <v>0.47</v>
      </c>
      <c r="K317" s="35">
        <v>43.0</v>
      </c>
      <c r="P317" s="96"/>
    </row>
    <row r="318">
      <c r="C318" s="88"/>
      <c r="H318" s="35">
        <v>45.0</v>
      </c>
      <c r="J318" s="35">
        <v>0.48</v>
      </c>
      <c r="K318" s="35">
        <v>41.0</v>
      </c>
      <c r="P318" s="96"/>
    </row>
    <row r="319">
      <c r="C319" s="88"/>
      <c r="H319" s="35">
        <v>50.0</v>
      </c>
      <c r="J319" s="35">
        <v>0.48</v>
      </c>
      <c r="K319" s="35">
        <v>44.0</v>
      </c>
      <c r="P319" s="96"/>
    </row>
    <row r="320">
      <c r="C320" s="88"/>
      <c r="H320" s="35">
        <v>43.0</v>
      </c>
      <c r="J320" s="35">
        <v>0.52</v>
      </c>
      <c r="K320" s="35">
        <v>45.0</v>
      </c>
      <c r="P320" s="96"/>
    </row>
    <row r="321">
      <c r="C321" s="88"/>
      <c r="H321" s="35">
        <v>48.0</v>
      </c>
      <c r="J321" s="35">
        <v>0.5</v>
      </c>
      <c r="K321" s="35">
        <v>42.0</v>
      </c>
      <c r="P321" s="96"/>
    </row>
    <row r="322">
      <c r="C322" s="88"/>
      <c r="H322" s="35">
        <v>46.0</v>
      </c>
      <c r="J322" s="35">
        <v>0.47</v>
      </c>
      <c r="K322" s="35">
        <v>47.0</v>
      </c>
      <c r="P322" s="96"/>
    </row>
    <row r="323">
      <c r="C323" s="88"/>
      <c r="H323" s="35">
        <v>43.0</v>
      </c>
      <c r="J323" s="35">
        <v>0.44</v>
      </c>
      <c r="K323" s="35">
        <v>47.0</v>
      </c>
      <c r="P323" s="96"/>
    </row>
    <row r="324">
      <c r="C324" s="88"/>
      <c r="H324" s="35">
        <v>45.0</v>
      </c>
      <c r="J324" s="35">
        <v>0.54</v>
      </c>
      <c r="K324" s="35">
        <v>42.0</v>
      </c>
      <c r="P324" s="96"/>
    </row>
    <row r="325">
      <c r="C325" s="88"/>
      <c r="H325" s="35">
        <v>45.0</v>
      </c>
      <c r="J325" s="35">
        <v>0.51</v>
      </c>
      <c r="K325" s="35">
        <v>41.0</v>
      </c>
      <c r="P325" s="96"/>
    </row>
    <row r="326">
      <c r="C326" s="88"/>
      <c r="H326" s="35">
        <v>45.0</v>
      </c>
      <c r="J326" s="35">
        <v>0.51</v>
      </c>
      <c r="K326" s="35">
        <v>41.0</v>
      </c>
      <c r="P326" s="96"/>
    </row>
    <row r="327">
      <c r="C327" s="88"/>
      <c r="H327" s="35">
        <v>43.0</v>
      </c>
      <c r="J327" s="35">
        <v>0.51</v>
      </c>
      <c r="K327" s="35">
        <v>45.0</v>
      </c>
      <c r="P327" s="96"/>
    </row>
    <row r="328">
      <c r="C328" s="88"/>
      <c r="H328" s="35">
        <v>43.0</v>
      </c>
      <c r="J328" s="35">
        <v>0.51</v>
      </c>
      <c r="K328" s="35">
        <v>41.0</v>
      </c>
      <c r="P328" s="96"/>
    </row>
    <row r="329">
      <c r="C329" s="88"/>
      <c r="H329" s="35">
        <v>45.0</v>
      </c>
      <c r="J329" s="35">
        <v>0.51</v>
      </c>
      <c r="K329" s="35">
        <v>46.0</v>
      </c>
      <c r="P329" s="96"/>
    </row>
    <row r="330">
      <c r="C330" s="88"/>
      <c r="H330" s="35">
        <v>48.0</v>
      </c>
      <c r="J330" s="35">
        <v>0.48</v>
      </c>
      <c r="K330" s="35">
        <v>44.0</v>
      </c>
      <c r="P330" s="96"/>
    </row>
    <row r="331">
      <c r="C331" s="88"/>
      <c r="H331" s="35">
        <v>45.0</v>
      </c>
      <c r="J331" s="35">
        <v>0.45</v>
      </c>
      <c r="K331" s="35">
        <v>47.0</v>
      </c>
      <c r="P331" s="96"/>
    </row>
    <row r="332">
      <c r="C332" s="88"/>
      <c r="H332" s="35">
        <v>44.0</v>
      </c>
      <c r="J332" s="35">
        <v>0.51</v>
      </c>
      <c r="K332" s="35">
        <v>42.0</v>
      </c>
      <c r="P332" s="96"/>
    </row>
    <row r="333">
      <c r="C333" s="88"/>
      <c r="H333" s="35">
        <v>44.0</v>
      </c>
      <c r="J333" s="35">
        <v>0.48</v>
      </c>
      <c r="K333" s="35">
        <v>47.0</v>
      </c>
      <c r="P333" s="96"/>
    </row>
    <row r="334">
      <c r="C334" s="88"/>
      <c r="H334" s="35">
        <v>49.0</v>
      </c>
      <c r="J334" s="35">
        <v>0.52</v>
      </c>
      <c r="K334" s="35">
        <v>42.0</v>
      </c>
      <c r="P334" s="96"/>
    </row>
    <row r="335">
      <c r="C335" s="88"/>
      <c r="H335" s="35">
        <v>46.0</v>
      </c>
      <c r="J335" s="35">
        <v>0.42</v>
      </c>
      <c r="K335" s="35">
        <v>47.0</v>
      </c>
      <c r="P335" s="96"/>
    </row>
    <row r="336">
      <c r="C336" s="88"/>
      <c r="H336" s="35">
        <v>47.0</v>
      </c>
      <c r="J336" s="35">
        <v>0.5</v>
      </c>
      <c r="K336" s="35">
        <v>39.0</v>
      </c>
      <c r="P336" s="96"/>
    </row>
    <row r="337">
      <c r="C337" s="88"/>
      <c r="H337" s="35">
        <v>44.0</v>
      </c>
      <c r="J337" s="35">
        <v>0.48</v>
      </c>
      <c r="K337" s="35">
        <v>46.0</v>
      </c>
      <c r="P337" s="96"/>
    </row>
    <row r="338">
      <c r="C338" s="88"/>
      <c r="H338" s="35">
        <v>44.0</v>
      </c>
      <c r="J338" s="35">
        <v>0.47</v>
      </c>
      <c r="K338" s="35">
        <v>43.0</v>
      </c>
      <c r="P338" s="96"/>
    </row>
    <row r="339">
      <c r="C339" s="88"/>
      <c r="H339" s="35">
        <v>47.0</v>
      </c>
      <c r="J339" s="35">
        <v>0.56</v>
      </c>
      <c r="K339" s="35">
        <v>46.0</v>
      </c>
      <c r="P339" s="96"/>
    </row>
    <row r="340">
      <c r="C340" s="88"/>
      <c r="H340" s="35">
        <v>47.0</v>
      </c>
      <c r="J340" s="35">
        <v>0.5</v>
      </c>
      <c r="K340" s="35">
        <v>41.0</v>
      </c>
      <c r="P340" s="96"/>
    </row>
    <row r="341">
      <c r="C341" s="88"/>
      <c r="H341" s="35">
        <v>43.0</v>
      </c>
      <c r="J341" s="35">
        <v>0.47</v>
      </c>
      <c r="K341" s="35">
        <v>45.0</v>
      </c>
      <c r="P341" s="96"/>
    </row>
    <row r="342">
      <c r="C342" s="88"/>
      <c r="H342" s="35">
        <v>40.0</v>
      </c>
      <c r="J342" s="35">
        <v>0.51</v>
      </c>
      <c r="K342" s="35">
        <v>45.0</v>
      </c>
      <c r="P342" s="96"/>
    </row>
    <row r="343">
      <c r="C343" s="88"/>
      <c r="H343" s="35">
        <v>40.0</v>
      </c>
      <c r="J343" s="35">
        <v>0.5</v>
      </c>
      <c r="K343" s="35">
        <v>48.0</v>
      </c>
      <c r="P343" s="96"/>
    </row>
    <row r="344">
      <c r="C344" s="88"/>
      <c r="H344" s="35">
        <v>50.0</v>
      </c>
      <c r="J344" s="35">
        <v>0.52</v>
      </c>
      <c r="K344" s="35">
        <v>44.0</v>
      </c>
      <c r="P344" s="96"/>
    </row>
    <row r="345">
      <c r="C345" s="88"/>
      <c r="H345" s="35">
        <v>42.0</v>
      </c>
      <c r="J345" s="35">
        <v>0.42</v>
      </c>
      <c r="K345" s="35">
        <v>44.0</v>
      </c>
      <c r="P345" s="96"/>
    </row>
    <row r="346">
      <c r="C346" s="88"/>
      <c r="H346" s="35">
        <v>48.0</v>
      </c>
      <c r="J346" s="35">
        <v>0.42</v>
      </c>
      <c r="K346" s="35">
        <v>45.0</v>
      </c>
      <c r="P346" s="96"/>
    </row>
    <row r="347">
      <c r="C347" s="88"/>
      <c r="H347" s="35">
        <v>48.0</v>
      </c>
      <c r="J347" s="35">
        <v>0.5</v>
      </c>
      <c r="K347" s="35">
        <v>43.0</v>
      </c>
      <c r="P347" s="96"/>
    </row>
    <row r="348">
      <c r="C348" s="88"/>
      <c r="H348" s="35">
        <v>45.0</v>
      </c>
      <c r="J348" s="35">
        <v>0.39</v>
      </c>
      <c r="K348" s="35">
        <v>46.0</v>
      </c>
      <c r="P348" s="96"/>
    </row>
    <row r="349">
      <c r="C349" s="88"/>
      <c r="H349" s="35">
        <v>44.0</v>
      </c>
      <c r="J349" s="35">
        <v>0.44</v>
      </c>
      <c r="K349" s="35">
        <v>45.0</v>
      </c>
      <c r="P349" s="96"/>
    </row>
    <row r="350">
      <c r="C350" s="88"/>
      <c r="H350" s="35">
        <v>45.0</v>
      </c>
      <c r="J350" s="35">
        <v>0.43</v>
      </c>
      <c r="K350" s="35">
        <v>45.0</v>
      </c>
      <c r="P350" s="96"/>
    </row>
    <row r="351">
      <c r="C351" s="88"/>
      <c r="H351" s="35">
        <v>44.0</v>
      </c>
      <c r="J351" s="35">
        <v>0.47</v>
      </c>
      <c r="K351" s="35">
        <v>43.0</v>
      </c>
      <c r="P351" s="96"/>
    </row>
    <row r="352">
      <c r="C352" s="88"/>
      <c r="H352" s="35">
        <v>47.0</v>
      </c>
      <c r="J352" s="35">
        <v>0.46</v>
      </c>
      <c r="K352" s="35">
        <v>41.0</v>
      </c>
      <c r="P352" s="96"/>
    </row>
    <row r="353">
      <c r="C353" s="88"/>
      <c r="H353" s="35">
        <v>44.0</v>
      </c>
      <c r="J353" s="35">
        <v>0.41</v>
      </c>
      <c r="K353" s="35">
        <v>46.0</v>
      </c>
      <c r="P353" s="96"/>
    </row>
    <row r="354">
      <c r="C354" s="88"/>
      <c r="H354" s="35">
        <v>44.0</v>
      </c>
      <c r="J354" s="35">
        <v>0.47</v>
      </c>
      <c r="K354" s="35">
        <v>44.0</v>
      </c>
      <c r="P354" s="96"/>
    </row>
    <row r="355">
      <c r="C355" s="88"/>
      <c r="H355" s="35">
        <v>46.0</v>
      </c>
      <c r="J355" s="35">
        <v>0.43</v>
      </c>
      <c r="K355" s="35">
        <v>46.0</v>
      </c>
      <c r="P355" s="96"/>
    </row>
    <row r="356">
      <c r="C356" s="88"/>
      <c r="H356" s="35">
        <v>46.0</v>
      </c>
      <c r="J356" s="35">
        <v>0.42</v>
      </c>
      <c r="K356" s="35">
        <v>41.0</v>
      </c>
      <c r="P356" s="96"/>
    </row>
    <row r="357">
      <c r="C357" s="88"/>
      <c r="H357" s="35">
        <v>43.0</v>
      </c>
      <c r="J357" s="35">
        <v>0.44</v>
      </c>
      <c r="K357" s="35">
        <v>47.0</v>
      </c>
      <c r="P357" s="96"/>
    </row>
    <row r="358">
      <c r="C358" s="88"/>
      <c r="H358" s="35">
        <v>41.0</v>
      </c>
      <c r="J358" s="35">
        <v>0.53</v>
      </c>
      <c r="K358" s="35">
        <v>46.0</v>
      </c>
      <c r="P358" s="96"/>
    </row>
    <row r="359">
      <c r="C359" s="88"/>
      <c r="H359" s="35">
        <v>48.0</v>
      </c>
      <c r="J359" s="35">
        <v>0.41</v>
      </c>
      <c r="K359" s="35">
        <v>46.0</v>
      </c>
      <c r="P359" s="96"/>
    </row>
    <row r="360">
      <c r="C360" s="88"/>
      <c r="H360" s="35">
        <v>43.0</v>
      </c>
      <c r="J360" s="35">
        <v>0.47</v>
      </c>
      <c r="K360" s="35">
        <v>45.0</v>
      </c>
      <c r="P360" s="96"/>
    </row>
    <row r="361">
      <c r="C361" s="88"/>
      <c r="H361" s="35">
        <v>45.0</v>
      </c>
      <c r="J361" s="35">
        <v>0.41</v>
      </c>
      <c r="K361" s="35">
        <v>43.0</v>
      </c>
      <c r="P361" s="96"/>
    </row>
    <row r="362">
      <c r="C362" s="88"/>
      <c r="H362" s="35">
        <v>46.0</v>
      </c>
      <c r="J362" s="35">
        <v>0.43</v>
      </c>
      <c r="K362" s="35">
        <v>46.0</v>
      </c>
      <c r="P362" s="96"/>
    </row>
    <row r="363">
      <c r="C363" s="88"/>
      <c r="H363" s="35">
        <v>49.0</v>
      </c>
      <c r="J363" s="35">
        <v>0.48</v>
      </c>
      <c r="K363" s="35">
        <v>40.0</v>
      </c>
      <c r="P363" s="96"/>
    </row>
    <row r="364">
      <c r="C364" s="88"/>
      <c r="H364" s="35">
        <v>47.0</v>
      </c>
      <c r="J364" s="35">
        <v>0.49</v>
      </c>
      <c r="K364" s="35">
        <v>42.0</v>
      </c>
      <c r="P364" s="96"/>
    </row>
    <row r="365">
      <c r="C365" s="88"/>
      <c r="H365" s="35">
        <v>43.0</v>
      </c>
      <c r="J365" s="35">
        <v>0.48</v>
      </c>
      <c r="K365" s="35">
        <v>45.0</v>
      </c>
      <c r="P365" s="96"/>
    </row>
    <row r="366">
      <c r="C366" s="88"/>
      <c r="H366" s="35">
        <v>44.0</v>
      </c>
      <c r="J366" s="35">
        <v>0.46</v>
      </c>
      <c r="K366" s="35">
        <v>42.0</v>
      </c>
      <c r="P366" s="96"/>
    </row>
    <row r="367">
      <c r="C367" s="88"/>
      <c r="H367" s="35">
        <v>43.0</v>
      </c>
      <c r="J367" s="35">
        <v>0.46</v>
      </c>
      <c r="K367" s="35">
        <v>41.0</v>
      </c>
      <c r="P367" s="96"/>
    </row>
    <row r="368">
      <c r="C368" s="88"/>
      <c r="H368" s="35">
        <v>47.0</v>
      </c>
      <c r="J368" s="35">
        <v>0.46</v>
      </c>
      <c r="K368" s="35">
        <v>41.0</v>
      </c>
      <c r="P368" s="96"/>
    </row>
    <row r="369">
      <c r="C369" s="88"/>
      <c r="H369" s="35">
        <v>45.0</v>
      </c>
      <c r="J369" s="35">
        <v>0.46</v>
      </c>
      <c r="K369" s="35">
        <v>43.0</v>
      </c>
      <c r="P369" s="96"/>
    </row>
    <row r="370">
      <c r="C370" s="88"/>
      <c r="H370" s="35">
        <v>45.0</v>
      </c>
      <c r="J370" s="35">
        <v>0.45</v>
      </c>
      <c r="K370" s="35">
        <v>45.0</v>
      </c>
      <c r="P370" s="96"/>
    </row>
    <row r="371">
      <c r="C371" s="88"/>
      <c r="H371" s="35">
        <v>48.0</v>
      </c>
      <c r="J371" s="35">
        <v>0.5</v>
      </c>
      <c r="K371" s="35">
        <v>47.0</v>
      </c>
      <c r="P371" s="96"/>
    </row>
    <row r="372">
      <c r="C372" s="88"/>
      <c r="H372" s="35">
        <v>45.0</v>
      </c>
      <c r="J372" s="35">
        <v>0.5</v>
      </c>
      <c r="K372" s="35">
        <v>39.0</v>
      </c>
      <c r="P372" s="96"/>
    </row>
    <row r="373">
      <c r="C373" s="88"/>
      <c r="H373" s="35">
        <v>50.0</v>
      </c>
      <c r="J373" s="35">
        <v>0.45</v>
      </c>
      <c r="K373" s="35">
        <v>42.0</v>
      </c>
      <c r="P373" s="96"/>
    </row>
    <row r="374">
      <c r="C374" s="88"/>
      <c r="H374" s="35">
        <v>45.0</v>
      </c>
      <c r="J374" s="35">
        <v>0.45</v>
      </c>
      <c r="K374" s="35">
        <v>41.0</v>
      </c>
      <c r="P374" s="96"/>
    </row>
    <row r="375">
      <c r="C375" s="88"/>
      <c r="H375" s="35">
        <v>44.0</v>
      </c>
      <c r="J375" s="35">
        <v>0.42</v>
      </c>
      <c r="K375" s="35">
        <v>39.0</v>
      </c>
      <c r="P375" s="96"/>
    </row>
    <row r="376">
      <c r="C376" s="88"/>
      <c r="H376" s="35">
        <v>43.0</v>
      </c>
      <c r="J376" s="35">
        <v>0.45</v>
      </c>
      <c r="K376" s="35">
        <v>42.0</v>
      </c>
      <c r="P376" s="96"/>
    </row>
    <row r="377">
      <c r="C377" s="88"/>
      <c r="H377" s="35">
        <v>44.0</v>
      </c>
      <c r="J377" s="35">
        <v>0.44</v>
      </c>
      <c r="K377" s="35">
        <v>40.0</v>
      </c>
      <c r="P377" s="96"/>
    </row>
    <row r="378">
      <c r="C378" s="88"/>
      <c r="H378" s="35">
        <v>43.0</v>
      </c>
      <c r="J378" s="35">
        <v>0.48</v>
      </c>
      <c r="K378" s="35">
        <v>43.0</v>
      </c>
      <c r="P378" s="96"/>
    </row>
    <row r="379">
      <c r="C379" s="88"/>
      <c r="H379" s="35">
        <v>47.0</v>
      </c>
      <c r="J379" s="35">
        <v>0.48</v>
      </c>
      <c r="K379" s="35">
        <v>42.0</v>
      </c>
      <c r="P379" s="96"/>
    </row>
    <row r="380">
      <c r="C380" s="88"/>
      <c r="H380" s="35">
        <v>45.0</v>
      </c>
      <c r="J380" s="35">
        <v>0.53</v>
      </c>
      <c r="K380" s="35">
        <v>40.0</v>
      </c>
      <c r="P380" s="96"/>
    </row>
    <row r="381">
      <c r="C381" s="88"/>
      <c r="H381" s="35">
        <v>45.0</v>
      </c>
      <c r="J381" s="35">
        <v>0.44</v>
      </c>
      <c r="K381" s="35">
        <v>44.0</v>
      </c>
      <c r="P381" s="96"/>
    </row>
    <row r="382">
      <c r="C382" s="88"/>
      <c r="H382" s="35">
        <v>52.0</v>
      </c>
      <c r="J382" s="35">
        <v>0.49</v>
      </c>
      <c r="K382" s="35">
        <v>45.0</v>
      </c>
      <c r="P382" s="96"/>
    </row>
    <row r="383">
      <c r="C383" s="88"/>
      <c r="H383" s="35">
        <v>46.0</v>
      </c>
      <c r="J383" s="35">
        <v>0.49</v>
      </c>
      <c r="K383" s="35">
        <v>46.0</v>
      </c>
      <c r="P383" s="96"/>
    </row>
    <row r="384">
      <c r="C384" s="88"/>
      <c r="H384" s="35">
        <v>42.0</v>
      </c>
      <c r="J384" s="35">
        <v>0.48</v>
      </c>
      <c r="K384" s="35">
        <v>44.0</v>
      </c>
      <c r="P384" s="96"/>
    </row>
    <row r="385">
      <c r="C385" s="88"/>
      <c r="H385" s="35">
        <v>48.0</v>
      </c>
      <c r="J385" s="35">
        <v>0.44</v>
      </c>
      <c r="K385" s="35">
        <v>46.0</v>
      </c>
      <c r="P385" s="96"/>
    </row>
    <row r="386">
      <c r="C386" s="88"/>
      <c r="H386" s="35">
        <v>44.0</v>
      </c>
      <c r="J386" s="35">
        <v>0.47</v>
      </c>
      <c r="K386" s="35">
        <v>48.0</v>
      </c>
      <c r="P386" s="96"/>
    </row>
    <row r="387">
      <c r="C387" s="88"/>
      <c r="H387" s="35">
        <v>43.0</v>
      </c>
      <c r="J387" s="35">
        <v>0.44</v>
      </c>
      <c r="K387" s="35">
        <v>42.0</v>
      </c>
      <c r="P387" s="96"/>
    </row>
    <row r="388">
      <c r="C388" s="88"/>
      <c r="H388" s="35">
        <v>46.0</v>
      </c>
      <c r="J388" s="35">
        <v>0.5</v>
      </c>
      <c r="K388" s="35">
        <v>43.0</v>
      </c>
      <c r="P388" s="96"/>
    </row>
    <row r="389">
      <c r="C389" s="88"/>
      <c r="H389" s="35">
        <v>47.0</v>
      </c>
      <c r="J389" s="35">
        <v>0.47</v>
      </c>
      <c r="K389" s="35">
        <v>47.0</v>
      </c>
      <c r="P389" s="96"/>
    </row>
    <row r="390">
      <c r="C390" s="88"/>
      <c r="H390" s="35">
        <v>49.0</v>
      </c>
      <c r="J390" s="35">
        <v>0.44</v>
      </c>
      <c r="K390" s="35">
        <v>47.0</v>
      </c>
      <c r="P390" s="96"/>
    </row>
    <row r="391">
      <c r="C391" s="88"/>
      <c r="H391" s="35">
        <v>44.0</v>
      </c>
      <c r="J391" s="35">
        <v>0.43</v>
      </c>
      <c r="K391" s="35">
        <v>46.0</v>
      </c>
      <c r="P391" s="96"/>
    </row>
    <row r="392">
      <c r="C392" s="88"/>
      <c r="H392" s="35">
        <v>46.0</v>
      </c>
      <c r="J392" s="35">
        <v>0.44</v>
      </c>
      <c r="K392" s="35">
        <v>45.0</v>
      </c>
      <c r="P392" s="96"/>
    </row>
    <row r="393">
      <c r="C393" s="88"/>
      <c r="H393" s="35">
        <v>45.0</v>
      </c>
      <c r="J393" s="35">
        <v>0.47</v>
      </c>
      <c r="K393" s="35">
        <v>46.0</v>
      </c>
      <c r="P393" s="96"/>
    </row>
    <row r="394">
      <c r="C394" s="88"/>
      <c r="H394" s="35">
        <v>49.0</v>
      </c>
      <c r="J394" s="35">
        <v>0.49</v>
      </c>
      <c r="K394" s="35">
        <v>49.0</v>
      </c>
      <c r="P394" s="96"/>
    </row>
    <row r="395">
      <c r="C395" s="88"/>
      <c r="H395" s="35">
        <v>49.0</v>
      </c>
      <c r="J395" s="35">
        <v>0.49</v>
      </c>
      <c r="K395" s="35">
        <v>42.0</v>
      </c>
      <c r="P395" s="96"/>
    </row>
    <row r="396">
      <c r="C396" s="88"/>
      <c r="H396" s="35">
        <v>50.0</v>
      </c>
      <c r="J396" s="35">
        <v>0.51</v>
      </c>
      <c r="K396" s="35">
        <v>44.0</v>
      </c>
      <c r="P396" s="96"/>
    </row>
    <row r="397">
      <c r="C397" s="88"/>
      <c r="H397" s="35">
        <v>43.0</v>
      </c>
      <c r="J397" s="35">
        <v>0.44</v>
      </c>
      <c r="K397" s="35">
        <v>51.0</v>
      </c>
      <c r="P397" s="96"/>
    </row>
    <row r="398">
      <c r="C398" s="88"/>
      <c r="H398" s="35">
        <v>46.0</v>
      </c>
      <c r="J398" s="35">
        <v>0.45</v>
      </c>
      <c r="K398" s="35">
        <v>51.0</v>
      </c>
      <c r="P398" s="96"/>
    </row>
    <row r="399">
      <c r="C399" s="88"/>
      <c r="H399" s="35">
        <v>49.0</v>
      </c>
      <c r="J399" s="35">
        <v>0.47</v>
      </c>
      <c r="K399" s="35">
        <v>45.0</v>
      </c>
      <c r="P399" s="96"/>
    </row>
    <row r="400">
      <c r="C400" s="88"/>
      <c r="H400" s="35">
        <v>47.0</v>
      </c>
      <c r="J400" s="35">
        <v>0.51</v>
      </c>
      <c r="K400" s="35">
        <v>50.0</v>
      </c>
      <c r="P400" s="96"/>
    </row>
    <row r="401">
      <c r="C401" s="88"/>
      <c r="H401" s="35">
        <v>45.0</v>
      </c>
      <c r="J401" s="35">
        <v>0.47</v>
      </c>
      <c r="K401" s="35">
        <v>47.0</v>
      </c>
      <c r="P401" s="96"/>
    </row>
    <row r="402">
      <c r="C402" s="88"/>
      <c r="H402" s="35">
        <v>52.0</v>
      </c>
      <c r="J402" s="35">
        <v>0.49</v>
      </c>
      <c r="K402" s="35">
        <v>50.0</v>
      </c>
      <c r="P402" s="96"/>
    </row>
    <row r="403">
      <c r="C403" s="88"/>
      <c r="H403" s="35">
        <v>47.0</v>
      </c>
      <c r="J403" s="35">
        <v>0.48</v>
      </c>
      <c r="K403" s="35">
        <v>44.0</v>
      </c>
      <c r="P403" s="96"/>
    </row>
    <row r="404">
      <c r="C404" s="88"/>
      <c r="H404" s="35">
        <v>44.0</v>
      </c>
      <c r="J404" s="35">
        <v>0.45</v>
      </c>
      <c r="K404" s="35">
        <v>38.0</v>
      </c>
      <c r="P404" s="96"/>
    </row>
    <row r="405">
      <c r="C405" s="88"/>
      <c r="H405" s="35">
        <v>49.0</v>
      </c>
      <c r="J405" s="35">
        <v>0.48</v>
      </c>
      <c r="K405" s="35">
        <v>49.0</v>
      </c>
      <c r="P405" s="96"/>
    </row>
    <row r="406">
      <c r="C406" s="88"/>
      <c r="H406" s="35">
        <v>47.0</v>
      </c>
      <c r="J406" s="35">
        <v>0.47</v>
      </c>
      <c r="K406" s="35">
        <v>53.0</v>
      </c>
      <c r="P406" s="96"/>
    </row>
    <row r="407">
      <c r="C407" s="88"/>
      <c r="H407" s="35">
        <v>47.0</v>
      </c>
      <c r="J407" s="35">
        <v>0.46</v>
      </c>
      <c r="K407" s="35">
        <v>45.0</v>
      </c>
      <c r="P407" s="96"/>
    </row>
    <row r="408">
      <c r="C408" s="88"/>
      <c r="H408" s="35">
        <v>48.0</v>
      </c>
      <c r="J408" s="35">
        <v>0.5</v>
      </c>
      <c r="K408" s="35">
        <v>38.0</v>
      </c>
      <c r="P408" s="96"/>
    </row>
    <row r="409">
      <c r="C409" s="88"/>
      <c r="H409" s="35">
        <v>46.0</v>
      </c>
      <c r="J409" s="35">
        <v>0.49</v>
      </c>
      <c r="K409" s="35">
        <v>49.0</v>
      </c>
      <c r="P409" s="96"/>
    </row>
    <row r="410">
      <c r="C410" s="88"/>
      <c r="H410" s="35">
        <v>49.0</v>
      </c>
      <c r="J410" s="35">
        <v>0.47</v>
      </c>
      <c r="K410" s="35">
        <v>47.0</v>
      </c>
      <c r="P410" s="96"/>
    </row>
    <row r="411">
      <c r="C411" s="88"/>
      <c r="H411" s="35">
        <v>51.0</v>
      </c>
      <c r="J411" s="35">
        <v>0.49</v>
      </c>
      <c r="K411" s="35">
        <v>46.0</v>
      </c>
      <c r="P411" s="96"/>
    </row>
    <row r="412">
      <c r="C412" s="88"/>
      <c r="H412" s="35">
        <v>47.0</v>
      </c>
      <c r="J412" s="35">
        <v>0.47</v>
      </c>
      <c r="K412" s="35">
        <v>40.0</v>
      </c>
      <c r="P412" s="96"/>
    </row>
    <row r="413">
      <c r="C413" s="88"/>
      <c r="H413" s="35">
        <v>46.0</v>
      </c>
      <c r="J413" s="35">
        <v>0.45</v>
      </c>
      <c r="K413" s="35">
        <v>48.0</v>
      </c>
      <c r="P413" s="96"/>
    </row>
    <row r="414">
      <c r="C414" s="88"/>
      <c r="H414" s="35">
        <v>51.0</v>
      </c>
      <c r="J414" s="35">
        <v>0.47</v>
      </c>
      <c r="K414" s="35">
        <v>48.0</v>
      </c>
      <c r="P414" s="96"/>
    </row>
    <row r="415">
      <c r="C415" s="88"/>
      <c r="H415" s="35">
        <v>49.0</v>
      </c>
      <c r="J415" s="35">
        <v>0.45</v>
      </c>
      <c r="K415" s="35">
        <v>45.0</v>
      </c>
      <c r="P415" s="96"/>
    </row>
    <row r="416">
      <c r="C416" s="88"/>
      <c r="H416" s="35">
        <v>49.0</v>
      </c>
      <c r="J416" s="35">
        <v>0.47</v>
      </c>
      <c r="K416" s="35">
        <v>40.0</v>
      </c>
      <c r="P416" s="96"/>
    </row>
    <row r="417">
      <c r="C417" s="88"/>
      <c r="H417" s="35">
        <v>44.0</v>
      </c>
      <c r="J417" s="35">
        <v>0.46</v>
      </c>
      <c r="K417" s="35">
        <v>42.0</v>
      </c>
      <c r="P417" s="96"/>
    </row>
    <row r="418">
      <c r="C418" s="88"/>
      <c r="H418" s="35">
        <v>42.0</v>
      </c>
      <c r="J418" s="35">
        <v>0.47</v>
      </c>
      <c r="K418" s="35">
        <v>37.0</v>
      </c>
      <c r="P418" s="96"/>
    </row>
    <row r="419">
      <c r="C419" s="88"/>
      <c r="H419" s="35">
        <v>41.0</v>
      </c>
      <c r="J419" s="35">
        <v>0.47</v>
      </c>
      <c r="K419" s="35">
        <v>37.0</v>
      </c>
      <c r="P419" s="96"/>
    </row>
    <row r="420">
      <c r="C420" s="88"/>
      <c r="H420" s="35">
        <v>40.0</v>
      </c>
      <c r="J420" s="35">
        <v>0.51</v>
      </c>
      <c r="K420" s="35">
        <v>42.0</v>
      </c>
      <c r="P420" s="96"/>
    </row>
    <row r="421">
      <c r="C421" s="88"/>
      <c r="H421" s="35">
        <v>40.0</v>
      </c>
      <c r="J421" s="35">
        <v>0.46</v>
      </c>
      <c r="K421" s="35">
        <v>37.0</v>
      </c>
      <c r="P421" s="96"/>
    </row>
    <row r="422">
      <c r="C422" s="88"/>
      <c r="H422" s="35">
        <v>41.0</v>
      </c>
      <c r="J422" s="35">
        <v>0.48</v>
      </c>
      <c r="K422" s="35">
        <v>41.0</v>
      </c>
      <c r="P422" s="96"/>
    </row>
    <row r="423">
      <c r="C423" s="88"/>
      <c r="H423" s="35">
        <v>42.0</v>
      </c>
      <c r="J423" s="35">
        <v>0.47</v>
      </c>
      <c r="K423" s="35">
        <v>36.0</v>
      </c>
      <c r="P423" s="96"/>
    </row>
    <row r="424">
      <c r="C424" s="88"/>
      <c r="H424" s="35">
        <v>37.0</v>
      </c>
      <c r="J424" s="35">
        <v>0.46</v>
      </c>
      <c r="K424" s="35">
        <v>39.0</v>
      </c>
      <c r="P424" s="96"/>
    </row>
    <row r="425">
      <c r="C425" s="88"/>
      <c r="H425" s="35">
        <v>41.0</v>
      </c>
      <c r="J425" s="35">
        <v>0.47</v>
      </c>
      <c r="K425" s="35">
        <v>44.0</v>
      </c>
      <c r="P425" s="96"/>
    </row>
    <row r="426">
      <c r="C426" s="88"/>
      <c r="H426" s="35">
        <v>49.0</v>
      </c>
      <c r="J426" s="35">
        <v>0.46</v>
      </c>
      <c r="K426" s="35">
        <v>41.0</v>
      </c>
      <c r="P426" s="96"/>
    </row>
    <row r="427">
      <c r="C427" s="88"/>
      <c r="H427" s="35">
        <v>43.0</v>
      </c>
      <c r="J427" s="35">
        <v>0.48</v>
      </c>
      <c r="K427" s="35">
        <v>42.0</v>
      </c>
      <c r="P427" s="96"/>
    </row>
    <row r="428">
      <c r="C428" s="88"/>
      <c r="H428" s="35">
        <v>46.0</v>
      </c>
      <c r="J428" s="35">
        <v>0.45</v>
      </c>
      <c r="K428" s="35">
        <v>47.0</v>
      </c>
      <c r="P428" s="96"/>
    </row>
    <row r="429">
      <c r="C429" s="88"/>
      <c r="H429" s="35">
        <v>45.0</v>
      </c>
      <c r="J429" s="35">
        <v>0.48</v>
      </c>
      <c r="K429" s="35">
        <v>41.0</v>
      </c>
      <c r="P429" s="96"/>
    </row>
    <row r="430">
      <c r="C430" s="88"/>
      <c r="H430" s="35">
        <v>48.0</v>
      </c>
      <c r="J430" s="35">
        <v>0.47</v>
      </c>
      <c r="K430" s="35">
        <v>41.0</v>
      </c>
      <c r="P430" s="96"/>
    </row>
    <row r="431">
      <c r="C431" s="88"/>
      <c r="H431" s="35">
        <v>44.0</v>
      </c>
      <c r="J431" s="35">
        <v>0.47</v>
      </c>
      <c r="K431" s="35">
        <v>38.0</v>
      </c>
      <c r="P431" s="96"/>
    </row>
    <row r="432">
      <c r="C432" s="88"/>
      <c r="H432" s="35">
        <v>42.0</v>
      </c>
      <c r="J432" s="35">
        <v>0.46</v>
      </c>
      <c r="K432" s="35">
        <v>39.0</v>
      </c>
      <c r="P432" s="96"/>
    </row>
    <row r="433">
      <c r="C433" s="88"/>
      <c r="H433" s="35">
        <v>44.0</v>
      </c>
      <c r="J433" s="35">
        <v>0.48</v>
      </c>
      <c r="K433" s="35">
        <v>43.0</v>
      </c>
      <c r="P433" s="96"/>
    </row>
    <row r="434">
      <c r="C434" s="88"/>
      <c r="H434" s="35">
        <v>41.0</v>
      </c>
      <c r="J434" s="35">
        <v>0.48</v>
      </c>
      <c r="K434" s="35">
        <v>44.0</v>
      </c>
      <c r="P434" s="96"/>
    </row>
    <row r="435">
      <c r="C435" s="88"/>
      <c r="H435" s="35">
        <v>43.0</v>
      </c>
      <c r="J435" s="35">
        <v>0.45</v>
      </c>
      <c r="K435" s="35">
        <v>39.0</v>
      </c>
      <c r="P435" s="96"/>
    </row>
    <row r="436">
      <c r="C436" s="88"/>
      <c r="H436" s="35">
        <v>41.0</v>
      </c>
      <c r="J436" s="35">
        <v>0.45</v>
      </c>
      <c r="K436" s="35">
        <v>40.0</v>
      </c>
      <c r="P436" s="96"/>
    </row>
    <row r="437">
      <c r="C437" s="88"/>
      <c r="H437" s="35">
        <v>41.0</v>
      </c>
      <c r="J437" s="35">
        <v>0.44</v>
      </c>
      <c r="K437" s="35">
        <v>44.0</v>
      </c>
      <c r="P437" s="96"/>
    </row>
    <row r="438">
      <c r="C438" s="88"/>
      <c r="H438" s="35">
        <v>48.0</v>
      </c>
      <c r="J438" s="35">
        <v>0.46</v>
      </c>
      <c r="K438" s="35">
        <v>45.0</v>
      </c>
      <c r="P438" s="96"/>
    </row>
    <row r="439">
      <c r="C439" s="88"/>
      <c r="H439" s="35">
        <v>52.0</v>
      </c>
      <c r="J439" s="35">
        <v>0.5</v>
      </c>
      <c r="K439" s="35">
        <v>45.0</v>
      </c>
      <c r="P439" s="96"/>
    </row>
    <row r="440">
      <c r="C440" s="88"/>
      <c r="H440" s="35">
        <v>47.0</v>
      </c>
      <c r="J440" s="35">
        <v>0.46</v>
      </c>
      <c r="K440" s="35">
        <v>47.0</v>
      </c>
      <c r="P440" s="96"/>
    </row>
    <row r="441">
      <c r="C441" s="88"/>
      <c r="H441" s="35">
        <v>40.0</v>
      </c>
      <c r="J441" s="35">
        <v>0.46</v>
      </c>
      <c r="K441" s="35">
        <v>42.0</v>
      </c>
      <c r="P441" s="96"/>
    </row>
    <row r="442">
      <c r="C442" s="88"/>
      <c r="H442" s="35">
        <v>43.0</v>
      </c>
      <c r="J442" s="35">
        <v>0.47</v>
      </c>
      <c r="K442" s="35">
        <v>42.0</v>
      </c>
      <c r="P442" s="96"/>
    </row>
    <row r="443">
      <c r="C443" s="88"/>
      <c r="H443" s="35">
        <v>38.0</v>
      </c>
      <c r="J443" s="35">
        <v>0.48</v>
      </c>
      <c r="K443" s="35">
        <v>40.0</v>
      </c>
      <c r="P443" s="96"/>
    </row>
    <row r="444">
      <c r="C444" s="88"/>
      <c r="H444" s="35">
        <v>42.0</v>
      </c>
      <c r="J444" s="35">
        <v>0.46</v>
      </c>
      <c r="K444" s="35">
        <v>37.0</v>
      </c>
      <c r="P444" s="96"/>
    </row>
    <row r="445">
      <c r="C445" s="88"/>
      <c r="H445" s="35">
        <v>44.0</v>
      </c>
      <c r="J445" s="35">
        <v>0.5</v>
      </c>
      <c r="K445" s="35">
        <v>44.0</v>
      </c>
      <c r="P445" s="96"/>
    </row>
    <row r="446">
      <c r="C446" s="88"/>
      <c r="H446" s="35">
        <v>44.0</v>
      </c>
      <c r="J446" s="35">
        <v>0.48</v>
      </c>
      <c r="K446" s="35">
        <v>44.0</v>
      </c>
      <c r="P446" s="96"/>
    </row>
    <row r="447">
      <c r="C447" s="88"/>
      <c r="H447" s="35">
        <v>43.0</v>
      </c>
      <c r="J447" s="35">
        <v>0.46</v>
      </c>
      <c r="K447" s="35">
        <v>37.0</v>
      </c>
      <c r="P447" s="96"/>
    </row>
    <row r="448">
      <c r="C448" s="88"/>
      <c r="H448" s="35">
        <v>42.0</v>
      </c>
      <c r="J448" s="35">
        <v>0.47</v>
      </c>
      <c r="K448" s="35">
        <v>39.0</v>
      </c>
      <c r="P448" s="96"/>
    </row>
    <row r="449">
      <c r="C449" s="88"/>
      <c r="H449" s="35">
        <v>41.0</v>
      </c>
      <c r="J449" s="35">
        <v>0.48</v>
      </c>
      <c r="K449" s="35">
        <v>44.0</v>
      </c>
      <c r="P449" s="96"/>
    </row>
    <row r="450">
      <c r="C450" s="88"/>
      <c r="H450" s="35">
        <v>51.0</v>
      </c>
      <c r="J450" s="35">
        <v>0.5</v>
      </c>
      <c r="K450" s="35">
        <v>46.0</v>
      </c>
      <c r="P450" s="96"/>
    </row>
    <row r="451">
      <c r="C451" s="88"/>
      <c r="H451" s="35">
        <v>51.0</v>
      </c>
      <c r="J451" s="35">
        <v>0.49</v>
      </c>
      <c r="K451" s="35">
        <v>44.0</v>
      </c>
      <c r="P451" s="96"/>
    </row>
    <row r="452">
      <c r="C452" s="88"/>
      <c r="H452" s="35">
        <v>49.0</v>
      </c>
      <c r="J452" s="35">
        <v>0.47</v>
      </c>
      <c r="K452" s="35">
        <v>46.0</v>
      </c>
      <c r="P452" s="96"/>
    </row>
    <row r="453">
      <c r="C453" s="88"/>
      <c r="H453" s="35">
        <v>44.0</v>
      </c>
      <c r="J453" s="35">
        <v>0.53</v>
      </c>
      <c r="K453" s="35">
        <v>40.0</v>
      </c>
      <c r="P453" s="96"/>
    </row>
    <row r="454">
      <c r="C454" s="88"/>
      <c r="H454" s="35">
        <v>46.0</v>
      </c>
      <c r="J454" s="35">
        <v>0.53</v>
      </c>
      <c r="K454" s="35">
        <v>52.0</v>
      </c>
      <c r="P454" s="96"/>
    </row>
    <row r="455">
      <c r="C455" s="88"/>
      <c r="H455" s="35">
        <v>45.0</v>
      </c>
      <c r="J455" s="35">
        <v>0.54</v>
      </c>
      <c r="K455" s="35">
        <v>40.0</v>
      </c>
      <c r="P455" s="96"/>
    </row>
    <row r="456">
      <c r="C456" s="88"/>
      <c r="H456" s="35">
        <v>46.0</v>
      </c>
      <c r="J456" s="35">
        <v>0.52</v>
      </c>
      <c r="K456" s="35">
        <v>41.0</v>
      </c>
      <c r="P456" s="96"/>
    </row>
    <row r="457">
      <c r="C457" s="88"/>
      <c r="H457" s="35">
        <v>44.0</v>
      </c>
      <c r="J457" s="35">
        <v>0.5</v>
      </c>
      <c r="K457" s="35">
        <v>41.0</v>
      </c>
      <c r="P457" s="96"/>
    </row>
    <row r="458">
      <c r="C458" s="88"/>
      <c r="H458" s="35">
        <v>46.0</v>
      </c>
      <c r="J458" s="35">
        <v>0.52</v>
      </c>
      <c r="K458" s="35">
        <v>37.0</v>
      </c>
      <c r="P458" s="96"/>
    </row>
    <row r="459">
      <c r="C459" s="88"/>
      <c r="H459" s="35">
        <v>45.0</v>
      </c>
      <c r="J459" s="35">
        <v>0.52</v>
      </c>
      <c r="K459" s="35">
        <v>41.0</v>
      </c>
      <c r="P459" s="96"/>
    </row>
    <row r="460">
      <c r="C460" s="88"/>
      <c r="H460" s="35">
        <v>44.0</v>
      </c>
      <c r="J460" s="35">
        <v>0.59</v>
      </c>
      <c r="K460" s="35">
        <v>40.0</v>
      </c>
      <c r="P460" s="96"/>
    </row>
    <row r="461">
      <c r="C461" s="88"/>
      <c r="H461" s="35">
        <v>53.0</v>
      </c>
      <c r="J461" s="35">
        <v>0.53</v>
      </c>
      <c r="K461" s="35">
        <v>45.0</v>
      </c>
      <c r="P461" s="96"/>
    </row>
    <row r="462">
      <c r="C462" s="88"/>
      <c r="H462" s="35">
        <v>48.0</v>
      </c>
      <c r="J462" s="35">
        <v>0.32</v>
      </c>
      <c r="K462" s="35">
        <v>48.0</v>
      </c>
      <c r="P462" s="96"/>
    </row>
    <row r="463">
      <c r="C463" s="88"/>
      <c r="H463" s="35">
        <v>39.0</v>
      </c>
      <c r="J463" s="35">
        <v>0.43</v>
      </c>
      <c r="K463" s="35">
        <v>41.0</v>
      </c>
      <c r="P463" s="96"/>
    </row>
    <row r="464">
      <c r="C464" s="88"/>
      <c r="H464" s="35">
        <v>56.0</v>
      </c>
      <c r="J464" s="35">
        <v>0.5</v>
      </c>
      <c r="K464" s="35">
        <v>41.0</v>
      </c>
      <c r="P464" s="96"/>
    </row>
    <row r="465">
      <c r="C465" s="88"/>
      <c r="H465" s="35">
        <v>38.0</v>
      </c>
      <c r="J465" s="35">
        <v>0.45</v>
      </c>
      <c r="K465" s="35">
        <v>39.0</v>
      </c>
      <c r="P465" s="96"/>
    </row>
    <row r="466">
      <c r="C466" s="88"/>
      <c r="H466" s="35">
        <v>44.0</v>
      </c>
      <c r="J466" s="35">
        <v>0.53</v>
      </c>
      <c r="K466" s="35">
        <v>41.0</v>
      </c>
      <c r="P466" s="96"/>
    </row>
    <row r="467">
      <c r="C467" s="88"/>
      <c r="H467" s="35">
        <v>46.0</v>
      </c>
      <c r="J467" s="35">
        <v>0.57</v>
      </c>
      <c r="K467" s="35">
        <v>39.0</v>
      </c>
      <c r="P467" s="96"/>
    </row>
    <row r="468">
      <c r="C468" s="88"/>
      <c r="H468" s="35">
        <v>42.0</v>
      </c>
      <c r="J468" s="35">
        <v>0.58</v>
      </c>
      <c r="K468" s="35">
        <v>43.0</v>
      </c>
      <c r="P468" s="96"/>
    </row>
    <row r="469">
      <c r="C469" s="88"/>
      <c r="H469" s="35">
        <v>43.0</v>
      </c>
      <c r="J469" s="35">
        <v>0.49</v>
      </c>
      <c r="K469" s="35">
        <v>41.0</v>
      </c>
      <c r="P469" s="96"/>
    </row>
    <row r="470">
      <c r="C470" s="88"/>
      <c r="H470" s="35">
        <v>47.0</v>
      </c>
      <c r="J470" s="35">
        <v>0.58</v>
      </c>
      <c r="K470" s="35">
        <v>38.0</v>
      </c>
      <c r="P470" s="96"/>
    </row>
    <row r="471">
      <c r="C471" s="88"/>
      <c r="H471" s="35">
        <v>51.0</v>
      </c>
      <c r="J471" s="35">
        <v>0.54</v>
      </c>
      <c r="K471" s="35">
        <v>41.0</v>
      </c>
      <c r="P471" s="96"/>
    </row>
    <row r="472">
      <c r="C472" s="88"/>
      <c r="H472" s="35">
        <v>46.0</v>
      </c>
      <c r="J472" s="35">
        <v>0.48</v>
      </c>
      <c r="K472" s="35">
        <v>47.0</v>
      </c>
      <c r="P472" s="96"/>
    </row>
    <row r="473">
      <c r="C473" s="88"/>
      <c r="H473" s="35">
        <v>40.0</v>
      </c>
      <c r="J473" s="35">
        <v>0.5</v>
      </c>
      <c r="K473" s="35">
        <v>40.0</v>
      </c>
      <c r="P473" s="96"/>
    </row>
    <row r="474">
      <c r="C474" s="88"/>
      <c r="H474" s="35">
        <v>49.0</v>
      </c>
      <c r="J474" s="35">
        <v>0.48</v>
      </c>
      <c r="K474" s="35">
        <v>52.0</v>
      </c>
      <c r="P474" s="96"/>
    </row>
    <row r="475">
      <c r="C475" s="88"/>
      <c r="H475" s="35">
        <v>49.0</v>
      </c>
      <c r="J475" s="35">
        <v>0.51</v>
      </c>
      <c r="K475" s="35">
        <v>42.0</v>
      </c>
      <c r="P475" s="96"/>
    </row>
    <row r="476">
      <c r="C476" s="88"/>
      <c r="H476" s="35">
        <v>41.0</v>
      </c>
      <c r="J476" s="35">
        <v>0.58</v>
      </c>
      <c r="K476" s="35">
        <v>42.0</v>
      </c>
      <c r="P476" s="96"/>
    </row>
    <row r="477">
      <c r="C477" s="88"/>
      <c r="H477" s="35">
        <v>43.0</v>
      </c>
      <c r="J477" s="35">
        <v>0.57</v>
      </c>
      <c r="K477" s="35">
        <v>39.0</v>
      </c>
      <c r="P477" s="96"/>
    </row>
    <row r="478">
      <c r="C478" s="88"/>
      <c r="H478" s="35">
        <v>45.0</v>
      </c>
      <c r="J478" s="35">
        <v>0.54</v>
      </c>
      <c r="K478" s="35">
        <v>39.0</v>
      </c>
      <c r="P478" s="96"/>
    </row>
    <row r="479">
      <c r="C479" s="88"/>
      <c r="H479" s="35">
        <v>44.0</v>
      </c>
      <c r="J479" s="35">
        <v>0.48</v>
      </c>
      <c r="K479" s="35">
        <v>37.0</v>
      </c>
      <c r="P479" s="96"/>
    </row>
    <row r="480">
      <c r="C480" s="88"/>
      <c r="H480" s="35">
        <v>44.0</v>
      </c>
      <c r="J480" s="35">
        <v>0.47</v>
      </c>
      <c r="K480" s="35">
        <v>40.0</v>
      </c>
      <c r="P480" s="96"/>
    </row>
    <row r="481">
      <c r="C481" s="88"/>
      <c r="H481" s="35">
        <v>45.0</v>
      </c>
      <c r="J481" s="35">
        <v>0.54</v>
      </c>
      <c r="K481" s="35">
        <v>40.0</v>
      </c>
      <c r="P481" s="96"/>
    </row>
    <row r="482">
      <c r="C482" s="88"/>
      <c r="H482" s="35">
        <v>47.0</v>
      </c>
      <c r="J482" s="35">
        <v>0.53</v>
      </c>
      <c r="K482" s="35">
        <v>42.0</v>
      </c>
      <c r="P482" s="96"/>
    </row>
    <row r="483">
      <c r="C483" s="88"/>
      <c r="H483" s="35">
        <v>42.0</v>
      </c>
      <c r="J483" s="35">
        <v>0.56</v>
      </c>
      <c r="K483" s="35">
        <v>50.0</v>
      </c>
      <c r="P483" s="96"/>
    </row>
    <row r="484">
      <c r="C484" s="88"/>
      <c r="H484" s="35">
        <v>47.0</v>
      </c>
      <c r="J484" s="35">
        <v>0.57</v>
      </c>
      <c r="K484" s="35">
        <v>49.0</v>
      </c>
      <c r="P484" s="96"/>
    </row>
    <row r="485">
      <c r="C485" s="88"/>
      <c r="H485" s="35">
        <v>41.0</v>
      </c>
      <c r="J485" s="35">
        <v>0.54</v>
      </c>
      <c r="K485" s="35">
        <v>46.0</v>
      </c>
      <c r="P485" s="96"/>
    </row>
    <row r="486">
      <c r="C486" s="88"/>
      <c r="H486" s="35">
        <v>44.0</v>
      </c>
      <c r="J486" s="35">
        <v>0.48</v>
      </c>
      <c r="K486" s="35">
        <v>48.0</v>
      </c>
      <c r="P486" s="96"/>
    </row>
    <row r="487">
      <c r="C487" s="88"/>
      <c r="H487" s="35">
        <v>45.0</v>
      </c>
      <c r="J487" s="35">
        <v>0.44</v>
      </c>
      <c r="K487" s="35">
        <v>53.0</v>
      </c>
      <c r="P487" s="96"/>
    </row>
    <row r="488">
      <c r="C488" s="88"/>
      <c r="H488" s="35">
        <v>47.0</v>
      </c>
      <c r="J488" s="35">
        <v>0.48</v>
      </c>
      <c r="K488" s="35">
        <v>45.0</v>
      </c>
      <c r="P488" s="96"/>
    </row>
    <row r="489">
      <c r="C489" s="88"/>
      <c r="H489" s="35">
        <v>46.0</v>
      </c>
      <c r="J489" s="35">
        <v>0.49</v>
      </c>
      <c r="K489" s="35">
        <v>43.0</v>
      </c>
      <c r="P489" s="96"/>
    </row>
    <row r="490">
      <c r="C490" s="88"/>
      <c r="H490" s="35">
        <v>52.0</v>
      </c>
      <c r="J490" s="35">
        <v>0.61</v>
      </c>
      <c r="K490" s="35">
        <v>43.0</v>
      </c>
      <c r="P490" s="96"/>
    </row>
    <row r="491">
      <c r="C491" s="88"/>
      <c r="H491" s="35">
        <v>41.0</v>
      </c>
      <c r="J491" s="35">
        <v>0.55</v>
      </c>
      <c r="K491" s="35">
        <v>45.0</v>
      </c>
      <c r="P491" s="96"/>
    </row>
    <row r="492">
      <c r="C492" s="88"/>
      <c r="H492" s="35">
        <v>44.0</v>
      </c>
      <c r="J492" s="35">
        <v>0.54</v>
      </c>
      <c r="K492" s="35">
        <v>35.0</v>
      </c>
      <c r="P492" s="96"/>
    </row>
    <row r="493">
      <c r="C493" s="88"/>
      <c r="H493" s="35">
        <v>49.0</v>
      </c>
      <c r="J493" s="35">
        <v>0.48</v>
      </c>
      <c r="K493" s="35">
        <v>46.0</v>
      </c>
      <c r="P493" s="96"/>
    </row>
    <row r="494">
      <c r="C494" s="88"/>
      <c r="H494" s="35">
        <v>43.0</v>
      </c>
      <c r="J494" s="35">
        <v>0.49</v>
      </c>
      <c r="K494" s="35">
        <v>41.0</v>
      </c>
      <c r="P494" s="96"/>
    </row>
    <row r="495">
      <c r="C495" s="88"/>
      <c r="H495" s="35">
        <v>46.0</v>
      </c>
      <c r="J495" s="35">
        <v>0.6</v>
      </c>
      <c r="K495" s="35">
        <v>44.0</v>
      </c>
      <c r="P495" s="96"/>
    </row>
    <row r="496">
      <c r="C496" s="88"/>
      <c r="H496" s="35">
        <v>50.0</v>
      </c>
      <c r="J496" s="35">
        <v>0.56</v>
      </c>
      <c r="K496" s="35">
        <v>43.0</v>
      </c>
      <c r="P496" s="96"/>
    </row>
    <row r="497">
      <c r="C497" s="88"/>
      <c r="H497" s="35">
        <v>49.0</v>
      </c>
      <c r="J497" s="35">
        <v>0.47</v>
      </c>
      <c r="K497" s="35">
        <v>43.0</v>
      </c>
      <c r="P497" s="96"/>
    </row>
    <row r="498">
      <c r="C498" s="88"/>
      <c r="H498" s="35">
        <v>45.0</v>
      </c>
      <c r="J498" s="35">
        <v>0.53</v>
      </c>
      <c r="K498" s="35">
        <v>43.0</v>
      </c>
      <c r="P498" s="96"/>
    </row>
    <row r="499">
      <c r="C499" s="88"/>
      <c r="H499" s="35">
        <v>43.0</v>
      </c>
      <c r="J499" s="35">
        <v>0.54</v>
      </c>
      <c r="K499" s="35">
        <v>44.0</v>
      </c>
      <c r="P499" s="96"/>
    </row>
    <row r="500">
      <c r="C500" s="88"/>
      <c r="H500" s="35">
        <v>45.0</v>
      </c>
      <c r="J500" s="35">
        <v>0.46</v>
      </c>
      <c r="K500" s="35">
        <v>46.0</v>
      </c>
      <c r="P500" s="96"/>
    </row>
    <row r="501">
      <c r="C501" s="88"/>
      <c r="H501" s="35">
        <v>46.0</v>
      </c>
      <c r="J501" s="35">
        <v>0.54</v>
      </c>
      <c r="K501" s="35">
        <v>41.0</v>
      </c>
      <c r="P501" s="96"/>
    </row>
    <row r="502">
      <c r="C502" s="88"/>
      <c r="H502" s="35">
        <v>37.0</v>
      </c>
      <c r="J502" s="35">
        <v>0.46</v>
      </c>
      <c r="K502" s="35">
        <v>48.0</v>
      </c>
      <c r="P502" s="96"/>
    </row>
    <row r="503">
      <c r="C503" s="88"/>
      <c r="H503" s="35">
        <v>43.0</v>
      </c>
      <c r="J503" s="35">
        <v>0.57</v>
      </c>
      <c r="K503" s="35">
        <v>46.0</v>
      </c>
      <c r="P503" s="96"/>
    </row>
    <row r="504">
      <c r="C504" s="88"/>
      <c r="H504" s="35">
        <v>49.0</v>
      </c>
      <c r="J504" s="35">
        <v>0.55</v>
      </c>
      <c r="K504" s="35">
        <v>42.0</v>
      </c>
      <c r="P504" s="96"/>
    </row>
    <row r="505">
      <c r="C505" s="88"/>
      <c r="H505" s="35">
        <v>43.0</v>
      </c>
      <c r="J505" s="35">
        <v>0.53</v>
      </c>
      <c r="K505" s="35">
        <v>44.0</v>
      </c>
      <c r="P505" s="96"/>
    </row>
    <row r="506">
      <c r="C506" s="88"/>
      <c r="H506" s="35">
        <v>47.0</v>
      </c>
      <c r="J506" s="35">
        <v>0.5</v>
      </c>
      <c r="K506" s="35">
        <v>43.0</v>
      </c>
      <c r="P506" s="96"/>
    </row>
    <row r="507">
      <c r="C507" s="88"/>
      <c r="H507" s="35">
        <v>41.0</v>
      </c>
      <c r="J507" s="35">
        <v>0.53</v>
      </c>
      <c r="K507" s="35">
        <v>42.0</v>
      </c>
      <c r="P507" s="96"/>
    </row>
    <row r="508">
      <c r="C508" s="88"/>
      <c r="H508" s="35">
        <v>42.0</v>
      </c>
      <c r="J508" s="35">
        <v>0.49</v>
      </c>
      <c r="K508" s="35">
        <v>39.0</v>
      </c>
      <c r="P508" s="96"/>
    </row>
    <row r="509">
      <c r="C509" s="88"/>
      <c r="H509" s="35">
        <v>49.0</v>
      </c>
      <c r="J509" s="35">
        <v>0.44</v>
      </c>
      <c r="K509" s="35">
        <v>42.0</v>
      </c>
      <c r="P509" s="96"/>
    </row>
    <row r="510">
      <c r="C510" s="88"/>
      <c r="H510" s="35">
        <v>47.0</v>
      </c>
      <c r="J510" s="35">
        <v>0.47</v>
      </c>
      <c r="K510" s="35">
        <v>48.0</v>
      </c>
      <c r="P510" s="96"/>
    </row>
    <row r="511">
      <c r="C511" s="88"/>
      <c r="H511" s="35">
        <v>44.0</v>
      </c>
      <c r="J511" s="35">
        <v>0.6</v>
      </c>
      <c r="K511" s="35">
        <v>44.0</v>
      </c>
      <c r="P511" s="96"/>
    </row>
    <row r="512">
      <c r="C512" s="88"/>
      <c r="H512" s="35">
        <v>54.0</v>
      </c>
      <c r="J512" s="35">
        <v>0.53</v>
      </c>
      <c r="K512" s="35">
        <v>40.0</v>
      </c>
      <c r="P512" s="96"/>
    </row>
    <row r="513">
      <c r="C513" s="88"/>
      <c r="H513" s="35">
        <v>46.0</v>
      </c>
      <c r="J513" s="35">
        <v>0.52</v>
      </c>
      <c r="K513" s="35">
        <v>43.0</v>
      </c>
      <c r="P513" s="96"/>
    </row>
    <row r="514">
      <c r="C514" s="88"/>
      <c r="H514" s="35">
        <v>47.0</v>
      </c>
      <c r="J514" s="35">
        <v>0.41</v>
      </c>
      <c r="K514" s="35">
        <v>45.0</v>
      </c>
      <c r="P514" s="96"/>
    </row>
    <row r="515">
      <c r="C515" s="88"/>
      <c r="H515" s="35">
        <v>48.0</v>
      </c>
      <c r="J515" s="35">
        <v>0.47</v>
      </c>
      <c r="K515" s="35">
        <v>40.0</v>
      </c>
      <c r="P515" s="96"/>
    </row>
    <row r="516">
      <c r="C516" s="88"/>
      <c r="H516" s="35">
        <v>48.0</v>
      </c>
      <c r="J516" s="35">
        <v>0.5</v>
      </c>
      <c r="K516" s="35">
        <v>43.0</v>
      </c>
      <c r="P516" s="96"/>
    </row>
    <row r="517">
      <c r="C517" s="88"/>
      <c r="H517" s="35">
        <v>49.0</v>
      </c>
      <c r="J517" s="35">
        <v>0.51</v>
      </c>
      <c r="K517" s="35">
        <v>47.0</v>
      </c>
      <c r="P517" s="96"/>
    </row>
    <row r="518">
      <c r="C518" s="88"/>
      <c r="H518" s="35">
        <v>46.0</v>
      </c>
      <c r="J518" s="35">
        <v>0.5</v>
      </c>
      <c r="K518" s="35">
        <v>47.0</v>
      </c>
      <c r="P518" s="96"/>
    </row>
    <row r="519">
      <c r="C519" s="88"/>
      <c r="H519" s="35">
        <v>41.0</v>
      </c>
      <c r="J519" s="35">
        <v>0.47</v>
      </c>
      <c r="K519" s="35">
        <v>46.0</v>
      </c>
      <c r="P519" s="96"/>
    </row>
    <row r="520">
      <c r="C520" s="88"/>
      <c r="H520" s="35">
        <v>44.0</v>
      </c>
      <c r="J520" s="35">
        <v>0.52</v>
      </c>
      <c r="K520" s="35">
        <v>39.0</v>
      </c>
      <c r="P520" s="96"/>
    </row>
    <row r="521">
      <c r="C521" s="88"/>
      <c r="H521" s="35">
        <v>39.0</v>
      </c>
      <c r="J521" s="35">
        <v>0.53</v>
      </c>
      <c r="K521" s="35">
        <v>48.0</v>
      </c>
      <c r="P521" s="96"/>
    </row>
    <row r="522">
      <c r="C522" s="88"/>
      <c r="H522" s="35">
        <v>41.0</v>
      </c>
      <c r="J522" s="35">
        <v>0.52</v>
      </c>
      <c r="K522" s="35">
        <v>50.0</v>
      </c>
      <c r="P522" s="96"/>
    </row>
    <row r="523">
      <c r="C523" s="88"/>
      <c r="H523" s="35">
        <v>45.0</v>
      </c>
      <c r="J523" s="35">
        <v>0.48</v>
      </c>
      <c r="K523" s="35">
        <v>48.0</v>
      </c>
      <c r="P523" s="96"/>
    </row>
    <row r="524">
      <c r="C524" s="88"/>
      <c r="H524" s="35">
        <v>41.0</v>
      </c>
      <c r="J524" s="35">
        <v>0.51</v>
      </c>
      <c r="K524" s="35">
        <v>37.0</v>
      </c>
      <c r="P524" s="96"/>
    </row>
    <row r="525">
      <c r="C525" s="88"/>
      <c r="H525" s="35">
        <v>41.0</v>
      </c>
      <c r="J525" s="35">
        <v>0.53</v>
      </c>
      <c r="K525" s="35">
        <v>39.0</v>
      </c>
      <c r="P525" s="96"/>
    </row>
    <row r="526">
      <c r="C526" s="88"/>
      <c r="H526" s="35">
        <v>46.0</v>
      </c>
      <c r="J526" s="35">
        <v>0.53</v>
      </c>
      <c r="K526" s="35">
        <v>43.0</v>
      </c>
      <c r="P526" s="96"/>
    </row>
    <row r="527">
      <c r="C527" s="88"/>
      <c r="H527" s="35">
        <v>46.0</v>
      </c>
      <c r="J527" s="35">
        <v>0.53</v>
      </c>
      <c r="K527" s="35">
        <v>45.0</v>
      </c>
      <c r="P527" s="96"/>
    </row>
    <row r="528">
      <c r="C528" s="88"/>
      <c r="H528" s="35">
        <v>43.0</v>
      </c>
      <c r="J528" s="35">
        <v>0.47</v>
      </c>
      <c r="K528" s="35">
        <v>41.0</v>
      </c>
      <c r="P528" s="96"/>
    </row>
    <row r="529">
      <c r="C529" s="88"/>
      <c r="H529" s="35">
        <v>40.0</v>
      </c>
      <c r="J529" s="35">
        <v>0.49</v>
      </c>
      <c r="K529" s="35">
        <v>43.0</v>
      </c>
      <c r="P529" s="96"/>
    </row>
    <row r="530">
      <c r="C530" s="88"/>
      <c r="H530" s="35">
        <v>47.0</v>
      </c>
      <c r="J530" s="35">
        <v>0.54</v>
      </c>
      <c r="K530" s="35">
        <v>48.0</v>
      </c>
      <c r="P530" s="96"/>
    </row>
    <row r="531">
      <c r="C531" s="88"/>
      <c r="H531" s="35">
        <v>48.0</v>
      </c>
      <c r="J531" s="35">
        <v>0.52</v>
      </c>
      <c r="K531" s="35">
        <v>43.0</v>
      </c>
      <c r="P531" s="96"/>
    </row>
    <row r="532">
      <c r="C532" s="88"/>
      <c r="H532" s="35">
        <v>41.0</v>
      </c>
      <c r="J532" s="35">
        <v>0.51</v>
      </c>
      <c r="K532" s="35">
        <v>43.0</v>
      </c>
      <c r="P532" s="96"/>
    </row>
    <row r="533">
      <c r="C533" s="88"/>
      <c r="H533" s="35">
        <v>46.0</v>
      </c>
      <c r="J533" s="35">
        <v>0.48</v>
      </c>
      <c r="K533" s="35">
        <v>48.0</v>
      </c>
      <c r="P533" s="96"/>
    </row>
    <row r="534">
      <c r="C534" s="88"/>
      <c r="H534" s="35">
        <v>44.0</v>
      </c>
      <c r="J534" s="35">
        <v>0.53</v>
      </c>
      <c r="K534" s="35">
        <v>48.0</v>
      </c>
      <c r="P534" s="96"/>
    </row>
    <row r="535">
      <c r="C535" s="88"/>
      <c r="H535" s="35">
        <v>43.0</v>
      </c>
      <c r="J535" s="35">
        <v>0.55</v>
      </c>
      <c r="K535" s="35">
        <v>42.0</v>
      </c>
      <c r="P535" s="96"/>
    </row>
    <row r="536">
      <c r="C536" s="88"/>
      <c r="H536" s="35">
        <v>48.0</v>
      </c>
      <c r="J536" s="35">
        <v>0.5</v>
      </c>
      <c r="K536" s="35">
        <v>41.0</v>
      </c>
      <c r="P536" s="96"/>
    </row>
    <row r="537">
      <c r="C537" s="88"/>
      <c r="H537" s="35">
        <v>44.0</v>
      </c>
      <c r="J537" s="35">
        <v>0.47</v>
      </c>
      <c r="K537" s="35">
        <v>45.0</v>
      </c>
      <c r="P537" s="96"/>
    </row>
    <row r="538">
      <c r="C538" s="88"/>
      <c r="H538" s="35">
        <v>43.0</v>
      </c>
      <c r="J538" s="35">
        <v>0.53</v>
      </c>
      <c r="K538" s="35">
        <v>43.0</v>
      </c>
      <c r="P538" s="96"/>
    </row>
    <row r="539">
      <c r="C539" s="88"/>
      <c r="H539" s="35">
        <v>45.0</v>
      </c>
      <c r="J539" s="35">
        <v>0.52</v>
      </c>
      <c r="K539" s="35">
        <v>45.0</v>
      </c>
      <c r="P539" s="96"/>
    </row>
    <row r="540">
      <c r="C540" s="88"/>
      <c r="H540" s="35">
        <v>50.0</v>
      </c>
      <c r="J540" s="35">
        <v>0.54</v>
      </c>
      <c r="K540" s="35">
        <v>44.0</v>
      </c>
      <c r="P540" s="96"/>
    </row>
    <row r="541">
      <c r="C541" s="88"/>
      <c r="H541" s="35">
        <v>46.0</v>
      </c>
      <c r="J541" s="35">
        <v>0.59</v>
      </c>
      <c r="K541" s="35">
        <v>44.0</v>
      </c>
      <c r="P541" s="96"/>
    </row>
    <row r="542">
      <c r="C542" s="88"/>
      <c r="H542" s="35">
        <v>40.0</v>
      </c>
      <c r="J542" s="35">
        <v>0.54</v>
      </c>
      <c r="K542" s="35">
        <v>41.0</v>
      </c>
      <c r="P542" s="96"/>
    </row>
    <row r="543">
      <c r="C543" s="88"/>
      <c r="H543" s="35">
        <v>41.0</v>
      </c>
      <c r="J543" s="35">
        <v>0.52</v>
      </c>
      <c r="K543" s="35">
        <v>53.0</v>
      </c>
      <c r="P543" s="96"/>
    </row>
    <row r="544">
      <c r="C544" s="88"/>
      <c r="H544" s="35">
        <v>41.0</v>
      </c>
      <c r="J544" s="35">
        <v>0.55</v>
      </c>
      <c r="K544" s="35">
        <v>40.0</v>
      </c>
      <c r="P544" s="96"/>
    </row>
    <row r="545">
      <c r="C545" s="88"/>
      <c r="H545" s="35">
        <v>46.0</v>
      </c>
      <c r="J545" s="35">
        <v>0.5</v>
      </c>
      <c r="K545" s="35">
        <v>43.0</v>
      </c>
      <c r="P545" s="96"/>
    </row>
    <row r="546">
      <c r="C546" s="88"/>
      <c r="H546" s="35">
        <v>40.0</v>
      </c>
      <c r="J546" s="35">
        <v>0.51</v>
      </c>
      <c r="K546" s="35">
        <v>41.0</v>
      </c>
      <c r="P546" s="96"/>
    </row>
    <row r="547">
      <c r="C547" s="88"/>
      <c r="H547" s="35">
        <v>46.0</v>
      </c>
      <c r="J547" s="35">
        <v>0.5</v>
      </c>
      <c r="K547" s="35">
        <v>43.0</v>
      </c>
      <c r="P547" s="96"/>
    </row>
    <row r="548">
      <c r="C548" s="88"/>
      <c r="H548" s="35">
        <v>46.0</v>
      </c>
      <c r="J548" s="35">
        <v>0.57</v>
      </c>
      <c r="K548" s="35">
        <v>42.0</v>
      </c>
      <c r="P548" s="96"/>
    </row>
    <row r="549">
      <c r="C549" s="88"/>
      <c r="H549" s="35">
        <v>48.0</v>
      </c>
      <c r="J549" s="35">
        <v>0.5</v>
      </c>
      <c r="K549" s="35">
        <v>43.0</v>
      </c>
      <c r="P549" s="96"/>
    </row>
    <row r="550">
      <c r="C550" s="88"/>
      <c r="H550" s="35">
        <v>47.0</v>
      </c>
      <c r="J550" s="35">
        <v>0.54</v>
      </c>
      <c r="K550" s="35">
        <v>39.0</v>
      </c>
      <c r="P550" s="96"/>
    </row>
    <row r="551">
      <c r="C551" s="88"/>
      <c r="H551" s="35">
        <v>43.0</v>
      </c>
      <c r="J551" s="35">
        <v>0.46</v>
      </c>
      <c r="K551" s="35">
        <v>44.0</v>
      </c>
      <c r="P551" s="96"/>
    </row>
    <row r="552">
      <c r="C552" s="88"/>
      <c r="H552" s="35">
        <v>46.0</v>
      </c>
      <c r="J552" s="35">
        <v>0.53</v>
      </c>
      <c r="K552" s="35">
        <v>42.0</v>
      </c>
      <c r="P552" s="96"/>
    </row>
    <row r="553">
      <c r="C553" s="88"/>
      <c r="H553" s="35">
        <v>47.0</v>
      </c>
      <c r="J553" s="35">
        <v>0.49</v>
      </c>
      <c r="K553" s="35">
        <v>46.0</v>
      </c>
      <c r="P553" s="96"/>
    </row>
    <row r="554">
      <c r="C554" s="88"/>
      <c r="H554" s="35">
        <v>44.0</v>
      </c>
      <c r="J554" s="35">
        <v>0.49</v>
      </c>
      <c r="K554" s="35">
        <v>43.0</v>
      </c>
      <c r="P554" s="96"/>
    </row>
    <row r="555">
      <c r="C555" s="88"/>
      <c r="H555" s="35">
        <v>48.0</v>
      </c>
      <c r="J555" s="35">
        <v>0.51</v>
      </c>
      <c r="K555" s="35">
        <v>43.0</v>
      </c>
      <c r="P555" s="96"/>
    </row>
    <row r="556">
      <c r="C556" s="88"/>
      <c r="H556" s="35">
        <v>45.0</v>
      </c>
      <c r="J556" s="35">
        <v>0.48</v>
      </c>
      <c r="K556" s="35">
        <v>39.0</v>
      </c>
      <c r="P556" s="96"/>
    </row>
    <row r="557">
      <c r="C557" s="88"/>
      <c r="H557" s="35">
        <v>43.0</v>
      </c>
      <c r="J557" s="35">
        <v>0.48</v>
      </c>
      <c r="K557" s="35">
        <v>48.0</v>
      </c>
      <c r="P557" s="96"/>
    </row>
    <row r="558">
      <c r="C558" s="88"/>
      <c r="H558" s="35">
        <v>43.0</v>
      </c>
      <c r="J558" s="35">
        <v>0.47</v>
      </c>
      <c r="K558" s="35">
        <v>41.0</v>
      </c>
      <c r="P558" s="96"/>
    </row>
    <row r="559">
      <c r="C559" s="88"/>
      <c r="H559" s="35">
        <v>43.0</v>
      </c>
      <c r="J559" s="35">
        <v>0.53</v>
      </c>
      <c r="K559" s="35">
        <v>42.0</v>
      </c>
      <c r="P559" s="96"/>
    </row>
    <row r="560">
      <c r="C560" s="88"/>
      <c r="H560" s="35">
        <v>47.0</v>
      </c>
      <c r="J560" s="35">
        <v>0.44</v>
      </c>
      <c r="K560" s="35">
        <v>43.0</v>
      </c>
      <c r="P560" s="96"/>
    </row>
    <row r="561">
      <c r="C561" s="88"/>
      <c r="H561" s="35">
        <v>47.0</v>
      </c>
      <c r="J561" s="35">
        <v>0.49</v>
      </c>
      <c r="K561" s="35">
        <v>44.0</v>
      </c>
      <c r="P561" s="96"/>
    </row>
    <row r="562">
      <c r="C562" s="88"/>
      <c r="H562" s="35">
        <v>50.0</v>
      </c>
      <c r="J562" s="35">
        <v>0.46</v>
      </c>
      <c r="K562" s="35">
        <v>49.0</v>
      </c>
      <c r="P562" s="96"/>
    </row>
    <row r="563">
      <c r="C563" s="88"/>
      <c r="H563" s="35">
        <v>47.0</v>
      </c>
      <c r="J563" s="35">
        <v>0.51</v>
      </c>
      <c r="K563" s="35">
        <v>44.0</v>
      </c>
      <c r="P563" s="96"/>
    </row>
    <row r="564">
      <c r="C564" s="88"/>
      <c r="H564" s="35">
        <v>47.0</v>
      </c>
      <c r="J564" s="35">
        <v>0.48</v>
      </c>
      <c r="K564" s="35">
        <v>44.0</v>
      </c>
      <c r="P564" s="96"/>
    </row>
    <row r="565">
      <c r="C565" s="88"/>
      <c r="H565" s="35">
        <v>48.0</v>
      </c>
      <c r="J565" s="35">
        <v>0.53</v>
      </c>
      <c r="K565" s="35">
        <v>47.0</v>
      </c>
      <c r="P565" s="96"/>
    </row>
    <row r="566">
      <c r="C566" s="88"/>
      <c r="H566" s="35">
        <v>47.0</v>
      </c>
      <c r="J566" s="35">
        <v>0.49</v>
      </c>
      <c r="K566" s="35">
        <v>45.0</v>
      </c>
      <c r="P566" s="96"/>
    </row>
    <row r="567">
      <c r="C567" s="88"/>
      <c r="H567" s="35">
        <v>44.0</v>
      </c>
      <c r="J567" s="35">
        <v>0.44</v>
      </c>
      <c r="K567" s="35">
        <v>44.0</v>
      </c>
      <c r="P567" s="96"/>
    </row>
    <row r="568">
      <c r="C568" s="88"/>
      <c r="H568" s="35">
        <v>48.0</v>
      </c>
      <c r="J568" s="35">
        <v>0.45</v>
      </c>
      <c r="K568" s="35">
        <v>41.0</v>
      </c>
      <c r="P568" s="96"/>
    </row>
    <row r="569">
      <c r="C569" s="88"/>
      <c r="H569" s="35">
        <v>40.0</v>
      </c>
      <c r="J569" s="35">
        <v>0.53</v>
      </c>
      <c r="K569" s="35">
        <v>41.0</v>
      </c>
      <c r="P569" s="96"/>
    </row>
    <row r="570">
      <c r="C570" s="88"/>
      <c r="H570" s="35">
        <v>42.0</v>
      </c>
      <c r="J570" s="35">
        <v>0.48</v>
      </c>
      <c r="K570" s="35">
        <v>54.0</v>
      </c>
      <c r="P570" s="96"/>
    </row>
    <row r="571">
      <c r="C571" s="88"/>
      <c r="H571" s="35">
        <v>50.0</v>
      </c>
      <c r="J571" s="35">
        <v>0.5</v>
      </c>
      <c r="K571" s="35">
        <v>44.0</v>
      </c>
      <c r="P571" s="96"/>
    </row>
    <row r="572">
      <c r="C572" s="88"/>
      <c r="H572" s="35">
        <v>49.0</v>
      </c>
      <c r="J572" s="35">
        <v>0.57</v>
      </c>
      <c r="K572" s="35">
        <v>41.0</v>
      </c>
      <c r="P572" s="96"/>
    </row>
    <row r="573">
      <c r="C573" s="88"/>
      <c r="H573" s="35">
        <v>49.0</v>
      </c>
      <c r="J573" s="35">
        <v>0.51</v>
      </c>
      <c r="K573" s="35">
        <v>53.0</v>
      </c>
      <c r="P573" s="96"/>
    </row>
    <row r="574">
      <c r="C574" s="88"/>
      <c r="H574" s="35">
        <v>43.0</v>
      </c>
      <c r="J574" s="35">
        <v>0.48</v>
      </c>
      <c r="K574" s="35">
        <v>45.0</v>
      </c>
      <c r="P574" s="96"/>
    </row>
    <row r="575">
      <c r="C575" s="88"/>
      <c r="H575" s="35">
        <v>47.0</v>
      </c>
      <c r="J575" s="35">
        <v>0.48</v>
      </c>
      <c r="K575" s="35">
        <v>48.0</v>
      </c>
      <c r="P575" s="96"/>
    </row>
    <row r="576">
      <c r="C576" s="88"/>
      <c r="H576" s="35">
        <v>50.0</v>
      </c>
      <c r="J576" s="35">
        <v>0.51</v>
      </c>
      <c r="K576" s="35">
        <v>44.0</v>
      </c>
      <c r="P576" s="96"/>
    </row>
    <row r="577">
      <c r="C577" s="88"/>
      <c r="H577" s="35">
        <v>46.0</v>
      </c>
      <c r="J577" s="35">
        <v>0.49</v>
      </c>
      <c r="K577" s="35">
        <v>48.0</v>
      </c>
      <c r="P577" s="96"/>
    </row>
    <row r="578">
      <c r="C578" s="88"/>
      <c r="H578" s="35">
        <v>45.0</v>
      </c>
      <c r="J578" s="35">
        <v>0.51</v>
      </c>
      <c r="K578" s="35">
        <v>41.0</v>
      </c>
      <c r="P578" s="96"/>
    </row>
    <row r="579">
      <c r="C579" s="88"/>
      <c r="H579" s="35">
        <v>45.0</v>
      </c>
      <c r="J579" s="35">
        <v>0.5</v>
      </c>
      <c r="K579" s="35">
        <v>43.0</v>
      </c>
      <c r="P579" s="96"/>
    </row>
    <row r="580">
      <c r="C580" s="88"/>
      <c r="H580" s="35">
        <v>42.0</v>
      </c>
      <c r="J580" s="35">
        <v>0.52</v>
      </c>
      <c r="K580" s="35">
        <v>41.0</v>
      </c>
      <c r="P580" s="96"/>
    </row>
    <row r="581">
      <c r="C581" s="88"/>
      <c r="H581" s="35">
        <v>46.0</v>
      </c>
      <c r="J581" s="35">
        <v>0.54</v>
      </c>
      <c r="K581" s="35">
        <v>51.0</v>
      </c>
      <c r="P581" s="96"/>
    </row>
    <row r="582">
      <c r="C582" s="88"/>
      <c r="H582" s="35">
        <v>44.0</v>
      </c>
      <c r="J582" s="35">
        <v>0.5</v>
      </c>
      <c r="K582" s="35">
        <v>44.0</v>
      </c>
      <c r="P582" s="96"/>
    </row>
    <row r="583">
      <c r="C583" s="88"/>
      <c r="H583" s="35">
        <v>50.0</v>
      </c>
      <c r="J583" s="35">
        <v>0.49</v>
      </c>
      <c r="K583" s="35">
        <v>45.0</v>
      </c>
      <c r="P583" s="96"/>
    </row>
    <row r="584">
      <c r="C584" s="88"/>
      <c r="H584" s="35">
        <v>46.0</v>
      </c>
      <c r="J584" s="35">
        <v>0.53</v>
      </c>
      <c r="K584" s="35">
        <v>47.0</v>
      </c>
      <c r="P584" s="96"/>
    </row>
    <row r="585">
      <c r="C585" s="88"/>
      <c r="H585" s="35">
        <v>48.0</v>
      </c>
      <c r="J585" s="35">
        <v>0.51</v>
      </c>
      <c r="K585" s="35">
        <v>51.0</v>
      </c>
      <c r="P585" s="96"/>
    </row>
    <row r="586">
      <c r="C586" s="88"/>
      <c r="H586" s="35">
        <v>45.0</v>
      </c>
      <c r="J586" s="35">
        <v>0.53</v>
      </c>
      <c r="K586" s="35">
        <v>47.0</v>
      </c>
      <c r="P586" s="96"/>
    </row>
    <row r="587">
      <c r="C587" s="88"/>
      <c r="H587" s="35">
        <v>49.0</v>
      </c>
      <c r="J587" s="35">
        <v>0.49</v>
      </c>
      <c r="K587" s="35">
        <v>45.0</v>
      </c>
      <c r="P587" s="96"/>
    </row>
    <row r="588">
      <c r="C588" s="88"/>
      <c r="H588" s="35">
        <v>46.0</v>
      </c>
      <c r="J588" s="35">
        <v>0.47</v>
      </c>
      <c r="K588" s="35">
        <v>42.0</v>
      </c>
      <c r="P588" s="96"/>
    </row>
    <row r="589">
      <c r="C589" s="88"/>
      <c r="H589" s="35">
        <v>48.0</v>
      </c>
      <c r="J589" s="35">
        <v>0.54</v>
      </c>
      <c r="K589" s="35">
        <v>42.0</v>
      </c>
      <c r="P589" s="96"/>
    </row>
    <row r="590">
      <c r="C590" s="88"/>
      <c r="H590" s="35">
        <v>47.0</v>
      </c>
      <c r="J590" s="35">
        <v>0.48</v>
      </c>
      <c r="K590" s="35">
        <v>43.0</v>
      </c>
      <c r="P590" s="96"/>
    </row>
    <row r="591">
      <c r="C591" s="88"/>
      <c r="H591" s="35">
        <v>48.0</v>
      </c>
      <c r="J591" s="35">
        <v>0.53</v>
      </c>
      <c r="K591" s="35">
        <v>46.0</v>
      </c>
      <c r="P591" s="96"/>
    </row>
    <row r="592">
      <c r="C592" s="88"/>
      <c r="H592" s="35">
        <v>44.0</v>
      </c>
      <c r="J592" s="35">
        <v>0.57</v>
      </c>
      <c r="K592" s="35">
        <v>38.0</v>
      </c>
      <c r="P592" s="96"/>
    </row>
    <row r="593">
      <c r="C593" s="88"/>
      <c r="H593" s="35">
        <v>46.0</v>
      </c>
      <c r="J593" s="35">
        <v>0.48</v>
      </c>
      <c r="K593" s="35">
        <v>45.0</v>
      </c>
      <c r="P593" s="96"/>
    </row>
    <row r="594">
      <c r="C594" s="88"/>
      <c r="H594" s="35">
        <v>40.0</v>
      </c>
      <c r="J594" s="35">
        <v>0.53</v>
      </c>
      <c r="K594" s="35">
        <v>46.0</v>
      </c>
      <c r="P594" s="96"/>
    </row>
    <row r="595">
      <c r="C595" s="88"/>
      <c r="H595" s="35">
        <v>47.0</v>
      </c>
      <c r="J595" s="35">
        <v>0.59</v>
      </c>
      <c r="K595" s="35">
        <v>40.0</v>
      </c>
      <c r="P595" s="96"/>
    </row>
    <row r="596">
      <c r="C596" s="88"/>
      <c r="H596" s="35">
        <v>48.0</v>
      </c>
      <c r="J596" s="35">
        <v>0.62</v>
      </c>
      <c r="K596" s="35">
        <v>41.0</v>
      </c>
      <c r="P596" s="96"/>
    </row>
    <row r="597">
      <c r="C597" s="88"/>
      <c r="H597" s="35">
        <v>47.0</v>
      </c>
      <c r="J597" s="35">
        <v>0.57</v>
      </c>
      <c r="K597" s="35">
        <v>46.0</v>
      </c>
      <c r="P597" s="96"/>
    </row>
    <row r="598">
      <c r="C598" s="88"/>
      <c r="H598" s="35">
        <v>42.0</v>
      </c>
      <c r="J598" s="35">
        <v>0.5</v>
      </c>
      <c r="K598" s="35">
        <v>51.0</v>
      </c>
      <c r="P598" s="96"/>
    </row>
    <row r="599">
      <c r="C599" s="88"/>
      <c r="H599" s="35">
        <v>43.0</v>
      </c>
      <c r="J599" s="35">
        <v>0.5</v>
      </c>
      <c r="K599" s="35">
        <v>38.0</v>
      </c>
      <c r="P599" s="96"/>
    </row>
    <row r="600">
      <c r="C600" s="88"/>
      <c r="H600" s="35">
        <v>51.0</v>
      </c>
      <c r="J600" s="35">
        <v>0.56</v>
      </c>
      <c r="K600" s="35">
        <v>44.0</v>
      </c>
      <c r="P600" s="96"/>
    </row>
    <row r="601">
      <c r="C601" s="88"/>
      <c r="H601" s="35">
        <v>44.0</v>
      </c>
      <c r="J601" s="35">
        <v>0.6</v>
      </c>
      <c r="K601" s="35">
        <v>40.0</v>
      </c>
      <c r="P601" s="96"/>
    </row>
    <row r="602">
      <c r="C602" s="88"/>
      <c r="H602" s="35">
        <v>42.0</v>
      </c>
      <c r="J602" s="35">
        <v>0.44</v>
      </c>
      <c r="K602" s="35">
        <v>42.0</v>
      </c>
      <c r="P602" s="96"/>
    </row>
    <row r="603">
      <c r="C603" s="88"/>
      <c r="H603" s="35">
        <v>41.0</v>
      </c>
      <c r="J603" s="35">
        <v>0.52</v>
      </c>
      <c r="K603" s="35">
        <v>43.0</v>
      </c>
      <c r="P603" s="96"/>
    </row>
    <row r="604">
      <c r="C604" s="88"/>
      <c r="H604" s="35">
        <v>42.0</v>
      </c>
      <c r="J604" s="35">
        <v>0.53</v>
      </c>
      <c r="K604" s="35">
        <v>42.0</v>
      </c>
      <c r="P604" s="96"/>
    </row>
    <row r="605">
      <c r="C605" s="88"/>
      <c r="H605" s="35">
        <v>45.0</v>
      </c>
      <c r="J605" s="35">
        <v>0.51</v>
      </c>
      <c r="K605" s="35">
        <v>43.0</v>
      </c>
      <c r="P605" s="96"/>
    </row>
    <row r="606">
      <c r="C606" s="88"/>
      <c r="H606" s="35">
        <v>43.0</v>
      </c>
      <c r="J606" s="35">
        <v>0.54</v>
      </c>
      <c r="K606" s="35">
        <v>42.0</v>
      </c>
      <c r="P606" s="96"/>
    </row>
    <row r="607">
      <c r="C607" s="88"/>
      <c r="H607" s="35">
        <v>47.0</v>
      </c>
      <c r="J607" s="35">
        <v>0.49</v>
      </c>
      <c r="K607" s="35">
        <v>40.0</v>
      </c>
      <c r="P607" s="96"/>
    </row>
    <row r="608">
      <c r="C608" s="88"/>
      <c r="H608" s="35">
        <v>45.0</v>
      </c>
      <c r="J608" s="35">
        <v>0.51</v>
      </c>
      <c r="K608" s="35">
        <v>42.0</v>
      </c>
      <c r="P608" s="96"/>
    </row>
    <row r="609">
      <c r="C609" s="88"/>
      <c r="H609" s="35">
        <v>43.0</v>
      </c>
      <c r="J609" s="35">
        <v>0.55</v>
      </c>
      <c r="K609" s="35">
        <v>38.0</v>
      </c>
      <c r="P609" s="96"/>
    </row>
    <row r="610">
      <c r="C610" s="88"/>
      <c r="H610" s="35">
        <v>41.0</v>
      </c>
      <c r="J610" s="35">
        <v>0.57</v>
      </c>
      <c r="K610" s="35">
        <v>42.0</v>
      </c>
      <c r="P610" s="96"/>
    </row>
    <row r="611">
      <c r="C611" s="88"/>
      <c r="H611" s="35">
        <v>49.0</v>
      </c>
      <c r="J611" s="35">
        <v>0.61</v>
      </c>
      <c r="K611" s="35">
        <v>42.0</v>
      </c>
      <c r="P611" s="96"/>
    </row>
    <row r="612">
      <c r="C612" s="88"/>
      <c r="H612" s="35">
        <v>44.0</v>
      </c>
      <c r="J612" s="35">
        <v>0.53</v>
      </c>
      <c r="K612" s="35">
        <v>43.0</v>
      </c>
      <c r="P612" s="96"/>
    </row>
    <row r="613">
      <c r="C613" s="88"/>
      <c r="H613" s="35">
        <v>43.0</v>
      </c>
      <c r="J613" s="35">
        <v>0.52</v>
      </c>
      <c r="K613" s="35">
        <v>40.0</v>
      </c>
      <c r="P613" s="96"/>
    </row>
    <row r="614">
      <c r="C614" s="88"/>
      <c r="H614" s="35">
        <v>47.0</v>
      </c>
      <c r="J614" s="35">
        <v>0.5</v>
      </c>
      <c r="K614" s="35">
        <v>43.0</v>
      </c>
      <c r="P614" s="96"/>
    </row>
    <row r="615">
      <c r="C615" s="88"/>
      <c r="H615" s="35">
        <v>38.0</v>
      </c>
      <c r="J615" s="35">
        <v>0.59</v>
      </c>
      <c r="K615" s="35">
        <v>49.0</v>
      </c>
      <c r="P615" s="96"/>
    </row>
    <row r="616">
      <c r="C616" s="88"/>
      <c r="H616" s="35">
        <v>39.0</v>
      </c>
      <c r="J616" s="35">
        <v>0.53</v>
      </c>
      <c r="K616" s="35">
        <v>41.0</v>
      </c>
      <c r="P616" s="96"/>
    </row>
    <row r="617">
      <c r="C617" s="88"/>
      <c r="H617" s="35">
        <v>44.0</v>
      </c>
      <c r="J617" s="35">
        <v>0.6</v>
      </c>
      <c r="K617" s="35">
        <v>41.0</v>
      </c>
      <c r="P617" s="96"/>
    </row>
    <row r="618">
      <c r="C618" s="88"/>
      <c r="H618" s="35">
        <v>44.0</v>
      </c>
      <c r="J618" s="35">
        <v>0.52</v>
      </c>
      <c r="K618" s="35">
        <v>42.0</v>
      </c>
      <c r="P618" s="96"/>
    </row>
    <row r="619">
      <c r="C619" s="88"/>
      <c r="H619" s="35">
        <v>40.0</v>
      </c>
      <c r="J619" s="35">
        <v>0.55</v>
      </c>
      <c r="K619" s="35">
        <v>42.0</v>
      </c>
      <c r="P619" s="96"/>
    </row>
    <row r="620">
      <c r="C620" s="88"/>
      <c r="H620" s="35">
        <v>43.0</v>
      </c>
      <c r="J620" s="35">
        <v>0.47</v>
      </c>
      <c r="K620" s="35">
        <v>48.0</v>
      </c>
      <c r="P620" s="96"/>
    </row>
    <row r="621">
      <c r="C621" s="88"/>
      <c r="H621" s="35">
        <v>45.0</v>
      </c>
      <c r="J621" s="35">
        <v>0.57</v>
      </c>
      <c r="K621" s="35">
        <v>45.0</v>
      </c>
      <c r="P621" s="96"/>
    </row>
    <row r="622">
      <c r="C622" s="88"/>
      <c r="H622" s="35">
        <v>45.0</v>
      </c>
      <c r="J622" s="35">
        <v>0.49</v>
      </c>
      <c r="K622" s="35">
        <v>44.0</v>
      </c>
      <c r="P622" s="96"/>
    </row>
    <row r="623">
      <c r="C623" s="88"/>
      <c r="H623" s="35">
        <v>45.0</v>
      </c>
      <c r="J623" s="35">
        <v>0.47</v>
      </c>
      <c r="K623" s="35">
        <v>48.0</v>
      </c>
      <c r="P623" s="96"/>
    </row>
    <row r="624">
      <c r="C624" s="88"/>
      <c r="H624" s="35">
        <v>47.0</v>
      </c>
      <c r="J624" s="35">
        <v>0.5</v>
      </c>
      <c r="K624" s="35">
        <v>39.0</v>
      </c>
      <c r="P624" s="96"/>
    </row>
    <row r="625">
      <c r="C625" s="88"/>
      <c r="H625" s="35">
        <v>46.0</v>
      </c>
      <c r="J625" s="35">
        <v>0.52</v>
      </c>
      <c r="K625" s="35">
        <v>39.0</v>
      </c>
      <c r="P625" s="96"/>
    </row>
    <row r="626">
      <c r="C626" s="88"/>
      <c r="H626" s="35">
        <v>43.0</v>
      </c>
      <c r="J626" s="35">
        <v>0.55</v>
      </c>
      <c r="K626" s="35">
        <v>42.0</v>
      </c>
      <c r="P626" s="96"/>
    </row>
    <row r="627">
      <c r="C627" s="88"/>
      <c r="H627" s="35">
        <v>48.0</v>
      </c>
      <c r="J627" s="35">
        <v>0.59</v>
      </c>
      <c r="K627" s="35">
        <v>50.0</v>
      </c>
      <c r="P627" s="96"/>
    </row>
    <row r="628">
      <c r="C628" s="88"/>
      <c r="H628" s="35">
        <v>45.0</v>
      </c>
      <c r="J628" s="35">
        <v>0.65</v>
      </c>
      <c r="K628" s="35">
        <v>51.0</v>
      </c>
      <c r="P628" s="96"/>
    </row>
    <row r="629">
      <c r="C629" s="88"/>
      <c r="H629" s="35">
        <v>45.0</v>
      </c>
      <c r="J629" s="35">
        <v>0.49</v>
      </c>
      <c r="K629" s="35">
        <v>44.0</v>
      </c>
      <c r="P629" s="96"/>
    </row>
    <row r="630">
      <c r="C630" s="88"/>
      <c r="H630" s="35">
        <v>44.0</v>
      </c>
      <c r="J630" s="35">
        <v>0.58</v>
      </c>
      <c r="K630" s="35">
        <v>48.0</v>
      </c>
      <c r="P630" s="96"/>
    </row>
    <row r="631">
      <c r="C631" s="88"/>
      <c r="H631" s="35">
        <v>44.0</v>
      </c>
      <c r="J631" s="35">
        <v>0.57</v>
      </c>
      <c r="K631" s="35">
        <v>50.0</v>
      </c>
      <c r="P631" s="96"/>
    </row>
    <row r="632">
      <c r="C632" s="88"/>
      <c r="H632" s="35">
        <v>46.0</v>
      </c>
      <c r="J632" s="35">
        <v>0.49</v>
      </c>
      <c r="K632" s="35">
        <v>46.0</v>
      </c>
      <c r="P632" s="96"/>
    </row>
    <row r="633">
      <c r="C633" s="88"/>
      <c r="H633" s="35">
        <v>45.0</v>
      </c>
      <c r="J633" s="35">
        <v>0.45</v>
      </c>
      <c r="K633" s="35">
        <v>43.0</v>
      </c>
      <c r="P633" s="96"/>
    </row>
    <row r="634">
      <c r="C634" s="88"/>
      <c r="H634" s="35">
        <v>48.0</v>
      </c>
      <c r="J634" s="35">
        <v>0.51</v>
      </c>
      <c r="K634" s="35">
        <v>43.0</v>
      </c>
      <c r="P634" s="96"/>
    </row>
    <row r="635">
      <c r="C635" s="88"/>
      <c r="H635" s="35">
        <v>41.0</v>
      </c>
      <c r="J635" s="35">
        <v>0.49</v>
      </c>
      <c r="K635" s="35">
        <v>42.0</v>
      </c>
      <c r="P635" s="96"/>
    </row>
    <row r="636">
      <c r="C636" s="88"/>
      <c r="H636" s="35">
        <v>52.0</v>
      </c>
      <c r="J636" s="35">
        <v>0.56</v>
      </c>
      <c r="K636" s="35">
        <v>40.0</v>
      </c>
      <c r="P636" s="96"/>
    </row>
    <row r="637">
      <c r="C637" s="88"/>
      <c r="H637" s="35">
        <v>46.0</v>
      </c>
      <c r="J637" s="35">
        <v>0.55</v>
      </c>
      <c r="K637" s="35">
        <v>39.0</v>
      </c>
      <c r="P637" s="96"/>
    </row>
    <row r="638">
      <c r="C638" s="88"/>
      <c r="H638" s="35">
        <v>40.0</v>
      </c>
      <c r="J638" s="35">
        <v>0.49</v>
      </c>
      <c r="K638" s="35">
        <v>47.0</v>
      </c>
      <c r="P638" s="96"/>
    </row>
    <row r="639">
      <c r="C639" s="88"/>
      <c r="H639" s="35">
        <v>46.0</v>
      </c>
      <c r="J639" s="35">
        <v>0.48</v>
      </c>
      <c r="K639" s="35">
        <v>47.0</v>
      </c>
      <c r="P639" s="96"/>
    </row>
    <row r="640">
      <c r="C640" s="88"/>
      <c r="H640" s="35">
        <v>46.0</v>
      </c>
      <c r="J640" s="35">
        <v>0.52</v>
      </c>
      <c r="K640" s="35">
        <v>42.0</v>
      </c>
      <c r="P640" s="96"/>
    </row>
    <row r="641">
      <c r="C641" s="88"/>
      <c r="H641" s="35">
        <v>41.0</v>
      </c>
      <c r="J641" s="35">
        <v>0.53</v>
      </c>
      <c r="K641" s="35">
        <v>38.0</v>
      </c>
      <c r="P641" s="96"/>
    </row>
    <row r="642">
      <c r="C642" s="88"/>
      <c r="H642" s="35">
        <v>38.0</v>
      </c>
      <c r="J642" s="35">
        <v>0.58</v>
      </c>
      <c r="K642" s="35">
        <v>54.0</v>
      </c>
      <c r="P642" s="96"/>
    </row>
    <row r="643">
      <c r="C643" s="88"/>
      <c r="H643" s="35">
        <v>43.0</v>
      </c>
      <c r="J643" s="35">
        <v>0.48</v>
      </c>
      <c r="K643" s="35">
        <v>46.0</v>
      </c>
      <c r="P643" s="96"/>
    </row>
    <row r="644">
      <c r="C644" s="88"/>
      <c r="H644" s="35">
        <v>52.0</v>
      </c>
      <c r="J644" s="35">
        <v>0.56</v>
      </c>
      <c r="K644" s="35">
        <v>37.0</v>
      </c>
      <c r="P644" s="96"/>
    </row>
    <row r="645">
      <c r="C645" s="88"/>
      <c r="H645" s="35">
        <v>41.0</v>
      </c>
      <c r="J645" s="35">
        <v>0.54</v>
      </c>
      <c r="K645" s="35">
        <v>40.0</v>
      </c>
      <c r="P645" s="96"/>
    </row>
    <row r="646">
      <c r="C646" s="88"/>
      <c r="H646" s="35">
        <v>40.0</v>
      </c>
      <c r="J646" s="35">
        <v>0.54</v>
      </c>
      <c r="K646" s="35">
        <v>42.0</v>
      </c>
      <c r="P646" s="96"/>
    </row>
    <row r="647">
      <c r="C647" s="88"/>
      <c r="H647" s="35">
        <v>46.0</v>
      </c>
      <c r="J647" s="35">
        <v>0.56</v>
      </c>
      <c r="K647" s="35">
        <v>48.0</v>
      </c>
      <c r="P647" s="96"/>
    </row>
    <row r="648">
      <c r="C648" s="88"/>
      <c r="H648" s="35">
        <v>45.0</v>
      </c>
      <c r="J648" s="35">
        <v>0.46</v>
      </c>
      <c r="K648" s="35">
        <v>46.0</v>
      </c>
      <c r="P648" s="96"/>
    </row>
    <row r="649">
      <c r="C649" s="88"/>
      <c r="H649" s="35">
        <v>44.0</v>
      </c>
      <c r="J649" s="35">
        <v>0.52</v>
      </c>
      <c r="K649" s="35">
        <v>40.0</v>
      </c>
      <c r="P649" s="96"/>
    </row>
    <row r="650">
      <c r="C650" s="88"/>
      <c r="H650" s="35">
        <v>41.0</v>
      </c>
      <c r="J650" s="35">
        <v>0.49</v>
      </c>
      <c r="K650" s="35">
        <v>47.0</v>
      </c>
      <c r="P650" s="96"/>
    </row>
    <row r="651">
      <c r="C651" s="88"/>
      <c r="H651" s="35">
        <v>43.0</v>
      </c>
      <c r="J651" s="35">
        <v>0.54</v>
      </c>
      <c r="K651" s="35">
        <v>41.0</v>
      </c>
      <c r="P651" s="96"/>
    </row>
    <row r="652">
      <c r="C652" s="88"/>
      <c r="H652" s="35">
        <v>43.0</v>
      </c>
      <c r="J652" s="35">
        <v>0.54</v>
      </c>
      <c r="K652" s="35">
        <v>48.0</v>
      </c>
      <c r="P652" s="96"/>
    </row>
    <row r="653">
      <c r="C653" s="88"/>
      <c r="H653" s="35">
        <v>54.0</v>
      </c>
      <c r="J653" s="35">
        <v>0.44</v>
      </c>
      <c r="K653" s="35">
        <v>36.0</v>
      </c>
      <c r="P653" s="96"/>
    </row>
    <row r="654">
      <c r="C654" s="88"/>
      <c r="H654" s="35">
        <v>48.0</v>
      </c>
      <c r="J654" s="35">
        <v>0.48</v>
      </c>
      <c r="K654" s="35">
        <v>43.0</v>
      </c>
      <c r="P654" s="96"/>
    </row>
    <row r="655">
      <c r="C655" s="88"/>
      <c r="H655" s="35">
        <v>43.0</v>
      </c>
      <c r="J655" s="35">
        <v>0.53</v>
      </c>
      <c r="K655" s="35">
        <v>50.0</v>
      </c>
      <c r="P655" s="96"/>
    </row>
    <row r="656">
      <c r="C656" s="88"/>
      <c r="H656" s="35">
        <v>45.0</v>
      </c>
      <c r="J656" s="35">
        <v>0.48</v>
      </c>
      <c r="K656" s="35">
        <v>47.0</v>
      </c>
      <c r="P656" s="96"/>
    </row>
    <row r="657">
      <c r="C657" s="88"/>
      <c r="H657" s="35">
        <v>44.0</v>
      </c>
      <c r="J657" s="35">
        <v>0.53</v>
      </c>
      <c r="K657" s="35">
        <v>49.0</v>
      </c>
      <c r="P657" s="96"/>
    </row>
    <row r="658">
      <c r="C658" s="88"/>
      <c r="H658" s="35">
        <v>39.0</v>
      </c>
      <c r="J658" s="35">
        <v>0.5</v>
      </c>
      <c r="K658" s="35">
        <v>44.0</v>
      </c>
      <c r="P658" s="96"/>
    </row>
    <row r="659">
      <c r="C659" s="88"/>
      <c r="H659" s="35">
        <v>51.0</v>
      </c>
      <c r="J659" s="35">
        <v>0.48</v>
      </c>
      <c r="K659" s="35">
        <v>46.0</v>
      </c>
      <c r="P659" s="96"/>
    </row>
    <row r="660">
      <c r="C660" s="88"/>
      <c r="H660" s="35">
        <v>39.0</v>
      </c>
      <c r="J660" s="35">
        <v>0.53</v>
      </c>
      <c r="K660" s="35">
        <v>42.0</v>
      </c>
      <c r="P660" s="96"/>
    </row>
    <row r="661">
      <c r="C661" s="88"/>
      <c r="H661" s="35">
        <v>45.0</v>
      </c>
      <c r="J661" s="35">
        <v>0.5</v>
      </c>
      <c r="K661" s="35">
        <v>39.0</v>
      </c>
      <c r="P661" s="96"/>
    </row>
    <row r="662">
      <c r="C662" s="88"/>
      <c r="H662" s="35">
        <v>41.0</v>
      </c>
      <c r="J662" s="35">
        <v>0.46</v>
      </c>
      <c r="K662" s="35">
        <v>46.0</v>
      </c>
      <c r="P662" s="96"/>
    </row>
    <row r="663">
      <c r="C663" s="88"/>
      <c r="H663" s="35">
        <v>45.0</v>
      </c>
      <c r="J663" s="35">
        <v>0.48</v>
      </c>
      <c r="K663" s="35">
        <v>46.0</v>
      </c>
      <c r="P663" s="96"/>
    </row>
    <row r="664">
      <c r="C664" s="88"/>
      <c r="H664" s="35">
        <v>42.0</v>
      </c>
      <c r="J664" s="35">
        <v>0.53</v>
      </c>
      <c r="K664" s="35">
        <v>47.0</v>
      </c>
      <c r="P664" s="96"/>
    </row>
    <row r="665">
      <c r="C665" s="88"/>
      <c r="H665" s="35">
        <v>48.0</v>
      </c>
      <c r="J665" s="35">
        <v>0.49</v>
      </c>
      <c r="K665" s="35">
        <v>43.0</v>
      </c>
      <c r="P665" s="96"/>
    </row>
    <row r="666">
      <c r="C666" s="88"/>
      <c r="H666" s="35">
        <v>44.0</v>
      </c>
      <c r="J666" s="35">
        <v>0.48</v>
      </c>
      <c r="K666" s="35">
        <v>42.0</v>
      </c>
      <c r="P666" s="96"/>
    </row>
    <row r="667">
      <c r="C667" s="88"/>
      <c r="H667" s="35">
        <v>46.0</v>
      </c>
      <c r="J667" s="35">
        <v>0.49</v>
      </c>
      <c r="K667" s="35">
        <v>45.0</v>
      </c>
      <c r="P667" s="96"/>
    </row>
    <row r="668">
      <c r="C668" s="88"/>
      <c r="H668" s="35">
        <v>40.0</v>
      </c>
      <c r="J668" s="35">
        <v>0.57</v>
      </c>
      <c r="K668" s="35">
        <v>49.0</v>
      </c>
      <c r="P668" s="96"/>
    </row>
    <row r="669">
      <c r="C669" s="88"/>
      <c r="H669" s="35">
        <v>51.0</v>
      </c>
      <c r="J669" s="35">
        <v>0.53</v>
      </c>
      <c r="K669" s="35">
        <v>40.0</v>
      </c>
      <c r="P669" s="96"/>
    </row>
    <row r="670">
      <c r="C670" s="88"/>
      <c r="H670" s="35">
        <v>46.0</v>
      </c>
      <c r="J670" s="35">
        <v>0.53</v>
      </c>
      <c r="K670" s="35">
        <v>42.0</v>
      </c>
      <c r="P670" s="96"/>
    </row>
    <row r="671">
      <c r="C671" s="88"/>
      <c r="H671" s="35">
        <v>47.0</v>
      </c>
      <c r="J671" s="35">
        <v>0.51</v>
      </c>
      <c r="K671" s="35">
        <v>44.0</v>
      </c>
      <c r="P671" s="96"/>
    </row>
    <row r="672">
      <c r="C672" s="88"/>
      <c r="H672" s="35">
        <v>46.0</v>
      </c>
      <c r="J672" s="35">
        <v>0.54</v>
      </c>
      <c r="K672" s="35">
        <v>45.0</v>
      </c>
      <c r="P672" s="96"/>
    </row>
    <row r="673">
      <c r="C673" s="88"/>
      <c r="H673" s="35">
        <v>42.0</v>
      </c>
      <c r="J673" s="35">
        <v>0.58</v>
      </c>
      <c r="K673" s="35">
        <v>39.0</v>
      </c>
      <c r="P673" s="96"/>
    </row>
    <row r="674">
      <c r="C674" s="88"/>
      <c r="H674" s="35">
        <v>42.0</v>
      </c>
      <c r="J674" s="35">
        <v>0.57</v>
      </c>
      <c r="K674" s="35">
        <v>44.0</v>
      </c>
      <c r="P674" s="96"/>
    </row>
    <row r="675">
      <c r="C675" s="88"/>
      <c r="H675" s="35">
        <v>39.0</v>
      </c>
      <c r="J675" s="35">
        <v>0.5</v>
      </c>
      <c r="K675" s="35">
        <v>42.0</v>
      </c>
      <c r="P675" s="96"/>
    </row>
    <row r="676">
      <c r="C676" s="88"/>
      <c r="H676" s="35">
        <v>46.0</v>
      </c>
      <c r="J676" s="35">
        <v>0.55</v>
      </c>
      <c r="K676" s="35">
        <v>42.0</v>
      </c>
      <c r="P676" s="96"/>
    </row>
    <row r="677">
      <c r="C677" s="88"/>
      <c r="H677" s="35">
        <v>45.0</v>
      </c>
      <c r="J677" s="35">
        <v>0.54</v>
      </c>
      <c r="K677" s="35">
        <v>37.0</v>
      </c>
      <c r="P677" s="96"/>
    </row>
    <row r="678">
      <c r="C678" s="88"/>
      <c r="H678" s="35">
        <v>45.0</v>
      </c>
      <c r="J678" s="35">
        <v>0.56</v>
      </c>
      <c r="K678" s="35">
        <v>50.0</v>
      </c>
      <c r="P678" s="96"/>
    </row>
    <row r="679">
      <c r="C679" s="88"/>
      <c r="H679" s="35">
        <v>51.0</v>
      </c>
      <c r="J679" s="35">
        <v>0.55</v>
      </c>
      <c r="K679" s="35">
        <v>42.0</v>
      </c>
      <c r="P679" s="96"/>
    </row>
    <row r="680">
      <c r="C680" s="88"/>
      <c r="H680" s="35">
        <v>46.0</v>
      </c>
      <c r="J680" s="35">
        <v>0.55</v>
      </c>
      <c r="K680" s="35">
        <v>41.0</v>
      </c>
      <c r="P680" s="96"/>
    </row>
    <row r="681">
      <c r="C681" s="88"/>
      <c r="H681" s="35">
        <v>45.0</v>
      </c>
      <c r="J681" s="35">
        <v>0.5</v>
      </c>
      <c r="K681" s="35">
        <v>45.0</v>
      </c>
      <c r="P681" s="96"/>
    </row>
    <row r="682">
      <c r="C682" s="88"/>
      <c r="H682" s="35">
        <v>46.0</v>
      </c>
      <c r="J682" s="35">
        <v>0.54</v>
      </c>
      <c r="K682" s="35">
        <v>42.0</v>
      </c>
      <c r="P682" s="96"/>
    </row>
    <row r="683">
      <c r="C683" s="88"/>
      <c r="H683" s="35">
        <v>44.0</v>
      </c>
      <c r="J683" s="35">
        <v>0.54</v>
      </c>
      <c r="K683" s="35">
        <v>39.0</v>
      </c>
      <c r="P683" s="96"/>
    </row>
    <row r="684">
      <c r="C684" s="88"/>
      <c r="H684" s="35">
        <v>48.0</v>
      </c>
      <c r="J684" s="35">
        <v>0.59</v>
      </c>
      <c r="K684" s="35">
        <v>45.0</v>
      </c>
      <c r="P684" s="96"/>
    </row>
    <row r="685">
      <c r="C685" s="88"/>
      <c r="H685" s="35">
        <v>40.0</v>
      </c>
      <c r="J685" s="35">
        <v>0.5</v>
      </c>
      <c r="K685" s="35">
        <v>37.0</v>
      </c>
      <c r="P685" s="96"/>
    </row>
    <row r="686">
      <c r="C686" s="88"/>
      <c r="H686" s="35">
        <v>42.0</v>
      </c>
      <c r="J686" s="35">
        <v>0.52</v>
      </c>
      <c r="K686" s="35">
        <v>52.0</v>
      </c>
      <c r="P686" s="96"/>
    </row>
    <row r="687">
      <c r="C687" s="88"/>
      <c r="H687" s="35">
        <v>46.0</v>
      </c>
      <c r="J687" s="35">
        <v>0.52</v>
      </c>
      <c r="K687" s="35">
        <v>43.0</v>
      </c>
      <c r="P687" s="96"/>
    </row>
    <row r="688">
      <c r="C688" s="88"/>
      <c r="H688" s="35">
        <v>41.0</v>
      </c>
      <c r="J688" s="35">
        <v>0.56</v>
      </c>
      <c r="K688" s="35">
        <v>42.0</v>
      </c>
      <c r="P688" s="96"/>
    </row>
    <row r="689">
      <c r="C689" s="88"/>
      <c r="H689" s="35">
        <v>44.0</v>
      </c>
      <c r="J689" s="35">
        <v>0.54</v>
      </c>
      <c r="K689" s="35">
        <v>45.0</v>
      </c>
      <c r="P689" s="96"/>
    </row>
    <row r="690">
      <c r="C690" s="88"/>
      <c r="H690" s="35">
        <v>48.0</v>
      </c>
      <c r="J690" s="35">
        <v>0.53</v>
      </c>
      <c r="K690" s="35">
        <v>45.0</v>
      </c>
      <c r="P690" s="96"/>
    </row>
    <row r="691">
      <c r="C691" s="88"/>
      <c r="H691" s="35">
        <v>48.0</v>
      </c>
      <c r="J691" s="35">
        <v>0.56</v>
      </c>
      <c r="K691" s="35">
        <v>46.0</v>
      </c>
      <c r="P691" s="96"/>
    </row>
    <row r="692">
      <c r="C692" s="88"/>
      <c r="H692" s="35">
        <v>45.0</v>
      </c>
      <c r="J692" s="35">
        <v>0.5</v>
      </c>
      <c r="K692" s="35">
        <v>40.0</v>
      </c>
      <c r="P692" s="96"/>
    </row>
    <row r="693">
      <c r="C693" s="88"/>
      <c r="H693" s="35">
        <v>42.0</v>
      </c>
      <c r="J693" s="35">
        <v>0.52</v>
      </c>
      <c r="K693" s="35">
        <v>45.0</v>
      </c>
      <c r="P693" s="96"/>
    </row>
    <row r="694">
      <c r="C694" s="88"/>
      <c r="H694" s="35">
        <v>43.0</v>
      </c>
      <c r="J694" s="35">
        <v>0.52</v>
      </c>
      <c r="K694" s="35">
        <v>35.0</v>
      </c>
      <c r="P694" s="96"/>
    </row>
    <row r="695">
      <c r="C695" s="88"/>
      <c r="H695" s="35">
        <v>46.0</v>
      </c>
      <c r="J695" s="35">
        <v>0.53</v>
      </c>
      <c r="K695" s="35">
        <v>42.0</v>
      </c>
      <c r="P695" s="96"/>
    </row>
    <row r="696">
      <c r="C696" s="88"/>
      <c r="H696" s="35">
        <v>41.0</v>
      </c>
      <c r="J696" s="35">
        <v>0.51</v>
      </c>
      <c r="K696" s="35">
        <v>43.0</v>
      </c>
      <c r="P696" s="96"/>
    </row>
    <row r="697">
      <c r="C697" s="88"/>
      <c r="H697" s="35">
        <v>41.0</v>
      </c>
      <c r="J697" s="35">
        <v>0.52</v>
      </c>
      <c r="K697" s="35">
        <v>39.0</v>
      </c>
      <c r="P697" s="96"/>
    </row>
    <row r="698">
      <c r="C698" s="88"/>
      <c r="H698" s="35">
        <v>41.0</v>
      </c>
      <c r="J698" s="35">
        <v>0.52</v>
      </c>
      <c r="K698" s="35">
        <v>48.0</v>
      </c>
      <c r="P698" s="96"/>
    </row>
    <row r="699">
      <c r="C699" s="88"/>
      <c r="H699" s="35">
        <v>39.0</v>
      </c>
      <c r="J699" s="35">
        <v>0.53</v>
      </c>
      <c r="K699" s="35">
        <v>38.0</v>
      </c>
      <c r="P699" s="96"/>
    </row>
    <row r="700">
      <c r="C700" s="88"/>
      <c r="H700" s="35">
        <v>40.0</v>
      </c>
      <c r="J700" s="35">
        <v>0.53</v>
      </c>
      <c r="K700" s="35">
        <v>50.0</v>
      </c>
      <c r="P700" s="96"/>
    </row>
    <row r="701">
      <c r="C701" s="88"/>
      <c r="H701" s="35">
        <v>50.0</v>
      </c>
      <c r="J701" s="35">
        <v>0.5</v>
      </c>
      <c r="K701" s="35">
        <v>44.0</v>
      </c>
      <c r="P701" s="96"/>
    </row>
    <row r="702">
      <c r="C702" s="88"/>
      <c r="H702" s="35">
        <v>46.0</v>
      </c>
      <c r="J702" s="35">
        <v>0.54</v>
      </c>
      <c r="K702" s="35">
        <v>43.0</v>
      </c>
      <c r="P702" s="96"/>
    </row>
    <row r="703">
      <c r="C703" s="88"/>
      <c r="H703" s="35">
        <v>47.0</v>
      </c>
      <c r="J703" s="35">
        <v>0.54</v>
      </c>
      <c r="K703" s="35">
        <v>45.0</v>
      </c>
      <c r="P703" s="96"/>
    </row>
    <row r="704">
      <c r="C704" s="88"/>
      <c r="H704" s="35">
        <v>48.0</v>
      </c>
      <c r="J704" s="35">
        <v>0.49</v>
      </c>
      <c r="K704" s="35">
        <v>45.0</v>
      </c>
      <c r="P704" s="96"/>
    </row>
    <row r="705">
      <c r="C705" s="88"/>
      <c r="H705" s="35">
        <v>44.0</v>
      </c>
      <c r="J705" s="35">
        <v>0.54</v>
      </c>
      <c r="K705" s="35">
        <v>45.0</v>
      </c>
      <c r="P705" s="96"/>
    </row>
    <row r="706">
      <c r="C706" s="88"/>
      <c r="H706" s="35">
        <v>45.0</v>
      </c>
      <c r="J706" s="35">
        <v>0.49</v>
      </c>
      <c r="K706" s="35">
        <v>37.0</v>
      </c>
      <c r="P706" s="96"/>
    </row>
    <row r="707">
      <c r="C707" s="88"/>
      <c r="H707" s="35">
        <v>45.0</v>
      </c>
      <c r="J707" s="35">
        <v>0.5</v>
      </c>
      <c r="K707" s="35">
        <v>39.0</v>
      </c>
      <c r="P707" s="96"/>
    </row>
    <row r="708">
      <c r="C708" s="88"/>
      <c r="H708" s="35">
        <v>39.0</v>
      </c>
      <c r="J708" s="35">
        <v>0.52</v>
      </c>
      <c r="K708" s="35">
        <v>41.0</v>
      </c>
      <c r="P708" s="96"/>
    </row>
    <row r="709">
      <c r="C709" s="88"/>
      <c r="H709" s="35">
        <v>41.0</v>
      </c>
      <c r="J709" s="35">
        <v>0.49</v>
      </c>
      <c r="K709" s="35">
        <v>39.0</v>
      </c>
      <c r="P709" s="96"/>
    </row>
    <row r="710">
      <c r="C710" s="88"/>
      <c r="H710" s="35">
        <v>39.0</v>
      </c>
      <c r="J710" s="35">
        <v>0.51</v>
      </c>
      <c r="K710" s="35">
        <v>42.0</v>
      </c>
      <c r="P710" s="96"/>
    </row>
    <row r="711">
      <c r="C711" s="88"/>
      <c r="H711" s="35">
        <v>43.0</v>
      </c>
      <c r="J711" s="35">
        <v>0.53</v>
      </c>
      <c r="K711" s="35">
        <v>44.0</v>
      </c>
      <c r="P711" s="96"/>
    </row>
    <row r="712">
      <c r="C712" s="88"/>
      <c r="H712" s="35">
        <v>46.0</v>
      </c>
      <c r="J712" s="35">
        <v>0.55</v>
      </c>
      <c r="K712" s="35">
        <v>46.0</v>
      </c>
      <c r="P712" s="96"/>
    </row>
    <row r="713">
      <c r="C713" s="88"/>
      <c r="H713" s="35">
        <v>41.0</v>
      </c>
      <c r="J713" s="35">
        <v>0.49</v>
      </c>
      <c r="K713" s="35">
        <v>44.0</v>
      </c>
      <c r="P713" s="96"/>
    </row>
    <row r="714">
      <c r="C714" s="88"/>
      <c r="H714" s="35">
        <v>44.0</v>
      </c>
      <c r="J714" s="35">
        <v>0.54</v>
      </c>
      <c r="K714" s="35">
        <v>43.0</v>
      </c>
      <c r="P714" s="96"/>
    </row>
    <row r="715">
      <c r="C715" s="88"/>
      <c r="H715" s="35">
        <v>51.0</v>
      </c>
      <c r="J715" s="35">
        <v>0.56</v>
      </c>
      <c r="K715" s="35">
        <v>42.0</v>
      </c>
      <c r="P715" s="96"/>
    </row>
    <row r="716">
      <c r="C716" s="88"/>
      <c r="H716" s="35">
        <v>50.0</v>
      </c>
      <c r="J716" s="35">
        <v>0.49</v>
      </c>
      <c r="K716" s="35">
        <v>45.0</v>
      </c>
      <c r="P716" s="96"/>
    </row>
    <row r="717">
      <c r="C717" s="88"/>
      <c r="H717" s="35">
        <v>48.0</v>
      </c>
      <c r="J717" s="35">
        <v>0.49</v>
      </c>
      <c r="K717" s="35">
        <v>43.0</v>
      </c>
      <c r="P717" s="96"/>
    </row>
    <row r="718">
      <c r="C718" s="88"/>
      <c r="H718" s="35">
        <v>45.0</v>
      </c>
      <c r="J718" s="35">
        <v>0.54</v>
      </c>
      <c r="K718" s="35">
        <v>41.0</v>
      </c>
      <c r="P718" s="96"/>
    </row>
    <row r="719">
      <c r="C719" s="88"/>
      <c r="H719" s="35">
        <v>45.0</v>
      </c>
      <c r="J719" s="35">
        <v>0.55</v>
      </c>
      <c r="K719" s="35">
        <v>39.0</v>
      </c>
      <c r="P719" s="96"/>
    </row>
    <row r="720">
      <c r="C720" s="88"/>
      <c r="H720" s="35">
        <v>42.0</v>
      </c>
      <c r="J720" s="35">
        <v>0.53</v>
      </c>
      <c r="K720" s="35">
        <v>40.0</v>
      </c>
      <c r="P720" s="96"/>
    </row>
    <row r="721">
      <c r="C721" s="88"/>
      <c r="H721" s="35">
        <v>40.0</v>
      </c>
      <c r="J721" s="35">
        <v>0.49</v>
      </c>
      <c r="K721" s="35">
        <v>38.0</v>
      </c>
      <c r="P721" s="96"/>
    </row>
    <row r="722">
      <c r="C722" s="88"/>
      <c r="H722" s="35">
        <v>39.0</v>
      </c>
      <c r="J722" s="35">
        <v>0.5</v>
      </c>
      <c r="K722" s="35">
        <v>41.0</v>
      </c>
      <c r="P722" s="96"/>
    </row>
    <row r="723">
      <c r="C723" s="88"/>
      <c r="H723" s="35">
        <v>39.0</v>
      </c>
      <c r="J723" s="35">
        <v>0.56</v>
      </c>
      <c r="K723" s="35">
        <v>41.0</v>
      </c>
      <c r="P723" s="96"/>
    </row>
    <row r="724">
      <c r="C724" s="88"/>
      <c r="H724" s="35">
        <v>40.0</v>
      </c>
      <c r="J724" s="35">
        <v>0.52</v>
      </c>
      <c r="K724" s="35">
        <v>42.0</v>
      </c>
      <c r="P724" s="96"/>
    </row>
    <row r="725">
      <c r="C725" s="88"/>
      <c r="H725" s="35">
        <v>48.0</v>
      </c>
      <c r="J725" s="35">
        <v>0.49</v>
      </c>
      <c r="K725" s="35">
        <v>47.0</v>
      </c>
      <c r="P725" s="96"/>
    </row>
    <row r="726">
      <c r="C726" s="88"/>
      <c r="H726" s="35">
        <v>45.0</v>
      </c>
      <c r="J726" s="35">
        <v>0.5</v>
      </c>
      <c r="K726" s="35">
        <v>43.0</v>
      </c>
      <c r="P726" s="96"/>
    </row>
    <row r="727">
      <c r="C727" s="88"/>
      <c r="H727" s="35">
        <v>48.0</v>
      </c>
      <c r="J727" s="35">
        <v>0.51</v>
      </c>
      <c r="K727" s="35">
        <v>46.0</v>
      </c>
      <c r="P727" s="96"/>
    </row>
    <row r="728">
      <c r="C728" s="88"/>
      <c r="H728" s="35">
        <v>42.0</v>
      </c>
      <c r="J728" s="35">
        <v>0.49</v>
      </c>
      <c r="K728" s="35">
        <v>44.0</v>
      </c>
      <c r="P728" s="96"/>
    </row>
    <row r="729">
      <c r="C729" s="88"/>
      <c r="H729" s="35">
        <v>48.0</v>
      </c>
      <c r="J729" s="35">
        <v>0.5</v>
      </c>
      <c r="K729" s="35">
        <v>41.0</v>
      </c>
      <c r="P729" s="96"/>
    </row>
    <row r="730">
      <c r="C730" s="88"/>
      <c r="H730" s="35">
        <v>45.0</v>
      </c>
      <c r="J730" s="35">
        <v>0.48</v>
      </c>
      <c r="K730" s="35">
        <v>45.0</v>
      </c>
      <c r="P730" s="96"/>
    </row>
    <row r="731">
      <c r="C731" s="88"/>
      <c r="H731" s="35">
        <v>47.0</v>
      </c>
      <c r="J731" s="35">
        <v>0.5</v>
      </c>
      <c r="K731" s="35">
        <v>42.0</v>
      </c>
      <c r="P731" s="96"/>
    </row>
    <row r="732">
      <c r="C732" s="88"/>
      <c r="H732" s="35">
        <v>44.0</v>
      </c>
      <c r="J732" s="35">
        <v>0.46</v>
      </c>
      <c r="K732" s="35">
        <v>40.0</v>
      </c>
      <c r="P732" s="96"/>
    </row>
    <row r="733">
      <c r="C733" s="88"/>
      <c r="H733" s="35">
        <v>47.0</v>
      </c>
      <c r="J733" s="35">
        <v>0.51</v>
      </c>
      <c r="K733" s="35">
        <v>39.0</v>
      </c>
      <c r="P733" s="96"/>
    </row>
    <row r="734">
      <c r="C734" s="88"/>
      <c r="H734" s="35">
        <v>48.0</v>
      </c>
      <c r="J734" s="35">
        <v>0.43</v>
      </c>
      <c r="K734" s="35">
        <v>44.0</v>
      </c>
      <c r="P734" s="96"/>
    </row>
    <row r="735">
      <c r="C735" s="88"/>
      <c r="H735" s="35">
        <v>45.0</v>
      </c>
      <c r="J735" s="35">
        <v>0.43</v>
      </c>
      <c r="K735" s="35">
        <v>41.0</v>
      </c>
      <c r="P735" s="96"/>
    </row>
    <row r="736">
      <c r="C736" s="88"/>
      <c r="H736" s="35">
        <v>45.0</v>
      </c>
      <c r="J736" s="35">
        <v>0.51</v>
      </c>
      <c r="K736" s="35">
        <v>47.0</v>
      </c>
      <c r="P736" s="96"/>
    </row>
    <row r="737">
      <c r="C737" s="88"/>
      <c r="H737" s="35">
        <v>47.0</v>
      </c>
      <c r="J737" s="35">
        <v>0.51</v>
      </c>
      <c r="K737" s="35">
        <v>42.0</v>
      </c>
      <c r="P737" s="96"/>
    </row>
    <row r="738">
      <c r="C738" s="88"/>
      <c r="H738" s="35">
        <v>50.0</v>
      </c>
      <c r="J738" s="35">
        <v>0.48</v>
      </c>
      <c r="K738" s="35">
        <v>40.0</v>
      </c>
      <c r="P738" s="96"/>
    </row>
    <row r="739">
      <c r="C739" s="88"/>
      <c r="H739" s="35">
        <v>43.0</v>
      </c>
      <c r="J739" s="35">
        <v>0.53</v>
      </c>
      <c r="K739" s="35">
        <v>46.0</v>
      </c>
      <c r="P739" s="96"/>
    </row>
    <row r="740">
      <c r="C740" s="88"/>
      <c r="H740" s="35">
        <v>47.0</v>
      </c>
      <c r="J740" s="35">
        <v>0.51</v>
      </c>
      <c r="K740" s="35">
        <v>48.0</v>
      </c>
      <c r="P740" s="96"/>
    </row>
    <row r="741">
      <c r="C741" s="88"/>
      <c r="H741" s="35">
        <v>50.0</v>
      </c>
      <c r="J741" s="35">
        <v>0.54</v>
      </c>
      <c r="K741" s="35">
        <v>44.0</v>
      </c>
      <c r="P741" s="96"/>
    </row>
    <row r="742">
      <c r="C742" s="88"/>
      <c r="H742" s="35">
        <v>48.0</v>
      </c>
      <c r="J742" s="35">
        <v>0.44</v>
      </c>
      <c r="K742" s="35">
        <v>44.0</v>
      </c>
      <c r="P742" s="96"/>
    </row>
    <row r="743">
      <c r="C743" s="88"/>
      <c r="H743" s="35">
        <v>46.0</v>
      </c>
      <c r="J743" s="35">
        <v>0.45</v>
      </c>
      <c r="K743" s="35">
        <v>50.0</v>
      </c>
      <c r="P743" s="96"/>
    </row>
    <row r="744">
      <c r="C744" s="88"/>
      <c r="H744" s="35">
        <v>44.0</v>
      </c>
      <c r="J744" s="35">
        <v>0.45</v>
      </c>
      <c r="K744" s="35">
        <v>39.0</v>
      </c>
      <c r="P744" s="96"/>
    </row>
    <row r="745">
      <c r="C745" s="88"/>
      <c r="H745" s="35">
        <v>44.0</v>
      </c>
      <c r="J745" s="35">
        <v>0.43</v>
      </c>
      <c r="K745" s="35">
        <v>36.0</v>
      </c>
      <c r="P745" s="96"/>
    </row>
    <row r="746">
      <c r="C746" s="88"/>
      <c r="H746" s="35">
        <v>44.0</v>
      </c>
      <c r="J746" s="35">
        <v>0.45</v>
      </c>
      <c r="K746" s="35">
        <v>46.0</v>
      </c>
      <c r="P746" s="96"/>
    </row>
    <row r="747">
      <c r="C747" s="88"/>
      <c r="H747" s="35">
        <v>46.0</v>
      </c>
      <c r="J747" s="35">
        <v>0.5</v>
      </c>
      <c r="K747" s="35">
        <v>46.0</v>
      </c>
      <c r="P747" s="96"/>
    </row>
    <row r="748">
      <c r="C748" s="88"/>
      <c r="H748" s="35">
        <v>47.0</v>
      </c>
      <c r="J748" s="35">
        <v>0.46</v>
      </c>
      <c r="K748" s="35">
        <v>42.0</v>
      </c>
      <c r="P748" s="96"/>
    </row>
    <row r="749">
      <c r="C749" s="88"/>
      <c r="H749" s="35">
        <v>47.0</v>
      </c>
      <c r="J749" s="35">
        <v>0.56</v>
      </c>
      <c r="K749" s="35">
        <v>41.0</v>
      </c>
      <c r="P749" s="96"/>
    </row>
    <row r="750">
      <c r="C750" s="88"/>
      <c r="H750" s="35">
        <v>48.0</v>
      </c>
      <c r="J750" s="35">
        <v>0.5</v>
      </c>
      <c r="K750" s="35">
        <v>44.0</v>
      </c>
      <c r="P750" s="96"/>
    </row>
    <row r="751">
      <c r="C751" s="88"/>
      <c r="H751" s="35">
        <v>49.0</v>
      </c>
      <c r="J751" s="35">
        <v>0.51</v>
      </c>
      <c r="K751" s="35">
        <v>45.0</v>
      </c>
      <c r="P751" s="96"/>
    </row>
    <row r="752">
      <c r="C752" s="88"/>
      <c r="H752" s="35">
        <v>48.0</v>
      </c>
      <c r="J752" s="35">
        <v>0.46</v>
      </c>
      <c r="K752" s="35">
        <v>40.0</v>
      </c>
      <c r="P752" s="96"/>
    </row>
    <row r="753">
      <c r="C753" s="88"/>
      <c r="H753" s="35">
        <v>50.0</v>
      </c>
      <c r="J753" s="35">
        <v>0.51</v>
      </c>
      <c r="K753" s="35">
        <v>40.0</v>
      </c>
      <c r="P753" s="96"/>
    </row>
    <row r="754">
      <c r="C754" s="88"/>
      <c r="H754" s="35">
        <v>40.0</v>
      </c>
      <c r="J754" s="35">
        <v>0.48</v>
      </c>
      <c r="K754" s="35">
        <v>43.0</v>
      </c>
      <c r="P754" s="96"/>
    </row>
    <row r="755">
      <c r="C755" s="88"/>
      <c r="H755" s="35">
        <v>47.0</v>
      </c>
      <c r="J755" s="35">
        <v>0.45</v>
      </c>
      <c r="K755" s="35">
        <v>43.0</v>
      </c>
      <c r="P755" s="96"/>
    </row>
    <row r="756">
      <c r="C756" s="88"/>
      <c r="H756" s="35">
        <v>43.0</v>
      </c>
      <c r="J756" s="35">
        <v>0.47</v>
      </c>
      <c r="K756" s="35">
        <v>49.0</v>
      </c>
      <c r="P756" s="96"/>
    </row>
    <row r="757">
      <c r="C757" s="88"/>
      <c r="H757" s="35">
        <v>48.0</v>
      </c>
      <c r="J757" s="35">
        <v>0.51</v>
      </c>
      <c r="K757" s="35">
        <v>41.0</v>
      </c>
      <c r="P757" s="96"/>
    </row>
    <row r="758">
      <c r="C758" s="88"/>
      <c r="H758" s="35">
        <v>49.0</v>
      </c>
      <c r="J758" s="35">
        <v>0.46</v>
      </c>
      <c r="K758" s="35">
        <v>42.0</v>
      </c>
      <c r="P758" s="96"/>
    </row>
    <row r="759">
      <c r="C759" s="88"/>
      <c r="H759" s="35">
        <v>45.0</v>
      </c>
      <c r="J759" s="35">
        <v>0.55</v>
      </c>
      <c r="K759" s="35">
        <v>45.0</v>
      </c>
      <c r="P759" s="96"/>
    </row>
    <row r="760">
      <c r="C760" s="88"/>
      <c r="H760" s="35">
        <v>45.0</v>
      </c>
      <c r="J760" s="35">
        <v>0.44</v>
      </c>
      <c r="K760" s="35">
        <v>39.0</v>
      </c>
      <c r="P760" s="96"/>
    </row>
    <row r="761">
      <c r="C761" s="88"/>
      <c r="H761" s="35">
        <v>51.0</v>
      </c>
      <c r="J761" s="35">
        <v>0.52</v>
      </c>
      <c r="K761" s="35">
        <v>40.0</v>
      </c>
      <c r="P761" s="96"/>
    </row>
    <row r="762">
      <c r="C762" s="88"/>
      <c r="H762" s="35">
        <v>52.0</v>
      </c>
      <c r="J762" s="35">
        <v>0.51</v>
      </c>
      <c r="K762" s="35">
        <v>45.0</v>
      </c>
      <c r="P762" s="96"/>
    </row>
    <row r="763">
      <c r="C763" s="88"/>
      <c r="H763" s="35">
        <v>39.0</v>
      </c>
      <c r="J763" s="35">
        <v>0.52</v>
      </c>
      <c r="K763" s="35">
        <v>43.0</v>
      </c>
      <c r="P763" s="96"/>
    </row>
    <row r="764">
      <c r="C764" s="88"/>
      <c r="H764" s="35">
        <v>45.0</v>
      </c>
      <c r="J764" s="35">
        <v>0.52</v>
      </c>
      <c r="K764" s="35">
        <v>44.0</v>
      </c>
      <c r="P764" s="96"/>
    </row>
    <row r="765">
      <c r="C765" s="88"/>
      <c r="H765" s="35">
        <v>44.0</v>
      </c>
      <c r="J765" s="35">
        <v>0.53</v>
      </c>
      <c r="K765" s="35">
        <v>44.0</v>
      </c>
      <c r="P765" s="96"/>
    </row>
    <row r="766">
      <c r="C766" s="88"/>
      <c r="H766" s="35">
        <v>47.0</v>
      </c>
      <c r="J766" s="35">
        <v>0.43</v>
      </c>
      <c r="K766" s="35">
        <v>42.0</v>
      </c>
      <c r="P766" s="96"/>
    </row>
    <row r="767">
      <c r="C767" s="88"/>
      <c r="H767" s="35">
        <v>46.0</v>
      </c>
      <c r="J767" s="35">
        <v>0.45</v>
      </c>
      <c r="K767" s="35">
        <v>40.0</v>
      </c>
      <c r="P767" s="96"/>
    </row>
    <row r="768">
      <c r="C768" s="88"/>
      <c r="H768" s="35">
        <v>46.0</v>
      </c>
      <c r="J768" s="35">
        <v>0.44</v>
      </c>
      <c r="K768" s="35">
        <v>43.0</v>
      </c>
      <c r="P768" s="96"/>
    </row>
    <row r="769">
      <c r="C769" s="88"/>
      <c r="H769" s="35">
        <v>46.0</v>
      </c>
      <c r="J769" s="35">
        <v>0.43</v>
      </c>
      <c r="K769" s="35">
        <v>44.0</v>
      </c>
      <c r="P769" s="96"/>
    </row>
    <row r="770">
      <c r="C770" s="88"/>
      <c r="H770" s="35">
        <v>45.0</v>
      </c>
      <c r="J770" s="35">
        <v>0.44</v>
      </c>
      <c r="K770" s="35">
        <v>40.0</v>
      </c>
      <c r="P770" s="96"/>
    </row>
    <row r="771">
      <c r="C771" s="88"/>
      <c r="H771" s="35">
        <v>40.0</v>
      </c>
      <c r="J771" s="35">
        <v>0.41</v>
      </c>
      <c r="K771" s="35">
        <v>40.0</v>
      </c>
      <c r="P771" s="96"/>
    </row>
    <row r="772">
      <c r="C772" s="88"/>
      <c r="H772" s="35">
        <v>46.0</v>
      </c>
      <c r="J772" s="35">
        <v>0.46</v>
      </c>
      <c r="K772" s="35">
        <v>44.0</v>
      </c>
      <c r="P772" s="96"/>
    </row>
    <row r="773">
      <c r="C773" s="88"/>
      <c r="H773" s="35">
        <v>42.0</v>
      </c>
      <c r="J773" s="35">
        <v>0.47</v>
      </c>
      <c r="K773" s="35">
        <v>43.0</v>
      </c>
      <c r="P773" s="96"/>
    </row>
    <row r="774">
      <c r="C774" s="88"/>
      <c r="H774" s="35">
        <v>42.0</v>
      </c>
      <c r="J774" s="35">
        <v>0.43</v>
      </c>
      <c r="K774" s="35">
        <v>51.0</v>
      </c>
      <c r="P774" s="96"/>
    </row>
    <row r="775">
      <c r="C775" s="88"/>
      <c r="H775" s="35">
        <v>40.0</v>
      </c>
      <c r="J775" s="35">
        <v>0.47</v>
      </c>
      <c r="K775" s="35">
        <v>48.0</v>
      </c>
      <c r="P775" s="96"/>
    </row>
    <row r="776">
      <c r="C776" s="88"/>
      <c r="H776" s="35">
        <v>44.0</v>
      </c>
      <c r="J776" s="35">
        <v>0.49</v>
      </c>
      <c r="K776" s="35">
        <v>43.0</v>
      </c>
      <c r="P776" s="96"/>
    </row>
    <row r="777">
      <c r="C777" s="88"/>
      <c r="H777" s="35">
        <v>42.0</v>
      </c>
      <c r="J777" s="35">
        <v>0.46</v>
      </c>
      <c r="K777" s="35">
        <v>42.0</v>
      </c>
      <c r="P777" s="96"/>
    </row>
    <row r="778">
      <c r="C778" s="88"/>
      <c r="H778" s="35">
        <v>41.0</v>
      </c>
      <c r="J778" s="35">
        <v>0.4</v>
      </c>
      <c r="K778" s="35">
        <v>42.0</v>
      </c>
      <c r="P778" s="96"/>
    </row>
    <row r="779">
      <c r="C779" s="88"/>
      <c r="H779" s="35">
        <v>43.0</v>
      </c>
      <c r="J779" s="35">
        <v>0.49</v>
      </c>
      <c r="K779" s="35">
        <v>42.0</v>
      </c>
      <c r="P779" s="96"/>
    </row>
    <row r="780">
      <c r="C780" s="88"/>
      <c r="H780" s="35">
        <v>41.0</v>
      </c>
      <c r="J780" s="35">
        <v>0.47</v>
      </c>
      <c r="K780" s="35">
        <v>44.0</v>
      </c>
      <c r="P780" s="96"/>
    </row>
    <row r="781">
      <c r="C781" s="88"/>
      <c r="H781" s="35">
        <v>42.0</v>
      </c>
      <c r="J781" s="35">
        <v>0.46</v>
      </c>
      <c r="K781" s="35">
        <v>42.0</v>
      </c>
      <c r="P781" s="96"/>
    </row>
    <row r="782">
      <c r="C782" s="88"/>
      <c r="H782" s="35">
        <v>40.0</v>
      </c>
      <c r="J782" s="35">
        <v>0.48</v>
      </c>
      <c r="K782" s="35">
        <v>45.0</v>
      </c>
      <c r="P782" s="96"/>
    </row>
    <row r="783">
      <c r="C783" s="88"/>
      <c r="H783" s="35">
        <v>39.0</v>
      </c>
      <c r="J783" s="35">
        <v>0.46</v>
      </c>
      <c r="K783" s="35">
        <v>44.0</v>
      </c>
      <c r="P783" s="96"/>
    </row>
    <row r="784">
      <c r="C784" s="88"/>
      <c r="H784" s="35">
        <v>44.0</v>
      </c>
      <c r="J784" s="35">
        <v>0.38</v>
      </c>
      <c r="K784" s="35">
        <v>42.0</v>
      </c>
      <c r="P784" s="96"/>
    </row>
    <row r="785">
      <c r="C785" s="88"/>
      <c r="H785" s="35">
        <v>46.0</v>
      </c>
      <c r="J785" s="35">
        <v>0.48</v>
      </c>
      <c r="K785" s="35">
        <v>40.0</v>
      </c>
      <c r="P785" s="96"/>
    </row>
    <row r="786">
      <c r="C786" s="88"/>
      <c r="H786" s="35">
        <v>42.0</v>
      </c>
      <c r="J786" s="35">
        <v>0.43</v>
      </c>
      <c r="K786" s="35">
        <v>42.0</v>
      </c>
      <c r="P786" s="96"/>
    </row>
    <row r="787">
      <c r="C787" s="88"/>
      <c r="H787" s="35">
        <v>44.0</v>
      </c>
      <c r="J787" s="35">
        <v>0.49</v>
      </c>
      <c r="K787" s="35">
        <v>43.0</v>
      </c>
      <c r="P787" s="96"/>
    </row>
    <row r="788">
      <c r="C788" s="88"/>
      <c r="H788" s="35">
        <v>42.0</v>
      </c>
      <c r="J788" s="35">
        <v>0.45</v>
      </c>
      <c r="K788" s="35">
        <v>44.0</v>
      </c>
      <c r="P788" s="96"/>
    </row>
    <row r="789">
      <c r="C789" s="88"/>
      <c r="H789" s="35">
        <v>42.0</v>
      </c>
      <c r="J789" s="35">
        <v>0.49</v>
      </c>
      <c r="K789" s="35">
        <v>43.0</v>
      </c>
      <c r="P789" s="96"/>
    </row>
    <row r="790">
      <c r="C790" s="88"/>
      <c r="H790" s="35">
        <v>44.0</v>
      </c>
      <c r="J790" s="35">
        <v>0.44</v>
      </c>
      <c r="K790" s="35">
        <v>42.0</v>
      </c>
      <c r="P790" s="96"/>
    </row>
    <row r="791">
      <c r="C791" s="88"/>
      <c r="H791" s="35">
        <v>42.0</v>
      </c>
      <c r="J791" s="35">
        <v>0.45</v>
      </c>
      <c r="K791" s="35">
        <v>42.0</v>
      </c>
      <c r="P791" s="96"/>
    </row>
    <row r="792">
      <c r="C792" s="88"/>
      <c r="H792" s="35">
        <v>43.0</v>
      </c>
      <c r="J792" s="35">
        <v>0.46</v>
      </c>
      <c r="K792" s="35">
        <v>40.0</v>
      </c>
      <c r="P792" s="96"/>
    </row>
    <row r="793">
      <c r="C793" s="88"/>
      <c r="H793" s="35">
        <v>41.0</v>
      </c>
      <c r="J793" s="35">
        <v>0.48</v>
      </c>
      <c r="K793" s="35">
        <v>43.0</v>
      </c>
      <c r="P793" s="96"/>
    </row>
    <row r="794">
      <c r="C794" s="88"/>
      <c r="H794" s="35">
        <v>38.0</v>
      </c>
      <c r="J794" s="35">
        <v>0.43</v>
      </c>
      <c r="K794" s="35">
        <v>46.0</v>
      </c>
      <c r="P794" s="96"/>
    </row>
    <row r="795">
      <c r="C795" s="88"/>
      <c r="H795" s="35">
        <v>41.0</v>
      </c>
      <c r="J795" s="35">
        <v>0.45</v>
      </c>
      <c r="K795" s="35">
        <v>45.0</v>
      </c>
      <c r="P795" s="96"/>
    </row>
    <row r="796">
      <c r="C796" s="88"/>
      <c r="H796" s="35">
        <v>46.0</v>
      </c>
      <c r="J796" s="35">
        <v>0.46</v>
      </c>
      <c r="K796" s="35">
        <v>45.0</v>
      </c>
      <c r="P796" s="96"/>
    </row>
    <row r="797">
      <c r="C797" s="88"/>
      <c r="H797" s="35">
        <v>49.0</v>
      </c>
      <c r="J797" s="35">
        <v>0.45</v>
      </c>
      <c r="K797" s="35">
        <v>43.0</v>
      </c>
      <c r="P797" s="96"/>
    </row>
    <row r="798">
      <c r="C798" s="88"/>
      <c r="H798" s="35">
        <v>43.0</v>
      </c>
      <c r="J798" s="35">
        <v>0.44</v>
      </c>
      <c r="K798" s="35">
        <v>49.0</v>
      </c>
      <c r="P798" s="96"/>
    </row>
    <row r="799">
      <c r="C799" s="88"/>
      <c r="H799" s="35">
        <v>44.0</v>
      </c>
      <c r="J799" s="35">
        <v>0.45</v>
      </c>
      <c r="K799" s="35">
        <v>43.0</v>
      </c>
      <c r="P799" s="96"/>
    </row>
    <row r="800">
      <c r="C800" s="88"/>
      <c r="H800" s="35">
        <v>50.0</v>
      </c>
      <c r="J800" s="35">
        <v>0.46</v>
      </c>
      <c r="K800" s="35">
        <v>39.0</v>
      </c>
      <c r="P800" s="96"/>
    </row>
    <row r="801">
      <c r="C801" s="88"/>
      <c r="H801" s="35">
        <v>47.0</v>
      </c>
      <c r="J801" s="35">
        <v>0.48</v>
      </c>
      <c r="K801" s="35">
        <v>44.0</v>
      </c>
      <c r="P801" s="96"/>
    </row>
    <row r="802">
      <c r="C802" s="88"/>
      <c r="H802" s="35">
        <v>42.0</v>
      </c>
      <c r="J802" s="35">
        <v>0.45</v>
      </c>
      <c r="K802" s="35">
        <v>41.0</v>
      </c>
      <c r="P802" s="96"/>
    </row>
    <row r="803">
      <c r="C803" s="88"/>
      <c r="H803" s="35">
        <v>48.0</v>
      </c>
      <c r="J803" s="35">
        <v>0.46</v>
      </c>
      <c r="K803" s="35">
        <v>49.0</v>
      </c>
      <c r="P803" s="96"/>
    </row>
    <row r="804">
      <c r="C804" s="88"/>
      <c r="H804" s="35">
        <v>46.0</v>
      </c>
      <c r="J804" s="35">
        <v>0.44</v>
      </c>
      <c r="K804" s="35">
        <v>44.0</v>
      </c>
      <c r="P804" s="96"/>
    </row>
    <row r="805">
      <c r="C805" s="88"/>
      <c r="H805" s="35">
        <v>47.0</v>
      </c>
      <c r="J805" s="35">
        <v>0.46</v>
      </c>
      <c r="K805" s="35">
        <v>40.0</v>
      </c>
      <c r="P805" s="96"/>
    </row>
    <row r="806">
      <c r="C806" s="88"/>
      <c r="H806" s="35">
        <v>42.0</v>
      </c>
      <c r="J806" s="35">
        <v>0.47</v>
      </c>
      <c r="K806" s="35">
        <v>47.0</v>
      </c>
      <c r="P806" s="96"/>
    </row>
    <row r="807">
      <c r="C807" s="88"/>
      <c r="H807" s="35">
        <v>42.0</v>
      </c>
      <c r="J807" s="35">
        <v>0.48</v>
      </c>
      <c r="K807" s="35">
        <v>48.0</v>
      </c>
      <c r="P807" s="96"/>
    </row>
    <row r="808">
      <c r="C808" s="88"/>
      <c r="H808" s="35">
        <v>49.0</v>
      </c>
      <c r="J808" s="35">
        <v>0.46</v>
      </c>
      <c r="K808" s="35">
        <v>47.0</v>
      </c>
      <c r="P808" s="96"/>
    </row>
    <row r="809">
      <c r="C809" s="88"/>
      <c r="H809" s="35">
        <v>50.0</v>
      </c>
      <c r="J809" s="35">
        <v>0.45</v>
      </c>
      <c r="K809" s="35">
        <v>41.0</v>
      </c>
      <c r="P809" s="96"/>
    </row>
    <row r="810">
      <c r="C810" s="88"/>
      <c r="H810" s="35">
        <v>45.0</v>
      </c>
      <c r="J810" s="35">
        <v>0.45</v>
      </c>
      <c r="K810" s="35">
        <v>42.0</v>
      </c>
      <c r="P810" s="96"/>
    </row>
    <row r="811">
      <c r="C811" s="88"/>
      <c r="H811" s="35">
        <v>40.0</v>
      </c>
      <c r="J811" s="35">
        <v>0.42</v>
      </c>
      <c r="K811" s="35">
        <v>46.0</v>
      </c>
      <c r="P811" s="96"/>
    </row>
    <row r="812">
      <c r="C812" s="88"/>
      <c r="H812" s="35">
        <v>49.0</v>
      </c>
      <c r="J812" s="35">
        <v>0.44</v>
      </c>
      <c r="K812" s="35">
        <v>48.0</v>
      </c>
      <c r="P812" s="96"/>
    </row>
    <row r="813">
      <c r="C813" s="88"/>
      <c r="H813" s="35">
        <v>49.0</v>
      </c>
      <c r="J813" s="35">
        <v>0.45</v>
      </c>
      <c r="K813" s="35">
        <v>38.0</v>
      </c>
      <c r="P813" s="96"/>
    </row>
    <row r="814">
      <c r="C814" s="88"/>
      <c r="H814" s="35">
        <v>45.0</v>
      </c>
      <c r="J814" s="35">
        <v>0.42</v>
      </c>
      <c r="K814" s="35">
        <v>47.0</v>
      </c>
      <c r="P814" s="96"/>
    </row>
    <row r="815">
      <c r="C815" s="88"/>
      <c r="H815" s="35">
        <v>46.0</v>
      </c>
      <c r="J815" s="35">
        <v>0.47</v>
      </c>
      <c r="K815" s="35">
        <v>42.0</v>
      </c>
      <c r="P815" s="96"/>
    </row>
    <row r="816">
      <c r="C816" s="88"/>
      <c r="H816" s="35">
        <v>49.0</v>
      </c>
      <c r="J816" s="35">
        <v>0.46</v>
      </c>
      <c r="K816" s="35">
        <v>40.0</v>
      </c>
      <c r="P816" s="96"/>
    </row>
    <row r="817">
      <c r="C817" s="88"/>
      <c r="H817" s="35">
        <v>49.0</v>
      </c>
      <c r="J817" s="35">
        <v>0.47</v>
      </c>
      <c r="K817" s="35">
        <v>39.0</v>
      </c>
      <c r="P817" s="96"/>
    </row>
    <row r="818">
      <c r="C818" s="88"/>
      <c r="H818" s="35">
        <v>44.0</v>
      </c>
      <c r="J818" s="35">
        <v>0.49</v>
      </c>
      <c r="K818" s="35">
        <v>47.0</v>
      </c>
      <c r="P818" s="96"/>
    </row>
    <row r="819">
      <c r="C819" s="88"/>
      <c r="H819" s="35">
        <v>46.0</v>
      </c>
      <c r="J819" s="35">
        <v>0.47</v>
      </c>
      <c r="K819" s="35">
        <v>47.0</v>
      </c>
      <c r="P819" s="96"/>
    </row>
    <row r="820">
      <c r="C820" s="88"/>
      <c r="H820" s="35">
        <v>47.0</v>
      </c>
      <c r="J820" s="35">
        <v>0.47</v>
      </c>
      <c r="K820" s="35">
        <v>44.0</v>
      </c>
      <c r="P820" s="96"/>
    </row>
    <row r="821">
      <c r="C821" s="88"/>
      <c r="H821" s="35">
        <v>51.0</v>
      </c>
      <c r="J821" s="35">
        <v>0.44</v>
      </c>
      <c r="K821" s="35">
        <v>41.0</v>
      </c>
      <c r="P821" s="96"/>
    </row>
    <row r="822">
      <c r="C822" s="88"/>
      <c r="H822" s="35">
        <v>44.0</v>
      </c>
      <c r="J822" s="35">
        <v>0.48</v>
      </c>
      <c r="K822" s="35">
        <v>50.0</v>
      </c>
      <c r="P822" s="96"/>
    </row>
    <row r="823">
      <c r="C823" s="88"/>
      <c r="H823" s="35">
        <v>41.0</v>
      </c>
      <c r="J823" s="35">
        <v>0.43</v>
      </c>
      <c r="K823" s="35">
        <v>46.0</v>
      </c>
      <c r="P823" s="96"/>
    </row>
    <row r="824">
      <c r="C824" s="88"/>
      <c r="H824" s="35">
        <v>52.0</v>
      </c>
      <c r="J824" s="35">
        <v>0.47</v>
      </c>
      <c r="K824" s="35">
        <v>47.0</v>
      </c>
      <c r="P824" s="96"/>
    </row>
    <row r="825">
      <c r="C825" s="88"/>
      <c r="H825" s="35">
        <v>48.0</v>
      </c>
      <c r="J825" s="35">
        <v>0.47</v>
      </c>
      <c r="K825" s="35">
        <v>39.0</v>
      </c>
      <c r="P825" s="96"/>
    </row>
    <row r="826">
      <c r="C826" s="88"/>
      <c r="H826" s="35">
        <v>47.0</v>
      </c>
      <c r="J826" s="35">
        <v>0.49</v>
      </c>
      <c r="K826" s="35">
        <v>47.0</v>
      </c>
      <c r="P826" s="96"/>
    </row>
    <row r="827">
      <c r="C827" s="88"/>
      <c r="H827" s="35">
        <v>45.0</v>
      </c>
      <c r="J827" s="35">
        <v>0.5</v>
      </c>
      <c r="K827" s="35">
        <v>43.0</v>
      </c>
      <c r="P827" s="96"/>
    </row>
    <row r="828">
      <c r="C828" s="88"/>
      <c r="H828" s="35">
        <v>46.0</v>
      </c>
      <c r="J828" s="35">
        <v>0.46</v>
      </c>
      <c r="K828" s="35">
        <v>46.0</v>
      </c>
      <c r="P828" s="96"/>
    </row>
    <row r="829">
      <c r="C829" s="88"/>
      <c r="H829" s="35">
        <v>46.0</v>
      </c>
      <c r="J829" s="35">
        <v>0.49</v>
      </c>
      <c r="K829" s="35">
        <v>43.0</v>
      </c>
      <c r="P829" s="96"/>
    </row>
    <row r="830">
      <c r="C830" s="88"/>
      <c r="H830" s="35">
        <v>44.0</v>
      </c>
      <c r="J830" s="35">
        <v>0.47</v>
      </c>
      <c r="K830" s="35">
        <v>51.0</v>
      </c>
      <c r="P830" s="96"/>
    </row>
    <row r="831">
      <c r="C831" s="88"/>
      <c r="H831" s="35">
        <v>45.0</v>
      </c>
      <c r="J831" s="35">
        <v>0.47</v>
      </c>
      <c r="K831" s="35">
        <v>47.0</v>
      </c>
      <c r="P831" s="96"/>
    </row>
    <row r="832">
      <c r="C832" s="88"/>
      <c r="H832" s="35">
        <v>48.0</v>
      </c>
      <c r="J832" s="35">
        <v>0.46</v>
      </c>
      <c r="K832" s="35">
        <v>42.0</v>
      </c>
      <c r="P832" s="96"/>
    </row>
    <row r="833">
      <c r="C833" s="88"/>
      <c r="H833" s="35">
        <v>49.0</v>
      </c>
      <c r="J833" s="35">
        <v>0.48</v>
      </c>
      <c r="K833" s="35">
        <v>38.0</v>
      </c>
      <c r="P833" s="96"/>
    </row>
    <row r="834">
      <c r="C834" s="88"/>
      <c r="H834" s="35">
        <v>53.0</v>
      </c>
      <c r="J834" s="35">
        <v>0.46</v>
      </c>
      <c r="K834" s="35">
        <v>47.0</v>
      </c>
      <c r="P834" s="96"/>
    </row>
    <row r="835">
      <c r="C835" s="88"/>
      <c r="H835" s="35">
        <v>41.0</v>
      </c>
      <c r="J835" s="35">
        <v>0.5</v>
      </c>
      <c r="K835" s="35">
        <v>43.0</v>
      </c>
      <c r="P835" s="96"/>
    </row>
    <row r="836">
      <c r="C836" s="88"/>
      <c r="H836" s="35">
        <v>48.0</v>
      </c>
      <c r="J836" s="35">
        <v>0.48</v>
      </c>
      <c r="K836" s="35">
        <v>47.0</v>
      </c>
      <c r="P836" s="96"/>
    </row>
    <row r="837">
      <c r="C837" s="88"/>
      <c r="H837" s="35">
        <v>47.0</v>
      </c>
      <c r="J837" s="35">
        <v>0.46</v>
      </c>
      <c r="K837" s="35">
        <v>44.0</v>
      </c>
      <c r="P837" s="96"/>
    </row>
    <row r="838">
      <c r="C838" s="88"/>
      <c r="H838" s="35">
        <v>45.0</v>
      </c>
      <c r="J838" s="35">
        <v>0.46</v>
      </c>
      <c r="K838" s="35">
        <v>43.0</v>
      </c>
      <c r="P838" s="96"/>
    </row>
    <row r="839">
      <c r="C839" s="88"/>
      <c r="H839" s="35">
        <v>42.0</v>
      </c>
      <c r="J839" s="35">
        <v>0.47</v>
      </c>
      <c r="K839" s="35">
        <v>43.0</v>
      </c>
      <c r="P839" s="96"/>
    </row>
    <row r="840">
      <c r="C840" s="88"/>
      <c r="H840" s="35">
        <v>41.0</v>
      </c>
      <c r="J840" s="35">
        <v>0.48</v>
      </c>
      <c r="K840" s="35">
        <v>40.0</v>
      </c>
      <c r="P840" s="96"/>
    </row>
    <row r="841">
      <c r="C841" s="88"/>
      <c r="H841" s="35">
        <v>40.0</v>
      </c>
      <c r="J841" s="35">
        <v>0.5</v>
      </c>
      <c r="K841" s="35">
        <v>40.0</v>
      </c>
      <c r="P841" s="96"/>
    </row>
    <row r="842">
      <c r="C842" s="88"/>
      <c r="H842" s="35">
        <v>41.0</v>
      </c>
      <c r="J842" s="35">
        <v>0.51</v>
      </c>
      <c r="K842" s="35">
        <v>44.0</v>
      </c>
      <c r="P842" s="96"/>
    </row>
    <row r="843">
      <c r="C843" s="88"/>
      <c r="H843" s="35">
        <v>44.0</v>
      </c>
      <c r="J843" s="35">
        <v>0.48</v>
      </c>
      <c r="K843" s="35">
        <v>47.0</v>
      </c>
      <c r="P843" s="96"/>
    </row>
    <row r="844">
      <c r="C844" s="88"/>
      <c r="H844" s="35">
        <v>43.0</v>
      </c>
      <c r="J844" s="35">
        <v>0.49</v>
      </c>
      <c r="K844" s="35">
        <v>40.0</v>
      </c>
      <c r="P844" s="96"/>
    </row>
    <row r="845">
      <c r="C845" s="88"/>
      <c r="H845" s="35">
        <v>42.0</v>
      </c>
      <c r="J845" s="35">
        <v>0.49</v>
      </c>
      <c r="K845" s="35">
        <v>40.0</v>
      </c>
      <c r="P845" s="96"/>
    </row>
    <row r="846">
      <c r="C846" s="88"/>
      <c r="H846" s="35">
        <v>44.0</v>
      </c>
      <c r="J846" s="35">
        <v>0.48</v>
      </c>
      <c r="K846" s="35">
        <v>45.0</v>
      </c>
      <c r="P846" s="96"/>
    </row>
    <row r="847">
      <c r="C847" s="88"/>
      <c r="H847" s="35">
        <v>41.0</v>
      </c>
      <c r="J847" s="35">
        <v>0.48</v>
      </c>
      <c r="K847" s="35">
        <v>42.0</v>
      </c>
      <c r="P847" s="96"/>
    </row>
    <row r="848">
      <c r="C848" s="88"/>
      <c r="H848" s="35">
        <v>49.0</v>
      </c>
      <c r="J848" s="35">
        <v>0.49</v>
      </c>
      <c r="K848" s="35">
        <v>43.0</v>
      </c>
      <c r="P848" s="96"/>
    </row>
    <row r="849">
      <c r="C849" s="88"/>
      <c r="H849" s="35">
        <v>45.0</v>
      </c>
      <c r="J849" s="35">
        <v>0.47</v>
      </c>
      <c r="K849" s="35">
        <v>44.0</v>
      </c>
      <c r="P849" s="96"/>
    </row>
    <row r="850">
      <c r="C850" s="88"/>
      <c r="H850" s="35">
        <v>46.0</v>
      </c>
      <c r="J850" s="35">
        <v>0.51</v>
      </c>
      <c r="K850" s="35">
        <v>44.0</v>
      </c>
      <c r="P850" s="96"/>
    </row>
    <row r="851">
      <c r="C851" s="88"/>
      <c r="H851" s="35">
        <v>43.0</v>
      </c>
      <c r="J851" s="35">
        <v>0.49</v>
      </c>
      <c r="K851" s="35">
        <v>43.0</v>
      </c>
      <c r="P851" s="96"/>
    </row>
    <row r="852">
      <c r="C852" s="88"/>
      <c r="H852" s="35">
        <v>47.0</v>
      </c>
      <c r="J852" s="35">
        <v>0.48</v>
      </c>
      <c r="K852" s="35">
        <v>41.0</v>
      </c>
      <c r="P852" s="96"/>
    </row>
    <row r="853">
      <c r="C853" s="88"/>
      <c r="H853" s="35">
        <v>44.0</v>
      </c>
      <c r="J853" s="35">
        <v>0.46</v>
      </c>
      <c r="K853" s="35">
        <v>43.0</v>
      </c>
      <c r="P853" s="96"/>
    </row>
    <row r="854">
      <c r="C854" s="88"/>
      <c r="H854" s="35">
        <v>46.0</v>
      </c>
      <c r="J854" s="35">
        <v>0.48</v>
      </c>
      <c r="K854" s="35">
        <v>43.0</v>
      </c>
      <c r="P854" s="96"/>
    </row>
    <row r="855">
      <c r="C855" s="88"/>
      <c r="H855" s="35">
        <v>41.0</v>
      </c>
      <c r="J855" s="35">
        <v>0.48</v>
      </c>
      <c r="K855" s="35">
        <v>42.0</v>
      </c>
      <c r="P855" s="96"/>
    </row>
    <row r="856">
      <c r="C856" s="88"/>
      <c r="H856" s="35">
        <v>40.0</v>
      </c>
      <c r="J856" s="35">
        <v>0.45</v>
      </c>
      <c r="K856" s="35">
        <v>41.0</v>
      </c>
      <c r="P856" s="96"/>
    </row>
    <row r="857">
      <c r="C857" s="88"/>
      <c r="H857" s="35">
        <v>47.0</v>
      </c>
      <c r="J857" s="35">
        <v>0.48</v>
      </c>
      <c r="K857" s="35">
        <v>40.0</v>
      </c>
      <c r="P857" s="96"/>
    </row>
    <row r="858">
      <c r="C858" s="88"/>
      <c r="H858" s="35">
        <v>45.0</v>
      </c>
      <c r="J858" s="35">
        <v>0.45</v>
      </c>
      <c r="K858" s="35">
        <v>44.0</v>
      </c>
      <c r="P858" s="96"/>
    </row>
    <row r="859">
      <c r="C859" s="88"/>
      <c r="H859" s="35">
        <v>38.0</v>
      </c>
      <c r="J859" s="35">
        <v>0.47</v>
      </c>
      <c r="K859" s="35">
        <v>47.0</v>
      </c>
      <c r="P859" s="96"/>
    </row>
    <row r="860">
      <c r="C860" s="88"/>
      <c r="H860" s="35">
        <v>51.0</v>
      </c>
      <c r="J860" s="35">
        <v>0.49</v>
      </c>
      <c r="K860" s="35">
        <v>43.0</v>
      </c>
      <c r="P860" s="96"/>
    </row>
    <row r="861">
      <c r="C861" s="88"/>
      <c r="H861" s="35">
        <v>48.0</v>
      </c>
      <c r="J861" s="35">
        <v>0.47</v>
      </c>
      <c r="K861" s="35">
        <v>40.0</v>
      </c>
      <c r="P861" s="96"/>
    </row>
    <row r="862">
      <c r="C862" s="88"/>
      <c r="H862" s="35">
        <v>43.0</v>
      </c>
      <c r="J862" s="35">
        <v>0.47</v>
      </c>
      <c r="K862" s="35">
        <v>42.0</v>
      </c>
      <c r="P862" s="96"/>
    </row>
    <row r="863">
      <c r="C863" s="88"/>
      <c r="H863" s="35">
        <v>45.0</v>
      </c>
      <c r="J863" s="35">
        <v>0.45</v>
      </c>
      <c r="K863" s="35">
        <v>41.0</v>
      </c>
      <c r="P863" s="96"/>
    </row>
    <row r="864">
      <c r="C864" s="88"/>
      <c r="H864" s="35">
        <v>41.0</v>
      </c>
      <c r="J864" s="35">
        <v>0.49</v>
      </c>
      <c r="K864" s="35">
        <v>40.0</v>
      </c>
      <c r="P864" s="96"/>
    </row>
    <row r="865">
      <c r="C865" s="88"/>
      <c r="H865" s="35">
        <v>44.0</v>
      </c>
      <c r="J865" s="35">
        <v>0.48</v>
      </c>
      <c r="K865" s="35">
        <v>41.0</v>
      </c>
      <c r="P865" s="96"/>
    </row>
    <row r="866">
      <c r="C866" s="88"/>
      <c r="H866" s="35">
        <v>44.0</v>
      </c>
      <c r="J866" s="35">
        <v>0.48</v>
      </c>
      <c r="K866" s="35">
        <v>44.0</v>
      </c>
      <c r="P866" s="96"/>
    </row>
    <row r="867">
      <c r="C867" s="88"/>
      <c r="H867" s="35">
        <v>41.0</v>
      </c>
      <c r="J867" s="35">
        <v>0.45</v>
      </c>
      <c r="K867" s="35">
        <v>46.0</v>
      </c>
      <c r="P867" s="96"/>
    </row>
    <row r="868">
      <c r="C868" s="88"/>
      <c r="H868" s="35">
        <v>45.0</v>
      </c>
      <c r="J868" s="35">
        <v>0.45</v>
      </c>
      <c r="K868" s="35">
        <v>43.0</v>
      </c>
      <c r="P868" s="96"/>
    </row>
    <row r="869">
      <c r="C869" s="88"/>
      <c r="H869" s="35">
        <v>48.0</v>
      </c>
      <c r="J869" s="35">
        <v>0.44</v>
      </c>
      <c r="K869" s="35">
        <v>39.0</v>
      </c>
      <c r="P869" s="96"/>
    </row>
    <row r="870">
      <c r="C870" s="88"/>
      <c r="H870" s="35">
        <v>39.0</v>
      </c>
      <c r="J870" s="35">
        <v>0.47</v>
      </c>
      <c r="K870" s="35">
        <v>50.0</v>
      </c>
      <c r="P870" s="96"/>
    </row>
    <row r="871">
      <c r="C871" s="88"/>
      <c r="H871" s="35">
        <v>38.0</v>
      </c>
      <c r="J871" s="35">
        <v>0.46</v>
      </c>
      <c r="K871" s="35">
        <v>50.0</v>
      </c>
      <c r="P871" s="96"/>
    </row>
    <row r="872">
      <c r="C872" s="88"/>
      <c r="H872" s="35">
        <v>46.0</v>
      </c>
      <c r="J872" s="35">
        <v>0.47</v>
      </c>
      <c r="K872" s="35">
        <v>45.0</v>
      </c>
      <c r="P872" s="96"/>
    </row>
    <row r="873">
      <c r="C873" s="88"/>
      <c r="H873" s="35">
        <v>50.0</v>
      </c>
      <c r="J873" s="35">
        <v>0.46</v>
      </c>
      <c r="K873" s="35">
        <v>42.0</v>
      </c>
      <c r="P873" s="96"/>
    </row>
    <row r="874">
      <c r="C874" s="88"/>
      <c r="H874" s="35">
        <v>48.0</v>
      </c>
      <c r="J874" s="35">
        <v>0.5</v>
      </c>
      <c r="K874" s="35">
        <v>47.0</v>
      </c>
      <c r="P874" s="96"/>
    </row>
    <row r="875">
      <c r="C875" s="88"/>
      <c r="H875" s="35">
        <v>50.0</v>
      </c>
      <c r="J875" s="35">
        <v>0.63</v>
      </c>
      <c r="K875" s="35">
        <v>40.0</v>
      </c>
      <c r="P875" s="96"/>
    </row>
    <row r="876">
      <c r="C876" s="88"/>
      <c r="H876" s="35">
        <v>40.0</v>
      </c>
      <c r="J876" s="35">
        <v>0.5</v>
      </c>
      <c r="K876" s="35">
        <v>44.0</v>
      </c>
      <c r="P876" s="96"/>
    </row>
    <row r="877">
      <c r="C877" s="88"/>
      <c r="H877" s="35">
        <v>45.0</v>
      </c>
      <c r="J877" s="35">
        <v>0.44</v>
      </c>
      <c r="K877" s="35">
        <v>40.0</v>
      </c>
      <c r="P877" s="96"/>
    </row>
    <row r="878">
      <c r="C878" s="88"/>
      <c r="H878" s="35">
        <v>45.0</v>
      </c>
      <c r="J878" s="35">
        <v>0.56</v>
      </c>
      <c r="K878" s="35">
        <v>43.0</v>
      </c>
      <c r="P878" s="96"/>
    </row>
    <row r="879">
      <c r="C879" s="88"/>
      <c r="H879" s="35">
        <v>43.0</v>
      </c>
      <c r="J879" s="35">
        <v>0.5</v>
      </c>
      <c r="K879" s="35">
        <v>46.0</v>
      </c>
      <c r="P879" s="96"/>
    </row>
    <row r="880">
      <c r="C880" s="88"/>
      <c r="H880" s="35">
        <v>42.0</v>
      </c>
      <c r="J880" s="35">
        <v>0.53</v>
      </c>
      <c r="K880" s="35">
        <v>48.0</v>
      </c>
      <c r="P880" s="96"/>
    </row>
    <row r="881">
      <c r="C881" s="88"/>
      <c r="H881" s="35">
        <v>48.0</v>
      </c>
      <c r="J881" s="35">
        <v>0.53</v>
      </c>
      <c r="K881" s="35">
        <v>49.0</v>
      </c>
      <c r="P881" s="96"/>
    </row>
    <row r="882">
      <c r="C882" s="88"/>
      <c r="H882" s="35">
        <v>48.0</v>
      </c>
      <c r="J882" s="35">
        <v>0.51</v>
      </c>
      <c r="K882" s="35">
        <v>47.0</v>
      </c>
      <c r="P882" s="96"/>
    </row>
    <row r="883">
      <c r="C883" s="88"/>
      <c r="H883" s="35">
        <v>46.0</v>
      </c>
      <c r="J883" s="35">
        <v>0.52</v>
      </c>
      <c r="K883" s="35">
        <v>41.0</v>
      </c>
      <c r="P883" s="96"/>
    </row>
    <row r="884">
      <c r="C884" s="88"/>
      <c r="H884" s="35">
        <v>40.0</v>
      </c>
      <c r="J884" s="35">
        <v>0.52</v>
      </c>
      <c r="K884" s="35">
        <v>40.0</v>
      </c>
      <c r="P884" s="96"/>
    </row>
    <row r="885">
      <c r="C885" s="88"/>
      <c r="H885" s="35">
        <v>40.0</v>
      </c>
      <c r="J885" s="35">
        <v>0.62</v>
      </c>
      <c r="K885" s="35">
        <v>40.0</v>
      </c>
      <c r="P885" s="96"/>
    </row>
    <row r="886">
      <c r="C886" s="88"/>
      <c r="H886" s="35">
        <v>37.0</v>
      </c>
      <c r="J886" s="35">
        <v>0.57</v>
      </c>
      <c r="K886" s="35">
        <v>41.0</v>
      </c>
      <c r="P886" s="96"/>
    </row>
    <row r="887">
      <c r="C887" s="88"/>
      <c r="H887" s="35">
        <v>42.0</v>
      </c>
      <c r="J887" s="35">
        <v>0.62</v>
      </c>
      <c r="K887" s="35">
        <v>46.0</v>
      </c>
      <c r="P887" s="96"/>
    </row>
    <row r="888">
      <c r="C888" s="88"/>
      <c r="H888" s="35">
        <v>46.0</v>
      </c>
      <c r="J888" s="35">
        <v>0.52</v>
      </c>
      <c r="K888" s="35">
        <v>46.0</v>
      </c>
      <c r="P888" s="96"/>
    </row>
    <row r="889">
      <c r="C889" s="88"/>
      <c r="H889" s="35">
        <v>46.0</v>
      </c>
      <c r="J889" s="35">
        <v>0.5</v>
      </c>
      <c r="K889" s="35">
        <v>43.0</v>
      </c>
      <c r="P889" s="96"/>
    </row>
    <row r="890">
      <c r="C890" s="88"/>
      <c r="H890" s="35">
        <v>44.0</v>
      </c>
      <c r="J890" s="35">
        <v>0.57</v>
      </c>
      <c r="K890" s="35">
        <v>46.0</v>
      </c>
      <c r="P890" s="96"/>
    </row>
    <row r="891">
      <c r="C891" s="88"/>
      <c r="H891" s="35">
        <v>38.0</v>
      </c>
      <c r="J891" s="35">
        <v>0.47</v>
      </c>
      <c r="K891" s="35">
        <v>40.0</v>
      </c>
      <c r="P891" s="96"/>
    </row>
    <row r="892">
      <c r="C892" s="88"/>
      <c r="H892" s="35">
        <v>46.0</v>
      </c>
      <c r="J892" s="35">
        <v>0.56</v>
      </c>
      <c r="K892" s="35">
        <v>44.0</v>
      </c>
      <c r="P892" s="96"/>
    </row>
    <row r="893">
      <c r="C893" s="88"/>
      <c r="H893" s="35">
        <v>49.0</v>
      </c>
      <c r="J893" s="35">
        <v>0.61</v>
      </c>
      <c r="K893" s="35">
        <v>43.0</v>
      </c>
      <c r="P893" s="96"/>
    </row>
    <row r="894">
      <c r="C894" s="88"/>
      <c r="H894" s="35">
        <v>47.0</v>
      </c>
      <c r="J894" s="35">
        <v>0.56</v>
      </c>
      <c r="K894" s="35">
        <v>47.0</v>
      </c>
      <c r="P894" s="96"/>
    </row>
    <row r="895">
      <c r="C895" s="88"/>
      <c r="H895" s="35">
        <v>50.0</v>
      </c>
      <c r="J895" s="35">
        <v>0.51</v>
      </c>
      <c r="K895" s="35">
        <v>48.0</v>
      </c>
      <c r="P895" s="96"/>
    </row>
    <row r="896">
      <c r="C896" s="88"/>
      <c r="H896" s="35">
        <v>50.0</v>
      </c>
      <c r="J896" s="35">
        <v>0.64</v>
      </c>
      <c r="K896" s="35">
        <v>46.0</v>
      </c>
      <c r="P896" s="96"/>
    </row>
    <row r="897">
      <c r="C897" s="88"/>
      <c r="H897" s="35">
        <v>45.0</v>
      </c>
      <c r="J897" s="35">
        <v>0.49</v>
      </c>
      <c r="K897" s="35">
        <v>48.0</v>
      </c>
      <c r="P897" s="96"/>
    </row>
    <row r="898">
      <c r="C898" s="88"/>
      <c r="H898" s="35">
        <v>52.0</v>
      </c>
      <c r="J898" s="35">
        <v>0.6</v>
      </c>
      <c r="K898" s="35">
        <v>41.0</v>
      </c>
      <c r="P898" s="96"/>
    </row>
    <row r="899">
      <c r="C899" s="88"/>
      <c r="H899" s="35">
        <v>50.0</v>
      </c>
      <c r="J899" s="35">
        <v>0.54</v>
      </c>
      <c r="K899" s="35">
        <v>42.0</v>
      </c>
      <c r="P899" s="96"/>
    </row>
    <row r="900">
      <c r="C900" s="88"/>
      <c r="H900" s="35">
        <v>47.0</v>
      </c>
      <c r="J900" s="35">
        <v>0.51</v>
      </c>
      <c r="K900" s="35">
        <v>38.0</v>
      </c>
      <c r="P900" s="96"/>
    </row>
    <row r="901">
      <c r="C901" s="88"/>
      <c r="H901" s="35">
        <v>43.0</v>
      </c>
      <c r="J901" s="35">
        <v>0.45</v>
      </c>
      <c r="K901" s="35">
        <v>46.0</v>
      </c>
      <c r="P901" s="96"/>
    </row>
    <row r="902">
      <c r="C902" s="88"/>
      <c r="H902" s="35">
        <v>46.0</v>
      </c>
      <c r="J902" s="35">
        <v>0.52</v>
      </c>
      <c r="K902" s="35">
        <v>41.0</v>
      </c>
      <c r="P902" s="96"/>
    </row>
    <row r="903">
      <c r="C903" s="88"/>
      <c r="H903" s="35">
        <v>49.0</v>
      </c>
      <c r="J903" s="35">
        <v>0.43</v>
      </c>
      <c r="K903" s="35">
        <v>46.0</v>
      </c>
      <c r="P903" s="96"/>
    </row>
    <row r="904">
      <c r="C904" s="88"/>
      <c r="H904" s="35">
        <v>46.0</v>
      </c>
      <c r="J904" s="35">
        <v>0.49</v>
      </c>
      <c r="K904" s="35">
        <v>44.0</v>
      </c>
      <c r="P904" s="96"/>
    </row>
    <row r="905">
      <c r="C905" s="88"/>
      <c r="H905" s="35">
        <v>44.0</v>
      </c>
      <c r="J905" s="35">
        <v>0.42</v>
      </c>
      <c r="K905" s="35">
        <v>49.0</v>
      </c>
      <c r="P905" s="96"/>
    </row>
    <row r="906">
      <c r="C906" s="88"/>
      <c r="H906" s="35">
        <v>44.0</v>
      </c>
      <c r="J906" s="35">
        <v>0.51</v>
      </c>
      <c r="K906" s="35">
        <v>49.0</v>
      </c>
      <c r="P906" s="96"/>
    </row>
    <row r="907">
      <c r="C907" s="88"/>
      <c r="H907" s="35">
        <v>40.0</v>
      </c>
      <c r="J907" s="35">
        <v>0.52</v>
      </c>
      <c r="K907" s="35">
        <v>48.0</v>
      </c>
      <c r="P907" s="96"/>
    </row>
    <row r="908">
      <c r="C908" s="88"/>
      <c r="H908" s="35">
        <v>38.0</v>
      </c>
      <c r="J908" s="35">
        <v>0.56</v>
      </c>
      <c r="K908" s="35">
        <v>48.0</v>
      </c>
      <c r="P908" s="96"/>
    </row>
    <row r="909">
      <c r="C909" s="88"/>
      <c r="H909" s="35">
        <v>42.0</v>
      </c>
      <c r="J909" s="35">
        <v>0.51</v>
      </c>
      <c r="K909" s="35">
        <v>46.0</v>
      </c>
      <c r="P909" s="96"/>
    </row>
    <row r="910">
      <c r="C910" s="88"/>
      <c r="H910" s="35">
        <v>46.0</v>
      </c>
      <c r="J910" s="35">
        <v>0.44</v>
      </c>
      <c r="K910" s="35">
        <v>46.0</v>
      </c>
      <c r="P910" s="96"/>
    </row>
    <row r="911">
      <c r="C911" s="88"/>
      <c r="H911" s="35">
        <v>43.0</v>
      </c>
      <c r="J911" s="35">
        <v>0.5</v>
      </c>
      <c r="K911" s="35">
        <v>46.0</v>
      </c>
      <c r="P911" s="96"/>
    </row>
    <row r="912">
      <c r="C912" s="88"/>
      <c r="H912" s="35">
        <v>47.0</v>
      </c>
      <c r="J912" s="35">
        <v>0.55</v>
      </c>
      <c r="K912" s="35">
        <v>45.0</v>
      </c>
      <c r="P912" s="96"/>
    </row>
    <row r="913">
      <c r="C913" s="88"/>
      <c r="H913" s="35">
        <v>47.0</v>
      </c>
      <c r="J913" s="35">
        <v>0.52</v>
      </c>
      <c r="K913" s="35">
        <v>46.0</v>
      </c>
      <c r="P913" s="96"/>
    </row>
    <row r="914">
      <c r="C914" s="88"/>
      <c r="H914" s="35">
        <v>47.0</v>
      </c>
      <c r="J914" s="35">
        <v>0.49</v>
      </c>
      <c r="K914" s="35">
        <v>43.0</v>
      </c>
      <c r="P914" s="96"/>
    </row>
    <row r="915">
      <c r="C915" s="88"/>
      <c r="H915" s="35">
        <v>38.0</v>
      </c>
      <c r="J915" s="35">
        <v>0.5</v>
      </c>
      <c r="K915" s="35">
        <v>48.0</v>
      </c>
      <c r="P915" s="96"/>
    </row>
    <row r="916">
      <c r="C916" s="88"/>
      <c r="H916" s="35">
        <v>41.0</v>
      </c>
      <c r="J916" s="35">
        <v>0.57</v>
      </c>
      <c r="K916" s="35">
        <v>42.0</v>
      </c>
      <c r="P916" s="96"/>
    </row>
    <row r="917">
      <c r="C917" s="88"/>
      <c r="H917" s="35">
        <v>44.0</v>
      </c>
      <c r="J917" s="35">
        <v>0.49</v>
      </c>
      <c r="K917" s="35">
        <v>49.0</v>
      </c>
      <c r="P917" s="96"/>
    </row>
    <row r="918">
      <c r="C918" s="88"/>
      <c r="H918" s="35">
        <v>43.0</v>
      </c>
      <c r="J918" s="35">
        <v>0.56</v>
      </c>
      <c r="K918" s="35">
        <v>42.0</v>
      </c>
      <c r="P918" s="96"/>
    </row>
    <row r="919">
      <c r="C919" s="88"/>
      <c r="H919" s="35">
        <v>45.0</v>
      </c>
      <c r="J919" s="35">
        <v>0.5</v>
      </c>
      <c r="K919" s="35">
        <v>44.0</v>
      </c>
      <c r="P919" s="96"/>
    </row>
    <row r="920">
      <c r="C920" s="88"/>
      <c r="H920" s="35">
        <v>44.0</v>
      </c>
      <c r="J920" s="35">
        <v>0.42</v>
      </c>
      <c r="K920" s="35">
        <v>48.0</v>
      </c>
      <c r="P920" s="96"/>
    </row>
    <row r="921">
      <c r="C921" s="88"/>
      <c r="H921" s="35">
        <v>44.0</v>
      </c>
      <c r="J921" s="35">
        <v>0.57</v>
      </c>
      <c r="K921" s="35">
        <v>49.0</v>
      </c>
      <c r="P921" s="96"/>
    </row>
    <row r="922">
      <c r="C922" s="88"/>
      <c r="H922" s="35">
        <v>43.0</v>
      </c>
      <c r="J922" s="35">
        <v>0.55</v>
      </c>
      <c r="K922" s="35">
        <v>38.0</v>
      </c>
      <c r="P922" s="96"/>
    </row>
    <row r="923">
      <c r="C923" s="88"/>
      <c r="H923" s="35">
        <v>41.0</v>
      </c>
      <c r="J923" s="35">
        <v>0.52</v>
      </c>
      <c r="K923" s="35">
        <v>45.0</v>
      </c>
      <c r="P923" s="96"/>
    </row>
    <row r="924">
      <c r="C924" s="88"/>
      <c r="H924" s="35">
        <v>41.0</v>
      </c>
      <c r="J924" s="35">
        <v>0.49</v>
      </c>
      <c r="K924" s="35">
        <v>53.0</v>
      </c>
      <c r="P924" s="96"/>
    </row>
    <row r="925">
      <c r="C925" s="88"/>
      <c r="H925" s="35">
        <v>45.0</v>
      </c>
      <c r="J925" s="35">
        <v>0.44</v>
      </c>
      <c r="K925" s="35">
        <v>43.0</v>
      </c>
      <c r="P925" s="96"/>
    </row>
    <row r="926">
      <c r="C926" s="88"/>
      <c r="H926" s="35">
        <v>37.0</v>
      </c>
      <c r="J926" s="35">
        <v>0.57</v>
      </c>
      <c r="K926" s="35">
        <v>39.0</v>
      </c>
      <c r="P926" s="96"/>
    </row>
    <row r="927">
      <c r="C927" s="88"/>
      <c r="H927" s="35">
        <v>45.0</v>
      </c>
      <c r="J927" s="35">
        <v>0.49</v>
      </c>
      <c r="K927" s="35">
        <v>44.0</v>
      </c>
      <c r="P927" s="96"/>
    </row>
    <row r="928">
      <c r="C928" s="88"/>
      <c r="H928" s="35">
        <v>41.0</v>
      </c>
      <c r="J928" s="35">
        <v>0.5</v>
      </c>
      <c r="K928" s="35">
        <v>48.0</v>
      </c>
      <c r="P928" s="96"/>
    </row>
    <row r="929">
      <c r="C929" s="88"/>
      <c r="H929" s="35">
        <v>42.0</v>
      </c>
      <c r="J929" s="35">
        <v>0.54</v>
      </c>
      <c r="K929" s="35">
        <v>43.0</v>
      </c>
      <c r="P929" s="96"/>
    </row>
    <row r="930">
      <c r="C930" s="88"/>
      <c r="H930" s="35">
        <v>44.0</v>
      </c>
      <c r="J930" s="35">
        <v>0.49</v>
      </c>
      <c r="K930" s="35">
        <v>43.0</v>
      </c>
      <c r="P930" s="96"/>
    </row>
    <row r="931">
      <c r="C931" s="88"/>
      <c r="H931" s="35">
        <v>45.0</v>
      </c>
      <c r="J931" s="35">
        <v>0.52</v>
      </c>
      <c r="K931" s="35">
        <v>47.0</v>
      </c>
      <c r="P931" s="96"/>
    </row>
    <row r="932">
      <c r="C932" s="88"/>
      <c r="H932" s="35">
        <v>40.0</v>
      </c>
      <c r="J932" s="35">
        <v>0.52</v>
      </c>
      <c r="K932" s="35">
        <v>41.0</v>
      </c>
      <c r="P932" s="96"/>
    </row>
    <row r="933">
      <c r="C933" s="88"/>
      <c r="H933" s="35">
        <v>42.0</v>
      </c>
      <c r="J933" s="35">
        <v>0.53</v>
      </c>
      <c r="K933" s="35">
        <v>48.0</v>
      </c>
      <c r="P933" s="96"/>
    </row>
    <row r="934">
      <c r="C934" s="88"/>
      <c r="H934" s="35">
        <v>48.0</v>
      </c>
      <c r="J934" s="35">
        <v>0.48</v>
      </c>
      <c r="K934" s="35">
        <v>45.0</v>
      </c>
      <c r="P934" s="96"/>
    </row>
    <row r="935">
      <c r="C935" s="88"/>
      <c r="H935" s="35">
        <v>48.0</v>
      </c>
      <c r="J935" s="35">
        <v>0.49</v>
      </c>
      <c r="K935" s="35">
        <v>45.0</v>
      </c>
      <c r="P935" s="96"/>
    </row>
    <row r="936">
      <c r="C936" s="88"/>
      <c r="H936" s="35">
        <v>45.0</v>
      </c>
      <c r="J936" s="35">
        <v>0.5</v>
      </c>
      <c r="K936" s="35">
        <v>41.0</v>
      </c>
      <c r="P936" s="96"/>
    </row>
    <row r="937">
      <c r="C937" s="88"/>
      <c r="H937" s="35">
        <v>42.0</v>
      </c>
      <c r="J937" s="35">
        <v>0.51</v>
      </c>
      <c r="K937" s="35">
        <v>48.0</v>
      </c>
      <c r="P937" s="96"/>
    </row>
    <row r="938">
      <c r="C938" s="88"/>
      <c r="H938" s="35">
        <v>49.0</v>
      </c>
      <c r="J938" s="35">
        <v>0.48</v>
      </c>
      <c r="K938" s="35">
        <v>43.0</v>
      </c>
      <c r="P938" s="96"/>
    </row>
    <row r="939">
      <c r="C939" s="88"/>
      <c r="H939" s="35">
        <v>45.0</v>
      </c>
      <c r="J939" s="35">
        <v>0.5</v>
      </c>
      <c r="K939" s="35">
        <v>42.0</v>
      </c>
      <c r="P939" s="96"/>
    </row>
    <row r="940">
      <c r="C940" s="88"/>
      <c r="H940" s="35">
        <v>43.0</v>
      </c>
      <c r="J940" s="35">
        <v>0.51</v>
      </c>
      <c r="K940" s="35">
        <v>41.0</v>
      </c>
      <c r="P940" s="96"/>
    </row>
    <row r="941">
      <c r="C941" s="88"/>
      <c r="H941" s="35">
        <v>44.0</v>
      </c>
      <c r="J941" s="35">
        <v>0.45</v>
      </c>
      <c r="K941" s="35">
        <v>37.0</v>
      </c>
      <c r="P941" s="96"/>
    </row>
    <row r="942">
      <c r="C942" s="88"/>
      <c r="H942" s="35">
        <v>43.0</v>
      </c>
      <c r="J942" s="35">
        <v>0.51</v>
      </c>
      <c r="K942" s="35">
        <v>37.0</v>
      </c>
      <c r="P942" s="96"/>
    </row>
    <row r="943">
      <c r="C943" s="88"/>
      <c r="H943" s="35">
        <v>44.0</v>
      </c>
      <c r="J943" s="35">
        <v>0.48</v>
      </c>
      <c r="K943" s="35">
        <v>47.0</v>
      </c>
      <c r="P943" s="96"/>
    </row>
    <row r="944">
      <c r="C944" s="88"/>
      <c r="H944" s="35">
        <v>44.0</v>
      </c>
      <c r="J944" s="35">
        <v>0.49</v>
      </c>
      <c r="K944" s="35">
        <v>45.0</v>
      </c>
      <c r="P944" s="96"/>
    </row>
    <row r="945">
      <c r="C945" s="88"/>
      <c r="H945" s="35">
        <v>46.0</v>
      </c>
      <c r="J945" s="35">
        <v>0.47</v>
      </c>
      <c r="K945" s="35">
        <v>42.0</v>
      </c>
      <c r="P945" s="96"/>
    </row>
    <row r="946">
      <c r="C946" s="88"/>
      <c r="H946" s="35">
        <v>45.0</v>
      </c>
      <c r="J946" s="35">
        <v>0.52</v>
      </c>
      <c r="K946" s="35">
        <v>45.0</v>
      </c>
      <c r="P946" s="96"/>
    </row>
    <row r="947">
      <c r="C947" s="88"/>
      <c r="H947" s="35">
        <v>48.0</v>
      </c>
      <c r="J947" s="35">
        <v>0.47</v>
      </c>
      <c r="K947" s="35">
        <v>42.0</v>
      </c>
      <c r="P947" s="96"/>
    </row>
    <row r="948">
      <c r="C948" s="88"/>
      <c r="H948" s="35">
        <v>45.0</v>
      </c>
      <c r="J948" s="35">
        <v>0.57</v>
      </c>
      <c r="K948" s="35">
        <v>43.0</v>
      </c>
      <c r="P948" s="96"/>
    </row>
    <row r="949">
      <c r="C949" s="88"/>
      <c r="H949" s="35">
        <v>41.0</v>
      </c>
      <c r="J949" s="35">
        <v>0.54</v>
      </c>
      <c r="K949" s="35">
        <v>42.0</v>
      </c>
      <c r="P949" s="96"/>
    </row>
    <row r="950">
      <c r="C950" s="88"/>
      <c r="H950" s="35">
        <v>45.0</v>
      </c>
      <c r="J950" s="35">
        <v>0.49</v>
      </c>
      <c r="K950" s="35">
        <v>40.0</v>
      </c>
      <c r="P950" s="96"/>
    </row>
    <row r="951">
      <c r="C951" s="88"/>
      <c r="H951" s="35">
        <v>39.0</v>
      </c>
      <c r="J951" s="35">
        <v>0.53</v>
      </c>
      <c r="K951" s="35">
        <v>53.0</v>
      </c>
      <c r="P951" s="96"/>
    </row>
    <row r="952">
      <c r="C952" s="88"/>
      <c r="H952" s="35">
        <v>52.0</v>
      </c>
      <c r="J952" s="35">
        <v>0.52</v>
      </c>
      <c r="K952" s="35">
        <v>40.0</v>
      </c>
      <c r="P952" s="96"/>
    </row>
    <row r="953">
      <c r="C953" s="88"/>
      <c r="H953" s="35">
        <v>55.0</v>
      </c>
      <c r="J953" s="35">
        <v>0.56</v>
      </c>
      <c r="K953" s="35">
        <v>45.0</v>
      </c>
      <c r="P953" s="96"/>
    </row>
    <row r="954">
      <c r="C954" s="88"/>
      <c r="H954" s="35">
        <v>44.0</v>
      </c>
      <c r="J954" s="35">
        <v>0.52</v>
      </c>
      <c r="K954" s="35">
        <v>46.0</v>
      </c>
      <c r="P954" s="96"/>
    </row>
    <row r="955">
      <c r="C955" s="88"/>
      <c r="H955" s="35">
        <v>45.0</v>
      </c>
      <c r="J955" s="35">
        <v>0.47</v>
      </c>
      <c r="K955" s="35">
        <v>48.0</v>
      </c>
      <c r="P955" s="96"/>
    </row>
    <row r="956">
      <c r="C956" s="88"/>
      <c r="H956" s="35">
        <v>45.0</v>
      </c>
      <c r="J956" s="35">
        <v>0.44</v>
      </c>
      <c r="K956" s="35">
        <v>46.0</v>
      </c>
      <c r="P956" s="96"/>
    </row>
    <row r="957">
      <c r="C957" s="88"/>
      <c r="H957" s="35">
        <v>47.0</v>
      </c>
      <c r="J957" s="35">
        <v>0.49</v>
      </c>
      <c r="K957" s="35">
        <v>43.0</v>
      </c>
      <c r="P957" s="96"/>
    </row>
    <row r="958">
      <c r="C958" s="88"/>
      <c r="H958" s="35">
        <v>43.0</v>
      </c>
      <c r="J958" s="35">
        <v>0.51</v>
      </c>
      <c r="K958" s="35">
        <v>43.0</v>
      </c>
      <c r="P958" s="96"/>
    </row>
    <row r="959">
      <c r="C959" s="88"/>
      <c r="H959" s="35">
        <v>45.0</v>
      </c>
      <c r="J959" s="35">
        <v>0.48</v>
      </c>
      <c r="K959" s="35">
        <v>48.0</v>
      </c>
      <c r="P959" s="96"/>
    </row>
    <row r="960">
      <c r="C960" s="88"/>
      <c r="H960" s="35">
        <v>50.0</v>
      </c>
      <c r="J960" s="35">
        <v>0.48</v>
      </c>
      <c r="K960" s="35">
        <v>51.0</v>
      </c>
      <c r="P960" s="96"/>
    </row>
    <row r="961">
      <c r="C961" s="88"/>
      <c r="H961" s="35">
        <v>44.0</v>
      </c>
      <c r="J961" s="35">
        <v>0.53</v>
      </c>
      <c r="K961" s="35">
        <v>49.0</v>
      </c>
      <c r="P961" s="96"/>
    </row>
    <row r="962">
      <c r="C962" s="88"/>
      <c r="H962" s="35">
        <v>44.0</v>
      </c>
      <c r="J962" s="35">
        <v>0.54</v>
      </c>
      <c r="K962" s="35">
        <v>42.0</v>
      </c>
      <c r="P962" s="96"/>
    </row>
    <row r="963">
      <c r="C963" s="88"/>
      <c r="H963" s="35">
        <v>42.0</v>
      </c>
      <c r="J963" s="35">
        <v>0.48</v>
      </c>
      <c r="K963" s="35">
        <v>40.0</v>
      </c>
      <c r="P963" s="96"/>
    </row>
    <row r="964">
      <c r="C964" s="88"/>
      <c r="H964" s="35">
        <v>41.0</v>
      </c>
      <c r="J964" s="35">
        <v>0.48</v>
      </c>
      <c r="K964" s="35">
        <v>45.0</v>
      </c>
      <c r="P964" s="96"/>
    </row>
    <row r="965">
      <c r="C965" s="88"/>
      <c r="H965" s="35">
        <v>49.0</v>
      </c>
      <c r="J965" s="35">
        <v>0.47</v>
      </c>
      <c r="K965" s="35">
        <v>45.0</v>
      </c>
      <c r="P965" s="96"/>
    </row>
    <row r="966">
      <c r="C966" s="88"/>
      <c r="H966" s="35">
        <v>44.0</v>
      </c>
      <c r="J966" s="35">
        <v>0.54</v>
      </c>
      <c r="K966" s="35">
        <v>42.0</v>
      </c>
      <c r="P966" s="96"/>
    </row>
    <row r="967">
      <c r="C967" s="88"/>
      <c r="H967" s="35">
        <v>44.0</v>
      </c>
      <c r="J967" s="35">
        <v>0.49</v>
      </c>
      <c r="K967" s="35">
        <v>47.0</v>
      </c>
      <c r="P967" s="96"/>
    </row>
    <row r="968">
      <c r="C968" s="88"/>
      <c r="H968" s="35">
        <v>45.0</v>
      </c>
      <c r="J968" s="35">
        <v>0.51</v>
      </c>
      <c r="K968" s="35">
        <v>53.0</v>
      </c>
      <c r="P968" s="96"/>
    </row>
    <row r="969">
      <c r="C969" s="88"/>
      <c r="H969" s="35">
        <v>47.0</v>
      </c>
      <c r="J969" s="35">
        <v>0.51</v>
      </c>
      <c r="K969" s="35">
        <v>44.0</v>
      </c>
      <c r="P969" s="96"/>
    </row>
    <row r="970">
      <c r="C970" s="88"/>
      <c r="H970" s="35">
        <v>45.0</v>
      </c>
      <c r="J970" s="35">
        <v>0.49</v>
      </c>
      <c r="K970" s="35">
        <v>48.0</v>
      </c>
      <c r="P970" s="96"/>
    </row>
    <row r="971">
      <c r="C971" s="88"/>
      <c r="H971" s="35">
        <v>43.0</v>
      </c>
      <c r="J971" s="35">
        <v>0.5</v>
      </c>
      <c r="K971" s="35">
        <v>45.0</v>
      </c>
      <c r="P971" s="96"/>
    </row>
    <row r="972">
      <c r="C972" s="88"/>
      <c r="H972" s="35">
        <v>44.0</v>
      </c>
      <c r="J972" s="35">
        <v>0.45</v>
      </c>
      <c r="K972" s="35">
        <v>47.0</v>
      </c>
      <c r="P972" s="96"/>
    </row>
    <row r="973">
      <c r="C973" s="88"/>
      <c r="H973" s="35">
        <v>43.0</v>
      </c>
      <c r="J973" s="35">
        <v>0.53</v>
      </c>
      <c r="K973" s="35">
        <v>45.0</v>
      </c>
      <c r="P973" s="96"/>
    </row>
    <row r="974">
      <c r="C974" s="88"/>
      <c r="H974" s="35">
        <v>45.0</v>
      </c>
      <c r="J974" s="35">
        <v>0.48</v>
      </c>
      <c r="K974" s="35">
        <v>41.0</v>
      </c>
      <c r="P974" s="96"/>
    </row>
    <row r="975">
      <c r="C975" s="88"/>
      <c r="H975" s="35">
        <v>43.0</v>
      </c>
      <c r="J975" s="35">
        <v>0.44</v>
      </c>
      <c r="K975" s="35">
        <v>50.0</v>
      </c>
      <c r="P975" s="96"/>
    </row>
    <row r="976">
      <c r="C976" s="88"/>
      <c r="H976" s="35">
        <v>48.0</v>
      </c>
      <c r="J976" s="35">
        <v>0.48</v>
      </c>
      <c r="K976" s="35">
        <v>49.0</v>
      </c>
      <c r="P976" s="96"/>
    </row>
    <row r="977">
      <c r="C977" s="88"/>
      <c r="H977" s="35">
        <v>46.0</v>
      </c>
      <c r="J977" s="35">
        <v>0.52</v>
      </c>
      <c r="K977" s="35">
        <v>43.0</v>
      </c>
      <c r="P977" s="96"/>
    </row>
    <row r="978">
      <c r="C978" s="88"/>
      <c r="H978" s="35">
        <v>49.0</v>
      </c>
      <c r="J978" s="35">
        <v>0.47</v>
      </c>
      <c r="K978" s="35">
        <v>40.0</v>
      </c>
      <c r="P978" s="96"/>
    </row>
    <row r="979">
      <c r="C979" s="88"/>
      <c r="H979" s="35">
        <v>47.0</v>
      </c>
      <c r="J979" s="35">
        <v>0.5</v>
      </c>
      <c r="K979" s="35">
        <v>41.0</v>
      </c>
      <c r="P979" s="96"/>
    </row>
    <row r="980">
      <c r="C980" s="88"/>
      <c r="H980" s="35">
        <v>44.0</v>
      </c>
      <c r="J980" s="35">
        <v>0.52</v>
      </c>
      <c r="K980" s="35">
        <v>41.0</v>
      </c>
      <c r="P980" s="96"/>
    </row>
    <row r="981">
      <c r="C981" s="88"/>
      <c r="H981" s="35">
        <v>48.0</v>
      </c>
      <c r="J981" s="35">
        <v>0.47</v>
      </c>
      <c r="K981" s="35">
        <v>47.0</v>
      </c>
      <c r="P981" s="96"/>
    </row>
    <row r="982">
      <c r="C982" s="88"/>
      <c r="H982" s="35">
        <v>44.0</v>
      </c>
      <c r="J982" s="35">
        <v>0.52</v>
      </c>
      <c r="K982" s="35">
        <v>45.0</v>
      </c>
      <c r="P982" s="96"/>
    </row>
    <row r="983">
      <c r="C983" s="88"/>
      <c r="H983" s="35">
        <v>45.0</v>
      </c>
      <c r="J983" s="35">
        <v>0.52</v>
      </c>
      <c r="K983" s="35">
        <v>48.0</v>
      </c>
      <c r="P983" s="96"/>
    </row>
    <row r="984">
      <c r="C984" s="88"/>
      <c r="H984" s="35">
        <v>45.0</v>
      </c>
      <c r="J984" s="35">
        <v>0.48</v>
      </c>
      <c r="K984" s="35">
        <v>43.0</v>
      </c>
      <c r="P984" s="96"/>
    </row>
    <row r="985">
      <c r="C985" s="88"/>
      <c r="H985" s="35">
        <v>42.0</v>
      </c>
      <c r="J985" s="35">
        <v>0.51</v>
      </c>
      <c r="K985" s="35">
        <v>48.0</v>
      </c>
      <c r="P985" s="96"/>
    </row>
    <row r="986">
      <c r="C986" s="88"/>
      <c r="H986" s="35">
        <v>45.0</v>
      </c>
      <c r="J986" s="35">
        <v>0.45</v>
      </c>
      <c r="K986" s="35">
        <v>45.0</v>
      </c>
      <c r="P986" s="96"/>
    </row>
    <row r="987">
      <c r="C987" s="88"/>
      <c r="H987" s="35">
        <v>40.0</v>
      </c>
      <c r="J987" s="35">
        <v>0.5</v>
      </c>
      <c r="K987" s="35">
        <v>41.0</v>
      </c>
      <c r="P987" s="96"/>
    </row>
    <row r="988">
      <c r="C988" s="88"/>
      <c r="H988" s="35">
        <v>46.0</v>
      </c>
      <c r="J988" s="35">
        <v>0.46</v>
      </c>
      <c r="K988" s="35">
        <v>45.0</v>
      </c>
      <c r="P988" s="96"/>
    </row>
    <row r="989">
      <c r="C989" s="88"/>
      <c r="H989" s="35">
        <v>48.0</v>
      </c>
      <c r="J989" s="35">
        <v>0.45</v>
      </c>
      <c r="K989" s="35">
        <v>43.0</v>
      </c>
      <c r="P989" s="96"/>
    </row>
    <row r="990">
      <c r="C990" s="88"/>
      <c r="H990" s="35">
        <v>47.0</v>
      </c>
      <c r="J990" s="35">
        <v>0.46</v>
      </c>
      <c r="K990" s="35">
        <v>43.0</v>
      </c>
      <c r="P990" s="96"/>
    </row>
    <row r="991">
      <c r="C991" s="88"/>
      <c r="H991" s="35">
        <v>48.0</v>
      </c>
      <c r="J991" s="35">
        <v>0.46</v>
      </c>
      <c r="K991" s="35">
        <v>39.0</v>
      </c>
      <c r="P991" s="96"/>
    </row>
    <row r="992">
      <c r="C992" s="88"/>
      <c r="H992" s="35">
        <v>44.0</v>
      </c>
      <c r="J992" s="35">
        <v>0.53</v>
      </c>
      <c r="K992" s="35">
        <v>41.0</v>
      </c>
      <c r="P992" s="96"/>
    </row>
    <row r="993">
      <c r="C993" s="88"/>
      <c r="H993" s="35">
        <v>43.0</v>
      </c>
      <c r="J993" s="35">
        <v>0.47</v>
      </c>
      <c r="K993" s="35">
        <v>44.0</v>
      </c>
      <c r="P993" s="96"/>
    </row>
    <row r="994">
      <c r="C994" s="88"/>
      <c r="H994" s="35">
        <v>39.0</v>
      </c>
      <c r="J994" s="35">
        <v>0.51</v>
      </c>
      <c r="K994" s="35">
        <v>44.0</v>
      </c>
      <c r="P994" s="96"/>
    </row>
    <row r="995">
      <c r="C995" s="88"/>
      <c r="H995" s="35">
        <v>39.0</v>
      </c>
      <c r="J995" s="35">
        <v>0.46</v>
      </c>
      <c r="K995" s="35">
        <v>45.0</v>
      </c>
      <c r="P995" s="96"/>
    </row>
    <row r="996">
      <c r="C996" s="88"/>
      <c r="H996" s="35">
        <v>43.0</v>
      </c>
      <c r="J996" s="35">
        <v>0.57</v>
      </c>
      <c r="K996" s="35">
        <v>42.0</v>
      </c>
      <c r="P996" s="96"/>
    </row>
    <row r="997">
      <c r="C997" s="88"/>
      <c r="H997" s="35">
        <v>42.0</v>
      </c>
      <c r="J997" s="35">
        <v>0.57</v>
      </c>
      <c r="K997" s="35">
        <v>39.0</v>
      </c>
      <c r="P997" s="96"/>
    </row>
    <row r="998">
      <c r="C998" s="88"/>
      <c r="H998" s="35">
        <v>48.0</v>
      </c>
      <c r="J998" s="35">
        <v>0.47</v>
      </c>
      <c r="K998" s="35">
        <v>46.0</v>
      </c>
      <c r="P998" s="96"/>
    </row>
    <row r="999">
      <c r="C999" s="88"/>
      <c r="H999" s="35">
        <v>43.0</v>
      </c>
      <c r="J999" s="35">
        <v>0.45</v>
      </c>
      <c r="K999" s="35">
        <v>45.0</v>
      </c>
      <c r="P999" s="96"/>
    </row>
    <row r="1000">
      <c r="C1000" s="88"/>
      <c r="H1000" s="35">
        <v>36.0</v>
      </c>
      <c r="J1000" s="35">
        <v>0.61</v>
      </c>
      <c r="K1000" s="35">
        <v>41.0</v>
      </c>
      <c r="P1000" s="96"/>
    </row>
    <row r="1001">
      <c r="C1001" s="88"/>
      <c r="H1001" s="35">
        <v>49.0</v>
      </c>
      <c r="J1001" s="35">
        <v>0.59</v>
      </c>
      <c r="K1001" s="35">
        <v>42.0</v>
      </c>
      <c r="P1001" s="96"/>
    </row>
    <row r="1002">
      <c r="C1002" s="88"/>
      <c r="H1002" s="35">
        <v>42.0</v>
      </c>
      <c r="J1002" s="35">
        <v>0.42</v>
      </c>
      <c r="K1002" s="35">
        <v>42.0</v>
      </c>
      <c r="P1002" s="96"/>
    </row>
    <row r="1003">
      <c r="C1003" s="88"/>
      <c r="H1003" s="35">
        <v>39.0</v>
      </c>
      <c r="J1003" s="35">
        <v>0.55</v>
      </c>
      <c r="K1003" s="35">
        <v>33.0</v>
      </c>
      <c r="P1003" s="96"/>
    </row>
    <row r="1004">
      <c r="C1004" s="88"/>
      <c r="H1004" s="35">
        <v>47.0</v>
      </c>
      <c r="J1004" s="35">
        <v>0.57</v>
      </c>
      <c r="K1004" s="35">
        <v>45.0</v>
      </c>
      <c r="P1004" s="96"/>
    </row>
    <row r="1005">
      <c r="C1005" s="88"/>
      <c r="H1005" s="35">
        <v>40.0</v>
      </c>
      <c r="J1005" s="35">
        <v>0.52</v>
      </c>
      <c r="K1005" s="35">
        <v>46.0</v>
      </c>
      <c r="P1005" s="96"/>
    </row>
    <row r="1006">
      <c r="C1006" s="88"/>
      <c r="H1006" s="35">
        <v>44.0</v>
      </c>
      <c r="J1006" s="35">
        <v>0.48</v>
      </c>
      <c r="K1006" s="35">
        <v>42.0</v>
      </c>
      <c r="P1006" s="96"/>
    </row>
    <row r="1007">
      <c r="C1007" s="88"/>
      <c r="H1007" s="35">
        <v>40.0</v>
      </c>
      <c r="J1007" s="35">
        <v>0.46</v>
      </c>
      <c r="K1007" s="35">
        <v>43.0</v>
      </c>
      <c r="P1007" s="96"/>
    </row>
    <row r="1008">
      <c r="C1008" s="88"/>
      <c r="H1008" s="35">
        <v>39.0</v>
      </c>
      <c r="J1008" s="35">
        <v>0.42</v>
      </c>
      <c r="K1008" s="35">
        <v>46.0</v>
      </c>
      <c r="P1008" s="96"/>
    </row>
    <row r="1009">
      <c r="C1009" s="88"/>
      <c r="H1009" s="35">
        <v>42.0</v>
      </c>
      <c r="J1009" s="35">
        <v>0.47</v>
      </c>
      <c r="K1009" s="35">
        <v>40.0</v>
      </c>
      <c r="P1009" s="96"/>
    </row>
    <row r="1010">
      <c r="C1010" s="88"/>
      <c r="H1010" s="35">
        <v>44.0</v>
      </c>
      <c r="J1010" s="35">
        <v>0.51</v>
      </c>
      <c r="K1010" s="35">
        <v>48.0</v>
      </c>
      <c r="P1010" s="96"/>
    </row>
    <row r="1011">
      <c r="C1011" s="88"/>
      <c r="H1011" s="35">
        <v>44.0</v>
      </c>
      <c r="J1011" s="35">
        <v>0.49</v>
      </c>
      <c r="K1011" s="35">
        <v>37.0</v>
      </c>
      <c r="P1011" s="96"/>
    </row>
    <row r="1012">
      <c r="C1012" s="88"/>
      <c r="H1012" s="35">
        <v>46.0</v>
      </c>
      <c r="J1012" s="35">
        <v>0.5</v>
      </c>
      <c r="K1012" s="35">
        <v>43.0</v>
      </c>
      <c r="P1012" s="96"/>
    </row>
    <row r="1013">
      <c r="C1013" s="88"/>
      <c r="H1013" s="35">
        <v>42.0</v>
      </c>
      <c r="J1013" s="35">
        <v>0.55</v>
      </c>
      <c r="K1013" s="35">
        <v>45.0</v>
      </c>
      <c r="P1013" s="96"/>
    </row>
    <row r="1014">
      <c r="C1014" s="88"/>
      <c r="H1014" s="35">
        <v>43.0</v>
      </c>
      <c r="J1014" s="35">
        <v>0.62</v>
      </c>
      <c r="K1014" s="35">
        <v>44.0</v>
      </c>
      <c r="P1014" s="96"/>
    </row>
    <row r="1015">
      <c r="C1015" s="88"/>
      <c r="H1015" s="35">
        <v>46.0</v>
      </c>
      <c r="J1015" s="35">
        <v>0.43</v>
      </c>
      <c r="K1015" s="35">
        <v>41.0</v>
      </c>
      <c r="P1015" s="96"/>
    </row>
    <row r="1016">
      <c r="C1016" s="88"/>
      <c r="H1016" s="35">
        <v>46.0</v>
      </c>
      <c r="J1016" s="35">
        <v>0.56</v>
      </c>
      <c r="K1016" s="35">
        <v>44.0</v>
      </c>
      <c r="P1016" s="96"/>
    </row>
    <row r="1017">
      <c r="C1017" s="88"/>
      <c r="H1017" s="35">
        <v>45.0</v>
      </c>
      <c r="J1017" s="35">
        <v>0.44</v>
      </c>
      <c r="K1017" s="35">
        <v>49.0</v>
      </c>
      <c r="P1017" s="96"/>
    </row>
    <row r="1018">
      <c r="C1018" s="88"/>
      <c r="H1018" s="35">
        <v>41.0</v>
      </c>
      <c r="J1018" s="35">
        <v>0.49</v>
      </c>
      <c r="K1018" s="35">
        <v>43.0</v>
      </c>
      <c r="P1018" s="96"/>
    </row>
    <row r="1019">
      <c r="C1019" s="88"/>
      <c r="H1019" s="35">
        <v>38.0</v>
      </c>
      <c r="J1019" s="35">
        <v>0.49</v>
      </c>
      <c r="K1019" s="35">
        <v>44.0</v>
      </c>
      <c r="P1019" s="96"/>
    </row>
    <row r="1020">
      <c r="C1020" s="88"/>
      <c r="H1020" s="35">
        <v>44.0</v>
      </c>
      <c r="J1020" s="35">
        <v>0.53</v>
      </c>
      <c r="K1020" s="35">
        <v>50.0</v>
      </c>
      <c r="P1020" s="96"/>
    </row>
    <row r="1021">
      <c r="C1021" s="88"/>
      <c r="H1021" s="35">
        <v>41.0</v>
      </c>
      <c r="J1021" s="35">
        <v>0.51</v>
      </c>
      <c r="K1021" s="35">
        <v>42.0</v>
      </c>
      <c r="P1021" s="96"/>
    </row>
    <row r="1022">
      <c r="C1022" s="88"/>
      <c r="H1022" s="35">
        <v>52.0</v>
      </c>
      <c r="J1022" s="35">
        <v>0.56</v>
      </c>
      <c r="K1022" s="35">
        <v>45.0</v>
      </c>
      <c r="P1022" s="96"/>
    </row>
    <row r="1023">
      <c r="C1023" s="88"/>
      <c r="H1023" s="35">
        <v>46.0</v>
      </c>
      <c r="J1023" s="35">
        <v>0.57</v>
      </c>
      <c r="K1023" s="35">
        <v>42.0</v>
      </c>
      <c r="P1023" s="96"/>
    </row>
    <row r="1024">
      <c r="C1024" s="88"/>
      <c r="H1024" s="35">
        <v>50.0</v>
      </c>
      <c r="J1024" s="35">
        <v>0.52</v>
      </c>
      <c r="K1024" s="35">
        <v>41.0</v>
      </c>
      <c r="P1024" s="96"/>
    </row>
    <row r="1025">
      <c r="C1025" s="88"/>
      <c r="H1025" s="35">
        <v>42.0</v>
      </c>
      <c r="J1025" s="35">
        <v>0.52</v>
      </c>
      <c r="K1025" s="35">
        <v>44.0</v>
      </c>
      <c r="P1025" s="96"/>
    </row>
    <row r="1026">
      <c r="C1026" s="88"/>
      <c r="H1026" s="35">
        <v>50.0</v>
      </c>
      <c r="J1026" s="35">
        <v>0.56</v>
      </c>
      <c r="K1026" s="35">
        <v>44.0</v>
      </c>
      <c r="P1026" s="96"/>
    </row>
    <row r="1027">
      <c r="C1027" s="88"/>
      <c r="H1027" s="35">
        <v>41.0</v>
      </c>
      <c r="J1027" s="35">
        <v>0.46</v>
      </c>
      <c r="K1027" s="35">
        <v>45.0</v>
      </c>
      <c r="P1027" s="96"/>
    </row>
    <row r="1028">
      <c r="C1028" s="88"/>
      <c r="H1028" s="35">
        <v>47.0</v>
      </c>
      <c r="J1028" s="35">
        <v>0.46</v>
      </c>
      <c r="K1028" s="35">
        <v>43.0</v>
      </c>
      <c r="P1028" s="96"/>
    </row>
    <row r="1029">
      <c r="C1029" s="88"/>
      <c r="H1029" s="35">
        <v>42.0</v>
      </c>
      <c r="J1029" s="35">
        <v>0.56</v>
      </c>
      <c r="K1029" s="35">
        <v>46.0</v>
      </c>
      <c r="P1029" s="96"/>
    </row>
    <row r="1030">
      <c r="C1030" s="88"/>
      <c r="H1030" s="35">
        <v>45.0</v>
      </c>
      <c r="J1030" s="35">
        <v>0.51</v>
      </c>
      <c r="K1030" s="35">
        <v>42.0</v>
      </c>
      <c r="P1030" s="96"/>
    </row>
    <row r="1031">
      <c r="C1031" s="88"/>
      <c r="H1031" s="35">
        <v>44.0</v>
      </c>
      <c r="J1031" s="35">
        <v>0.5</v>
      </c>
      <c r="K1031" s="35">
        <v>45.0</v>
      </c>
      <c r="P1031" s="96"/>
    </row>
    <row r="1032">
      <c r="C1032" s="88"/>
      <c r="H1032" s="35">
        <v>44.0</v>
      </c>
      <c r="J1032" s="35">
        <v>0.58</v>
      </c>
      <c r="K1032" s="35">
        <v>42.0</v>
      </c>
      <c r="P1032" s="96"/>
    </row>
    <row r="1033">
      <c r="C1033" s="88"/>
      <c r="H1033" s="35">
        <v>45.0</v>
      </c>
      <c r="J1033" s="35">
        <v>0.53</v>
      </c>
      <c r="K1033" s="35">
        <v>39.0</v>
      </c>
      <c r="P1033" s="96"/>
    </row>
    <row r="1034">
      <c r="C1034" s="88"/>
      <c r="H1034" s="35">
        <v>43.0</v>
      </c>
      <c r="J1034" s="35">
        <v>0.45</v>
      </c>
      <c r="K1034" s="35">
        <v>36.0</v>
      </c>
      <c r="P1034" s="96"/>
    </row>
    <row r="1035">
      <c r="C1035" s="88"/>
      <c r="H1035" s="35">
        <v>46.0</v>
      </c>
      <c r="J1035" s="35">
        <v>0.52</v>
      </c>
      <c r="K1035" s="35">
        <v>45.0</v>
      </c>
      <c r="P1035" s="96"/>
    </row>
    <row r="1036">
      <c r="C1036" s="88"/>
      <c r="H1036" s="35">
        <v>47.0</v>
      </c>
      <c r="J1036" s="35">
        <v>0.53</v>
      </c>
      <c r="K1036" s="35">
        <v>45.0</v>
      </c>
      <c r="P1036" s="96"/>
    </row>
    <row r="1037">
      <c r="C1037" s="88"/>
      <c r="H1037" s="35">
        <v>43.0</v>
      </c>
      <c r="J1037" s="35">
        <v>0.55</v>
      </c>
      <c r="K1037" s="35">
        <v>45.0</v>
      </c>
      <c r="P1037" s="96"/>
    </row>
    <row r="1038">
      <c r="C1038" s="88"/>
      <c r="H1038" s="35">
        <v>46.0</v>
      </c>
      <c r="J1038" s="35">
        <v>0.48</v>
      </c>
      <c r="K1038" s="35">
        <v>40.0</v>
      </c>
      <c r="P1038" s="96"/>
    </row>
    <row r="1039">
      <c r="C1039" s="88"/>
      <c r="H1039" s="35">
        <v>48.0</v>
      </c>
      <c r="J1039" s="35">
        <v>0.51</v>
      </c>
      <c r="K1039" s="35">
        <v>42.0</v>
      </c>
      <c r="P1039" s="96"/>
    </row>
    <row r="1040">
      <c r="C1040" s="88"/>
      <c r="H1040" s="35">
        <v>44.0</v>
      </c>
      <c r="J1040" s="35">
        <v>0.53</v>
      </c>
      <c r="K1040" s="35">
        <v>44.0</v>
      </c>
      <c r="P1040" s="96"/>
    </row>
    <row r="1041">
      <c r="C1041" s="88"/>
      <c r="H1041" s="35">
        <v>43.0</v>
      </c>
      <c r="J1041" s="35">
        <v>0.5</v>
      </c>
      <c r="K1041" s="35">
        <v>43.0</v>
      </c>
      <c r="P1041" s="96"/>
    </row>
    <row r="1042">
      <c r="C1042" s="88"/>
      <c r="H1042" s="35">
        <v>42.0</v>
      </c>
      <c r="J1042" s="35">
        <v>0.53</v>
      </c>
      <c r="K1042" s="35">
        <v>42.0</v>
      </c>
      <c r="P1042" s="96"/>
    </row>
    <row r="1043">
      <c r="C1043" s="88"/>
      <c r="H1043" s="35">
        <v>45.0</v>
      </c>
      <c r="J1043" s="35">
        <v>0.46</v>
      </c>
      <c r="K1043" s="35">
        <v>39.0</v>
      </c>
      <c r="P1043" s="96"/>
    </row>
    <row r="1044">
      <c r="C1044" s="88"/>
      <c r="H1044" s="35">
        <v>42.0</v>
      </c>
      <c r="J1044" s="35">
        <v>0.48</v>
      </c>
      <c r="K1044" s="35">
        <v>38.0</v>
      </c>
      <c r="P1044" s="96"/>
    </row>
    <row r="1045">
      <c r="C1045" s="88"/>
      <c r="H1045" s="35">
        <v>46.0</v>
      </c>
      <c r="J1045" s="35">
        <v>0.53</v>
      </c>
      <c r="K1045" s="35">
        <v>45.0</v>
      </c>
      <c r="P1045" s="96"/>
    </row>
    <row r="1046">
      <c r="C1046" s="88"/>
      <c r="H1046" s="35">
        <v>44.0</v>
      </c>
      <c r="J1046" s="35">
        <v>0.52</v>
      </c>
      <c r="K1046" s="35">
        <v>43.0</v>
      </c>
      <c r="P1046" s="96"/>
    </row>
    <row r="1047">
      <c r="C1047" s="88"/>
      <c r="H1047" s="35">
        <v>41.0</v>
      </c>
      <c r="J1047" s="35">
        <v>0.52</v>
      </c>
      <c r="K1047" s="35">
        <v>38.0</v>
      </c>
      <c r="P1047" s="96"/>
    </row>
    <row r="1048">
      <c r="C1048" s="88"/>
      <c r="H1048" s="35">
        <v>52.0</v>
      </c>
      <c r="J1048" s="35">
        <v>0.59</v>
      </c>
      <c r="K1048" s="35">
        <v>38.0</v>
      </c>
      <c r="P1048" s="96"/>
    </row>
    <row r="1049">
      <c r="C1049" s="88"/>
      <c r="H1049" s="35">
        <v>48.0</v>
      </c>
      <c r="J1049" s="35">
        <v>0.5</v>
      </c>
      <c r="K1049" s="35">
        <v>43.0</v>
      </c>
      <c r="P1049" s="96"/>
    </row>
    <row r="1050">
      <c r="C1050" s="88"/>
      <c r="H1050" s="35">
        <v>46.0</v>
      </c>
      <c r="J1050" s="35">
        <v>0.48</v>
      </c>
      <c r="K1050" s="35">
        <v>41.0</v>
      </c>
      <c r="P1050" s="96"/>
    </row>
    <row r="1051">
      <c r="C1051" s="88"/>
      <c r="H1051" s="35">
        <v>48.0</v>
      </c>
      <c r="J1051" s="35">
        <v>0.5</v>
      </c>
      <c r="K1051" s="35">
        <v>38.0</v>
      </c>
      <c r="P1051" s="96"/>
    </row>
    <row r="1052">
      <c r="C1052" s="88"/>
      <c r="H1052" s="35">
        <v>48.0</v>
      </c>
      <c r="J1052" s="35">
        <v>0.54</v>
      </c>
      <c r="K1052" s="35">
        <v>37.0</v>
      </c>
      <c r="P1052" s="96"/>
    </row>
    <row r="1053">
      <c r="C1053" s="88"/>
      <c r="H1053" s="35">
        <v>42.0</v>
      </c>
      <c r="J1053" s="35">
        <v>0.51</v>
      </c>
      <c r="K1053" s="35">
        <v>41.0</v>
      </c>
      <c r="P1053" s="96"/>
    </row>
    <row r="1054">
      <c r="C1054" s="88"/>
      <c r="H1054" s="35">
        <v>41.0</v>
      </c>
      <c r="J1054" s="35">
        <v>0.51</v>
      </c>
      <c r="K1054" s="35">
        <v>44.0</v>
      </c>
      <c r="P1054" s="96"/>
    </row>
    <row r="1055">
      <c r="C1055" s="88"/>
      <c r="H1055" s="35">
        <v>44.0</v>
      </c>
      <c r="J1055" s="35">
        <v>0.48</v>
      </c>
      <c r="K1055" s="35">
        <v>40.0</v>
      </c>
      <c r="P1055" s="96"/>
    </row>
    <row r="1056">
      <c r="C1056" s="88"/>
      <c r="H1056" s="35">
        <v>40.0</v>
      </c>
      <c r="J1056" s="35">
        <v>0.49</v>
      </c>
      <c r="K1056" s="35">
        <v>45.0</v>
      </c>
      <c r="P1056" s="96"/>
    </row>
    <row r="1057">
      <c r="C1057" s="88"/>
      <c r="H1057" s="35">
        <v>49.0</v>
      </c>
      <c r="J1057" s="35">
        <v>0.51</v>
      </c>
      <c r="K1057" s="35">
        <v>46.0</v>
      </c>
      <c r="P1057" s="96"/>
    </row>
    <row r="1058">
      <c r="C1058" s="88"/>
      <c r="H1058" s="35">
        <v>48.0</v>
      </c>
      <c r="J1058" s="35">
        <v>0.53</v>
      </c>
      <c r="K1058" s="35">
        <v>41.0</v>
      </c>
      <c r="P1058" s="96"/>
    </row>
    <row r="1059">
      <c r="C1059" s="88"/>
      <c r="H1059" s="35">
        <v>38.0</v>
      </c>
      <c r="J1059" s="35">
        <v>0.51</v>
      </c>
      <c r="K1059" s="35">
        <v>47.0</v>
      </c>
      <c r="P1059" s="96"/>
    </row>
    <row r="1060">
      <c r="C1060" s="88"/>
      <c r="H1060" s="35">
        <v>44.0</v>
      </c>
      <c r="J1060" s="35">
        <v>0.53</v>
      </c>
      <c r="K1060" s="35">
        <v>38.0</v>
      </c>
      <c r="P1060" s="96"/>
    </row>
    <row r="1061">
      <c r="C1061" s="88"/>
      <c r="H1061" s="35">
        <v>45.0</v>
      </c>
      <c r="J1061" s="35">
        <v>0.53</v>
      </c>
      <c r="K1061" s="35">
        <v>42.0</v>
      </c>
      <c r="P1061" s="96"/>
    </row>
    <row r="1062">
      <c r="C1062" s="88"/>
      <c r="H1062" s="35">
        <v>41.0</v>
      </c>
      <c r="J1062" s="35">
        <v>0.49</v>
      </c>
      <c r="K1062" s="35">
        <v>44.0</v>
      </c>
      <c r="P1062" s="96"/>
    </row>
    <row r="1063">
      <c r="C1063" s="88"/>
      <c r="H1063" s="35">
        <v>40.0</v>
      </c>
      <c r="J1063" s="35">
        <v>0.53</v>
      </c>
      <c r="K1063" s="35">
        <v>40.0</v>
      </c>
      <c r="P1063" s="96"/>
    </row>
    <row r="1064">
      <c r="C1064" s="88"/>
      <c r="H1064" s="35">
        <v>46.0</v>
      </c>
      <c r="J1064" s="35">
        <v>0.61</v>
      </c>
      <c r="K1064" s="35">
        <v>38.0</v>
      </c>
      <c r="P1064" s="96"/>
    </row>
    <row r="1065">
      <c r="C1065" s="88"/>
      <c r="H1065" s="35">
        <v>41.0</v>
      </c>
      <c r="J1065" s="35">
        <v>0.47</v>
      </c>
      <c r="K1065" s="35">
        <v>43.0</v>
      </c>
      <c r="P1065" s="96"/>
    </row>
    <row r="1066">
      <c r="C1066" s="88"/>
      <c r="H1066" s="35">
        <v>46.0</v>
      </c>
      <c r="J1066" s="35">
        <v>0.5</v>
      </c>
      <c r="K1066" s="35">
        <v>40.0</v>
      </c>
      <c r="P1066" s="96"/>
    </row>
    <row r="1067">
      <c r="C1067" s="88"/>
      <c r="H1067" s="35">
        <v>41.0</v>
      </c>
      <c r="J1067" s="35">
        <v>0.55</v>
      </c>
      <c r="K1067" s="35">
        <v>41.0</v>
      </c>
      <c r="P1067" s="96"/>
    </row>
    <row r="1068">
      <c r="C1068" s="88"/>
      <c r="H1068" s="35">
        <v>43.0</v>
      </c>
      <c r="J1068" s="35">
        <v>0.52</v>
      </c>
      <c r="K1068" s="35">
        <v>39.0</v>
      </c>
      <c r="P1068" s="96"/>
    </row>
    <row r="1069">
      <c r="C1069" s="88"/>
      <c r="H1069" s="35">
        <v>44.0</v>
      </c>
      <c r="J1069" s="35">
        <v>0.5</v>
      </c>
      <c r="K1069" s="35">
        <v>39.0</v>
      </c>
      <c r="P1069" s="96"/>
    </row>
    <row r="1070">
      <c r="C1070" s="88"/>
      <c r="H1070" s="35">
        <v>44.0</v>
      </c>
      <c r="J1070" s="35">
        <v>0.53</v>
      </c>
      <c r="K1070" s="35">
        <v>44.0</v>
      </c>
      <c r="P1070" s="96"/>
    </row>
    <row r="1071">
      <c r="C1071" s="88"/>
      <c r="H1071" s="35">
        <v>42.0</v>
      </c>
      <c r="J1071" s="35">
        <v>0.53</v>
      </c>
      <c r="K1071" s="35">
        <v>41.0</v>
      </c>
      <c r="P1071" s="96"/>
    </row>
    <row r="1072">
      <c r="C1072" s="88"/>
      <c r="H1072" s="35">
        <v>42.0</v>
      </c>
      <c r="J1072" s="35">
        <v>0.51</v>
      </c>
      <c r="K1072" s="35">
        <v>36.0</v>
      </c>
      <c r="P1072" s="96"/>
    </row>
    <row r="1073">
      <c r="C1073" s="88"/>
      <c r="H1073" s="35">
        <v>48.0</v>
      </c>
      <c r="J1073" s="35">
        <v>0.49</v>
      </c>
      <c r="K1073" s="35">
        <v>44.0</v>
      </c>
      <c r="P1073" s="96"/>
    </row>
    <row r="1074">
      <c r="C1074" s="88"/>
      <c r="H1074" s="35">
        <v>45.0</v>
      </c>
      <c r="J1074" s="35">
        <v>0.5</v>
      </c>
      <c r="K1074" s="35">
        <v>42.0</v>
      </c>
      <c r="P1074" s="96"/>
    </row>
    <row r="1075">
      <c r="C1075" s="88"/>
      <c r="H1075" s="35">
        <v>44.0</v>
      </c>
      <c r="J1075" s="35">
        <v>0.45</v>
      </c>
      <c r="K1075" s="35">
        <v>36.0</v>
      </c>
      <c r="P1075" s="96"/>
    </row>
    <row r="1076">
      <c r="C1076" s="88"/>
      <c r="H1076" s="35">
        <v>45.0</v>
      </c>
      <c r="J1076" s="35">
        <v>0.51</v>
      </c>
      <c r="K1076" s="35">
        <v>42.0</v>
      </c>
      <c r="P1076" s="96"/>
    </row>
    <row r="1077">
      <c r="C1077" s="88"/>
      <c r="H1077" s="35">
        <v>44.0</v>
      </c>
      <c r="J1077" s="35">
        <v>0.51</v>
      </c>
      <c r="K1077" s="35">
        <v>48.0</v>
      </c>
      <c r="P1077" s="96"/>
    </row>
    <row r="1078">
      <c r="C1078" s="88"/>
      <c r="H1078" s="35">
        <v>44.0</v>
      </c>
      <c r="J1078" s="35">
        <v>0.56</v>
      </c>
      <c r="K1078" s="35">
        <v>37.0</v>
      </c>
      <c r="P1078" s="96"/>
    </row>
    <row r="1079">
      <c r="C1079" s="88"/>
      <c r="H1079" s="35">
        <v>45.0</v>
      </c>
      <c r="J1079" s="35">
        <v>0.53</v>
      </c>
      <c r="K1079" s="35">
        <v>46.0</v>
      </c>
      <c r="P1079" s="96"/>
    </row>
    <row r="1080">
      <c r="C1080" s="88"/>
      <c r="H1080" s="35">
        <v>44.0</v>
      </c>
      <c r="J1080" s="35">
        <v>0.51</v>
      </c>
      <c r="K1080" s="35">
        <v>41.0</v>
      </c>
      <c r="P1080" s="96"/>
    </row>
    <row r="1081">
      <c r="C1081" s="88"/>
      <c r="H1081" s="35">
        <v>40.0</v>
      </c>
      <c r="J1081" s="35">
        <v>0.49</v>
      </c>
      <c r="K1081" s="35">
        <v>41.0</v>
      </c>
      <c r="P1081" s="96"/>
    </row>
    <row r="1082">
      <c r="C1082" s="88"/>
      <c r="H1082" s="35">
        <v>45.0</v>
      </c>
      <c r="J1082" s="35">
        <v>0.5</v>
      </c>
      <c r="K1082" s="35">
        <v>43.0</v>
      </c>
      <c r="P1082" s="96"/>
    </row>
    <row r="1083">
      <c r="C1083" s="88"/>
      <c r="H1083" s="35">
        <v>46.0</v>
      </c>
      <c r="J1083" s="35">
        <v>0.53</v>
      </c>
      <c r="K1083" s="35">
        <v>44.0</v>
      </c>
      <c r="P1083" s="96"/>
    </row>
    <row r="1084">
      <c r="C1084" s="88"/>
      <c r="H1084" s="35">
        <v>43.0</v>
      </c>
      <c r="J1084" s="35">
        <v>0.47</v>
      </c>
      <c r="K1084" s="35">
        <v>39.0</v>
      </c>
      <c r="P1084" s="96"/>
    </row>
    <row r="1085">
      <c r="C1085" s="88"/>
      <c r="H1085" s="35">
        <v>48.0</v>
      </c>
      <c r="J1085" s="35">
        <v>0.55</v>
      </c>
      <c r="K1085" s="35">
        <v>44.0</v>
      </c>
      <c r="P1085" s="96"/>
    </row>
    <row r="1086">
      <c r="C1086" s="88"/>
      <c r="H1086" s="35">
        <v>41.0</v>
      </c>
      <c r="J1086" s="35">
        <v>0.5</v>
      </c>
      <c r="K1086" s="35">
        <v>48.0</v>
      </c>
      <c r="P1086" s="96"/>
    </row>
    <row r="1087">
      <c r="C1087" s="88"/>
      <c r="H1087" s="35">
        <v>48.0</v>
      </c>
      <c r="J1087" s="35">
        <v>0.52</v>
      </c>
      <c r="K1087" s="35">
        <v>42.0</v>
      </c>
      <c r="P1087" s="96"/>
    </row>
    <row r="1088">
      <c r="C1088" s="88"/>
      <c r="H1088" s="35">
        <v>46.0</v>
      </c>
      <c r="J1088" s="35">
        <v>0.56</v>
      </c>
      <c r="K1088" s="35">
        <v>43.0</v>
      </c>
      <c r="P1088" s="96"/>
    </row>
    <row r="1089">
      <c r="C1089" s="88"/>
      <c r="H1089" s="35">
        <v>42.0</v>
      </c>
      <c r="J1089" s="35">
        <v>0.49</v>
      </c>
      <c r="K1089" s="35">
        <v>46.0</v>
      </c>
      <c r="P1089" s="96"/>
    </row>
    <row r="1090">
      <c r="C1090" s="88"/>
      <c r="H1090" s="35">
        <v>47.0</v>
      </c>
      <c r="J1090" s="35">
        <v>0.52</v>
      </c>
      <c r="K1090" s="35">
        <v>43.0</v>
      </c>
      <c r="P1090" s="96"/>
    </row>
    <row r="1091">
      <c r="C1091" s="88"/>
      <c r="H1091" s="35">
        <v>41.0</v>
      </c>
      <c r="J1091" s="35">
        <v>0.52</v>
      </c>
      <c r="K1091" s="35">
        <v>45.0</v>
      </c>
      <c r="P1091" s="96"/>
    </row>
    <row r="1092">
      <c r="C1092" s="88"/>
      <c r="H1092" s="35">
        <v>40.0</v>
      </c>
      <c r="J1092" s="35">
        <v>0.54</v>
      </c>
      <c r="K1092" s="35">
        <v>40.0</v>
      </c>
      <c r="P1092" s="96"/>
    </row>
    <row r="1093">
      <c r="C1093" s="88"/>
      <c r="H1093" s="35">
        <v>46.0</v>
      </c>
      <c r="J1093" s="35">
        <v>0.53</v>
      </c>
      <c r="K1093" s="35">
        <v>45.0</v>
      </c>
      <c r="P1093" s="96"/>
    </row>
    <row r="1094">
      <c r="C1094" s="88"/>
      <c r="H1094" s="35">
        <v>47.0</v>
      </c>
      <c r="J1094" s="35">
        <v>0.48</v>
      </c>
      <c r="K1094" s="35">
        <v>41.0</v>
      </c>
      <c r="P1094" s="96"/>
    </row>
    <row r="1095">
      <c r="C1095" s="88"/>
      <c r="H1095" s="35">
        <v>36.0</v>
      </c>
      <c r="J1095" s="35">
        <v>0.55</v>
      </c>
      <c r="K1095" s="35">
        <v>45.0</v>
      </c>
      <c r="P1095" s="96"/>
    </row>
    <row r="1096">
      <c r="C1096" s="88"/>
      <c r="H1096" s="35">
        <v>46.0</v>
      </c>
      <c r="J1096" s="35">
        <v>0.5</v>
      </c>
      <c r="K1096" s="35">
        <v>37.0</v>
      </c>
      <c r="P1096" s="96"/>
    </row>
    <row r="1097">
      <c r="C1097" s="88"/>
      <c r="H1097" s="35">
        <v>44.0</v>
      </c>
      <c r="J1097" s="35">
        <v>0.52</v>
      </c>
      <c r="K1097" s="35">
        <v>46.0</v>
      </c>
      <c r="P1097" s="96"/>
    </row>
    <row r="1098">
      <c r="C1098" s="88"/>
      <c r="H1098" s="35">
        <v>48.0</v>
      </c>
      <c r="J1098" s="35">
        <v>0.5</v>
      </c>
      <c r="K1098" s="35">
        <v>48.0</v>
      </c>
      <c r="P1098" s="96"/>
    </row>
    <row r="1099">
      <c r="C1099" s="88"/>
      <c r="H1099" s="35">
        <v>46.0</v>
      </c>
      <c r="J1099" s="35">
        <v>0.51</v>
      </c>
      <c r="K1099" s="35">
        <v>43.0</v>
      </c>
      <c r="P1099" s="96"/>
    </row>
    <row r="1100">
      <c r="C1100" s="88"/>
      <c r="H1100" s="35">
        <v>47.0</v>
      </c>
      <c r="J1100" s="35">
        <v>0.51</v>
      </c>
      <c r="K1100" s="35">
        <v>42.0</v>
      </c>
      <c r="P1100" s="96"/>
    </row>
    <row r="1101">
      <c r="C1101" s="88"/>
      <c r="H1101" s="35">
        <v>43.0</v>
      </c>
      <c r="J1101" s="35">
        <v>0.47</v>
      </c>
      <c r="K1101" s="35">
        <v>45.0</v>
      </c>
      <c r="P1101" s="96"/>
    </row>
    <row r="1102">
      <c r="C1102" s="88"/>
      <c r="H1102" s="35">
        <v>46.0</v>
      </c>
      <c r="J1102" s="35">
        <v>0.52</v>
      </c>
      <c r="K1102" s="35">
        <v>48.0</v>
      </c>
      <c r="P1102" s="96"/>
    </row>
    <row r="1103">
      <c r="C1103" s="88"/>
      <c r="H1103" s="35">
        <v>46.0</v>
      </c>
      <c r="J1103" s="35">
        <v>0.49</v>
      </c>
      <c r="K1103" s="35">
        <v>44.0</v>
      </c>
      <c r="P1103" s="96"/>
    </row>
    <row r="1104">
      <c r="C1104" s="88"/>
      <c r="H1104" s="35">
        <v>47.0</v>
      </c>
      <c r="J1104" s="35">
        <v>0.51</v>
      </c>
      <c r="K1104" s="35">
        <v>41.0</v>
      </c>
      <c r="P1104" s="96"/>
    </row>
    <row r="1105">
      <c r="C1105" s="88"/>
      <c r="H1105" s="35">
        <v>47.0</v>
      </c>
      <c r="J1105" s="35">
        <v>0.52</v>
      </c>
      <c r="K1105" s="35">
        <v>46.0</v>
      </c>
      <c r="P1105" s="96"/>
    </row>
    <row r="1106">
      <c r="C1106" s="88"/>
      <c r="H1106" s="35">
        <v>47.0</v>
      </c>
      <c r="J1106" s="35">
        <v>0.55</v>
      </c>
      <c r="K1106" s="35">
        <v>40.0</v>
      </c>
      <c r="P1106" s="96"/>
    </row>
    <row r="1107">
      <c r="C1107" s="88"/>
      <c r="H1107" s="35">
        <v>39.0</v>
      </c>
      <c r="J1107" s="35">
        <v>0.52</v>
      </c>
      <c r="K1107" s="35">
        <v>41.0</v>
      </c>
      <c r="P1107" s="96"/>
    </row>
    <row r="1108">
      <c r="C1108" s="88"/>
      <c r="H1108" s="35">
        <v>44.0</v>
      </c>
      <c r="J1108" s="35">
        <v>0.52</v>
      </c>
      <c r="K1108" s="35">
        <v>40.0</v>
      </c>
      <c r="P1108" s="96"/>
    </row>
    <row r="1109">
      <c r="C1109" s="88"/>
      <c r="H1109" s="35">
        <v>48.0</v>
      </c>
      <c r="J1109" s="35">
        <v>0.51</v>
      </c>
      <c r="K1109" s="35">
        <v>52.0</v>
      </c>
      <c r="P1109" s="96"/>
    </row>
    <row r="1110">
      <c r="C1110" s="88"/>
      <c r="H1110" s="35">
        <v>48.0</v>
      </c>
      <c r="J1110" s="35">
        <v>0.56</v>
      </c>
      <c r="K1110" s="35">
        <v>46.0</v>
      </c>
      <c r="P1110" s="96"/>
    </row>
    <row r="1111">
      <c r="C1111" s="88"/>
      <c r="H1111" s="35">
        <v>45.0</v>
      </c>
      <c r="J1111" s="35">
        <v>0.52</v>
      </c>
      <c r="K1111" s="35">
        <v>38.0</v>
      </c>
      <c r="P1111" s="96"/>
    </row>
    <row r="1112">
      <c r="C1112" s="88"/>
      <c r="H1112" s="35">
        <v>46.0</v>
      </c>
      <c r="J1112" s="35">
        <v>0.52</v>
      </c>
      <c r="K1112" s="35">
        <v>45.0</v>
      </c>
      <c r="P1112" s="96"/>
    </row>
    <row r="1113">
      <c r="C1113" s="88"/>
      <c r="H1113" s="35">
        <v>43.0</v>
      </c>
      <c r="J1113" s="35">
        <v>0.57</v>
      </c>
      <c r="K1113" s="35">
        <v>47.0</v>
      </c>
      <c r="P1113" s="96"/>
    </row>
    <row r="1114">
      <c r="C1114" s="88"/>
      <c r="H1114" s="35">
        <v>43.0</v>
      </c>
      <c r="J1114" s="35">
        <v>0.51</v>
      </c>
      <c r="K1114" s="35">
        <v>47.0</v>
      </c>
      <c r="P1114" s="96"/>
    </row>
    <row r="1115">
      <c r="C1115" s="88"/>
      <c r="H1115" s="35">
        <v>39.0</v>
      </c>
      <c r="J1115" s="35">
        <v>0.51</v>
      </c>
      <c r="K1115" s="35">
        <v>48.0</v>
      </c>
      <c r="P1115" s="96"/>
    </row>
    <row r="1116">
      <c r="C1116" s="88"/>
      <c r="H1116" s="35">
        <v>39.0</v>
      </c>
      <c r="J1116" s="35">
        <v>0.51</v>
      </c>
      <c r="K1116" s="35">
        <v>44.0</v>
      </c>
      <c r="P1116" s="96"/>
    </row>
    <row r="1117">
      <c r="C1117" s="88"/>
      <c r="H1117" s="35">
        <v>44.0</v>
      </c>
      <c r="J1117" s="35">
        <v>0.45</v>
      </c>
      <c r="K1117" s="35">
        <v>44.0</v>
      </c>
      <c r="P1117" s="96"/>
    </row>
    <row r="1118">
      <c r="C1118" s="88"/>
      <c r="H1118" s="35">
        <v>44.0</v>
      </c>
      <c r="J1118" s="35">
        <v>0.46</v>
      </c>
      <c r="K1118" s="35">
        <v>43.0</v>
      </c>
      <c r="P1118" s="96"/>
    </row>
    <row r="1119">
      <c r="C1119" s="88"/>
      <c r="H1119" s="35">
        <v>41.0</v>
      </c>
      <c r="J1119" s="35">
        <v>0.48</v>
      </c>
      <c r="K1119" s="35">
        <v>43.0</v>
      </c>
      <c r="P1119" s="96"/>
    </row>
    <row r="1120">
      <c r="C1120" s="88"/>
      <c r="H1120" s="35">
        <v>45.0</v>
      </c>
      <c r="J1120" s="35">
        <v>0.44</v>
      </c>
      <c r="K1120" s="35">
        <v>42.0</v>
      </c>
      <c r="P1120" s="96"/>
    </row>
    <row r="1121">
      <c r="C1121" s="88"/>
      <c r="H1121" s="35">
        <v>46.0</v>
      </c>
      <c r="J1121" s="35">
        <v>0.43</v>
      </c>
      <c r="K1121" s="35">
        <v>42.0</v>
      </c>
      <c r="P1121" s="96"/>
    </row>
    <row r="1122">
      <c r="C1122" s="88"/>
      <c r="H1122" s="35">
        <v>39.0</v>
      </c>
      <c r="J1122" s="35">
        <v>0.52</v>
      </c>
      <c r="K1122" s="35">
        <v>36.0</v>
      </c>
      <c r="P1122" s="96"/>
    </row>
    <row r="1123">
      <c r="C1123" s="88"/>
      <c r="H1123" s="35">
        <v>45.0</v>
      </c>
      <c r="J1123" s="35">
        <v>0.47</v>
      </c>
      <c r="K1123" s="35">
        <v>40.0</v>
      </c>
      <c r="P1123" s="96"/>
    </row>
    <row r="1124">
      <c r="C1124" s="88"/>
      <c r="H1124" s="35">
        <v>45.0</v>
      </c>
      <c r="J1124" s="35">
        <v>0.46</v>
      </c>
      <c r="K1124" s="35">
        <v>40.0</v>
      </c>
      <c r="P1124" s="96"/>
    </row>
    <row r="1125">
      <c r="C1125" s="88"/>
      <c r="H1125" s="35">
        <v>45.0</v>
      </c>
      <c r="J1125" s="35">
        <v>0.49</v>
      </c>
      <c r="K1125" s="35">
        <v>39.0</v>
      </c>
      <c r="P1125" s="96"/>
    </row>
    <row r="1126">
      <c r="C1126" s="88"/>
      <c r="H1126" s="35">
        <v>41.0</v>
      </c>
      <c r="J1126" s="35">
        <v>0.44</v>
      </c>
      <c r="K1126" s="35">
        <v>42.0</v>
      </c>
      <c r="P1126" s="96"/>
    </row>
    <row r="1127">
      <c r="C1127" s="88"/>
      <c r="H1127" s="35">
        <v>41.0</v>
      </c>
      <c r="J1127" s="35">
        <v>0.48</v>
      </c>
      <c r="K1127" s="35">
        <v>42.0</v>
      </c>
      <c r="P1127" s="96"/>
    </row>
    <row r="1128">
      <c r="C1128" s="88"/>
      <c r="H1128" s="35">
        <v>37.0</v>
      </c>
      <c r="J1128" s="35">
        <v>0.52</v>
      </c>
      <c r="K1128" s="35">
        <v>44.0</v>
      </c>
      <c r="P1128" s="96"/>
    </row>
    <row r="1129">
      <c r="C1129" s="88"/>
      <c r="H1129" s="35">
        <v>40.0</v>
      </c>
      <c r="J1129" s="35">
        <v>0.48</v>
      </c>
      <c r="K1129" s="35">
        <v>44.0</v>
      </c>
      <c r="P1129" s="96"/>
    </row>
    <row r="1130">
      <c r="C1130" s="88"/>
      <c r="H1130" s="35">
        <v>43.0</v>
      </c>
      <c r="J1130" s="35">
        <v>0.51</v>
      </c>
      <c r="K1130" s="35">
        <v>45.0</v>
      </c>
      <c r="P1130" s="96"/>
    </row>
    <row r="1131">
      <c r="C1131" s="88"/>
      <c r="H1131" s="35">
        <v>41.0</v>
      </c>
      <c r="J1131" s="35">
        <v>0.51</v>
      </c>
      <c r="K1131" s="35">
        <v>48.0</v>
      </c>
      <c r="P1131" s="96"/>
    </row>
    <row r="1132">
      <c r="C1132" s="88"/>
      <c r="H1132" s="35">
        <v>46.0</v>
      </c>
      <c r="J1132" s="35">
        <v>0.49</v>
      </c>
      <c r="K1132" s="35">
        <v>38.0</v>
      </c>
      <c r="P1132" s="96"/>
    </row>
    <row r="1133">
      <c r="C1133" s="88"/>
      <c r="H1133" s="35">
        <v>44.0</v>
      </c>
      <c r="J1133" s="35">
        <v>0.51</v>
      </c>
      <c r="K1133" s="35">
        <v>38.0</v>
      </c>
      <c r="P1133" s="96"/>
    </row>
    <row r="1134">
      <c r="C1134" s="88"/>
      <c r="H1134" s="35">
        <v>42.0</v>
      </c>
      <c r="J1134" s="35">
        <v>0.46</v>
      </c>
      <c r="K1134" s="35">
        <v>38.0</v>
      </c>
      <c r="P1134" s="96"/>
    </row>
    <row r="1135">
      <c r="C1135" s="88"/>
      <c r="H1135" s="35">
        <v>46.0</v>
      </c>
      <c r="J1135" s="35">
        <v>0.47</v>
      </c>
      <c r="K1135" s="35">
        <v>45.0</v>
      </c>
      <c r="P1135" s="96"/>
    </row>
    <row r="1136">
      <c r="C1136" s="88"/>
      <c r="H1136" s="35">
        <v>43.0</v>
      </c>
      <c r="J1136" s="35">
        <v>0.57</v>
      </c>
      <c r="K1136" s="35">
        <v>45.0</v>
      </c>
      <c r="P1136" s="96"/>
    </row>
    <row r="1137">
      <c r="C1137" s="88"/>
      <c r="H1137" s="35">
        <v>41.0</v>
      </c>
      <c r="J1137" s="35">
        <v>0.56</v>
      </c>
      <c r="K1137" s="35">
        <v>45.0</v>
      </c>
      <c r="P1137" s="96"/>
    </row>
    <row r="1138">
      <c r="C1138" s="88"/>
      <c r="H1138" s="35">
        <v>44.0</v>
      </c>
      <c r="J1138" s="35">
        <v>0.48</v>
      </c>
      <c r="K1138" s="35">
        <v>41.0</v>
      </c>
      <c r="P1138" s="96"/>
    </row>
    <row r="1139">
      <c r="C1139" s="88"/>
      <c r="H1139" s="35">
        <v>48.0</v>
      </c>
      <c r="J1139" s="35">
        <v>0.44</v>
      </c>
      <c r="K1139" s="35">
        <v>37.0</v>
      </c>
      <c r="P1139" s="96"/>
    </row>
    <row r="1140">
      <c r="C1140" s="88"/>
      <c r="H1140" s="35">
        <v>41.0</v>
      </c>
      <c r="J1140" s="35">
        <v>0.48</v>
      </c>
      <c r="K1140" s="35">
        <v>44.0</v>
      </c>
      <c r="P1140" s="96"/>
    </row>
    <row r="1141">
      <c r="C1141" s="88"/>
      <c r="H1141" s="35">
        <v>41.0</v>
      </c>
      <c r="J1141" s="35">
        <v>0.47</v>
      </c>
      <c r="K1141" s="35">
        <v>37.0</v>
      </c>
      <c r="P1141" s="96"/>
    </row>
    <row r="1142">
      <c r="C1142" s="88"/>
      <c r="H1142" s="35">
        <v>41.0</v>
      </c>
      <c r="J1142" s="35">
        <v>0.41</v>
      </c>
      <c r="K1142" s="35">
        <v>39.0</v>
      </c>
      <c r="P1142" s="96"/>
    </row>
    <row r="1143">
      <c r="C1143" s="88"/>
      <c r="H1143" s="35">
        <v>42.0</v>
      </c>
      <c r="J1143" s="35">
        <v>0.46</v>
      </c>
      <c r="K1143" s="35">
        <v>47.0</v>
      </c>
      <c r="P1143" s="96"/>
    </row>
    <row r="1144">
      <c r="C1144" s="88"/>
      <c r="H1144" s="35">
        <v>41.0</v>
      </c>
      <c r="J1144" s="35">
        <v>0.44</v>
      </c>
      <c r="K1144" s="35">
        <v>38.0</v>
      </c>
      <c r="P1144" s="96"/>
    </row>
    <row r="1145">
      <c r="C1145" s="88"/>
      <c r="H1145" s="35">
        <v>43.0</v>
      </c>
      <c r="J1145" s="35">
        <v>0.48</v>
      </c>
      <c r="K1145" s="35">
        <v>38.0</v>
      </c>
      <c r="P1145" s="96"/>
    </row>
    <row r="1146">
      <c r="C1146" s="88"/>
      <c r="H1146" s="35">
        <v>40.0</v>
      </c>
      <c r="J1146" s="35">
        <v>0.5</v>
      </c>
      <c r="K1146" s="35">
        <v>39.0</v>
      </c>
      <c r="P1146" s="96"/>
    </row>
    <row r="1147">
      <c r="C1147" s="88"/>
      <c r="H1147" s="35">
        <v>41.0</v>
      </c>
      <c r="J1147" s="35">
        <v>0.47</v>
      </c>
      <c r="K1147" s="35">
        <v>41.0</v>
      </c>
      <c r="P1147" s="96"/>
    </row>
    <row r="1148">
      <c r="C1148" s="88"/>
      <c r="H1148" s="35">
        <v>47.0</v>
      </c>
      <c r="J1148" s="35">
        <v>0.49</v>
      </c>
      <c r="K1148" s="35">
        <v>41.0</v>
      </c>
      <c r="P1148" s="96"/>
    </row>
    <row r="1149">
      <c r="C1149" s="88"/>
      <c r="H1149" s="35">
        <v>42.0</v>
      </c>
      <c r="J1149" s="35">
        <v>0.48</v>
      </c>
      <c r="K1149" s="35">
        <v>38.0</v>
      </c>
      <c r="P1149" s="96"/>
    </row>
    <row r="1150">
      <c r="C1150" s="88"/>
      <c r="H1150" s="35">
        <v>45.0</v>
      </c>
      <c r="J1150" s="35">
        <v>0.5</v>
      </c>
      <c r="K1150" s="35">
        <v>42.0</v>
      </c>
      <c r="P1150" s="96"/>
    </row>
    <row r="1151">
      <c r="C1151" s="88"/>
      <c r="H1151" s="35">
        <v>44.0</v>
      </c>
      <c r="J1151" s="35">
        <v>0.47</v>
      </c>
      <c r="K1151" s="35">
        <v>46.0</v>
      </c>
      <c r="P1151" s="96"/>
    </row>
    <row r="1152">
      <c r="C1152" s="88"/>
      <c r="H1152" s="35">
        <v>39.0</v>
      </c>
      <c r="J1152" s="35">
        <v>0.48</v>
      </c>
      <c r="K1152" s="35">
        <v>45.0</v>
      </c>
      <c r="P1152" s="96"/>
    </row>
    <row r="1153">
      <c r="C1153" s="88"/>
      <c r="H1153" s="35">
        <v>47.0</v>
      </c>
      <c r="J1153" s="35">
        <v>0.45</v>
      </c>
      <c r="K1153" s="35">
        <v>46.0</v>
      </c>
      <c r="P1153" s="96"/>
    </row>
    <row r="1154">
      <c r="C1154" s="88"/>
      <c r="H1154" s="35">
        <v>46.0</v>
      </c>
      <c r="J1154" s="35">
        <v>0.42</v>
      </c>
      <c r="K1154" s="35">
        <v>44.0</v>
      </c>
      <c r="P1154" s="96"/>
    </row>
    <row r="1155">
      <c r="C1155" s="88"/>
      <c r="H1155" s="35">
        <v>50.0</v>
      </c>
      <c r="J1155" s="35">
        <v>0.42</v>
      </c>
      <c r="K1155" s="35">
        <v>48.0</v>
      </c>
      <c r="P1155" s="96"/>
    </row>
    <row r="1156">
      <c r="C1156" s="88"/>
      <c r="H1156" s="35">
        <v>50.0</v>
      </c>
      <c r="J1156" s="35">
        <v>0.44</v>
      </c>
      <c r="K1156" s="35">
        <v>42.0</v>
      </c>
      <c r="P1156" s="96"/>
    </row>
    <row r="1157">
      <c r="C1157" s="88"/>
      <c r="H1157" s="35">
        <v>48.0</v>
      </c>
      <c r="J1157" s="35">
        <v>0.48</v>
      </c>
      <c r="K1157" s="35">
        <v>51.0</v>
      </c>
      <c r="P1157" s="96"/>
    </row>
    <row r="1158">
      <c r="C1158" s="88"/>
      <c r="H1158" s="35">
        <v>51.0</v>
      </c>
      <c r="J1158" s="35">
        <v>0.43</v>
      </c>
      <c r="K1158" s="35">
        <v>40.0</v>
      </c>
      <c r="P1158" s="96"/>
    </row>
    <row r="1159">
      <c r="C1159" s="88"/>
      <c r="H1159" s="35">
        <v>51.0</v>
      </c>
      <c r="J1159" s="35">
        <v>0.49</v>
      </c>
      <c r="K1159" s="35">
        <v>43.0</v>
      </c>
      <c r="P1159" s="96"/>
    </row>
    <row r="1160">
      <c r="C1160" s="88"/>
      <c r="H1160" s="35">
        <v>43.0</v>
      </c>
      <c r="J1160" s="35">
        <v>0.46</v>
      </c>
      <c r="K1160" s="35">
        <v>45.0</v>
      </c>
      <c r="P1160" s="96"/>
    </row>
    <row r="1161">
      <c r="C1161" s="88"/>
      <c r="H1161" s="35">
        <v>42.0</v>
      </c>
      <c r="J1161" s="35">
        <v>0.56</v>
      </c>
      <c r="K1161" s="35">
        <v>44.0</v>
      </c>
      <c r="P1161" s="96"/>
    </row>
    <row r="1162">
      <c r="C1162" s="88"/>
      <c r="H1162" s="35">
        <v>42.0</v>
      </c>
      <c r="J1162" s="35">
        <v>0.47</v>
      </c>
      <c r="K1162" s="35">
        <v>38.0</v>
      </c>
      <c r="P1162" s="96"/>
    </row>
    <row r="1163">
      <c r="C1163" s="88"/>
      <c r="H1163" s="35">
        <v>47.0</v>
      </c>
      <c r="J1163" s="35">
        <v>0.44</v>
      </c>
      <c r="K1163" s="35">
        <v>49.0</v>
      </c>
      <c r="P1163" s="96"/>
    </row>
    <row r="1164">
      <c r="C1164" s="88"/>
      <c r="H1164" s="35">
        <v>44.0</v>
      </c>
      <c r="J1164" s="35">
        <v>0.43</v>
      </c>
      <c r="K1164" s="35">
        <v>46.0</v>
      </c>
      <c r="P1164" s="96"/>
    </row>
    <row r="1165">
      <c r="C1165" s="88"/>
      <c r="H1165" s="35">
        <v>48.0</v>
      </c>
      <c r="J1165" s="35">
        <v>0.44</v>
      </c>
      <c r="K1165" s="35">
        <v>43.0</v>
      </c>
      <c r="P1165" s="96"/>
    </row>
    <row r="1166">
      <c r="C1166" s="88"/>
      <c r="H1166" s="35">
        <v>46.0</v>
      </c>
      <c r="J1166" s="35">
        <v>0.48</v>
      </c>
      <c r="K1166" s="35">
        <v>44.0</v>
      </c>
      <c r="P1166" s="96"/>
    </row>
    <row r="1167">
      <c r="C1167" s="88"/>
      <c r="H1167" s="35">
        <v>42.0</v>
      </c>
      <c r="J1167" s="35">
        <v>0.49</v>
      </c>
      <c r="K1167" s="35">
        <v>47.0</v>
      </c>
      <c r="P1167" s="96"/>
    </row>
    <row r="1168">
      <c r="C1168" s="88"/>
      <c r="H1168" s="35">
        <v>41.0</v>
      </c>
      <c r="J1168" s="35">
        <v>0.48</v>
      </c>
      <c r="K1168" s="35">
        <v>45.0</v>
      </c>
      <c r="P1168" s="96"/>
    </row>
    <row r="1169">
      <c r="C1169" s="88"/>
      <c r="H1169" s="35">
        <v>43.0</v>
      </c>
      <c r="J1169" s="35">
        <v>0.48</v>
      </c>
      <c r="K1169" s="35">
        <v>38.0</v>
      </c>
      <c r="P1169" s="96"/>
    </row>
    <row r="1170">
      <c r="C1170" s="88"/>
      <c r="H1170" s="35">
        <v>53.0</v>
      </c>
      <c r="J1170" s="35">
        <v>0.44</v>
      </c>
      <c r="K1170" s="35">
        <v>47.0</v>
      </c>
      <c r="P1170" s="96"/>
    </row>
    <row r="1171">
      <c r="C1171" s="88"/>
      <c r="H1171" s="35">
        <v>48.0</v>
      </c>
      <c r="J1171" s="35">
        <v>0.47</v>
      </c>
      <c r="K1171" s="35">
        <v>45.0</v>
      </c>
      <c r="P1171" s="96"/>
    </row>
    <row r="1172">
      <c r="C1172" s="88"/>
      <c r="H1172" s="35">
        <v>47.0</v>
      </c>
      <c r="J1172" s="35">
        <v>0.45</v>
      </c>
      <c r="K1172" s="35">
        <v>41.0</v>
      </c>
      <c r="P1172" s="96"/>
    </row>
    <row r="1173">
      <c r="C1173" s="88"/>
      <c r="H1173" s="35">
        <v>45.0</v>
      </c>
      <c r="J1173" s="35">
        <v>0.46</v>
      </c>
      <c r="K1173" s="35">
        <v>49.0</v>
      </c>
      <c r="P1173" s="96"/>
    </row>
    <row r="1174">
      <c r="C1174" s="88"/>
      <c r="H1174" s="35">
        <v>45.0</v>
      </c>
      <c r="J1174" s="35">
        <v>0.48</v>
      </c>
      <c r="K1174" s="35">
        <v>45.0</v>
      </c>
      <c r="P1174" s="96"/>
    </row>
    <row r="1175">
      <c r="C1175" s="88"/>
      <c r="H1175" s="35">
        <v>45.0</v>
      </c>
      <c r="J1175" s="35">
        <v>0.46</v>
      </c>
      <c r="K1175" s="35">
        <v>40.0</v>
      </c>
      <c r="P1175" s="96"/>
    </row>
    <row r="1176">
      <c r="C1176" s="88"/>
      <c r="H1176" s="35">
        <v>48.0</v>
      </c>
      <c r="J1176" s="35">
        <v>0.49</v>
      </c>
      <c r="K1176" s="35">
        <v>42.0</v>
      </c>
      <c r="P1176" s="96"/>
    </row>
    <row r="1177">
      <c r="C1177" s="88"/>
      <c r="H1177" s="35">
        <v>46.0</v>
      </c>
      <c r="J1177" s="35">
        <v>0.45</v>
      </c>
      <c r="K1177" s="35">
        <v>48.0</v>
      </c>
      <c r="P1177" s="96"/>
    </row>
    <row r="1178">
      <c r="C1178" s="88"/>
      <c r="H1178" s="35">
        <v>45.0</v>
      </c>
      <c r="J1178" s="35">
        <v>0.47</v>
      </c>
      <c r="K1178" s="35">
        <v>46.0</v>
      </c>
      <c r="P1178" s="96"/>
    </row>
    <row r="1179">
      <c r="C1179" s="88"/>
      <c r="H1179" s="35">
        <v>47.0</v>
      </c>
      <c r="J1179" s="35">
        <v>0.44</v>
      </c>
      <c r="K1179" s="35">
        <v>45.0</v>
      </c>
      <c r="P1179" s="96"/>
    </row>
    <row r="1180">
      <c r="C1180" s="88"/>
      <c r="H1180" s="35">
        <v>42.0</v>
      </c>
      <c r="J1180" s="35">
        <v>0.51</v>
      </c>
      <c r="K1180" s="35">
        <v>46.0</v>
      </c>
      <c r="P1180" s="96"/>
    </row>
    <row r="1181">
      <c r="C1181" s="88"/>
      <c r="H1181" s="35">
        <v>44.0</v>
      </c>
      <c r="J1181" s="35">
        <v>0.47</v>
      </c>
      <c r="K1181" s="35">
        <v>46.0</v>
      </c>
      <c r="P1181" s="96"/>
    </row>
    <row r="1182">
      <c r="C1182" s="88"/>
      <c r="H1182" s="35">
        <v>49.0</v>
      </c>
      <c r="J1182" s="35">
        <v>0.47</v>
      </c>
      <c r="K1182" s="35">
        <v>39.0</v>
      </c>
      <c r="P1182" s="96"/>
    </row>
    <row r="1183">
      <c r="C1183" s="88"/>
      <c r="H1183" s="35">
        <v>48.0</v>
      </c>
      <c r="J1183" s="35">
        <v>0.47</v>
      </c>
      <c r="K1183" s="35">
        <v>50.0</v>
      </c>
      <c r="P1183" s="96"/>
    </row>
    <row r="1184">
      <c r="C1184" s="88"/>
      <c r="H1184" s="35">
        <v>42.0</v>
      </c>
      <c r="J1184" s="35">
        <v>0.52</v>
      </c>
      <c r="K1184" s="35">
        <v>39.0</v>
      </c>
      <c r="P1184" s="96"/>
    </row>
    <row r="1185">
      <c r="C1185" s="88"/>
      <c r="H1185" s="35">
        <v>44.0</v>
      </c>
      <c r="J1185" s="35">
        <v>0.5</v>
      </c>
      <c r="K1185" s="35">
        <v>46.0</v>
      </c>
      <c r="P1185" s="96"/>
    </row>
    <row r="1186">
      <c r="C1186" s="88"/>
      <c r="H1186" s="35">
        <v>47.0</v>
      </c>
      <c r="J1186" s="35">
        <v>0.51</v>
      </c>
      <c r="K1186" s="35">
        <v>45.0</v>
      </c>
      <c r="P1186" s="96"/>
    </row>
    <row r="1187">
      <c r="C1187" s="88"/>
      <c r="H1187" s="35">
        <v>41.0</v>
      </c>
      <c r="J1187" s="35">
        <v>0.48</v>
      </c>
      <c r="K1187" s="35">
        <v>48.0</v>
      </c>
      <c r="P1187" s="96"/>
    </row>
    <row r="1188">
      <c r="C1188" s="88"/>
      <c r="H1188" s="35">
        <v>44.0</v>
      </c>
      <c r="J1188" s="35">
        <v>0.39</v>
      </c>
      <c r="K1188" s="35">
        <v>41.0</v>
      </c>
      <c r="P1188" s="96"/>
    </row>
    <row r="1189">
      <c r="C1189" s="88"/>
      <c r="H1189" s="35">
        <v>43.0</v>
      </c>
      <c r="J1189" s="35">
        <v>0.45</v>
      </c>
      <c r="K1189" s="35">
        <v>39.0</v>
      </c>
      <c r="P1189" s="96"/>
    </row>
    <row r="1190">
      <c r="C1190" s="88"/>
      <c r="H1190" s="35">
        <v>47.0</v>
      </c>
      <c r="J1190" s="35">
        <v>0.49</v>
      </c>
      <c r="K1190" s="35">
        <v>41.0</v>
      </c>
      <c r="P1190" s="96"/>
    </row>
    <row r="1191">
      <c r="C1191" s="88"/>
      <c r="H1191" s="35">
        <v>45.0</v>
      </c>
      <c r="J1191" s="35">
        <v>0.47</v>
      </c>
      <c r="K1191" s="35">
        <v>41.0</v>
      </c>
      <c r="P1191" s="96"/>
    </row>
    <row r="1192">
      <c r="C1192" s="88"/>
      <c r="H1192" s="35">
        <v>45.0</v>
      </c>
      <c r="J1192" s="35">
        <v>0.46</v>
      </c>
      <c r="K1192" s="35">
        <v>46.0</v>
      </c>
      <c r="P1192" s="96"/>
    </row>
    <row r="1193">
      <c r="C1193" s="88"/>
      <c r="H1193" s="35">
        <v>46.0</v>
      </c>
      <c r="J1193" s="35">
        <v>0.46</v>
      </c>
      <c r="K1193" s="35">
        <v>41.0</v>
      </c>
      <c r="P1193" s="96"/>
    </row>
    <row r="1194">
      <c r="C1194" s="88"/>
      <c r="H1194" s="35">
        <v>46.0</v>
      </c>
      <c r="J1194" s="35">
        <v>0.43</v>
      </c>
      <c r="K1194" s="35">
        <v>43.0</v>
      </c>
      <c r="P1194" s="96"/>
    </row>
    <row r="1195">
      <c r="C1195" s="88"/>
      <c r="H1195" s="35">
        <v>46.0</v>
      </c>
      <c r="J1195" s="35">
        <v>0.47</v>
      </c>
      <c r="K1195" s="35">
        <v>44.0</v>
      </c>
      <c r="P1195" s="96"/>
    </row>
    <row r="1196">
      <c r="C1196" s="88"/>
      <c r="H1196" s="35">
        <v>42.0</v>
      </c>
      <c r="J1196" s="35">
        <v>0.43</v>
      </c>
      <c r="K1196" s="35">
        <v>42.0</v>
      </c>
      <c r="P1196" s="96"/>
    </row>
    <row r="1197">
      <c r="C1197" s="88"/>
      <c r="H1197" s="35">
        <v>45.0</v>
      </c>
      <c r="J1197" s="35">
        <v>0.49</v>
      </c>
      <c r="K1197" s="35">
        <v>43.0</v>
      </c>
      <c r="P1197" s="96"/>
    </row>
    <row r="1198">
      <c r="C1198" s="88"/>
      <c r="H1198" s="35">
        <v>45.0</v>
      </c>
      <c r="J1198" s="35">
        <v>0.47</v>
      </c>
      <c r="K1198" s="35">
        <v>45.0</v>
      </c>
      <c r="P1198" s="96"/>
    </row>
    <row r="1199">
      <c r="C1199" s="88"/>
      <c r="H1199" s="35">
        <v>43.0</v>
      </c>
      <c r="J1199" s="35">
        <v>0.42</v>
      </c>
      <c r="K1199" s="35">
        <v>45.0</v>
      </c>
      <c r="P1199" s="96"/>
    </row>
    <row r="1200">
      <c r="C1200" s="88"/>
      <c r="H1200" s="35">
        <v>49.0</v>
      </c>
      <c r="J1200" s="35">
        <v>0.47</v>
      </c>
      <c r="K1200" s="35">
        <v>39.0</v>
      </c>
      <c r="P1200" s="96"/>
    </row>
    <row r="1201">
      <c r="C1201" s="88"/>
      <c r="H1201" s="35">
        <v>45.0</v>
      </c>
      <c r="J1201" s="35">
        <v>0.46</v>
      </c>
      <c r="K1201" s="35">
        <v>42.0</v>
      </c>
      <c r="P1201" s="96"/>
    </row>
    <row r="1202">
      <c r="C1202" s="88"/>
      <c r="H1202" s="35">
        <v>41.0</v>
      </c>
      <c r="J1202" s="35">
        <v>0.45</v>
      </c>
      <c r="K1202" s="35">
        <v>36.0</v>
      </c>
      <c r="P1202" s="96"/>
    </row>
    <row r="1203">
      <c r="C1203" s="88"/>
      <c r="H1203" s="35">
        <v>45.0</v>
      </c>
      <c r="J1203" s="35">
        <v>0.51</v>
      </c>
      <c r="K1203" s="35">
        <v>40.0</v>
      </c>
      <c r="P1203" s="96"/>
    </row>
    <row r="1204">
      <c r="C1204" s="88"/>
      <c r="H1204" s="35">
        <v>42.0</v>
      </c>
      <c r="J1204" s="35">
        <v>0.46</v>
      </c>
      <c r="K1204" s="35">
        <v>38.0</v>
      </c>
      <c r="P1204" s="96"/>
    </row>
    <row r="1205">
      <c r="C1205" s="88"/>
      <c r="H1205" s="35">
        <v>45.0</v>
      </c>
      <c r="J1205" s="35">
        <v>0.46</v>
      </c>
      <c r="K1205" s="35">
        <v>41.0</v>
      </c>
      <c r="P1205" s="96"/>
    </row>
    <row r="1206">
      <c r="C1206" s="88"/>
      <c r="H1206" s="35">
        <v>41.0</v>
      </c>
      <c r="J1206" s="35">
        <v>0.5</v>
      </c>
      <c r="K1206" s="35">
        <v>46.0</v>
      </c>
      <c r="P1206" s="96"/>
    </row>
    <row r="1207">
      <c r="C1207" s="88"/>
      <c r="H1207" s="35">
        <v>45.0</v>
      </c>
      <c r="J1207" s="35">
        <v>0.45</v>
      </c>
      <c r="K1207" s="35">
        <v>44.0</v>
      </c>
      <c r="P1207" s="96"/>
    </row>
    <row r="1208">
      <c r="C1208" s="88"/>
      <c r="H1208" s="35">
        <v>42.0</v>
      </c>
      <c r="J1208" s="35">
        <v>0.48</v>
      </c>
      <c r="K1208" s="35">
        <v>45.0</v>
      </c>
      <c r="P1208" s="96"/>
    </row>
    <row r="1209">
      <c r="C1209" s="88"/>
      <c r="H1209" s="35">
        <v>41.0</v>
      </c>
      <c r="J1209" s="35">
        <v>0.48</v>
      </c>
      <c r="K1209" s="35">
        <v>48.0</v>
      </c>
      <c r="P1209" s="96"/>
    </row>
    <row r="1210">
      <c r="C1210" s="88"/>
      <c r="H1210" s="35">
        <v>45.0</v>
      </c>
      <c r="J1210" s="35">
        <v>0.45</v>
      </c>
      <c r="K1210" s="35">
        <v>50.0</v>
      </c>
      <c r="P1210" s="96"/>
    </row>
    <row r="1211">
      <c r="C1211" s="88"/>
      <c r="H1211" s="35">
        <v>44.0</v>
      </c>
      <c r="J1211" s="35">
        <v>0.47</v>
      </c>
      <c r="K1211" s="35">
        <v>50.0</v>
      </c>
      <c r="P1211" s="96"/>
    </row>
    <row r="1212">
      <c r="C1212" s="88"/>
      <c r="H1212" s="35">
        <v>46.0</v>
      </c>
      <c r="J1212" s="35">
        <v>0.47</v>
      </c>
      <c r="K1212" s="35">
        <v>43.0</v>
      </c>
      <c r="P1212" s="96"/>
    </row>
    <row r="1213">
      <c r="C1213" s="88"/>
      <c r="H1213" s="35">
        <v>45.0</v>
      </c>
      <c r="J1213" s="35">
        <v>0.46</v>
      </c>
      <c r="K1213" s="35">
        <v>39.0</v>
      </c>
      <c r="P1213" s="96"/>
    </row>
    <row r="1214">
      <c r="C1214" s="88"/>
      <c r="H1214" s="35">
        <v>44.0</v>
      </c>
      <c r="J1214" s="35">
        <v>0.48</v>
      </c>
      <c r="K1214" s="35">
        <v>44.0</v>
      </c>
      <c r="P1214" s="96"/>
    </row>
    <row r="1215">
      <c r="C1215" s="88"/>
      <c r="H1215" s="35">
        <v>47.0</v>
      </c>
      <c r="J1215" s="35">
        <v>0.49</v>
      </c>
      <c r="K1215" s="35">
        <v>41.0</v>
      </c>
      <c r="P1215" s="96"/>
    </row>
    <row r="1216">
      <c r="C1216" s="88"/>
      <c r="H1216" s="35">
        <v>40.0</v>
      </c>
      <c r="J1216" s="35">
        <v>0.48</v>
      </c>
      <c r="K1216" s="35">
        <v>38.0</v>
      </c>
      <c r="P1216" s="96"/>
    </row>
    <row r="1217">
      <c r="C1217" s="88"/>
      <c r="H1217" s="35">
        <v>46.0</v>
      </c>
      <c r="J1217" s="35">
        <v>0.46</v>
      </c>
      <c r="K1217" s="35">
        <v>44.0</v>
      </c>
      <c r="P1217" s="96"/>
    </row>
    <row r="1218">
      <c r="C1218" s="88"/>
      <c r="H1218" s="35">
        <v>43.0</v>
      </c>
      <c r="J1218" s="35">
        <v>0.49</v>
      </c>
      <c r="K1218" s="35">
        <v>44.0</v>
      </c>
      <c r="P1218" s="96"/>
    </row>
    <row r="1219">
      <c r="C1219" s="88"/>
      <c r="H1219" s="35">
        <v>51.0</v>
      </c>
      <c r="J1219" s="35">
        <v>0.47</v>
      </c>
      <c r="K1219" s="35">
        <v>45.0</v>
      </c>
      <c r="P1219" s="96"/>
    </row>
    <row r="1220">
      <c r="C1220" s="88"/>
      <c r="H1220" s="35">
        <v>42.0</v>
      </c>
      <c r="J1220" s="35">
        <v>0.47</v>
      </c>
      <c r="K1220" s="35">
        <v>45.0</v>
      </c>
      <c r="P1220" s="96"/>
    </row>
    <row r="1221">
      <c r="C1221" s="88"/>
      <c r="H1221" s="35">
        <v>40.0</v>
      </c>
      <c r="J1221" s="35">
        <v>0.48</v>
      </c>
      <c r="K1221" s="35">
        <v>43.0</v>
      </c>
      <c r="P1221" s="96"/>
    </row>
    <row r="1222">
      <c r="C1222" s="88"/>
      <c r="H1222" s="35">
        <v>41.0</v>
      </c>
      <c r="J1222" s="35">
        <v>0.49</v>
      </c>
      <c r="K1222" s="35">
        <v>49.0</v>
      </c>
      <c r="P1222" s="96"/>
    </row>
    <row r="1223">
      <c r="C1223" s="88"/>
      <c r="H1223" s="35">
        <v>46.0</v>
      </c>
      <c r="J1223" s="35">
        <v>0.46</v>
      </c>
      <c r="K1223" s="35">
        <v>48.0</v>
      </c>
      <c r="P1223" s="96"/>
    </row>
    <row r="1224">
      <c r="C1224" s="88"/>
      <c r="H1224" s="35">
        <v>39.0</v>
      </c>
      <c r="J1224" s="35">
        <v>0.47</v>
      </c>
      <c r="K1224" s="35">
        <v>43.0</v>
      </c>
      <c r="P1224" s="96"/>
    </row>
    <row r="1225">
      <c r="C1225" s="88"/>
      <c r="H1225" s="35">
        <v>42.0</v>
      </c>
      <c r="J1225" s="35">
        <v>0.46</v>
      </c>
      <c r="K1225" s="35">
        <v>39.0</v>
      </c>
      <c r="P1225" s="96"/>
    </row>
    <row r="1226">
      <c r="C1226" s="88"/>
      <c r="H1226" s="35">
        <v>43.0</v>
      </c>
      <c r="J1226" s="35">
        <v>0.45</v>
      </c>
      <c r="K1226" s="35">
        <v>40.0</v>
      </c>
      <c r="P1226" s="96"/>
    </row>
    <row r="1227">
      <c r="C1227" s="88"/>
      <c r="H1227" s="35">
        <v>39.0</v>
      </c>
      <c r="J1227" s="35">
        <v>0.49</v>
      </c>
      <c r="K1227" s="35">
        <v>38.0</v>
      </c>
      <c r="P1227" s="96"/>
    </row>
    <row r="1228">
      <c r="C1228" s="88"/>
      <c r="H1228" s="35">
        <v>43.0</v>
      </c>
      <c r="J1228" s="35">
        <v>0.46</v>
      </c>
      <c r="K1228" s="35">
        <v>39.0</v>
      </c>
      <c r="P1228" s="96"/>
    </row>
    <row r="1229">
      <c r="C1229" s="88"/>
      <c r="H1229" s="35">
        <v>48.0</v>
      </c>
      <c r="J1229" s="35">
        <v>0.45</v>
      </c>
      <c r="K1229" s="35">
        <v>36.0</v>
      </c>
      <c r="P1229" s="96"/>
    </row>
    <row r="1230">
      <c r="C1230" s="88"/>
      <c r="H1230" s="35">
        <v>45.0</v>
      </c>
      <c r="J1230" s="35">
        <v>0.49</v>
      </c>
      <c r="K1230" s="35">
        <v>42.0</v>
      </c>
      <c r="P1230" s="96"/>
    </row>
    <row r="1231">
      <c r="C1231" s="88"/>
      <c r="H1231" s="35">
        <v>42.0</v>
      </c>
      <c r="J1231" s="35">
        <v>0.47</v>
      </c>
      <c r="K1231" s="35">
        <v>38.0</v>
      </c>
      <c r="P1231" s="96"/>
    </row>
    <row r="1232">
      <c r="C1232" s="88"/>
      <c r="H1232" s="35">
        <v>41.0</v>
      </c>
      <c r="J1232" s="35">
        <v>0.45</v>
      </c>
      <c r="K1232" s="35">
        <v>37.0</v>
      </c>
      <c r="P1232" s="96"/>
    </row>
    <row r="1233">
      <c r="C1233" s="88"/>
      <c r="H1233" s="35">
        <v>43.0</v>
      </c>
      <c r="J1233" s="35">
        <v>0.46</v>
      </c>
      <c r="K1233" s="35">
        <v>43.0</v>
      </c>
      <c r="P1233" s="96"/>
    </row>
    <row r="1234">
      <c r="C1234" s="88"/>
      <c r="H1234" s="35">
        <v>41.0</v>
      </c>
      <c r="J1234" s="35">
        <v>0.5</v>
      </c>
      <c r="K1234" s="35">
        <v>42.0</v>
      </c>
      <c r="P1234" s="96"/>
    </row>
    <row r="1235">
      <c r="C1235" s="88"/>
      <c r="H1235" s="35">
        <v>45.0</v>
      </c>
      <c r="J1235" s="35">
        <v>0.48</v>
      </c>
      <c r="K1235" s="35">
        <v>42.0</v>
      </c>
      <c r="P1235" s="96"/>
    </row>
    <row r="1236">
      <c r="C1236" s="88"/>
      <c r="H1236" s="35">
        <v>42.0</v>
      </c>
      <c r="J1236" s="35">
        <v>0.46</v>
      </c>
      <c r="K1236" s="35">
        <v>43.0</v>
      </c>
      <c r="P1236" s="96"/>
    </row>
    <row r="1237">
      <c r="C1237" s="88"/>
      <c r="H1237" s="35">
        <v>43.0</v>
      </c>
      <c r="J1237" s="35">
        <v>0.5</v>
      </c>
      <c r="K1237" s="35">
        <v>38.0</v>
      </c>
      <c r="P1237" s="96"/>
    </row>
    <row r="1238">
      <c r="C1238" s="88"/>
      <c r="H1238" s="35">
        <v>44.0</v>
      </c>
      <c r="J1238" s="35">
        <v>0.47</v>
      </c>
      <c r="K1238" s="35">
        <v>40.0</v>
      </c>
      <c r="P1238" s="96"/>
    </row>
    <row r="1239">
      <c r="C1239" s="88"/>
      <c r="H1239" s="35">
        <v>42.0</v>
      </c>
      <c r="J1239" s="35">
        <v>0.48</v>
      </c>
      <c r="K1239" s="35">
        <v>39.0</v>
      </c>
      <c r="P1239" s="96"/>
    </row>
    <row r="1240">
      <c r="C1240" s="88"/>
      <c r="H1240" s="35">
        <v>46.0</v>
      </c>
      <c r="J1240" s="35">
        <v>0.46</v>
      </c>
      <c r="K1240" s="35">
        <v>37.0</v>
      </c>
      <c r="P1240" s="96"/>
    </row>
    <row r="1241">
      <c r="C1241" s="88"/>
      <c r="H1241" s="35">
        <v>45.0</v>
      </c>
      <c r="J1241" s="35">
        <v>0.48</v>
      </c>
      <c r="K1241" s="35">
        <v>43.0</v>
      </c>
      <c r="P1241" s="96"/>
    </row>
    <row r="1242">
      <c r="C1242" s="88"/>
      <c r="H1242" s="35">
        <v>44.0</v>
      </c>
      <c r="J1242" s="35">
        <v>0.49</v>
      </c>
      <c r="K1242" s="35">
        <v>40.0</v>
      </c>
      <c r="P1242" s="96"/>
    </row>
    <row r="1243">
      <c r="C1243" s="88"/>
      <c r="H1243" s="35">
        <v>45.0</v>
      </c>
      <c r="J1243" s="35">
        <v>0.46</v>
      </c>
      <c r="K1243" s="35">
        <v>37.0</v>
      </c>
      <c r="P1243" s="96"/>
    </row>
    <row r="1244">
      <c r="C1244" s="88"/>
      <c r="H1244" s="35">
        <v>42.0</v>
      </c>
      <c r="J1244" s="35">
        <v>0.47</v>
      </c>
      <c r="K1244" s="35">
        <v>37.0</v>
      </c>
      <c r="P1244" s="96"/>
    </row>
    <row r="1245">
      <c r="C1245" s="88"/>
      <c r="H1245" s="35">
        <v>44.0</v>
      </c>
      <c r="J1245" s="35">
        <v>0.49</v>
      </c>
      <c r="K1245" s="35">
        <v>42.0</v>
      </c>
      <c r="P1245" s="96"/>
    </row>
    <row r="1246">
      <c r="C1246" s="88"/>
      <c r="H1246" s="35">
        <v>43.0</v>
      </c>
      <c r="J1246" s="35">
        <v>0.49</v>
      </c>
      <c r="K1246" s="35">
        <v>45.0</v>
      </c>
      <c r="P1246" s="96"/>
    </row>
    <row r="1247">
      <c r="C1247" s="88"/>
      <c r="H1247" s="35">
        <v>40.0</v>
      </c>
      <c r="J1247" s="35">
        <v>0.45</v>
      </c>
      <c r="K1247" s="35">
        <v>51.0</v>
      </c>
      <c r="P1247" s="96"/>
    </row>
    <row r="1248">
      <c r="C1248" s="88"/>
      <c r="H1248" s="35">
        <v>42.0</v>
      </c>
      <c r="J1248" s="35">
        <v>0.5</v>
      </c>
      <c r="K1248" s="35">
        <v>47.0</v>
      </c>
      <c r="P1248" s="96"/>
    </row>
    <row r="1249">
      <c r="C1249" s="88"/>
      <c r="H1249" s="35">
        <v>42.0</v>
      </c>
      <c r="J1249" s="35">
        <v>0.48</v>
      </c>
      <c r="K1249" s="35">
        <v>41.0</v>
      </c>
      <c r="P1249" s="96"/>
    </row>
    <row r="1250">
      <c r="C1250" s="88"/>
      <c r="H1250" s="35">
        <v>43.0</v>
      </c>
      <c r="J1250" s="35">
        <v>0.47</v>
      </c>
      <c r="K1250" s="35">
        <v>38.0</v>
      </c>
      <c r="P1250" s="96"/>
    </row>
    <row r="1251">
      <c r="C1251" s="88"/>
      <c r="H1251" s="35">
        <v>44.0</v>
      </c>
      <c r="J1251" s="35">
        <v>0.48</v>
      </c>
      <c r="K1251" s="35">
        <v>39.0</v>
      </c>
      <c r="P1251" s="96"/>
    </row>
    <row r="1252">
      <c r="C1252" s="88"/>
      <c r="H1252" s="35">
        <v>44.0</v>
      </c>
      <c r="J1252" s="35">
        <v>0.47</v>
      </c>
      <c r="K1252" s="35">
        <v>38.0</v>
      </c>
      <c r="P1252" s="96"/>
    </row>
    <row r="1253">
      <c r="C1253" s="88"/>
      <c r="H1253" s="35">
        <v>43.0</v>
      </c>
      <c r="J1253" s="35">
        <v>0.49</v>
      </c>
      <c r="K1253" s="35">
        <v>36.0</v>
      </c>
      <c r="P1253" s="96"/>
    </row>
    <row r="1254">
      <c r="C1254" s="88"/>
      <c r="H1254" s="35">
        <v>46.0</v>
      </c>
      <c r="J1254" s="35">
        <v>0.45</v>
      </c>
      <c r="K1254" s="35">
        <v>38.0</v>
      </c>
      <c r="P1254" s="96"/>
    </row>
    <row r="1255">
      <c r="C1255" s="88"/>
      <c r="H1255" s="35">
        <v>48.0</v>
      </c>
      <c r="J1255" s="35">
        <v>0.49</v>
      </c>
      <c r="K1255" s="35">
        <v>40.0</v>
      </c>
      <c r="P1255" s="96"/>
    </row>
    <row r="1256">
      <c r="C1256" s="88"/>
      <c r="H1256" s="35">
        <v>40.0</v>
      </c>
      <c r="J1256" s="35">
        <v>0.48</v>
      </c>
      <c r="K1256" s="35">
        <v>35.0</v>
      </c>
      <c r="P1256" s="96"/>
    </row>
    <row r="1257">
      <c r="C1257" s="88"/>
      <c r="H1257" s="35">
        <v>38.0</v>
      </c>
      <c r="J1257" s="35">
        <v>0.45</v>
      </c>
      <c r="K1257" s="35">
        <v>41.0</v>
      </c>
      <c r="P1257" s="96"/>
    </row>
    <row r="1258">
      <c r="C1258" s="88"/>
      <c r="H1258" s="35">
        <v>44.0</v>
      </c>
      <c r="J1258" s="35">
        <v>0.47</v>
      </c>
      <c r="K1258" s="35">
        <v>44.0</v>
      </c>
      <c r="P1258" s="96"/>
    </row>
    <row r="1259">
      <c r="C1259" s="88"/>
      <c r="H1259" s="35">
        <v>44.0</v>
      </c>
      <c r="J1259" s="35">
        <v>0.48</v>
      </c>
      <c r="K1259" s="35">
        <v>43.0</v>
      </c>
      <c r="P1259" s="96"/>
    </row>
    <row r="1260">
      <c r="C1260" s="88"/>
      <c r="H1260" s="35">
        <v>43.0</v>
      </c>
      <c r="J1260" s="35">
        <v>0.48</v>
      </c>
      <c r="K1260" s="35">
        <v>44.0</v>
      </c>
      <c r="P1260" s="96"/>
    </row>
    <row r="1261">
      <c r="C1261" s="88"/>
      <c r="H1261" s="35">
        <v>41.0</v>
      </c>
      <c r="J1261" s="35">
        <v>0.49</v>
      </c>
      <c r="K1261" s="35">
        <v>43.0</v>
      </c>
      <c r="P1261" s="96"/>
    </row>
    <row r="1262">
      <c r="C1262" s="88"/>
      <c r="H1262" s="35">
        <v>44.0</v>
      </c>
      <c r="J1262" s="35">
        <v>0.62</v>
      </c>
      <c r="K1262" s="35">
        <v>39.0</v>
      </c>
      <c r="P1262" s="96"/>
    </row>
    <row r="1263">
      <c r="C1263" s="88"/>
      <c r="H1263" s="35">
        <v>43.0</v>
      </c>
      <c r="J1263" s="35">
        <v>0.53</v>
      </c>
      <c r="K1263" s="35">
        <v>43.0</v>
      </c>
      <c r="P1263" s="96"/>
    </row>
    <row r="1264">
      <c r="C1264" s="88"/>
      <c r="H1264" s="35">
        <v>44.0</v>
      </c>
      <c r="J1264" s="35">
        <v>0.48</v>
      </c>
      <c r="K1264" s="35">
        <v>37.0</v>
      </c>
      <c r="P1264" s="96"/>
    </row>
    <row r="1265">
      <c r="C1265" s="88"/>
      <c r="H1265" s="35">
        <v>36.0</v>
      </c>
      <c r="J1265" s="35">
        <v>0.55</v>
      </c>
      <c r="K1265" s="35">
        <v>45.0</v>
      </c>
      <c r="P1265" s="96"/>
    </row>
    <row r="1266">
      <c r="C1266" s="88"/>
      <c r="H1266" s="35">
        <v>45.0</v>
      </c>
      <c r="J1266" s="35">
        <v>0.57</v>
      </c>
      <c r="K1266" s="35">
        <v>46.0</v>
      </c>
      <c r="P1266" s="96"/>
    </row>
    <row r="1267">
      <c r="C1267" s="88"/>
      <c r="H1267" s="35">
        <v>47.0</v>
      </c>
      <c r="J1267" s="35">
        <v>0.42</v>
      </c>
      <c r="K1267" s="35">
        <v>44.0</v>
      </c>
      <c r="P1267" s="96"/>
    </row>
    <row r="1268">
      <c r="C1268" s="88"/>
      <c r="H1268" s="35">
        <v>45.0</v>
      </c>
      <c r="J1268" s="35">
        <v>0.55</v>
      </c>
      <c r="K1268" s="35">
        <v>42.0</v>
      </c>
      <c r="P1268" s="96"/>
    </row>
    <row r="1269">
      <c r="C1269" s="88"/>
      <c r="H1269" s="35">
        <v>40.0</v>
      </c>
      <c r="J1269" s="35">
        <v>0.57</v>
      </c>
      <c r="K1269" s="35">
        <v>39.0</v>
      </c>
      <c r="P1269" s="96"/>
    </row>
    <row r="1270">
      <c r="C1270" s="88"/>
      <c r="H1270" s="35">
        <v>43.0</v>
      </c>
      <c r="J1270" s="35">
        <v>0.6</v>
      </c>
      <c r="K1270" s="35">
        <v>43.0</v>
      </c>
      <c r="P1270" s="96"/>
    </row>
    <row r="1271">
      <c r="C1271" s="88"/>
      <c r="H1271" s="35">
        <v>45.0</v>
      </c>
      <c r="J1271" s="35">
        <v>0.43</v>
      </c>
      <c r="K1271" s="35">
        <v>49.0</v>
      </c>
      <c r="P1271" s="96"/>
    </row>
    <row r="1272">
      <c r="C1272" s="88"/>
      <c r="H1272" s="35">
        <v>41.0</v>
      </c>
      <c r="J1272" s="35">
        <v>0.45</v>
      </c>
      <c r="K1272" s="35">
        <v>42.0</v>
      </c>
      <c r="P1272" s="96"/>
    </row>
    <row r="1273">
      <c r="C1273" s="88"/>
      <c r="H1273" s="35">
        <v>40.0</v>
      </c>
      <c r="J1273" s="35">
        <v>0.52</v>
      </c>
      <c r="K1273" s="35">
        <v>43.0</v>
      </c>
      <c r="P1273" s="96"/>
    </row>
    <row r="1274">
      <c r="C1274" s="88"/>
      <c r="H1274" s="35">
        <v>45.0</v>
      </c>
      <c r="J1274" s="35">
        <v>0.41</v>
      </c>
      <c r="K1274" s="35">
        <v>42.0</v>
      </c>
      <c r="P1274" s="96"/>
    </row>
    <row r="1275">
      <c r="C1275" s="88"/>
      <c r="H1275" s="35">
        <v>50.0</v>
      </c>
      <c r="J1275" s="35">
        <v>0.52</v>
      </c>
      <c r="K1275" s="35">
        <v>41.0</v>
      </c>
      <c r="P1275" s="96"/>
    </row>
    <row r="1276">
      <c r="C1276" s="88"/>
      <c r="H1276" s="35">
        <v>54.0</v>
      </c>
      <c r="J1276" s="35">
        <v>0.49</v>
      </c>
      <c r="K1276" s="35">
        <v>40.0</v>
      </c>
      <c r="P1276" s="96"/>
    </row>
    <row r="1277">
      <c r="C1277" s="88"/>
      <c r="H1277" s="35">
        <v>43.0</v>
      </c>
      <c r="J1277" s="35">
        <v>0.55</v>
      </c>
      <c r="K1277" s="35">
        <v>43.0</v>
      </c>
      <c r="P1277" s="96"/>
    </row>
    <row r="1278">
      <c r="C1278" s="88"/>
      <c r="H1278" s="35">
        <v>45.0</v>
      </c>
      <c r="J1278" s="35">
        <v>0.58</v>
      </c>
      <c r="K1278" s="35">
        <v>36.0</v>
      </c>
      <c r="P1278" s="96"/>
    </row>
    <row r="1279">
      <c r="C1279" s="88"/>
      <c r="H1279" s="35">
        <v>43.0</v>
      </c>
      <c r="J1279" s="35">
        <v>0.57</v>
      </c>
      <c r="K1279" s="35">
        <v>46.0</v>
      </c>
      <c r="P1279" s="96"/>
    </row>
    <row r="1280">
      <c r="C1280" s="88"/>
      <c r="H1280" s="35">
        <v>39.0</v>
      </c>
      <c r="J1280" s="35">
        <v>0.56</v>
      </c>
      <c r="K1280" s="35">
        <v>38.0</v>
      </c>
      <c r="P1280" s="96"/>
    </row>
    <row r="1281">
      <c r="C1281" s="88"/>
      <c r="H1281" s="35">
        <v>41.0</v>
      </c>
      <c r="J1281" s="35">
        <v>0.56</v>
      </c>
      <c r="K1281" s="35">
        <v>46.0</v>
      </c>
      <c r="P1281" s="96"/>
    </row>
    <row r="1282">
      <c r="C1282" s="88"/>
      <c r="H1282" s="35">
        <v>38.0</v>
      </c>
      <c r="J1282" s="35">
        <v>0.47</v>
      </c>
      <c r="K1282" s="35">
        <v>39.0</v>
      </c>
      <c r="P1282" s="96"/>
    </row>
    <row r="1283">
      <c r="C1283" s="88"/>
      <c r="H1283" s="35">
        <v>49.0</v>
      </c>
      <c r="J1283" s="35">
        <v>0.45</v>
      </c>
      <c r="K1283" s="35">
        <v>44.0</v>
      </c>
      <c r="P1283" s="96"/>
    </row>
    <row r="1284">
      <c r="C1284" s="88"/>
      <c r="H1284" s="35">
        <v>50.0</v>
      </c>
      <c r="J1284" s="35">
        <v>0.5</v>
      </c>
      <c r="K1284" s="35">
        <v>41.0</v>
      </c>
      <c r="P1284" s="96"/>
    </row>
    <row r="1285">
      <c r="C1285" s="88"/>
      <c r="H1285" s="35">
        <v>49.0</v>
      </c>
      <c r="J1285" s="35">
        <v>0.51</v>
      </c>
      <c r="K1285" s="35">
        <v>44.0</v>
      </c>
      <c r="P1285" s="96"/>
    </row>
    <row r="1286">
      <c r="C1286" s="88"/>
      <c r="H1286" s="35">
        <v>43.0</v>
      </c>
      <c r="J1286" s="35">
        <v>0.56</v>
      </c>
      <c r="K1286" s="35">
        <v>45.0</v>
      </c>
      <c r="P1286" s="96"/>
    </row>
    <row r="1287">
      <c r="C1287" s="88"/>
      <c r="H1287" s="35">
        <v>46.0</v>
      </c>
      <c r="J1287" s="35">
        <v>0.47</v>
      </c>
      <c r="K1287" s="35">
        <v>45.0</v>
      </c>
      <c r="P1287" s="96"/>
    </row>
    <row r="1288">
      <c r="C1288" s="88"/>
      <c r="H1288" s="35">
        <v>47.0</v>
      </c>
      <c r="J1288" s="35">
        <v>0.45</v>
      </c>
      <c r="K1288" s="35">
        <v>42.0</v>
      </c>
      <c r="P1288" s="96"/>
    </row>
    <row r="1289">
      <c r="C1289" s="88"/>
      <c r="H1289" s="35">
        <v>45.0</v>
      </c>
      <c r="J1289" s="35">
        <v>0.58</v>
      </c>
      <c r="K1289" s="35">
        <v>42.0</v>
      </c>
      <c r="P1289" s="96"/>
    </row>
    <row r="1290">
      <c r="C1290" s="88"/>
      <c r="H1290" s="35">
        <v>43.0</v>
      </c>
      <c r="J1290" s="35">
        <v>0.53</v>
      </c>
      <c r="K1290" s="35">
        <v>41.0</v>
      </c>
      <c r="P1290" s="96"/>
    </row>
    <row r="1291">
      <c r="C1291" s="88"/>
      <c r="H1291" s="35">
        <v>47.0</v>
      </c>
      <c r="J1291" s="35">
        <v>0.55</v>
      </c>
      <c r="K1291" s="35">
        <v>41.0</v>
      </c>
      <c r="P1291" s="96"/>
    </row>
    <row r="1292">
      <c r="C1292" s="88"/>
      <c r="H1292" s="35">
        <v>50.0</v>
      </c>
      <c r="J1292" s="35">
        <v>0.54</v>
      </c>
      <c r="K1292" s="35">
        <v>47.0</v>
      </c>
      <c r="P1292" s="96"/>
    </row>
    <row r="1293">
      <c r="C1293" s="88"/>
      <c r="H1293" s="35">
        <v>44.0</v>
      </c>
      <c r="J1293" s="35">
        <v>0.49</v>
      </c>
      <c r="K1293" s="35">
        <v>50.0</v>
      </c>
      <c r="P1293" s="96"/>
    </row>
    <row r="1294">
      <c r="C1294" s="88"/>
      <c r="H1294" s="35">
        <v>44.0</v>
      </c>
      <c r="J1294" s="35">
        <v>0.58</v>
      </c>
      <c r="K1294" s="35">
        <v>47.0</v>
      </c>
      <c r="P1294" s="96"/>
    </row>
    <row r="1295">
      <c r="C1295" s="88"/>
      <c r="H1295" s="35">
        <v>42.0</v>
      </c>
      <c r="J1295" s="35">
        <v>0.61</v>
      </c>
      <c r="K1295" s="35">
        <v>43.0</v>
      </c>
      <c r="P1295" s="96"/>
    </row>
    <row r="1296">
      <c r="C1296" s="88"/>
      <c r="H1296" s="35">
        <v>45.0</v>
      </c>
      <c r="J1296" s="35">
        <v>0.5</v>
      </c>
      <c r="K1296" s="35">
        <v>45.0</v>
      </c>
      <c r="P1296" s="96"/>
    </row>
    <row r="1297">
      <c r="C1297" s="88"/>
      <c r="H1297" s="35">
        <v>42.0</v>
      </c>
      <c r="J1297" s="35">
        <v>0.46</v>
      </c>
      <c r="K1297" s="35">
        <v>46.0</v>
      </c>
      <c r="P1297" s="96"/>
    </row>
    <row r="1298">
      <c r="C1298" s="88"/>
      <c r="H1298" s="35">
        <v>41.0</v>
      </c>
      <c r="J1298" s="35">
        <v>0.5</v>
      </c>
      <c r="K1298" s="35">
        <v>45.0</v>
      </c>
      <c r="P1298" s="96"/>
    </row>
    <row r="1299">
      <c r="C1299" s="88"/>
      <c r="H1299" s="35">
        <v>44.0</v>
      </c>
      <c r="J1299" s="35">
        <v>0.51</v>
      </c>
      <c r="K1299" s="35">
        <v>40.0</v>
      </c>
      <c r="P1299" s="96"/>
    </row>
    <row r="1300">
      <c r="C1300" s="88"/>
      <c r="H1300" s="35">
        <v>44.0</v>
      </c>
      <c r="J1300" s="35">
        <v>0.49</v>
      </c>
      <c r="K1300" s="35">
        <v>51.0</v>
      </c>
      <c r="P1300" s="96"/>
    </row>
    <row r="1301">
      <c r="C1301" s="88"/>
      <c r="H1301" s="35">
        <v>41.0</v>
      </c>
      <c r="J1301" s="35">
        <v>0.44</v>
      </c>
      <c r="K1301" s="35">
        <v>48.0</v>
      </c>
      <c r="P1301" s="96"/>
    </row>
    <row r="1302">
      <c r="C1302" s="88"/>
      <c r="H1302" s="35">
        <v>42.0</v>
      </c>
      <c r="J1302" s="35">
        <v>0.46</v>
      </c>
      <c r="K1302" s="35">
        <v>41.0</v>
      </c>
      <c r="P1302" s="96"/>
    </row>
    <row r="1303">
      <c r="C1303" s="88"/>
      <c r="H1303" s="35">
        <v>47.0</v>
      </c>
      <c r="J1303" s="35">
        <v>0.52</v>
      </c>
      <c r="K1303" s="35">
        <v>50.0</v>
      </c>
      <c r="P1303" s="96"/>
    </row>
    <row r="1304">
      <c r="C1304" s="88"/>
      <c r="H1304" s="35">
        <v>47.0</v>
      </c>
      <c r="J1304" s="35">
        <v>0.63</v>
      </c>
      <c r="K1304" s="35">
        <v>50.0</v>
      </c>
      <c r="P1304" s="96"/>
    </row>
    <row r="1305">
      <c r="C1305" s="88"/>
      <c r="H1305" s="35">
        <v>39.0</v>
      </c>
      <c r="J1305" s="35">
        <v>0.54</v>
      </c>
      <c r="K1305" s="35">
        <v>45.0</v>
      </c>
      <c r="P1305" s="96"/>
    </row>
    <row r="1306">
      <c r="C1306" s="88"/>
      <c r="H1306" s="35">
        <v>45.0</v>
      </c>
      <c r="J1306" s="35">
        <v>0.51</v>
      </c>
      <c r="K1306" s="35">
        <v>43.0</v>
      </c>
      <c r="P1306" s="96"/>
    </row>
    <row r="1307">
      <c r="C1307" s="88"/>
      <c r="H1307" s="35">
        <v>48.0</v>
      </c>
      <c r="J1307" s="35">
        <v>0.53</v>
      </c>
      <c r="K1307" s="35">
        <v>48.0</v>
      </c>
      <c r="P1307" s="96"/>
    </row>
    <row r="1308">
      <c r="C1308" s="88"/>
      <c r="H1308" s="35">
        <v>43.0</v>
      </c>
      <c r="J1308" s="35">
        <v>0.57</v>
      </c>
      <c r="K1308" s="35">
        <v>42.0</v>
      </c>
      <c r="P1308" s="96"/>
    </row>
    <row r="1309">
      <c r="C1309" s="88"/>
      <c r="H1309" s="35">
        <v>42.0</v>
      </c>
      <c r="J1309" s="35">
        <v>0.53</v>
      </c>
      <c r="K1309" s="35">
        <v>48.0</v>
      </c>
      <c r="P1309" s="96"/>
    </row>
    <row r="1310">
      <c r="C1310" s="88"/>
      <c r="H1310" s="35">
        <v>47.0</v>
      </c>
      <c r="J1310" s="35">
        <v>0.48</v>
      </c>
      <c r="K1310" s="35">
        <v>43.0</v>
      </c>
      <c r="P1310" s="96"/>
    </row>
    <row r="1311">
      <c r="C1311" s="88"/>
      <c r="H1311" s="35">
        <v>49.0</v>
      </c>
      <c r="J1311" s="35">
        <v>0.51</v>
      </c>
      <c r="K1311" s="35">
        <v>46.0</v>
      </c>
      <c r="P1311" s="96"/>
    </row>
    <row r="1312">
      <c r="C1312" s="88"/>
      <c r="H1312" s="35">
        <v>43.0</v>
      </c>
      <c r="J1312" s="35">
        <v>0.51</v>
      </c>
      <c r="K1312" s="35">
        <v>49.0</v>
      </c>
      <c r="P1312" s="96"/>
    </row>
    <row r="1313">
      <c r="C1313" s="88"/>
      <c r="H1313" s="35">
        <v>45.0</v>
      </c>
      <c r="J1313" s="35">
        <v>0.56</v>
      </c>
      <c r="K1313" s="35">
        <v>45.0</v>
      </c>
      <c r="P1313" s="96"/>
    </row>
    <row r="1314">
      <c r="C1314" s="88"/>
      <c r="H1314" s="35">
        <v>46.0</v>
      </c>
      <c r="J1314" s="35">
        <v>0.52</v>
      </c>
      <c r="K1314" s="35">
        <v>48.0</v>
      </c>
      <c r="P1314" s="96"/>
    </row>
    <row r="1315">
      <c r="C1315" s="88"/>
      <c r="H1315" s="35">
        <v>45.0</v>
      </c>
      <c r="J1315" s="35">
        <v>0.49</v>
      </c>
      <c r="K1315" s="35">
        <v>46.0</v>
      </c>
      <c r="P1315" s="96"/>
    </row>
    <row r="1316">
      <c r="C1316" s="88"/>
      <c r="H1316" s="35">
        <v>39.0</v>
      </c>
      <c r="J1316" s="35">
        <v>0.43</v>
      </c>
      <c r="K1316" s="35">
        <v>49.0</v>
      </c>
      <c r="P1316" s="96"/>
    </row>
    <row r="1317">
      <c r="C1317" s="88"/>
      <c r="H1317" s="35">
        <v>43.0</v>
      </c>
      <c r="J1317" s="35">
        <v>0.47</v>
      </c>
      <c r="K1317" s="35">
        <v>52.0</v>
      </c>
      <c r="P1317" s="96"/>
    </row>
    <row r="1318">
      <c r="C1318" s="88"/>
      <c r="H1318" s="35">
        <v>45.0</v>
      </c>
      <c r="J1318" s="35">
        <v>0.52</v>
      </c>
      <c r="K1318" s="35">
        <v>43.0</v>
      </c>
      <c r="P1318" s="96"/>
    </row>
    <row r="1319">
      <c r="C1319" s="88"/>
      <c r="H1319" s="35">
        <v>44.0</v>
      </c>
      <c r="J1319" s="35">
        <v>0.55</v>
      </c>
      <c r="K1319" s="35">
        <v>40.0</v>
      </c>
      <c r="P1319" s="96"/>
    </row>
    <row r="1320">
      <c r="C1320" s="88"/>
      <c r="H1320" s="35">
        <v>49.0</v>
      </c>
      <c r="J1320" s="35">
        <v>0.5</v>
      </c>
      <c r="K1320" s="35">
        <v>54.0</v>
      </c>
      <c r="P1320" s="96"/>
    </row>
    <row r="1321">
      <c r="C1321" s="88"/>
      <c r="H1321" s="35">
        <v>42.0</v>
      </c>
      <c r="J1321" s="35">
        <v>0.57</v>
      </c>
      <c r="K1321" s="35">
        <v>50.0</v>
      </c>
      <c r="P1321" s="96"/>
    </row>
    <row r="1322">
      <c r="C1322" s="88"/>
      <c r="H1322" s="35">
        <v>41.0</v>
      </c>
      <c r="J1322" s="35">
        <v>0.58</v>
      </c>
      <c r="K1322" s="35">
        <v>46.0</v>
      </c>
      <c r="P1322" s="96"/>
    </row>
    <row r="1323">
      <c r="C1323" s="88"/>
      <c r="H1323" s="35">
        <v>47.0</v>
      </c>
      <c r="J1323" s="35">
        <v>0.55</v>
      </c>
      <c r="K1323" s="35">
        <v>43.0</v>
      </c>
      <c r="P1323" s="96"/>
    </row>
    <row r="1324">
      <c r="C1324" s="88"/>
      <c r="H1324" s="35">
        <v>41.0</v>
      </c>
      <c r="J1324" s="35">
        <v>0.54</v>
      </c>
      <c r="K1324" s="35">
        <v>41.0</v>
      </c>
      <c r="P1324" s="96"/>
    </row>
    <row r="1325">
      <c r="C1325" s="88"/>
      <c r="H1325" s="35">
        <v>43.0</v>
      </c>
      <c r="J1325" s="35">
        <v>0.49</v>
      </c>
      <c r="K1325" s="35">
        <v>45.0</v>
      </c>
      <c r="P1325" s="96"/>
    </row>
    <row r="1326">
      <c r="C1326" s="88"/>
      <c r="H1326" s="35">
        <v>50.0</v>
      </c>
      <c r="J1326" s="35">
        <v>0.52</v>
      </c>
      <c r="K1326" s="35">
        <v>41.0</v>
      </c>
      <c r="P1326" s="96"/>
    </row>
    <row r="1327">
      <c r="C1327" s="88"/>
      <c r="H1327" s="35">
        <v>41.0</v>
      </c>
      <c r="J1327" s="35">
        <v>0.49</v>
      </c>
      <c r="K1327" s="35">
        <v>43.0</v>
      </c>
      <c r="P1327" s="96"/>
    </row>
    <row r="1328">
      <c r="C1328" s="88"/>
      <c r="H1328" s="35">
        <v>51.0</v>
      </c>
      <c r="J1328" s="35">
        <v>0.48</v>
      </c>
      <c r="K1328" s="35">
        <v>44.0</v>
      </c>
      <c r="P1328" s="96"/>
    </row>
    <row r="1329">
      <c r="C1329" s="88"/>
      <c r="H1329" s="35">
        <v>47.0</v>
      </c>
      <c r="J1329" s="35">
        <v>0.52</v>
      </c>
      <c r="K1329" s="35">
        <v>42.0</v>
      </c>
      <c r="P1329" s="96"/>
    </row>
    <row r="1330">
      <c r="C1330" s="88"/>
      <c r="H1330" s="35">
        <v>45.0</v>
      </c>
      <c r="J1330" s="35">
        <v>0.55</v>
      </c>
      <c r="K1330" s="35">
        <v>44.0</v>
      </c>
      <c r="P1330" s="96"/>
    </row>
    <row r="1331">
      <c r="C1331" s="88"/>
      <c r="H1331" s="35">
        <v>43.0</v>
      </c>
      <c r="J1331" s="35">
        <v>0.43</v>
      </c>
      <c r="K1331" s="35">
        <v>41.0</v>
      </c>
      <c r="P1331" s="96"/>
    </row>
    <row r="1332">
      <c r="C1332" s="88"/>
      <c r="H1332" s="35">
        <v>42.0</v>
      </c>
      <c r="J1332" s="35">
        <v>0.52</v>
      </c>
      <c r="K1332" s="35">
        <v>46.0</v>
      </c>
      <c r="P1332" s="96"/>
    </row>
    <row r="1333">
      <c r="C1333" s="88"/>
      <c r="H1333" s="35">
        <v>43.0</v>
      </c>
      <c r="J1333" s="35">
        <v>0.49</v>
      </c>
      <c r="K1333" s="35">
        <v>44.0</v>
      </c>
      <c r="P1333" s="96"/>
    </row>
    <row r="1334">
      <c r="C1334" s="88"/>
      <c r="H1334" s="35">
        <v>44.0</v>
      </c>
      <c r="J1334" s="35">
        <v>0.56</v>
      </c>
      <c r="K1334" s="35">
        <v>41.0</v>
      </c>
      <c r="P1334" s="96"/>
    </row>
    <row r="1335">
      <c r="C1335" s="88"/>
      <c r="H1335" s="35">
        <v>45.0</v>
      </c>
      <c r="J1335" s="35">
        <v>0.44</v>
      </c>
      <c r="K1335" s="35">
        <v>47.0</v>
      </c>
      <c r="P1335" s="96"/>
    </row>
    <row r="1336">
      <c r="C1336" s="88"/>
      <c r="H1336" s="35">
        <v>42.0</v>
      </c>
      <c r="J1336" s="35">
        <v>0.55</v>
      </c>
      <c r="K1336" s="35">
        <v>41.0</v>
      </c>
      <c r="P1336" s="96"/>
    </row>
    <row r="1337">
      <c r="C1337" s="88"/>
      <c r="H1337" s="35">
        <v>44.0</v>
      </c>
      <c r="J1337" s="35">
        <v>0.48</v>
      </c>
      <c r="K1337" s="35">
        <v>45.0</v>
      </c>
      <c r="P1337" s="96"/>
    </row>
    <row r="1338">
      <c r="C1338" s="88"/>
      <c r="H1338" s="35">
        <v>43.0</v>
      </c>
      <c r="J1338" s="35">
        <v>0.49</v>
      </c>
      <c r="K1338" s="35">
        <v>42.0</v>
      </c>
      <c r="P1338" s="96"/>
    </row>
    <row r="1339">
      <c r="C1339" s="88"/>
      <c r="H1339" s="35">
        <v>47.0</v>
      </c>
      <c r="J1339" s="35">
        <v>0.52</v>
      </c>
      <c r="K1339" s="35">
        <v>48.0</v>
      </c>
      <c r="P1339" s="96"/>
    </row>
    <row r="1340">
      <c r="C1340" s="88"/>
      <c r="H1340" s="35">
        <v>44.0</v>
      </c>
      <c r="J1340" s="35">
        <v>0.51</v>
      </c>
      <c r="K1340" s="35">
        <v>45.0</v>
      </c>
      <c r="P1340" s="96"/>
    </row>
    <row r="1341">
      <c r="C1341" s="88"/>
      <c r="H1341" s="35">
        <v>43.0</v>
      </c>
      <c r="J1341" s="35">
        <v>0.57</v>
      </c>
      <c r="K1341" s="35">
        <v>42.0</v>
      </c>
      <c r="P1341" s="96"/>
    </row>
    <row r="1342">
      <c r="C1342" s="88"/>
      <c r="H1342" s="35">
        <v>45.0</v>
      </c>
      <c r="J1342" s="35">
        <v>0.51</v>
      </c>
      <c r="K1342" s="35">
        <v>42.0</v>
      </c>
      <c r="P1342" s="96"/>
    </row>
    <row r="1343">
      <c r="C1343" s="88"/>
      <c r="H1343" s="35">
        <v>46.0</v>
      </c>
      <c r="J1343" s="35">
        <v>0.58</v>
      </c>
      <c r="K1343" s="35">
        <v>40.0</v>
      </c>
      <c r="P1343" s="96"/>
    </row>
    <row r="1344">
      <c r="C1344" s="88"/>
      <c r="H1344" s="35">
        <v>39.0</v>
      </c>
      <c r="J1344" s="35">
        <v>0.55</v>
      </c>
      <c r="K1344" s="35">
        <v>44.0</v>
      </c>
      <c r="P1344" s="96"/>
    </row>
    <row r="1345">
      <c r="C1345" s="88"/>
      <c r="H1345" s="35">
        <v>40.0</v>
      </c>
      <c r="J1345" s="35">
        <v>0.49</v>
      </c>
      <c r="K1345" s="35">
        <v>43.0</v>
      </c>
      <c r="P1345" s="96"/>
    </row>
    <row r="1346">
      <c r="C1346" s="88"/>
      <c r="H1346" s="35">
        <v>41.0</v>
      </c>
      <c r="J1346" s="35">
        <v>0.49</v>
      </c>
      <c r="K1346" s="35">
        <v>39.0</v>
      </c>
      <c r="P1346" s="96"/>
    </row>
    <row r="1347">
      <c r="C1347" s="88"/>
      <c r="H1347" s="35">
        <v>46.0</v>
      </c>
      <c r="J1347" s="35">
        <v>0.5</v>
      </c>
      <c r="K1347" s="35">
        <v>43.0</v>
      </c>
      <c r="P1347" s="96"/>
    </row>
    <row r="1348">
      <c r="C1348" s="88"/>
      <c r="H1348" s="35">
        <v>39.0</v>
      </c>
      <c r="J1348" s="35">
        <v>0.5</v>
      </c>
      <c r="K1348" s="35">
        <v>41.0</v>
      </c>
      <c r="P1348" s="96"/>
    </row>
    <row r="1349">
      <c r="C1349" s="88"/>
      <c r="H1349" s="35">
        <v>46.0</v>
      </c>
      <c r="J1349" s="35">
        <v>0.49</v>
      </c>
      <c r="K1349" s="35">
        <v>42.0</v>
      </c>
      <c r="P1349" s="96"/>
    </row>
    <row r="1350">
      <c r="C1350" s="88"/>
      <c r="H1350" s="35">
        <v>45.0</v>
      </c>
      <c r="J1350" s="35">
        <v>0.53</v>
      </c>
      <c r="K1350" s="35">
        <v>39.0</v>
      </c>
      <c r="P1350" s="96"/>
    </row>
    <row r="1351">
      <c r="C1351" s="88"/>
      <c r="H1351" s="35">
        <v>49.0</v>
      </c>
      <c r="J1351" s="35">
        <v>0.49</v>
      </c>
      <c r="K1351" s="35">
        <v>44.0</v>
      </c>
      <c r="P1351" s="96"/>
    </row>
    <row r="1352">
      <c r="C1352" s="88"/>
      <c r="H1352" s="35">
        <v>45.0</v>
      </c>
      <c r="J1352" s="35">
        <v>0.54</v>
      </c>
      <c r="K1352" s="35">
        <v>38.0</v>
      </c>
      <c r="P1352" s="96"/>
    </row>
    <row r="1353">
      <c r="C1353" s="88"/>
      <c r="H1353" s="35">
        <v>43.0</v>
      </c>
      <c r="J1353" s="35">
        <v>0.47</v>
      </c>
      <c r="K1353" s="35">
        <v>41.0</v>
      </c>
      <c r="P1353" s="96"/>
    </row>
    <row r="1354">
      <c r="C1354" s="88"/>
      <c r="H1354" s="35">
        <v>48.0</v>
      </c>
      <c r="J1354" s="35">
        <v>0.56</v>
      </c>
      <c r="K1354" s="35">
        <v>37.0</v>
      </c>
      <c r="P1354" s="96"/>
    </row>
    <row r="1355">
      <c r="C1355" s="88"/>
      <c r="H1355" s="35">
        <v>42.0</v>
      </c>
      <c r="J1355" s="35">
        <v>0.54</v>
      </c>
      <c r="K1355" s="35">
        <v>47.0</v>
      </c>
      <c r="P1355" s="96"/>
    </row>
    <row r="1356">
      <c r="C1356" s="88"/>
      <c r="H1356" s="35">
        <v>45.0</v>
      </c>
      <c r="J1356" s="35">
        <v>0.54</v>
      </c>
      <c r="K1356" s="35">
        <v>40.0</v>
      </c>
      <c r="P1356" s="96"/>
    </row>
    <row r="1357">
      <c r="C1357" s="88"/>
      <c r="H1357" s="35">
        <v>46.0</v>
      </c>
      <c r="J1357" s="35">
        <v>0.51</v>
      </c>
      <c r="K1357" s="35">
        <v>45.0</v>
      </c>
      <c r="P1357" s="96"/>
    </row>
    <row r="1358">
      <c r="C1358" s="88"/>
      <c r="H1358" s="35">
        <v>42.0</v>
      </c>
      <c r="J1358" s="35">
        <v>0.59</v>
      </c>
      <c r="K1358" s="35">
        <v>41.0</v>
      </c>
      <c r="P1358" s="96"/>
    </row>
    <row r="1359">
      <c r="C1359" s="88"/>
      <c r="H1359" s="35">
        <v>47.0</v>
      </c>
      <c r="J1359" s="35">
        <v>0.48</v>
      </c>
      <c r="K1359" s="35">
        <v>44.0</v>
      </c>
      <c r="P1359" s="96"/>
    </row>
    <row r="1360">
      <c r="C1360" s="88"/>
      <c r="H1360" s="35">
        <v>44.0</v>
      </c>
      <c r="J1360" s="35">
        <v>0.53</v>
      </c>
      <c r="K1360" s="35">
        <v>48.0</v>
      </c>
      <c r="P1360" s="96"/>
    </row>
    <row r="1361">
      <c r="C1361" s="88"/>
      <c r="H1361" s="35">
        <v>43.0</v>
      </c>
      <c r="J1361" s="35">
        <v>0.51</v>
      </c>
      <c r="K1361" s="35">
        <v>49.0</v>
      </c>
      <c r="P1361" s="96"/>
    </row>
    <row r="1362">
      <c r="C1362" s="88"/>
      <c r="H1362" s="35">
        <v>43.0</v>
      </c>
      <c r="J1362" s="35">
        <v>0.57</v>
      </c>
      <c r="K1362" s="35">
        <v>41.0</v>
      </c>
      <c r="P1362" s="96"/>
    </row>
    <row r="1363">
      <c r="C1363" s="88"/>
      <c r="H1363" s="35">
        <v>46.0</v>
      </c>
      <c r="J1363" s="35">
        <v>0.5</v>
      </c>
      <c r="K1363" s="35">
        <v>42.0</v>
      </c>
      <c r="P1363" s="96"/>
    </row>
    <row r="1364">
      <c r="C1364" s="88"/>
      <c r="H1364" s="35">
        <v>51.0</v>
      </c>
      <c r="J1364" s="35">
        <v>0.47</v>
      </c>
      <c r="K1364" s="35">
        <v>39.0</v>
      </c>
      <c r="P1364" s="96"/>
    </row>
    <row r="1365">
      <c r="C1365" s="88"/>
      <c r="H1365" s="35">
        <v>44.0</v>
      </c>
      <c r="J1365" s="35">
        <v>0.47</v>
      </c>
      <c r="K1365" s="35">
        <v>46.0</v>
      </c>
      <c r="P1365" s="96"/>
    </row>
    <row r="1366">
      <c r="C1366" s="88"/>
      <c r="H1366" s="35">
        <v>46.0</v>
      </c>
      <c r="J1366" s="35">
        <v>0.5</v>
      </c>
      <c r="K1366" s="35">
        <v>42.0</v>
      </c>
      <c r="P1366" s="96"/>
    </row>
    <row r="1367">
      <c r="C1367" s="88"/>
      <c r="H1367" s="35">
        <v>45.0</v>
      </c>
      <c r="J1367" s="35">
        <v>0.48</v>
      </c>
      <c r="K1367" s="35">
        <v>45.0</v>
      </c>
      <c r="P1367" s="96"/>
    </row>
    <row r="1368">
      <c r="C1368" s="88"/>
      <c r="H1368" s="35">
        <v>44.0</v>
      </c>
      <c r="J1368" s="35">
        <v>0.5</v>
      </c>
      <c r="K1368" s="35">
        <v>46.0</v>
      </c>
      <c r="P1368" s="96"/>
    </row>
    <row r="1369">
      <c r="C1369" s="88"/>
      <c r="H1369" s="35">
        <v>42.0</v>
      </c>
      <c r="J1369" s="35">
        <v>0.51</v>
      </c>
      <c r="K1369" s="35">
        <v>43.0</v>
      </c>
      <c r="P1369" s="96"/>
    </row>
    <row r="1370">
      <c r="C1370" s="88"/>
      <c r="H1370" s="35">
        <v>47.0</v>
      </c>
      <c r="J1370" s="35">
        <v>0.51</v>
      </c>
      <c r="K1370" s="35">
        <v>41.0</v>
      </c>
      <c r="P1370" s="96"/>
    </row>
    <row r="1371">
      <c r="C1371" s="88"/>
      <c r="H1371" s="35">
        <v>47.0</v>
      </c>
      <c r="J1371" s="35">
        <v>0.5</v>
      </c>
      <c r="K1371" s="35">
        <v>46.0</v>
      </c>
      <c r="P1371" s="96"/>
    </row>
    <row r="1372">
      <c r="C1372" s="88"/>
      <c r="H1372" s="35">
        <v>45.0</v>
      </c>
      <c r="J1372" s="35">
        <v>0.51</v>
      </c>
      <c r="K1372" s="35">
        <v>45.0</v>
      </c>
      <c r="P1372" s="96"/>
    </row>
    <row r="1373">
      <c r="C1373" s="88"/>
      <c r="H1373" s="35">
        <v>42.0</v>
      </c>
      <c r="J1373" s="35">
        <v>0.51</v>
      </c>
      <c r="K1373" s="35">
        <v>40.0</v>
      </c>
      <c r="P1373" s="96"/>
    </row>
    <row r="1374">
      <c r="C1374" s="88"/>
      <c r="H1374" s="35">
        <v>40.0</v>
      </c>
      <c r="J1374" s="35">
        <v>0.48</v>
      </c>
      <c r="K1374" s="35">
        <v>40.0</v>
      </c>
      <c r="P1374" s="96"/>
    </row>
    <row r="1375">
      <c r="C1375" s="88"/>
      <c r="H1375" s="35">
        <v>45.0</v>
      </c>
      <c r="J1375" s="35">
        <v>0.47</v>
      </c>
      <c r="K1375" s="35">
        <v>44.0</v>
      </c>
      <c r="P1375" s="96"/>
    </row>
    <row r="1376">
      <c r="C1376" s="88"/>
      <c r="H1376" s="35">
        <v>50.0</v>
      </c>
      <c r="J1376" s="35">
        <v>0.5</v>
      </c>
      <c r="K1376" s="35">
        <v>43.0</v>
      </c>
      <c r="P1376" s="96"/>
    </row>
    <row r="1377">
      <c r="C1377" s="88"/>
      <c r="H1377" s="35">
        <v>51.0</v>
      </c>
      <c r="J1377" s="35">
        <v>0.51</v>
      </c>
      <c r="K1377" s="35">
        <v>42.0</v>
      </c>
      <c r="P1377" s="96"/>
    </row>
    <row r="1378">
      <c r="C1378" s="88"/>
      <c r="H1378" s="35">
        <v>45.0</v>
      </c>
      <c r="J1378" s="35">
        <v>0.51</v>
      </c>
      <c r="K1378" s="35">
        <v>38.0</v>
      </c>
      <c r="P1378" s="96"/>
    </row>
    <row r="1379">
      <c r="C1379" s="88"/>
      <c r="H1379" s="35">
        <v>45.0</v>
      </c>
      <c r="J1379" s="35">
        <v>0.48</v>
      </c>
      <c r="K1379" s="35">
        <v>43.0</v>
      </c>
      <c r="P1379" s="96"/>
    </row>
    <row r="1380">
      <c r="C1380" s="88"/>
      <c r="H1380" s="35">
        <v>45.0</v>
      </c>
      <c r="J1380" s="35">
        <v>0.5</v>
      </c>
      <c r="K1380" s="35">
        <v>45.0</v>
      </c>
      <c r="P1380" s="96"/>
    </row>
    <row r="1381">
      <c r="C1381" s="88"/>
      <c r="H1381" s="35">
        <v>46.0</v>
      </c>
      <c r="J1381" s="35">
        <v>0.46</v>
      </c>
      <c r="K1381" s="35">
        <v>42.0</v>
      </c>
      <c r="P1381" s="96"/>
    </row>
    <row r="1382">
      <c r="C1382" s="88"/>
      <c r="H1382" s="35">
        <v>44.0</v>
      </c>
      <c r="J1382" s="35">
        <v>0.54</v>
      </c>
      <c r="K1382" s="35">
        <v>40.0</v>
      </c>
      <c r="P1382" s="96"/>
    </row>
    <row r="1383">
      <c r="C1383" s="88"/>
      <c r="H1383" s="35">
        <v>49.0</v>
      </c>
      <c r="J1383" s="35">
        <v>0.51</v>
      </c>
      <c r="K1383" s="35">
        <v>44.0</v>
      </c>
      <c r="P1383" s="96"/>
    </row>
    <row r="1384">
      <c r="C1384" s="88"/>
      <c r="H1384" s="35">
        <v>46.0</v>
      </c>
      <c r="J1384" s="35">
        <v>0.48</v>
      </c>
      <c r="K1384" s="35">
        <v>43.0</v>
      </c>
      <c r="P1384" s="96"/>
    </row>
    <row r="1385">
      <c r="C1385" s="88"/>
      <c r="H1385" s="35">
        <v>43.0</v>
      </c>
      <c r="J1385" s="35">
        <v>0.48</v>
      </c>
      <c r="K1385" s="35">
        <v>45.0</v>
      </c>
      <c r="P1385" s="96"/>
    </row>
    <row r="1386">
      <c r="C1386" s="88"/>
      <c r="H1386" s="35">
        <v>44.0</v>
      </c>
      <c r="J1386" s="35">
        <v>0.48</v>
      </c>
      <c r="K1386" s="35">
        <v>38.0</v>
      </c>
      <c r="P1386" s="96"/>
    </row>
    <row r="1387">
      <c r="C1387" s="88"/>
      <c r="H1387" s="35">
        <v>49.0</v>
      </c>
      <c r="J1387" s="35">
        <v>0.53</v>
      </c>
      <c r="K1387" s="35">
        <v>46.0</v>
      </c>
      <c r="P1387" s="96"/>
    </row>
    <row r="1388">
      <c r="C1388" s="88"/>
      <c r="H1388" s="35">
        <v>45.0</v>
      </c>
      <c r="J1388" s="35">
        <v>0.52</v>
      </c>
      <c r="K1388" s="35">
        <v>44.0</v>
      </c>
      <c r="P1388" s="96"/>
    </row>
    <row r="1389">
      <c r="C1389" s="88"/>
      <c r="H1389" s="35">
        <v>46.0</v>
      </c>
      <c r="J1389" s="35">
        <v>0.49</v>
      </c>
      <c r="K1389" s="35">
        <v>40.0</v>
      </c>
      <c r="P1389" s="96"/>
    </row>
    <row r="1390">
      <c r="C1390" s="88"/>
      <c r="H1390" s="35">
        <v>43.0</v>
      </c>
      <c r="J1390" s="35">
        <v>0.52</v>
      </c>
      <c r="K1390" s="35">
        <v>41.0</v>
      </c>
      <c r="P1390" s="96"/>
    </row>
    <row r="1391">
      <c r="C1391" s="88"/>
      <c r="H1391" s="35">
        <v>44.0</v>
      </c>
      <c r="J1391" s="35">
        <v>0.47</v>
      </c>
      <c r="K1391" s="35">
        <v>43.0</v>
      </c>
      <c r="P1391" s="96"/>
    </row>
    <row r="1392">
      <c r="C1392" s="88"/>
      <c r="H1392" s="35">
        <v>43.0</v>
      </c>
      <c r="J1392" s="35">
        <v>0.52</v>
      </c>
      <c r="K1392" s="35">
        <v>44.0</v>
      </c>
      <c r="P1392" s="96"/>
    </row>
    <row r="1393">
      <c r="C1393" s="88"/>
      <c r="H1393" s="35">
        <v>47.0</v>
      </c>
      <c r="J1393" s="35">
        <v>0.48</v>
      </c>
      <c r="K1393" s="35">
        <v>44.0</v>
      </c>
      <c r="P1393" s="96"/>
    </row>
    <row r="1394">
      <c r="C1394" s="88"/>
      <c r="H1394" s="35">
        <v>46.0</v>
      </c>
      <c r="J1394" s="35">
        <v>0.5</v>
      </c>
      <c r="K1394" s="35">
        <v>40.0</v>
      </c>
      <c r="P1394" s="96"/>
    </row>
    <row r="1395">
      <c r="C1395" s="88"/>
      <c r="H1395" s="35">
        <v>46.0</v>
      </c>
      <c r="J1395" s="35">
        <v>0.5</v>
      </c>
      <c r="K1395" s="35">
        <v>40.0</v>
      </c>
      <c r="P1395" s="96"/>
    </row>
    <row r="1396">
      <c r="C1396" s="88"/>
      <c r="H1396" s="35">
        <v>41.0</v>
      </c>
      <c r="J1396" s="35">
        <v>0.45</v>
      </c>
      <c r="K1396" s="35">
        <v>45.0</v>
      </c>
      <c r="P1396" s="96"/>
    </row>
    <row r="1397">
      <c r="C1397" s="88"/>
      <c r="H1397" s="35">
        <v>42.0</v>
      </c>
      <c r="J1397" s="35">
        <v>0.46</v>
      </c>
      <c r="K1397" s="35">
        <v>46.0</v>
      </c>
      <c r="P1397" s="96"/>
    </row>
    <row r="1398">
      <c r="C1398" s="88"/>
      <c r="H1398" s="35">
        <v>42.0</v>
      </c>
      <c r="J1398" s="35">
        <v>0.49</v>
      </c>
      <c r="K1398" s="35">
        <v>46.0</v>
      </c>
      <c r="P1398" s="96"/>
    </row>
    <row r="1399">
      <c r="C1399" s="88"/>
      <c r="H1399" s="35">
        <v>45.0</v>
      </c>
      <c r="J1399" s="35">
        <v>0.53</v>
      </c>
      <c r="K1399" s="35">
        <v>45.0</v>
      </c>
      <c r="P1399" s="96"/>
    </row>
    <row r="1400">
      <c r="C1400" s="88"/>
      <c r="H1400" s="35">
        <v>44.0</v>
      </c>
      <c r="J1400" s="35">
        <v>0.52</v>
      </c>
      <c r="K1400" s="35">
        <v>43.0</v>
      </c>
      <c r="P1400" s="96"/>
    </row>
    <row r="1401">
      <c r="C1401" s="88"/>
      <c r="H1401" s="35">
        <v>48.0</v>
      </c>
      <c r="J1401" s="35">
        <v>0.47</v>
      </c>
      <c r="K1401" s="35">
        <v>39.0</v>
      </c>
      <c r="P1401" s="96"/>
    </row>
    <row r="1402">
      <c r="C1402" s="88"/>
      <c r="H1402" s="35">
        <v>47.0</v>
      </c>
      <c r="J1402" s="35">
        <v>0.49</v>
      </c>
      <c r="K1402" s="35">
        <v>41.0</v>
      </c>
      <c r="P1402" s="96"/>
    </row>
    <row r="1403">
      <c r="C1403" s="88"/>
      <c r="H1403" s="35">
        <v>47.0</v>
      </c>
      <c r="J1403" s="35">
        <v>0.63</v>
      </c>
      <c r="K1403" s="35">
        <v>42.0</v>
      </c>
      <c r="P1403" s="96"/>
    </row>
    <row r="1404">
      <c r="C1404" s="88"/>
      <c r="H1404" s="35">
        <v>46.0</v>
      </c>
      <c r="J1404" s="35">
        <v>0.56</v>
      </c>
      <c r="K1404" s="35">
        <v>48.0</v>
      </c>
      <c r="P1404" s="96"/>
    </row>
    <row r="1405">
      <c r="C1405" s="88"/>
      <c r="H1405" s="35">
        <v>47.0</v>
      </c>
      <c r="J1405" s="35">
        <v>0.48</v>
      </c>
      <c r="K1405" s="35">
        <v>46.0</v>
      </c>
      <c r="P1405" s="96"/>
    </row>
    <row r="1406">
      <c r="C1406" s="88"/>
      <c r="H1406" s="35">
        <v>44.0</v>
      </c>
      <c r="J1406" s="35">
        <v>0.5</v>
      </c>
      <c r="K1406" s="35">
        <v>44.0</v>
      </c>
      <c r="P1406" s="96"/>
    </row>
    <row r="1407">
      <c r="C1407" s="88"/>
      <c r="H1407" s="35">
        <v>47.0</v>
      </c>
      <c r="J1407" s="35">
        <v>0.48</v>
      </c>
      <c r="K1407" s="35">
        <v>44.0</v>
      </c>
      <c r="P1407" s="96"/>
    </row>
    <row r="1408">
      <c r="C1408" s="88"/>
      <c r="H1408" s="35">
        <v>47.0</v>
      </c>
      <c r="J1408" s="35">
        <v>0.58</v>
      </c>
      <c r="K1408" s="35">
        <v>42.0</v>
      </c>
      <c r="P1408" s="96"/>
    </row>
    <row r="1409">
      <c r="C1409" s="88"/>
      <c r="H1409" s="35">
        <v>44.0</v>
      </c>
      <c r="J1409" s="35">
        <v>0.46</v>
      </c>
      <c r="K1409" s="35">
        <v>41.0</v>
      </c>
      <c r="P1409" s="96"/>
    </row>
    <row r="1410">
      <c r="C1410" s="88"/>
      <c r="H1410" s="35">
        <v>44.0</v>
      </c>
      <c r="J1410" s="35">
        <v>0.54</v>
      </c>
      <c r="K1410" s="35">
        <v>43.0</v>
      </c>
      <c r="P1410" s="96"/>
    </row>
    <row r="1411">
      <c r="C1411" s="88"/>
      <c r="H1411" s="35">
        <v>46.0</v>
      </c>
      <c r="J1411" s="35">
        <v>0.47</v>
      </c>
      <c r="K1411" s="35">
        <v>48.0</v>
      </c>
      <c r="P1411" s="96"/>
    </row>
    <row r="1412">
      <c r="C1412" s="88"/>
      <c r="H1412" s="35">
        <v>44.0</v>
      </c>
      <c r="J1412" s="35">
        <v>0.52</v>
      </c>
      <c r="K1412" s="35">
        <v>43.0</v>
      </c>
      <c r="P1412" s="96"/>
    </row>
    <row r="1413">
      <c r="C1413" s="88"/>
      <c r="H1413" s="35">
        <v>40.0</v>
      </c>
      <c r="J1413" s="35">
        <v>0.49</v>
      </c>
      <c r="K1413" s="35">
        <v>41.0</v>
      </c>
      <c r="P1413" s="96"/>
    </row>
    <row r="1414">
      <c r="C1414" s="88"/>
      <c r="H1414" s="35">
        <v>46.0</v>
      </c>
      <c r="J1414" s="35">
        <v>0.57</v>
      </c>
      <c r="K1414" s="35">
        <v>39.0</v>
      </c>
      <c r="P1414" s="96"/>
    </row>
    <row r="1415">
      <c r="C1415" s="88"/>
      <c r="H1415" s="35">
        <v>52.0</v>
      </c>
      <c r="J1415" s="35">
        <v>0.55</v>
      </c>
      <c r="K1415" s="35">
        <v>45.0</v>
      </c>
      <c r="P1415" s="96"/>
    </row>
    <row r="1416">
      <c r="C1416" s="88"/>
      <c r="H1416" s="35">
        <v>46.0</v>
      </c>
      <c r="J1416" s="35">
        <v>0.55</v>
      </c>
      <c r="K1416" s="35">
        <v>42.0</v>
      </c>
      <c r="P1416" s="96"/>
    </row>
    <row r="1417">
      <c r="C1417" s="88"/>
      <c r="H1417" s="35">
        <v>42.0</v>
      </c>
      <c r="J1417" s="35">
        <v>0.57</v>
      </c>
      <c r="K1417" s="35">
        <v>39.0</v>
      </c>
      <c r="P1417" s="96"/>
    </row>
    <row r="1418">
      <c r="C1418" s="88"/>
      <c r="H1418" s="35">
        <v>44.0</v>
      </c>
      <c r="J1418" s="35">
        <v>0.47</v>
      </c>
      <c r="K1418" s="35">
        <v>44.0</v>
      </c>
      <c r="P1418" s="96"/>
    </row>
    <row r="1419">
      <c r="C1419" s="88"/>
      <c r="H1419" s="35">
        <v>45.0</v>
      </c>
      <c r="J1419" s="35">
        <v>0.53</v>
      </c>
      <c r="K1419" s="35">
        <v>45.0</v>
      </c>
      <c r="P1419" s="96"/>
    </row>
    <row r="1420">
      <c r="C1420" s="88"/>
      <c r="H1420" s="35">
        <v>43.0</v>
      </c>
      <c r="J1420" s="35">
        <v>0.5</v>
      </c>
      <c r="K1420" s="35">
        <v>42.0</v>
      </c>
      <c r="P1420" s="96"/>
    </row>
    <row r="1421">
      <c r="C1421" s="88"/>
      <c r="H1421" s="35">
        <v>38.0</v>
      </c>
      <c r="J1421" s="35">
        <v>0.47</v>
      </c>
      <c r="K1421" s="35">
        <v>40.0</v>
      </c>
      <c r="P1421" s="96"/>
    </row>
    <row r="1422">
      <c r="C1422" s="88"/>
      <c r="H1422" s="35">
        <v>44.0</v>
      </c>
      <c r="J1422" s="35">
        <v>0.54</v>
      </c>
      <c r="K1422" s="35">
        <v>44.0</v>
      </c>
      <c r="P1422" s="96"/>
    </row>
    <row r="1423">
      <c r="C1423" s="88"/>
      <c r="H1423" s="35">
        <v>46.0</v>
      </c>
      <c r="J1423" s="35">
        <v>0.49</v>
      </c>
      <c r="K1423" s="35">
        <v>42.0</v>
      </c>
      <c r="P1423" s="96"/>
    </row>
    <row r="1424">
      <c r="C1424" s="88"/>
      <c r="H1424" s="35">
        <v>38.0</v>
      </c>
      <c r="J1424" s="35">
        <v>0.49</v>
      </c>
      <c r="K1424" s="35">
        <v>40.0</v>
      </c>
      <c r="P1424" s="96"/>
    </row>
    <row r="1425">
      <c r="C1425" s="88"/>
      <c r="H1425" s="35">
        <v>45.0</v>
      </c>
      <c r="J1425" s="35">
        <v>0.53</v>
      </c>
      <c r="K1425" s="35">
        <v>35.0</v>
      </c>
      <c r="P1425" s="96"/>
    </row>
    <row r="1426">
      <c r="C1426" s="88"/>
      <c r="H1426" s="35">
        <v>43.0</v>
      </c>
      <c r="J1426" s="35">
        <v>0.51</v>
      </c>
      <c r="K1426" s="35">
        <v>40.0</v>
      </c>
      <c r="P1426" s="96"/>
    </row>
    <row r="1427">
      <c r="C1427" s="88"/>
      <c r="H1427" s="35">
        <v>46.0</v>
      </c>
      <c r="J1427" s="35">
        <v>0.49</v>
      </c>
      <c r="K1427" s="35">
        <v>44.0</v>
      </c>
      <c r="P1427" s="96"/>
    </row>
    <row r="1428">
      <c r="C1428" s="88"/>
      <c r="H1428" s="35">
        <v>42.0</v>
      </c>
      <c r="J1428" s="35">
        <v>0.51</v>
      </c>
      <c r="K1428" s="35">
        <v>45.0</v>
      </c>
      <c r="P1428" s="96"/>
    </row>
    <row r="1429">
      <c r="C1429" s="88"/>
      <c r="H1429" s="35">
        <v>46.0</v>
      </c>
      <c r="J1429" s="35">
        <v>0.45</v>
      </c>
      <c r="K1429" s="35">
        <v>46.0</v>
      </c>
      <c r="P1429" s="96"/>
    </row>
    <row r="1430">
      <c r="C1430" s="88"/>
      <c r="H1430" s="35">
        <v>44.0</v>
      </c>
      <c r="J1430" s="35">
        <v>0.48</v>
      </c>
      <c r="K1430" s="35">
        <v>42.0</v>
      </c>
      <c r="P1430" s="96"/>
    </row>
    <row r="1431">
      <c r="C1431" s="88"/>
      <c r="H1431" s="35">
        <v>46.0</v>
      </c>
      <c r="J1431" s="35">
        <v>0.49</v>
      </c>
      <c r="K1431" s="35">
        <v>48.0</v>
      </c>
      <c r="P1431" s="96"/>
    </row>
    <row r="1432">
      <c r="C1432" s="88"/>
      <c r="H1432" s="35">
        <v>40.0</v>
      </c>
      <c r="J1432" s="35">
        <v>0.48</v>
      </c>
      <c r="K1432" s="35">
        <v>39.0</v>
      </c>
      <c r="P1432" s="96"/>
    </row>
    <row r="1433">
      <c r="C1433" s="88"/>
      <c r="H1433" s="35">
        <v>45.0</v>
      </c>
      <c r="J1433" s="35">
        <v>0.54</v>
      </c>
      <c r="K1433" s="35">
        <v>41.0</v>
      </c>
      <c r="P1433" s="96"/>
    </row>
    <row r="1434">
      <c r="C1434" s="88"/>
      <c r="H1434" s="35">
        <v>39.0</v>
      </c>
      <c r="J1434" s="35">
        <v>0.54</v>
      </c>
      <c r="K1434" s="35">
        <v>38.0</v>
      </c>
      <c r="P1434" s="96"/>
    </row>
    <row r="1435">
      <c r="C1435" s="88"/>
      <c r="H1435" s="35">
        <v>42.0</v>
      </c>
      <c r="J1435" s="35">
        <v>0.55</v>
      </c>
      <c r="K1435" s="35">
        <v>42.0</v>
      </c>
      <c r="P1435" s="96"/>
    </row>
    <row r="1436">
      <c r="C1436" s="88"/>
      <c r="H1436" s="35">
        <v>45.0</v>
      </c>
      <c r="J1436" s="35">
        <v>0.51</v>
      </c>
      <c r="K1436" s="35">
        <v>48.0</v>
      </c>
      <c r="P1436" s="96"/>
    </row>
    <row r="1437">
      <c r="C1437" s="88"/>
      <c r="H1437" s="35">
        <v>48.0</v>
      </c>
      <c r="J1437" s="35">
        <v>0.49</v>
      </c>
      <c r="K1437" s="35">
        <v>47.0</v>
      </c>
      <c r="P1437" s="96"/>
    </row>
    <row r="1438">
      <c r="C1438" s="88"/>
      <c r="H1438" s="35">
        <v>44.0</v>
      </c>
      <c r="J1438" s="35">
        <v>0.5</v>
      </c>
      <c r="K1438" s="35">
        <v>40.0</v>
      </c>
      <c r="P1438" s="96"/>
    </row>
    <row r="1439">
      <c r="C1439" s="88"/>
      <c r="H1439" s="35">
        <v>44.0</v>
      </c>
      <c r="J1439" s="35">
        <v>0.53</v>
      </c>
      <c r="K1439" s="35">
        <v>48.0</v>
      </c>
      <c r="P1439" s="96"/>
    </row>
    <row r="1440">
      <c r="C1440" s="88"/>
      <c r="H1440" s="35">
        <v>46.0</v>
      </c>
      <c r="J1440" s="35">
        <v>0.5</v>
      </c>
      <c r="K1440" s="35">
        <v>45.0</v>
      </c>
      <c r="P1440" s="96"/>
    </row>
    <row r="1441">
      <c r="C1441" s="88"/>
      <c r="H1441" s="35">
        <v>46.0</v>
      </c>
      <c r="J1441" s="35">
        <v>0.45</v>
      </c>
      <c r="K1441" s="35">
        <v>46.0</v>
      </c>
      <c r="P1441" s="96"/>
    </row>
    <row r="1442">
      <c r="C1442" s="88"/>
      <c r="H1442" s="35">
        <v>39.0</v>
      </c>
      <c r="J1442" s="35">
        <v>0.5</v>
      </c>
      <c r="K1442" s="35">
        <v>42.0</v>
      </c>
      <c r="P1442" s="96"/>
    </row>
    <row r="1443">
      <c r="C1443" s="88"/>
      <c r="H1443" s="35">
        <v>47.0</v>
      </c>
      <c r="J1443" s="35">
        <v>0.55</v>
      </c>
      <c r="K1443" s="35">
        <v>42.0</v>
      </c>
      <c r="P1443" s="96"/>
    </row>
    <row r="1444">
      <c r="C1444" s="88"/>
      <c r="H1444" s="35">
        <v>44.0</v>
      </c>
      <c r="J1444" s="35">
        <v>0.46</v>
      </c>
      <c r="K1444" s="35">
        <v>46.0</v>
      </c>
      <c r="P1444" s="96"/>
    </row>
    <row r="1445">
      <c r="C1445" s="88"/>
      <c r="H1445" s="35">
        <v>45.0</v>
      </c>
      <c r="J1445" s="35">
        <v>0.57</v>
      </c>
      <c r="K1445" s="35">
        <v>50.0</v>
      </c>
      <c r="P1445" s="96"/>
    </row>
    <row r="1446">
      <c r="C1446" s="88"/>
      <c r="H1446" s="35">
        <v>45.0</v>
      </c>
      <c r="J1446" s="35">
        <v>0.51</v>
      </c>
      <c r="K1446" s="35">
        <v>47.0</v>
      </c>
      <c r="P1446" s="96"/>
    </row>
    <row r="1447">
      <c r="C1447" s="88"/>
      <c r="H1447" s="35">
        <v>44.0</v>
      </c>
      <c r="J1447" s="35">
        <v>0.45</v>
      </c>
      <c r="K1447" s="35">
        <v>43.0</v>
      </c>
      <c r="P1447" s="96"/>
    </row>
    <row r="1448">
      <c r="C1448" s="88"/>
      <c r="H1448" s="35">
        <v>45.0</v>
      </c>
      <c r="J1448" s="35">
        <v>0.48</v>
      </c>
      <c r="K1448" s="35">
        <v>47.0</v>
      </c>
      <c r="P1448" s="96"/>
    </row>
    <row r="1449">
      <c r="C1449" s="88"/>
      <c r="H1449" s="35">
        <v>47.0</v>
      </c>
      <c r="J1449" s="35">
        <v>0.55</v>
      </c>
      <c r="K1449" s="35">
        <v>44.0</v>
      </c>
      <c r="P1449" s="96"/>
    </row>
    <row r="1450">
      <c r="C1450" s="88"/>
      <c r="H1450" s="35">
        <v>45.0</v>
      </c>
      <c r="J1450" s="35">
        <v>0.55</v>
      </c>
      <c r="K1450" s="35">
        <v>38.0</v>
      </c>
      <c r="P1450" s="96"/>
    </row>
    <row r="1451">
      <c r="C1451" s="88"/>
      <c r="H1451" s="35">
        <v>44.0</v>
      </c>
      <c r="J1451" s="35">
        <v>0.49</v>
      </c>
      <c r="K1451" s="35">
        <v>46.0</v>
      </c>
      <c r="P1451" s="96"/>
    </row>
    <row r="1452">
      <c r="C1452" s="88"/>
      <c r="H1452" s="35">
        <v>47.0</v>
      </c>
      <c r="J1452" s="35">
        <v>0.52</v>
      </c>
      <c r="K1452" s="35">
        <v>43.0</v>
      </c>
      <c r="P1452" s="96"/>
    </row>
    <row r="1453">
      <c r="C1453" s="88"/>
      <c r="H1453" s="35">
        <v>42.0</v>
      </c>
      <c r="J1453" s="35">
        <v>0.49</v>
      </c>
      <c r="K1453" s="35">
        <v>40.0</v>
      </c>
      <c r="P1453" s="96"/>
    </row>
    <row r="1454">
      <c r="C1454" s="88"/>
      <c r="H1454" s="35">
        <v>42.0</v>
      </c>
      <c r="J1454" s="35">
        <v>0.48</v>
      </c>
      <c r="K1454" s="35">
        <v>43.0</v>
      </c>
      <c r="P1454" s="96"/>
    </row>
    <row r="1455">
      <c r="C1455" s="88"/>
      <c r="H1455" s="35">
        <v>49.0</v>
      </c>
      <c r="J1455" s="35">
        <v>0.49</v>
      </c>
      <c r="K1455" s="35">
        <v>45.0</v>
      </c>
      <c r="P1455" s="96"/>
    </row>
    <row r="1456">
      <c r="C1456" s="88"/>
      <c r="H1456" s="35">
        <v>48.0</v>
      </c>
      <c r="J1456" s="35">
        <v>0.55</v>
      </c>
      <c r="K1456" s="35">
        <v>48.0</v>
      </c>
      <c r="P1456" s="96"/>
    </row>
    <row r="1457">
      <c r="C1457" s="88"/>
      <c r="H1457" s="35">
        <v>43.0</v>
      </c>
      <c r="J1457" s="35">
        <v>0.51</v>
      </c>
      <c r="K1457" s="35">
        <v>48.0</v>
      </c>
      <c r="P1457" s="96"/>
    </row>
    <row r="1458">
      <c r="C1458" s="88"/>
      <c r="H1458" s="35">
        <v>47.0</v>
      </c>
      <c r="J1458" s="35">
        <v>0.53</v>
      </c>
      <c r="K1458" s="35">
        <v>48.0</v>
      </c>
      <c r="P1458" s="96"/>
    </row>
    <row r="1459">
      <c r="C1459" s="88"/>
      <c r="H1459" s="35">
        <v>45.0</v>
      </c>
      <c r="J1459" s="35">
        <v>0.52</v>
      </c>
      <c r="K1459" s="35">
        <v>49.0</v>
      </c>
      <c r="P1459" s="96"/>
    </row>
    <row r="1460">
      <c r="C1460" s="88"/>
      <c r="H1460" s="35">
        <v>42.0</v>
      </c>
      <c r="J1460" s="35">
        <v>0.55</v>
      </c>
      <c r="K1460" s="35">
        <v>45.0</v>
      </c>
      <c r="P1460" s="96"/>
    </row>
    <row r="1461">
      <c r="C1461" s="88"/>
      <c r="H1461" s="35">
        <v>45.0</v>
      </c>
      <c r="J1461" s="35">
        <v>0.5</v>
      </c>
      <c r="K1461" s="35">
        <v>41.0</v>
      </c>
      <c r="P1461" s="96"/>
    </row>
    <row r="1462">
      <c r="C1462" s="88"/>
      <c r="H1462" s="35">
        <v>41.0</v>
      </c>
      <c r="J1462" s="35">
        <v>0.51</v>
      </c>
      <c r="K1462" s="35">
        <v>40.0</v>
      </c>
      <c r="P1462" s="96"/>
    </row>
    <row r="1463">
      <c r="C1463" s="88"/>
      <c r="H1463" s="35">
        <v>48.0</v>
      </c>
      <c r="J1463" s="35">
        <v>0.47</v>
      </c>
      <c r="K1463" s="35">
        <v>41.0</v>
      </c>
      <c r="P1463" s="96"/>
    </row>
    <row r="1464">
      <c r="C1464" s="88"/>
      <c r="H1464" s="35">
        <v>39.0</v>
      </c>
      <c r="J1464" s="35">
        <v>0.5</v>
      </c>
      <c r="K1464" s="35">
        <v>37.0</v>
      </c>
      <c r="P1464" s="96"/>
    </row>
    <row r="1465">
      <c r="C1465" s="88"/>
      <c r="H1465" s="35">
        <v>43.0</v>
      </c>
      <c r="J1465" s="35">
        <v>0.52</v>
      </c>
      <c r="K1465" s="35">
        <v>47.0</v>
      </c>
      <c r="P1465" s="96"/>
    </row>
    <row r="1466">
      <c r="C1466" s="88"/>
      <c r="H1466" s="35">
        <v>42.0</v>
      </c>
      <c r="J1466" s="35">
        <v>0.52</v>
      </c>
      <c r="K1466" s="35">
        <v>46.0</v>
      </c>
      <c r="P1466" s="96"/>
    </row>
    <row r="1467">
      <c r="C1467" s="88"/>
      <c r="H1467" s="35">
        <v>44.0</v>
      </c>
      <c r="J1467" s="35">
        <v>0.47</v>
      </c>
      <c r="K1467" s="35">
        <v>41.0</v>
      </c>
      <c r="P1467" s="96"/>
    </row>
    <row r="1468">
      <c r="C1468" s="88"/>
      <c r="H1468" s="35">
        <v>45.0</v>
      </c>
      <c r="J1468" s="35">
        <v>0.56</v>
      </c>
      <c r="K1468" s="35">
        <v>45.0</v>
      </c>
      <c r="P1468" s="96"/>
    </row>
    <row r="1469">
      <c r="C1469" s="88"/>
      <c r="H1469" s="35">
        <v>50.0</v>
      </c>
      <c r="J1469" s="35">
        <v>0.5</v>
      </c>
      <c r="K1469" s="35">
        <v>48.0</v>
      </c>
      <c r="P1469" s="96"/>
    </row>
    <row r="1470">
      <c r="C1470" s="88"/>
      <c r="H1470" s="35">
        <v>45.0</v>
      </c>
      <c r="J1470" s="35">
        <v>0.52</v>
      </c>
      <c r="K1470" s="35">
        <v>49.0</v>
      </c>
      <c r="P1470" s="96"/>
    </row>
    <row r="1471">
      <c r="C1471" s="88"/>
      <c r="H1471" s="35">
        <v>42.0</v>
      </c>
      <c r="J1471" s="35">
        <v>0.48</v>
      </c>
      <c r="K1471" s="35">
        <v>41.0</v>
      </c>
      <c r="P1471" s="96"/>
    </row>
    <row r="1472">
      <c r="C1472" s="88"/>
      <c r="H1472" s="35">
        <v>39.0</v>
      </c>
      <c r="J1472" s="35">
        <v>0.5</v>
      </c>
      <c r="K1472" s="35">
        <v>45.0</v>
      </c>
      <c r="P1472" s="96"/>
    </row>
    <row r="1473">
      <c r="C1473" s="88"/>
      <c r="H1473" s="35">
        <v>37.0</v>
      </c>
      <c r="J1473" s="35">
        <v>0.47</v>
      </c>
      <c r="K1473" s="35">
        <v>38.0</v>
      </c>
      <c r="P1473" s="96"/>
    </row>
    <row r="1474">
      <c r="C1474" s="88"/>
      <c r="H1474" s="35">
        <v>43.0</v>
      </c>
      <c r="J1474" s="35">
        <v>0.59</v>
      </c>
      <c r="K1474" s="35">
        <v>36.0</v>
      </c>
      <c r="P1474" s="96"/>
    </row>
    <row r="1475">
      <c r="C1475" s="88"/>
      <c r="H1475" s="35">
        <v>45.0</v>
      </c>
      <c r="J1475" s="35">
        <v>0.49</v>
      </c>
      <c r="K1475" s="35">
        <v>40.0</v>
      </c>
      <c r="P1475" s="96"/>
    </row>
    <row r="1476">
      <c r="C1476" s="88"/>
      <c r="H1476" s="35">
        <v>43.0</v>
      </c>
      <c r="J1476" s="35">
        <v>0.47</v>
      </c>
      <c r="K1476" s="35">
        <v>49.0</v>
      </c>
      <c r="P1476" s="96"/>
    </row>
    <row r="1477">
      <c r="C1477" s="88"/>
      <c r="H1477" s="35">
        <v>40.0</v>
      </c>
      <c r="J1477" s="35">
        <v>0.48</v>
      </c>
      <c r="K1477" s="35">
        <v>44.0</v>
      </c>
      <c r="P1477" s="96"/>
    </row>
    <row r="1478">
      <c r="C1478" s="88"/>
      <c r="H1478" s="35">
        <v>42.0</v>
      </c>
      <c r="J1478" s="35">
        <v>0.54</v>
      </c>
      <c r="K1478" s="35">
        <v>40.0</v>
      </c>
      <c r="P1478" s="96"/>
    </row>
    <row r="1479">
      <c r="C1479" s="88"/>
      <c r="H1479" s="35">
        <v>44.0</v>
      </c>
      <c r="J1479" s="35">
        <v>0.47</v>
      </c>
      <c r="K1479" s="35">
        <v>51.0</v>
      </c>
      <c r="P1479" s="96"/>
    </row>
    <row r="1480">
      <c r="C1480" s="88"/>
      <c r="H1480" s="35">
        <v>39.0</v>
      </c>
      <c r="J1480" s="35">
        <v>0.56</v>
      </c>
      <c r="K1480" s="35">
        <v>41.0</v>
      </c>
      <c r="P1480" s="96"/>
    </row>
    <row r="1481">
      <c r="C1481" s="88"/>
      <c r="H1481" s="35">
        <v>46.0</v>
      </c>
      <c r="J1481" s="35">
        <v>0.5</v>
      </c>
      <c r="K1481" s="35">
        <v>47.0</v>
      </c>
      <c r="P1481" s="96"/>
    </row>
    <row r="1482">
      <c r="C1482" s="88"/>
      <c r="H1482" s="35">
        <v>45.0</v>
      </c>
      <c r="J1482" s="35">
        <v>0.52</v>
      </c>
      <c r="K1482" s="35">
        <v>41.0</v>
      </c>
      <c r="P1482" s="96"/>
    </row>
    <row r="1483">
      <c r="C1483" s="88"/>
      <c r="H1483" s="35">
        <v>44.0</v>
      </c>
      <c r="J1483" s="35">
        <v>0.51</v>
      </c>
      <c r="K1483" s="35">
        <v>44.0</v>
      </c>
      <c r="P1483" s="96"/>
    </row>
    <row r="1484">
      <c r="C1484" s="88"/>
      <c r="H1484" s="35">
        <v>50.0</v>
      </c>
      <c r="J1484" s="35">
        <v>0.57</v>
      </c>
      <c r="K1484" s="35">
        <v>52.0</v>
      </c>
      <c r="P1484" s="96"/>
    </row>
    <row r="1485">
      <c r="C1485" s="88"/>
      <c r="H1485" s="35">
        <v>42.0</v>
      </c>
      <c r="J1485" s="35">
        <v>0.52</v>
      </c>
      <c r="K1485" s="35">
        <v>38.0</v>
      </c>
      <c r="P1485" s="96"/>
    </row>
    <row r="1486">
      <c r="C1486" s="88"/>
      <c r="H1486" s="35">
        <v>38.0</v>
      </c>
      <c r="J1486" s="35">
        <v>0.49</v>
      </c>
      <c r="K1486" s="35">
        <v>37.0</v>
      </c>
      <c r="P1486" s="96"/>
    </row>
    <row r="1487">
      <c r="C1487" s="88"/>
      <c r="H1487" s="35">
        <v>44.0</v>
      </c>
      <c r="J1487" s="35">
        <v>0.54</v>
      </c>
      <c r="K1487" s="35">
        <v>46.0</v>
      </c>
      <c r="P1487" s="96"/>
    </row>
    <row r="1488">
      <c r="C1488" s="88"/>
      <c r="H1488" s="35">
        <v>43.0</v>
      </c>
      <c r="J1488" s="35">
        <v>0.5</v>
      </c>
      <c r="K1488" s="35">
        <v>41.0</v>
      </c>
      <c r="P1488" s="96"/>
    </row>
    <row r="1489">
      <c r="C1489" s="88"/>
      <c r="H1489" s="35">
        <v>42.0</v>
      </c>
      <c r="J1489" s="35">
        <v>0.52</v>
      </c>
      <c r="K1489" s="35">
        <v>41.0</v>
      </c>
      <c r="P1489" s="96"/>
    </row>
    <row r="1490">
      <c r="C1490" s="88"/>
      <c r="H1490" s="35">
        <v>41.0</v>
      </c>
      <c r="J1490" s="35">
        <v>0.51</v>
      </c>
      <c r="K1490" s="35">
        <v>36.0</v>
      </c>
      <c r="P1490" s="96"/>
    </row>
    <row r="1491">
      <c r="C1491" s="88"/>
      <c r="H1491" s="35">
        <v>47.0</v>
      </c>
      <c r="J1491" s="35">
        <v>0.53</v>
      </c>
      <c r="K1491" s="35">
        <v>56.0</v>
      </c>
      <c r="P1491" s="96"/>
    </row>
    <row r="1492">
      <c r="C1492" s="88"/>
      <c r="H1492" s="35">
        <v>45.0</v>
      </c>
      <c r="J1492" s="35">
        <v>0.5</v>
      </c>
      <c r="K1492" s="35">
        <v>39.0</v>
      </c>
      <c r="P1492" s="96"/>
    </row>
    <row r="1493">
      <c r="C1493" s="88"/>
      <c r="H1493" s="35">
        <v>49.0</v>
      </c>
      <c r="J1493" s="35">
        <v>0.57</v>
      </c>
      <c r="K1493" s="35">
        <v>40.0</v>
      </c>
      <c r="P1493" s="96"/>
    </row>
    <row r="1494">
      <c r="C1494" s="88"/>
      <c r="H1494" s="35">
        <v>45.0</v>
      </c>
      <c r="J1494" s="35">
        <v>0.51</v>
      </c>
      <c r="K1494" s="35">
        <v>41.0</v>
      </c>
      <c r="P1494" s="96"/>
    </row>
    <row r="1495">
      <c r="C1495" s="88"/>
      <c r="H1495" s="35">
        <v>38.0</v>
      </c>
      <c r="J1495" s="35">
        <v>0.49</v>
      </c>
      <c r="K1495" s="35">
        <v>40.0</v>
      </c>
      <c r="P1495" s="96"/>
    </row>
    <row r="1496">
      <c r="C1496" s="88"/>
      <c r="H1496" s="35">
        <v>40.0</v>
      </c>
      <c r="J1496" s="35">
        <v>0.58</v>
      </c>
      <c r="K1496" s="35">
        <v>43.0</v>
      </c>
      <c r="P1496" s="96"/>
    </row>
    <row r="1497">
      <c r="C1497" s="88"/>
      <c r="H1497" s="35">
        <v>43.0</v>
      </c>
      <c r="J1497" s="35">
        <v>0.5</v>
      </c>
      <c r="K1497" s="35">
        <v>41.0</v>
      </c>
      <c r="P1497" s="96"/>
    </row>
    <row r="1498">
      <c r="C1498" s="88"/>
      <c r="H1498" s="35">
        <v>38.0</v>
      </c>
      <c r="J1498" s="35">
        <v>0.47</v>
      </c>
      <c r="K1498" s="35">
        <v>38.0</v>
      </c>
      <c r="P1498" s="96"/>
    </row>
    <row r="1499">
      <c r="C1499" s="88"/>
      <c r="H1499" s="35">
        <v>40.0</v>
      </c>
      <c r="J1499" s="35">
        <v>0.52</v>
      </c>
      <c r="K1499" s="35">
        <v>47.0</v>
      </c>
      <c r="P1499" s="96"/>
    </row>
    <row r="1500">
      <c r="C1500" s="88"/>
      <c r="H1500" s="35">
        <v>45.0</v>
      </c>
      <c r="J1500" s="35">
        <v>0.51</v>
      </c>
      <c r="K1500" s="35">
        <v>50.0</v>
      </c>
      <c r="P1500" s="96"/>
    </row>
    <row r="1501">
      <c r="C1501" s="88"/>
      <c r="H1501" s="35">
        <v>43.0</v>
      </c>
      <c r="J1501" s="35">
        <v>0.5</v>
      </c>
      <c r="K1501" s="35">
        <v>42.0</v>
      </c>
      <c r="P1501" s="96"/>
    </row>
    <row r="1502">
      <c r="C1502" s="88"/>
      <c r="H1502" s="35">
        <v>42.0</v>
      </c>
      <c r="J1502" s="35">
        <v>0.53</v>
      </c>
      <c r="K1502" s="35">
        <v>37.0</v>
      </c>
      <c r="P1502" s="96"/>
    </row>
    <row r="1503">
      <c r="C1503" s="88"/>
      <c r="H1503" s="35">
        <v>44.0</v>
      </c>
      <c r="J1503" s="35">
        <v>0.49</v>
      </c>
      <c r="K1503" s="35">
        <v>40.0</v>
      </c>
      <c r="P1503" s="96"/>
    </row>
    <row r="1504">
      <c r="C1504" s="88"/>
      <c r="H1504" s="35">
        <v>45.0</v>
      </c>
      <c r="J1504" s="35">
        <v>0.53</v>
      </c>
      <c r="K1504" s="35">
        <v>45.0</v>
      </c>
      <c r="P1504" s="96"/>
    </row>
    <row r="1505">
      <c r="C1505" s="88"/>
      <c r="H1505" s="35">
        <v>45.0</v>
      </c>
      <c r="J1505" s="35">
        <v>0.51</v>
      </c>
      <c r="K1505" s="35">
        <v>45.0</v>
      </c>
      <c r="P1505" s="96"/>
    </row>
    <row r="1506">
      <c r="C1506" s="88"/>
      <c r="H1506" s="35">
        <v>49.0</v>
      </c>
      <c r="J1506" s="35">
        <v>0.49</v>
      </c>
      <c r="K1506" s="35">
        <v>39.0</v>
      </c>
      <c r="P1506" s="96"/>
    </row>
    <row r="1507">
      <c r="C1507" s="88"/>
      <c r="H1507" s="35">
        <v>40.0</v>
      </c>
      <c r="J1507" s="35">
        <v>0.48</v>
      </c>
      <c r="K1507" s="35">
        <v>49.0</v>
      </c>
      <c r="P1507" s="96"/>
    </row>
    <row r="1508">
      <c r="C1508" s="88"/>
      <c r="H1508" s="35">
        <v>43.0</v>
      </c>
      <c r="J1508" s="35">
        <v>0.51</v>
      </c>
      <c r="K1508" s="35">
        <v>47.0</v>
      </c>
      <c r="P1508" s="96"/>
    </row>
    <row r="1509">
      <c r="C1509" s="88"/>
      <c r="H1509" s="35">
        <v>37.0</v>
      </c>
      <c r="J1509" s="35">
        <v>0.53</v>
      </c>
      <c r="K1509" s="35">
        <v>44.0</v>
      </c>
      <c r="P1509" s="96"/>
    </row>
    <row r="1510">
      <c r="C1510" s="88"/>
      <c r="H1510" s="35">
        <v>40.0</v>
      </c>
      <c r="J1510" s="35">
        <v>0.51</v>
      </c>
      <c r="K1510" s="35">
        <v>44.0</v>
      </c>
      <c r="P1510" s="96"/>
    </row>
    <row r="1511">
      <c r="C1511" s="88"/>
      <c r="H1511" s="35">
        <v>44.0</v>
      </c>
      <c r="J1511" s="35">
        <v>0.51</v>
      </c>
      <c r="K1511" s="35">
        <v>40.0</v>
      </c>
      <c r="P1511" s="96"/>
    </row>
    <row r="1512">
      <c r="C1512" s="88"/>
      <c r="H1512" s="35">
        <v>43.0</v>
      </c>
      <c r="J1512" s="35">
        <v>0.5</v>
      </c>
      <c r="K1512" s="35">
        <v>44.0</v>
      </c>
      <c r="P1512" s="96"/>
    </row>
    <row r="1513">
      <c r="C1513" s="88"/>
      <c r="H1513" s="35">
        <v>44.0</v>
      </c>
      <c r="J1513" s="35">
        <v>0.5</v>
      </c>
      <c r="K1513" s="35">
        <v>42.0</v>
      </c>
      <c r="P1513" s="96"/>
    </row>
    <row r="1514">
      <c r="C1514" s="88"/>
      <c r="H1514" s="35">
        <v>44.0</v>
      </c>
      <c r="J1514" s="35">
        <v>0.55</v>
      </c>
      <c r="K1514" s="35">
        <v>42.0</v>
      </c>
      <c r="P1514" s="96"/>
    </row>
    <row r="1515">
      <c r="C1515" s="88"/>
      <c r="H1515" s="35">
        <v>43.0</v>
      </c>
      <c r="J1515" s="35">
        <v>0.47</v>
      </c>
      <c r="K1515" s="35">
        <v>44.0</v>
      </c>
      <c r="P1515" s="96"/>
    </row>
    <row r="1516">
      <c r="C1516" s="88"/>
      <c r="H1516" s="35">
        <v>42.0</v>
      </c>
      <c r="J1516" s="35">
        <v>0.54</v>
      </c>
      <c r="K1516" s="35">
        <v>39.0</v>
      </c>
      <c r="P1516" s="96"/>
    </row>
    <row r="1517">
      <c r="C1517" s="88"/>
      <c r="H1517" s="35">
        <v>40.0</v>
      </c>
      <c r="J1517" s="35">
        <v>0.54</v>
      </c>
      <c r="K1517" s="35">
        <v>41.0</v>
      </c>
      <c r="P1517" s="96"/>
    </row>
    <row r="1518">
      <c r="C1518" s="88"/>
      <c r="H1518" s="35">
        <v>48.0</v>
      </c>
      <c r="J1518" s="35">
        <v>0.53</v>
      </c>
      <c r="K1518" s="35">
        <v>48.0</v>
      </c>
      <c r="P1518" s="96"/>
    </row>
    <row r="1519">
      <c r="C1519" s="88"/>
      <c r="H1519" s="35">
        <v>37.0</v>
      </c>
      <c r="J1519" s="35">
        <v>0.52</v>
      </c>
      <c r="K1519" s="35">
        <v>44.0</v>
      </c>
      <c r="P1519" s="96"/>
    </row>
    <row r="1520">
      <c r="C1520" s="88"/>
      <c r="H1520" s="35">
        <v>46.0</v>
      </c>
      <c r="J1520" s="35">
        <v>0.49</v>
      </c>
      <c r="K1520" s="35">
        <v>41.0</v>
      </c>
      <c r="P1520" s="96"/>
    </row>
    <row r="1521">
      <c r="C1521" s="88"/>
      <c r="H1521" s="35">
        <v>39.0</v>
      </c>
      <c r="J1521" s="35">
        <v>0.54</v>
      </c>
      <c r="K1521" s="35">
        <v>43.0</v>
      </c>
      <c r="P1521" s="96"/>
    </row>
    <row r="1522">
      <c r="C1522" s="88"/>
      <c r="H1522" s="35">
        <v>42.0</v>
      </c>
      <c r="J1522" s="35">
        <v>0.5</v>
      </c>
      <c r="K1522" s="35">
        <v>37.0</v>
      </c>
      <c r="P1522" s="96"/>
    </row>
    <row r="1523">
      <c r="C1523" s="88"/>
      <c r="H1523" s="35">
        <v>50.0</v>
      </c>
      <c r="J1523" s="35">
        <v>0.5</v>
      </c>
      <c r="K1523" s="35">
        <v>45.0</v>
      </c>
      <c r="P1523" s="96"/>
    </row>
    <row r="1524">
      <c r="C1524" s="88"/>
      <c r="H1524" s="35">
        <v>40.0</v>
      </c>
      <c r="J1524" s="35">
        <v>0.53</v>
      </c>
      <c r="K1524" s="35">
        <v>43.0</v>
      </c>
      <c r="P1524" s="96"/>
    </row>
    <row r="1525">
      <c r="C1525" s="88"/>
      <c r="H1525" s="35">
        <v>43.0</v>
      </c>
      <c r="J1525" s="35">
        <v>0.51</v>
      </c>
      <c r="K1525" s="35">
        <v>44.0</v>
      </c>
      <c r="P1525" s="96"/>
    </row>
    <row r="1526">
      <c r="C1526" s="88"/>
      <c r="H1526" s="35">
        <v>42.0</v>
      </c>
      <c r="J1526" s="35">
        <v>0.56</v>
      </c>
      <c r="K1526" s="35">
        <v>40.0</v>
      </c>
      <c r="P1526" s="96"/>
    </row>
    <row r="1527">
      <c r="C1527" s="88"/>
      <c r="H1527" s="35">
        <v>46.0</v>
      </c>
      <c r="J1527" s="35">
        <v>0.52</v>
      </c>
      <c r="K1527" s="35">
        <v>44.0</v>
      </c>
      <c r="P1527" s="96"/>
    </row>
    <row r="1528">
      <c r="C1528" s="88"/>
      <c r="H1528" s="35">
        <v>38.0</v>
      </c>
      <c r="J1528" s="35">
        <v>0.54</v>
      </c>
      <c r="K1528" s="35">
        <v>46.0</v>
      </c>
      <c r="P1528" s="96"/>
    </row>
    <row r="1529">
      <c r="C1529" s="88"/>
      <c r="H1529" s="35">
        <v>44.0</v>
      </c>
      <c r="J1529" s="35">
        <v>0.51</v>
      </c>
      <c r="K1529" s="35">
        <v>37.0</v>
      </c>
      <c r="P1529" s="96"/>
    </row>
    <row r="1530">
      <c r="C1530" s="88"/>
      <c r="H1530" s="35">
        <v>49.0</v>
      </c>
      <c r="J1530" s="35">
        <v>0.51</v>
      </c>
      <c r="K1530" s="35">
        <v>46.0</v>
      </c>
      <c r="P1530" s="96"/>
    </row>
    <row r="1531">
      <c r="C1531" s="88"/>
      <c r="H1531" s="35">
        <v>46.0</v>
      </c>
      <c r="J1531" s="35">
        <v>0.53</v>
      </c>
      <c r="K1531" s="35">
        <v>41.0</v>
      </c>
      <c r="P1531" s="96"/>
    </row>
    <row r="1532">
      <c r="C1532" s="88"/>
      <c r="H1532" s="35">
        <v>39.0</v>
      </c>
      <c r="J1532" s="35">
        <v>0.5</v>
      </c>
      <c r="K1532" s="35">
        <v>47.0</v>
      </c>
      <c r="P1532" s="96"/>
    </row>
    <row r="1533">
      <c r="C1533" s="88"/>
      <c r="H1533" s="35">
        <v>48.0</v>
      </c>
      <c r="J1533" s="35">
        <v>0.52</v>
      </c>
      <c r="K1533" s="35">
        <v>37.0</v>
      </c>
      <c r="P1533" s="96"/>
    </row>
    <row r="1534">
      <c r="C1534" s="88"/>
      <c r="H1534" s="35">
        <v>46.0</v>
      </c>
      <c r="J1534" s="35">
        <v>0.53</v>
      </c>
      <c r="K1534" s="35">
        <v>40.0</v>
      </c>
      <c r="P1534" s="96"/>
    </row>
    <row r="1535">
      <c r="C1535" s="88"/>
      <c r="H1535" s="35">
        <v>44.0</v>
      </c>
      <c r="J1535" s="35">
        <v>0.5</v>
      </c>
      <c r="K1535" s="35">
        <v>41.0</v>
      </c>
      <c r="P1535" s="96"/>
    </row>
    <row r="1536">
      <c r="C1536" s="88"/>
      <c r="H1536" s="35">
        <v>44.0</v>
      </c>
      <c r="J1536" s="35">
        <v>0.5</v>
      </c>
      <c r="K1536" s="35">
        <v>48.0</v>
      </c>
      <c r="P1536" s="96"/>
    </row>
    <row r="1537">
      <c r="C1537" s="88"/>
      <c r="H1537" s="35">
        <v>46.0</v>
      </c>
      <c r="J1537" s="35">
        <v>0.52</v>
      </c>
      <c r="K1537" s="35">
        <v>39.0</v>
      </c>
      <c r="P1537" s="96"/>
    </row>
    <row r="1538">
      <c r="C1538" s="88"/>
      <c r="H1538" s="35">
        <v>42.0</v>
      </c>
      <c r="J1538" s="35">
        <v>0.52</v>
      </c>
      <c r="K1538" s="35">
        <v>44.0</v>
      </c>
      <c r="P1538" s="96"/>
    </row>
    <row r="1539">
      <c r="C1539" s="88"/>
      <c r="H1539" s="35">
        <v>40.0</v>
      </c>
      <c r="J1539" s="35">
        <v>0.51</v>
      </c>
      <c r="K1539" s="35">
        <v>43.0</v>
      </c>
      <c r="P1539" s="96"/>
    </row>
    <row r="1540">
      <c r="C1540" s="88"/>
      <c r="H1540" s="35">
        <v>48.0</v>
      </c>
      <c r="J1540" s="35">
        <v>0.48</v>
      </c>
      <c r="K1540" s="35">
        <v>41.0</v>
      </c>
      <c r="P1540" s="96"/>
    </row>
    <row r="1541">
      <c r="C1541" s="88"/>
      <c r="H1541" s="35">
        <v>44.0</v>
      </c>
      <c r="J1541" s="35">
        <v>0.49</v>
      </c>
      <c r="K1541" s="35">
        <v>41.0</v>
      </c>
      <c r="P1541" s="96"/>
    </row>
    <row r="1542">
      <c r="C1542" s="88"/>
      <c r="H1542" s="35">
        <v>39.0</v>
      </c>
      <c r="J1542" s="35">
        <v>0.52</v>
      </c>
      <c r="K1542" s="35">
        <v>45.0</v>
      </c>
      <c r="P1542" s="96"/>
    </row>
    <row r="1543">
      <c r="C1543" s="88"/>
      <c r="H1543" s="35">
        <v>44.0</v>
      </c>
      <c r="J1543" s="35">
        <v>0.53</v>
      </c>
      <c r="K1543" s="35">
        <v>37.0</v>
      </c>
      <c r="P1543" s="96"/>
    </row>
    <row r="1544">
      <c r="C1544" s="88"/>
      <c r="H1544" s="35">
        <v>43.0</v>
      </c>
      <c r="J1544" s="35">
        <v>0.48</v>
      </c>
      <c r="K1544" s="35">
        <v>42.0</v>
      </c>
      <c r="P1544" s="96"/>
    </row>
    <row r="1545">
      <c r="C1545" s="88"/>
      <c r="H1545" s="35">
        <v>42.0</v>
      </c>
      <c r="J1545" s="35">
        <v>0.51</v>
      </c>
      <c r="K1545" s="35">
        <v>38.0</v>
      </c>
      <c r="P1545" s="96"/>
    </row>
    <row r="1546">
      <c r="C1546" s="88"/>
      <c r="H1546" s="35">
        <v>39.0</v>
      </c>
      <c r="J1546" s="35">
        <v>0.5</v>
      </c>
      <c r="K1546" s="35">
        <v>43.0</v>
      </c>
      <c r="P1546" s="96"/>
    </row>
    <row r="1547">
      <c r="C1547" s="88"/>
      <c r="H1547" s="35">
        <v>44.0</v>
      </c>
      <c r="J1547" s="35">
        <v>0.47</v>
      </c>
      <c r="K1547" s="35">
        <v>38.0</v>
      </c>
      <c r="P1547" s="96"/>
    </row>
    <row r="1548">
      <c r="C1548" s="88"/>
      <c r="H1548" s="35">
        <v>42.0</v>
      </c>
      <c r="J1548" s="35">
        <v>0.45</v>
      </c>
      <c r="K1548" s="35">
        <v>40.0</v>
      </c>
      <c r="P1548" s="96"/>
    </row>
    <row r="1549">
      <c r="C1549" s="88"/>
      <c r="H1549" s="35">
        <v>43.0</v>
      </c>
      <c r="J1549" s="35">
        <v>0.47</v>
      </c>
      <c r="K1549" s="35">
        <v>39.0</v>
      </c>
      <c r="P1549" s="96"/>
    </row>
    <row r="1550">
      <c r="C1550" s="88"/>
      <c r="H1550" s="35">
        <v>42.0</v>
      </c>
      <c r="J1550" s="35">
        <v>0.42</v>
      </c>
      <c r="K1550" s="35">
        <v>40.0</v>
      </c>
      <c r="P1550" s="96"/>
    </row>
    <row r="1551">
      <c r="C1551" s="88"/>
      <c r="H1551" s="35">
        <v>45.0</v>
      </c>
      <c r="J1551" s="35">
        <v>0.52</v>
      </c>
      <c r="K1551" s="35">
        <v>41.0</v>
      </c>
      <c r="P1551" s="96"/>
    </row>
    <row r="1552">
      <c r="C1552" s="88"/>
      <c r="H1552" s="35">
        <v>46.0</v>
      </c>
      <c r="J1552" s="35">
        <v>0.54</v>
      </c>
      <c r="K1552" s="35">
        <v>38.0</v>
      </c>
      <c r="P1552" s="96"/>
    </row>
    <row r="1553">
      <c r="C1553" s="88"/>
      <c r="H1553" s="35">
        <v>43.0</v>
      </c>
      <c r="J1553" s="35">
        <v>0.49</v>
      </c>
      <c r="K1553" s="35">
        <v>37.0</v>
      </c>
      <c r="P1553" s="96"/>
    </row>
    <row r="1554">
      <c r="C1554" s="88"/>
      <c r="H1554" s="35">
        <v>43.0</v>
      </c>
      <c r="J1554" s="35">
        <v>0.52</v>
      </c>
      <c r="K1554" s="35">
        <v>39.0</v>
      </c>
      <c r="P1554" s="96"/>
    </row>
    <row r="1555">
      <c r="C1555" s="88"/>
      <c r="H1555" s="35">
        <v>45.0</v>
      </c>
      <c r="J1555" s="35">
        <v>0.53</v>
      </c>
      <c r="K1555" s="35">
        <v>40.0</v>
      </c>
      <c r="P1555" s="96"/>
    </row>
    <row r="1556">
      <c r="C1556" s="88"/>
      <c r="H1556" s="35">
        <v>42.0</v>
      </c>
      <c r="J1556" s="35">
        <v>0.44</v>
      </c>
      <c r="K1556" s="35">
        <v>39.0</v>
      </c>
      <c r="P1556" s="96"/>
    </row>
    <row r="1557">
      <c r="C1557" s="88"/>
      <c r="H1557" s="35">
        <v>42.0</v>
      </c>
      <c r="J1557" s="35">
        <v>0.51</v>
      </c>
      <c r="K1557" s="35">
        <v>47.0</v>
      </c>
      <c r="P1557" s="96"/>
    </row>
    <row r="1558">
      <c r="C1558" s="88"/>
      <c r="H1558" s="35">
        <v>43.0</v>
      </c>
      <c r="J1558" s="35">
        <v>0.48</v>
      </c>
      <c r="K1558" s="35">
        <v>39.0</v>
      </c>
      <c r="P1558" s="96"/>
    </row>
    <row r="1559">
      <c r="C1559" s="88"/>
      <c r="H1559" s="35">
        <v>44.0</v>
      </c>
      <c r="J1559" s="35">
        <v>0.5</v>
      </c>
      <c r="K1559" s="35">
        <v>41.0</v>
      </c>
      <c r="P1559" s="96"/>
    </row>
    <row r="1560">
      <c r="C1560" s="88"/>
      <c r="H1560" s="35">
        <v>46.0</v>
      </c>
      <c r="J1560" s="35">
        <v>0.46</v>
      </c>
      <c r="K1560" s="35">
        <v>40.0</v>
      </c>
      <c r="P1560" s="96"/>
    </row>
    <row r="1561">
      <c r="C1561" s="88"/>
      <c r="H1561" s="35">
        <v>47.0</v>
      </c>
      <c r="J1561" s="35">
        <v>0.53</v>
      </c>
      <c r="K1561" s="35">
        <v>42.0</v>
      </c>
      <c r="P1561" s="96"/>
    </row>
    <row r="1562">
      <c r="C1562" s="88"/>
      <c r="H1562" s="35">
        <v>37.0</v>
      </c>
      <c r="J1562" s="35">
        <v>0.47</v>
      </c>
      <c r="K1562" s="35">
        <v>38.0</v>
      </c>
      <c r="P1562" s="96"/>
    </row>
    <row r="1563">
      <c r="C1563" s="88"/>
      <c r="H1563" s="35">
        <v>43.0</v>
      </c>
      <c r="J1563" s="35">
        <v>0.47</v>
      </c>
      <c r="K1563" s="35">
        <v>38.0</v>
      </c>
      <c r="P1563" s="96"/>
    </row>
    <row r="1564">
      <c r="C1564" s="88"/>
      <c r="H1564" s="35">
        <v>45.0</v>
      </c>
      <c r="J1564" s="35">
        <v>0.44</v>
      </c>
      <c r="K1564" s="35">
        <v>42.0</v>
      </c>
      <c r="P1564" s="96"/>
    </row>
    <row r="1565">
      <c r="C1565" s="88"/>
      <c r="H1565" s="35">
        <v>46.0</v>
      </c>
      <c r="J1565" s="35">
        <v>0.47</v>
      </c>
      <c r="K1565" s="35">
        <v>46.0</v>
      </c>
      <c r="P1565" s="96"/>
    </row>
    <row r="1566">
      <c r="C1566" s="88"/>
      <c r="H1566" s="35">
        <v>42.0</v>
      </c>
      <c r="J1566" s="35">
        <v>0.48</v>
      </c>
      <c r="K1566" s="35">
        <v>39.0</v>
      </c>
      <c r="P1566" s="96"/>
    </row>
    <row r="1567">
      <c r="C1567" s="88"/>
      <c r="H1567" s="35">
        <v>46.0</v>
      </c>
      <c r="J1567" s="35">
        <v>0.43</v>
      </c>
      <c r="K1567" s="35">
        <v>44.0</v>
      </c>
      <c r="P1567" s="96"/>
    </row>
    <row r="1568">
      <c r="C1568" s="88"/>
      <c r="H1568" s="35">
        <v>43.0</v>
      </c>
      <c r="J1568" s="35">
        <v>0.53</v>
      </c>
      <c r="K1568" s="35">
        <v>50.0</v>
      </c>
      <c r="P1568" s="96"/>
    </row>
    <row r="1569">
      <c r="C1569" s="88"/>
      <c r="H1569" s="35">
        <v>46.0</v>
      </c>
      <c r="J1569" s="35">
        <v>0.51</v>
      </c>
      <c r="K1569" s="35">
        <v>40.0</v>
      </c>
      <c r="P1569" s="96"/>
    </row>
    <row r="1570">
      <c r="C1570" s="88"/>
      <c r="H1570" s="35">
        <v>49.0</v>
      </c>
      <c r="J1570" s="35">
        <v>0.45</v>
      </c>
      <c r="K1570" s="35">
        <v>41.0</v>
      </c>
      <c r="P1570" s="96"/>
    </row>
    <row r="1571">
      <c r="C1571" s="88"/>
      <c r="H1571" s="35">
        <v>48.0</v>
      </c>
      <c r="J1571" s="35">
        <v>0.48</v>
      </c>
      <c r="K1571" s="35">
        <v>45.0</v>
      </c>
      <c r="P1571" s="96"/>
    </row>
    <row r="1572">
      <c r="C1572" s="88"/>
      <c r="H1572" s="35">
        <v>44.0</v>
      </c>
      <c r="J1572" s="35">
        <v>0.49</v>
      </c>
      <c r="K1572" s="35">
        <v>43.0</v>
      </c>
      <c r="P1572" s="96"/>
    </row>
    <row r="1573">
      <c r="C1573" s="88"/>
      <c r="H1573" s="35">
        <v>44.0</v>
      </c>
      <c r="J1573" s="35">
        <v>0.56</v>
      </c>
      <c r="K1573" s="35">
        <v>38.0</v>
      </c>
      <c r="P1573" s="96"/>
    </row>
    <row r="1574">
      <c r="C1574" s="88"/>
      <c r="H1574" s="35">
        <v>44.0</v>
      </c>
      <c r="J1574" s="35">
        <v>0.48</v>
      </c>
      <c r="K1574" s="35">
        <v>39.0</v>
      </c>
      <c r="P1574" s="96"/>
    </row>
    <row r="1575">
      <c r="C1575" s="88"/>
      <c r="H1575" s="35">
        <v>41.0</v>
      </c>
      <c r="J1575" s="35">
        <v>0.48</v>
      </c>
      <c r="K1575" s="35">
        <v>41.0</v>
      </c>
      <c r="P1575" s="96"/>
    </row>
    <row r="1576">
      <c r="C1576" s="88"/>
      <c r="H1576" s="35">
        <v>43.0</v>
      </c>
      <c r="J1576" s="35">
        <v>0.46</v>
      </c>
      <c r="K1576" s="35">
        <v>43.0</v>
      </c>
      <c r="P1576" s="96"/>
    </row>
    <row r="1577">
      <c r="C1577" s="88"/>
      <c r="H1577" s="35">
        <v>47.0</v>
      </c>
      <c r="J1577" s="35">
        <v>0.48</v>
      </c>
      <c r="K1577" s="35">
        <v>36.0</v>
      </c>
      <c r="P1577" s="96"/>
    </row>
    <row r="1578">
      <c r="C1578" s="88"/>
      <c r="H1578" s="35">
        <v>52.0</v>
      </c>
      <c r="J1578" s="35">
        <v>0.54</v>
      </c>
      <c r="K1578" s="35">
        <v>38.0</v>
      </c>
      <c r="P1578" s="96"/>
    </row>
    <row r="1579">
      <c r="C1579" s="88"/>
      <c r="H1579" s="35">
        <v>42.0</v>
      </c>
      <c r="J1579" s="35">
        <v>0.5</v>
      </c>
      <c r="K1579" s="35">
        <v>43.0</v>
      </c>
      <c r="P1579" s="96"/>
    </row>
    <row r="1580">
      <c r="C1580" s="88"/>
      <c r="H1580" s="35">
        <v>44.0</v>
      </c>
      <c r="J1580" s="35">
        <v>0.48</v>
      </c>
      <c r="K1580" s="35">
        <v>42.0</v>
      </c>
      <c r="P1580" s="96"/>
    </row>
    <row r="1581">
      <c r="C1581" s="88"/>
      <c r="H1581" s="35">
        <v>45.0</v>
      </c>
      <c r="J1581" s="35">
        <v>0.51</v>
      </c>
      <c r="K1581" s="35">
        <v>41.0</v>
      </c>
      <c r="P1581" s="96"/>
    </row>
    <row r="1582">
      <c r="C1582" s="88"/>
      <c r="H1582" s="35">
        <v>47.0</v>
      </c>
      <c r="J1582" s="35">
        <v>0.49</v>
      </c>
      <c r="K1582" s="35">
        <v>41.0</v>
      </c>
      <c r="P1582" s="96"/>
    </row>
    <row r="1583">
      <c r="C1583" s="88"/>
      <c r="H1583" s="35">
        <v>48.0</v>
      </c>
      <c r="J1583" s="35">
        <v>0.47</v>
      </c>
      <c r="K1583" s="35">
        <v>43.0</v>
      </c>
      <c r="P1583" s="96"/>
    </row>
    <row r="1584">
      <c r="C1584" s="88"/>
      <c r="H1584" s="35">
        <v>47.0</v>
      </c>
      <c r="J1584" s="35">
        <v>0.47</v>
      </c>
      <c r="K1584" s="35">
        <v>47.0</v>
      </c>
      <c r="P1584" s="96"/>
    </row>
    <row r="1585">
      <c r="C1585" s="88"/>
      <c r="H1585" s="35">
        <v>45.0</v>
      </c>
      <c r="J1585" s="35">
        <v>0.5</v>
      </c>
      <c r="K1585" s="35">
        <v>44.0</v>
      </c>
      <c r="P1585" s="96"/>
    </row>
    <row r="1586">
      <c r="C1586" s="88"/>
      <c r="H1586" s="35">
        <v>41.0</v>
      </c>
      <c r="J1586" s="35">
        <v>0.43</v>
      </c>
      <c r="K1586" s="35">
        <v>40.0</v>
      </c>
      <c r="P1586" s="96"/>
    </row>
    <row r="1587">
      <c r="C1587" s="88"/>
      <c r="H1587" s="35">
        <v>45.0</v>
      </c>
      <c r="J1587" s="35">
        <v>0.5</v>
      </c>
      <c r="K1587" s="35">
        <v>46.0</v>
      </c>
      <c r="P1587" s="96"/>
    </row>
    <row r="1588">
      <c r="C1588" s="88"/>
      <c r="H1588" s="35">
        <v>43.0</v>
      </c>
      <c r="J1588" s="35">
        <v>0.46</v>
      </c>
      <c r="K1588" s="35">
        <v>49.0</v>
      </c>
      <c r="P1588" s="96"/>
    </row>
    <row r="1589">
      <c r="C1589" s="88"/>
      <c r="H1589" s="35">
        <v>43.0</v>
      </c>
      <c r="J1589" s="35">
        <v>0.49</v>
      </c>
      <c r="K1589" s="35">
        <v>47.0</v>
      </c>
      <c r="P1589" s="96"/>
    </row>
    <row r="1590">
      <c r="C1590" s="88"/>
      <c r="H1590" s="35">
        <v>44.0</v>
      </c>
      <c r="J1590" s="35">
        <v>0.45</v>
      </c>
      <c r="K1590" s="35">
        <v>41.0</v>
      </c>
      <c r="P1590" s="96"/>
    </row>
    <row r="1591">
      <c r="C1591" s="88"/>
      <c r="H1591" s="35">
        <v>45.0</v>
      </c>
      <c r="J1591" s="35">
        <v>0.48</v>
      </c>
      <c r="K1591" s="35">
        <v>43.0</v>
      </c>
      <c r="P1591" s="96"/>
    </row>
    <row r="1592">
      <c r="C1592" s="88"/>
      <c r="H1592" s="35">
        <v>44.0</v>
      </c>
      <c r="J1592" s="35">
        <v>0.47</v>
      </c>
      <c r="K1592" s="35">
        <v>40.0</v>
      </c>
      <c r="P1592" s="96"/>
    </row>
    <row r="1593">
      <c r="C1593" s="88"/>
      <c r="H1593" s="35">
        <v>47.0</v>
      </c>
      <c r="J1593" s="35">
        <v>0.5</v>
      </c>
      <c r="K1593" s="35">
        <v>43.0</v>
      </c>
      <c r="P1593" s="96"/>
    </row>
    <row r="1594">
      <c r="C1594" s="88"/>
      <c r="H1594" s="35">
        <v>47.0</v>
      </c>
      <c r="J1594" s="35">
        <v>0.45</v>
      </c>
      <c r="K1594" s="35">
        <v>44.0</v>
      </c>
      <c r="P1594" s="96"/>
    </row>
    <row r="1595">
      <c r="C1595" s="88"/>
      <c r="H1595" s="35">
        <v>46.0</v>
      </c>
      <c r="J1595" s="35">
        <v>0.5</v>
      </c>
      <c r="K1595" s="35">
        <v>45.0</v>
      </c>
      <c r="P1595" s="96"/>
    </row>
    <row r="1596">
      <c r="C1596" s="88"/>
      <c r="H1596" s="35">
        <v>44.0</v>
      </c>
      <c r="J1596" s="35">
        <v>0.44</v>
      </c>
      <c r="K1596" s="35">
        <v>43.0</v>
      </c>
      <c r="P1596" s="96"/>
    </row>
    <row r="1597">
      <c r="C1597" s="88"/>
      <c r="H1597" s="35">
        <v>45.0</v>
      </c>
      <c r="J1597" s="35">
        <v>0.49</v>
      </c>
      <c r="K1597" s="35">
        <v>44.0</v>
      </c>
      <c r="P1597" s="96"/>
    </row>
    <row r="1598">
      <c r="C1598" s="88"/>
      <c r="H1598" s="35">
        <v>46.0</v>
      </c>
      <c r="J1598" s="35">
        <v>0.51</v>
      </c>
      <c r="K1598" s="35">
        <v>38.0</v>
      </c>
      <c r="P1598" s="96"/>
    </row>
    <row r="1599">
      <c r="C1599" s="88"/>
      <c r="H1599" s="35">
        <v>36.0</v>
      </c>
      <c r="J1599" s="35">
        <v>0.5</v>
      </c>
      <c r="K1599" s="35">
        <v>46.0</v>
      </c>
      <c r="P1599" s="96"/>
    </row>
    <row r="1600">
      <c r="C1600" s="88"/>
      <c r="H1600" s="35">
        <v>45.0</v>
      </c>
      <c r="J1600" s="35">
        <v>0.47</v>
      </c>
      <c r="K1600" s="35">
        <v>41.0</v>
      </c>
      <c r="P1600" s="96"/>
    </row>
    <row r="1601">
      <c r="C1601" s="88"/>
      <c r="H1601" s="35">
        <v>48.0</v>
      </c>
      <c r="J1601" s="35">
        <v>0.49</v>
      </c>
      <c r="K1601" s="35">
        <v>40.0</v>
      </c>
      <c r="P1601" s="96"/>
    </row>
    <row r="1602">
      <c r="C1602" s="88"/>
      <c r="H1602" s="35">
        <v>45.0</v>
      </c>
      <c r="J1602" s="35">
        <v>0.49</v>
      </c>
      <c r="K1602" s="35">
        <v>38.0</v>
      </c>
      <c r="P1602" s="96"/>
    </row>
    <row r="1603">
      <c r="C1603" s="88"/>
      <c r="H1603" s="35">
        <v>45.0</v>
      </c>
      <c r="J1603" s="35">
        <v>0.43</v>
      </c>
      <c r="K1603" s="35">
        <v>48.0</v>
      </c>
      <c r="P1603" s="96"/>
    </row>
    <row r="1604">
      <c r="C1604" s="88"/>
      <c r="H1604" s="35">
        <v>45.0</v>
      </c>
      <c r="J1604" s="35">
        <v>0.49</v>
      </c>
      <c r="K1604" s="35">
        <v>41.0</v>
      </c>
      <c r="P1604" s="96"/>
    </row>
    <row r="1605">
      <c r="C1605" s="88"/>
      <c r="H1605" s="35">
        <v>46.0</v>
      </c>
      <c r="J1605" s="35">
        <v>0.5</v>
      </c>
      <c r="K1605" s="35">
        <v>47.0</v>
      </c>
      <c r="P1605" s="96"/>
    </row>
    <row r="1606">
      <c r="C1606" s="88"/>
      <c r="H1606" s="35">
        <v>41.0</v>
      </c>
      <c r="J1606" s="35">
        <v>0.46</v>
      </c>
      <c r="K1606" s="35">
        <v>44.0</v>
      </c>
      <c r="P1606" s="96"/>
    </row>
    <row r="1607">
      <c r="C1607" s="88"/>
      <c r="H1607" s="35">
        <v>47.0</v>
      </c>
      <c r="J1607" s="35">
        <v>0.47</v>
      </c>
      <c r="K1607" s="35">
        <v>44.0</v>
      </c>
      <c r="P1607" s="96"/>
    </row>
    <row r="1608">
      <c r="C1608" s="88"/>
      <c r="H1608" s="35">
        <v>45.0</v>
      </c>
      <c r="J1608" s="35">
        <v>0.45</v>
      </c>
      <c r="K1608" s="35">
        <v>42.0</v>
      </c>
      <c r="P1608" s="96"/>
    </row>
    <row r="1609">
      <c r="C1609" s="88"/>
      <c r="H1609" s="35">
        <v>47.0</v>
      </c>
      <c r="J1609" s="35">
        <v>0.45</v>
      </c>
      <c r="K1609" s="35">
        <v>45.0</v>
      </c>
      <c r="P1609" s="96"/>
    </row>
    <row r="1610">
      <c r="C1610" s="88"/>
      <c r="H1610" s="35">
        <v>47.0</v>
      </c>
      <c r="J1610" s="35">
        <v>0.49</v>
      </c>
      <c r="K1610" s="35">
        <v>40.0</v>
      </c>
      <c r="P1610" s="96"/>
    </row>
    <row r="1611">
      <c r="C1611" s="88"/>
      <c r="H1611" s="35">
        <v>48.0</v>
      </c>
      <c r="J1611" s="35">
        <v>0.48</v>
      </c>
      <c r="K1611" s="35">
        <v>44.0</v>
      </c>
      <c r="P1611" s="96"/>
    </row>
    <row r="1612">
      <c r="C1612" s="88"/>
      <c r="H1612" s="35">
        <v>48.0</v>
      </c>
      <c r="J1612" s="35">
        <v>0.42</v>
      </c>
      <c r="K1612" s="35">
        <v>40.0</v>
      </c>
      <c r="P1612" s="96"/>
    </row>
    <row r="1613">
      <c r="C1613" s="88"/>
      <c r="H1613" s="35">
        <v>47.0</v>
      </c>
      <c r="J1613" s="35">
        <v>0.46</v>
      </c>
      <c r="K1613" s="35">
        <v>45.0</v>
      </c>
      <c r="P1613" s="96"/>
    </row>
    <row r="1614">
      <c r="C1614" s="88"/>
      <c r="H1614" s="35">
        <v>42.0</v>
      </c>
      <c r="J1614" s="35">
        <v>0.46</v>
      </c>
      <c r="K1614" s="35">
        <v>49.0</v>
      </c>
      <c r="P1614" s="96"/>
    </row>
    <row r="1615">
      <c r="C1615" s="88"/>
      <c r="H1615" s="35">
        <v>43.0</v>
      </c>
      <c r="J1615" s="35">
        <v>0.43</v>
      </c>
      <c r="K1615" s="35">
        <v>45.0</v>
      </c>
      <c r="P1615" s="96"/>
    </row>
    <row r="1616">
      <c r="C1616" s="88"/>
      <c r="H1616" s="35">
        <v>45.0</v>
      </c>
      <c r="J1616" s="35">
        <v>0.5</v>
      </c>
      <c r="K1616" s="35">
        <v>40.0</v>
      </c>
      <c r="P1616" s="96"/>
    </row>
    <row r="1617">
      <c r="C1617" s="88"/>
      <c r="H1617" s="35">
        <v>44.0</v>
      </c>
      <c r="J1617" s="35">
        <v>0.48</v>
      </c>
      <c r="K1617" s="35">
        <v>43.0</v>
      </c>
      <c r="P1617" s="96"/>
    </row>
    <row r="1618">
      <c r="C1618" s="88"/>
      <c r="H1618" s="35">
        <v>47.0</v>
      </c>
      <c r="J1618" s="35">
        <v>0.45</v>
      </c>
      <c r="K1618" s="35">
        <v>38.0</v>
      </c>
      <c r="P1618" s="96"/>
    </row>
    <row r="1619">
      <c r="C1619" s="88"/>
      <c r="H1619" s="35">
        <v>48.0</v>
      </c>
      <c r="J1619" s="35">
        <v>0.5</v>
      </c>
      <c r="K1619" s="35">
        <v>45.0</v>
      </c>
      <c r="P1619" s="96"/>
    </row>
    <row r="1620">
      <c r="C1620" s="88"/>
      <c r="H1620" s="35">
        <v>46.0</v>
      </c>
      <c r="J1620" s="35">
        <v>0.45</v>
      </c>
      <c r="K1620" s="35">
        <v>46.0</v>
      </c>
      <c r="P1620" s="96"/>
    </row>
    <row r="1621">
      <c r="C1621" s="88"/>
      <c r="H1621" s="35">
        <v>46.0</v>
      </c>
      <c r="J1621" s="35">
        <v>0.46</v>
      </c>
      <c r="K1621" s="35">
        <v>41.0</v>
      </c>
      <c r="P1621" s="96"/>
    </row>
    <row r="1622">
      <c r="C1622" s="88"/>
      <c r="H1622" s="35">
        <v>45.0</v>
      </c>
      <c r="J1622" s="35">
        <v>0.45</v>
      </c>
      <c r="K1622" s="35">
        <v>40.0</v>
      </c>
      <c r="P1622" s="96"/>
    </row>
    <row r="1623">
      <c r="C1623" s="88"/>
      <c r="H1623" s="35">
        <v>51.0</v>
      </c>
      <c r="J1623" s="35">
        <v>0.51</v>
      </c>
      <c r="K1623" s="35">
        <v>45.0</v>
      </c>
      <c r="P1623" s="96"/>
    </row>
    <row r="1624">
      <c r="C1624" s="88"/>
      <c r="H1624" s="35">
        <v>44.0</v>
      </c>
      <c r="J1624" s="35">
        <v>0.5</v>
      </c>
      <c r="K1624" s="35">
        <v>46.0</v>
      </c>
      <c r="P1624" s="96"/>
    </row>
    <row r="1625">
      <c r="C1625" s="88"/>
      <c r="H1625" s="35">
        <v>42.0</v>
      </c>
      <c r="J1625" s="35">
        <v>0.46</v>
      </c>
      <c r="K1625" s="35">
        <v>44.0</v>
      </c>
      <c r="P1625" s="96"/>
    </row>
    <row r="1626">
      <c r="C1626" s="88"/>
      <c r="H1626" s="35">
        <v>44.0</v>
      </c>
      <c r="J1626" s="35">
        <v>0.49</v>
      </c>
      <c r="K1626" s="35">
        <v>44.0</v>
      </c>
      <c r="P1626" s="96"/>
    </row>
    <row r="1627">
      <c r="C1627" s="88"/>
      <c r="H1627" s="35">
        <v>41.0</v>
      </c>
      <c r="J1627" s="35">
        <v>0.49</v>
      </c>
      <c r="K1627" s="35">
        <v>42.0</v>
      </c>
      <c r="P1627" s="96"/>
    </row>
    <row r="1628">
      <c r="C1628" s="88"/>
      <c r="H1628" s="35">
        <v>44.0</v>
      </c>
      <c r="J1628" s="35">
        <v>0.51</v>
      </c>
      <c r="K1628" s="35">
        <v>44.0</v>
      </c>
      <c r="P1628" s="96"/>
    </row>
    <row r="1629">
      <c r="C1629" s="88"/>
      <c r="H1629" s="35">
        <v>43.0</v>
      </c>
      <c r="J1629" s="35">
        <v>0.45</v>
      </c>
      <c r="K1629" s="35">
        <v>41.0</v>
      </c>
      <c r="P1629" s="96"/>
    </row>
    <row r="1630">
      <c r="C1630" s="88"/>
      <c r="H1630" s="35">
        <v>45.0</v>
      </c>
      <c r="J1630" s="35">
        <v>0.46</v>
      </c>
      <c r="K1630" s="35">
        <v>38.0</v>
      </c>
      <c r="P1630" s="96"/>
    </row>
    <row r="1631">
      <c r="C1631" s="88"/>
      <c r="H1631" s="35">
        <v>50.0</v>
      </c>
      <c r="J1631" s="35">
        <v>0.44</v>
      </c>
      <c r="K1631" s="35">
        <v>44.0</v>
      </c>
      <c r="P1631" s="96"/>
    </row>
    <row r="1632">
      <c r="C1632" s="88"/>
      <c r="H1632" s="35">
        <v>47.0</v>
      </c>
      <c r="J1632" s="35">
        <v>0.46</v>
      </c>
      <c r="K1632" s="35">
        <v>47.0</v>
      </c>
      <c r="P1632" s="96"/>
    </row>
    <row r="1633">
      <c r="C1633" s="88"/>
      <c r="H1633" s="35">
        <v>44.0</v>
      </c>
      <c r="J1633" s="35">
        <v>0.51</v>
      </c>
      <c r="K1633" s="35">
        <v>45.0</v>
      </c>
      <c r="P1633" s="96"/>
    </row>
    <row r="1634">
      <c r="C1634" s="88"/>
      <c r="H1634" s="35">
        <v>44.0</v>
      </c>
      <c r="J1634" s="35">
        <v>0.45</v>
      </c>
      <c r="K1634" s="35">
        <v>41.0</v>
      </c>
      <c r="P1634" s="96"/>
    </row>
    <row r="1635">
      <c r="C1635" s="88"/>
      <c r="H1635" s="35">
        <v>43.0</v>
      </c>
      <c r="J1635" s="35">
        <v>0.48</v>
      </c>
      <c r="K1635" s="35">
        <v>48.0</v>
      </c>
      <c r="P1635" s="96"/>
    </row>
    <row r="1636">
      <c r="C1636" s="88"/>
      <c r="H1636" s="35">
        <v>49.0</v>
      </c>
      <c r="J1636" s="35">
        <v>0.47</v>
      </c>
      <c r="K1636" s="35">
        <v>42.0</v>
      </c>
      <c r="P1636" s="96"/>
    </row>
    <row r="1637">
      <c r="C1637" s="88"/>
      <c r="H1637" s="35">
        <v>46.0</v>
      </c>
      <c r="J1637" s="35">
        <v>0.45</v>
      </c>
      <c r="K1637" s="35">
        <v>45.0</v>
      </c>
      <c r="P1637" s="96"/>
    </row>
    <row r="1638">
      <c r="C1638" s="88"/>
      <c r="H1638" s="35">
        <v>43.0</v>
      </c>
      <c r="J1638" s="35">
        <v>0.47</v>
      </c>
      <c r="K1638" s="35">
        <v>43.0</v>
      </c>
      <c r="P1638" s="96"/>
    </row>
    <row r="1639">
      <c r="C1639" s="88"/>
      <c r="H1639" s="35">
        <v>40.0</v>
      </c>
      <c r="J1639" s="35">
        <v>0.47</v>
      </c>
      <c r="K1639" s="35">
        <v>41.0</v>
      </c>
      <c r="P1639" s="96"/>
    </row>
    <row r="1640">
      <c r="C1640" s="88"/>
      <c r="H1640" s="35">
        <v>42.0</v>
      </c>
      <c r="J1640" s="35">
        <v>0.47</v>
      </c>
      <c r="K1640" s="35">
        <v>38.0</v>
      </c>
      <c r="P1640" s="96"/>
    </row>
    <row r="1641">
      <c r="C1641" s="88"/>
      <c r="H1641" s="35">
        <v>43.0</v>
      </c>
      <c r="J1641" s="35">
        <v>0.45</v>
      </c>
      <c r="K1641" s="35">
        <v>43.0</v>
      </c>
      <c r="P1641" s="96"/>
    </row>
    <row r="1642">
      <c r="C1642" s="88"/>
      <c r="H1642" s="35">
        <v>40.0</v>
      </c>
      <c r="J1642" s="35">
        <v>0.51</v>
      </c>
      <c r="K1642" s="35">
        <v>37.0</v>
      </c>
      <c r="P1642" s="96"/>
    </row>
    <row r="1643">
      <c r="C1643" s="88"/>
      <c r="H1643" s="35">
        <v>42.0</v>
      </c>
      <c r="J1643" s="35">
        <v>0.46</v>
      </c>
      <c r="K1643" s="35">
        <v>48.0</v>
      </c>
      <c r="P1643" s="96"/>
    </row>
    <row r="1644">
      <c r="C1644" s="88"/>
      <c r="H1644" s="35">
        <v>42.0</v>
      </c>
      <c r="J1644" s="35">
        <v>0.49</v>
      </c>
      <c r="K1644" s="35">
        <v>43.0</v>
      </c>
      <c r="P1644" s="96"/>
    </row>
    <row r="1645">
      <c r="C1645" s="88"/>
      <c r="H1645" s="35">
        <v>42.0</v>
      </c>
      <c r="J1645" s="35">
        <v>0.44</v>
      </c>
      <c r="K1645" s="35">
        <v>47.0</v>
      </c>
      <c r="P1645" s="96"/>
    </row>
    <row r="1646">
      <c r="C1646" s="88"/>
      <c r="H1646" s="35">
        <v>44.0</v>
      </c>
      <c r="J1646" s="35">
        <v>0.46</v>
      </c>
      <c r="K1646" s="35">
        <v>39.0</v>
      </c>
      <c r="P1646" s="96"/>
    </row>
    <row r="1647">
      <c r="C1647" s="88"/>
      <c r="H1647" s="35">
        <v>48.0</v>
      </c>
      <c r="J1647" s="35">
        <v>0.44</v>
      </c>
      <c r="K1647" s="35">
        <v>52.0</v>
      </c>
      <c r="P1647" s="96"/>
    </row>
    <row r="1648">
      <c r="C1648" s="88"/>
      <c r="H1648" s="35">
        <v>45.0</v>
      </c>
      <c r="J1648" s="35">
        <v>0.46</v>
      </c>
      <c r="K1648" s="35">
        <v>39.0</v>
      </c>
      <c r="P1648" s="96"/>
    </row>
    <row r="1649">
      <c r="C1649" s="88"/>
      <c r="H1649" s="35">
        <v>47.0</v>
      </c>
      <c r="J1649" s="35">
        <v>0.46</v>
      </c>
      <c r="K1649" s="35">
        <v>43.0</v>
      </c>
      <c r="P1649" s="96"/>
    </row>
    <row r="1650">
      <c r="C1650" s="88"/>
      <c r="H1650" s="35">
        <v>50.0</v>
      </c>
      <c r="J1650" s="35">
        <v>0.45</v>
      </c>
      <c r="K1650" s="35">
        <v>39.0</v>
      </c>
      <c r="P1650" s="96"/>
    </row>
    <row r="1651">
      <c r="C1651" s="88"/>
      <c r="H1651" s="35">
        <v>42.0</v>
      </c>
      <c r="J1651" s="35">
        <v>0.46</v>
      </c>
      <c r="K1651" s="35">
        <v>38.0</v>
      </c>
      <c r="P1651" s="96"/>
    </row>
    <row r="1652">
      <c r="C1652" s="88"/>
      <c r="H1652" s="35">
        <v>43.0</v>
      </c>
      <c r="J1652" s="35">
        <v>0.46</v>
      </c>
      <c r="K1652" s="35">
        <v>38.0</v>
      </c>
      <c r="P1652" s="96"/>
    </row>
    <row r="1653">
      <c r="C1653" s="88"/>
      <c r="H1653" s="35">
        <v>42.0</v>
      </c>
      <c r="J1653" s="35">
        <v>0.47</v>
      </c>
      <c r="K1653" s="35">
        <v>36.0</v>
      </c>
      <c r="P1653" s="96"/>
    </row>
    <row r="1654">
      <c r="C1654" s="88"/>
      <c r="H1654" s="35">
        <v>41.0</v>
      </c>
      <c r="J1654" s="35">
        <v>0.48</v>
      </c>
      <c r="K1654" s="35">
        <v>38.0</v>
      </c>
      <c r="P1654" s="96"/>
    </row>
    <row r="1655">
      <c r="C1655" s="88"/>
      <c r="H1655" s="35">
        <v>44.0</v>
      </c>
      <c r="J1655" s="35">
        <v>0.47</v>
      </c>
      <c r="K1655" s="35">
        <v>42.0</v>
      </c>
      <c r="P1655" s="96"/>
    </row>
    <row r="1656">
      <c r="C1656" s="88"/>
      <c r="H1656" s="35">
        <v>45.0</v>
      </c>
      <c r="J1656" s="35">
        <v>0.46</v>
      </c>
      <c r="K1656" s="35">
        <v>38.0</v>
      </c>
      <c r="P1656" s="96"/>
    </row>
    <row r="1657">
      <c r="C1657" s="88"/>
      <c r="H1657" s="35">
        <v>41.0</v>
      </c>
      <c r="J1657" s="35">
        <v>0.49</v>
      </c>
      <c r="K1657" s="35">
        <v>41.0</v>
      </c>
      <c r="P1657" s="96"/>
    </row>
    <row r="1658">
      <c r="C1658" s="88"/>
      <c r="H1658" s="35">
        <v>43.0</v>
      </c>
      <c r="J1658" s="35">
        <v>0.44</v>
      </c>
      <c r="K1658" s="35">
        <v>40.0</v>
      </c>
      <c r="P1658" s="96"/>
    </row>
    <row r="1659">
      <c r="C1659" s="88"/>
      <c r="H1659" s="35">
        <v>49.0</v>
      </c>
      <c r="J1659" s="35">
        <v>0.46</v>
      </c>
      <c r="K1659" s="35">
        <v>43.0</v>
      </c>
      <c r="P1659" s="96"/>
    </row>
    <row r="1660">
      <c r="C1660" s="88"/>
      <c r="H1660" s="35">
        <v>47.0</v>
      </c>
      <c r="J1660" s="35">
        <v>0.47</v>
      </c>
      <c r="K1660" s="35">
        <v>41.0</v>
      </c>
      <c r="P1660" s="96"/>
    </row>
    <row r="1661">
      <c r="C1661" s="88"/>
      <c r="H1661" s="35">
        <v>48.0</v>
      </c>
      <c r="J1661" s="35">
        <v>0.49</v>
      </c>
      <c r="K1661" s="35">
        <v>44.0</v>
      </c>
      <c r="P1661" s="96"/>
    </row>
    <row r="1662">
      <c r="C1662" s="88"/>
      <c r="H1662" s="35">
        <v>47.0</v>
      </c>
      <c r="J1662" s="35">
        <v>0.45</v>
      </c>
      <c r="K1662" s="35">
        <v>44.0</v>
      </c>
      <c r="P1662" s="96"/>
    </row>
    <row r="1663">
      <c r="C1663" s="88"/>
      <c r="H1663" s="35">
        <v>44.0</v>
      </c>
      <c r="J1663" s="35">
        <v>0.47</v>
      </c>
      <c r="K1663" s="35">
        <v>40.0</v>
      </c>
      <c r="P1663" s="96"/>
    </row>
    <row r="1664">
      <c r="C1664" s="88"/>
      <c r="H1664" s="35">
        <v>43.0</v>
      </c>
      <c r="J1664" s="35">
        <v>0.48</v>
      </c>
      <c r="K1664" s="35">
        <v>39.0</v>
      </c>
      <c r="P1664" s="96"/>
    </row>
    <row r="1665">
      <c r="C1665" s="88"/>
      <c r="H1665" s="35">
        <v>42.0</v>
      </c>
      <c r="J1665" s="35">
        <v>0.47</v>
      </c>
      <c r="K1665" s="35">
        <v>38.0</v>
      </c>
      <c r="P1665" s="96"/>
    </row>
    <row r="1666">
      <c r="C1666" s="88"/>
      <c r="H1666" s="35">
        <v>43.0</v>
      </c>
      <c r="J1666" s="35">
        <v>0.46</v>
      </c>
      <c r="K1666" s="35">
        <v>36.0</v>
      </c>
      <c r="P1666" s="96"/>
    </row>
    <row r="1667">
      <c r="C1667" s="88"/>
      <c r="H1667" s="35">
        <v>42.0</v>
      </c>
      <c r="J1667" s="35">
        <v>0.46</v>
      </c>
      <c r="K1667" s="35">
        <v>41.0</v>
      </c>
      <c r="P1667" s="96"/>
    </row>
    <row r="1668">
      <c r="C1668" s="97"/>
      <c r="H1668" s="35">
        <v>43.0</v>
      </c>
      <c r="J1668" s="35">
        <v>0.47</v>
      </c>
      <c r="K1668" s="35">
        <v>41.0</v>
      </c>
      <c r="P1668" s="96"/>
    </row>
    <row r="1669">
      <c r="C1669" s="97"/>
      <c r="H1669" s="35">
        <v>44.0</v>
      </c>
      <c r="J1669" s="35">
        <v>0.51</v>
      </c>
      <c r="K1669" s="35">
        <v>42.0</v>
      </c>
      <c r="P1669" s="96"/>
    </row>
    <row r="1670">
      <c r="C1670" s="97"/>
      <c r="H1670" s="35">
        <v>43.0</v>
      </c>
      <c r="J1670" s="35">
        <v>0.44</v>
      </c>
      <c r="K1670" s="35">
        <v>39.0</v>
      </c>
      <c r="P1670" s="96"/>
    </row>
    <row r="1671">
      <c r="C1671" s="97"/>
      <c r="H1671" s="35">
        <v>44.0</v>
      </c>
      <c r="J1671" s="35">
        <v>0.47</v>
      </c>
      <c r="K1671" s="35">
        <v>42.0</v>
      </c>
      <c r="P1671" s="96"/>
    </row>
    <row r="1672">
      <c r="C1672" s="97"/>
      <c r="H1672" s="35">
        <v>48.0</v>
      </c>
      <c r="J1672" s="35">
        <v>0.48</v>
      </c>
      <c r="K1672" s="35">
        <v>47.0</v>
      </c>
      <c r="P1672" s="96"/>
    </row>
    <row r="1673">
      <c r="C1673" s="97"/>
      <c r="H1673" s="35">
        <v>45.0</v>
      </c>
      <c r="J1673" s="35">
        <v>0.47</v>
      </c>
      <c r="K1673" s="35">
        <v>43.0</v>
      </c>
      <c r="P1673" s="96"/>
    </row>
    <row r="1674">
      <c r="C1674" s="97"/>
      <c r="H1674" s="35">
        <v>49.0</v>
      </c>
      <c r="J1674" s="35">
        <v>0.48</v>
      </c>
      <c r="K1674" s="35">
        <v>41.0</v>
      </c>
      <c r="P1674" s="96"/>
    </row>
    <row r="1675">
      <c r="C1675" s="97"/>
      <c r="J1675" s="35">
        <v>0.49</v>
      </c>
      <c r="K1675" s="35">
        <v>41.0</v>
      </c>
      <c r="P1675" s="96"/>
    </row>
    <row r="1676">
      <c r="C1676" s="97"/>
      <c r="J1676" s="35">
        <v>0.47</v>
      </c>
      <c r="K1676" s="35">
        <v>41.0</v>
      </c>
      <c r="P1676" s="96"/>
    </row>
    <row r="1677">
      <c r="C1677" s="97"/>
      <c r="J1677" s="35">
        <v>0.46</v>
      </c>
      <c r="K1677" s="35">
        <v>42.0</v>
      </c>
      <c r="P1677" s="96"/>
    </row>
    <row r="1678">
      <c r="C1678" s="97"/>
      <c r="J1678" s="35">
        <v>0.5</v>
      </c>
      <c r="K1678" s="35">
        <v>35.0</v>
      </c>
      <c r="P1678" s="96"/>
    </row>
    <row r="1679">
      <c r="C1679" s="97"/>
      <c r="J1679" s="35">
        <v>0.48</v>
      </c>
      <c r="K1679" s="35">
        <v>41.0</v>
      </c>
      <c r="P1679" s="96"/>
    </row>
    <row r="1680">
      <c r="C1680" s="97"/>
      <c r="J1680" s="35">
        <v>0.49</v>
      </c>
      <c r="K1680" s="35">
        <v>38.0</v>
      </c>
      <c r="P1680" s="96"/>
    </row>
    <row r="1681">
      <c r="C1681" s="97"/>
      <c r="J1681" s="35">
        <v>0.48</v>
      </c>
      <c r="K1681" s="35">
        <v>38.0</v>
      </c>
      <c r="P1681" s="96"/>
    </row>
    <row r="1682">
      <c r="C1682" s="97"/>
      <c r="J1682" s="35">
        <v>0.47</v>
      </c>
      <c r="K1682" s="35">
        <v>37.0</v>
      </c>
      <c r="P1682" s="96"/>
    </row>
    <row r="1683">
      <c r="C1683" s="97"/>
      <c r="J1683" s="35">
        <v>0.46</v>
      </c>
      <c r="K1683" s="35">
        <v>41.0</v>
      </c>
      <c r="P1683" s="96"/>
    </row>
    <row r="1684">
      <c r="C1684" s="97"/>
      <c r="J1684" s="35">
        <v>0.48</v>
      </c>
      <c r="K1684" s="35">
        <v>47.0</v>
      </c>
      <c r="P1684" s="96"/>
    </row>
    <row r="1685">
      <c r="C1685" s="97"/>
      <c r="J1685" s="35">
        <v>0.49</v>
      </c>
      <c r="K1685" s="35">
        <v>43.0</v>
      </c>
      <c r="P1685" s="96"/>
    </row>
    <row r="1686">
      <c r="C1686" s="97"/>
      <c r="J1686" s="35">
        <v>0.49</v>
      </c>
      <c r="K1686" s="35">
        <v>47.0</v>
      </c>
      <c r="P1686" s="96"/>
    </row>
    <row r="1687">
      <c r="C1687" s="97"/>
      <c r="P1687" s="96"/>
    </row>
    <row r="1688">
      <c r="C1688" s="97"/>
      <c r="P1688" s="96"/>
    </row>
    <row r="1689">
      <c r="C1689" s="97"/>
      <c r="P1689" s="96"/>
    </row>
    <row r="1690">
      <c r="C1690" s="97"/>
      <c r="P1690" s="96"/>
    </row>
    <row r="1691">
      <c r="C1691" s="97"/>
      <c r="P1691" s="96"/>
    </row>
    <row r="1692">
      <c r="C1692" s="97"/>
      <c r="P1692" s="96"/>
    </row>
    <row r="1693">
      <c r="C1693" s="97"/>
      <c r="P1693" s="96"/>
    </row>
    <row r="1694">
      <c r="C1694" s="97"/>
      <c r="P1694" s="96"/>
    </row>
    <row r="1695">
      <c r="C1695" s="97"/>
      <c r="P1695" s="96"/>
    </row>
    <row r="1696">
      <c r="C1696" s="97"/>
      <c r="P1696" s="96"/>
    </row>
    <row r="1697">
      <c r="C1697" s="97"/>
      <c r="P1697" s="96"/>
    </row>
    <row r="1698">
      <c r="C1698" s="97"/>
      <c r="P1698" s="96"/>
    </row>
    <row r="1699">
      <c r="C1699" s="97"/>
      <c r="P1699" s="96"/>
    </row>
    <row r="1700">
      <c r="C1700" s="97"/>
      <c r="P1700" s="96"/>
    </row>
    <row r="1701">
      <c r="C1701" s="97"/>
      <c r="P1701" s="96"/>
    </row>
    <row r="1702">
      <c r="C1702" s="97"/>
      <c r="P1702" s="96"/>
    </row>
    <row r="1703">
      <c r="C1703" s="97"/>
      <c r="P1703" s="96"/>
    </row>
    <row r="1704">
      <c r="C1704" s="97"/>
      <c r="P1704" s="96"/>
    </row>
    <row r="1705">
      <c r="C1705" s="97"/>
      <c r="P1705" s="96"/>
    </row>
    <row r="1706">
      <c r="C1706" s="97"/>
      <c r="P1706" s="96"/>
    </row>
    <row r="1707">
      <c r="C1707" s="97"/>
      <c r="P1707" s="96"/>
    </row>
    <row r="1708">
      <c r="C1708" s="97"/>
      <c r="P1708" s="96"/>
    </row>
    <row r="1709">
      <c r="C1709" s="97"/>
      <c r="P1709" s="96"/>
    </row>
    <row r="1710">
      <c r="C1710" s="97"/>
      <c r="P1710" s="96"/>
    </row>
    <row r="1711">
      <c r="C1711" s="97"/>
      <c r="P1711" s="96"/>
    </row>
    <row r="1712">
      <c r="C1712" s="97"/>
      <c r="P1712" s="96"/>
    </row>
    <row r="1713">
      <c r="C1713" s="97"/>
      <c r="P1713" s="96"/>
    </row>
    <row r="1714">
      <c r="C1714" s="97"/>
      <c r="P1714" s="96"/>
    </row>
    <row r="1715">
      <c r="C1715" s="97"/>
      <c r="P1715" s="96"/>
    </row>
    <row r="1716">
      <c r="C1716" s="97"/>
      <c r="P1716" s="96"/>
    </row>
    <row r="1717">
      <c r="C1717" s="97"/>
      <c r="P1717" s="96"/>
    </row>
    <row r="1718">
      <c r="C1718" s="97"/>
      <c r="P1718" s="96"/>
    </row>
    <row r="1719">
      <c r="C1719" s="97"/>
      <c r="P1719" s="96"/>
    </row>
    <row r="1720">
      <c r="C1720" s="97"/>
      <c r="P1720" s="96"/>
    </row>
    <row r="1721">
      <c r="C1721" s="97"/>
      <c r="P1721" s="96"/>
    </row>
    <row r="1722">
      <c r="C1722" s="97"/>
      <c r="P1722" s="96"/>
    </row>
    <row r="1723">
      <c r="C1723" s="97"/>
      <c r="P1723" s="96"/>
    </row>
    <row r="1724">
      <c r="C1724" s="97"/>
      <c r="P1724" s="96"/>
    </row>
    <row r="1725">
      <c r="C1725" s="97"/>
      <c r="P1725" s="96"/>
    </row>
    <row r="1726">
      <c r="C1726" s="97"/>
      <c r="P1726" s="96"/>
    </row>
    <row r="1727">
      <c r="C1727" s="97"/>
      <c r="P1727" s="96"/>
    </row>
    <row r="1728">
      <c r="C1728" s="97"/>
      <c r="P1728" s="96"/>
    </row>
    <row r="1729">
      <c r="C1729" s="97"/>
      <c r="P1729" s="96"/>
    </row>
    <row r="1730">
      <c r="C1730" s="97"/>
      <c r="P1730" s="96"/>
    </row>
    <row r="1731">
      <c r="C1731" s="97"/>
      <c r="P1731" s="96"/>
    </row>
    <row r="1732">
      <c r="C1732" s="97"/>
      <c r="P1732" s="96"/>
    </row>
    <row r="1733">
      <c r="C1733" s="97"/>
      <c r="P1733" s="96"/>
    </row>
    <row r="1734">
      <c r="C1734" s="97"/>
      <c r="P1734" s="96"/>
    </row>
    <row r="1735">
      <c r="C1735" s="97"/>
      <c r="P1735" s="96"/>
    </row>
    <row r="1736">
      <c r="C1736" s="97"/>
      <c r="P1736" s="96"/>
    </row>
    <row r="1737">
      <c r="C1737" s="97"/>
      <c r="P1737" s="96"/>
    </row>
    <row r="1738">
      <c r="C1738" s="97"/>
      <c r="P1738" s="96"/>
    </row>
    <row r="1739">
      <c r="C1739" s="97"/>
      <c r="P1739" s="96"/>
    </row>
    <row r="1740">
      <c r="C1740" s="97"/>
      <c r="P1740" s="96"/>
    </row>
    <row r="1741">
      <c r="C1741" s="97"/>
      <c r="P1741" s="96"/>
    </row>
    <row r="1742">
      <c r="C1742" s="97"/>
      <c r="P1742" s="96"/>
    </row>
    <row r="1743">
      <c r="C1743" s="97"/>
      <c r="P1743" s="96"/>
    </row>
    <row r="1744">
      <c r="C1744" s="97"/>
      <c r="P1744" s="96"/>
    </row>
    <row r="1745">
      <c r="C1745" s="97"/>
      <c r="P1745" s="96"/>
    </row>
    <row r="1746">
      <c r="C1746" s="97"/>
      <c r="P1746" s="96"/>
    </row>
    <row r="1747">
      <c r="C1747" s="97"/>
      <c r="P1747" s="96"/>
    </row>
    <row r="1748">
      <c r="C1748" s="97"/>
      <c r="P1748" s="96"/>
    </row>
    <row r="1749">
      <c r="C1749" s="97"/>
      <c r="P1749" s="96"/>
    </row>
    <row r="1750">
      <c r="C1750" s="97"/>
      <c r="P1750" s="96"/>
    </row>
    <row r="1751">
      <c r="C1751" s="97"/>
      <c r="P1751" s="96"/>
    </row>
    <row r="1752">
      <c r="C1752" s="97"/>
      <c r="P1752" s="96"/>
    </row>
    <row r="1753">
      <c r="C1753" s="97"/>
      <c r="P1753" s="96"/>
    </row>
    <row r="1754">
      <c r="C1754" s="97"/>
      <c r="P1754" s="96"/>
    </row>
    <row r="1755">
      <c r="C1755" s="97"/>
      <c r="P1755" s="96"/>
    </row>
    <row r="1756">
      <c r="C1756" s="97"/>
      <c r="P1756" s="96"/>
    </row>
    <row r="1757">
      <c r="C1757" s="97"/>
      <c r="P1757" s="96"/>
    </row>
    <row r="1758">
      <c r="C1758" s="97"/>
      <c r="P1758" s="96"/>
    </row>
    <row r="1759">
      <c r="C1759" s="97"/>
      <c r="P1759" s="96"/>
    </row>
    <row r="1760">
      <c r="C1760" s="97"/>
      <c r="P1760" s="96"/>
    </row>
    <row r="1761">
      <c r="C1761" s="97"/>
      <c r="P1761" s="96"/>
    </row>
    <row r="1762">
      <c r="C1762" s="97"/>
      <c r="P1762" s="96"/>
    </row>
    <row r="1763">
      <c r="C1763" s="97"/>
      <c r="P1763" s="96"/>
    </row>
    <row r="1764">
      <c r="C1764" s="97"/>
      <c r="P1764" s="96"/>
    </row>
    <row r="1765">
      <c r="C1765" s="97"/>
      <c r="P1765" s="96"/>
    </row>
    <row r="1766">
      <c r="C1766" s="97"/>
      <c r="P1766" s="96"/>
    </row>
    <row r="1767">
      <c r="C1767" s="97"/>
      <c r="P1767" s="96"/>
    </row>
    <row r="1768">
      <c r="C1768" s="97"/>
      <c r="P1768" s="96"/>
    </row>
    <row r="1769">
      <c r="C1769" s="97"/>
      <c r="P1769" s="96"/>
    </row>
    <row r="1770">
      <c r="C1770" s="97"/>
      <c r="P1770" s="96"/>
    </row>
    <row r="1771">
      <c r="C1771" s="97"/>
      <c r="P1771" s="96"/>
    </row>
    <row r="1772">
      <c r="C1772" s="97"/>
      <c r="P1772" s="96"/>
    </row>
    <row r="1773">
      <c r="C1773" s="97"/>
      <c r="P1773" s="96"/>
    </row>
    <row r="1774">
      <c r="C1774" s="97"/>
      <c r="P1774" s="96"/>
    </row>
    <row r="1775">
      <c r="C1775" s="97"/>
      <c r="P1775" s="9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57"/>
      <c r="B1" s="98" t="s">
        <v>187</v>
      </c>
      <c r="C1" s="99"/>
      <c r="D1" s="99"/>
      <c r="E1" s="99"/>
      <c r="F1" s="99"/>
      <c r="G1" s="100" t="s">
        <v>188</v>
      </c>
      <c r="H1" s="99"/>
      <c r="I1" s="99"/>
      <c r="J1" s="99"/>
      <c r="K1" s="99"/>
      <c r="L1" s="99"/>
      <c r="M1" s="101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48" t="s">
        <v>3</v>
      </c>
      <c r="B2" s="102" t="s">
        <v>189</v>
      </c>
      <c r="C2" s="103" t="s">
        <v>190</v>
      </c>
      <c r="D2" s="103" t="s">
        <v>191</v>
      </c>
      <c r="E2" s="103" t="s">
        <v>192</v>
      </c>
      <c r="F2" s="104" t="s">
        <v>193</v>
      </c>
      <c r="G2" s="102">
        <v>1.0</v>
      </c>
      <c r="H2" s="103" t="s">
        <v>77</v>
      </c>
      <c r="I2" s="103">
        <v>2.0</v>
      </c>
      <c r="J2" s="103" t="s">
        <v>194</v>
      </c>
      <c r="K2" s="105" t="s">
        <v>195</v>
      </c>
      <c r="L2" s="103" t="s">
        <v>196</v>
      </c>
      <c r="M2" s="106" t="s">
        <v>197</v>
      </c>
      <c r="N2" s="53" t="s">
        <v>198</v>
      </c>
      <c r="O2" s="53" t="s">
        <v>199</v>
      </c>
      <c r="P2" s="53" t="s">
        <v>200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53"/>
      <c r="B3" s="107"/>
      <c r="C3" s="108"/>
      <c r="D3" s="108"/>
      <c r="E3" s="108"/>
      <c r="F3" s="109" t="str">
        <f t="shared" ref="F3:F22" si="1">IFERROR((E3-C3)/abs(C3),"")</f>
        <v/>
      </c>
      <c r="G3" s="8"/>
      <c r="H3" s="8"/>
      <c r="I3" s="8"/>
      <c r="J3" s="53"/>
      <c r="K3" s="110" t="str">
        <f t="shared" ref="K3:K22" si="2">IF(ISNUMBER(J3),J3/$E$29,"")</f>
        <v/>
      </c>
      <c r="L3" s="53"/>
      <c r="M3" s="110" t="str">
        <f t="shared" ref="M3:M22" si="3">IF(ISNUMBER(L3),L3/H3,"")</f>
        <v/>
      </c>
      <c r="N3" s="57"/>
      <c r="O3" s="53"/>
      <c r="P3" s="111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53"/>
      <c r="B4" s="107"/>
      <c r="C4" s="108"/>
      <c r="D4" s="108"/>
      <c r="E4" s="108"/>
      <c r="F4" s="109" t="str">
        <f t="shared" si="1"/>
        <v/>
      </c>
      <c r="G4" s="8"/>
      <c r="H4" s="8"/>
      <c r="I4" s="8"/>
      <c r="J4" s="53"/>
      <c r="K4" s="110" t="str">
        <f t="shared" si="2"/>
        <v/>
      </c>
      <c r="L4" s="53"/>
      <c r="M4" s="110" t="str">
        <f t="shared" si="3"/>
        <v/>
      </c>
      <c r="N4" s="57"/>
      <c r="O4" s="53"/>
      <c r="P4" s="111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12"/>
      <c r="C5" s="113"/>
      <c r="D5" s="113"/>
      <c r="E5" s="113"/>
      <c r="F5" s="109" t="str">
        <f t="shared" si="1"/>
        <v/>
      </c>
      <c r="G5" s="8"/>
      <c r="H5" s="8"/>
      <c r="I5" s="8"/>
      <c r="J5" s="17"/>
      <c r="K5" s="110" t="str">
        <f t="shared" si="2"/>
        <v/>
      </c>
      <c r="L5" s="17"/>
      <c r="M5" s="110" t="str">
        <f t="shared" si="3"/>
        <v/>
      </c>
      <c r="N5" s="53"/>
      <c r="O5" s="68"/>
      <c r="P5" s="114"/>
    </row>
    <row r="6">
      <c r="A6" s="53"/>
      <c r="B6" s="107"/>
      <c r="C6" s="108"/>
      <c r="D6" s="108"/>
      <c r="E6" s="108"/>
      <c r="F6" s="109" t="str">
        <f t="shared" si="1"/>
        <v/>
      </c>
      <c r="G6" s="8"/>
      <c r="H6" s="8"/>
      <c r="I6" s="8"/>
      <c r="J6" s="53"/>
      <c r="K6" s="110" t="str">
        <f t="shared" si="2"/>
        <v/>
      </c>
      <c r="L6" s="53"/>
      <c r="M6" s="110" t="str">
        <f t="shared" si="3"/>
        <v/>
      </c>
      <c r="N6" s="57"/>
      <c r="O6" s="53"/>
      <c r="P6" s="111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12"/>
      <c r="C7" s="113"/>
      <c r="D7" s="113"/>
      <c r="E7" s="113"/>
      <c r="F7" s="109" t="str">
        <f t="shared" si="1"/>
        <v/>
      </c>
      <c r="G7" s="69"/>
      <c r="H7" s="68"/>
      <c r="I7" s="68"/>
      <c r="J7" s="68"/>
      <c r="K7" s="110" t="str">
        <f t="shared" si="2"/>
        <v/>
      </c>
      <c r="L7" s="68"/>
      <c r="M7" s="110" t="str">
        <f t="shared" si="3"/>
        <v/>
      </c>
      <c r="N7" s="17"/>
      <c r="O7" s="68"/>
      <c r="P7" s="115"/>
    </row>
    <row r="8">
      <c r="A8" s="17"/>
      <c r="B8" s="112"/>
      <c r="C8" s="113"/>
      <c r="D8" s="113"/>
      <c r="E8" s="113"/>
      <c r="F8" s="109" t="str">
        <f t="shared" si="1"/>
        <v/>
      </c>
      <c r="G8" s="69"/>
      <c r="H8" s="68"/>
      <c r="I8" s="68"/>
      <c r="J8" s="68"/>
      <c r="K8" s="110" t="str">
        <f t="shared" si="2"/>
        <v/>
      </c>
      <c r="L8" s="68"/>
      <c r="M8" s="110" t="str">
        <f t="shared" si="3"/>
        <v/>
      </c>
      <c r="N8" s="17"/>
      <c r="O8" s="68"/>
      <c r="P8" s="115"/>
    </row>
    <row r="9">
      <c r="A9" s="53"/>
      <c r="B9" s="107"/>
      <c r="C9" s="108"/>
      <c r="D9" s="108"/>
      <c r="E9" s="108"/>
      <c r="F9" s="109" t="str">
        <f t="shared" si="1"/>
        <v/>
      </c>
      <c r="G9" s="8"/>
      <c r="H9" s="8"/>
      <c r="I9" s="8"/>
      <c r="J9" s="53"/>
      <c r="K9" s="110" t="str">
        <f t="shared" si="2"/>
        <v/>
      </c>
      <c r="L9" s="53"/>
      <c r="M9" s="110" t="str">
        <f t="shared" si="3"/>
        <v/>
      </c>
      <c r="N9" s="57"/>
      <c r="O9" s="53"/>
      <c r="P9" s="111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12"/>
      <c r="C10" s="113"/>
      <c r="D10" s="113"/>
      <c r="E10" s="113"/>
      <c r="F10" s="109" t="str">
        <f t="shared" si="1"/>
        <v/>
      </c>
      <c r="G10" s="8"/>
      <c r="H10" s="57"/>
      <c r="I10" s="8"/>
      <c r="J10" s="17"/>
      <c r="K10" s="110" t="str">
        <f t="shared" si="2"/>
        <v/>
      </c>
      <c r="L10" s="17"/>
      <c r="M10" s="110" t="str">
        <f t="shared" si="3"/>
        <v/>
      </c>
      <c r="N10" s="53"/>
      <c r="O10" s="68"/>
      <c r="P10" s="115"/>
    </row>
    <row r="11">
      <c r="A11" s="53"/>
      <c r="B11" s="107"/>
      <c r="C11" s="108"/>
      <c r="D11" s="108"/>
      <c r="E11" s="108"/>
      <c r="F11" s="109" t="str">
        <f t="shared" si="1"/>
        <v/>
      </c>
      <c r="G11" s="116"/>
      <c r="H11" s="57"/>
      <c r="I11" s="57"/>
      <c r="J11" s="53"/>
      <c r="K11" s="110" t="str">
        <f t="shared" si="2"/>
        <v/>
      </c>
      <c r="L11" s="53"/>
      <c r="M11" s="110" t="str">
        <f t="shared" si="3"/>
        <v/>
      </c>
      <c r="N11" s="53"/>
      <c r="O11" s="57"/>
      <c r="P11" s="117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12"/>
      <c r="C12" s="113"/>
      <c r="D12" s="113"/>
      <c r="E12" s="113"/>
      <c r="F12" s="109" t="str">
        <f t="shared" si="1"/>
        <v/>
      </c>
      <c r="G12" s="8"/>
      <c r="H12" s="8"/>
      <c r="I12" s="8"/>
      <c r="J12" s="17"/>
      <c r="K12" s="110" t="str">
        <f t="shared" si="2"/>
        <v/>
      </c>
      <c r="L12" s="17"/>
      <c r="M12" s="110" t="str">
        <f t="shared" si="3"/>
        <v/>
      </c>
      <c r="N12" s="53"/>
      <c r="O12" s="68"/>
      <c r="P12" s="115"/>
    </row>
    <row r="13">
      <c r="A13" s="53"/>
      <c r="B13" s="107"/>
      <c r="C13" s="108"/>
      <c r="D13" s="108"/>
      <c r="E13" s="108"/>
      <c r="F13" s="109" t="str">
        <f t="shared" si="1"/>
        <v/>
      </c>
      <c r="G13" s="116"/>
      <c r="H13" s="57"/>
      <c r="I13" s="57"/>
      <c r="J13" s="57"/>
      <c r="K13" s="110" t="str">
        <f t="shared" si="2"/>
        <v/>
      </c>
      <c r="L13" s="57"/>
      <c r="M13" s="110" t="str">
        <f t="shared" si="3"/>
        <v/>
      </c>
      <c r="N13" s="53"/>
      <c r="O13" s="57"/>
      <c r="P13" s="117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12"/>
      <c r="C14" s="113"/>
      <c r="D14" s="113"/>
      <c r="E14" s="113"/>
      <c r="F14" s="109" t="str">
        <f t="shared" si="1"/>
        <v/>
      </c>
      <c r="G14" s="69"/>
      <c r="H14" s="68"/>
      <c r="I14" s="68"/>
      <c r="J14" s="68"/>
      <c r="K14" s="110" t="str">
        <f t="shared" si="2"/>
        <v/>
      </c>
      <c r="L14" s="68"/>
      <c r="M14" s="110" t="str">
        <f t="shared" si="3"/>
        <v/>
      </c>
      <c r="N14" s="17"/>
      <c r="O14" s="68"/>
      <c r="P14" s="115"/>
    </row>
    <row r="15">
      <c r="A15" s="17"/>
      <c r="B15" s="112"/>
      <c r="C15" s="113"/>
      <c r="D15" s="113"/>
      <c r="E15" s="113"/>
      <c r="F15" s="109" t="str">
        <f t="shared" si="1"/>
        <v/>
      </c>
      <c r="G15" s="69"/>
      <c r="H15" s="68"/>
      <c r="I15" s="68"/>
      <c r="J15" s="68"/>
      <c r="K15" s="110" t="str">
        <f t="shared" si="2"/>
        <v/>
      </c>
      <c r="L15" s="68"/>
      <c r="M15" s="110" t="str">
        <f t="shared" si="3"/>
        <v/>
      </c>
      <c r="N15" s="53"/>
      <c r="O15" s="68"/>
      <c r="P15" s="115"/>
    </row>
    <row r="16">
      <c r="A16" s="17"/>
      <c r="B16" s="112"/>
      <c r="C16" s="113"/>
      <c r="D16" s="113"/>
      <c r="E16" s="113"/>
      <c r="F16" s="109" t="str">
        <f t="shared" si="1"/>
        <v/>
      </c>
      <c r="G16" s="69"/>
      <c r="H16" s="68"/>
      <c r="I16" s="68"/>
      <c r="J16" s="68"/>
      <c r="K16" s="110" t="str">
        <f t="shared" si="2"/>
        <v/>
      </c>
      <c r="L16" s="68"/>
      <c r="M16" s="110" t="str">
        <f t="shared" si="3"/>
        <v/>
      </c>
      <c r="N16" s="53"/>
      <c r="O16" s="68"/>
      <c r="P16" s="115"/>
    </row>
    <row r="17">
      <c r="A17" s="17"/>
      <c r="B17" s="112"/>
      <c r="C17" s="113"/>
      <c r="D17" s="113"/>
      <c r="E17" s="113"/>
      <c r="F17" s="109" t="str">
        <f t="shared" si="1"/>
        <v/>
      </c>
      <c r="G17" s="69"/>
      <c r="H17" s="68"/>
      <c r="I17" s="68"/>
      <c r="J17" s="68"/>
      <c r="K17" s="110" t="str">
        <f t="shared" si="2"/>
        <v/>
      </c>
      <c r="L17" s="68"/>
      <c r="M17" s="110" t="str">
        <f t="shared" si="3"/>
        <v/>
      </c>
      <c r="N17" s="53"/>
      <c r="O17" s="68"/>
      <c r="P17" s="115"/>
    </row>
    <row r="18">
      <c r="A18" s="17"/>
      <c r="B18" s="112"/>
      <c r="C18" s="113"/>
      <c r="D18" s="113"/>
      <c r="E18" s="113"/>
      <c r="F18" s="109" t="str">
        <f t="shared" si="1"/>
        <v/>
      </c>
      <c r="G18" s="69"/>
      <c r="H18" s="68"/>
      <c r="I18" s="68"/>
      <c r="J18" s="68"/>
      <c r="K18" s="110" t="str">
        <f t="shared" si="2"/>
        <v/>
      </c>
      <c r="L18" s="68"/>
      <c r="M18" s="110" t="str">
        <f t="shared" si="3"/>
        <v/>
      </c>
      <c r="N18" s="17"/>
      <c r="O18" s="68"/>
      <c r="P18" s="115"/>
    </row>
    <row r="19">
      <c r="A19" s="53"/>
      <c r="B19" s="107"/>
      <c r="C19" s="108"/>
      <c r="D19" s="108"/>
      <c r="E19" s="108"/>
      <c r="F19" s="109" t="str">
        <f t="shared" si="1"/>
        <v/>
      </c>
      <c r="G19" s="116"/>
      <c r="H19" s="57"/>
      <c r="I19" s="57"/>
      <c r="J19" s="53"/>
      <c r="K19" s="110" t="str">
        <f t="shared" si="2"/>
        <v/>
      </c>
      <c r="L19" s="53"/>
      <c r="M19" s="110" t="str">
        <f t="shared" si="3"/>
        <v/>
      </c>
      <c r="N19" s="17"/>
      <c r="O19" s="57"/>
      <c r="P19" s="117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09" t="str">
        <f t="shared" si="1"/>
        <v/>
      </c>
      <c r="G20" s="14"/>
      <c r="H20" s="14"/>
      <c r="I20" s="14"/>
      <c r="J20" s="14"/>
      <c r="K20" s="110" t="str">
        <f t="shared" si="2"/>
        <v/>
      </c>
      <c r="L20" s="14"/>
      <c r="M20" s="110" t="str">
        <f t="shared" si="3"/>
        <v/>
      </c>
      <c r="N20" s="17"/>
      <c r="O20" s="14"/>
      <c r="P20" s="118"/>
    </row>
    <row r="21">
      <c r="A21" s="19"/>
      <c r="B21" s="24"/>
      <c r="C21" s="24"/>
      <c r="D21" s="24"/>
      <c r="E21" s="24"/>
      <c r="F21" s="109" t="str">
        <f t="shared" si="1"/>
        <v/>
      </c>
      <c r="G21" s="14"/>
      <c r="H21" s="14"/>
      <c r="I21" s="14"/>
      <c r="J21" s="14"/>
      <c r="K21" s="110" t="str">
        <f t="shared" si="2"/>
        <v/>
      </c>
      <c r="L21" s="14"/>
      <c r="M21" s="110" t="str">
        <f t="shared" si="3"/>
        <v/>
      </c>
      <c r="N21" s="17"/>
      <c r="O21" s="14"/>
      <c r="P21" s="118"/>
    </row>
    <row r="22">
      <c r="A22" s="4"/>
      <c r="B22" s="5"/>
      <c r="C22" s="5"/>
      <c r="D22" s="5"/>
      <c r="E22" s="5"/>
      <c r="F22" s="109" t="str">
        <f t="shared" si="1"/>
        <v/>
      </c>
      <c r="G22" s="8"/>
      <c r="H22" s="8"/>
      <c r="I22" s="8"/>
      <c r="J22" s="8"/>
      <c r="K22" s="110" t="str">
        <f t="shared" si="2"/>
        <v/>
      </c>
      <c r="L22" s="8"/>
      <c r="M22" s="110" t="str">
        <f t="shared" si="3"/>
        <v/>
      </c>
      <c r="N22" s="53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47" t="s">
        <v>117</v>
      </c>
      <c r="B24" s="119" t="str">
        <f t="shared" ref="B24:F24" si="4">IFERROR(AVERAGE(B3:B22),"")</f>
        <v/>
      </c>
      <c r="C24" s="119" t="str">
        <f t="shared" si="4"/>
        <v/>
      </c>
      <c r="D24" s="119" t="str">
        <f t="shared" si="4"/>
        <v/>
      </c>
      <c r="E24" s="119" t="str">
        <f t="shared" si="4"/>
        <v/>
      </c>
      <c r="F24" s="119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20" t="s">
        <v>201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21">
        <v>1.0</v>
      </c>
      <c r="H28" s="121" t="s">
        <v>77</v>
      </c>
      <c r="I28" s="121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202</v>
      </c>
      <c r="E29" s="4">
        <f>J29</f>
        <v>146</v>
      </c>
      <c r="F29" s="8"/>
      <c r="G29" s="122">
        <v>59.0</v>
      </c>
      <c r="H29" s="122">
        <v>33.0</v>
      </c>
      <c r="I29" s="122">
        <v>54.0</v>
      </c>
      <c r="J29" s="8">
        <f>SUM(G29:I29)</f>
        <v>146</v>
      </c>
      <c r="K29" s="8"/>
      <c r="L29" s="47" t="s">
        <v>203</v>
      </c>
      <c r="M29" s="47" t="s">
        <v>204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23">
        <f t="shared" ref="G30:I30" si="5">G29/$J$29</f>
        <v>0.404109589</v>
      </c>
      <c r="H30" s="123">
        <f t="shared" si="5"/>
        <v>0.2260273973</v>
      </c>
      <c r="I30" s="123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71" t="s">
        <v>205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24">
        <v>1.0</v>
      </c>
      <c r="H34" s="124" t="s">
        <v>77</v>
      </c>
      <c r="I34" s="124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25">
        <v>0.485</v>
      </c>
      <c r="H35" s="125">
        <v>0.285</v>
      </c>
      <c r="I35" s="125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26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26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206</v>
      </c>
      <c r="G38" s="123">
        <f t="shared" ref="G38:I38" si="8">G30-G35</f>
        <v>-0.08089041096</v>
      </c>
      <c r="H38" s="123">
        <f t="shared" si="8"/>
        <v>-0.05897260274</v>
      </c>
      <c r="I38" s="123">
        <f t="shared" si="8"/>
        <v>0.1398630137</v>
      </c>
      <c r="J38" s="8"/>
      <c r="K38" s="8"/>
      <c r="L38" s="4">
        <v>1.0</v>
      </c>
      <c r="M38" s="4">
        <v>0.0</v>
      </c>
      <c r="N38" s="126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26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26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26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26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26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26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26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26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26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26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26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26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26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26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26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26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26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26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26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26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26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26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26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26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26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26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26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26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26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26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26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26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26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26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