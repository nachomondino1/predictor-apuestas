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F4">
      <text>
        <t xml:space="preserve">-0.25
</t>
      </text>
    </comment>
    <comment authorId="0" ref="F5">
      <text>
        <t xml:space="preserve">-0.75
</t>
      </text>
    </comment>
    <comment authorId="0" ref="D7">
      <text>
        <t xml:space="preserve">107	SVC</t>
      </text>
    </comment>
    <comment authorId="0" ref="F8">
      <text>
        <t xml:space="preserve">-0.5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<sst xmlns="http://schemas.openxmlformats.org/spreadsheetml/2006/main" count="1258" uniqueCount="474">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</sst>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45767.0</v>
      </c>
      <c r="D4" s="12">
        <v>486.0</v>
      </c>
      <c r="E4" s="12" t="s">
        <v>17</v>
      </c>
      <c r="F4" s="20">
        <v>-1.0</v>
      </c>
      <c r="G4" s="20">
        <v>10.0</v>
      </c>
      <c r="H4" s="20">
        <v>10.0</v>
      </c>
      <c r="I4" s="20">
        <v>15.0</v>
      </c>
      <c r="J4" s="21">
        <f t="shared" ref="J4:J8" si="1">AVERAGE(G4:I4)</f>
        <v>11.66666667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45768.0</v>
      </c>
      <c r="D5" s="25">
        <v>287.0</v>
      </c>
      <c r="E5" s="12" t="s">
        <v>17</v>
      </c>
      <c r="F5" s="20">
        <v>-1.0</v>
      </c>
      <c r="G5" s="20">
        <v>10.0</v>
      </c>
      <c r="H5" s="20">
        <v>10.0</v>
      </c>
      <c r="I5" s="20">
        <v>40.0</v>
      </c>
      <c r="J5" s="26">
        <f t="shared" si="1"/>
        <v>20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19</v>
      </c>
      <c r="C6" s="10">
        <v>45768.0</v>
      </c>
      <c r="D6" s="25"/>
      <c r="E6" s="12"/>
      <c r="G6" s="20">
        <v>0.0</v>
      </c>
      <c r="I6" s="20">
        <v>0.0</v>
      </c>
      <c r="J6" s="21">
        <f t="shared" si="1"/>
        <v>0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20</v>
      </c>
      <c r="C7" s="10">
        <v>45767.0</v>
      </c>
      <c r="D7" s="25">
        <v>107.0</v>
      </c>
      <c r="E7" s="12" t="s">
        <v>17</v>
      </c>
      <c r="G7" s="20">
        <v>10.0</v>
      </c>
      <c r="H7" s="20">
        <v>40.0</v>
      </c>
      <c r="I7" s="20">
        <v>10.0</v>
      </c>
      <c r="J7" s="21">
        <f t="shared" si="1"/>
        <v>20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21</v>
      </c>
      <c r="C8" s="10">
        <v>45768.0</v>
      </c>
      <c r="D8" s="25">
        <v>249.0</v>
      </c>
      <c r="E8" s="12" t="s">
        <v>17</v>
      </c>
      <c r="F8" s="20">
        <v>-1.0</v>
      </c>
      <c r="G8" s="20">
        <v>0.0</v>
      </c>
      <c r="H8" s="20">
        <v>50.0</v>
      </c>
      <c r="I8" s="20">
        <v>20.0</v>
      </c>
      <c r="J8" s="21">
        <f t="shared" si="1"/>
        <v>23.33333333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8"/>
    </row>
    <row r="19">
      <c r="E19" s="20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18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19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22</v>
      </c>
      <c r="L11" s="20" t="s">
        <v>23</v>
      </c>
      <c r="M11" s="37" t="s">
        <v>24</v>
      </c>
      <c r="N11" s="45" t="s">
        <v>25</v>
      </c>
      <c r="O11" s="42"/>
      <c r="P11" s="42"/>
    </row>
    <row r="12">
      <c r="E12" s="44" t="s">
        <v>26</v>
      </c>
      <c r="L12" s="20" t="s">
        <v>27</v>
      </c>
      <c r="M12" s="37" t="s">
        <v>28</v>
      </c>
      <c r="N12" s="45" t="s">
        <v>29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18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19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20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21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30</v>
      </c>
    </row>
    <row r="25">
      <c r="C25" s="40" t="s">
        <v>31</v>
      </c>
    </row>
    <row r="26">
      <c r="C26" s="49" t="s">
        <v>32</v>
      </c>
    </row>
    <row r="27">
      <c r="C27" s="50" t="s">
        <v>33</v>
      </c>
    </row>
    <row r="28">
      <c r="C28" s="48" t="s">
        <v>34</v>
      </c>
    </row>
    <row r="30">
      <c r="C30" s="51" t="s">
        <v>35</v>
      </c>
    </row>
    <row r="31">
      <c r="C31" s="30" t="s">
        <v>36</v>
      </c>
      <c r="L31" s="30" t="s">
        <v>29</v>
      </c>
      <c r="Q31" s="30" t="s">
        <v>37</v>
      </c>
      <c r="Z31" s="30" t="s">
        <v>28</v>
      </c>
      <c r="AH31" s="30" t="s">
        <v>38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1" t="s">
        <v>42</v>
      </c>
      <c r="L65" s="4" t="s">
        <v>43</v>
      </c>
      <c r="M65" s="62" t="s">
        <v>44</v>
      </c>
      <c r="N65" s="63" t="s">
        <v>45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1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2" t="s">
        <v>44</v>
      </c>
      <c r="R77" s="63" t="s">
        <v>45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1" t="s">
        <v>53</v>
      </c>
      <c r="L96" s="61" t="s">
        <v>54</v>
      </c>
      <c r="M96" s="61" t="s">
        <v>55</v>
      </c>
      <c r="N96" s="4" t="s">
        <v>41</v>
      </c>
      <c r="O96" s="61" t="s">
        <v>42</v>
      </c>
      <c r="P96" s="62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3" t="s">
        <v>45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56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57</v>
      </c>
      <c r="C2" s="76" t="s">
        <v>58</v>
      </c>
      <c r="D2" s="77" t="s">
        <v>59</v>
      </c>
      <c r="E2" s="77" t="s">
        <v>60</v>
      </c>
      <c r="F2" s="76" t="s">
        <v>61</v>
      </c>
      <c r="G2" s="78" t="s">
        <v>62</v>
      </c>
      <c r="H2" s="78" t="s">
        <v>63</v>
      </c>
      <c r="I2" s="78" t="s">
        <v>64</v>
      </c>
      <c r="J2" s="76"/>
      <c r="K2" s="76" t="s">
        <v>65</v>
      </c>
      <c r="L2" s="76" t="s">
        <v>66</v>
      </c>
      <c r="M2" s="79" t="s">
        <v>67</v>
      </c>
      <c r="N2" s="78" t="s">
        <v>68</v>
      </c>
      <c r="O2" s="78" t="s">
        <v>69</v>
      </c>
      <c r="P2" s="78" t="s">
        <v>70</v>
      </c>
      <c r="U2" s="32"/>
      <c r="V2" s="30"/>
    </row>
    <row r="3">
      <c r="A3" s="80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37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28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71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18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19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20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21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72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18</v>
      </c>
      <c r="F20" s="12">
        <v>654.0</v>
      </c>
      <c r="O20" s="36"/>
      <c r="Q20" s="85"/>
      <c r="S20" s="85"/>
      <c r="T20" s="85"/>
    </row>
    <row r="21">
      <c r="E21" s="16" t="s">
        <v>19</v>
      </c>
      <c r="F21" s="12">
        <v>1051.0</v>
      </c>
      <c r="O21" s="36"/>
      <c r="P21" s="85"/>
      <c r="T21" s="85"/>
    </row>
    <row r="22">
      <c r="E22" s="16" t="s">
        <v>20</v>
      </c>
      <c r="F22" s="12">
        <v>622.0</v>
      </c>
      <c r="M22" s="43"/>
      <c r="O22" s="42"/>
      <c r="P22" s="85"/>
      <c r="T22" s="85"/>
    </row>
    <row r="23">
      <c r="E23" s="16" t="s">
        <v>21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62</v>
      </c>
      <c r="I32" s="4" t="s">
        <v>47</v>
      </c>
      <c r="J32" s="4" t="s">
        <v>48</v>
      </c>
      <c r="K32" s="4" t="s">
        <v>49</v>
      </c>
      <c r="L32" s="87" t="s">
        <v>50</v>
      </c>
      <c r="M32" s="87" t="s">
        <v>45</v>
      </c>
      <c r="N32" s="61" t="s">
        <v>64</v>
      </c>
      <c r="O32" s="88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18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19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20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21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73</v>
      </c>
      <c r="C9" s="20" t="s">
        <v>74</v>
      </c>
      <c r="D9" s="20" t="s">
        <v>75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76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77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78</v>
      </c>
    </row>
    <row r="17">
      <c r="G17" s="98"/>
      <c r="H17" s="30" t="s">
        <v>79</v>
      </c>
      <c r="I17" s="30" t="s">
        <v>80</v>
      </c>
    </row>
    <row r="18">
      <c r="A18" s="20">
        <v>332.0</v>
      </c>
      <c r="B18" s="20">
        <v>0.05</v>
      </c>
      <c r="C18" s="20">
        <v>0.85</v>
      </c>
      <c r="G18" s="99" t="s">
        <v>38</v>
      </c>
      <c r="H18" s="20">
        <v>332.0</v>
      </c>
      <c r="I18" s="100" t="s">
        <v>81</v>
      </c>
    </row>
    <row r="19">
      <c r="A19" s="20">
        <v>518.0</v>
      </c>
      <c r="B19" s="20">
        <v>0.01</v>
      </c>
      <c r="C19" s="20">
        <v>0.81</v>
      </c>
      <c r="G19" s="99" t="s">
        <v>37</v>
      </c>
      <c r="H19" s="20" t="s">
        <v>82</v>
      </c>
      <c r="I19" s="20" t="s">
        <v>83</v>
      </c>
    </row>
    <row r="20">
      <c r="A20" s="20">
        <v>1082.0</v>
      </c>
      <c r="B20" s="20">
        <v>0.04</v>
      </c>
      <c r="C20" s="20">
        <v>0.89</v>
      </c>
      <c r="G20" s="99" t="s">
        <v>28</v>
      </c>
      <c r="H20" s="20">
        <v>411.0</v>
      </c>
      <c r="I20" s="20" t="s">
        <v>84</v>
      </c>
    </row>
    <row r="21">
      <c r="G21" s="99" t="s">
        <v>29</v>
      </c>
      <c r="H21" s="20" t="s">
        <v>85</v>
      </c>
      <c r="I21" s="20" t="s">
        <v>86</v>
      </c>
    </row>
    <row r="22">
      <c r="G22" s="99" t="s">
        <v>25</v>
      </c>
      <c r="H22" s="20" t="s">
        <v>87</v>
      </c>
      <c r="I22" s="20" t="s">
        <v>88</v>
      </c>
    </row>
    <row r="24">
      <c r="B24" s="9"/>
      <c r="I24" s="20" t="s">
        <v>89</v>
      </c>
    </row>
    <row r="25">
      <c r="B25" s="2" t="s">
        <v>1</v>
      </c>
      <c r="I25" s="20" t="s">
        <v>90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18</v>
      </c>
      <c r="C27" s="20">
        <v>1288.0</v>
      </c>
      <c r="M27" s="42"/>
      <c r="N27" s="42"/>
    </row>
    <row r="28">
      <c r="B28" s="16" t="s">
        <v>19</v>
      </c>
      <c r="C28" s="20">
        <v>411.0</v>
      </c>
      <c r="M28" s="42"/>
      <c r="N28" s="42"/>
    </row>
    <row r="29">
      <c r="B29" s="16" t="s">
        <v>20</v>
      </c>
      <c r="C29" s="20">
        <v>1015.0</v>
      </c>
      <c r="M29" s="42"/>
      <c r="N29" s="42"/>
    </row>
    <row r="30">
      <c r="B30" s="16" t="s">
        <v>21</v>
      </c>
      <c r="C30" s="20">
        <v>530.0</v>
      </c>
      <c r="I30" s="30" t="s">
        <v>91</v>
      </c>
      <c r="M30" s="42"/>
      <c r="N30" s="42"/>
    </row>
    <row r="31">
      <c r="I31" s="30" t="s">
        <v>92</v>
      </c>
      <c r="M31" s="42"/>
      <c r="N31" s="42"/>
    </row>
    <row r="32">
      <c r="I32" s="20" t="s">
        <v>93</v>
      </c>
      <c r="M32" s="42"/>
      <c r="N32" s="42"/>
    </row>
    <row r="33">
      <c r="I33" s="20" t="s">
        <v>94</v>
      </c>
      <c r="M33" s="42"/>
      <c r="N33" s="42"/>
    </row>
    <row r="34">
      <c r="M34" s="42"/>
      <c r="N34" s="42"/>
    </row>
    <row r="35">
      <c r="I35" s="20" t="s">
        <v>95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96</v>
      </c>
      <c r="M39" s="42"/>
      <c r="N39" s="42"/>
    </row>
    <row r="40">
      <c r="I40" s="20" t="s">
        <v>97</v>
      </c>
      <c r="M40" s="42"/>
      <c r="N40" s="42"/>
    </row>
    <row r="41">
      <c r="I41" s="20" t="s">
        <v>98</v>
      </c>
      <c r="M41" s="42"/>
      <c r="N41" s="42"/>
    </row>
    <row r="42">
      <c r="I42" s="51" t="s">
        <v>99</v>
      </c>
      <c r="M42" s="42"/>
      <c r="N42" s="42"/>
    </row>
    <row r="43">
      <c r="M43" s="42"/>
      <c r="N43" s="42"/>
    </row>
    <row r="44">
      <c r="I44" s="30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101</v>
      </c>
    </row>
    <row r="3">
      <c r="C3" s="20" t="s">
        <v>102</v>
      </c>
      <c r="D3" s="20" t="s">
        <v>103</v>
      </c>
      <c r="H3" s="20" t="s">
        <v>104</v>
      </c>
      <c r="K3" s="42"/>
      <c r="L3" s="42"/>
    </row>
    <row r="4">
      <c r="B4" s="20" t="s">
        <v>38</v>
      </c>
      <c r="C4" s="30" t="s">
        <v>105</v>
      </c>
      <c r="D4" s="30" t="s">
        <v>105</v>
      </c>
      <c r="H4" s="20" t="s">
        <v>106</v>
      </c>
      <c r="I4" s="101"/>
      <c r="J4" s="101"/>
      <c r="K4" s="42"/>
      <c r="L4" s="42"/>
    </row>
    <row r="5">
      <c r="B5" s="30" t="s">
        <v>107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108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109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110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111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112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113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37</v>
      </c>
      <c r="C20" s="30" t="s">
        <v>102</v>
      </c>
      <c r="D20" s="30" t="s">
        <v>103</v>
      </c>
    </row>
    <row r="21">
      <c r="B21" s="30" t="s">
        <v>107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108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28</v>
      </c>
      <c r="C37" s="30" t="s">
        <v>102</v>
      </c>
      <c r="D37" s="30" t="s">
        <v>103</v>
      </c>
    </row>
    <row r="38">
      <c r="B38" s="30" t="s">
        <v>107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114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29</v>
      </c>
      <c r="C54" s="30" t="s">
        <v>102</v>
      </c>
      <c r="D54" s="30" t="s">
        <v>103</v>
      </c>
      <c r="K54" s="42"/>
      <c r="L54" s="42"/>
    </row>
    <row r="55">
      <c r="B55" s="30" t="s">
        <v>107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114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25</v>
      </c>
      <c r="C71" s="30" t="s">
        <v>102</v>
      </c>
      <c r="D71" s="30" t="s">
        <v>103</v>
      </c>
      <c r="K71" s="42"/>
      <c r="L71" s="42"/>
    </row>
    <row r="72">
      <c r="B72" s="30" t="s">
        <v>107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108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115</v>
      </c>
      <c r="C2" s="21">
        <v>0.1</v>
      </c>
      <c r="L2" s="103"/>
    </row>
    <row r="3">
      <c r="A3" s="21"/>
      <c r="B3" s="102" t="s">
        <v>116</v>
      </c>
      <c r="C3" s="17" t="str">
        <f>AVERAGE(#REF!)</f>
        <v>#REF!</v>
      </c>
      <c r="L3" s="103"/>
      <c r="P3" s="103"/>
    </row>
    <row r="4">
      <c r="A4" s="21"/>
      <c r="B4" s="103"/>
      <c r="L4" s="103"/>
      <c r="P4" s="103"/>
      <c r="AE4" s="20" t="s">
        <v>117</v>
      </c>
      <c r="AF4" s="104">
        <f>CORREL(AE6:AE10000,AF6:AF10000)</f>
        <v>0.4113182759</v>
      </c>
    </row>
    <row r="5">
      <c r="A5" s="21"/>
      <c r="B5" s="103" t="s">
        <v>118</v>
      </c>
      <c r="L5" s="103" t="s">
        <v>119</v>
      </c>
      <c r="P5" s="103" t="s">
        <v>120</v>
      </c>
      <c r="AE5" s="20" t="s">
        <v>121</v>
      </c>
      <c r="AF5" s="20" t="s">
        <v>122</v>
      </c>
    </row>
    <row r="6">
      <c r="A6" s="21"/>
      <c r="B6" s="20" t="s">
        <v>123</v>
      </c>
      <c r="F6" s="20" t="s">
        <v>124</v>
      </c>
      <c r="K6" s="30"/>
      <c r="L6" s="30" t="s">
        <v>125</v>
      </c>
      <c r="N6" s="30" t="s">
        <v>126</v>
      </c>
      <c r="P6" s="30" t="s">
        <v>127</v>
      </c>
      <c r="R6" s="30" t="s">
        <v>128</v>
      </c>
      <c r="V6" s="30" t="s">
        <v>129</v>
      </c>
      <c r="AA6" s="20" t="s">
        <v>130</v>
      </c>
      <c r="AB6" s="20" t="s">
        <v>131</v>
      </c>
      <c r="AE6" s="20">
        <v>519.2</v>
      </c>
      <c r="AF6" s="20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132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07" t="s">
        <v>133</v>
      </c>
      <c r="C8" s="108" t="str">
        <f t="shared" ref="C8:C17" si="5">REPLACE(B8,FIND(".",B8),1,",")*1</f>
        <v>#VALUE!</v>
      </c>
      <c r="F8" s="40" t="s">
        <v>134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135</v>
      </c>
      <c r="AB8" s="34">
        <f t="shared" si="4"/>
        <v>54</v>
      </c>
      <c r="AE8" s="20">
        <v>396.62</v>
      </c>
      <c r="AF8" s="20">
        <v>77.53</v>
      </c>
    </row>
    <row r="9">
      <c r="A9" s="21"/>
      <c r="B9" s="107" t="s">
        <v>136</v>
      </c>
      <c r="C9" s="108" t="str">
        <f t="shared" si="5"/>
        <v>#VALUE!</v>
      </c>
      <c r="F9" s="40" t="s">
        <v>137</v>
      </c>
      <c r="G9" s="108" t="str">
        <f t="shared" si="6"/>
        <v>#VALUE!</v>
      </c>
      <c r="I9" s="20">
        <v>30.0</v>
      </c>
      <c r="J9" s="20">
        <v>50.0</v>
      </c>
      <c r="K9" s="21"/>
      <c r="L9" s="105" t="s">
        <v>138</v>
      </c>
      <c r="M9" s="105" t="s">
        <v>139</v>
      </c>
      <c r="N9" s="30" t="s">
        <v>140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141</v>
      </c>
      <c r="AB9" s="34">
        <f t="shared" si="4"/>
        <v>81</v>
      </c>
      <c r="AE9" s="20">
        <v>386.95</v>
      </c>
      <c r="AF9" s="20">
        <v>196.62</v>
      </c>
    </row>
    <row r="10">
      <c r="A10" s="21"/>
      <c r="B10" s="109" t="s">
        <v>142</v>
      </c>
      <c r="C10" s="108" t="str">
        <f t="shared" si="5"/>
        <v>#VALUE!</v>
      </c>
      <c r="F10" s="40" t="s">
        <v>143</v>
      </c>
      <c r="G10" s="108" t="str">
        <f t="shared" si="6"/>
        <v>#VALUE!</v>
      </c>
      <c r="I10" s="20">
        <v>20.0</v>
      </c>
      <c r="J10" s="20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144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145</v>
      </c>
      <c r="C11" s="108" t="str">
        <f t="shared" si="5"/>
        <v>#VALUE!</v>
      </c>
      <c r="F11" s="40" t="s">
        <v>146</v>
      </c>
      <c r="G11" s="108" t="str">
        <f t="shared" si="6"/>
        <v>#VALUE!</v>
      </c>
      <c r="I11" s="20">
        <v>20.0</v>
      </c>
      <c r="J11" s="20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20" t="s">
        <v>147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148</v>
      </c>
      <c r="C12" s="108" t="str">
        <f t="shared" si="5"/>
        <v>#VALUE!</v>
      </c>
      <c r="F12" s="40" t="s">
        <v>149</v>
      </c>
      <c r="G12" s="108" t="str">
        <f t="shared" si="6"/>
        <v>#VALUE!</v>
      </c>
      <c r="I12" s="20">
        <v>20.0</v>
      </c>
      <c r="J12" s="20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20" t="s">
        <v>144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150</v>
      </c>
      <c r="C13" s="108" t="str">
        <f t="shared" si="5"/>
        <v>#VALUE!</v>
      </c>
      <c r="F13" s="40" t="s">
        <v>151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152</v>
      </c>
      <c r="T13" s="80" t="s">
        <v>153</v>
      </c>
      <c r="U13" s="80" t="s">
        <v>154</v>
      </c>
      <c r="AA13" s="20" t="s">
        <v>155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156</v>
      </c>
      <c r="C14" s="108" t="str">
        <f t="shared" si="5"/>
        <v>#VALUE!</v>
      </c>
      <c r="F14" s="40" t="s">
        <v>157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158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159</v>
      </c>
      <c r="C15" s="108" t="str">
        <f t="shared" si="5"/>
        <v>#VALUE!</v>
      </c>
      <c r="F15" s="40" t="s">
        <v>160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161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162</v>
      </c>
      <c r="C16" s="108" t="str">
        <f t="shared" si="5"/>
        <v>#VALUE!</v>
      </c>
      <c r="F16" s="40" t="s">
        <v>163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164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165</v>
      </c>
      <c r="C17" s="108" t="str">
        <f t="shared" si="5"/>
        <v>#VALUE!</v>
      </c>
      <c r="F17" s="40" t="s">
        <v>166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167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168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169</v>
      </c>
      <c r="C19" s="34" t="str">
        <f>AVERAGE(C8:C17)</f>
        <v>#VALUE!</v>
      </c>
      <c r="F19" s="40" t="s">
        <v>170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171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172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173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152</v>
      </c>
      <c r="T21" s="80" t="s">
        <v>153</v>
      </c>
      <c r="U21" s="80" t="s">
        <v>154</v>
      </c>
      <c r="AE21" s="20">
        <v>146.62</v>
      </c>
      <c r="AF21" s="20">
        <v>74.55</v>
      </c>
    </row>
    <row r="22">
      <c r="C22" s="108"/>
      <c r="F22" s="40" t="s">
        <v>174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175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176</v>
      </c>
      <c r="G25" s="108" t="str">
        <f t="shared" si="6"/>
        <v>#VALUE!</v>
      </c>
      <c r="I25" s="20">
        <v>10.0</v>
      </c>
      <c r="P25" s="106">
        <v>1.0</v>
      </c>
      <c r="R25" s="80" t="s">
        <v>167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177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178</v>
      </c>
      <c r="AB28" s="20" t="s">
        <v>179</v>
      </c>
      <c r="AC28" s="20" t="s">
        <v>179</v>
      </c>
      <c r="AE28" s="20">
        <v>106.73</v>
      </c>
      <c r="AF28" s="20">
        <v>-68.34</v>
      </c>
    </row>
    <row r="29">
      <c r="F29" s="30" t="s">
        <v>169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180</v>
      </c>
      <c r="T31" s="20" t="s">
        <v>181</v>
      </c>
      <c r="U31" s="20" t="s">
        <v>182</v>
      </c>
      <c r="V31" s="20" t="s">
        <v>183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184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185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186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38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4.479278351</v>
      </c>
      <c r="G37" s="30" t="s">
        <v>37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28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4.98</v>
      </c>
      <c r="G39" s="30" t="s">
        <v>29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1.7</v>
      </c>
      <c r="G40" s="30" t="s">
        <v>25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5.07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3.69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1.94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1.59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3.12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0.36</v>
      </c>
      <c r="G46" s="121" t="s">
        <v>187</v>
      </c>
      <c r="H46" s="121" t="s">
        <v>188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2.95</v>
      </c>
      <c r="G47" s="122" t="s">
        <v>38</v>
      </c>
      <c r="H47" s="123">
        <v>0.376453591155815</v>
      </c>
      <c r="P47" s="106">
        <v>2.0</v>
      </c>
      <c r="AA47" s="20" t="s">
        <v>3</v>
      </c>
      <c r="AB47" s="20" t="s">
        <v>179</v>
      </c>
      <c r="AE47" s="20">
        <v>67.98</v>
      </c>
      <c r="AF47" s="20">
        <v>104.85</v>
      </c>
    </row>
    <row r="48">
      <c r="C48" s="120"/>
      <c r="D48" s="85">
        <v>0.74</v>
      </c>
      <c r="G48" s="122" t="s">
        <v>37</v>
      </c>
      <c r="H48" s="123">
        <v>0.36678739680281</v>
      </c>
      <c r="J48" s="20" t="s">
        <v>189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4.83</v>
      </c>
      <c r="G49" s="122" t="s">
        <v>28</v>
      </c>
      <c r="H49" s="123">
        <v>0.142870351877935</v>
      </c>
      <c r="J49" s="20" t="s">
        <v>190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5.08</v>
      </c>
      <c r="G50" s="122" t="s">
        <v>29</v>
      </c>
      <c r="H50" s="123">
        <v>0.497437843674554</v>
      </c>
      <c r="J50" s="20" t="s">
        <v>191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4.36</v>
      </c>
      <c r="G51" s="122" t="s">
        <v>25</v>
      </c>
      <c r="H51" s="123">
        <v>0.247446036291655</v>
      </c>
      <c r="J51" s="20" t="s">
        <v>192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4.03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5.25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1.3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0.96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4.52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3.01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4.14</v>
      </c>
      <c r="G58" s="124" t="s">
        <v>193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2.62</v>
      </c>
      <c r="G59" s="125"/>
      <c r="H59" s="126" t="s">
        <v>194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2.07</v>
      </c>
      <c r="G60" s="125"/>
      <c r="H60" s="126" t="s">
        <v>195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4.46</v>
      </c>
      <c r="G61" s="125"/>
      <c r="H61" s="126" t="s">
        <v>196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2.54</v>
      </c>
      <c r="G62" s="125"/>
      <c r="H62" s="126" t="s">
        <v>197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5.86</v>
      </c>
      <c r="G63" s="125"/>
      <c r="H63" s="126" t="s">
        <v>198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3.56</v>
      </c>
      <c r="P64" s="106">
        <v>1.0</v>
      </c>
      <c r="AE64" s="20">
        <v>43.36</v>
      </c>
      <c r="AF64" s="20">
        <v>-27.6</v>
      </c>
    </row>
    <row r="65">
      <c r="C65" s="120"/>
      <c r="D65" s="85">
        <v>2.03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2.3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5.15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2.38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4.2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5.51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3.9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4.97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2.68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1.97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7.28</v>
      </c>
      <c r="P75" s="106">
        <v>1.0</v>
      </c>
      <c r="AE75" s="20">
        <v>33.35</v>
      </c>
      <c r="AF75" s="20">
        <v>-47.6</v>
      </c>
    </row>
    <row r="76">
      <c r="C76" s="120"/>
      <c r="D76" s="85">
        <v>3.9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3.1</v>
      </c>
      <c r="P77" s="106">
        <v>0.0</v>
      </c>
      <c r="AE77" s="20">
        <v>31.4</v>
      </c>
      <c r="AF77" s="20">
        <v>-35.28</v>
      </c>
    </row>
    <row r="78">
      <c r="C78" s="120"/>
      <c r="D78" s="85">
        <v>5.24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2.79</v>
      </c>
      <c r="P79" s="106">
        <v>2.0</v>
      </c>
      <c r="AE79" s="20">
        <v>29.4</v>
      </c>
      <c r="AF79" s="20">
        <v>-10.36</v>
      </c>
    </row>
    <row r="80">
      <c r="C80" s="120"/>
      <c r="D80" s="85">
        <v>4.46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7.11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4.89</v>
      </c>
      <c r="P82" s="106">
        <v>1.0</v>
      </c>
      <c r="AE82" s="20">
        <v>25.78</v>
      </c>
      <c r="AF82" s="20">
        <v>9.54</v>
      </c>
    </row>
    <row r="83">
      <c r="C83" s="120"/>
      <c r="D83" s="85">
        <v>6.25</v>
      </c>
      <c r="P83" s="106">
        <v>0.0</v>
      </c>
      <c r="AE83" s="20">
        <v>23.92</v>
      </c>
      <c r="AF83" s="20">
        <v>40.59</v>
      </c>
    </row>
    <row r="84">
      <c r="C84" s="120"/>
      <c r="D84" s="85">
        <v>3.69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4.65</v>
      </c>
      <c r="P85" s="106">
        <v>0.0</v>
      </c>
      <c r="AE85" s="20">
        <v>21.0</v>
      </c>
      <c r="AF85" s="20">
        <v>-59.22</v>
      </c>
    </row>
    <row r="86">
      <c r="C86" s="120"/>
      <c r="D86" s="85">
        <v>4.54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2.92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0.92</v>
      </c>
      <c r="P88" s="106">
        <v>2.0</v>
      </c>
      <c r="AE88" s="20">
        <v>17.74</v>
      </c>
      <c r="AF88" s="20">
        <v>13.18</v>
      </c>
    </row>
    <row r="89">
      <c r="C89" s="120"/>
      <c r="D89" s="85">
        <v>4.52</v>
      </c>
      <c r="P89" s="106">
        <v>2.0</v>
      </c>
      <c r="AE89" s="20">
        <v>17.33</v>
      </c>
      <c r="AF89" s="20">
        <v>16.81</v>
      </c>
    </row>
    <row r="90">
      <c r="C90" s="120"/>
      <c r="D90" s="85">
        <v>8.53</v>
      </c>
      <c r="P90" s="106">
        <v>1.0</v>
      </c>
      <c r="AE90" s="20">
        <v>16.85</v>
      </c>
      <c r="AF90" s="20">
        <v>-50.81</v>
      </c>
    </row>
    <row r="91">
      <c r="C91" s="120"/>
      <c r="D91" s="85">
        <v>6.7</v>
      </c>
      <c r="P91" s="106">
        <v>1.0</v>
      </c>
      <c r="AE91" s="20">
        <v>16.11</v>
      </c>
      <c r="AF91" s="20">
        <v>-52.86</v>
      </c>
    </row>
    <row r="92">
      <c r="C92" s="120"/>
      <c r="D92" s="85">
        <v>6.16</v>
      </c>
      <c r="P92" s="106">
        <v>2.0</v>
      </c>
      <c r="AE92" s="20">
        <v>16.08</v>
      </c>
      <c r="AF92" s="20">
        <v>80.01</v>
      </c>
    </row>
    <row r="93">
      <c r="C93" s="120"/>
      <c r="D93" s="85">
        <v>5.63</v>
      </c>
      <c r="P93" s="106">
        <v>0.0</v>
      </c>
      <c r="AE93" s="20">
        <v>15.84</v>
      </c>
      <c r="AF93" s="20">
        <v>-77.3</v>
      </c>
    </row>
    <row r="94">
      <c r="C94" s="120"/>
      <c r="D94" s="85">
        <v>4.96</v>
      </c>
      <c r="P94" s="106">
        <v>0.0</v>
      </c>
      <c r="AE94" s="20">
        <v>14.26</v>
      </c>
      <c r="AF94" s="20">
        <v>40.11</v>
      </c>
    </row>
    <row r="95">
      <c r="C95" s="120"/>
      <c r="D95" s="85">
        <v>6.39</v>
      </c>
      <c r="P95" s="106">
        <v>1.0</v>
      </c>
      <c r="AE95" s="20">
        <v>14.03</v>
      </c>
      <c r="AF95" s="20">
        <v>-4.79</v>
      </c>
    </row>
    <row r="96">
      <c r="C96" s="120"/>
      <c r="D96" s="85">
        <v>4.29</v>
      </c>
      <c r="P96" s="106">
        <v>2.0</v>
      </c>
      <c r="AE96" s="20">
        <v>12.81</v>
      </c>
      <c r="AF96" s="20">
        <v>18.57</v>
      </c>
    </row>
    <row r="97">
      <c r="C97" s="120"/>
      <c r="D97" s="85">
        <v>0.98</v>
      </c>
      <c r="P97" s="106">
        <v>0.0</v>
      </c>
      <c r="AE97" s="20">
        <v>12.67</v>
      </c>
      <c r="AF97" s="20">
        <v>-30.26</v>
      </c>
    </row>
    <row r="98">
      <c r="C98" s="120"/>
      <c r="D98" s="85">
        <v>5.19</v>
      </c>
      <c r="P98" s="106">
        <v>2.0</v>
      </c>
      <c r="AE98" s="20">
        <v>12.56</v>
      </c>
      <c r="AF98" s="20">
        <v>-41.83</v>
      </c>
    </row>
    <row r="99">
      <c r="C99" s="120"/>
      <c r="D99" s="85">
        <v>2.15</v>
      </c>
      <c r="P99" s="106">
        <v>2.0</v>
      </c>
      <c r="AE99" s="20">
        <v>12.05</v>
      </c>
      <c r="AF99" s="20">
        <v>-26.54</v>
      </c>
    </row>
    <row r="100">
      <c r="C100" s="120"/>
      <c r="D100" s="85">
        <v>2.81</v>
      </c>
      <c r="P100" s="106">
        <v>2.0</v>
      </c>
      <c r="AE100" s="20">
        <v>11.89</v>
      </c>
      <c r="AF100" s="20">
        <v>165.95</v>
      </c>
    </row>
    <row r="101">
      <c r="C101" s="120"/>
      <c r="D101" s="85">
        <v>7.41</v>
      </c>
      <c r="P101" s="106">
        <v>2.0</v>
      </c>
      <c r="AE101" s="20">
        <v>11.24</v>
      </c>
      <c r="AF101" s="20">
        <v>-30.28</v>
      </c>
    </row>
    <row r="102">
      <c r="C102" s="120"/>
      <c r="D102" s="85">
        <v>1.56</v>
      </c>
      <c r="P102" s="106">
        <v>2.0</v>
      </c>
      <c r="AE102" s="20">
        <v>10.65</v>
      </c>
      <c r="AF102" s="20">
        <v>-65.29</v>
      </c>
    </row>
    <row r="103">
      <c r="C103" s="120"/>
      <c r="D103" s="85">
        <v>1.26</v>
      </c>
      <c r="P103" s="106">
        <v>1.0</v>
      </c>
      <c r="AE103" s="20">
        <v>10.35</v>
      </c>
      <c r="AF103" s="20">
        <v>70.73</v>
      </c>
    </row>
    <row r="104">
      <c r="C104" s="120"/>
      <c r="D104" s="85">
        <v>5.42</v>
      </c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>
        <v>5.31</v>
      </c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>
        <v>5.14</v>
      </c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>
        <v>4.65</v>
      </c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>
        <v>7.23</v>
      </c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>
        <v>5.98</v>
      </c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>
        <v>4.83</v>
      </c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>
        <v>5.53</v>
      </c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>
        <v>6.61</v>
      </c>
      <c r="P112" s="106">
        <v>1.0</v>
      </c>
      <c r="AE112" s="20">
        <v>4.34</v>
      </c>
      <c r="AF112" s="20">
        <v>-29.66</v>
      </c>
    </row>
    <row r="113">
      <c r="C113" s="120"/>
      <c r="D113" s="85">
        <v>9.27</v>
      </c>
      <c r="P113" s="106">
        <v>0.0</v>
      </c>
      <c r="AE113" s="20">
        <v>3.56</v>
      </c>
      <c r="AF113" s="20">
        <v>-31.38</v>
      </c>
    </row>
    <row r="114">
      <c r="C114" s="120"/>
      <c r="D114" s="85">
        <v>6.36</v>
      </c>
      <c r="P114" s="106">
        <v>1.0</v>
      </c>
      <c r="AE114" s="20">
        <v>3.15</v>
      </c>
      <c r="AF114" s="20">
        <v>21.65</v>
      </c>
    </row>
    <row r="115">
      <c r="C115" s="120"/>
      <c r="D115" s="85">
        <v>4.14</v>
      </c>
      <c r="P115" s="106">
        <v>1.0</v>
      </c>
      <c r="AE115" s="20">
        <v>3.11</v>
      </c>
      <c r="AF115" s="20">
        <v>-34.68</v>
      </c>
    </row>
    <row r="116">
      <c r="C116" s="120"/>
      <c r="D116" s="85">
        <v>6.85</v>
      </c>
      <c r="P116" s="106">
        <v>1.0</v>
      </c>
      <c r="AE116" s="20">
        <v>1.32</v>
      </c>
      <c r="AF116" s="20">
        <v>25.47</v>
      </c>
    </row>
    <row r="117">
      <c r="C117" s="120"/>
      <c r="D117" s="85">
        <v>4.02</v>
      </c>
      <c r="P117" s="129"/>
      <c r="AE117" s="20">
        <v>0.88</v>
      </c>
      <c r="AF117" s="20">
        <v>-52.33</v>
      </c>
    </row>
    <row r="118">
      <c r="C118" s="120"/>
      <c r="D118" s="85">
        <v>6.47</v>
      </c>
      <c r="P118" s="129"/>
      <c r="AE118" s="20">
        <v>0.4</v>
      </c>
      <c r="AF118" s="20">
        <v>-16.42</v>
      </c>
    </row>
    <row r="119">
      <c r="C119" s="120"/>
      <c r="D119" s="85">
        <v>4.01</v>
      </c>
      <c r="P119" s="129"/>
      <c r="AE119" s="20">
        <v>0.22</v>
      </c>
      <c r="AF119" s="20">
        <v>22.39</v>
      </c>
    </row>
    <row r="120">
      <c r="C120" s="120"/>
      <c r="D120" s="85">
        <v>6.47</v>
      </c>
      <c r="P120" s="129"/>
      <c r="AE120" s="20">
        <v>0.13</v>
      </c>
      <c r="AF120" s="20">
        <v>-16.88</v>
      </c>
    </row>
    <row r="121">
      <c r="C121" s="120"/>
      <c r="D121" s="85">
        <v>4.8</v>
      </c>
      <c r="P121" s="129"/>
      <c r="AE121" s="20">
        <v>-0.43</v>
      </c>
      <c r="AF121" s="20">
        <v>48.74</v>
      </c>
    </row>
    <row r="122">
      <c r="C122" s="120"/>
      <c r="D122" s="85">
        <v>5.34</v>
      </c>
      <c r="P122" s="129"/>
      <c r="AE122" s="20">
        <v>-0.45</v>
      </c>
      <c r="AF122" s="20">
        <v>4.32</v>
      </c>
    </row>
    <row r="123">
      <c r="C123" s="120"/>
      <c r="D123" s="85">
        <v>5.46</v>
      </c>
      <c r="P123" s="129"/>
      <c r="AE123" s="20">
        <v>-1.63</v>
      </c>
      <c r="AF123" s="20">
        <v>-35.85</v>
      </c>
    </row>
    <row r="124">
      <c r="C124" s="120"/>
      <c r="D124" s="85">
        <v>5.58</v>
      </c>
      <c r="P124" s="129"/>
      <c r="AE124" s="20">
        <v>-1.73</v>
      </c>
      <c r="AF124" s="20">
        <v>-38.06</v>
      </c>
    </row>
    <row r="125">
      <c r="C125" s="120"/>
      <c r="D125" s="85">
        <v>6.96</v>
      </c>
      <c r="P125" s="129"/>
      <c r="AE125" s="20">
        <v>-2.37</v>
      </c>
      <c r="AF125" s="20">
        <v>-50.44</v>
      </c>
    </row>
    <row r="126">
      <c r="C126" s="120"/>
      <c r="D126" s="85">
        <v>4.39</v>
      </c>
      <c r="P126" s="129"/>
      <c r="AE126" s="20">
        <v>-3.35</v>
      </c>
      <c r="AF126" s="20">
        <v>-36.07</v>
      </c>
    </row>
    <row r="127">
      <c r="C127" s="120"/>
      <c r="D127" s="85">
        <v>5.57</v>
      </c>
      <c r="P127" s="129"/>
      <c r="AE127" s="20">
        <v>-4.4</v>
      </c>
      <c r="AF127" s="20">
        <v>-53.6</v>
      </c>
    </row>
    <row r="128">
      <c r="C128" s="120"/>
      <c r="D128" s="85">
        <v>5.79</v>
      </c>
      <c r="P128" s="129"/>
      <c r="AE128" s="20">
        <v>-4.49</v>
      </c>
      <c r="AF128" s="20">
        <v>-9.17</v>
      </c>
    </row>
    <row r="129">
      <c r="C129" s="120"/>
      <c r="D129" s="85">
        <v>6.74</v>
      </c>
      <c r="P129" s="129"/>
      <c r="AE129" s="20">
        <v>-4.55</v>
      </c>
      <c r="AF129" s="20">
        <v>-72.49</v>
      </c>
    </row>
    <row r="130">
      <c r="C130" s="120"/>
      <c r="D130" s="85">
        <v>6.37</v>
      </c>
      <c r="P130" s="129"/>
      <c r="AE130" s="20">
        <v>-4.8</v>
      </c>
      <c r="AF130" s="20">
        <v>-63.2</v>
      </c>
    </row>
    <row r="131">
      <c r="C131" s="120"/>
      <c r="D131" s="85">
        <v>5.39</v>
      </c>
      <c r="P131" s="129"/>
      <c r="AE131" s="20">
        <v>-5.33</v>
      </c>
      <c r="AF131" s="20">
        <v>-64.97</v>
      </c>
    </row>
    <row r="132">
      <c r="C132" s="120"/>
      <c r="D132" s="85">
        <v>5.31</v>
      </c>
      <c r="P132" s="129"/>
      <c r="AE132" s="20">
        <v>-5.45</v>
      </c>
      <c r="AF132" s="20">
        <v>-37.11</v>
      </c>
    </row>
    <row r="133">
      <c r="C133" s="120"/>
      <c r="D133" s="85">
        <v>6.6</v>
      </c>
      <c r="P133" s="129"/>
      <c r="AE133" s="20">
        <v>-5.64</v>
      </c>
      <c r="AF133" s="20">
        <v>-77.37</v>
      </c>
    </row>
    <row r="134">
      <c r="C134" s="120"/>
      <c r="D134" s="85">
        <v>6.88</v>
      </c>
      <c r="P134" s="129"/>
      <c r="AE134" s="20">
        <v>-6.39</v>
      </c>
      <c r="AF134" s="20">
        <v>-37.53</v>
      </c>
    </row>
    <row r="135">
      <c r="C135" s="120"/>
      <c r="D135" s="85">
        <v>4.92</v>
      </c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2"/>
      <c r="B1" s="133" t="s">
        <v>199</v>
      </c>
      <c r="C1" s="134"/>
      <c r="D1" s="134"/>
      <c r="E1" s="134"/>
      <c r="F1" s="134"/>
      <c r="G1" s="135" t="s">
        <v>200</v>
      </c>
      <c r="H1" s="134"/>
      <c r="I1" s="134"/>
      <c r="J1" s="134"/>
      <c r="K1" s="134"/>
      <c r="L1" s="134"/>
      <c r="M1" s="136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</row>
    <row r="2">
      <c r="A2" s="121" t="s">
        <v>3</v>
      </c>
      <c r="B2" s="138" t="s">
        <v>201</v>
      </c>
      <c r="C2" s="139" t="s">
        <v>202</v>
      </c>
      <c r="D2" s="139" t="s">
        <v>179</v>
      </c>
      <c r="E2" s="139" t="s">
        <v>203</v>
      </c>
      <c r="F2" s="140" t="s">
        <v>204</v>
      </c>
      <c r="G2" s="138">
        <v>1.0</v>
      </c>
      <c r="H2" s="139" t="s">
        <v>131</v>
      </c>
      <c r="I2" s="139">
        <v>2.0</v>
      </c>
      <c r="J2" s="139" t="s">
        <v>205</v>
      </c>
      <c r="K2" s="141" t="s">
        <v>206</v>
      </c>
      <c r="L2" s="139" t="s">
        <v>207</v>
      </c>
      <c r="M2" s="142" t="s">
        <v>208</v>
      </c>
      <c r="N2" s="122" t="s">
        <v>209</v>
      </c>
      <c r="O2" s="122" t="s">
        <v>210</v>
      </c>
      <c r="P2" s="122" t="s">
        <v>211</v>
      </c>
      <c r="Q2" s="137"/>
      <c r="R2" s="137"/>
      <c r="S2" s="102" t="s">
        <v>212</v>
      </c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</row>
    <row r="3">
      <c r="A3" s="122"/>
      <c r="B3" s="143"/>
      <c r="C3" s="144"/>
      <c r="D3" s="144"/>
      <c r="E3" s="144"/>
      <c r="F3" s="145" t="str">
        <f t="shared" ref="F3:F22" si="1">IFERROR((E3-C3)/abs(C3),"")</f>
        <v/>
      </c>
      <c r="G3" s="137"/>
      <c r="H3" s="137"/>
      <c r="I3" s="137"/>
      <c r="J3" s="122"/>
      <c r="K3" s="146" t="str">
        <f t="shared" ref="K3:K22" si="2">IF(ISNUMBER(J3),J3/$E$29,"")</f>
        <v/>
      </c>
      <c r="L3" s="122"/>
      <c r="M3" s="146" t="str">
        <f t="shared" ref="M3:M22" si="3">IF(ISNUMBER(L3),L3/H3,"")</f>
        <v/>
      </c>
      <c r="N3" s="132"/>
      <c r="O3" s="122"/>
      <c r="P3" s="14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</row>
    <row r="4">
      <c r="A4" s="122"/>
      <c r="B4" s="143"/>
      <c r="C4" s="144"/>
      <c r="D4" s="144"/>
      <c r="E4" s="144"/>
      <c r="F4" s="145" t="str">
        <f t="shared" si="1"/>
        <v/>
      </c>
      <c r="G4" s="137"/>
      <c r="H4" s="137"/>
      <c r="I4" s="137"/>
      <c r="J4" s="122"/>
      <c r="K4" s="146" t="str">
        <f t="shared" si="2"/>
        <v/>
      </c>
      <c r="L4" s="122"/>
      <c r="M4" s="146" t="str">
        <f t="shared" si="3"/>
        <v/>
      </c>
      <c r="N4" s="132"/>
      <c r="O4" s="122"/>
      <c r="P4" s="147"/>
      <c r="Q4" s="137"/>
      <c r="R4" s="137"/>
      <c r="S4" s="148" t="s">
        <v>213</v>
      </c>
      <c r="T4" s="149"/>
      <c r="Z4" s="30"/>
      <c r="AA4" s="30"/>
      <c r="AB4" s="30"/>
      <c r="AC4" s="30"/>
    </row>
    <row r="5">
      <c r="A5" s="16"/>
      <c r="B5" s="150"/>
      <c r="C5" s="82"/>
      <c r="D5" s="82"/>
      <c r="E5" s="82"/>
      <c r="F5" s="145" t="str">
        <f t="shared" si="1"/>
        <v/>
      </c>
      <c r="G5" s="137"/>
      <c r="H5" s="137"/>
      <c r="I5" s="137"/>
      <c r="J5" s="16"/>
      <c r="K5" s="146" t="str">
        <f t="shared" si="2"/>
        <v/>
      </c>
      <c r="L5" s="16"/>
      <c r="M5" s="146" t="str">
        <f t="shared" si="3"/>
        <v/>
      </c>
      <c r="N5" s="122"/>
      <c r="O5" s="75"/>
      <c r="P5" s="151"/>
      <c r="S5" s="149"/>
      <c r="T5" s="152" t="s">
        <v>214</v>
      </c>
    </row>
    <row r="6">
      <c r="A6" s="122"/>
      <c r="B6" s="143"/>
      <c r="C6" s="144"/>
      <c r="D6" s="144"/>
      <c r="E6" s="144"/>
      <c r="F6" s="145" t="str">
        <f t="shared" si="1"/>
        <v/>
      </c>
      <c r="G6" s="137"/>
      <c r="H6" s="137"/>
      <c r="I6" s="137"/>
      <c r="J6" s="122"/>
      <c r="K6" s="146" t="str">
        <f t="shared" si="2"/>
        <v/>
      </c>
      <c r="L6" s="122"/>
      <c r="M6" s="146" t="str">
        <f t="shared" si="3"/>
        <v/>
      </c>
      <c r="N6" s="132"/>
      <c r="O6" s="122"/>
      <c r="P6" s="147"/>
      <c r="Q6" s="137"/>
      <c r="R6" s="137"/>
      <c r="S6" s="149"/>
      <c r="T6" s="152" t="s">
        <v>215</v>
      </c>
      <c r="Z6" s="85"/>
      <c r="AD6" s="20" t="s">
        <v>216</v>
      </c>
    </row>
    <row r="7">
      <c r="A7" s="16"/>
      <c r="B7" s="150"/>
      <c r="C7" s="82"/>
      <c r="D7" s="82"/>
      <c r="E7" s="82"/>
      <c r="F7" s="145" t="str">
        <f t="shared" si="1"/>
        <v/>
      </c>
      <c r="G7" s="153"/>
      <c r="H7" s="75"/>
      <c r="I7" s="75"/>
      <c r="J7" s="75"/>
      <c r="K7" s="146" t="str">
        <f t="shared" si="2"/>
        <v/>
      </c>
      <c r="L7" s="75"/>
      <c r="M7" s="146" t="str">
        <f t="shared" si="3"/>
        <v/>
      </c>
      <c r="N7" s="16"/>
      <c r="O7" s="75"/>
      <c r="P7" s="154"/>
      <c r="AD7" s="152" t="s">
        <v>217</v>
      </c>
      <c r="AE7" s="149"/>
      <c r="AF7" s="149"/>
      <c r="AG7" s="149"/>
    </row>
    <row r="8">
      <c r="A8" s="16"/>
      <c r="B8" s="150"/>
      <c r="C8" s="82"/>
      <c r="D8" s="82"/>
      <c r="E8" s="82"/>
      <c r="F8" s="145" t="str">
        <f t="shared" si="1"/>
        <v/>
      </c>
      <c r="G8" s="153"/>
      <c r="H8" s="75"/>
      <c r="I8" s="75"/>
      <c r="J8" s="75"/>
      <c r="K8" s="146" t="str">
        <f t="shared" si="2"/>
        <v/>
      </c>
      <c r="L8" s="75"/>
      <c r="M8" s="146" t="str">
        <f t="shared" si="3"/>
        <v/>
      </c>
      <c r="N8" s="16"/>
      <c r="O8" s="75"/>
      <c r="P8" s="154"/>
      <c r="S8" s="152" t="s">
        <v>218</v>
      </c>
      <c r="AA8" s="85"/>
      <c r="AD8" s="152" t="s">
        <v>219</v>
      </c>
    </row>
    <row r="9">
      <c r="A9" s="122"/>
      <c r="B9" s="143"/>
      <c r="C9" s="144"/>
      <c r="D9" s="144"/>
      <c r="E9" s="144"/>
      <c r="F9" s="145" t="str">
        <f t="shared" si="1"/>
        <v/>
      </c>
      <c r="G9" s="137"/>
      <c r="H9" s="137"/>
      <c r="I9" s="137"/>
      <c r="J9" s="122"/>
      <c r="K9" s="146" t="str">
        <f t="shared" si="2"/>
        <v/>
      </c>
      <c r="L9" s="122"/>
      <c r="M9" s="146" t="str">
        <f t="shared" si="3"/>
        <v/>
      </c>
      <c r="N9" s="132"/>
      <c r="O9" s="122"/>
      <c r="P9" s="147"/>
      <c r="Q9" s="137"/>
      <c r="R9" s="137"/>
    </row>
    <row r="10">
      <c r="A10" s="16"/>
      <c r="B10" s="150"/>
      <c r="C10" s="82"/>
      <c r="D10" s="82"/>
      <c r="E10" s="82"/>
      <c r="F10" s="145" t="str">
        <f t="shared" si="1"/>
        <v/>
      </c>
      <c r="G10" s="137"/>
      <c r="H10" s="132"/>
      <c r="I10" s="137"/>
      <c r="J10" s="16"/>
      <c r="K10" s="146" t="str">
        <f t="shared" si="2"/>
        <v/>
      </c>
      <c r="L10" s="16"/>
      <c r="M10" s="146" t="str">
        <f t="shared" si="3"/>
        <v/>
      </c>
      <c r="N10" s="122"/>
      <c r="O10" s="75"/>
      <c r="P10" s="154"/>
      <c r="Z10" s="85"/>
    </row>
    <row r="11">
      <c r="A11" s="122"/>
      <c r="B11" s="143"/>
      <c r="C11" s="144"/>
      <c r="D11" s="144"/>
      <c r="E11" s="144"/>
      <c r="F11" s="145" t="str">
        <f t="shared" si="1"/>
        <v/>
      </c>
      <c r="G11" s="155"/>
      <c r="H11" s="132"/>
      <c r="I11" s="132"/>
      <c r="J11" s="122"/>
      <c r="K11" s="146" t="str">
        <f t="shared" si="2"/>
        <v/>
      </c>
      <c r="L11" s="122"/>
      <c r="M11" s="146" t="str">
        <f t="shared" si="3"/>
        <v/>
      </c>
      <c r="N11" s="122"/>
      <c r="O11" s="132"/>
      <c r="P11" s="156"/>
      <c r="Q11" s="137"/>
      <c r="R11" s="137"/>
    </row>
    <row r="12">
      <c r="A12" s="16"/>
      <c r="B12" s="150"/>
      <c r="C12" s="82"/>
      <c r="D12" s="82"/>
      <c r="E12" s="82"/>
      <c r="F12" s="145" t="str">
        <f t="shared" si="1"/>
        <v/>
      </c>
      <c r="G12" s="137"/>
      <c r="H12" s="137"/>
      <c r="I12" s="137"/>
      <c r="J12" s="16"/>
      <c r="K12" s="146" t="str">
        <f t="shared" si="2"/>
        <v/>
      </c>
      <c r="L12" s="16"/>
      <c r="M12" s="146" t="str">
        <f t="shared" si="3"/>
        <v/>
      </c>
      <c r="N12" s="122"/>
      <c r="O12" s="75"/>
      <c r="P12" s="154"/>
    </row>
    <row r="13">
      <c r="A13" s="122"/>
      <c r="B13" s="143"/>
      <c r="C13" s="144"/>
      <c r="D13" s="144"/>
      <c r="E13" s="144"/>
      <c r="F13" s="145" t="str">
        <f t="shared" si="1"/>
        <v/>
      </c>
      <c r="G13" s="155"/>
      <c r="H13" s="132"/>
      <c r="I13" s="132"/>
      <c r="J13" s="132"/>
      <c r="K13" s="146" t="str">
        <f t="shared" si="2"/>
        <v/>
      </c>
      <c r="L13" s="132"/>
      <c r="M13" s="146" t="str">
        <f t="shared" si="3"/>
        <v/>
      </c>
      <c r="N13" s="122"/>
      <c r="O13" s="132"/>
      <c r="P13" s="156"/>
      <c r="Q13" s="137"/>
      <c r="R13" s="137"/>
    </row>
    <row r="14">
      <c r="A14" s="16"/>
      <c r="B14" s="150"/>
      <c r="C14" s="82"/>
      <c r="D14" s="82"/>
      <c r="E14" s="82"/>
      <c r="F14" s="145" t="str">
        <f t="shared" si="1"/>
        <v/>
      </c>
      <c r="G14" s="153"/>
      <c r="H14" s="75"/>
      <c r="I14" s="75"/>
      <c r="J14" s="75"/>
      <c r="K14" s="146" t="str">
        <f t="shared" si="2"/>
        <v/>
      </c>
      <c r="L14" s="75"/>
      <c r="M14" s="146" t="str">
        <f t="shared" si="3"/>
        <v/>
      </c>
      <c r="N14" s="16"/>
      <c r="O14" s="75"/>
      <c r="P14" s="154"/>
    </row>
    <row r="15">
      <c r="A15" s="16"/>
      <c r="B15" s="150"/>
      <c r="C15" s="82"/>
      <c r="D15" s="82"/>
      <c r="E15" s="82"/>
      <c r="F15" s="145" t="str">
        <f t="shared" si="1"/>
        <v/>
      </c>
      <c r="G15" s="153"/>
      <c r="H15" s="75"/>
      <c r="I15" s="75"/>
      <c r="J15" s="75"/>
      <c r="K15" s="146" t="str">
        <f t="shared" si="2"/>
        <v/>
      </c>
      <c r="L15" s="75"/>
      <c r="M15" s="146" t="str">
        <f t="shared" si="3"/>
        <v/>
      </c>
      <c r="N15" s="122"/>
      <c r="O15" s="75"/>
      <c r="P15" s="154"/>
      <c r="S15" s="20" t="s">
        <v>220</v>
      </c>
    </row>
    <row r="16">
      <c r="A16" s="16"/>
      <c r="B16" s="150"/>
      <c r="C16" s="82"/>
      <c r="D16" s="82"/>
      <c r="E16" s="82"/>
      <c r="F16" s="145" t="str">
        <f t="shared" si="1"/>
        <v/>
      </c>
      <c r="G16" s="153"/>
      <c r="H16" s="75"/>
      <c r="I16" s="75"/>
      <c r="J16" s="75"/>
      <c r="K16" s="146" t="str">
        <f t="shared" si="2"/>
        <v/>
      </c>
      <c r="L16" s="75"/>
      <c r="M16" s="146" t="str">
        <f t="shared" si="3"/>
        <v/>
      </c>
      <c r="N16" s="122"/>
      <c r="O16" s="75"/>
      <c r="P16" s="154"/>
    </row>
    <row r="17">
      <c r="A17" s="16"/>
      <c r="B17" s="150"/>
      <c r="C17" s="82"/>
      <c r="D17" s="82"/>
      <c r="E17" s="82"/>
      <c r="F17" s="145" t="str">
        <f t="shared" si="1"/>
        <v/>
      </c>
      <c r="G17" s="153"/>
      <c r="H17" s="75"/>
      <c r="I17" s="75"/>
      <c r="J17" s="75"/>
      <c r="K17" s="146" t="str">
        <f t="shared" si="2"/>
        <v/>
      </c>
      <c r="L17" s="75"/>
      <c r="M17" s="146" t="str">
        <f t="shared" si="3"/>
        <v/>
      </c>
      <c r="N17" s="122"/>
      <c r="O17" s="75"/>
      <c r="P17" s="154"/>
    </row>
    <row r="18">
      <c r="A18" s="16"/>
      <c r="B18" s="150"/>
      <c r="C18" s="82"/>
      <c r="D18" s="82"/>
      <c r="E18" s="82"/>
      <c r="F18" s="145" t="str">
        <f t="shared" si="1"/>
        <v/>
      </c>
      <c r="G18" s="153"/>
      <c r="H18" s="75"/>
      <c r="I18" s="75"/>
      <c r="J18" s="75"/>
      <c r="K18" s="146" t="str">
        <f t="shared" si="2"/>
        <v/>
      </c>
      <c r="L18" s="75"/>
      <c r="M18" s="146" t="str">
        <f t="shared" si="3"/>
        <v/>
      </c>
      <c r="N18" s="16"/>
      <c r="O18" s="75"/>
      <c r="P18" s="154"/>
    </row>
    <row r="19">
      <c r="A19" s="122"/>
      <c r="B19" s="143"/>
      <c r="C19" s="144"/>
      <c r="D19" s="144"/>
      <c r="E19" s="144"/>
      <c r="F19" s="145" t="str">
        <f t="shared" si="1"/>
        <v/>
      </c>
      <c r="G19" s="155"/>
      <c r="H19" s="132"/>
      <c r="I19" s="132"/>
      <c r="J19" s="122"/>
      <c r="K19" s="146" t="str">
        <f t="shared" si="2"/>
        <v/>
      </c>
      <c r="L19" s="122"/>
      <c r="M19" s="146" t="str">
        <f t="shared" si="3"/>
        <v/>
      </c>
      <c r="N19" s="16"/>
      <c r="O19" s="132"/>
      <c r="P19" s="156"/>
      <c r="Q19" s="137"/>
      <c r="R19" s="137"/>
      <c r="S19" s="20" t="s">
        <v>221</v>
      </c>
    </row>
    <row r="20">
      <c r="A20" s="21"/>
      <c r="B20" s="13"/>
      <c r="C20" s="13"/>
      <c r="D20" s="13"/>
      <c r="E20" s="13"/>
      <c r="F20" s="145" t="str">
        <f t="shared" si="1"/>
        <v/>
      </c>
      <c r="G20" s="17"/>
      <c r="H20" s="17"/>
      <c r="I20" s="17"/>
      <c r="J20" s="17"/>
      <c r="K20" s="146" t="str">
        <f t="shared" si="2"/>
        <v/>
      </c>
      <c r="L20" s="17"/>
      <c r="M20" s="146" t="str">
        <f t="shared" si="3"/>
        <v/>
      </c>
      <c r="N20" s="16"/>
      <c r="O20" s="17"/>
      <c r="P20" s="157"/>
    </row>
    <row r="21">
      <c r="A21" s="21"/>
      <c r="B21" s="13"/>
      <c r="C21" s="13"/>
      <c r="D21" s="13"/>
      <c r="E21" s="13"/>
      <c r="F21" s="145" t="str">
        <f t="shared" si="1"/>
        <v/>
      </c>
      <c r="G21" s="17"/>
      <c r="H21" s="17"/>
      <c r="I21" s="17"/>
      <c r="J21" s="17"/>
      <c r="K21" s="146" t="str">
        <f t="shared" si="2"/>
        <v/>
      </c>
      <c r="L21" s="17"/>
      <c r="M21" s="146" t="str">
        <f t="shared" si="3"/>
        <v/>
      </c>
      <c r="N21" s="16"/>
      <c r="O21" s="17"/>
      <c r="P21" s="157"/>
    </row>
    <row r="22">
      <c r="A22" s="4"/>
      <c r="B22" s="61"/>
      <c r="C22" s="61"/>
      <c r="D22" s="61"/>
      <c r="E22" s="61"/>
      <c r="F22" s="145" t="str">
        <f t="shared" si="1"/>
        <v/>
      </c>
      <c r="G22" s="137"/>
      <c r="H22" s="137"/>
      <c r="I22" s="137"/>
      <c r="J22" s="137"/>
      <c r="K22" s="146" t="str">
        <f t="shared" si="2"/>
        <v/>
      </c>
      <c r="L22" s="137"/>
      <c r="M22" s="146" t="str">
        <f t="shared" si="3"/>
        <v/>
      </c>
      <c r="N22" s="122"/>
      <c r="O22" s="137"/>
      <c r="P22" s="137"/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</row>
    <row r="23">
      <c r="A23" s="137"/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7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</row>
    <row r="24">
      <c r="A24" s="102" t="s">
        <v>171</v>
      </c>
      <c r="B24" s="158" t="str">
        <f t="shared" ref="B24:F24" si="4">IFERROR(AVERAGE(B3:B22),"")</f>
        <v/>
      </c>
      <c r="C24" s="158" t="str">
        <f t="shared" si="4"/>
        <v/>
      </c>
      <c r="D24" s="158" t="str">
        <f t="shared" si="4"/>
        <v/>
      </c>
      <c r="E24" s="158" t="str">
        <f t="shared" si="4"/>
        <v/>
      </c>
      <c r="F24" s="158" t="str">
        <f t="shared" si="4"/>
        <v/>
      </c>
      <c r="G24" s="137"/>
      <c r="H24" s="137"/>
      <c r="I24" s="137"/>
      <c r="J24" s="137"/>
      <c r="K24" s="137"/>
      <c r="L24" s="137"/>
      <c r="M24" s="137"/>
      <c r="N24" s="137"/>
      <c r="O24" s="137"/>
      <c r="P24" s="137"/>
      <c r="Q24" s="137"/>
      <c r="R24" s="137"/>
      <c r="S24" s="19" t="s">
        <v>16</v>
      </c>
      <c r="T24" s="20">
        <v>145.0</v>
      </c>
      <c r="U24" s="20">
        <v>145.0</v>
      </c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</row>
    <row r="25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9" t="s">
        <v>18</v>
      </c>
      <c r="T25" s="20">
        <v>1172.0</v>
      </c>
      <c r="U25" s="20">
        <v>518.0</v>
      </c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</row>
    <row r="26">
      <c r="A26" s="137"/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6" t="s">
        <v>19</v>
      </c>
      <c r="T26" s="20">
        <v>411.0</v>
      </c>
      <c r="U26" s="20">
        <v>812.0</v>
      </c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</row>
    <row r="27">
      <c r="A27" s="137"/>
      <c r="B27" s="137"/>
      <c r="C27" s="137"/>
      <c r="D27" s="137"/>
      <c r="E27" s="137"/>
      <c r="F27" s="137"/>
      <c r="G27" s="159" t="s">
        <v>222</v>
      </c>
      <c r="H27" s="137"/>
      <c r="I27" s="137"/>
      <c r="J27" s="137"/>
      <c r="K27" s="137"/>
      <c r="L27" s="137"/>
      <c r="M27" s="137"/>
      <c r="O27" s="137"/>
      <c r="P27" s="137"/>
      <c r="Q27" s="137"/>
      <c r="R27" s="137"/>
      <c r="S27" s="16" t="s">
        <v>20</v>
      </c>
      <c r="T27" s="20">
        <v>1267.0</v>
      </c>
      <c r="U27" s="20">
        <v>1023.0</v>
      </c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</row>
    <row r="28">
      <c r="A28" s="137"/>
      <c r="B28" s="137"/>
      <c r="C28" s="137"/>
      <c r="D28" s="137"/>
      <c r="E28" s="137"/>
      <c r="F28" s="137"/>
      <c r="G28" s="160">
        <v>1.0</v>
      </c>
      <c r="H28" s="160" t="s">
        <v>131</v>
      </c>
      <c r="I28" s="160">
        <v>2.0</v>
      </c>
      <c r="J28" s="137"/>
      <c r="K28" s="137"/>
      <c r="L28" s="137"/>
      <c r="M28" s="137"/>
      <c r="O28" s="137"/>
      <c r="P28" s="137"/>
      <c r="Q28" s="137"/>
      <c r="R28" s="137"/>
      <c r="S28" s="16" t="s">
        <v>21</v>
      </c>
      <c r="T28" s="20">
        <v>770.0</v>
      </c>
      <c r="U28" s="20">
        <v>1263.0</v>
      </c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</row>
    <row r="29">
      <c r="A29" s="137"/>
      <c r="B29" s="137"/>
      <c r="C29" s="137"/>
      <c r="D29" s="4" t="s">
        <v>223</v>
      </c>
      <c r="E29" s="4">
        <f>J29</f>
        <v>146</v>
      </c>
      <c r="F29" s="137"/>
      <c r="G29" s="161">
        <v>59.0</v>
      </c>
      <c r="H29" s="161">
        <v>33.0</v>
      </c>
      <c r="I29" s="161">
        <v>54.0</v>
      </c>
      <c r="J29" s="137">
        <f>SUM(G29:I29)</f>
        <v>146</v>
      </c>
      <c r="K29" s="137"/>
      <c r="L29" s="102" t="s">
        <v>224</v>
      </c>
      <c r="M29" s="102" t="s">
        <v>225</v>
      </c>
      <c r="O29" s="4">
        <v>1.0</v>
      </c>
      <c r="P29" s="137">
        <f t="shared" ref="P29:P31" si="6">COUNTIF($M$30:$M1001,O29)</f>
        <v>54</v>
      </c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</row>
    <row r="30">
      <c r="A30" s="137"/>
      <c r="B30" s="137"/>
      <c r="C30" s="137"/>
      <c r="D30" s="137"/>
      <c r="E30" s="137"/>
      <c r="F30" s="137"/>
      <c r="G30" s="162">
        <f t="shared" ref="G30:I30" si="5">G29/$J$29</f>
        <v>0.404109589</v>
      </c>
      <c r="H30" s="162">
        <f t="shared" si="5"/>
        <v>0.2260273973</v>
      </c>
      <c r="I30" s="162">
        <f t="shared" si="5"/>
        <v>0.3698630137</v>
      </c>
      <c r="J30" s="137"/>
      <c r="K30" s="137"/>
      <c r="L30" s="4">
        <v>0.0</v>
      </c>
      <c r="M30" s="4">
        <v>2.0</v>
      </c>
      <c r="O30" s="4">
        <v>0.0</v>
      </c>
      <c r="P30" s="137">
        <f t="shared" si="6"/>
        <v>23</v>
      </c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</row>
    <row r="31">
      <c r="A31" s="137"/>
      <c r="B31" s="137"/>
      <c r="C31" s="137"/>
      <c r="D31" s="137"/>
      <c r="E31" s="137"/>
      <c r="F31" s="137"/>
      <c r="K31" s="137"/>
      <c r="L31" s="4">
        <v>2.0</v>
      </c>
      <c r="M31" s="4">
        <v>2.0</v>
      </c>
      <c r="O31" s="4">
        <v>2.0</v>
      </c>
      <c r="P31" s="137">
        <f t="shared" si="6"/>
        <v>69</v>
      </c>
      <c r="R31" s="137"/>
      <c r="S31" s="102" t="s">
        <v>226</v>
      </c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</row>
    <row r="3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4">
        <v>2.0</v>
      </c>
      <c r="M32" s="4">
        <v>2.0</v>
      </c>
      <c r="O32" s="137"/>
      <c r="P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</row>
    <row r="33">
      <c r="A33" s="137"/>
      <c r="B33" s="137"/>
      <c r="C33" s="137"/>
      <c r="D33" s="137"/>
      <c r="E33" s="137"/>
      <c r="F33" s="137"/>
      <c r="G33" s="105" t="s">
        <v>227</v>
      </c>
      <c r="J33" s="137"/>
      <c r="K33" s="137"/>
      <c r="L33" s="4">
        <v>2.0</v>
      </c>
      <c r="M33" s="4">
        <v>2.0</v>
      </c>
      <c r="O33" s="137"/>
      <c r="P33" s="137"/>
      <c r="R33" s="137"/>
      <c r="T33" s="51" t="s">
        <v>228</v>
      </c>
      <c r="W33" s="20" t="s">
        <v>229</v>
      </c>
      <c r="AA33" s="30"/>
      <c r="AD33" s="137"/>
      <c r="AE33" s="137"/>
      <c r="AF33" s="137"/>
      <c r="AG33" s="137"/>
    </row>
    <row r="34">
      <c r="A34" s="137"/>
      <c r="B34" s="137"/>
      <c r="C34" s="137"/>
      <c r="D34" s="137"/>
      <c r="E34" s="137"/>
      <c r="F34" s="137"/>
      <c r="G34" s="163">
        <v>1.0</v>
      </c>
      <c r="H34" s="163" t="s">
        <v>131</v>
      </c>
      <c r="I34" s="163">
        <v>2.0</v>
      </c>
      <c r="J34" s="137"/>
      <c r="K34" s="137"/>
      <c r="L34" s="4">
        <v>0.0</v>
      </c>
      <c r="M34" s="4">
        <v>0.0</v>
      </c>
      <c r="N34" s="137"/>
      <c r="O34" s="137"/>
      <c r="P34" s="137"/>
      <c r="R34" s="137"/>
      <c r="S34" s="34" t="s">
        <v>16</v>
      </c>
      <c r="T34" s="100">
        <v>1626.0</v>
      </c>
      <c r="U34" s="100" t="s">
        <v>230</v>
      </c>
      <c r="W34" s="20">
        <v>5193.0</v>
      </c>
      <c r="AD34" s="137"/>
      <c r="AE34" s="137"/>
      <c r="AF34" s="137"/>
      <c r="AG34" s="137"/>
    </row>
    <row r="35">
      <c r="A35" s="137"/>
      <c r="B35" s="137"/>
      <c r="C35" s="137"/>
      <c r="D35" s="137"/>
      <c r="E35" s="137"/>
      <c r="F35" s="137"/>
      <c r="G35" s="164">
        <v>0.485</v>
      </c>
      <c r="H35" s="164">
        <v>0.285</v>
      </c>
      <c r="I35" s="164">
        <v>0.23</v>
      </c>
      <c r="J35" s="137"/>
      <c r="K35" s="137"/>
      <c r="L35" s="4">
        <v>2.0</v>
      </c>
      <c r="M35" s="4">
        <v>2.0</v>
      </c>
      <c r="N35" s="137"/>
      <c r="O35" s="137"/>
      <c r="P35" s="137"/>
      <c r="R35" s="137"/>
      <c r="S35" s="34" t="s">
        <v>18</v>
      </c>
      <c r="T35" s="100">
        <v>4176.0</v>
      </c>
      <c r="U35" s="100" t="s">
        <v>230</v>
      </c>
      <c r="W35" s="20">
        <v>4863.0</v>
      </c>
      <c r="AD35" s="137"/>
      <c r="AE35" s="137"/>
      <c r="AF35" s="137"/>
      <c r="AG35" s="137"/>
    </row>
    <row r="36">
      <c r="A36" s="137"/>
      <c r="B36" s="137"/>
      <c r="C36" s="137"/>
      <c r="D36" s="137"/>
      <c r="E36" s="137"/>
      <c r="F36" s="137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37"/>
      <c r="K36" s="137"/>
      <c r="L36" s="4">
        <v>2.0</v>
      </c>
      <c r="M36" s="4">
        <v>2.0</v>
      </c>
      <c r="N36" s="165"/>
      <c r="O36" s="137"/>
      <c r="P36" s="137"/>
      <c r="R36" s="137"/>
      <c r="S36" s="20" t="s">
        <v>19</v>
      </c>
      <c r="T36" s="100">
        <v>5130.0</v>
      </c>
      <c r="U36" s="166"/>
      <c r="W36" s="20">
        <v>3032.0</v>
      </c>
      <c r="AD36" s="137"/>
      <c r="AE36" s="137"/>
      <c r="AF36" s="137"/>
      <c r="AG36" s="137"/>
    </row>
    <row r="37">
      <c r="A37" s="137"/>
      <c r="B37" s="137"/>
      <c r="C37" s="137"/>
      <c r="D37" s="137"/>
      <c r="E37" s="137"/>
      <c r="F37" s="137"/>
      <c r="J37" s="137"/>
      <c r="K37" s="137"/>
      <c r="L37" s="4">
        <v>2.0</v>
      </c>
      <c r="M37" s="4">
        <v>2.0</v>
      </c>
      <c r="N37" s="165"/>
      <c r="O37" s="137"/>
      <c r="P37" s="137"/>
      <c r="Q37" s="137"/>
      <c r="R37" s="137"/>
      <c r="S37" s="20" t="s">
        <v>20</v>
      </c>
      <c r="T37" s="100">
        <v>2114.0</v>
      </c>
      <c r="U37" s="166"/>
      <c r="W37" s="20">
        <v>2114.0</v>
      </c>
      <c r="AD37" s="137"/>
      <c r="AE37" s="137"/>
      <c r="AF37" s="137"/>
      <c r="AG37" s="137"/>
    </row>
    <row r="38">
      <c r="A38" s="137"/>
      <c r="B38" s="137"/>
      <c r="C38" s="137"/>
      <c r="D38" s="137"/>
      <c r="E38" s="137"/>
      <c r="F38" s="4" t="s">
        <v>231</v>
      </c>
      <c r="G38" s="162">
        <f t="shared" ref="G38:I38" si="8">G30-G35</f>
        <v>-0.08089041096</v>
      </c>
      <c r="H38" s="162">
        <f t="shared" si="8"/>
        <v>-0.05897260274</v>
      </c>
      <c r="I38" s="162">
        <f t="shared" si="8"/>
        <v>0.1398630137</v>
      </c>
      <c r="J38" s="137"/>
      <c r="K38" s="137"/>
      <c r="L38" s="4">
        <v>1.0</v>
      </c>
      <c r="M38" s="4">
        <v>0.0</v>
      </c>
      <c r="N38" s="165"/>
      <c r="O38" s="137"/>
      <c r="P38" s="137"/>
      <c r="Q38" s="137"/>
      <c r="R38" s="137"/>
      <c r="S38" s="20" t="s">
        <v>21</v>
      </c>
      <c r="T38" s="166"/>
      <c r="U38" s="166"/>
      <c r="W38" s="20">
        <v>240.0</v>
      </c>
      <c r="AD38" s="137"/>
      <c r="AE38" s="137"/>
      <c r="AF38" s="137"/>
      <c r="AG38" s="137"/>
    </row>
    <row r="39">
      <c r="A39" s="137"/>
      <c r="B39" s="137"/>
      <c r="C39" s="137"/>
      <c r="D39" s="137"/>
      <c r="E39" s="137"/>
      <c r="K39" s="137"/>
      <c r="L39" s="4">
        <v>1.0</v>
      </c>
      <c r="M39" s="4">
        <v>1.0</v>
      </c>
      <c r="N39" s="165"/>
      <c r="O39" s="137"/>
      <c r="P39" s="137"/>
      <c r="Q39" s="137"/>
      <c r="R39" s="137"/>
      <c r="U39" s="20"/>
      <c r="AD39" s="137"/>
      <c r="AE39" s="137"/>
      <c r="AF39" s="137"/>
      <c r="AG39" s="137"/>
    </row>
    <row r="40">
      <c r="A40" s="137"/>
      <c r="B40" s="137"/>
      <c r="C40" s="137"/>
      <c r="D40" s="137"/>
      <c r="E40" s="137"/>
      <c r="K40" s="137"/>
      <c r="L40" s="4">
        <v>1.0</v>
      </c>
      <c r="M40" s="4">
        <v>1.0</v>
      </c>
      <c r="N40" s="165"/>
      <c r="O40" s="137"/>
      <c r="P40" s="137"/>
      <c r="Q40" s="137"/>
      <c r="R40" s="137"/>
      <c r="U40" s="20"/>
      <c r="AD40" s="137"/>
      <c r="AE40" s="137"/>
      <c r="AF40" s="137"/>
      <c r="AG40" s="137"/>
    </row>
    <row r="41">
      <c r="A41" s="137"/>
      <c r="B41" s="137"/>
      <c r="C41" s="137"/>
      <c r="D41" s="137"/>
      <c r="E41" s="137"/>
      <c r="K41" s="137"/>
      <c r="L41" s="4">
        <v>1.0</v>
      </c>
      <c r="M41" s="4">
        <v>1.0</v>
      </c>
      <c r="N41" s="165"/>
      <c r="O41" s="137"/>
      <c r="P41" s="137"/>
      <c r="Q41" s="137"/>
      <c r="R41" s="137"/>
      <c r="U41" s="20"/>
      <c r="AD41" s="137"/>
      <c r="AE41" s="137"/>
      <c r="AF41" s="137"/>
      <c r="AG41" s="137"/>
    </row>
    <row r="42">
      <c r="A42" s="137"/>
      <c r="B42" s="137"/>
      <c r="C42" s="137"/>
      <c r="D42" s="137"/>
      <c r="E42" s="137"/>
      <c r="K42" s="137"/>
      <c r="L42" s="4">
        <v>0.0</v>
      </c>
      <c r="M42" s="4">
        <v>1.0</v>
      </c>
      <c r="N42" s="165"/>
      <c r="O42" s="137"/>
      <c r="P42" s="137"/>
      <c r="Q42" s="137"/>
      <c r="R42" s="137"/>
      <c r="U42" s="20"/>
      <c r="AD42" s="137"/>
      <c r="AE42" s="137"/>
      <c r="AF42" s="137"/>
      <c r="AG42" s="137"/>
    </row>
    <row r="43">
      <c r="A43" s="137"/>
      <c r="B43" s="137"/>
      <c r="C43" s="137"/>
      <c r="D43" s="137"/>
      <c r="E43" s="137"/>
      <c r="K43" s="137"/>
      <c r="L43" s="4">
        <v>1.0</v>
      </c>
      <c r="M43" s="4">
        <v>0.0</v>
      </c>
      <c r="N43" s="165"/>
      <c r="O43" s="137"/>
      <c r="P43" s="137"/>
      <c r="Q43" s="137"/>
      <c r="R43" s="137"/>
      <c r="U43" s="20"/>
      <c r="AD43" s="137"/>
      <c r="AE43" s="137"/>
      <c r="AF43" s="137"/>
      <c r="AG43" s="137"/>
    </row>
    <row r="44">
      <c r="A44" s="137"/>
      <c r="B44" s="137"/>
      <c r="C44" s="137"/>
      <c r="D44" s="137"/>
      <c r="E44" s="137"/>
      <c r="K44" s="137"/>
      <c r="L44" s="4">
        <v>2.0</v>
      </c>
      <c r="M44" s="4">
        <v>2.0</v>
      </c>
      <c r="N44" s="165"/>
      <c r="O44" s="137"/>
      <c r="P44" s="137"/>
      <c r="Q44" s="137"/>
      <c r="R44" s="137"/>
      <c r="AD44" s="137"/>
      <c r="AE44" s="137"/>
      <c r="AF44" s="137"/>
      <c r="AG44" s="137"/>
    </row>
    <row r="45">
      <c r="A45" s="137"/>
      <c r="B45" s="137"/>
      <c r="C45" s="137"/>
      <c r="D45" s="137"/>
      <c r="E45" s="137"/>
      <c r="K45" s="137"/>
      <c r="L45" s="4">
        <v>2.0</v>
      </c>
      <c r="M45" s="4">
        <v>2.0</v>
      </c>
      <c r="N45" s="165"/>
      <c r="O45" s="137"/>
      <c r="P45" s="137"/>
      <c r="Q45" s="137"/>
      <c r="R45" s="137"/>
      <c r="T45" s="152" t="s">
        <v>232</v>
      </c>
      <c r="AD45" s="137"/>
      <c r="AE45" s="137"/>
      <c r="AF45" s="137"/>
      <c r="AG45" s="137"/>
    </row>
    <row r="46">
      <c r="A46" s="137"/>
      <c r="B46" s="137"/>
      <c r="C46" s="137"/>
      <c r="D46" s="137"/>
      <c r="E46" s="137"/>
      <c r="K46" s="137"/>
      <c r="L46" s="4">
        <v>1.0</v>
      </c>
      <c r="M46" s="4">
        <v>1.0</v>
      </c>
      <c r="N46" s="165"/>
      <c r="O46" s="137"/>
      <c r="P46" s="137"/>
      <c r="Q46" s="137"/>
      <c r="R46" s="137"/>
      <c r="AD46" s="137"/>
      <c r="AE46" s="137"/>
      <c r="AF46" s="137"/>
      <c r="AG46" s="137"/>
    </row>
    <row r="47">
      <c r="A47" s="137"/>
      <c r="B47" s="137"/>
      <c r="C47" s="137"/>
      <c r="D47" s="137"/>
      <c r="E47" s="137"/>
      <c r="K47" s="137"/>
      <c r="L47" s="4">
        <v>1.0</v>
      </c>
      <c r="M47" s="4">
        <v>1.0</v>
      </c>
      <c r="N47" s="165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</row>
    <row r="48">
      <c r="A48" s="137"/>
      <c r="B48" s="137"/>
      <c r="C48" s="137"/>
      <c r="D48" s="137"/>
      <c r="E48" s="137"/>
      <c r="K48" s="137"/>
      <c r="L48" s="4">
        <v>2.0</v>
      </c>
      <c r="M48" s="4">
        <v>2.0</v>
      </c>
      <c r="N48" s="165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</row>
    <row r="49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4">
        <v>1.0</v>
      </c>
      <c r="M49" s="4">
        <v>0.0</v>
      </c>
      <c r="N49" s="165"/>
      <c r="O49" s="137"/>
      <c r="P49" s="137"/>
      <c r="Q49" s="137"/>
      <c r="R49" s="137"/>
      <c r="S49" s="137" t="s">
        <v>0</v>
      </c>
      <c r="T49" s="137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1" t="s">
        <v>64</v>
      </c>
      <c r="AF49" s="61" t="s">
        <v>44</v>
      </c>
      <c r="AG49" s="61" t="s">
        <v>233</v>
      </c>
    </row>
    <row r="50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4">
        <v>2.0</v>
      </c>
      <c r="M50" s="4">
        <v>2.0</v>
      </c>
      <c r="N50" s="165"/>
      <c r="O50" s="137"/>
      <c r="P50" s="137"/>
      <c r="Q50" s="137"/>
      <c r="R50" s="137"/>
      <c r="S50" s="167">
        <v>6.0</v>
      </c>
      <c r="T50" s="137" t="s">
        <v>13</v>
      </c>
      <c r="U50" s="168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37"/>
      <c r="AD50" s="137"/>
      <c r="AE50" s="61">
        <v>31833.0939389723</v>
      </c>
      <c r="AF50" s="61">
        <v>54.49862394110609</v>
      </c>
      <c r="AG50" s="61"/>
    </row>
    <row r="5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4">
        <v>0.0</v>
      </c>
      <c r="M51" s="4">
        <v>2.0</v>
      </c>
      <c r="N51" s="165"/>
      <c r="O51" s="137"/>
      <c r="P51" s="137"/>
      <c r="Q51" s="137"/>
      <c r="R51" s="137"/>
      <c r="S51" s="4">
        <v>167.0</v>
      </c>
      <c r="T51" s="4" t="s">
        <v>15</v>
      </c>
      <c r="U51" s="168"/>
      <c r="V51" s="168"/>
      <c r="W51" s="168"/>
      <c r="X51" s="137"/>
      <c r="Y51" s="137"/>
      <c r="Z51" s="137"/>
      <c r="AA51" s="137"/>
      <c r="AB51" s="137"/>
      <c r="AC51" s="137"/>
      <c r="AD51" s="4"/>
      <c r="AE51" s="169"/>
      <c r="AF51" s="169"/>
      <c r="AG51" s="169"/>
    </row>
    <row r="52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4">
        <v>2.0</v>
      </c>
      <c r="M52" s="4">
        <v>2.0</v>
      </c>
      <c r="N52" s="165"/>
      <c r="O52" s="137"/>
      <c r="P52" s="137"/>
      <c r="Q52" s="137"/>
      <c r="R52" s="137"/>
      <c r="S52" s="167">
        <v>48.0</v>
      </c>
      <c r="T52" s="137" t="s">
        <v>16</v>
      </c>
      <c r="U52" s="168">
        <v>45719.0</v>
      </c>
      <c r="V52" s="4">
        <v>5193.0</v>
      </c>
      <c r="W52" s="4" t="s">
        <v>14</v>
      </c>
      <c r="X52" s="170">
        <v>1.41003293517905</v>
      </c>
      <c r="Y52" s="61">
        <v>80.0</v>
      </c>
      <c r="Z52" s="4"/>
      <c r="AA52" s="4"/>
      <c r="AB52" s="4"/>
      <c r="AC52" s="61"/>
      <c r="AD52" s="169">
        <v>12.0</v>
      </c>
      <c r="AE52" s="61">
        <v>18.3811167659873</v>
      </c>
      <c r="AF52" s="171">
        <v>13.03594852814783</v>
      </c>
      <c r="AG52" s="61" t="s">
        <v>234</v>
      </c>
    </row>
    <row r="5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4">
        <v>1.0</v>
      </c>
      <c r="M53" s="4">
        <v>2.0</v>
      </c>
      <c r="N53" s="165"/>
      <c r="O53" s="137"/>
      <c r="P53" s="137"/>
      <c r="Q53" s="137"/>
      <c r="R53" s="137"/>
      <c r="S53" s="4">
        <v>55.0</v>
      </c>
      <c r="T53" s="137" t="s">
        <v>18</v>
      </c>
      <c r="U53" s="168">
        <v>45719.0</v>
      </c>
      <c r="V53" s="4">
        <v>4863.0</v>
      </c>
      <c r="W53" s="4" t="s">
        <v>14</v>
      </c>
      <c r="X53" s="170">
        <v>1.63203401219684</v>
      </c>
      <c r="Y53" s="61">
        <v>65.0</v>
      </c>
      <c r="Z53" s="61"/>
      <c r="AA53" s="61"/>
      <c r="AB53" s="61"/>
      <c r="AC53" s="61"/>
      <c r="AD53" s="169">
        <v>9.75</v>
      </c>
      <c r="AE53" s="61">
        <v>10.2684969590418</v>
      </c>
      <c r="AF53" s="171">
        <v>6.291840048860032</v>
      </c>
      <c r="AG53" s="61" t="s">
        <v>234</v>
      </c>
    </row>
    <row r="54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4">
        <v>2.0</v>
      </c>
      <c r="M54" s="4">
        <v>2.0</v>
      </c>
      <c r="N54" s="165"/>
      <c r="O54" s="137"/>
      <c r="P54" s="137"/>
      <c r="Q54" s="137"/>
      <c r="R54" s="137"/>
      <c r="S54" s="4">
        <v>59.0</v>
      </c>
      <c r="T54" s="4" t="s">
        <v>19</v>
      </c>
      <c r="U54" s="168">
        <v>45720.0</v>
      </c>
      <c r="V54" s="4">
        <v>3032.0</v>
      </c>
      <c r="W54" s="4" t="s">
        <v>14</v>
      </c>
      <c r="X54" s="170">
        <v>1.06853835846173</v>
      </c>
      <c r="Y54" s="61">
        <v>110.0</v>
      </c>
      <c r="Z54" s="61"/>
      <c r="AA54" s="61"/>
      <c r="AB54" s="61"/>
      <c r="AC54" s="61"/>
      <c r="AD54" s="169">
        <v>16.5</v>
      </c>
      <c r="AE54" s="61">
        <v>2.911074683344</v>
      </c>
      <c r="AF54" s="171">
        <v>2.7243520649411117</v>
      </c>
      <c r="AG54" s="61" t="s">
        <v>234</v>
      </c>
    </row>
    <row r="55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4">
        <v>2.0</v>
      </c>
      <c r="M55" s="4">
        <v>2.0</v>
      </c>
      <c r="N55" s="165"/>
      <c r="O55" s="137"/>
      <c r="P55" s="137"/>
      <c r="Q55" s="137"/>
      <c r="R55" s="137"/>
      <c r="S55" s="4">
        <v>77.0</v>
      </c>
      <c r="T55" s="4" t="s">
        <v>20</v>
      </c>
      <c r="U55" s="168">
        <v>45720.0</v>
      </c>
      <c r="V55" s="4">
        <v>2114.0</v>
      </c>
      <c r="W55" s="4" t="s">
        <v>14</v>
      </c>
      <c r="X55" s="170">
        <v>1.09822611282299</v>
      </c>
      <c r="Y55" s="61">
        <v>40.0</v>
      </c>
      <c r="Z55" s="4"/>
      <c r="AA55" s="4"/>
      <c r="AB55" s="4"/>
      <c r="AC55" s="61"/>
      <c r="AD55" s="169">
        <v>6.0</v>
      </c>
      <c r="AE55" s="61">
        <v>2.35349633471392</v>
      </c>
      <c r="AF55" s="171">
        <v>2.1429979739456915</v>
      </c>
      <c r="AG55" s="61" t="s">
        <v>234</v>
      </c>
    </row>
    <row r="56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4">
        <v>1.0</v>
      </c>
      <c r="M56" s="4">
        <v>1.0</v>
      </c>
      <c r="N56" s="165"/>
      <c r="O56" s="137"/>
      <c r="P56" s="137"/>
      <c r="Q56" s="137"/>
      <c r="R56" s="137"/>
      <c r="S56" s="4">
        <v>148.0</v>
      </c>
      <c r="T56" s="4" t="s">
        <v>21</v>
      </c>
      <c r="U56" s="168">
        <v>45720.0</v>
      </c>
      <c r="V56" s="4">
        <v>240.0</v>
      </c>
      <c r="W56" s="4" t="s">
        <v>14</v>
      </c>
      <c r="X56" s="170">
        <v>1.06829550473903</v>
      </c>
      <c r="Y56" s="61">
        <v>110.0</v>
      </c>
      <c r="Z56" s="4"/>
      <c r="AA56" s="4"/>
      <c r="AB56" s="4"/>
      <c r="AC56" s="61"/>
      <c r="AD56" s="169">
        <v>16.5</v>
      </c>
      <c r="AE56" s="61">
        <v>4.25215839444752</v>
      </c>
      <c r="AF56" s="171">
        <v>3.98032040346951</v>
      </c>
      <c r="AG56" s="61" t="s">
        <v>234</v>
      </c>
    </row>
    <row r="57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4">
        <v>2.0</v>
      </c>
      <c r="M57" s="4">
        <v>1.0</v>
      </c>
      <c r="N57" s="165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</row>
    <row r="58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4">
        <v>1.0</v>
      </c>
      <c r="M58" s="4">
        <v>1.0</v>
      </c>
      <c r="N58" s="165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  <c r="AG58" s="137"/>
    </row>
    <row r="59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4">
        <v>0.0</v>
      </c>
      <c r="M59" s="4">
        <v>1.0</v>
      </c>
      <c r="N59" s="165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37"/>
    </row>
    <row r="60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4">
        <v>2.0</v>
      </c>
      <c r="M60" s="4">
        <v>0.0</v>
      </c>
      <c r="N60" s="165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</row>
    <row r="61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4">
        <v>0.0</v>
      </c>
      <c r="M61" s="4">
        <v>1.0</v>
      </c>
      <c r="N61" s="165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</row>
    <row r="62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4">
        <v>2.0</v>
      </c>
      <c r="M62" s="4">
        <v>0.0</v>
      </c>
      <c r="N62" s="165"/>
      <c r="O62" s="137"/>
      <c r="P62" s="137"/>
      <c r="Q62" s="137"/>
      <c r="R62" s="137"/>
      <c r="S62" s="137"/>
      <c r="U62" s="20" t="s">
        <v>235</v>
      </c>
      <c r="V62" s="20" t="s">
        <v>236</v>
      </c>
      <c r="AC62" s="137"/>
      <c r="AD62" s="137"/>
      <c r="AE62" s="137"/>
      <c r="AF62" s="137"/>
      <c r="AG62" s="137"/>
    </row>
    <row r="63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4">
        <v>0.0</v>
      </c>
      <c r="M63" s="4">
        <v>1.0</v>
      </c>
      <c r="N63" s="165"/>
      <c r="O63" s="137"/>
      <c r="P63" s="137"/>
      <c r="Q63" s="137"/>
      <c r="R63" s="137"/>
      <c r="S63" s="137"/>
      <c r="T63" s="19" t="s">
        <v>16</v>
      </c>
      <c r="U63" s="20">
        <v>2434.0</v>
      </c>
      <c r="V63" s="20">
        <v>2165.0</v>
      </c>
      <c r="W63" s="20" t="s">
        <v>237</v>
      </c>
      <c r="AC63" s="137"/>
      <c r="AD63" s="137"/>
      <c r="AE63" s="137"/>
      <c r="AF63" s="137"/>
      <c r="AG63" s="137"/>
    </row>
    <row r="64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4">
        <v>0.0</v>
      </c>
      <c r="M64" s="4">
        <v>1.0</v>
      </c>
      <c r="N64" s="165"/>
      <c r="O64" s="137"/>
      <c r="P64" s="137"/>
      <c r="Q64" s="137"/>
      <c r="R64" s="137"/>
      <c r="S64" s="137"/>
      <c r="T64" s="19" t="s">
        <v>18</v>
      </c>
      <c r="U64" s="20">
        <v>4863.0</v>
      </c>
      <c r="V64" s="20">
        <v>4522.0</v>
      </c>
      <c r="AC64" s="137"/>
      <c r="AD64" s="137"/>
      <c r="AE64" s="137"/>
      <c r="AF64" s="137"/>
      <c r="AG64" s="137"/>
    </row>
    <row r="65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4">
        <v>0.0</v>
      </c>
      <c r="M65" s="4">
        <v>1.0</v>
      </c>
      <c r="N65" s="165"/>
      <c r="O65" s="137"/>
      <c r="P65" s="137"/>
      <c r="Q65" s="137"/>
      <c r="R65" s="137"/>
      <c r="S65" s="137"/>
      <c r="T65" s="16" t="s">
        <v>19</v>
      </c>
      <c r="U65" s="20">
        <v>4954.0</v>
      </c>
      <c r="V65" s="20">
        <v>4486.0</v>
      </c>
      <c r="AC65" s="137"/>
      <c r="AD65" s="137"/>
      <c r="AE65" s="137"/>
      <c r="AF65" s="137"/>
      <c r="AG65" s="137"/>
    </row>
    <row r="66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4">
        <v>0.0</v>
      </c>
      <c r="M66" s="4">
        <v>2.0</v>
      </c>
      <c r="N66" s="165"/>
      <c r="O66" s="137"/>
      <c r="P66" s="137"/>
      <c r="Q66" s="137"/>
      <c r="R66" s="137"/>
      <c r="S66" s="137"/>
      <c r="T66" s="16" t="s">
        <v>20</v>
      </c>
      <c r="U66" s="20">
        <v>5132.0</v>
      </c>
      <c r="V66" s="20">
        <v>4605.0</v>
      </c>
      <c r="AC66" s="137"/>
      <c r="AD66" s="137"/>
      <c r="AE66" s="137"/>
      <c r="AF66" s="137"/>
      <c r="AG66" s="137"/>
    </row>
    <row r="67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4">
        <v>1.0</v>
      </c>
      <c r="M67" s="4">
        <v>2.0</v>
      </c>
      <c r="N67" s="165"/>
      <c r="O67" s="137"/>
      <c r="P67" s="137"/>
      <c r="Q67" s="137"/>
      <c r="R67" s="137"/>
      <c r="S67" s="137"/>
      <c r="T67" s="16" t="s">
        <v>21</v>
      </c>
      <c r="U67" s="20">
        <v>3490.0</v>
      </c>
      <c r="V67" s="20">
        <v>5142.0</v>
      </c>
      <c r="AC67" s="137"/>
      <c r="AD67" s="137"/>
      <c r="AE67" s="137"/>
      <c r="AF67" s="137"/>
      <c r="AG67" s="137"/>
    </row>
    <row r="68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4">
        <v>2.0</v>
      </c>
      <c r="M68" s="4">
        <v>2.0</v>
      </c>
      <c r="N68" s="165"/>
      <c r="O68" s="137"/>
      <c r="P68" s="137"/>
      <c r="Q68" s="137"/>
      <c r="R68" s="137"/>
      <c r="S68" s="137"/>
      <c r="AC68" s="137"/>
      <c r="AD68" s="137"/>
      <c r="AE68" s="137"/>
      <c r="AF68" s="137"/>
      <c r="AG68" s="137"/>
    </row>
    <row r="69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4">
        <v>1.0</v>
      </c>
      <c r="M69" s="4">
        <v>2.0</v>
      </c>
      <c r="N69" s="165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</row>
    <row r="70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4">
        <v>2.0</v>
      </c>
      <c r="M70" s="4">
        <v>2.0</v>
      </c>
      <c r="N70" s="165"/>
      <c r="O70" s="137"/>
      <c r="P70" s="137"/>
      <c r="Q70" s="137"/>
      <c r="R70" s="137"/>
      <c r="S70" s="137"/>
      <c r="T70" s="137"/>
      <c r="U70" s="19" t="s">
        <v>16</v>
      </c>
      <c r="V70" s="100">
        <v>3526.0</v>
      </c>
      <c r="W70" s="100">
        <v>3574.0</v>
      </c>
      <c r="X70" s="45">
        <v>4764.0</v>
      </c>
      <c r="Y70" s="137"/>
      <c r="Z70" s="137"/>
      <c r="AA70" s="137"/>
      <c r="AB70" s="137"/>
      <c r="AC70" s="137"/>
      <c r="AD70" s="137"/>
      <c r="AE70" s="137"/>
      <c r="AF70" s="137"/>
      <c r="AG70" s="137"/>
    </row>
    <row r="71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4">
        <v>1.0</v>
      </c>
      <c r="M71" s="4">
        <v>1.0</v>
      </c>
      <c r="N71" s="165"/>
      <c r="O71" s="137"/>
      <c r="P71" s="137"/>
      <c r="Q71" s="137"/>
      <c r="R71" s="137"/>
      <c r="S71" s="137"/>
      <c r="T71" s="137"/>
      <c r="U71" s="19" t="s">
        <v>18</v>
      </c>
      <c r="V71" s="45">
        <v>4522.0</v>
      </c>
      <c r="Y71" s="137"/>
      <c r="Z71" s="137"/>
      <c r="AA71" s="137"/>
      <c r="AB71" s="137"/>
      <c r="AC71" s="137"/>
      <c r="AD71" s="137"/>
      <c r="AE71" s="137"/>
      <c r="AF71" s="137"/>
      <c r="AG71" s="137"/>
    </row>
    <row r="72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4">
        <v>2.0</v>
      </c>
      <c r="M72" s="4">
        <v>2.0</v>
      </c>
      <c r="N72" s="165"/>
      <c r="O72" s="137"/>
      <c r="P72" s="137"/>
      <c r="Q72" s="137"/>
      <c r="R72" s="137"/>
      <c r="S72" s="137"/>
      <c r="T72" s="137"/>
      <c r="U72" s="16" t="s">
        <v>19</v>
      </c>
      <c r="V72" s="40">
        <v>5130.0</v>
      </c>
      <c r="W72" s="45">
        <v>4486.0</v>
      </c>
      <c r="Y72" s="137"/>
      <c r="Z72" s="137"/>
      <c r="AA72" s="137"/>
      <c r="AB72" s="137"/>
      <c r="AC72" s="137"/>
      <c r="AD72" s="137"/>
      <c r="AE72" s="137"/>
      <c r="AF72" s="137"/>
      <c r="AG72" s="137"/>
    </row>
    <row r="73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4">
        <v>1.0</v>
      </c>
      <c r="M73" s="4">
        <v>2.0</v>
      </c>
      <c r="N73" s="137"/>
      <c r="O73" s="137"/>
      <c r="P73" s="137"/>
      <c r="Q73" s="137"/>
      <c r="R73" s="137"/>
      <c r="S73" s="137"/>
      <c r="T73" s="137"/>
      <c r="U73" s="16" t="s">
        <v>20</v>
      </c>
      <c r="V73" s="45">
        <v>2516.0</v>
      </c>
      <c r="W73" s="20">
        <v>2114.0</v>
      </c>
      <c r="Y73" s="137"/>
      <c r="Z73" s="137"/>
      <c r="AA73" s="137"/>
      <c r="AB73" s="137"/>
      <c r="AC73" s="137"/>
      <c r="AD73" s="137"/>
      <c r="AE73" s="137"/>
      <c r="AF73" s="137"/>
      <c r="AG73" s="137"/>
    </row>
    <row r="74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4">
        <v>2.0</v>
      </c>
      <c r="M74" s="4">
        <v>1.0</v>
      </c>
      <c r="N74" s="137"/>
      <c r="O74" s="137"/>
      <c r="P74" s="137"/>
      <c r="Q74" s="137"/>
      <c r="R74" s="137"/>
      <c r="S74" s="137"/>
      <c r="T74" s="137"/>
      <c r="U74" s="16" t="s">
        <v>21</v>
      </c>
      <c r="V74" s="100">
        <v>5142.0</v>
      </c>
      <c r="W74" s="45">
        <v>5132.0</v>
      </c>
      <c r="Y74" s="137"/>
      <c r="Z74" s="137"/>
      <c r="AA74" s="137"/>
      <c r="AB74" s="137"/>
      <c r="AC74" s="137"/>
      <c r="AD74" s="137"/>
      <c r="AE74" s="137"/>
      <c r="AF74" s="137"/>
      <c r="AG74" s="137"/>
    </row>
    <row r="75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4">
        <v>1.0</v>
      </c>
      <c r="M75" s="4">
        <v>0.0</v>
      </c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</row>
    <row r="76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4">
        <v>1.0</v>
      </c>
      <c r="M76" s="4">
        <v>1.0</v>
      </c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</row>
    <row r="77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4">
        <v>1.0</v>
      </c>
      <c r="M77" s="4">
        <v>1.0</v>
      </c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</row>
    <row r="78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4">
        <v>0.0</v>
      </c>
      <c r="M78" s="4">
        <v>0.0</v>
      </c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</row>
    <row r="79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4">
        <v>1.0</v>
      </c>
      <c r="M79" s="4">
        <v>1.0</v>
      </c>
      <c r="N79" s="137"/>
      <c r="O79" s="137"/>
      <c r="P79" s="137"/>
      <c r="Q79" s="137"/>
      <c r="R79" s="137"/>
      <c r="S79" s="137"/>
      <c r="T79" s="102" t="s">
        <v>238</v>
      </c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</row>
    <row r="80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4">
        <v>2.0</v>
      </c>
      <c r="M80" s="4">
        <v>2.0</v>
      </c>
      <c r="N80" s="137"/>
      <c r="O80" s="137"/>
      <c r="P80" s="137"/>
      <c r="Q80" s="137"/>
      <c r="R80" s="137"/>
      <c r="S80" s="137"/>
      <c r="T80" s="20" t="s">
        <v>239</v>
      </c>
      <c r="U80" s="17"/>
      <c r="V80" s="17"/>
      <c r="W80" s="17"/>
      <c r="X80" s="17"/>
      <c r="Y80" s="17"/>
      <c r="AA80" s="66"/>
      <c r="AB80" s="137"/>
      <c r="AC80" s="137"/>
      <c r="AD80" s="137"/>
      <c r="AE80" s="137"/>
      <c r="AF80" s="137"/>
      <c r="AG80" s="137"/>
    </row>
    <row r="81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4">
        <v>1.0</v>
      </c>
      <c r="M81" s="4">
        <v>1.0</v>
      </c>
      <c r="N81" s="137"/>
      <c r="O81" s="137"/>
      <c r="P81" s="137"/>
      <c r="Q81" s="137"/>
      <c r="R81" s="137"/>
      <c r="S81" s="137"/>
      <c r="T81" s="40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37"/>
      <c r="AC81" s="137"/>
      <c r="AD81" s="137"/>
      <c r="AE81" s="137"/>
      <c r="AF81" s="137"/>
      <c r="AG81" s="137"/>
    </row>
    <row r="82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4">
        <v>2.0</v>
      </c>
      <c r="M82" s="4">
        <v>2.0</v>
      </c>
      <c r="N82" s="137"/>
      <c r="O82" s="137"/>
      <c r="P82" s="137"/>
      <c r="Q82" s="137"/>
      <c r="R82" s="137"/>
      <c r="S82" s="137"/>
      <c r="T82" s="40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37"/>
      <c r="AC82" s="137"/>
      <c r="AD82" s="137"/>
      <c r="AE82" s="137"/>
      <c r="AF82" s="137"/>
      <c r="AG82" s="137"/>
    </row>
    <row r="83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4">
        <v>1.0</v>
      </c>
      <c r="M83" s="4">
        <v>1.0</v>
      </c>
      <c r="N83" s="137"/>
      <c r="O83" s="137"/>
      <c r="P83" s="137"/>
      <c r="Q83" s="137"/>
      <c r="R83" s="137"/>
      <c r="S83" s="137"/>
      <c r="T83" s="45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37"/>
      <c r="AC83" s="137"/>
      <c r="AD83" s="137"/>
      <c r="AE83" s="137"/>
      <c r="AF83" s="137"/>
      <c r="AG83" s="137"/>
    </row>
    <row r="84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4">
        <v>1.0</v>
      </c>
      <c r="M84" s="4">
        <v>1.0</v>
      </c>
      <c r="N84" s="137"/>
      <c r="O84" s="137"/>
      <c r="P84" s="137"/>
      <c r="Q84" s="137"/>
      <c r="R84" s="137"/>
      <c r="S84" s="137"/>
      <c r="T84" s="45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37"/>
      <c r="AC84" s="137"/>
      <c r="AD84" s="137"/>
      <c r="AE84" s="137"/>
      <c r="AF84" s="137"/>
      <c r="AG84" s="137"/>
    </row>
    <row r="85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4">
        <v>2.0</v>
      </c>
      <c r="M85" s="4">
        <v>2.0</v>
      </c>
      <c r="N85" s="137"/>
      <c r="O85" s="137"/>
      <c r="P85" s="137"/>
      <c r="Q85" s="137"/>
      <c r="R85" s="137"/>
      <c r="S85" s="137"/>
      <c r="T85" s="45">
        <v>870.0</v>
      </c>
      <c r="V85" s="16" t="s">
        <v>21</v>
      </c>
      <c r="W85" s="20">
        <v>130.0</v>
      </c>
      <c r="X85" s="20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37"/>
      <c r="AC85" s="137"/>
      <c r="AD85" s="137"/>
      <c r="AE85" s="137"/>
      <c r="AF85" s="137"/>
      <c r="AG85" s="137"/>
    </row>
    <row r="86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4">
        <v>2.0</v>
      </c>
      <c r="M86" s="4">
        <v>2.0</v>
      </c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</row>
    <row r="87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4">
        <v>1.0</v>
      </c>
      <c r="M87" s="4">
        <v>1.0</v>
      </c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</row>
    <row r="88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4">
        <v>1.0</v>
      </c>
      <c r="M88" s="4">
        <v>2.0</v>
      </c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  <c r="AG88" s="137"/>
    </row>
    <row r="89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4">
        <v>2.0</v>
      </c>
      <c r="M89" s="4">
        <v>2.0</v>
      </c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  <c r="AG89" s="137"/>
    </row>
    <row r="90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4">
        <v>1.0</v>
      </c>
      <c r="M90" s="4">
        <v>2.0</v>
      </c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</row>
    <row r="9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4">
        <v>0.0</v>
      </c>
      <c r="M91" s="4">
        <v>2.0</v>
      </c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</row>
    <row r="92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4">
        <v>0.0</v>
      </c>
      <c r="M92" s="4">
        <v>0.0</v>
      </c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</row>
    <row r="93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4">
        <v>1.0</v>
      </c>
      <c r="M93" s="4">
        <v>0.0</v>
      </c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  <c r="AG93" s="137"/>
    </row>
    <row r="94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4">
        <v>1.0</v>
      </c>
      <c r="M94" s="4">
        <v>1.0</v>
      </c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  <c r="AG94" s="137"/>
    </row>
    <row r="95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4">
        <v>2.0</v>
      </c>
      <c r="M95" s="4">
        <v>2.0</v>
      </c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  <c r="AG95" s="137"/>
    </row>
    <row r="96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4">
        <v>1.0</v>
      </c>
      <c r="M96" s="4">
        <v>0.0</v>
      </c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</row>
    <row r="97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4">
        <v>2.0</v>
      </c>
      <c r="M97" s="4">
        <v>1.0</v>
      </c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  <c r="AG97" s="137"/>
    </row>
    <row r="98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4">
        <v>0.0</v>
      </c>
      <c r="M98" s="4">
        <v>1.0</v>
      </c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  <c r="AG98" s="137"/>
    </row>
    <row r="99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4">
        <v>0.0</v>
      </c>
      <c r="M99" s="4">
        <v>2.0</v>
      </c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  <c r="AG99" s="137"/>
    </row>
    <row r="100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4">
        <v>0.0</v>
      </c>
      <c r="M100" s="4">
        <v>1.0</v>
      </c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  <c r="AG100" s="137"/>
    </row>
    <row r="10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4">
        <v>2.0</v>
      </c>
      <c r="M101" s="4">
        <v>2.0</v>
      </c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</row>
    <row r="102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4">
        <v>0.0</v>
      </c>
      <c r="M102" s="4">
        <v>2.0</v>
      </c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  <c r="AG102" s="137"/>
    </row>
    <row r="103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4">
        <v>1.0</v>
      </c>
      <c r="M103" s="4">
        <v>1.0</v>
      </c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  <c r="AG103" s="137"/>
    </row>
    <row r="104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4">
        <v>1.0</v>
      </c>
      <c r="M104" s="4">
        <v>0.0</v>
      </c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  <c r="AG104" s="137"/>
    </row>
    <row r="105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4">
        <v>0.0</v>
      </c>
      <c r="M105" s="4">
        <v>0.0</v>
      </c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  <c r="AG105" s="137"/>
    </row>
    <row r="106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4">
        <v>1.0</v>
      </c>
      <c r="M106" s="4">
        <v>2.0</v>
      </c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</row>
    <row r="107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4">
        <v>0.0</v>
      </c>
      <c r="M107" s="4">
        <v>2.0</v>
      </c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</row>
    <row r="108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4">
        <v>2.0</v>
      </c>
      <c r="M108" s="4">
        <v>2.0</v>
      </c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</row>
    <row r="109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4">
        <v>2.0</v>
      </c>
      <c r="M109" s="4">
        <v>2.0</v>
      </c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</row>
    <row r="110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4">
        <v>0.0</v>
      </c>
      <c r="M110" s="4">
        <v>2.0</v>
      </c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</row>
    <row r="111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4">
        <v>2.0</v>
      </c>
      <c r="M111" s="4">
        <v>2.0</v>
      </c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</row>
    <row r="112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4">
        <v>1.0</v>
      </c>
      <c r="M112" s="4">
        <v>2.0</v>
      </c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  <c r="AG112" s="137"/>
    </row>
    <row r="113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4">
        <v>0.0</v>
      </c>
      <c r="M113" s="4">
        <v>2.0</v>
      </c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  <c r="AG113" s="137"/>
    </row>
    <row r="114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4">
        <v>0.0</v>
      </c>
      <c r="M114" s="4">
        <v>1.0</v>
      </c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  <c r="AG114" s="137"/>
    </row>
    <row r="115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4">
        <v>0.0</v>
      </c>
      <c r="M115" s="4">
        <v>2.0</v>
      </c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  <c r="AG115" s="137"/>
    </row>
    <row r="116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4">
        <v>1.0</v>
      </c>
      <c r="M116" s="4">
        <v>0.0</v>
      </c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  <c r="AG116" s="137"/>
    </row>
    <row r="117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4">
        <v>2.0</v>
      </c>
      <c r="M117" s="4">
        <v>2.0</v>
      </c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  <c r="AG117" s="137"/>
    </row>
    <row r="118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4">
        <v>1.0</v>
      </c>
      <c r="M118" s="4">
        <v>2.0</v>
      </c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  <c r="AG118" s="137"/>
    </row>
    <row r="119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4">
        <v>2.0</v>
      </c>
      <c r="M119" s="4">
        <v>2.0</v>
      </c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  <c r="AG119" s="137"/>
    </row>
    <row r="120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4">
        <v>1.0</v>
      </c>
      <c r="M120" s="4">
        <v>1.0</v>
      </c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</row>
    <row r="121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4">
        <v>1.0</v>
      </c>
      <c r="M121" s="4">
        <v>1.0</v>
      </c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</row>
    <row r="122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4">
        <v>0.0</v>
      </c>
      <c r="M122" s="4">
        <v>2.0</v>
      </c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  <c r="AG122" s="137"/>
    </row>
    <row r="123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4">
        <v>1.0</v>
      </c>
      <c r="M123" s="4">
        <v>1.0</v>
      </c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  <c r="AG123" s="137"/>
    </row>
    <row r="124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4">
        <v>1.0</v>
      </c>
      <c r="M124" s="4">
        <v>1.0</v>
      </c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  <c r="AG124" s="137"/>
    </row>
    <row r="125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4">
        <v>1.0</v>
      </c>
      <c r="M125" s="4">
        <v>2.0</v>
      </c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  <c r="AG125" s="137"/>
    </row>
    <row r="126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4">
        <v>2.0</v>
      </c>
      <c r="M126" s="4">
        <v>1.0</v>
      </c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  <c r="AG126" s="137"/>
    </row>
    <row r="127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4">
        <v>1.0</v>
      </c>
      <c r="M127" s="4">
        <v>2.0</v>
      </c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  <c r="AG127" s="137"/>
    </row>
    <row r="128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4">
        <v>1.0</v>
      </c>
      <c r="M128" s="4">
        <v>1.0</v>
      </c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  <c r="AG128" s="137"/>
    </row>
    <row r="129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4">
        <v>2.0</v>
      </c>
      <c r="M129" s="4">
        <v>1.0</v>
      </c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  <c r="AG129" s="137"/>
    </row>
    <row r="130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4">
        <v>2.0</v>
      </c>
      <c r="M130" s="4">
        <v>1.0</v>
      </c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  <c r="AG130" s="137"/>
    </row>
    <row r="131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4">
        <v>2.0</v>
      </c>
      <c r="M131" s="4">
        <v>2.0</v>
      </c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  <c r="AG131" s="137"/>
    </row>
    <row r="132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4">
        <v>1.0</v>
      </c>
      <c r="M132" s="4">
        <v>1.0</v>
      </c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  <c r="AG132" s="137"/>
    </row>
    <row r="133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4">
        <v>0.0</v>
      </c>
      <c r="M133" s="4">
        <v>0.0</v>
      </c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  <c r="AG133" s="137"/>
    </row>
    <row r="134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4">
        <v>1.0</v>
      </c>
      <c r="M134" s="4">
        <v>0.0</v>
      </c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  <c r="AG134" s="137"/>
    </row>
    <row r="135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4">
        <v>1.0</v>
      </c>
      <c r="M135" s="4">
        <v>2.0</v>
      </c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  <c r="AG135" s="137"/>
    </row>
    <row r="136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4">
        <v>0.0</v>
      </c>
      <c r="M136" s="4">
        <v>2.0</v>
      </c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  <c r="AG136" s="137"/>
    </row>
    <row r="137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4">
        <v>1.0</v>
      </c>
      <c r="M137" s="4">
        <v>1.0</v>
      </c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</row>
    <row r="138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4">
        <v>2.0</v>
      </c>
      <c r="M138" s="4">
        <v>2.0</v>
      </c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  <c r="AG138" s="137"/>
    </row>
    <row r="139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4">
        <v>2.0</v>
      </c>
      <c r="M139" s="4">
        <v>2.0</v>
      </c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  <c r="AG139" s="137"/>
    </row>
    <row r="140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4">
        <v>1.0</v>
      </c>
      <c r="M140" s="4">
        <v>1.0</v>
      </c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7"/>
    </row>
    <row r="141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4">
        <v>0.0</v>
      </c>
      <c r="M141" s="4">
        <v>1.0</v>
      </c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  <c r="AG141" s="137"/>
    </row>
    <row r="142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4">
        <v>2.0</v>
      </c>
      <c r="M142" s="4">
        <v>2.0</v>
      </c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7"/>
    </row>
    <row r="143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4">
        <v>1.0</v>
      </c>
      <c r="M143" s="4">
        <v>0.0</v>
      </c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</row>
    <row r="144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4">
        <v>2.0</v>
      </c>
      <c r="M144" s="4">
        <v>2.0</v>
      </c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7"/>
    </row>
    <row r="145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4">
        <v>0.0</v>
      </c>
      <c r="M145" s="4">
        <v>0.0</v>
      </c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7"/>
    </row>
    <row r="146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4">
        <v>2.0</v>
      </c>
      <c r="M146" s="4">
        <v>1.0</v>
      </c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</row>
    <row r="147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4">
        <v>1.0</v>
      </c>
      <c r="M147" s="4">
        <v>0.0</v>
      </c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7"/>
    </row>
    <row r="148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4">
        <v>1.0</v>
      </c>
      <c r="M148" s="4">
        <v>1.0</v>
      </c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7"/>
    </row>
    <row r="149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4">
        <v>1.0</v>
      </c>
      <c r="M149" s="4">
        <v>1.0</v>
      </c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  <c r="AG149" s="137"/>
    </row>
    <row r="150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4">
        <v>2.0</v>
      </c>
      <c r="M150" s="4">
        <v>2.0</v>
      </c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  <c r="AG150" s="137"/>
    </row>
    <row r="151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4">
        <v>1.0</v>
      </c>
      <c r="M151" s="4">
        <v>1.0</v>
      </c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  <c r="AG151" s="137"/>
    </row>
    <row r="152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4">
        <v>0.0</v>
      </c>
      <c r="M152" s="4">
        <v>1.0</v>
      </c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  <c r="AG152" s="137"/>
    </row>
    <row r="153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4">
        <v>2.0</v>
      </c>
      <c r="M153" s="4">
        <v>2.0</v>
      </c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  <c r="AG153" s="137"/>
    </row>
    <row r="154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4">
        <v>2.0</v>
      </c>
      <c r="M154" s="4">
        <v>2.0</v>
      </c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  <c r="AG154" s="137"/>
    </row>
    <row r="15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4">
        <v>2.0</v>
      </c>
      <c r="M155" s="4">
        <v>2.0</v>
      </c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  <c r="AG155" s="137"/>
    </row>
    <row r="156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4">
        <v>1.0</v>
      </c>
      <c r="M156" s="4">
        <v>1.0</v>
      </c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  <c r="AG156" s="137"/>
    </row>
    <row r="157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4">
        <v>2.0</v>
      </c>
      <c r="M157" s="4">
        <v>2.0</v>
      </c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  <c r="AG157" s="137"/>
    </row>
    <row r="158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4">
        <v>2.0</v>
      </c>
      <c r="M158" s="4">
        <v>1.0</v>
      </c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  <c r="AG158" s="137"/>
    </row>
    <row r="159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4">
        <v>0.0</v>
      </c>
      <c r="M159" s="4">
        <v>1.0</v>
      </c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  <c r="AG159" s="137"/>
    </row>
    <row r="160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4">
        <v>2.0</v>
      </c>
      <c r="M160" s="4">
        <v>0.0</v>
      </c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  <c r="AG160" s="137"/>
    </row>
    <row r="161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4">
        <v>1.0</v>
      </c>
      <c r="M161" s="4">
        <v>1.0</v>
      </c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  <c r="AG161" s="137"/>
    </row>
    <row r="162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4">
        <v>2.0</v>
      </c>
      <c r="M162" s="4">
        <v>2.0</v>
      </c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  <c r="AG162" s="137"/>
    </row>
    <row r="163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4">
        <v>1.0</v>
      </c>
      <c r="M163" s="4">
        <v>0.0</v>
      </c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  <c r="AG163" s="137"/>
    </row>
    <row r="164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4">
        <v>1.0</v>
      </c>
      <c r="M164" s="4">
        <v>1.0</v>
      </c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  <c r="AG164" s="137"/>
    </row>
    <row r="165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4">
        <v>1.0</v>
      </c>
      <c r="M165" s="4">
        <v>0.0</v>
      </c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</row>
    <row r="166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4">
        <v>0.0</v>
      </c>
      <c r="M166" s="4">
        <v>2.0</v>
      </c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  <c r="AG166" s="137"/>
    </row>
    <row r="167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4">
        <v>1.0</v>
      </c>
      <c r="M167" s="4">
        <v>1.0</v>
      </c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  <c r="AG167" s="137"/>
    </row>
    <row r="168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4">
        <v>0.0</v>
      </c>
      <c r="M168" s="4">
        <v>2.0</v>
      </c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  <c r="AG168" s="137"/>
    </row>
    <row r="169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4">
        <v>1.0</v>
      </c>
      <c r="M169" s="4">
        <v>1.0</v>
      </c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  <c r="AG169" s="137"/>
    </row>
    <row r="170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4">
        <v>2.0</v>
      </c>
      <c r="M170" s="4">
        <v>2.0</v>
      </c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  <c r="AG170" s="137"/>
    </row>
    <row r="171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4">
        <v>2.0</v>
      </c>
      <c r="M171" s="4">
        <v>1.0</v>
      </c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  <c r="AG171" s="137"/>
    </row>
    <row r="172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4">
        <v>1.0</v>
      </c>
      <c r="M172" s="4">
        <v>0.0</v>
      </c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  <c r="AG172" s="137"/>
    </row>
    <row r="173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4">
        <v>0.0</v>
      </c>
      <c r="M173" s="4">
        <v>2.0</v>
      </c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  <c r="AG173" s="137"/>
    </row>
    <row r="174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4">
        <v>2.0</v>
      </c>
      <c r="M174" s="4">
        <v>2.0</v>
      </c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  <c r="AG174" s="137"/>
    </row>
    <row r="175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4">
        <v>2.0</v>
      </c>
      <c r="M175" s="4">
        <v>2.0</v>
      </c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  <c r="AG175" s="137"/>
    </row>
    <row r="176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  <c r="AG176" s="137"/>
    </row>
    <row r="177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  <c r="AG177" s="137"/>
    </row>
    <row r="178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  <c r="AG178" s="137"/>
    </row>
    <row r="179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  <c r="AG179" s="137"/>
    </row>
    <row r="180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  <c r="AG180" s="137"/>
    </row>
    <row r="181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  <c r="AG181" s="137"/>
    </row>
    <row r="182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  <c r="AG182" s="137"/>
    </row>
    <row r="183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  <c r="AG183" s="137"/>
    </row>
    <row r="184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</row>
    <row r="185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  <c r="AG185" s="137"/>
    </row>
    <row r="186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  <c r="AG186" s="137"/>
    </row>
    <row r="187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</row>
    <row r="188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  <c r="AG188" s="137"/>
    </row>
    <row r="189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  <c r="AG189" s="137"/>
    </row>
    <row r="190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  <c r="AG190" s="137"/>
    </row>
    <row r="191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  <c r="AG191" s="137"/>
    </row>
    <row r="192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  <c r="AG192" s="137"/>
    </row>
    <row r="193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  <c r="AG193" s="137"/>
    </row>
    <row r="194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  <c r="AG194" s="137"/>
    </row>
    <row r="195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  <c r="AG195" s="137"/>
    </row>
    <row r="196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  <c r="AG196" s="137"/>
    </row>
    <row r="197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  <c r="AG197" s="137"/>
    </row>
    <row r="198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  <c r="AG198" s="137"/>
    </row>
    <row r="199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  <c r="AG199" s="137"/>
    </row>
    <row r="200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  <c r="AG200" s="137"/>
    </row>
    <row r="201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  <c r="AG201" s="137"/>
    </row>
    <row r="202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  <c r="AG202" s="137"/>
    </row>
    <row r="203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  <c r="AG203" s="137"/>
    </row>
    <row r="204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  <c r="AG204" s="137"/>
    </row>
    <row r="205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  <c r="AG205" s="137"/>
    </row>
    <row r="206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  <c r="AG206" s="137"/>
    </row>
    <row r="207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  <c r="AG207" s="137"/>
    </row>
    <row r="208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  <c r="AG208" s="137"/>
    </row>
    <row r="209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  <c r="AG209" s="137"/>
    </row>
    <row r="210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  <c r="AG210" s="137"/>
    </row>
    <row r="211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  <c r="AG211" s="137"/>
    </row>
    <row r="212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  <c r="AG212" s="137"/>
    </row>
    <row r="213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  <c r="AG213" s="137"/>
    </row>
    <row r="214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  <c r="AG214" s="137"/>
    </row>
    <row r="215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  <c r="AG215" s="137"/>
    </row>
    <row r="216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  <c r="AG216" s="137"/>
    </row>
    <row r="217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  <c r="AG217" s="137"/>
    </row>
    <row r="218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  <c r="AG218" s="137"/>
    </row>
    <row r="219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  <c r="AG219" s="137"/>
    </row>
    <row r="220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  <c r="AG220" s="137"/>
    </row>
    <row r="221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  <c r="AG221" s="137"/>
    </row>
    <row r="222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  <c r="AG222" s="137"/>
    </row>
    <row r="223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  <c r="AG223" s="137"/>
    </row>
    <row r="224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  <c r="AG224" s="137"/>
    </row>
    <row r="225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  <c r="AG225" s="137"/>
    </row>
    <row r="226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  <c r="AG226" s="137"/>
    </row>
    <row r="227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  <c r="AG227" s="137"/>
    </row>
    <row r="228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  <c r="AG228" s="137"/>
    </row>
    <row r="229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  <c r="AG229" s="137"/>
    </row>
    <row r="230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  <c r="AG230" s="137"/>
    </row>
    <row r="231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  <c r="AG231" s="137"/>
    </row>
    <row r="232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  <c r="AG232" s="137"/>
    </row>
    <row r="233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  <c r="AG233" s="137"/>
    </row>
    <row r="234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  <c r="AG234" s="137"/>
    </row>
    <row r="235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  <c r="AG235" s="137"/>
    </row>
    <row r="236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  <c r="AG236" s="137"/>
    </row>
    <row r="237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  <c r="AG237" s="137"/>
    </row>
    <row r="238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  <c r="AG238" s="137"/>
    </row>
    <row r="239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  <c r="AG239" s="137"/>
    </row>
    <row r="240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  <c r="AG240" s="137"/>
    </row>
    <row r="241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  <c r="AG241" s="137"/>
    </row>
    <row r="242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  <c r="AG242" s="137"/>
    </row>
    <row r="243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  <c r="AG243" s="137"/>
    </row>
    <row r="244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  <c r="AG244" s="137"/>
    </row>
    <row r="245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  <c r="AD245" s="137"/>
      <c r="AE245" s="137"/>
      <c r="AF245" s="137"/>
      <c r="AG245" s="137"/>
    </row>
    <row r="246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37"/>
      <c r="AF246" s="137"/>
      <c r="AG246" s="137"/>
    </row>
    <row r="247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37"/>
      <c r="AF247" s="137"/>
      <c r="AG247" s="137"/>
    </row>
    <row r="248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37"/>
      <c r="AF248" s="137"/>
      <c r="AG248" s="137"/>
    </row>
    <row r="249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37"/>
      <c r="AF249" s="137"/>
      <c r="AG249" s="137"/>
    </row>
    <row r="250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37"/>
      <c r="AF250" s="137"/>
      <c r="AG250" s="137"/>
    </row>
    <row r="251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37"/>
      <c r="AF251" s="137"/>
      <c r="AG251" s="137"/>
    </row>
    <row r="252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37"/>
      <c r="AF252" s="137"/>
      <c r="AG252" s="137"/>
    </row>
    <row r="253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37"/>
      <c r="AF253" s="137"/>
      <c r="AG253" s="137"/>
    </row>
    <row r="254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37"/>
      <c r="AF254" s="137"/>
      <c r="AG254" s="137"/>
    </row>
    <row r="255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  <c r="AG255" s="137"/>
    </row>
    <row r="256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  <c r="AG256" s="137"/>
    </row>
    <row r="257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37"/>
      <c r="AF257" s="137"/>
      <c r="AG257" s="137"/>
    </row>
    <row r="258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37"/>
      <c r="AF258" s="137"/>
      <c r="AG258" s="137"/>
    </row>
    <row r="259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  <c r="AG259" s="137"/>
    </row>
    <row r="260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37"/>
      <c r="AF260" s="137"/>
      <c r="AG260" s="137"/>
    </row>
    <row r="261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37"/>
      <c r="AF261" s="137"/>
      <c r="AG261" s="137"/>
    </row>
    <row r="262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37"/>
      <c r="AF262" s="137"/>
      <c r="AG262" s="137"/>
    </row>
    <row r="263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37"/>
      <c r="AF263" s="137"/>
      <c r="AG263" s="137"/>
    </row>
    <row r="264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37"/>
      <c r="AF264" s="137"/>
      <c r="AG264" s="137"/>
    </row>
    <row r="265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37"/>
      <c r="AF265" s="137"/>
      <c r="AG265" s="137"/>
    </row>
    <row r="266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37"/>
      <c r="AF266" s="137"/>
      <c r="AG266" s="137"/>
    </row>
    <row r="267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37"/>
      <c r="AF267" s="137"/>
      <c r="AG267" s="137"/>
    </row>
    <row r="268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37"/>
      <c r="AF268" s="137"/>
      <c r="AG268" s="137"/>
    </row>
    <row r="269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37"/>
      <c r="AF269" s="137"/>
      <c r="AG269" s="137"/>
    </row>
    <row r="270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37"/>
      <c r="AF270" s="137"/>
      <c r="AG270" s="137"/>
    </row>
    <row r="271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37"/>
      <c r="AF271" s="137"/>
      <c r="AG271" s="137"/>
    </row>
    <row r="272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37"/>
      <c r="AF272" s="137"/>
      <c r="AG272" s="137"/>
    </row>
    <row r="273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37"/>
      <c r="AF273" s="137"/>
      <c r="AG273" s="137"/>
    </row>
    <row r="274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37"/>
      <c r="AF274" s="137"/>
      <c r="AG274" s="137"/>
    </row>
    <row r="275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  <c r="AG275" s="137"/>
    </row>
    <row r="276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  <c r="AG276" s="137"/>
    </row>
    <row r="277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37"/>
      <c r="AF277" s="137"/>
      <c r="AG277" s="137"/>
    </row>
    <row r="278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37"/>
      <c r="AF278" s="137"/>
      <c r="AG278" s="137"/>
    </row>
    <row r="279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37"/>
      <c r="AF279" s="137"/>
      <c r="AG279" s="137"/>
    </row>
    <row r="280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37"/>
      <c r="AF280" s="137"/>
      <c r="AG280" s="137"/>
    </row>
    <row r="281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37"/>
      <c r="AF281" s="137"/>
      <c r="AG281" s="137"/>
    </row>
    <row r="282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37"/>
      <c r="AF282" s="137"/>
      <c r="AG282" s="137"/>
    </row>
    <row r="283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  <c r="AA283" s="137"/>
      <c r="AB283" s="137"/>
      <c r="AC283" s="137"/>
      <c r="AD283" s="137"/>
      <c r="AE283" s="137"/>
      <c r="AF283" s="137"/>
      <c r="AG283" s="137"/>
    </row>
    <row r="284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  <c r="AA284" s="137"/>
      <c r="AB284" s="137"/>
      <c r="AC284" s="137"/>
      <c r="AD284" s="137"/>
      <c r="AE284" s="137"/>
      <c r="AF284" s="137"/>
      <c r="AG284" s="137"/>
    </row>
    <row r="285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  <c r="AA285" s="137"/>
      <c r="AB285" s="137"/>
      <c r="AC285" s="137"/>
      <c r="AD285" s="137"/>
      <c r="AE285" s="137"/>
      <c r="AF285" s="137"/>
      <c r="AG285" s="137"/>
    </row>
    <row r="286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  <c r="AA286" s="137"/>
      <c r="AB286" s="137"/>
      <c r="AC286" s="137"/>
      <c r="AD286" s="137"/>
      <c r="AE286" s="137"/>
      <c r="AF286" s="137"/>
      <c r="AG286" s="137"/>
    </row>
    <row r="287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  <c r="AA287" s="137"/>
      <c r="AB287" s="137"/>
      <c r="AC287" s="137"/>
      <c r="AD287" s="137"/>
      <c r="AE287" s="137"/>
      <c r="AF287" s="137"/>
      <c r="AG287" s="137"/>
    </row>
    <row r="288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  <c r="AA288" s="137"/>
      <c r="AB288" s="137"/>
      <c r="AC288" s="137"/>
      <c r="AD288" s="137"/>
      <c r="AE288" s="137"/>
      <c r="AF288" s="137"/>
      <c r="AG288" s="137"/>
    </row>
    <row r="289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  <c r="AA289" s="137"/>
      <c r="AB289" s="137"/>
      <c r="AC289" s="137"/>
      <c r="AD289" s="137"/>
      <c r="AE289" s="137"/>
      <c r="AF289" s="137"/>
      <c r="AG289" s="137"/>
    </row>
    <row r="290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  <c r="AA290" s="137"/>
      <c r="AB290" s="137"/>
      <c r="AC290" s="137"/>
      <c r="AD290" s="137"/>
      <c r="AE290" s="137"/>
      <c r="AF290" s="137"/>
      <c r="AG290" s="137"/>
    </row>
    <row r="291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  <c r="AA291" s="137"/>
      <c r="AB291" s="137"/>
      <c r="AC291" s="137"/>
      <c r="AD291" s="137"/>
      <c r="AE291" s="137"/>
      <c r="AF291" s="137"/>
      <c r="AG291" s="137"/>
    </row>
    <row r="292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  <c r="AA292" s="137"/>
      <c r="AB292" s="137"/>
      <c r="AC292" s="137"/>
      <c r="AD292" s="137"/>
      <c r="AE292" s="137"/>
      <c r="AF292" s="137"/>
      <c r="AG292" s="137"/>
    </row>
    <row r="293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  <c r="AA293" s="137"/>
      <c r="AB293" s="137"/>
      <c r="AC293" s="137"/>
      <c r="AD293" s="137"/>
      <c r="AE293" s="137"/>
      <c r="AF293" s="137"/>
      <c r="AG293" s="137"/>
    </row>
    <row r="294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  <c r="AA294" s="137"/>
      <c r="AB294" s="137"/>
      <c r="AC294" s="137"/>
      <c r="AD294" s="137"/>
      <c r="AE294" s="137"/>
      <c r="AF294" s="137"/>
      <c r="AG294" s="137"/>
    </row>
    <row r="295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  <c r="AG295" s="137"/>
    </row>
    <row r="296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  <c r="AG296" s="137"/>
    </row>
    <row r="297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  <c r="AA297" s="137"/>
      <c r="AB297" s="137"/>
      <c r="AC297" s="137"/>
      <c r="AD297" s="137"/>
      <c r="AE297" s="137"/>
      <c r="AF297" s="137"/>
      <c r="AG297" s="137"/>
    </row>
    <row r="298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  <c r="AA298" s="137"/>
      <c r="AB298" s="137"/>
      <c r="AC298" s="137"/>
      <c r="AD298" s="137"/>
      <c r="AE298" s="137"/>
      <c r="AF298" s="137"/>
      <c r="AG298" s="137"/>
    </row>
    <row r="299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  <c r="AA299" s="137"/>
      <c r="AB299" s="137"/>
      <c r="AC299" s="137"/>
      <c r="AD299" s="137"/>
      <c r="AE299" s="137"/>
      <c r="AF299" s="137"/>
      <c r="AG299" s="137"/>
    </row>
    <row r="300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  <c r="AA300" s="137"/>
      <c r="AB300" s="137"/>
      <c r="AC300" s="137"/>
      <c r="AD300" s="137"/>
      <c r="AE300" s="137"/>
      <c r="AF300" s="137"/>
      <c r="AG300" s="137"/>
    </row>
    <row r="301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  <c r="AA301" s="137"/>
      <c r="AB301" s="137"/>
      <c r="AC301" s="137"/>
      <c r="AD301" s="137"/>
      <c r="AE301" s="137"/>
      <c r="AF301" s="137"/>
      <c r="AG301" s="137"/>
    </row>
    <row r="302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  <c r="AA302" s="137"/>
      <c r="AB302" s="137"/>
      <c r="AC302" s="137"/>
      <c r="AD302" s="137"/>
      <c r="AE302" s="137"/>
      <c r="AF302" s="137"/>
      <c r="AG302" s="137"/>
    </row>
    <row r="303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  <c r="AA303" s="137"/>
      <c r="AB303" s="137"/>
      <c r="AC303" s="137"/>
      <c r="AD303" s="137"/>
      <c r="AE303" s="137"/>
      <c r="AF303" s="137"/>
      <c r="AG303" s="137"/>
    </row>
    <row r="304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  <c r="AA304" s="137"/>
      <c r="AB304" s="137"/>
      <c r="AC304" s="137"/>
      <c r="AD304" s="137"/>
      <c r="AE304" s="137"/>
      <c r="AF304" s="137"/>
      <c r="AG304" s="137"/>
    </row>
    <row r="305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  <c r="AA305" s="137"/>
      <c r="AB305" s="137"/>
      <c r="AC305" s="137"/>
      <c r="AD305" s="137"/>
      <c r="AE305" s="137"/>
      <c r="AF305" s="137"/>
      <c r="AG305" s="137"/>
    </row>
    <row r="306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  <c r="AA306" s="137"/>
      <c r="AB306" s="137"/>
      <c r="AC306" s="137"/>
      <c r="AD306" s="137"/>
      <c r="AE306" s="137"/>
      <c r="AF306" s="137"/>
      <c r="AG306" s="137"/>
    </row>
    <row r="307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  <c r="AA307" s="137"/>
      <c r="AB307" s="137"/>
      <c r="AC307" s="137"/>
      <c r="AD307" s="137"/>
      <c r="AE307" s="137"/>
      <c r="AF307" s="137"/>
      <c r="AG307" s="137"/>
    </row>
    <row r="308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  <c r="AA308" s="137"/>
      <c r="AB308" s="137"/>
      <c r="AC308" s="137"/>
      <c r="AD308" s="137"/>
      <c r="AE308" s="137"/>
      <c r="AF308" s="137"/>
      <c r="AG308" s="137"/>
    </row>
    <row r="309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  <c r="AA309" s="137"/>
      <c r="AB309" s="137"/>
      <c r="AC309" s="137"/>
      <c r="AD309" s="137"/>
      <c r="AE309" s="137"/>
      <c r="AF309" s="137"/>
      <c r="AG309" s="137"/>
    </row>
    <row r="310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  <c r="AA310" s="137"/>
      <c r="AB310" s="137"/>
      <c r="AC310" s="137"/>
      <c r="AD310" s="137"/>
      <c r="AE310" s="137"/>
      <c r="AF310" s="137"/>
      <c r="AG310" s="137"/>
    </row>
    <row r="311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  <c r="AA311" s="137"/>
      <c r="AB311" s="137"/>
      <c r="AC311" s="137"/>
      <c r="AD311" s="137"/>
      <c r="AE311" s="137"/>
      <c r="AF311" s="137"/>
      <c r="AG311" s="137"/>
    </row>
    <row r="312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  <c r="AA312" s="137"/>
      <c r="AB312" s="137"/>
      <c r="AC312" s="137"/>
      <c r="AD312" s="137"/>
      <c r="AE312" s="137"/>
      <c r="AF312" s="137"/>
      <c r="AG312" s="137"/>
    </row>
    <row r="313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  <c r="AA313" s="137"/>
      <c r="AB313" s="137"/>
      <c r="AC313" s="137"/>
      <c r="AD313" s="137"/>
      <c r="AE313" s="137"/>
      <c r="AF313" s="137"/>
      <c r="AG313" s="137"/>
    </row>
    <row r="314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  <c r="AA314" s="137"/>
      <c r="AB314" s="137"/>
      <c r="AC314" s="137"/>
      <c r="AD314" s="137"/>
      <c r="AE314" s="137"/>
      <c r="AF314" s="137"/>
      <c r="AG314" s="137"/>
    </row>
    <row r="315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  <c r="AG315" s="137"/>
    </row>
    <row r="316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  <c r="AG316" s="137"/>
    </row>
    <row r="317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  <c r="AA317" s="137"/>
      <c r="AB317" s="137"/>
      <c r="AC317" s="137"/>
      <c r="AD317" s="137"/>
      <c r="AE317" s="137"/>
      <c r="AF317" s="137"/>
      <c r="AG317" s="137"/>
    </row>
    <row r="318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  <c r="AA318" s="137"/>
      <c r="AB318" s="137"/>
      <c r="AC318" s="137"/>
      <c r="AD318" s="137"/>
      <c r="AE318" s="137"/>
      <c r="AF318" s="137"/>
      <c r="AG318" s="137"/>
    </row>
    <row r="319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  <c r="AA319" s="137"/>
      <c r="AB319" s="137"/>
      <c r="AC319" s="137"/>
      <c r="AD319" s="137"/>
      <c r="AE319" s="137"/>
      <c r="AF319" s="137"/>
      <c r="AG319" s="137"/>
    </row>
    <row r="320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  <c r="AA320" s="137"/>
      <c r="AB320" s="137"/>
      <c r="AC320" s="137"/>
      <c r="AD320" s="137"/>
      <c r="AE320" s="137"/>
      <c r="AF320" s="137"/>
      <c r="AG320" s="137"/>
    </row>
    <row r="321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  <c r="AA321" s="137"/>
      <c r="AB321" s="137"/>
      <c r="AC321" s="137"/>
      <c r="AD321" s="137"/>
      <c r="AE321" s="137"/>
      <c r="AF321" s="137"/>
      <c r="AG321" s="137"/>
    </row>
    <row r="322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  <c r="AA322" s="137"/>
      <c r="AB322" s="137"/>
      <c r="AC322" s="137"/>
      <c r="AD322" s="137"/>
      <c r="AE322" s="137"/>
      <c r="AF322" s="137"/>
      <c r="AG322" s="137"/>
    </row>
    <row r="323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  <c r="AA323" s="137"/>
      <c r="AB323" s="137"/>
      <c r="AC323" s="137"/>
      <c r="AD323" s="137"/>
      <c r="AE323" s="137"/>
      <c r="AF323" s="137"/>
      <c r="AG323" s="137"/>
    </row>
    <row r="324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  <c r="AA324" s="137"/>
      <c r="AB324" s="137"/>
      <c r="AC324" s="137"/>
      <c r="AD324" s="137"/>
      <c r="AE324" s="137"/>
      <c r="AF324" s="137"/>
      <c r="AG324" s="137"/>
    </row>
    <row r="325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  <c r="AA325" s="137"/>
      <c r="AB325" s="137"/>
      <c r="AC325" s="137"/>
      <c r="AD325" s="137"/>
      <c r="AE325" s="137"/>
      <c r="AF325" s="137"/>
      <c r="AG325" s="137"/>
    </row>
    <row r="326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  <c r="AA326" s="137"/>
      <c r="AB326" s="137"/>
      <c r="AC326" s="137"/>
      <c r="AD326" s="137"/>
      <c r="AE326" s="137"/>
      <c r="AF326" s="137"/>
      <c r="AG326" s="137"/>
    </row>
    <row r="327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  <c r="AA327" s="137"/>
      <c r="AB327" s="137"/>
      <c r="AC327" s="137"/>
      <c r="AD327" s="137"/>
      <c r="AE327" s="137"/>
      <c r="AF327" s="137"/>
      <c r="AG327" s="137"/>
    </row>
    <row r="328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  <c r="AA328" s="137"/>
      <c r="AB328" s="137"/>
      <c r="AC328" s="137"/>
      <c r="AD328" s="137"/>
      <c r="AE328" s="137"/>
      <c r="AF328" s="137"/>
      <c r="AG328" s="137"/>
    </row>
    <row r="329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  <c r="AA329" s="137"/>
      <c r="AB329" s="137"/>
      <c r="AC329" s="137"/>
      <c r="AD329" s="137"/>
      <c r="AE329" s="137"/>
      <c r="AF329" s="137"/>
      <c r="AG329" s="137"/>
    </row>
    <row r="330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  <c r="AA330" s="137"/>
      <c r="AB330" s="137"/>
      <c r="AC330" s="137"/>
      <c r="AD330" s="137"/>
      <c r="AE330" s="137"/>
      <c r="AF330" s="137"/>
      <c r="AG330" s="137"/>
    </row>
    <row r="331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  <c r="AA331" s="137"/>
      <c r="AB331" s="137"/>
      <c r="AC331" s="137"/>
      <c r="AD331" s="137"/>
      <c r="AE331" s="137"/>
      <c r="AF331" s="137"/>
      <c r="AG331" s="137"/>
    </row>
    <row r="332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  <c r="AA332" s="137"/>
      <c r="AB332" s="137"/>
      <c r="AC332" s="137"/>
      <c r="AD332" s="137"/>
      <c r="AE332" s="137"/>
      <c r="AF332" s="137"/>
      <c r="AG332" s="137"/>
    </row>
    <row r="333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  <c r="AA333" s="137"/>
      <c r="AB333" s="137"/>
      <c r="AC333" s="137"/>
      <c r="AD333" s="137"/>
      <c r="AE333" s="137"/>
      <c r="AF333" s="137"/>
      <c r="AG333" s="137"/>
    </row>
    <row r="334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  <c r="AA334" s="137"/>
      <c r="AB334" s="137"/>
      <c r="AC334" s="137"/>
      <c r="AD334" s="137"/>
      <c r="AE334" s="137"/>
      <c r="AF334" s="137"/>
      <c r="AG334" s="137"/>
    </row>
    <row r="335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  <c r="AG335" s="137"/>
    </row>
    <row r="336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  <c r="AG336" s="137"/>
    </row>
    <row r="337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  <c r="AA337" s="137"/>
      <c r="AB337" s="137"/>
      <c r="AC337" s="137"/>
      <c r="AD337" s="137"/>
      <c r="AE337" s="137"/>
      <c r="AF337" s="137"/>
      <c r="AG337" s="137"/>
    </row>
    <row r="338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  <c r="AA338" s="137"/>
      <c r="AB338" s="137"/>
      <c r="AC338" s="137"/>
      <c r="AD338" s="137"/>
      <c r="AE338" s="137"/>
      <c r="AF338" s="137"/>
      <c r="AG338" s="137"/>
    </row>
    <row r="339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  <c r="AG339" s="137"/>
    </row>
    <row r="340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  <c r="AA340" s="137"/>
      <c r="AB340" s="137"/>
      <c r="AC340" s="137"/>
      <c r="AD340" s="137"/>
      <c r="AE340" s="137"/>
      <c r="AF340" s="137"/>
      <c r="AG340" s="137"/>
    </row>
    <row r="341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  <c r="AA341" s="137"/>
      <c r="AB341" s="137"/>
      <c r="AC341" s="137"/>
      <c r="AD341" s="137"/>
      <c r="AE341" s="137"/>
      <c r="AF341" s="137"/>
      <c r="AG341" s="137"/>
    </row>
    <row r="342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  <c r="AA342" s="137"/>
      <c r="AB342" s="137"/>
      <c r="AC342" s="137"/>
      <c r="AD342" s="137"/>
      <c r="AE342" s="137"/>
      <c r="AF342" s="137"/>
      <c r="AG342" s="137"/>
    </row>
    <row r="343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  <c r="AA343" s="137"/>
      <c r="AB343" s="137"/>
      <c r="AC343" s="137"/>
      <c r="AD343" s="137"/>
      <c r="AE343" s="137"/>
      <c r="AF343" s="137"/>
      <c r="AG343" s="137"/>
    </row>
    <row r="344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  <c r="AA344" s="137"/>
      <c r="AB344" s="137"/>
      <c r="AC344" s="137"/>
      <c r="AD344" s="137"/>
      <c r="AE344" s="137"/>
      <c r="AF344" s="137"/>
      <c r="AG344" s="137"/>
    </row>
    <row r="345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  <c r="AA345" s="137"/>
      <c r="AB345" s="137"/>
      <c r="AC345" s="137"/>
      <c r="AD345" s="137"/>
      <c r="AE345" s="137"/>
      <c r="AF345" s="137"/>
      <c r="AG345" s="137"/>
    </row>
    <row r="346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  <c r="AA346" s="137"/>
      <c r="AB346" s="137"/>
      <c r="AC346" s="137"/>
      <c r="AD346" s="137"/>
      <c r="AE346" s="137"/>
      <c r="AF346" s="137"/>
      <c r="AG346" s="137"/>
    </row>
    <row r="347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  <c r="AA347" s="137"/>
      <c r="AB347" s="137"/>
      <c r="AC347" s="137"/>
      <c r="AD347" s="137"/>
      <c r="AE347" s="137"/>
      <c r="AF347" s="137"/>
      <c r="AG347" s="137"/>
    </row>
    <row r="348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  <c r="AA348" s="137"/>
      <c r="AB348" s="137"/>
      <c r="AC348" s="137"/>
      <c r="AD348" s="137"/>
      <c r="AE348" s="137"/>
      <c r="AF348" s="137"/>
      <c r="AG348" s="137"/>
    </row>
    <row r="349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  <c r="AA349" s="137"/>
      <c r="AB349" s="137"/>
      <c r="AC349" s="137"/>
      <c r="AD349" s="137"/>
      <c r="AE349" s="137"/>
      <c r="AF349" s="137"/>
      <c r="AG349" s="137"/>
    </row>
    <row r="350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  <c r="AA350" s="137"/>
      <c r="AB350" s="137"/>
      <c r="AC350" s="137"/>
      <c r="AD350" s="137"/>
      <c r="AE350" s="137"/>
      <c r="AF350" s="137"/>
      <c r="AG350" s="137"/>
    </row>
    <row r="351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  <c r="AA351" s="137"/>
      <c r="AB351" s="137"/>
      <c r="AC351" s="137"/>
      <c r="AD351" s="137"/>
      <c r="AE351" s="137"/>
      <c r="AF351" s="137"/>
      <c r="AG351" s="137"/>
    </row>
    <row r="352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  <c r="AA352" s="137"/>
      <c r="AB352" s="137"/>
      <c r="AC352" s="137"/>
      <c r="AD352" s="137"/>
      <c r="AE352" s="137"/>
      <c r="AF352" s="137"/>
      <c r="AG352" s="137"/>
    </row>
    <row r="353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  <c r="AA353" s="137"/>
      <c r="AB353" s="137"/>
      <c r="AC353" s="137"/>
      <c r="AD353" s="137"/>
      <c r="AE353" s="137"/>
      <c r="AF353" s="137"/>
      <c r="AG353" s="137"/>
    </row>
    <row r="354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  <c r="AA354" s="137"/>
      <c r="AB354" s="137"/>
      <c r="AC354" s="137"/>
      <c r="AD354" s="137"/>
      <c r="AE354" s="137"/>
      <c r="AF354" s="137"/>
      <c r="AG354" s="137"/>
    </row>
    <row r="355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  <c r="AG355" s="137"/>
    </row>
    <row r="356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  <c r="AG356" s="137"/>
    </row>
    <row r="357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  <c r="AE357" s="137"/>
      <c r="AF357" s="137"/>
      <c r="AG357" s="137"/>
    </row>
    <row r="358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  <c r="AE358" s="137"/>
      <c r="AF358" s="137"/>
      <c r="AG358" s="137"/>
    </row>
    <row r="359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  <c r="AE359" s="137"/>
      <c r="AF359" s="137"/>
      <c r="AG359" s="137"/>
    </row>
    <row r="360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  <c r="AE360" s="137"/>
      <c r="AF360" s="137"/>
      <c r="AG360" s="137"/>
    </row>
    <row r="361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  <c r="AE361" s="137"/>
      <c r="AF361" s="137"/>
      <c r="AG361" s="137"/>
    </row>
    <row r="362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  <c r="AE362" s="137"/>
      <c r="AF362" s="137"/>
      <c r="AG362" s="137"/>
    </row>
    <row r="363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  <c r="AE363" s="137"/>
      <c r="AF363" s="137"/>
      <c r="AG363" s="137"/>
    </row>
    <row r="364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  <c r="AE364" s="137"/>
      <c r="AF364" s="137"/>
      <c r="AG364" s="137"/>
    </row>
    <row r="365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  <c r="AE365" s="137"/>
      <c r="AF365" s="137"/>
      <c r="AG365" s="137"/>
    </row>
    <row r="366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  <c r="AE366" s="137"/>
      <c r="AF366" s="137"/>
      <c r="AG366" s="137"/>
    </row>
    <row r="367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  <c r="AE367" s="137"/>
      <c r="AF367" s="137"/>
      <c r="AG367" s="137"/>
    </row>
    <row r="368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  <c r="AE368" s="137"/>
      <c r="AF368" s="137"/>
      <c r="AG368" s="137"/>
    </row>
    <row r="369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  <c r="AE369" s="137"/>
      <c r="AF369" s="137"/>
      <c r="AG369" s="137"/>
    </row>
    <row r="370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  <c r="AE370" s="137"/>
      <c r="AF370" s="137"/>
      <c r="AG370" s="137"/>
    </row>
    <row r="371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  <c r="AE371" s="137"/>
      <c r="AF371" s="137"/>
      <c r="AG371" s="137"/>
    </row>
    <row r="372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  <c r="AE372" s="137"/>
      <c r="AF372" s="137"/>
      <c r="AG372" s="137"/>
    </row>
    <row r="373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  <c r="AA373" s="137"/>
      <c r="AB373" s="137"/>
      <c r="AC373" s="137"/>
      <c r="AD373" s="137"/>
      <c r="AE373" s="137"/>
      <c r="AF373" s="137"/>
      <c r="AG373" s="137"/>
    </row>
    <row r="374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  <c r="AA374" s="137"/>
      <c r="AB374" s="137"/>
      <c r="AC374" s="137"/>
      <c r="AD374" s="137"/>
      <c r="AE374" s="137"/>
      <c r="AF374" s="137"/>
      <c r="AG374" s="137"/>
    </row>
    <row r="375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  <c r="AG375" s="137"/>
    </row>
    <row r="376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  <c r="AG376" s="137"/>
    </row>
    <row r="377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  <c r="AA377" s="137"/>
      <c r="AB377" s="137"/>
      <c r="AC377" s="137"/>
      <c r="AD377" s="137"/>
      <c r="AE377" s="137"/>
      <c r="AF377" s="137"/>
      <c r="AG377" s="137"/>
    </row>
    <row r="378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  <c r="AA378" s="137"/>
      <c r="AB378" s="137"/>
      <c r="AC378" s="137"/>
      <c r="AD378" s="137"/>
      <c r="AE378" s="137"/>
      <c r="AF378" s="137"/>
      <c r="AG378" s="137"/>
    </row>
    <row r="379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  <c r="AA379" s="137"/>
      <c r="AB379" s="137"/>
      <c r="AC379" s="137"/>
      <c r="AD379" s="137"/>
      <c r="AE379" s="137"/>
      <c r="AF379" s="137"/>
      <c r="AG379" s="137"/>
    </row>
    <row r="380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  <c r="AA380" s="137"/>
      <c r="AB380" s="137"/>
      <c r="AC380" s="137"/>
      <c r="AD380" s="137"/>
      <c r="AE380" s="137"/>
      <c r="AF380" s="137"/>
      <c r="AG380" s="137"/>
    </row>
    <row r="381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  <c r="AA381" s="137"/>
      <c r="AB381" s="137"/>
      <c r="AC381" s="137"/>
      <c r="AD381" s="137"/>
      <c r="AE381" s="137"/>
      <c r="AF381" s="137"/>
      <c r="AG381" s="137"/>
    </row>
    <row r="382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  <c r="AA382" s="137"/>
      <c r="AB382" s="137"/>
      <c r="AC382" s="137"/>
      <c r="AD382" s="137"/>
      <c r="AE382" s="137"/>
      <c r="AF382" s="137"/>
      <c r="AG382" s="137"/>
    </row>
    <row r="383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  <c r="AA383" s="137"/>
      <c r="AB383" s="137"/>
      <c r="AC383" s="137"/>
      <c r="AD383" s="137"/>
      <c r="AE383" s="137"/>
      <c r="AF383" s="137"/>
      <c r="AG383" s="137"/>
    </row>
    <row r="384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  <c r="AA384" s="137"/>
      <c r="AB384" s="137"/>
      <c r="AC384" s="137"/>
      <c r="AD384" s="137"/>
      <c r="AE384" s="137"/>
      <c r="AF384" s="137"/>
      <c r="AG384" s="137"/>
    </row>
    <row r="385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  <c r="AA385" s="137"/>
      <c r="AB385" s="137"/>
      <c r="AC385" s="137"/>
      <c r="AD385" s="137"/>
      <c r="AE385" s="137"/>
      <c r="AF385" s="137"/>
      <c r="AG385" s="137"/>
    </row>
    <row r="386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  <c r="AA386" s="137"/>
      <c r="AB386" s="137"/>
      <c r="AC386" s="137"/>
      <c r="AD386" s="137"/>
      <c r="AE386" s="137"/>
      <c r="AF386" s="137"/>
      <c r="AG386" s="137"/>
    </row>
    <row r="387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  <c r="AA387" s="137"/>
      <c r="AB387" s="137"/>
      <c r="AC387" s="137"/>
      <c r="AD387" s="137"/>
      <c r="AE387" s="137"/>
      <c r="AF387" s="137"/>
      <c r="AG387" s="137"/>
    </row>
    <row r="388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  <c r="AA388" s="137"/>
      <c r="AB388" s="137"/>
      <c r="AC388" s="137"/>
      <c r="AD388" s="137"/>
      <c r="AE388" s="137"/>
      <c r="AF388" s="137"/>
      <c r="AG388" s="137"/>
    </row>
    <row r="389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  <c r="AA389" s="137"/>
      <c r="AB389" s="137"/>
      <c r="AC389" s="137"/>
      <c r="AD389" s="137"/>
      <c r="AE389" s="137"/>
      <c r="AF389" s="137"/>
      <c r="AG389" s="137"/>
    </row>
    <row r="390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  <c r="AA390" s="137"/>
      <c r="AB390" s="137"/>
      <c r="AC390" s="137"/>
      <c r="AD390" s="137"/>
      <c r="AE390" s="137"/>
      <c r="AF390" s="137"/>
      <c r="AG390" s="137"/>
    </row>
    <row r="391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  <c r="AA391" s="137"/>
      <c r="AB391" s="137"/>
      <c r="AC391" s="137"/>
      <c r="AD391" s="137"/>
      <c r="AE391" s="137"/>
      <c r="AF391" s="137"/>
      <c r="AG391" s="137"/>
    </row>
    <row r="392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  <c r="AA392" s="137"/>
      <c r="AB392" s="137"/>
      <c r="AC392" s="137"/>
      <c r="AD392" s="137"/>
      <c r="AE392" s="137"/>
      <c r="AF392" s="137"/>
      <c r="AG392" s="137"/>
    </row>
    <row r="393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  <c r="AA393" s="137"/>
      <c r="AB393" s="137"/>
      <c r="AC393" s="137"/>
      <c r="AD393" s="137"/>
      <c r="AE393" s="137"/>
      <c r="AF393" s="137"/>
      <c r="AG393" s="137"/>
    </row>
    <row r="394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  <c r="AA394" s="137"/>
      <c r="AB394" s="137"/>
      <c r="AC394" s="137"/>
      <c r="AD394" s="137"/>
      <c r="AE394" s="137"/>
      <c r="AF394" s="137"/>
      <c r="AG394" s="137"/>
    </row>
    <row r="395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  <c r="AG395" s="137"/>
    </row>
    <row r="396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  <c r="AG396" s="137"/>
    </row>
    <row r="397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  <c r="AA397" s="137"/>
      <c r="AB397" s="137"/>
      <c r="AC397" s="137"/>
      <c r="AD397" s="137"/>
      <c r="AE397" s="137"/>
      <c r="AF397" s="137"/>
      <c r="AG397" s="137"/>
    </row>
    <row r="398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  <c r="AA398" s="137"/>
      <c r="AB398" s="137"/>
      <c r="AC398" s="137"/>
      <c r="AD398" s="137"/>
      <c r="AE398" s="137"/>
      <c r="AF398" s="137"/>
      <c r="AG398" s="137"/>
    </row>
    <row r="399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  <c r="AA399" s="137"/>
      <c r="AB399" s="137"/>
      <c r="AC399" s="137"/>
      <c r="AD399" s="137"/>
      <c r="AE399" s="137"/>
      <c r="AF399" s="137"/>
      <c r="AG399" s="137"/>
    </row>
    <row r="400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  <c r="AA400" s="137"/>
      <c r="AB400" s="137"/>
      <c r="AC400" s="137"/>
      <c r="AD400" s="137"/>
      <c r="AE400" s="137"/>
      <c r="AF400" s="137"/>
      <c r="AG400" s="137"/>
    </row>
    <row r="401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  <c r="AA401" s="137"/>
      <c r="AB401" s="137"/>
      <c r="AC401" s="137"/>
      <c r="AD401" s="137"/>
      <c r="AE401" s="137"/>
      <c r="AF401" s="137"/>
      <c r="AG401" s="137"/>
    </row>
    <row r="402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  <c r="AA402" s="137"/>
      <c r="AB402" s="137"/>
      <c r="AC402" s="137"/>
      <c r="AD402" s="137"/>
      <c r="AE402" s="137"/>
      <c r="AF402" s="137"/>
      <c r="AG402" s="137"/>
    </row>
    <row r="403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  <c r="AA403" s="137"/>
      <c r="AB403" s="137"/>
      <c r="AC403" s="137"/>
      <c r="AD403" s="137"/>
      <c r="AE403" s="137"/>
      <c r="AF403" s="137"/>
      <c r="AG403" s="137"/>
    </row>
    <row r="404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  <c r="AA404" s="137"/>
      <c r="AB404" s="137"/>
      <c r="AC404" s="137"/>
      <c r="AD404" s="137"/>
      <c r="AE404" s="137"/>
      <c r="AF404" s="137"/>
      <c r="AG404" s="137"/>
    </row>
    <row r="405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  <c r="AA405" s="137"/>
      <c r="AB405" s="137"/>
      <c r="AC405" s="137"/>
      <c r="AD405" s="137"/>
      <c r="AE405" s="137"/>
      <c r="AF405" s="137"/>
      <c r="AG405" s="137"/>
    </row>
    <row r="406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  <c r="AA406" s="137"/>
      <c r="AB406" s="137"/>
      <c r="AC406" s="137"/>
      <c r="AD406" s="137"/>
      <c r="AE406" s="137"/>
      <c r="AF406" s="137"/>
      <c r="AG406" s="137"/>
    </row>
    <row r="407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  <c r="AA407" s="137"/>
      <c r="AB407" s="137"/>
      <c r="AC407" s="137"/>
      <c r="AD407" s="137"/>
      <c r="AE407" s="137"/>
      <c r="AF407" s="137"/>
      <c r="AG407" s="137"/>
    </row>
    <row r="408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  <c r="AA408" s="137"/>
      <c r="AB408" s="137"/>
      <c r="AC408" s="137"/>
      <c r="AD408" s="137"/>
      <c r="AE408" s="137"/>
      <c r="AF408" s="137"/>
      <c r="AG408" s="137"/>
    </row>
    <row r="409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  <c r="AA409" s="137"/>
      <c r="AB409" s="137"/>
      <c r="AC409" s="137"/>
      <c r="AD409" s="137"/>
      <c r="AE409" s="137"/>
      <c r="AF409" s="137"/>
      <c r="AG409" s="137"/>
    </row>
    <row r="410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  <c r="AA410" s="137"/>
      <c r="AB410" s="137"/>
      <c r="AC410" s="137"/>
      <c r="AD410" s="137"/>
      <c r="AE410" s="137"/>
      <c r="AF410" s="137"/>
      <c r="AG410" s="137"/>
    </row>
    <row r="411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  <c r="AA411" s="137"/>
      <c r="AB411" s="137"/>
      <c r="AC411" s="137"/>
      <c r="AD411" s="137"/>
      <c r="AE411" s="137"/>
      <c r="AF411" s="137"/>
      <c r="AG411" s="137"/>
    </row>
    <row r="412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  <c r="AA412" s="137"/>
      <c r="AB412" s="137"/>
      <c r="AC412" s="137"/>
      <c r="AD412" s="137"/>
      <c r="AE412" s="137"/>
      <c r="AF412" s="137"/>
      <c r="AG412" s="137"/>
    </row>
    <row r="413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  <c r="AA413" s="137"/>
      <c r="AB413" s="137"/>
      <c r="AC413" s="137"/>
      <c r="AD413" s="137"/>
      <c r="AE413" s="137"/>
      <c r="AF413" s="137"/>
      <c r="AG413" s="137"/>
    </row>
    <row r="414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  <c r="AA414" s="137"/>
      <c r="AB414" s="137"/>
      <c r="AC414" s="137"/>
      <c r="AD414" s="137"/>
      <c r="AE414" s="137"/>
      <c r="AF414" s="137"/>
      <c r="AG414" s="137"/>
    </row>
    <row r="415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  <c r="AG415" s="137"/>
    </row>
    <row r="416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  <c r="AG416" s="137"/>
    </row>
    <row r="417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  <c r="AA417" s="137"/>
      <c r="AB417" s="137"/>
      <c r="AC417" s="137"/>
      <c r="AD417" s="137"/>
      <c r="AE417" s="137"/>
      <c r="AF417" s="137"/>
      <c r="AG417" s="137"/>
    </row>
    <row r="418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  <c r="AA418" s="137"/>
      <c r="AB418" s="137"/>
      <c r="AC418" s="137"/>
      <c r="AD418" s="137"/>
      <c r="AE418" s="137"/>
      <c r="AF418" s="137"/>
      <c r="AG418" s="137"/>
    </row>
    <row r="419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  <c r="AA419" s="137"/>
      <c r="AB419" s="137"/>
      <c r="AC419" s="137"/>
      <c r="AD419" s="137"/>
      <c r="AE419" s="137"/>
      <c r="AF419" s="137"/>
      <c r="AG419" s="137"/>
    </row>
    <row r="420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  <c r="AA420" s="137"/>
      <c r="AB420" s="137"/>
      <c r="AC420" s="137"/>
      <c r="AD420" s="137"/>
      <c r="AE420" s="137"/>
      <c r="AF420" s="137"/>
      <c r="AG420" s="137"/>
    </row>
    <row r="421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  <c r="AA421" s="137"/>
      <c r="AB421" s="137"/>
      <c r="AC421" s="137"/>
      <c r="AD421" s="137"/>
      <c r="AE421" s="137"/>
      <c r="AF421" s="137"/>
      <c r="AG421" s="137"/>
    </row>
    <row r="422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  <c r="AA422" s="137"/>
      <c r="AB422" s="137"/>
      <c r="AC422" s="137"/>
      <c r="AD422" s="137"/>
      <c r="AE422" s="137"/>
      <c r="AF422" s="137"/>
      <c r="AG422" s="137"/>
    </row>
    <row r="423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  <c r="AA423" s="137"/>
      <c r="AB423" s="137"/>
      <c r="AC423" s="137"/>
      <c r="AD423" s="137"/>
      <c r="AE423" s="137"/>
      <c r="AF423" s="137"/>
      <c r="AG423" s="137"/>
    </row>
    <row r="424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  <c r="AA424" s="137"/>
      <c r="AB424" s="137"/>
      <c r="AC424" s="137"/>
      <c r="AD424" s="137"/>
      <c r="AE424" s="137"/>
      <c r="AF424" s="137"/>
      <c r="AG424" s="137"/>
    </row>
    <row r="425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  <c r="AA425" s="137"/>
      <c r="AB425" s="137"/>
      <c r="AC425" s="137"/>
      <c r="AD425" s="137"/>
      <c r="AE425" s="137"/>
      <c r="AF425" s="137"/>
      <c r="AG425" s="137"/>
    </row>
    <row r="426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  <c r="AA426" s="137"/>
      <c r="AB426" s="137"/>
      <c r="AC426" s="137"/>
      <c r="AD426" s="137"/>
      <c r="AE426" s="137"/>
      <c r="AF426" s="137"/>
      <c r="AG426" s="137"/>
    </row>
    <row r="427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  <c r="AA427" s="137"/>
      <c r="AB427" s="137"/>
      <c r="AC427" s="137"/>
      <c r="AD427" s="137"/>
      <c r="AE427" s="137"/>
      <c r="AF427" s="137"/>
      <c r="AG427" s="137"/>
    </row>
    <row r="428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  <c r="AA428" s="137"/>
      <c r="AB428" s="137"/>
      <c r="AC428" s="137"/>
      <c r="AD428" s="137"/>
      <c r="AE428" s="137"/>
      <c r="AF428" s="137"/>
      <c r="AG428" s="137"/>
    </row>
    <row r="429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  <c r="AA429" s="137"/>
      <c r="AB429" s="137"/>
      <c r="AC429" s="137"/>
      <c r="AD429" s="137"/>
      <c r="AE429" s="137"/>
      <c r="AF429" s="137"/>
      <c r="AG429" s="137"/>
    </row>
    <row r="430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  <c r="AA430" s="137"/>
      <c r="AB430" s="137"/>
      <c r="AC430" s="137"/>
      <c r="AD430" s="137"/>
      <c r="AE430" s="137"/>
      <c r="AF430" s="137"/>
      <c r="AG430" s="137"/>
    </row>
    <row r="431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  <c r="AA431" s="137"/>
      <c r="AB431" s="137"/>
      <c r="AC431" s="137"/>
      <c r="AD431" s="137"/>
      <c r="AE431" s="137"/>
      <c r="AF431" s="137"/>
      <c r="AG431" s="137"/>
    </row>
    <row r="432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  <c r="AA432" s="137"/>
      <c r="AB432" s="137"/>
      <c r="AC432" s="137"/>
      <c r="AD432" s="137"/>
      <c r="AE432" s="137"/>
      <c r="AF432" s="137"/>
      <c r="AG432" s="137"/>
    </row>
    <row r="433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  <c r="AA433" s="137"/>
      <c r="AB433" s="137"/>
      <c r="AC433" s="137"/>
      <c r="AD433" s="137"/>
      <c r="AE433" s="137"/>
      <c r="AF433" s="137"/>
      <c r="AG433" s="137"/>
    </row>
    <row r="434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  <c r="AA434" s="137"/>
      <c r="AB434" s="137"/>
      <c r="AC434" s="137"/>
      <c r="AD434" s="137"/>
      <c r="AE434" s="137"/>
      <c r="AF434" s="137"/>
      <c r="AG434" s="137"/>
    </row>
    <row r="435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  <c r="AG435" s="137"/>
    </row>
    <row r="436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  <c r="AG436" s="137"/>
    </row>
    <row r="437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  <c r="AA437" s="137"/>
      <c r="AB437" s="137"/>
      <c r="AC437" s="137"/>
      <c r="AD437" s="137"/>
      <c r="AE437" s="137"/>
      <c r="AF437" s="137"/>
      <c r="AG437" s="137"/>
    </row>
    <row r="438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  <c r="AA438" s="137"/>
      <c r="AB438" s="137"/>
      <c r="AC438" s="137"/>
      <c r="AD438" s="137"/>
      <c r="AE438" s="137"/>
      <c r="AF438" s="137"/>
      <c r="AG438" s="137"/>
    </row>
    <row r="439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  <c r="AA439" s="137"/>
      <c r="AB439" s="137"/>
      <c r="AC439" s="137"/>
      <c r="AD439" s="137"/>
      <c r="AE439" s="137"/>
      <c r="AF439" s="137"/>
      <c r="AG439" s="137"/>
    </row>
    <row r="440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  <c r="AA440" s="137"/>
      <c r="AB440" s="137"/>
      <c r="AC440" s="137"/>
      <c r="AD440" s="137"/>
      <c r="AE440" s="137"/>
      <c r="AF440" s="137"/>
      <c r="AG440" s="137"/>
    </row>
    <row r="441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  <c r="AA441" s="137"/>
      <c r="AB441" s="137"/>
      <c r="AC441" s="137"/>
      <c r="AD441" s="137"/>
      <c r="AE441" s="137"/>
      <c r="AF441" s="137"/>
      <c r="AG441" s="137"/>
    </row>
    <row r="442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  <c r="AA442" s="137"/>
      <c r="AB442" s="137"/>
      <c r="AC442" s="137"/>
      <c r="AD442" s="137"/>
      <c r="AE442" s="137"/>
      <c r="AF442" s="137"/>
      <c r="AG442" s="137"/>
    </row>
    <row r="443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  <c r="AA443" s="137"/>
      <c r="AB443" s="137"/>
      <c r="AC443" s="137"/>
      <c r="AD443" s="137"/>
      <c r="AE443" s="137"/>
      <c r="AF443" s="137"/>
      <c r="AG443" s="137"/>
    </row>
    <row r="444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  <c r="AA444" s="137"/>
      <c r="AB444" s="137"/>
      <c r="AC444" s="137"/>
      <c r="AD444" s="137"/>
      <c r="AE444" s="137"/>
      <c r="AF444" s="137"/>
      <c r="AG444" s="137"/>
    </row>
    <row r="445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  <c r="AA445" s="137"/>
      <c r="AB445" s="137"/>
      <c r="AC445" s="137"/>
      <c r="AD445" s="137"/>
      <c r="AE445" s="137"/>
      <c r="AF445" s="137"/>
      <c r="AG445" s="137"/>
    </row>
    <row r="446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  <c r="AA446" s="137"/>
      <c r="AB446" s="137"/>
      <c r="AC446" s="137"/>
      <c r="AD446" s="137"/>
      <c r="AE446" s="137"/>
      <c r="AF446" s="137"/>
      <c r="AG446" s="137"/>
    </row>
    <row r="447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  <c r="AA447" s="137"/>
      <c r="AB447" s="137"/>
      <c r="AC447" s="137"/>
      <c r="AD447" s="137"/>
      <c r="AE447" s="137"/>
      <c r="AF447" s="137"/>
      <c r="AG447" s="137"/>
    </row>
    <row r="448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  <c r="AA448" s="137"/>
      <c r="AB448" s="137"/>
      <c r="AC448" s="137"/>
      <c r="AD448" s="137"/>
      <c r="AE448" s="137"/>
      <c r="AF448" s="137"/>
      <c r="AG448" s="137"/>
    </row>
    <row r="449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  <c r="AA449" s="137"/>
      <c r="AB449" s="137"/>
      <c r="AC449" s="137"/>
      <c r="AD449" s="137"/>
      <c r="AE449" s="137"/>
      <c r="AF449" s="137"/>
      <c r="AG449" s="137"/>
    </row>
    <row r="450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  <c r="AA450" s="137"/>
      <c r="AB450" s="137"/>
      <c r="AC450" s="137"/>
      <c r="AD450" s="137"/>
      <c r="AE450" s="137"/>
      <c r="AF450" s="137"/>
      <c r="AG450" s="137"/>
    </row>
    <row r="451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  <c r="AA451" s="137"/>
      <c r="AB451" s="137"/>
      <c r="AC451" s="137"/>
      <c r="AD451" s="137"/>
      <c r="AE451" s="137"/>
      <c r="AF451" s="137"/>
      <c r="AG451" s="137"/>
    </row>
    <row r="452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  <c r="AG452" s="137"/>
    </row>
    <row r="453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  <c r="AA453" s="137"/>
      <c r="AB453" s="137"/>
      <c r="AC453" s="137"/>
      <c r="AD453" s="137"/>
      <c r="AE453" s="137"/>
      <c r="AF453" s="137"/>
      <c r="AG453" s="137"/>
    </row>
    <row r="454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  <c r="AA454" s="137"/>
      <c r="AB454" s="137"/>
      <c r="AC454" s="137"/>
      <c r="AD454" s="137"/>
      <c r="AE454" s="137"/>
      <c r="AF454" s="137"/>
      <c r="AG454" s="137"/>
    </row>
    <row r="455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  <c r="AG455" s="137"/>
    </row>
    <row r="456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  <c r="AG456" s="137"/>
    </row>
    <row r="457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  <c r="AA457" s="137"/>
      <c r="AB457" s="137"/>
      <c r="AC457" s="137"/>
      <c r="AD457" s="137"/>
      <c r="AE457" s="137"/>
      <c r="AF457" s="137"/>
      <c r="AG457" s="137"/>
    </row>
    <row r="458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  <c r="AA458" s="137"/>
      <c r="AB458" s="137"/>
      <c r="AC458" s="137"/>
      <c r="AD458" s="137"/>
      <c r="AE458" s="137"/>
      <c r="AF458" s="137"/>
      <c r="AG458" s="137"/>
    </row>
    <row r="459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  <c r="AA459" s="137"/>
      <c r="AB459" s="137"/>
      <c r="AC459" s="137"/>
      <c r="AD459" s="137"/>
      <c r="AE459" s="137"/>
      <c r="AF459" s="137"/>
      <c r="AG459" s="137"/>
    </row>
    <row r="460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  <c r="AA460" s="137"/>
      <c r="AB460" s="137"/>
      <c r="AC460" s="137"/>
      <c r="AD460" s="137"/>
      <c r="AE460" s="137"/>
      <c r="AF460" s="137"/>
      <c r="AG460" s="137"/>
    </row>
    <row r="461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  <c r="AA461" s="137"/>
      <c r="AB461" s="137"/>
      <c r="AC461" s="137"/>
      <c r="AD461" s="137"/>
      <c r="AE461" s="137"/>
      <c r="AF461" s="137"/>
      <c r="AG461" s="137"/>
    </row>
    <row r="462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  <c r="AA462" s="137"/>
      <c r="AB462" s="137"/>
      <c r="AC462" s="137"/>
      <c r="AD462" s="137"/>
      <c r="AE462" s="137"/>
      <c r="AF462" s="137"/>
      <c r="AG462" s="137"/>
    </row>
    <row r="463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  <c r="AA463" s="137"/>
      <c r="AB463" s="137"/>
      <c r="AC463" s="137"/>
      <c r="AD463" s="137"/>
      <c r="AE463" s="137"/>
      <c r="AF463" s="137"/>
      <c r="AG463" s="137"/>
    </row>
    <row r="464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  <c r="AA464" s="137"/>
      <c r="AB464" s="137"/>
      <c r="AC464" s="137"/>
      <c r="AD464" s="137"/>
      <c r="AE464" s="137"/>
      <c r="AF464" s="137"/>
      <c r="AG464" s="137"/>
    </row>
    <row r="465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  <c r="AA465" s="137"/>
      <c r="AB465" s="137"/>
      <c r="AC465" s="137"/>
      <c r="AD465" s="137"/>
      <c r="AE465" s="137"/>
      <c r="AF465" s="137"/>
      <c r="AG465" s="137"/>
    </row>
    <row r="466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  <c r="AA466" s="137"/>
      <c r="AB466" s="137"/>
      <c r="AC466" s="137"/>
      <c r="AD466" s="137"/>
      <c r="AE466" s="137"/>
      <c r="AF466" s="137"/>
      <c r="AG466" s="137"/>
    </row>
    <row r="467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  <c r="AA467" s="137"/>
      <c r="AB467" s="137"/>
      <c r="AC467" s="137"/>
      <c r="AD467" s="137"/>
      <c r="AE467" s="137"/>
      <c r="AF467" s="137"/>
      <c r="AG467" s="137"/>
    </row>
    <row r="468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  <c r="AA468" s="137"/>
      <c r="AB468" s="137"/>
      <c r="AC468" s="137"/>
      <c r="AD468" s="137"/>
      <c r="AE468" s="137"/>
      <c r="AF468" s="137"/>
      <c r="AG468" s="137"/>
    </row>
    <row r="469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  <c r="AA469" s="137"/>
      <c r="AB469" s="137"/>
      <c r="AC469" s="137"/>
      <c r="AD469" s="137"/>
      <c r="AE469" s="137"/>
      <c r="AF469" s="137"/>
      <c r="AG469" s="137"/>
    </row>
    <row r="470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  <c r="AA470" s="137"/>
      <c r="AB470" s="137"/>
      <c r="AC470" s="137"/>
      <c r="AD470" s="137"/>
      <c r="AE470" s="137"/>
      <c r="AF470" s="137"/>
      <c r="AG470" s="137"/>
    </row>
    <row r="471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  <c r="AA471" s="137"/>
      <c r="AB471" s="137"/>
      <c r="AC471" s="137"/>
      <c r="AD471" s="137"/>
      <c r="AE471" s="137"/>
      <c r="AF471" s="137"/>
      <c r="AG471" s="137"/>
    </row>
    <row r="472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  <c r="AA472" s="137"/>
      <c r="AB472" s="137"/>
      <c r="AC472" s="137"/>
      <c r="AD472" s="137"/>
      <c r="AE472" s="137"/>
      <c r="AF472" s="137"/>
      <c r="AG472" s="137"/>
    </row>
    <row r="473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  <c r="AA473" s="137"/>
      <c r="AB473" s="137"/>
      <c r="AC473" s="137"/>
      <c r="AD473" s="137"/>
      <c r="AE473" s="137"/>
      <c r="AF473" s="137"/>
      <c r="AG473" s="137"/>
    </row>
    <row r="474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  <c r="AA474" s="137"/>
      <c r="AB474" s="137"/>
      <c r="AC474" s="137"/>
      <c r="AD474" s="137"/>
      <c r="AE474" s="137"/>
      <c r="AF474" s="137"/>
      <c r="AG474" s="137"/>
    </row>
    <row r="475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  <c r="AG475" s="137"/>
    </row>
    <row r="476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  <c r="AG476" s="137"/>
    </row>
    <row r="477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  <c r="AA477" s="137"/>
      <c r="AB477" s="137"/>
      <c r="AC477" s="137"/>
      <c r="AD477" s="137"/>
      <c r="AE477" s="137"/>
      <c r="AF477" s="137"/>
      <c r="AG477" s="137"/>
    </row>
    <row r="478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  <c r="AA478" s="137"/>
      <c r="AB478" s="137"/>
      <c r="AC478" s="137"/>
      <c r="AD478" s="137"/>
      <c r="AE478" s="137"/>
      <c r="AF478" s="137"/>
      <c r="AG478" s="137"/>
    </row>
    <row r="479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  <c r="AA479" s="137"/>
      <c r="AB479" s="137"/>
      <c r="AC479" s="137"/>
      <c r="AD479" s="137"/>
      <c r="AE479" s="137"/>
      <c r="AF479" s="137"/>
      <c r="AG479" s="137"/>
    </row>
    <row r="480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  <c r="AA480" s="137"/>
      <c r="AB480" s="137"/>
      <c r="AC480" s="137"/>
      <c r="AD480" s="137"/>
      <c r="AE480" s="137"/>
      <c r="AF480" s="137"/>
      <c r="AG480" s="137"/>
    </row>
    <row r="481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  <c r="AA481" s="137"/>
      <c r="AB481" s="137"/>
      <c r="AC481" s="137"/>
      <c r="AD481" s="137"/>
      <c r="AE481" s="137"/>
      <c r="AF481" s="137"/>
      <c r="AG481" s="137"/>
    </row>
    <row r="482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  <c r="AA482" s="137"/>
      <c r="AB482" s="137"/>
      <c r="AC482" s="137"/>
      <c r="AD482" s="137"/>
      <c r="AE482" s="137"/>
      <c r="AF482" s="137"/>
      <c r="AG482" s="137"/>
    </row>
    <row r="483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  <c r="AA483" s="137"/>
      <c r="AB483" s="137"/>
      <c r="AC483" s="137"/>
      <c r="AD483" s="137"/>
      <c r="AE483" s="137"/>
      <c r="AF483" s="137"/>
      <c r="AG483" s="137"/>
    </row>
    <row r="484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  <c r="AA484" s="137"/>
      <c r="AB484" s="137"/>
      <c r="AC484" s="137"/>
      <c r="AD484" s="137"/>
      <c r="AE484" s="137"/>
      <c r="AF484" s="137"/>
      <c r="AG484" s="137"/>
    </row>
    <row r="485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  <c r="AA485" s="137"/>
      <c r="AB485" s="137"/>
      <c r="AC485" s="137"/>
      <c r="AD485" s="137"/>
      <c r="AE485" s="137"/>
      <c r="AF485" s="137"/>
      <c r="AG485" s="137"/>
    </row>
    <row r="486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  <c r="AA486" s="137"/>
      <c r="AB486" s="137"/>
      <c r="AC486" s="137"/>
      <c r="AD486" s="137"/>
      <c r="AE486" s="137"/>
      <c r="AF486" s="137"/>
      <c r="AG486" s="137"/>
    </row>
    <row r="487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  <c r="AA487" s="137"/>
      <c r="AB487" s="137"/>
      <c r="AC487" s="137"/>
      <c r="AD487" s="137"/>
      <c r="AE487" s="137"/>
      <c r="AF487" s="137"/>
      <c r="AG487" s="137"/>
    </row>
    <row r="488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  <c r="AA488" s="137"/>
      <c r="AB488" s="137"/>
      <c r="AC488" s="137"/>
      <c r="AD488" s="137"/>
      <c r="AE488" s="137"/>
      <c r="AF488" s="137"/>
      <c r="AG488" s="137"/>
    </row>
    <row r="489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  <c r="AA489" s="137"/>
      <c r="AB489" s="137"/>
      <c r="AC489" s="137"/>
      <c r="AD489" s="137"/>
      <c r="AE489" s="137"/>
      <c r="AF489" s="137"/>
      <c r="AG489" s="137"/>
    </row>
    <row r="490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  <c r="AA490" s="137"/>
      <c r="AB490" s="137"/>
      <c r="AC490" s="137"/>
      <c r="AD490" s="137"/>
      <c r="AE490" s="137"/>
      <c r="AF490" s="137"/>
      <c r="AG490" s="137"/>
    </row>
    <row r="491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  <c r="AA491" s="137"/>
      <c r="AB491" s="137"/>
      <c r="AC491" s="137"/>
      <c r="AD491" s="137"/>
      <c r="AE491" s="137"/>
      <c r="AF491" s="137"/>
      <c r="AG491" s="137"/>
    </row>
    <row r="492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  <c r="AA492" s="137"/>
      <c r="AB492" s="137"/>
      <c r="AC492" s="137"/>
      <c r="AD492" s="137"/>
      <c r="AE492" s="137"/>
      <c r="AF492" s="137"/>
      <c r="AG492" s="137"/>
    </row>
    <row r="493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  <c r="AA493" s="137"/>
      <c r="AB493" s="137"/>
      <c r="AC493" s="137"/>
      <c r="AD493" s="137"/>
      <c r="AE493" s="137"/>
      <c r="AF493" s="137"/>
      <c r="AG493" s="137"/>
    </row>
    <row r="494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  <c r="AA494" s="137"/>
      <c r="AB494" s="137"/>
      <c r="AC494" s="137"/>
      <c r="AD494" s="137"/>
      <c r="AE494" s="137"/>
      <c r="AF494" s="137"/>
      <c r="AG494" s="137"/>
    </row>
    <row r="495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  <c r="AG495" s="137"/>
    </row>
    <row r="496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  <c r="AG496" s="137"/>
    </row>
    <row r="497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  <c r="AA497" s="137"/>
      <c r="AB497" s="137"/>
      <c r="AC497" s="137"/>
      <c r="AD497" s="137"/>
      <c r="AE497" s="137"/>
      <c r="AF497" s="137"/>
      <c r="AG497" s="137"/>
    </row>
    <row r="498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  <c r="AA498" s="137"/>
      <c r="AB498" s="137"/>
      <c r="AC498" s="137"/>
      <c r="AD498" s="137"/>
      <c r="AE498" s="137"/>
      <c r="AF498" s="137"/>
      <c r="AG498" s="137"/>
    </row>
    <row r="499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  <c r="AA499" s="137"/>
      <c r="AB499" s="137"/>
      <c r="AC499" s="137"/>
      <c r="AD499" s="137"/>
      <c r="AE499" s="137"/>
      <c r="AF499" s="137"/>
      <c r="AG499" s="137"/>
    </row>
    <row r="500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  <c r="AA500" s="137"/>
      <c r="AB500" s="137"/>
      <c r="AC500" s="137"/>
      <c r="AD500" s="137"/>
      <c r="AE500" s="137"/>
      <c r="AF500" s="137"/>
      <c r="AG500" s="137"/>
    </row>
    <row r="501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  <c r="AA501" s="137"/>
      <c r="AB501" s="137"/>
      <c r="AC501" s="137"/>
      <c r="AD501" s="137"/>
      <c r="AE501" s="137"/>
      <c r="AF501" s="137"/>
      <c r="AG501" s="137"/>
    </row>
    <row r="502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  <c r="AA502" s="137"/>
      <c r="AB502" s="137"/>
      <c r="AC502" s="137"/>
      <c r="AD502" s="137"/>
      <c r="AE502" s="137"/>
      <c r="AF502" s="137"/>
      <c r="AG502" s="137"/>
    </row>
    <row r="503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  <c r="AA503" s="137"/>
      <c r="AB503" s="137"/>
      <c r="AC503" s="137"/>
      <c r="AD503" s="137"/>
      <c r="AE503" s="137"/>
      <c r="AF503" s="137"/>
      <c r="AG503" s="137"/>
    </row>
    <row r="504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  <c r="AA504" s="137"/>
      <c r="AB504" s="137"/>
      <c r="AC504" s="137"/>
      <c r="AD504" s="137"/>
      <c r="AE504" s="137"/>
      <c r="AF504" s="137"/>
      <c r="AG504" s="137"/>
    </row>
    <row r="505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  <c r="AA505" s="137"/>
      <c r="AB505" s="137"/>
      <c r="AC505" s="137"/>
      <c r="AD505" s="137"/>
      <c r="AE505" s="137"/>
      <c r="AF505" s="137"/>
      <c r="AG505" s="137"/>
    </row>
    <row r="506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  <c r="AA506" s="137"/>
      <c r="AB506" s="137"/>
      <c r="AC506" s="137"/>
      <c r="AD506" s="137"/>
      <c r="AE506" s="137"/>
      <c r="AF506" s="137"/>
      <c r="AG506" s="137"/>
    </row>
    <row r="507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  <c r="AA507" s="137"/>
      <c r="AB507" s="137"/>
      <c r="AC507" s="137"/>
      <c r="AD507" s="137"/>
      <c r="AE507" s="137"/>
      <c r="AF507" s="137"/>
      <c r="AG507" s="137"/>
    </row>
    <row r="508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  <c r="AA508" s="137"/>
      <c r="AB508" s="137"/>
      <c r="AC508" s="137"/>
      <c r="AD508" s="137"/>
      <c r="AE508" s="137"/>
      <c r="AF508" s="137"/>
      <c r="AG508" s="137"/>
    </row>
    <row r="509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  <c r="AA509" s="137"/>
      <c r="AB509" s="137"/>
      <c r="AC509" s="137"/>
      <c r="AD509" s="137"/>
      <c r="AE509" s="137"/>
      <c r="AF509" s="137"/>
      <c r="AG509" s="137"/>
    </row>
    <row r="510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  <c r="AA510" s="137"/>
      <c r="AB510" s="137"/>
      <c r="AC510" s="137"/>
      <c r="AD510" s="137"/>
      <c r="AE510" s="137"/>
      <c r="AF510" s="137"/>
      <c r="AG510" s="137"/>
    </row>
    <row r="511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  <c r="AA511" s="137"/>
      <c r="AB511" s="137"/>
      <c r="AC511" s="137"/>
      <c r="AD511" s="137"/>
      <c r="AE511" s="137"/>
      <c r="AF511" s="137"/>
      <c r="AG511" s="137"/>
    </row>
    <row r="512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  <c r="AA512" s="137"/>
      <c r="AB512" s="137"/>
      <c r="AC512" s="137"/>
      <c r="AD512" s="137"/>
      <c r="AE512" s="137"/>
      <c r="AF512" s="137"/>
      <c r="AG512" s="137"/>
    </row>
    <row r="513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  <c r="AA513" s="137"/>
      <c r="AB513" s="137"/>
      <c r="AC513" s="137"/>
      <c r="AD513" s="137"/>
      <c r="AE513" s="137"/>
      <c r="AF513" s="137"/>
      <c r="AG513" s="137"/>
    </row>
    <row r="514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  <c r="AA514" s="137"/>
      <c r="AB514" s="137"/>
      <c r="AC514" s="137"/>
      <c r="AD514" s="137"/>
      <c r="AE514" s="137"/>
      <c r="AF514" s="137"/>
      <c r="AG514" s="137"/>
    </row>
    <row r="515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  <c r="AG515" s="137"/>
    </row>
    <row r="516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  <c r="AG516" s="137"/>
    </row>
    <row r="517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  <c r="AA517" s="137"/>
      <c r="AB517" s="137"/>
      <c r="AC517" s="137"/>
      <c r="AD517" s="137"/>
      <c r="AE517" s="137"/>
      <c r="AF517" s="137"/>
      <c r="AG517" s="137"/>
    </row>
    <row r="518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  <c r="AA518" s="137"/>
      <c r="AB518" s="137"/>
      <c r="AC518" s="137"/>
      <c r="AD518" s="137"/>
      <c r="AE518" s="137"/>
      <c r="AF518" s="137"/>
      <c r="AG518" s="137"/>
    </row>
    <row r="519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  <c r="AA519" s="137"/>
      <c r="AB519" s="137"/>
      <c r="AC519" s="137"/>
      <c r="AD519" s="137"/>
      <c r="AE519" s="137"/>
      <c r="AF519" s="137"/>
      <c r="AG519" s="137"/>
    </row>
    <row r="520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  <c r="AA520" s="137"/>
      <c r="AB520" s="137"/>
      <c r="AC520" s="137"/>
      <c r="AD520" s="137"/>
      <c r="AE520" s="137"/>
      <c r="AF520" s="137"/>
      <c r="AG520" s="137"/>
    </row>
    <row r="521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  <c r="AA521" s="137"/>
      <c r="AB521" s="137"/>
      <c r="AC521" s="137"/>
      <c r="AD521" s="137"/>
      <c r="AE521" s="137"/>
      <c r="AF521" s="137"/>
      <c r="AG521" s="137"/>
    </row>
    <row r="522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  <c r="AA522" s="137"/>
      <c r="AB522" s="137"/>
      <c r="AC522" s="137"/>
      <c r="AD522" s="137"/>
      <c r="AE522" s="137"/>
      <c r="AF522" s="137"/>
      <c r="AG522" s="137"/>
    </row>
    <row r="523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  <c r="AA523" s="137"/>
      <c r="AB523" s="137"/>
      <c r="AC523" s="137"/>
      <c r="AD523" s="137"/>
      <c r="AE523" s="137"/>
      <c r="AF523" s="137"/>
      <c r="AG523" s="137"/>
    </row>
    <row r="524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  <c r="AA524" s="137"/>
      <c r="AB524" s="137"/>
      <c r="AC524" s="137"/>
      <c r="AD524" s="137"/>
      <c r="AE524" s="137"/>
      <c r="AF524" s="137"/>
      <c r="AG524" s="137"/>
    </row>
    <row r="525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  <c r="AA525" s="137"/>
      <c r="AB525" s="137"/>
      <c r="AC525" s="137"/>
      <c r="AD525" s="137"/>
      <c r="AE525" s="137"/>
      <c r="AF525" s="137"/>
      <c r="AG525" s="137"/>
    </row>
    <row r="526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  <c r="AA526" s="137"/>
      <c r="AB526" s="137"/>
      <c r="AC526" s="137"/>
      <c r="AD526" s="137"/>
      <c r="AE526" s="137"/>
      <c r="AF526" s="137"/>
      <c r="AG526" s="137"/>
    </row>
    <row r="527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  <c r="AA527" s="137"/>
      <c r="AB527" s="137"/>
      <c r="AC527" s="137"/>
      <c r="AD527" s="137"/>
      <c r="AE527" s="137"/>
      <c r="AF527" s="137"/>
      <c r="AG527" s="137"/>
    </row>
    <row r="528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  <c r="AA528" s="137"/>
      <c r="AB528" s="137"/>
      <c r="AC528" s="137"/>
      <c r="AD528" s="137"/>
      <c r="AE528" s="137"/>
      <c r="AF528" s="137"/>
      <c r="AG528" s="137"/>
    </row>
    <row r="529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  <c r="AA529" s="137"/>
      <c r="AB529" s="137"/>
      <c r="AC529" s="137"/>
      <c r="AD529" s="137"/>
      <c r="AE529" s="137"/>
      <c r="AF529" s="137"/>
      <c r="AG529" s="137"/>
    </row>
    <row r="530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  <c r="AA530" s="137"/>
      <c r="AB530" s="137"/>
      <c r="AC530" s="137"/>
      <c r="AD530" s="137"/>
      <c r="AE530" s="137"/>
      <c r="AF530" s="137"/>
      <c r="AG530" s="137"/>
    </row>
    <row r="531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  <c r="AA531" s="137"/>
      <c r="AB531" s="137"/>
      <c r="AC531" s="137"/>
      <c r="AD531" s="137"/>
      <c r="AE531" s="137"/>
      <c r="AF531" s="137"/>
      <c r="AG531" s="137"/>
    </row>
    <row r="532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  <c r="AA532" s="137"/>
      <c r="AB532" s="137"/>
      <c r="AC532" s="137"/>
      <c r="AD532" s="137"/>
      <c r="AE532" s="137"/>
      <c r="AF532" s="137"/>
      <c r="AG532" s="137"/>
    </row>
    <row r="533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  <c r="AA533" s="137"/>
      <c r="AB533" s="137"/>
      <c r="AC533" s="137"/>
      <c r="AD533" s="137"/>
      <c r="AE533" s="137"/>
      <c r="AF533" s="137"/>
      <c r="AG533" s="137"/>
    </row>
    <row r="534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  <c r="AA534" s="137"/>
      <c r="AB534" s="137"/>
      <c r="AC534" s="137"/>
      <c r="AD534" s="137"/>
      <c r="AE534" s="137"/>
      <c r="AF534" s="137"/>
      <c r="AG534" s="137"/>
    </row>
    <row r="535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  <c r="AG535" s="137"/>
    </row>
    <row r="536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  <c r="AG536" s="137"/>
    </row>
    <row r="537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  <c r="AA537" s="137"/>
      <c r="AB537" s="137"/>
      <c r="AC537" s="137"/>
      <c r="AD537" s="137"/>
      <c r="AE537" s="137"/>
      <c r="AF537" s="137"/>
      <c r="AG537" s="137"/>
    </row>
    <row r="538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  <c r="AA538" s="137"/>
      <c r="AB538" s="137"/>
      <c r="AC538" s="137"/>
      <c r="AD538" s="137"/>
      <c r="AE538" s="137"/>
      <c r="AF538" s="137"/>
      <c r="AG538" s="137"/>
    </row>
    <row r="539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  <c r="AA539" s="137"/>
      <c r="AB539" s="137"/>
      <c r="AC539" s="137"/>
      <c r="AD539" s="137"/>
      <c r="AE539" s="137"/>
      <c r="AF539" s="137"/>
      <c r="AG539" s="137"/>
    </row>
    <row r="540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  <c r="AA540" s="137"/>
      <c r="AB540" s="137"/>
      <c r="AC540" s="137"/>
      <c r="AD540" s="137"/>
      <c r="AE540" s="137"/>
      <c r="AF540" s="137"/>
      <c r="AG540" s="137"/>
    </row>
    <row r="541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  <c r="AA541" s="137"/>
      <c r="AB541" s="137"/>
      <c r="AC541" s="137"/>
      <c r="AD541" s="137"/>
      <c r="AE541" s="137"/>
      <c r="AF541" s="137"/>
      <c r="AG541" s="137"/>
    </row>
    <row r="542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  <c r="AA542" s="137"/>
      <c r="AB542" s="137"/>
      <c r="AC542" s="137"/>
      <c r="AD542" s="137"/>
      <c r="AE542" s="137"/>
      <c r="AF542" s="137"/>
      <c r="AG542" s="137"/>
    </row>
    <row r="543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  <c r="AA543" s="137"/>
      <c r="AB543" s="137"/>
      <c r="AC543" s="137"/>
      <c r="AD543" s="137"/>
      <c r="AE543" s="137"/>
      <c r="AF543" s="137"/>
      <c r="AG543" s="137"/>
    </row>
    <row r="544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  <c r="AA544" s="137"/>
      <c r="AB544" s="137"/>
      <c r="AC544" s="137"/>
      <c r="AD544" s="137"/>
      <c r="AE544" s="137"/>
      <c r="AF544" s="137"/>
      <c r="AG544" s="137"/>
    </row>
    <row r="545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  <c r="AA545" s="137"/>
      <c r="AB545" s="137"/>
      <c r="AC545" s="137"/>
      <c r="AD545" s="137"/>
      <c r="AE545" s="137"/>
      <c r="AF545" s="137"/>
      <c r="AG545" s="137"/>
    </row>
    <row r="546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  <c r="AA546" s="137"/>
      <c r="AB546" s="137"/>
      <c r="AC546" s="137"/>
      <c r="AD546" s="137"/>
      <c r="AE546" s="137"/>
      <c r="AF546" s="137"/>
      <c r="AG546" s="137"/>
    </row>
    <row r="547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  <c r="AA547" s="137"/>
      <c r="AB547" s="137"/>
      <c r="AC547" s="137"/>
      <c r="AD547" s="137"/>
      <c r="AE547" s="137"/>
      <c r="AF547" s="137"/>
      <c r="AG547" s="137"/>
    </row>
    <row r="548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  <c r="AA548" s="137"/>
      <c r="AB548" s="137"/>
      <c r="AC548" s="137"/>
      <c r="AD548" s="137"/>
      <c r="AE548" s="137"/>
      <c r="AF548" s="137"/>
      <c r="AG548" s="137"/>
    </row>
    <row r="549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  <c r="AA549" s="137"/>
      <c r="AB549" s="137"/>
      <c r="AC549" s="137"/>
      <c r="AD549" s="137"/>
      <c r="AE549" s="137"/>
      <c r="AF549" s="137"/>
      <c r="AG549" s="137"/>
    </row>
    <row r="550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  <c r="AA550" s="137"/>
      <c r="AB550" s="137"/>
      <c r="AC550" s="137"/>
      <c r="AD550" s="137"/>
      <c r="AE550" s="137"/>
      <c r="AF550" s="137"/>
      <c r="AG550" s="137"/>
    </row>
    <row r="551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  <c r="AA551" s="137"/>
      <c r="AB551" s="137"/>
      <c r="AC551" s="137"/>
      <c r="AD551" s="137"/>
      <c r="AE551" s="137"/>
      <c r="AF551" s="137"/>
      <c r="AG551" s="137"/>
    </row>
    <row r="552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  <c r="AA552" s="137"/>
      <c r="AB552" s="137"/>
      <c r="AC552" s="137"/>
      <c r="AD552" s="137"/>
      <c r="AE552" s="137"/>
      <c r="AF552" s="137"/>
      <c r="AG552" s="137"/>
    </row>
    <row r="553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  <c r="AA553" s="137"/>
      <c r="AB553" s="137"/>
      <c r="AC553" s="137"/>
      <c r="AD553" s="137"/>
      <c r="AE553" s="137"/>
      <c r="AF553" s="137"/>
      <c r="AG553" s="137"/>
    </row>
    <row r="554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  <c r="AA554" s="137"/>
      <c r="AB554" s="137"/>
      <c r="AC554" s="137"/>
      <c r="AD554" s="137"/>
      <c r="AE554" s="137"/>
      <c r="AF554" s="137"/>
      <c r="AG554" s="137"/>
    </row>
    <row r="555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  <c r="AG555" s="137"/>
    </row>
    <row r="556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  <c r="AG556" s="137"/>
    </row>
    <row r="557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  <c r="AA557" s="137"/>
      <c r="AB557" s="137"/>
      <c r="AC557" s="137"/>
      <c r="AD557" s="137"/>
      <c r="AE557" s="137"/>
      <c r="AF557" s="137"/>
      <c r="AG557" s="137"/>
    </row>
    <row r="558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  <c r="AA558" s="137"/>
      <c r="AB558" s="137"/>
      <c r="AC558" s="137"/>
      <c r="AD558" s="137"/>
      <c r="AE558" s="137"/>
      <c r="AF558" s="137"/>
      <c r="AG558" s="137"/>
    </row>
    <row r="559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  <c r="AA559" s="137"/>
      <c r="AB559" s="137"/>
      <c r="AC559" s="137"/>
      <c r="AD559" s="137"/>
      <c r="AE559" s="137"/>
      <c r="AF559" s="137"/>
      <c r="AG559" s="137"/>
    </row>
    <row r="560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  <c r="AA560" s="137"/>
      <c r="AB560" s="137"/>
      <c r="AC560" s="137"/>
      <c r="AD560" s="137"/>
      <c r="AE560" s="137"/>
      <c r="AF560" s="137"/>
      <c r="AG560" s="137"/>
    </row>
    <row r="561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  <c r="AA561" s="137"/>
      <c r="AB561" s="137"/>
      <c r="AC561" s="137"/>
      <c r="AD561" s="137"/>
      <c r="AE561" s="137"/>
      <c r="AF561" s="137"/>
      <c r="AG561" s="137"/>
    </row>
    <row r="562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  <c r="AA562" s="137"/>
      <c r="AB562" s="137"/>
      <c r="AC562" s="137"/>
      <c r="AD562" s="137"/>
      <c r="AE562" s="137"/>
      <c r="AF562" s="137"/>
      <c r="AG562" s="137"/>
    </row>
    <row r="563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  <c r="AA563" s="137"/>
      <c r="AB563" s="137"/>
      <c r="AC563" s="137"/>
      <c r="AD563" s="137"/>
      <c r="AE563" s="137"/>
      <c r="AF563" s="137"/>
      <c r="AG563" s="137"/>
    </row>
    <row r="564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  <c r="AA564" s="137"/>
      <c r="AB564" s="137"/>
      <c r="AC564" s="137"/>
      <c r="AD564" s="137"/>
      <c r="AE564" s="137"/>
      <c r="AF564" s="137"/>
      <c r="AG564" s="137"/>
    </row>
    <row r="565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  <c r="AG565" s="137"/>
    </row>
    <row r="566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  <c r="AA566" s="137"/>
      <c r="AB566" s="137"/>
      <c r="AC566" s="137"/>
      <c r="AD566" s="137"/>
      <c r="AE566" s="137"/>
      <c r="AF566" s="137"/>
      <c r="AG566" s="137"/>
    </row>
    <row r="567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  <c r="AA567" s="137"/>
      <c r="AB567" s="137"/>
      <c r="AC567" s="137"/>
      <c r="AD567" s="137"/>
      <c r="AE567" s="137"/>
      <c r="AF567" s="137"/>
      <c r="AG567" s="137"/>
    </row>
    <row r="568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  <c r="AA568" s="137"/>
      <c r="AB568" s="137"/>
      <c r="AC568" s="137"/>
      <c r="AD568" s="137"/>
      <c r="AE568" s="137"/>
      <c r="AF568" s="137"/>
      <c r="AG568" s="137"/>
    </row>
    <row r="569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  <c r="AA569" s="137"/>
      <c r="AB569" s="137"/>
      <c r="AC569" s="137"/>
      <c r="AD569" s="137"/>
      <c r="AE569" s="137"/>
      <c r="AF569" s="137"/>
      <c r="AG569" s="137"/>
    </row>
    <row r="570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  <c r="AA570" s="137"/>
      <c r="AB570" s="137"/>
      <c r="AC570" s="137"/>
      <c r="AD570" s="137"/>
      <c r="AE570" s="137"/>
      <c r="AF570" s="137"/>
      <c r="AG570" s="137"/>
    </row>
    <row r="571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  <c r="AA571" s="137"/>
      <c r="AB571" s="137"/>
      <c r="AC571" s="137"/>
      <c r="AD571" s="137"/>
      <c r="AE571" s="137"/>
      <c r="AF571" s="137"/>
      <c r="AG571" s="137"/>
    </row>
    <row r="572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  <c r="AA572" s="137"/>
      <c r="AB572" s="137"/>
      <c r="AC572" s="137"/>
      <c r="AD572" s="137"/>
      <c r="AE572" s="137"/>
      <c r="AF572" s="137"/>
      <c r="AG572" s="137"/>
    </row>
    <row r="573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  <c r="AA573" s="137"/>
      <c r="AB573" s="137"/>
      <c r="AC573" s="137"/>
      <c r="AD573" s="137"/>
      <c r="AE573" s="137"/>
      <c r="AF573" s="137"/>
      <c r="AG573" s="137"/>
    </row>
    <row r="574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  <c r="AA574" s="137"/>
      <c r="AB574" s="137"/>
      <c r="AC574" s="137"/>
      <c r="AD574" s="137"/>
      <c r="AE574" s="137"/>
      <c r="AF574" s="137"/>
      <c r="AG574" s="137"/>
    </row>
    <row r="575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  <c r="AG575" s="137"/>
    </row>
    <row r="576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  <c r="AG576" s="137"/>
    </row>
    <row r="577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  <c r="AA577" s="137"/>
      <c r="AB577" s="137"/>
      <c r="AC577" s="137"/>
      <c r="AD577" s="137"/>
      <c r="AE577" s="137"/>
      <c r="AF577" s="137"/>
      <c r="AG577" s="137"/>
    </row>
    <row r="578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  <c r="AA578" s="137"/>
      <c r="AB578" s="137"/>
      <c r="AC578" s="137"/>
      <c r="AD578" s="137"/>
      <c r="AE578" s="137"/>
      <c r="AF578" s="137"/>
      <c r="AG578" s="137"/>
    </row>
    <row r="579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  <c r="AA579" s="137"/>
      <c r="AB579" s="137"/>
      <c r="AC579" s="137"/>
      <c r="AD579" s="137"/>
      <c r="AE579" s="137"/>
      <c r="AF579" s="137"/>
      <c r="AG579" s="137"/>
    </row>
    <row r="580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  <c r="AA580" s="137"/>
      <c r="AB580" s="137"/>
      <c r="AC580" s="137"/>
      <c r="AD580" s="137"/>
      <c r="AE580" s="137"/>
      <c r="AF580" s="137"/>
      <c r="AG580" s="137"/>
    </row>
    <row r="581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  <c r="AA581" s="137"/>
      <c r="AB581" s="137"/>
      <c r="AC581" s="137"/>
      <c r="AD581" s="137"/>
      <c r="AE581" s="137"/>
      <c r="AF581" s="137"/>
      <c r="AG581" s="137"/>
    </row>
    <row r="582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  <c r="AA582" s="137"/>
      <c r="AB582" s="137"/>
      <c r="AC582" s="137"/>
      <c r="AD582" s="137"/>
      <c r="AE582" s="137"/>
      <c r="AF582" s="137"/>
      <c r="AG582" s="137"/>
    </row>
    <row r="583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  <c r="AA583" s="137"/>
      <c r="AB583" s="137"/>
      <c r="AC583" s="137"/>
      <c r="AD583" s="137"/>
      <c r="AE583" s="137"/>
      <c r="AF583" s="137"/>
      <c r="AG583" s="137"/>
    </row>
    <row r="584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  <c r="AA584" s="137"/>
      <c r="AB584" s="137"/>
      <c r="AC584" s="137"/>
      <c r="AD584" s="137"/>
      <c r="AE584" s="137"/>
      <c r="AF584" s="137"/>
      <c r="AG584" s="137"/>
    </row>
    <row r="585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  <c r="AA585" s="137"/>
      <c r="AB585" s="137"/>
      <c r="AC585" s="137"/>
      <c r="AD585" s="137"/>
      <c r="AE585" s="137"/>
      <c r="AF585" s="137"/>
      <c r="AG585" s="137"/>
    </row>
    <row r="586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  <c r="AA586" s="137"/>
      <c r="AB586" s="137"/>
      <c r="AC586" s="137"/>
      <c r="AD586" s="137"/>
      <c r="AE586" s="137"/>
      <c r="AF586" s="137"/>
      <c r="AG586" s="137"/>
    </row>
    <row r="587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  <c r="AA587" s="137"/>
      <c r="AB587" s="137"/>
      <c r="AC587" s="137"/>
      <c r="AD587" s="137"/>
      <c r="AE587" s="137"/>
      <c r="AF587" s="137"/>
      <c r="AG587" s="137"/>
    </row>
    <row r="588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  <c r="AA588" s="137"/>
      <c r="AB588" s="137"/>
      <c r="AC588" s="137"/>
      <c r="AD588" s="137"/>
      <c r="AE588" s="137"/>
      <c r="AF588" s="137"/>
      <c r="AG588" s="137"/>
    </row>
    <row r="589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  <c r="AA589" s="137"/>
      <c r="AB589" s="137"/>
      <c r="AC589" s="137"/>
      <c r="AD589" s="137"/>
      <c r="AE589" s="137"/>
      <c r="AF589" s="137"/>
      <c r="AG589" s="137"/>
    </row>
    <row r="590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  <c r="AA590" s="137"/>
      <c r="AB590" s="137"/>
      <c r="AC590" s="137"/>
      <c r="AD590" s="137"/>
      <c r="AE590" s="137"/>
      <c r="AF590" s="137"/>
      <c r="AG590" s="137"/>
    </row>
    <row r="591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  <c r="AA591" s="137"/>
      <c r="AB591" s="137"/>
      <c r="AC591" s="137"/>
      <c r="AD591" s="137"/>
      <c r="AE591" s="137"/>
      <c r="AF591" s="137"/>
      <c r="AG591" s="137"/>
    </row>
    <row r="592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  <c r="AA592" s="137"/>
      <c r="AB592" s="137"/>
      <c r="AC592" s="137"/>
      <c r="AD592" s="137"/>
      <c r="AE592" s="137"/>
      <c r="AF592" s="137"/>
      <c r="AG592" s="137"/>
    </row>
    <row r="593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  <c r="AA593" s="137"/>
      <c r="AB593" s="137"/>
      <c r="AC593" s="137"/>
      <c r="AD593" s="137"/>
      <c r="AE593" s="137"/>
      <c r="AF593" s="137"/>
      <c r="AG593" s="137"/>
    </row>
    <row r="594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  <c r="AA594" s="137"/>
      <c r="AB594" s="137"/>
      <c r="AC594" s="137"/>
      <c r="AD594" s="137"/>
      <c r="AE594" s="137"/>
      <c r="AF594" s="137"/>
      <c r="AG594" s="137"/>
    </row>
    <row r="595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  <c r="AG595" s="137"/>
    </row>
    <row r="596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  <c r="AG596" s="137"/>
    </row>
    <row r="597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  <c r="AA597" s="137"/>
      <c r="AB597" s="137"/>
      <c r="AC597" s="137"/>
      <c r="AD597" s="137"/>
      <c r="AE597" s="137"/>
      <c r="AF597" s="137"/>
      <c r="AG597" s="137"/>
    </row>
    <row r="598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  <c r="AA598" s="137"/>
      <c r="AB598" s="137"/>
      <c r="AC598" s="137"/>
      <c r="AD598" s="137"/>
      <c r="AE598" s="137"/>
      <c r="AF598" s="137"/>
      <c r="AG598" s="137"/>
    </row>
    <row r="599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  <c r="AA599" s="137"/>
      <c r="AB599" s="137"/>
      <c r="AC599" s="137"/>
      <c r="AD599" s="137"/>
      <c r="AE599" s="137"/>
      <c r="AF599" s="137"/>
      <c r="AG599" s="137"/>
    </row>
    <row r="600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  <c r="AA600" s="137"/>
      <c r="AB600" s="137"/>
      <c r="AC600" s="137"/>
      <c r="AD600" s="137"/>
      <c r="AE600" s="137"/>
      <c r="AF600" s="137"/>
      <c r="AG600" s="137"/>
    </row>
    <row r="601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  <c r="AA601" s="137"/>
      <c r="AB601" s="137"/>
      <c r="AC601" s="137"/>
      <c r="AD601" s="137"/>
      <c r="AE601" s="137"/>
      <c r="AF601" s="137"/>
      <c r="AG601" s="137"/>
    </row>
    <row r="602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  <c r="AA602" s="137"/>
      <c r="AB602" s="137"/>
      <c r="AC602" s="137"/>
      <c r="AD602" s="137"/>
      <c r="AE602" s="137"/>
      <c r="AF602" s="137"/>
      <c r="AG602" s="137"/>
    </row>
    <row r="603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  <c r="AA603" s="137"/>
      <c r="AB603" s="137"/>
      <c r="AC603" s="137"/>
      <c r="AD603" s="137"/>
      <c r="AE603" s="137"/>
      <c r="AF603" s="137"/>
      <c r="AG603" s="137"/>
    </row>
    <row r="604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  <c r="AA604" s="137"/>
      <c r="AB604" s="137"/>
      <c r="AC604" s="137"/>
      <c r="AD604" s="137"/>
      <c r="AE604" s="137"/>
      <c r="AF604" s="137"/>
      <c r="AG604" s="137"/>
    </row>
    <row r="605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  <c r="AA605" s="137"/>
      <c r="AB605" s="137"/>
      <c r="AC605" s="137"/>
      <c r="AD605" s="137"/>
      <c r="AE605" s="137"/>
      <c r="AF605" s="137"/>
      <c r="AG605" s="137"/>
    </row>
    <row r="606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  <c r="AA606" s="137"/>
      <c r="AB606" s="137"/>
      <c r="AC606" s="137"/>
      <c r="AD606" s="137"/>
      <c r="AE606" s="137"/>
      <c r="AF606" s="137"/>
      <c r="AG606" s="137"/>
    </row>
    <row r="607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  <c r="AA607" s="137"/>
      <c r="AB607" s="137"/>
      <c r="AC607" s="137"/>
      <c r="AD607" s="137"/>
      <c r="AE607" s="137"/>
      <c r="AF607" s="137"/>
      <c r="AG607" s="137"/>
    </row>
    <row r="608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  <c r="AA608" s="137"/>
      <c r="AB608" s="137"/>
      <c r="AC608" s="137"/>
      <c r="AD608" s="137"/>
      <c r="AE608" s="137"/>
      <c r="AF608" s="137"/>
      <c r="AG608" s="137"/>
    </row>
    <row r="609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  <c r="AA609" s="137"/>
      <c r="AB609" s="137"/>
      <c r="AC609" s="137"/>
      <c r="AD609" s="137"/>
      <c r="AE609" s="137"/>
      <c r="AF609" s="137"/>
      <c r="AG609" s="137"/>
    </row>
    <row r="610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  <c r="AA610" s="137"/>
      <c r="AB610" s="137"/>
      <c r="AC610" s="137"/>
      <c r="AD610" s="137"/>
      <c r="AE610" s="137"/>
      <c r="AF610" s="137"/>
      <c r="AG610" s="137"/>
    </row>
    <row r="611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  <c r="AA611" s="137"/>
      <c r="AB611" s="137"/>
      <c r="AC611" s="137"/>
      <c r="AD611" s="137"/>
      <c r="AE611" s="137"/>
      <c r="AF611" s="137"/>
      <c r="AG611" s="137"/>
    </row>
    <row r="612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  <c r="AA612" s="137"/>
      <c r="AB612" s="137"/>
      <c r="AC612" s="137"/>
      <c r="AD612" s="137"/>
      <c r="AE612" s="137"/>
      <c r="AF612" s="137"/>
      <c r="AG612" s="137"/>
    </row>
    <row r="613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  <c r="AA613" s="137"/>
      <c r="AB613" s="137"/>
      <c r="AC613" s="137"/>
      <c r="AD613" s="137"/>
      <c r="AE613" s="137"/>
      <c r="AF613" s="137"/>
      <c r="AG613" s="137"/>
    </row>
    <row r="614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  <c r="AA614" s="137"/>
      <c r="AB614" s="137"/>
      <c r="AC614" s="137"/>
      <c r="AD614" s="137"/>
      <c r="AE614" s="137"/>
      <c r="AF614" s="137"/>
      <c r="AG614" s="137"/>
    </row>
    <row r="615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  <c r="AG615" s="137"/>
    </row>
    <row r="616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  <c r="AG616" s="137"/>
    </row>
    <row r="617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  <c r="AA617" s="137"/>
      <c r="AB617" s="137"/>
      <c r="AC617" s="137"/>
      <c r="AD617" s="137"/>
      <c r="AE617" s="137"/>
      <c r="AF617" s="137"/>
      <c r="AG617" s="137"/>
    </row>
    <row r="618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  <c r="AA618" s="137"/>
      <c r="AB618" s="137"/>
      <c r="AC618" s="137"/>
      <c r="AD618" s="137"/>
      <c r="AE618" s="137"/>
      <c r="AF618" s="137"/>
      <c r="AG618" s="137"/>
    </row>
    <row r="619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  <c r="AA619" s="137"/>
      <c r="AB619" s="137"/>
      <c r="AC619" s="137"/>
      <c r="AD619" s="137"/>
      <c r="AE619" s="137"/>
      <c r="AF619" s="137"/>
      <c r="AG619" s="137"/>
    </row>
    <row r="620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  <c r="AA620" s="137"/>
      <c r="AB620" s="137"/>
      <c r="AC620" s="137"/>
      <c r="AD620" s="137"/>
      <c r="AE620" s="137"/>
      <c r="AF620" s="137"/>
      <c r="AG620" s="137"/>
    </row>
    <row r="621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  <c r="AA621" s="137"/>
      <c r="AB621" s="137"/>
      <c r="AC621" s="137"/>
      <c r="AD621" s="137"/>
      <c r="AE621" s="137"/>
      <c r="AF621" s="137"/>
      <c r="AG621" s="137"/>
    </row>
    <row r="622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  <c r="AA622" s="137"/>
      <c r="AB622" s="137"/>
      <c r="AC622" s="137"/>
      <c r="AD622" s="137"/>
      <c r="AE622" s="137"/>
      <c r="AF622" s="137"/>
      <c r="AG622" s="137"/>
    </row>
    <row r="623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  <c r="AA623" s="137"/>
      <c r="AB623" s="137"/>
      <c r="AC623" s="137"/>
      <c r="AD623" s="137"/>
      <c r="AE623" s="137"/>
      <c r="AF623" s="137"/>
      <c r="AG623" s="137"/>
    </row>
    <row r="624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  <c r="AA624" s="137"/>
      <c r="AB624" s="137"/>
      <c r="AC624" s="137"/>
      <c r="AD624" s="137"/>
      <c r="AE624" s="137"/>
      <c r="AF624" s="137"/>
      <c r="AG624" s="137"/>
    </row>
    <row r="625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  <c r="AA625" s="137"/>
      <c r="AB625" s="137"/>
      <c r="AC625" s="137"/>
      <c r="AD625" s="137"/>
      <c r="AE625" s="137"/>
      <c r="AF625" s="137"/>
      <c r="AG625" s="137"/>
    </row>
    <row r="626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  <c r="AA626" s="137"/>
      <c r="AB626" s="137"/>
      <c r="AC626" s="137"/>
      <c r="AD626" s="137"/>
      <c r="AE626" s="137"/>
      <c r="AF626" s="137"/>
      <c r="AG626" s="137"/>
    </row>
    <row r="627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  <c r="AA627" s="137"/>
      <c r="AB627" s="137"/>
      <c r="AC627" s="137"/>
      <c r="AD627" s="137"/>
      <c r="AE627" s="137"/>
      <c r="AF627" s="137"/>
      <c r="AG627" s="137"/>
    </row>
    <row r="628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  <c r="AA628" s="137"/>
      <c r="AB628" s="137"/>
      <c r="AC628" s="137"/>
      <c r="AD628" s="137"/>
      <c r="AE628" s="137"/>
      <c r="AF628" s="137"/>
      <c r="AG628" s="137"/>
    </row>
    <row r="629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  <c r="AA629" s="137"/>
      <c r="AB629" s="137"/>
      <c r="AC629" s="137"/>
      <c r="AD629" s="137"/>
      <c r="AE629" s="137"/>
      <c r="AF629" s="137"/>
      <c r="AG629" s="137"/>
    </row>
    <row r="630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  <c r="AA630" s="137"/>
      <c r="AB630" s="137"/>
      <c r="AC630" s="137"/>
      <c r="AD630" s="137"/>
      <c r="AE630" s="137"/>
      <c r="AF630" s="137"/>
      <c r="AG630" s="137"/>
    </row>
    <row r="631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  <c r="AA631" s="137"/>
      <c r="AB631" s="137"/>
      <c r="AC631" s="137"/>
      <c r="AD631" s="137"/>
      <c r="AE631" s="137"/>
      <c r="AF631" s="137"/>
      <c r="AG631" s="137"/>
    </row>
    <row r="632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  <c r="AA632" s="137"/>
      <c r="AB632" s="137"/>
      <c r="AC632" s="137"/>
      <c r="AD632" s="137"/>
      <c r="AE632" s="137"/>
      <c r="AF632" s="137"/>
      <c r="AG632" s="137"/>
    </row>
    <row r="633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  <c r="AA633" s="137"/>
      <c r="AB633" s="137"/>
      <c r="AC633" s="137"/>
      <c r="AD633" s="137"/>
      <c r="AE633" s="137"/>
      <c r="AF633" s="137"/>
      <c r="AG633" s="137"/>
    </row>
    <row r="634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  <c r="AA634" s="137"/>
      <c r="AB634" s="137"/>
      <c r="AC634" s="137"/>
      <c r="AD634" s="137"/>
      <c r="AE634" s="137"/>
      <c r="AF634" s="137"/>
      <c r="AG634" s="137"/>
    </row>
    <row r="635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  <c r="AG635" s="137"/>
    </row>
    <row r="636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  <c r="AG636" s="137"/>
    </row>
    <row r="637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  <c r="AA637" s="137"/>
      <c r="AB637" s="137"/>
      <c r="AC637" s="137"/>
      <c r="AD637" s="137"/>
      <c r="AE637" s="137"/>
      <c r="AF637" s="137"/>
      <c r="AG637" s="137"/>
    </row>
    <row r="638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  <c r="AA638" s="137"/>
      <c r="AB638" s="137"/>
      <c r="AC638" s="137"/>
      <c r="AD638" s="137"/>
      <c r="AE638" s="137"/>
      <c r="AF638" s="137"/>
      <c r="AG638" s="137"/>
    </row>
    <row r="639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  <c r="AA639" s="137"/>
      <c r="AB639" s="137"/>
      <c r="AC639" s="137"/>
      <c r="AD639" s="137"/>
      <c r="AE639" s="137"/>
      <c r="AF639" s="137"/>
      <c r="AG639" s="137"/>
    </row>
    <row r="640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  <c r="AA640" s="137"/>
      <c r="AB640" s="137"/>
      <c r="AC640" s="137"/>
      <c r="AD640" s="137"/>
      <c r="AE640" s="137"/>
      <c r="AF640" s="137"/>
      <c r="AG640" s="137"/>
    </row>
    <row r="641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  <c r="AA641" s="137"/>
      <c r="AB641" s="137"/>
      <c r="AC641" s="137"/>
      <c r="AD641" s="137"/>
      <c r="AE641" s="137"/>
      <c r="AF641" s="137"/>
      <c r="AG641" s="137"/>
    </row>
    <row r="642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  <c r="AA642" s="137"/>
      <c r="AB642" s="137"/>
      <c r="AC642" s="137"/>
      <c r="AD642" s="137"/>
      <c r="AE642" s="137"/>
      <c r="AF642" s="137"/>
      <c r="AG642" s="137"/>
    </row>
    <row r="643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  <c r="AA643" s="137"/>
      <c r="AB643" s="137"/>
      <c r="AC643" s="137"/>
      <c r="AD643" s="137"/>
      <c r="AE643" s="137"/>
      <c r="AF643" s="137"/>
      <c r="AG643" s="137"/>
    </row>
    <row r="644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  <c r="AA644" s="137"/>
      <c r="AB644" s="137"/>
      <c r="AC644" s="137"/>
      <c r="AD644" s="137"/>
      <c r="AE644" s="137"/>
      <c r="AF644" s="137"/>
      <c r="AG644" s="137"/>
    </row>
    <row r="645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  <c r="AA645" s="137"/>
      <c r="AB645" s="137"/>
      <c r="AC645" s="137"/>
      <c r="AD645" s="137"/>
      <c r="AE645" s="137"/>
      <c r="AF645" s="137"/>
      <c r="AG645" s="137"/>
    </row>
    <row r="646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  <c r="AA646" s="137"/>
      <c r="AB646" s="137"/>
      <c r="AC646" s="137"/>
      <c r="AD646" s="137"/>
      <c r="AE646" s="137"/>
      <c r="AF646" s="137"/>
      <c r="AG646" s="137"/>
    </row>
    <row r="647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  <c r="AA647" s="137"/>
      <c r="AB647" s="137"/>
      <c r="AC647" s="137"/>
      <c r="AD647" s="137"/>
      <c r="AE647" s="137"/>
      <c r="AF647" s="137"/>
      <c r="AG647" s="137"/>
    </row>
    <row r="648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  <c r="AA648" s="137"/>
      <c r="AB648" s="137"/>
      <c r="AC648" s="137"/>
      <c r="AD648" s="137"/>
      <c r="AE648" s="137"/>
      <c r="AF648" s="137"/>
      <c r="AG648" s="137"/>
    </row>
    <row r="649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  <c r="AA649" s="137"/>
      <c r="AB649" s="137"/>
      <c r="AC649" s="137"/>
      <c r="AD649" s="137"/>
      <c r="AE649" s="137"/>
      <c r="AF649" s="137"/>
      <c r="AG649" s="137"/>
    </row>
    <row r="650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  <c r="AA650" s="137"/>
      <c r="AB650" s="137"/>
      <c r="AC650" s="137"/>
      <c r="AD650" s="137"/>
      <c r="AE650" s="137"/>
      <c r="AF650" s="137"/>
      <c r="AG650" s="137"/>
    </row>
    <row r="651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  <c r="AA651" s="137"/>
      <c r="AB651" s="137"/>
      <c r="AC651" s="137"/>
      <c r="AD651" s="137"/>
      <c r="AE651" s="137"/>
      <c r="AF651" s="137"/>
      <c r="AG651" s="137"/>
    </row>
    <row r="652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  <c r="AA652" s="137"/>
      <c r="AB652" s="137"/>
      <c r="AC652" s="137"/>
      <c r="AD652" s="137"/>
      <c r="AE652" s="137"/>
      <c r="AF652" s="137"/>
      <c r="AG652" s="137"/>
    </row>
    <row r="653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  <c r="AA653" s="137"/>
      <c r="AB653" s="137"/>
      <c r="AC653" s="137"/>
      <c r="AD653" s="137"/>
      <c r="AE653" s="137"/>
      <c r="AF653" s="137"/>
      <c r="AG653" s="137"/>
    </row>
    <row r="654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  <c r="AA654" s="137"/>
      <c r="AB654" s="137"/>
      <c r="AC654" s="137"/>
      <c r="AD654" s="137"/>
      <c r="AE654" s="137"/>
      <c r="AF654" s="137"/>
      <c r="AG654" s="137"/>
    </row>
    <row r="655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  <c r="AG655" s="137"/>
    </row>
    <row r="656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  <c r="AG656" s="137"/>
    </row>
    <row r="657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  <c r="AA657" s="137"/>
      <c r="AB657" s="137"/>
      <c r="AC657" s="137"/>
      <c r="AD657" s="137"/>
      <c r="AE657" s="137"/>
      <c r="AF657" s="137"/>
      <c r="AG657" s="137"/>
    </row>
    <row r="658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  <c r="AA658" s="137"/>
      <c r="AB658" s="137"/>
      <c r="AC658" s="137"/>
      <c r="AD658" s="137"/>
      <c r="AE658" s="137"/>
      <c r="AF658" s="137"/>
      <c r="AG658" s="137"/>
    </row>
    <row r="659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  <c r="AA659" s="137"/>
      <c r="AB659" s="137"/>
      <c r="AC659" s="137"/>
      <c r="AD659" s="137"/>
      <c r="AE659" s="137"/>
      <c r="AF659" s="137"/>
      <c r="AG659" s="137"/>
    </row>
    <row r="660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  <c r="AA660" s="137"/>
      <c r="AB660" s="137"/>
      <c r="AC660" s="137"/>
      <c r="AD660" s="137"/>
      <c r="AE660" s="137"/>
      <c r="AF660" s="137"/>
      <c r="AG660" s="137"/>
    </row>
    <row r="661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  <c r="AA661" s="137"/>
      <c r="AB661" s="137"/>
      <c r="AC661" s="137"/>
      <c r="AD661" s="137"/>
      <c r="AE661" s="137"/>
      <c r="AF661" s="137"/>
      <c r="AG661" s="137"/>
    </row>
    <row r="662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  <c r="AA662" s="137"/>
      <c r="AB662" s="137"/>
      <c r="AC662" s="137"/>
      <c r="AD662" s="137"/>
      <c r="AE662" s="137"/>
      <c r="AF662" s="137"/>
      <c r="AG662" s="137"/>
    </row>
    <row r="663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  <c r="AG663" s="137"/>
    </row>
    <row r="664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  <c r="AA664" s="137"/>
      <c r="AB664" s="137"/>
      <c r="AC664" s="137"/>
      <c r="AD664" s="137"/>
      <c r="AE664" s="137"/>
      <c r="AF664" s="137"/>
      <c r="AG664" s="137"/>
    </row>
    <row r="665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  <c r="AA665" s="137"/>
      <c r="AB665" s="137"/>
      <c r="AC665" s="137"/>
      <c r="AD665" s="137"/>
      <c r="AE665" s="137"/>
      <c r="AF665" s="137"/>
      <c r="AG665" s="137"/>
    </row>
    <row r="666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  <c r="AA666" s="137"/>
      <c r="AB666" s="137"/>
      <c r="AC666" s="137"/>
      <c r="AD666" s="137"/>
      <c r="AE666" s="137"/>
      <c r="AF666" s="137"/>
      <c r="AG666" s="137"/>
    </row>
    <row r="667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  <c r="AA667" s="137"/>
      <c r="AB667" s="137"/>
      <c r="AC667" s="137"/>
      <c r="AD667" s="137"/>
      <c r="AE667" s="137"/>
      <c r="AF667" s="137"/>
      <c r="AG667" s="137"/>
    </row>
    <row r="668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  <c r="AA668" s="137"/>
      <c r="AB668" s="137"/>
      <c r="AC668" s="137"/>
      <c r="AD668" s="137"/>
      <c r="AE668" s="137"/>
      <c r="AF668" s="137"/>
      <c r="AG668" s="137"/>
    </row>
    <row r="669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  <c r="AA669" s="137"/>
      <c r="AB669" s="137"/>
      <c r="AC669" s="137"/>
      <c r="AD669" s="137"/>
      <c r="AE669" s="137"/>
      <c r="AF669" s="137"/>
      <c r="AG669" s="137"/>
    </row>
    <row r="670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  <c r="AA670" s="137"/>
      <c r="AB670" s="137"/>
      <c r="AC670" s="137"/>
      <c r="AD670" s="137"/>
      <c r="AE670" s="137"/>
      <c r="AF670" s="137"/>
      <c r="AG670" s="137"/>
    </row>
    <row r="671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  <c r="AA671" s="137"/>
      <c r="AB671" s="137"/>
      <c r="AC671" s="137"/>
      <c r="AD671" s="137"/>
      <c r="AE671" s="137"/>
      <c r="AF671" s="137"/>
      <c r="AG671" s="137"/>
    </row>
    <row r="672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  <c r="AA672" s="137"/>
      <c r="AB672" s="137"/>
      <c r="AC672" s="137"/>
      <c r="AD672" s="137"/>
      <c r="AE672" s="137"/>
      <c r="AF672" s="137"/>
      <c r="AG672" s="137"/>
    </row>
    <row r="673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  <c r="AA673" s="137"/>
      <c r="AB673" s="137"/>
      <c r="AC673" s="137"/>
      <c r="AD673" s="137"/>
      <c r="AE673" s="137"/>
      <c r="AF673" s="137"/>
      <c r="AG673" s="137"/>
    </row>
    <row r="674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  <c r="AA674" s="137"/>
      <c r="AB674" s="137"/>
      <c r="AC674" s="137"/>
      <c r="AD674" s="137"/>
      <c r="AE674" s="137"/>
      <c r="AF674" s="137"/>
      <c r="AG674" s="137"/>
    </row>
    <row r="675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  <c r="AG675" s="137"/>
    </row>
    <row r="676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  <c r="AG676" s="137"/>
    </row>
    <row r="677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  <c r="AA677" s="137"/>
      <c r="AB677" s="137"/>
      <c r="AC677" s="137"/>
      <c r="AD677" s="137"/>
      <c r="AE677" s="137"/>
      <c r="AF677" s="137"/>
      <c r="AG677" s="137"/>
    </row>
    <row r="678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  <c r="AA678" s="137"/>
      <c r="AB678" s="137"/>
      <c r="AC678" s="137"/>
      <c r="AD678" s="137"/>
      <c r="AE678" s="137"/>
      <c r="AF678" s="137"/>
      <c r="AG678" s="137"/>
    </row>
    <row r="679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  <c r="AA679" s="137"/>
      <c r="AB679" s="137"/>
      <c r="AC679" s="137"/>
      <c r="AD679" s="137"/>
      <c r="AE679" s="137"/>
      <c r="AF679" s="137"/>
      <c r="AG679" s="137"/>
    </row>
    <row r="680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  <c r="AA680" s="137"/>
      <c r="AB680" s="137"/>
      <c r="AC680" s="137"/>
      <c r="AD680" s="137"/>
      <c r="AE680" s="137"/>
      <c r="AF680" s="137"/>
      <c r="AG680" s="137"/>
    </row>
    <row r="681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  <c r="AA681" s="137"/>
      <c r="AB681" s="137"/>
      <c r="AC681" s="137"/>
      <c r="AD681" s="137"/>
      <c r="AE681" s="137"/>
      <c r="AF681" s="137"/>
      <c r="AG681" s="137"/>
    </row>
    <row r="682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  <c r="AA682" s="137"/>
      <c r="AB682" s="137"/>
      <c r="AC682" s="137"/>
      <c r="AD682" s="137"/>
      <c r="AE682" s="137"/>
      <c r="AF682" s="137"/>
      <c r="AG682" s="137"/>
    </row>
    <row r="683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  <c r="AA683" s="137"/>
      <c r="AB683" s="137"/>
      <c r="AC683" s="137"/>
      <c r="AD683" s="137"/>
      <c r="AE683" s="137"/>
      <c r="AF683" s="137"/>
      <c r="AG683" s="137"/>
    </row>
    <row r="684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  <c r="AA684" s="137"/>
      <c r="AB684" s="137"/>
      <c r="AC684" s="137"/>
      <c r="AD684" s="137"/>
      <c r="AE684" s="137"/>
      <c r="AF684" s="137"/>
      <c r="AG684" s="137"/>
    </row>
    <row r="685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  <c r="AA685" s="137"/>
      <c r="AB685" s="137"/>
      <c r="AC685" s="137"/>
      <c r="AD685" s="137"/>
      <c r="AE685" s="137"/>
      <c r="AF685" s="137"/>
      <c r="AG685" s="137"/>
    </row>
    <row r="686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  <c r="AA686" s="137"/>
      <c r="AB686" s="137"/>
      <c r="AC686" s="137"/>
      <c r="AD686" s="137"/>
      <c r="AE686" s="137"/>
      <c r="AF686" s="137"/>
      <c r="AG686" s="137"/>
    </row>
    <row r="687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  <c r="AA687" s="137"/>
      <c r="AB687" s="137"/>
      <c r="AC687" s="137"/>
      <c r="AD687" s="137"/>
      <c r="AE687" s="137"/>
      <c r="AF687" s="137"/>
      <c r="AG687" s="137"/>
    </row>
    <row r="688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  <c r="AA688" s="137"/>
      <c r="AB688" s="137"/>
      <c r="AC688" s="137"/>
      <c r="AD688" s="137"/>
      <c r="AE688" s="137"/>
      <c r="AF688" s="137"/>
      <c r="AG688" s="137"/>
    </row>
    <row r="689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  <c r="AA689" s="137"/>
      <c r="AB689" s="137"/>
      <c r="AC689" s="137"/>
      <c r="AD689" s="137"/>
      <c r="AE689" s="137"/>
      <c r="AF689" s="137"/>
      <c r="AG689" s="137"/>
    </row>
    <row r="690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  <c r="AA690" s="137"/>
      <c r="AB690" s="137"/>
      <c r="AC690" s="137"/>
      <c r="AD690" s="137"/>
      <c r="AE690" s="137"/>
      <c r="AF690" s="137"/>
      <c r="AG690" s="137"/>
    </row>
    <row r="691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  <c r="AA691" s="137"/>
      <c r="AB691" s="137"/>
      <c r="AC691" s="137"/>
      <c r="AD691" s="137"/>
      <c r="AE691" s="137"/>
      <c r="AF691" s="137"/>
      <c r="AG691" s="137"/>
    </row>
    <row r="692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  <c r="AA692" s="137"/>
      <c r="AB692" s="137"/>
      <c r="AC692" s="137"/>
      <c r="AD692" s="137"/>
      <c r="AE692" s="137"/>
      <c r="AF692" s="137"/>
      <c r="AG692" s="137"/>
    </row>
    <row r="693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  <c r="AA693" s="137"/>
      <c r="AB693" s="137"/>
      <c r="AC693" s="137"/>
      <c r="AD693" s="137"/>
      <c r="AE693" s="137"/>
      <c r="AF693" s="137"/>
      <c r="AG693" s="137"/>
    </row>
    <row r="694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  <c r="AA694" s="137"/>
      <c r="AB694" s="137"/>
      <c r="AC694" s="137"/>
      <c r="AD694" s="137"/>
      <c r="AE694" s="137"/>
      <c r="AF694" s="137"/>
      <c r="AG694" s="137"/>
    </row>
    <row r="695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  <c r="AG695" s="137"/>
    </row>
    <row r="696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  <c r="AG696" s="137"/>
    </row>
    <row r="697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  <c r="AA697" s="137"/>
      <c r="AB697" s="137"/>
      <c r="AC697" s="137"/>
      <c r="AD697" s="137"/>
      <c r="AE697" s="137"/>
      <c r="AF697" s="137"/>
      <c r="AG697" s="137"/>
    </row>
    <row r="698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  <c r="AA698" s="137"/>
      <c r="AB698" s="137"/>
      <c r="AC698" s="137"/>
      <c r="AD698" s="137"/>
      <c r="AE698" s="137"/>
      <c r="AF698" s="137"/>
      <c r="AG698" s="137"/>
    </row>
    <row r="699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  <c r="AA699" s="137"/>
      <c r="AB699" s="137"/>
      <c r="AC699" s="137"/>
      <c r="AD699" s="137"/>
      <c r="AE699" s="137"/>
      <c r="AF699" s="137"/>
      <c r="AG699" s="137"/>
    </row>
    <row r="700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  <c r="AA700" s="137"/>
      <c r="AB700" s="137"/>
      <c r="AC700" s="137"/>
      <c r="AD700" s="137"/>
      <c r="AE700" s="137"/>
      <c r="AF700" s="137"/>
      <c r="AG700" s="137"/>
    </row>
    <row r="701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  <c r="AA701" s="137"/>
      <c r="AB701" s="137"/>
      <c r="AC701" s="137"/>
      <c r="AD701" s="137"/>
      <c r="AE701" s="137"/>
      <c r="AF701" s="137"/>
      <c r="AG701" s="137"/>
    </row>
    <row r="702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  <c r="AA702" s="137"/>
      <c r="AB702" s="137"/>
      <c r="AC702" s="137"/>
      <c r="AD702" s="137"/>
      <c r="AE702" s="137"/>
      <c r="AF702" s="137"/>
      <c r="AG702" s="137"/>
    </row>
    <row r="703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  <c r="AA703" s="137"/>
      <c r="AB703" s="137"/>
      <c r="AC703" s="137"/>
      <c r="AD703" s="137"/>
      <c r="AE703" s="137"/>
      <c r="AF703" s="137"/>
      <c r="AG703" s="137"/>
    </row>
    <row r="704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  <c r="AA704" s="137"/>
      <c r="AB704" s="137"/>
      <c r="AC704" s="137"/>
      <c r="AD704" s="137"/>
      <c r="AE704" s="137"/>
      <c r="AF704" s="137"/>
      <c r="AG704" s="137"/>
    </row>
    <row r="705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  <c r="AA705" s="137"/>
      <c r="AB705" s="137"/>
      <c r="AC705" s="137"/>
      <c r="AD705" s="137"/>
      <c r="AE705" s="137"/>
      <c r="AF705" s="137"/>
      <c r="AG705" s="137"/>
    </row>
    <row r="706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  <c r="AA706" s="137"/>
      <c r="AB706" s="137"/>
      <c r="AC706" s="137"/>
      <c r="AD706" s="137"/>
      <c r="AE706" s="137"/>
      <c r="AF706" s="137"/>
      <c r="AG706" s="137"/>
    </row>
    <row r="707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  <c r="AA707" s="137"/>
      <c r="AB707" s="137"/>
      <c r="AC707" s="137"/>
      <c r="AD707" s="137"/>
      <c r="AE707" s="137"/>
      <c r="AF707" s="137"/>
      <c r="AG707" s="137"/>
    </row>
    <row r="708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  <c r="AA708" s="137"/>
      <c r="AB708" s="137"/>
      <c r="AC708" s="137"/>
      <c r="AD708" s="137"/>
      <c r="AE708" s="137"/>
      <c r="AF708" s="137"/>
      <c r="AG708" s="137"/>
    </row>
    <row r="709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  <c r="AA709" s="137"/>
      <c r="AB709" s="137"/>
      <c r="AC709" s="137"/>
      <c r="AD709" s="137"/>
      <c r="AE709" s="137"/>
      <c r="AF709" s="137"/>
      <c r="AG709" s="137"/>
    </row>
    <row r="710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  <c r="AA710" s="137"/>
      <c r="AB710" s="137"/>
      <c r="AC710" s="137"/>
      <c r="AD710" s="137"/>
      <c r="AE710" s="137"/>
      <c r="AF710" s="137"/>
      <c r="AG710" s="137"/>
    </row>
    <row r="711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  <c r="AA711" s="137"/>
      <c r="AB711" s="137"/>
      <c r="AC711" s="137"/>
      <c r="AD711" s="137"/>
      <c r="AE711" s="137"/>
      <c r="AF711" s="137"/>
      <c r="AG711" s="137"/>
    </row>
    <row r="712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  <c r="AA712" s="137"/>
      <c r="AB712" s="137"/>
      <c r="AC712" s="137"/>
      <c r="AD712" s="137"/>
      <c r="AE712" s="137"/>
      <c r="AF712" s="137"/>
      <c r="AG712" s="137"/>
    </row>
    <row r="713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  <c r="AA713" s="137"/>
      <c r="AB713" s="137"/>
      <c r="AC713" s="137"/>
      <c r="AD713" s="137"/>
      <c r="AE713" s="137"/>
      <c r="AF713" s="137"/>
      <c r="AG713" s="137"/>
    </row>
    <row r="714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  <c r="AA714" s="137"/>
      <c r="AB714" s="137"/>
      <c r="AC714" s="137"/>
      <c r="AD714" s="137"/>
      <c r="AE714" s="137"/>
      <c r="AF714" s="137"/>
      <c r="AG714" s="137"/>
    </row>
    <row r="715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  <c r="AA715" s="137"/>
      <c r="AB715" s="137"/>
      <c r="AC715" s="137"/>
      <c r="AD715" s="137"/>
      <c r="AE715" s="137"/>
      <c r="AF715" s="137"/>
      <c r="AG715" s="137"/>
    </row>
    <row r="716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  <c r="AA716" s="137"/>
      <c r="AB716" s="137"/>
      <c r="AC716" s="137"/>
      <c r="AD716" s="137"/>
      <c r="AE716" s="137"/>
      <c r="AF716" s="137"/>
      <c r="AG716" s="137"/>
    </row>
    <row r="717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  <c r="AA717" s="137"/>
      <c r="AB717" s="137"/>
      <c r="AC717" s="137"/>
      <c r="AD717" s="137"/>
      <c r="AE717" s="137"/>
      <c r="AF717" s="137"/>
      <c r="AG717" s="137"/>
    </row>
    <row r="718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  <c r="AA718" s="137"/>
      <c r="AB718" s="137"/>
      <c r="AC718" s="137"/>
      <c r="AD718" s="137"/>
      <c r="AE718" s="137"/>
      <c r="AF718" s="137"/>
      <c r="AG718" s="137"/>
    </row>
    <row r="719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  <c r="AA719" s="137"/>
      <c r="AB719" s="137"/>
      <c r="AC719" s="137"/>
      <c r="AD719" s="137"/>
      <c r="AE719" s="137"/>
      <c r="AF719" s="137"/>
      <c r="AG719" s="137"/>
    </row>
    <row r="720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  <c r="AA720" s="137"/>
      <c r="AB720" s="137"/>
      <c r="AC720" s="137"/>
      <c r="AD720" s="137"/>
      <c r="AE720" s="137"/>
      <c r="AF720" s="137"/>
      <c r="AG720" s="137"/>
    </row>
    <row r="721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  <c r="AA721" s="137"/>
      <c r="AB721" s="137"/>
      <c r="AC721" s="137"/>
      <c r="AD721" s="137"/>
      <c r="AE721" s="137"/>
      <c r="AF721" s="137"/>
      <c r="AG721" s="137"/>
    </row>
    <row r="722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  <c r="AA722" s="137"/>
      <c r="AB722" s="137"/>
      <c r="AC722" s="137"/>
      <c r="AD722" s="137"/>
      <c r="AE722" s="137"/>
      <c r="AF722" s="137"/>
      <c r="AG722" s="137"/>
    </row>
    <row r="723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  <c r="AA723" s="137"/>
      <c r="AB723" s="137"/>
      <c r="AC723" s="137"/>
      <c r="AD723" s="137"/>
      <c r="AE723" s="137"/>
      <c r="AF723" s="137"/>
      <c r="AG723" s="137"/>
    </row>
    <row r="724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  <c r="AA724" s="137"/>
      <c r="AB724" s="137"/>
      <c r="AC724" s="137"/>
      <c r="AD724" s="137"/>
      <c r="AE724" s="137"/>
      <c r="AF724" s="137"/>
      <c r="AG724" s="137"/>
    </row>
    <row r="725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  <c r="AA725" s="137"/>
      <c r="AB725" s="137"/>
      <c r="AC725" s="137"/>
      <c r="AD725" s="137"/>
      <c r="AE725" s="137"/>
      <c r="AF725" s="137"/>
      <c r="AG725" s="137"/>
    </row>
    <row r="726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  <c r="AA726" s="137"/>
      <c r="AB726" s="137"/>
      <c r="AC726" s="137"/>
      <c r="AD726" s="137"/>
      <c r="AE726" s="137"/>
      <c r="AF726" s="137"/>
      <c r="AG726" s="137"/>
    </row>
    <row r="727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  <c r="AA727" s="137"/>
      <c r="AB727" s="137"/>
      <c r="AC727" s="137"/>
      <c r="AD727" s="137"/>
      <c r="AE727" s="137"/>
      <c r="AF727" s="137"/>
      <c r="AG727" s="137"/>
    </row>
    <row r="728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  <c r="AA728" s="137"/>
      <c r="AB728" s="137"/>
      <c r="AC728" s="137"/>
      <c r="AD728" s="137"/>
      <c r="AE728" s="137"/>
      <c r="AF728" s="137"/>
      <c r="AG728" s="137"/>
    </row>
    <row r="729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  <c r="AA729" s="137"/>
      <c r="AB729" s="137"/>
      <c r="AC729" s="137"/>
      <c r="AD729" s="137"/>
      <c r="AE729" s="137"/>
      <c r="AF729" s="137"/>
      <c r="AG729" s="137"/>
    </row>
    <row r="730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  <c r="AA730" s="137"/>
      <c r="AB730" s="137"/>
      <c r="AC730" s="137"/>
      <c r="AD730" s="137"/>
      <c r="AE730" s="137"/>
      <c r="AF730" s="137"/>
      <c r="AG730" s="137"/>
    </row>
    <row r="731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  <c r="AA731" s="137"/>
      <c r="AB731" s="137"/>
      <c r="AC731" s="137"/>
      <c r="AD731" s="137"/>
      <c r="AE731" s="137"/>
      <c r="AF731" s="137"/>
      <c r="AG731" s="137"/>
    </row>
    <row r="732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  <c r="AA732" s="137"/>
      <c r="AB732" s="137"/>
      <c r="AC732" s="137"/>
      <c r="AD732" s="137"/>
      <c r="AE732" s="137"/>
      <c r="AF732" s="137"/>
      <c r="AG732" s="137"/>
    </row>
    <row r="733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  <c r="AA733" s="137"/>
      <c r="AB733" s="137"/>
      <c r="AC733" s="137"/>
      <c r="AD733" s="137"/>
      <c r="AE733" s="137"/>
      <c r="AF733" s="137"/>
      <c r="AG733" s="137"/>
    </row>
    <row r="734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  <c r="AA734" s="137"/>
      <c r="AB734" s="137"/>
      <c r="AC734" s="137"/>
      <c r="AD734" s="137"/>
      <c r="AE734" s="137"/>
      <c r="AF734" s="137"/>
      <c r="AG734" s="137"/>
    </row>
    <row r="735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  <c r="AG735" s="137"/>
    </row>
    <row r="736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  <c r="AA736" s="137"/>
      <c r="AB736" s="137"/>
      <c r="AC736" s="137"/>
      <c r="AD736" s="137"/>
      <c r="AE736" s="137"/>
      <c r="AF736" s="137"/>
      <c r="AG736" s="137"/>
    </row>
    <row r="737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  <c r="AA737" s="137"/>
      <c r="AB737" s="137"/>
      <c r="AC737" s="137"/>
      <c r="AD737" s="137"/>
      <c r="AE737" s="137"/>
      <c r="AF737" s="137"/>
      <c r="AG737" s="137"/>
    </row>
    <row r="738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  <c r="AA738" s="137"/>
      <c r="AB738" s="137"/>
      <c r="AC738" s="137"/>
      <c r="AD738" s="137"/>
      <c r="AE738" s="137"/>
      <c r="AF738" s="137"/>
      <c r="AG738" s="137"/>
    </row>
    <row r="739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  <c r="AA739" s="137"/>
      <c r="AB739" s="137"/>
      <c r="AC739" s="137"/>
      <c r="AD739" s="137"/>
      <c r="AE739" s="137"/>
      <c r="AF739" s="137"/>
      <c r="AG739" s="137"/>
    </row>
    <row r="740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  <c r="AA740" s="137"/>
      <c r="AB740" s="137"/>
      <c r="AC740" s="137"/>
      <c r="AD740" s="137"/>
      <c r="AE740" s="137"/>
      <c r="AF740" s="137"/>
      <c r="AG740" s="137"/>
    </row>
    <row r="741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  <c r="AA741" s="137"/>
      <c r="AB741" s="137"/>
      <c r="AC741" s="137"/>
      <c r="AD741" s="137"/>
      <c r="AE741" s="137"/>
      <c r="AF741" s="137"/>
      <c r="AG741" s="137"/>
    </row>
    <row r="742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  <c r="AA742" s="137"/>
      <c r="AB742" s="137"/>
      <c r="AC742" s="137"/>
      <c r="AD742" s="137"/>
      <c r="AE742" s="137"/>
      <c r="AF742" s="137"/>
      <c r="AG742" s="137"/>
    </row>
    <row r="743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  <c r="AA743" s="137"/>
      <c r="AB743" s="137"/>
      <c r="AC743" s="137"/>
      <c r="AD743" s="137"/>
      <c r="AE743" s="137"/>
      <c r="AF743" s="137"/>
      <c r="AG743" s="137"/>
    </row>
    <row r="744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  <c r="AA744" s="137"/>
      <c r="AB744" s="137"/>
      <c r="AC744" s="137"/>
      <c r="AD744" s="137"/>
      <c r="AE744" s="137"/>
      <c r="AF744" s="137"/>
      <c r="AG744" s="137"/>
    </row>
    <row r="745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  <c r="AA745" s="137"/>
      <c r="AB745" s="137"/>
      <c r="AC745" s="137"/>
      <c r="AD745" s="137"/>
      <c r="AE745" s="137"/>
      <c r="AF745" s="137"/>
      <c r="AG745" s="137"/>
    </row>
    <row r="746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  <c r="AA746" s="137"/>
      <c r="AB746" s="137"/>
      <c r="AC746" s="137"/>
      <c r="AD746" s="137"/>
      <c r="AE746" s="137"/>
      <c r="AF746" s="137"/>
      <c r="AG746" s="137"/>
    </row>
    <row r="747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  <c r="AA747" s="137"/>
      <c r="AB747" s="137"/>
      <c r="AC747" s="137"/>
      <c r="AD747" s="137"/>
      <c r="AE747" s="137"/>
      <c r="AF747" s="137"/>
      <c r="AG747" s="137"/>
    </row>
    <row r="748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  <c r="AA748" s="137"/>
      <c r="AB748" s="137"/>
      <c r="AC748" s="137"/>
      <c r="AD748" s="137"/>
      <c r="AE748" s="137"/>
      <c r="AF748" s="137"/>
      <c r="AG748" s="137"/>
    </row>
    <row r="749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  <c r="AA749" s="137"/>
      <c r="AB749" s="137"/>
      <c r="AC749" s="137"/>
      <c r="AD749" s="137"/>
      <c r="AE749" s="137"/>
      <c r="AF749" s="137"/>
      <c r="AG749" s="137"/>
    </row>
    <row r="750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  <c r="AA750" s="137"/>
      <c r="AB750" s="137"/>
      <c r="AC750" s="137"/>
      <c r="AD750" s="137"/>
      <c r="AE750" s="137"/>
      <c r="AF750" s="137"/>
      <c r="AG750" s="137"/>
    </row>
    <row r="751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  <c r="AA751" s="137"/>
      <c r="AB751" s="137"/>
      <c r="AC751" s="137"/>
      <c r="AD751" s="137"/>
      <c r="AE751" s="137"/>
      <c r="AF751" s="137"/>
      <c r="AG751" s="137"/>
    </row>
    <row r="752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  <c r="AA752" s="137"/>
      <c r="AB752" s="137"/>
      <c r="AC752" s="137"/>
      <c r="AD752" s="137"/>
      <c r="AE752" s="137"/>
      <c r="AF752" s="137"/>
      <c r="AG752" s="137"/>
    </row>
    <row r="753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  <c r="AA753" s="137"/>
      <c r="AB753" s="137"/>
      <c r="AC753" s="137"/>
      <c r="AD753" s="137"/>
      <c r="AE753" s="137"/>
      <c r="AF753" s="137"/>
      <c r="AG753" s="137"/>
    </row>
    <row r="754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  <c r="AA754" s="137"/>
      <c r="AB754" s="137"/>
      <c r="AC754" s="137"/>
      <c r="AD754" s="137"/>
      <c r="AE754" s="137"/>
      <c r="AF754" s="137"/>
      <c r="AG754" s="137"/>
    </row>
    <row r="755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  <c r="AA755" s="137"/>
      <c r="AB755" s="137"/>
      <c r="AC755" s="137"/>
      <c r="AD755" s="137"/>
      <c r="AE755" s="137"/>
      <c r="AF755" s="137"/>
      <c r="AG755" s="137"/>
    </row>
    <row r="756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  <c r="AA756" s="137"/>
      <c r="AB756" s="137"/>
      <c r="AC756" s="137"/>
      <c r="AD756" s="137"/>
      <c r="AE756" s="137"/>
      <c r="AF756" s="137"/>
      <c r="AG756" s="137"/>
    </row>
    <row r="757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  <c r="AA757" s="137"/>
      <c r="AB757" s="137"/>
      <c r="AC757" s="137"/>
      <c r="AD757" s="137"/>
      <c r="AE757" s="137"/>
      <c r="AF757" s="137"/>
      <c r="AG757" s="137"/>
    </row>
    <row r="758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  <c r="AA758" s="137"/>
      <c r="AB758" s="137"/>
      <c r="AC758" s="137"/>
      <c r="AD758" s="137"/>
      <c r="AE758" s="137"/>
      <c r="AF758" s="137"/>
      <c r="AG758" s="137"/>
    </row>
    <row r="759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  <c r="AA759" s="137"/>
      <c r="AB759" s="137"/>
      <c r="AC759" s="137"/>
      <c r="AD759" s="137"/>
      <c r="AE759" s="137"/>
      <c r="AF759" s="137"/>
      <c r="AG759" s="137"/>
    </row>
    <row r="760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  <c r="AA760" s="137"/>
      <c r="AB760" s="137"/>
      <c r="AC760" s="137"/>
      <c r="AD760" s="137"/>
      <c r="AE760" s="137"/>
      <c r="AF760" s="137"/>
      <c r="AG760" s="137"/>
    </row>
    <row r="761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  <c r="AA761" s="137"/>
      <c r="AB761" s="137"/>
      <c r="AC761" s="137"/>
      <c r="AD761" s="137"/>
      <c r="AE761" s="137"/>
      <c r="AF761" s="137"/>
      <c r="AG761" s="137"/>
    </row>
    <row r="762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  <c r="AA762" s="137"/>
      <c r="AB762" s="137"/>
      <c r="AC762" s="137"/>
      <c r="AD762" s="137"/>
      <c r="AE762" s="137"/>
      <c r="AF762" s="137"/>
      <c r="AG762" s="137"/>
    </row>
    <row r="763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  <c r="AA763" s="137"/>
      <c r="AB763" s="137"/>
      <c r="AC763" s="137"/>
      <c r="AD763" s="137"/>
      <c r="AE763" s="137"/>
      <c r="AF763" s="137"/>
      <c r="AG763" s="137"/>
    </row>
    <row r="764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  <c r="AA764" s="137"/>
      <c r="AB764" s="137"/>
      <c r="AC764" s="137"/>
      <c r="AD764" s="137"/>
      <c r="AE764" s="137"/>
      <c r="AF764" s="137"/>
      <c r="AG764" s="137"/>
    </row>
    <row r="765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  <c r="AA765" s="137"/>
      <c r="AB765" s="137"/>
      <c r="AC765" s="137"/>
      <c r="AD765" s="137"/>
      <c r="AE765" s="137"/>
      <c r="AF765" s="137"/>
      <c r="AG765" s="137"/>
    </row>
    <row r="766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  <c r="AA766" s="137"/>
      <c r="AB766" s="137"/>
      <c r="AC766" s="137"/>
      <c r="AD766" s="137"/>
      <c r="AE766" s="137"/>
      <c r="AF766" s="137"/>
      <c r="AG766" s="137"/>
    </row>
    <row r="767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  <c r="AA767" s="137"/>
      <c r="AB767" s="137"/>
      <c r="AC767" s="137"/>
      <c r="AD767" s="137"/>
      <c r="AE767" s="137"/>
      <c r="AF767" s="137"/>
      <c r="AG767" s="137"/>
    </row>
    <row r="768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  <c r="AA768" s="137"/>
      <c r="AB768" s="137"/>
      <c r="AC768" s="137"/>
      <c r="AD768" s="137"/>
      <c r="AE768" s="137"/>
      <c r="AF768" s="137"/>
      <c r="AG768" s="137"/>
    </row>
    <row r="769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  <c r="AA769" s="137"/>
      <c r="AB769" s="137"/>
      <c r="AC769" s="137"/>
      <c r="AD769" s="137"/>
      <c r="AE769" s="137"/>
      <c r="AF769" s="137"/>
      <c r="AG769" s="137"/>
    </row>
    <row r="770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  <c r="AA770" s="137"/>
      <c r="AB770" s="137"/>
      <c r="AC770" s="137"/>
      <c r="AD770" s="137"/>
      <c r="AE770" s="137"/>
      <c r="AF770" s="137"/>
      <c r="AG770" s="137"/>
    </row>
    <row r="771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  <c r="AA771" s="137"/>
      <c r="AB771" s="137"/>
      <c r="AC771" s="137"/>
      <c r="AD771" s="137"/>
      <c r="AE771" s="137"/>
      <c r="AF771" s="137"/>
      <c r="AG771" s="137"/>
    </row>
    <row r="772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  <c r="AA772" s="137"/>
      <c r="AB772" s="137"/>
      <c r="AC772" s="137"/>
      <c r="AD772" s="137"/>
      <c r="AE772" s="137"/>
      <c r="AF772" s="137"/>
      <c r="AG772" s="137"/>
    </row>
    <row r="773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  <c r="AA773" s="137"/>
      <c r="AB773" s="137"/>
      <c r="AC773" s="137"/>
      <c r="AD773" s="137"/>
      <c r="AE773" s="137"/>
      <c r="AF773" s="137"/>
      <c r="AG773" s="137"/>
    </row>
    <row r="774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  <c r="AA774" s="137"/>
      <c r="AB774" s="137"/>
      <c r="AC774" s="137"/>
      <c r="AD774" s="137"/>
      <c r="AE774" s="137"/>
      <c r="AF774" s="137"/>
      <c r="AG774" s="137"/>
    </row>
    <row r="775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  <c r="AA775" s="137"/>
      <c r="AB775" s="137"/>
      <c r="AC775" s="137"/>
      <c r="AD775" s="137"/>
      <c r="AE775" s="137"/>
      <c r="AF775" s="137"/>
      <c r="AG775" s="137"/>
    </row>
    <row r="776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  <c r="AA776" s="137"/>
      <c r="AB776" s="137"/>
      <c r="AC776" s="137"/>
      <c r="AD776" s="137"/>
      <c r="AE776" s="137"/>
      <c r="AF776" s="137"/>
      <c r="AG776" s="137"/>
    </row>
    <row r="777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  <c r="AA777" s="137"/>
      <c r="AB777" s="137"/>
      <c r="AC777" s="137"/>
      <c r="AD777" s="137"/>
      <c r="AE777" s="137"/>
      <c r="AF777" s="137"/>
      <c r="AG777" s="137"/>
    </row>
    <row r="778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  <c r="AA778" s="137"/>
      <c r="AB778" s="137"/>
      <c r="AC778" s="137"/>
      <c r="AD778" s="137"/>
      <c r="AE778" s="137"/>
      <c r="AF778" s="137"/>
      <c r="AG778" s="137"/>
    </row>
    <row r="779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  <c r="AA779" s="137"/>
      <c r="AB779" s="137"/>
      <c r="AC779" s="137"/>
      <c r="AD779" s="137"/>
      <c r="AE779" s="137"/>
      <c r="AF779" s="137"/>
      <c r="AG779" s="137"/>
    </row>
    <row r="780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  <c r="AA780" s="137"/>
      <c r="AB780" s="137"/>
      <c r="AC780" s="137"/>
      <c r="AD780" s="137"/>
      <c r="AE780" s="137"/>
      <c r="AF780" s="137"/>
      <c r="AG780" s="137"/>
    </row>
    <row r="781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  <c r="AA781" s="137"/>
      <c r="AB781" s="137"/>
      <c r="AC781" s="137"/>
      <c r="AD781" s="137"/>
      <c r="AE781" s="137"/>
      <c r="AF781" s="137"/>
      <c r="AG781" s="137"/>
    </row>
    <row r="782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  <c r="AA782" s="137"/>
      <c r="AB782" s="137"/>
      <c r="AC782" s="137"/>
      <c r="AD782" s="137"/>
      <c r="AE782" s="137"/>
      <c r="AF782" s="137"/>
      <c r="AG782" s="137"/>
    </row>
    <row r="783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  <c r="AA783" s="137"/>
      <c r="AB783" s="137"/>
      <c r="AC783" s="137"/>
      <c r="AD783" s="137"/>
      <c r="AE783" s="137"/>
      <c r="AF783" s="137"/>
      <c r="AG783" s="137"/>
    </row>
    <row r="784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  <c r="AA784" s="137"/>
      <c r="AB784" s="137"/>
      <c r="AC784" s="137"/>
      <c r="AD784" s="137"/>
      <c r="AE784" s="137"/>
      <c r="AF784" s="137"/>
      <c r="AG784" s="137"/>
    </row>
    <row r="785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  <c r="AA785" s="137"/>
      <c r="AB785" s="137"/>
      <c r="AC785" s="137"/>
      <c r="AD785" s="137"/>
      <c r="AE785" s="137"/>
      <c r="AF785" s="137"/>
      <c r="AG785" s="137"/>
    </row>
    <row r="786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  <c r="AA786" s="137"/>
      <c r="AB786" s="137"/>
      <c r="AC786" s="137"/>
      <c r="AD786" s="137"/>
      <c r="AE786" s="137"/>
      <c r="AF786" s="137"/>
      <c r="AG786" s="137"/>
    </row>
    <row r="787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  <c r="AA787" s="137"/>
      <c r="AB787" s="137"/>
      <c r="AC787" s="137"/>
      <c r="AD787" s="137"/>
      <c r="AE787" s="137"/>
      <c r="AF787" s="137"/>
      <c r="AG787" s="137"/>
    </row>
    <row r="788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  <c r="AA788" s="137"/>
      <c r="AB788" s="137"/>
      <c r="AC788" s="137"/>
      <c r="AD788" s="137"/>
      <c r="AE788" s="137"/>
      <c r="AF788" s="137"/>
      <c r="AG788" s="137"/>
    </row>
    <row r="789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  <c r="AA789" s="137"/>
      <c r="AB789" s="137"/>
      <c r="AC789" s="137"/>
      <c r="AD789" s="137"/>
      <c r="AE789" s="137"/>
      <c r="AF789" s="137"/>
      <c r="AG789" s="137"/>
    </row>
    <row r="790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  <c r="AA790" s="137"/>
      <c r="AB790" s="137"/>
      <c r="AC790" s="137"/>
      <c r="AD790" s="137"/>
      <c r="AE790" s="137"/>
      <c r="AF790" s="137"/>
      <c r="AG790" s="137"/>
    </row>
    <row r="791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  <c r="AA791" s="137"/>
      <c r="AB791" s="137"/>
      <c r="AC791" s="137"/>
      <c r="AD791" s="137"/>
      <c r="AE791" s="137"/>
      <c r="AF791" s="137"/>
      <c r="AG791" s="137"/>
    </row>
    <row r="792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  <c r="AA792" s="137"/>
      <c r="AB792" s="137"/>
      <c r="AC792" s="137"/>
      <c r="AD792" s="137"/>
      <c r="AE792" s="137"/>
      <c r="AF792" s="137"/>
      <c r="AG792" s="137"/>
    </row>
    <row r="793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  <c r="AA793" s="137"/>
      <c r="AB793" s="137"/>
      <c r="AC793" s="137"/>
      <c r="AD793" s="137"/>
      <c r="AE793" s="137"/>
      <c r="AF793" s="137"/>
      <c r="AG793" s="137"/>
    </row>
    <row r="794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  <c r="AA794" s="137"/>
      <c r="AB794" s="137"/>
      <c r="AC794" s="137"/>
      <c r="AD794" s="137"/>
      <c r="AE794" s="137"/>
      <c r="AF794" s="137"/>
      <c r="AG794" s="137"/>
    </row>
    <row r="795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  <c r="AA795" s="137"/>
      <c r="AB795" s="137"/>
      <c r="AC795" s="137"/>
      <c r="AD795" s="137"/>
      <c r="AE795" s="137"/>
      <c r="AF795" s="137"/>
      <c r="AG795" s="137"/>
    </row>
    <row r="796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  <c r="AA796" s="137"/>
      <c r="AB796" s="137"/>
      <c r="AC796" s="137"/>
      <c r="AD796" s="137"/>
      <c r="AE796" s="137"/>
      <c r="AF796" s="137"/>
      <c r="AG796" s="137"/>
    </row>
    <row r="797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  <c r="AA797" s="137"/>
      <c r="AB797" s="137"/>
      <c r="AC797" s="137"/>
      <c r="AD797" s="137"/>
      <c r="AE797" s="137"/>
      <c r="AF797" s="137"/>
      <c r="AG797" s="137"/>
    </row>
    <row r="798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  <c r="AA798" s="137"/>
      <c r="AB798" s="137"/>
      <c r="AC798" s="137"/>
      <c r="AD798" s="137"/>
      <c r="AE798" s="137"/>
      <c r="AF798" s="137"/>
      <c r="AG798" s="137"/>
    </row>
    <row r="799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  <c r="AA799" s="137"/>
      <c r="AB799" s="137"/>
      <c r="AC799" s="137"/>
      <c r="AD799" s="137"/>
      <c r="AE799" s="137"/>
      <c r="AF799" s="137"/>
      <c r="AG799" s="137"/>
    </row>
    <row r="800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  <c r="AA800" s="137"/>
      <c r="AB800" s="137"/>
      <c r="AC800" s="137"/>
      <c r="AD800" s="137"/>
      <c r="AE800" s="137"/>
      <c r="AF800" s="137"/>
      <c r="AG800" s="137"/>
    </row>
    <row r="801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  <c r="AA801" s="137"/>
      <c r="AB801" s="137"/>
      <c r="AC801" s="137"/>
      <c r="AD801" s="137"/>
      <c r="AE801" s="137"/>
      <c r="AF801" s="137"/>
      <c r="AG801" s="137"/>
    </row>
    <row r="802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  <c r="AA802" s="137"/>
      <c r="AB802" s="137"/>
      <c r="AC802" s="137"/>
      <c r="AD802" s="137"/>
      <c r="AE802" s="137"/>
      <c r="AF802" s="137"/>
      <c r="AG802" s="137"/>
    </row>
    <row r="803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  <c r="AA803" s="137"/>
      <c r="AB803" s="137"/>
      <c r="AC803" s="137"/>
      <c r="AD803" s="137"/>
      <c r="AE803" s="137"/>
      <c r="AF803" s="137"/>
      <c r="AG803" s="137"/>
    </row>
    <row r="804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  <c r="AA804" s="137"/>
      <c r="AB804" s="137"/>
      <c r="AC804" s="137"/>
      <c r="AD804" s="137"/>
      <c r="AE804" s="137"/>
      <c r="AF804" s="137"/>
      <c r="AG804" s="137"/>
    </row>
    <row r="805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  <c r="AA805" s="137"/>
      <c r="AB805" s="137"/>
      <c r="AC805" s="137"/>
      <c r="AD805" s="137"/>
      <c r="AE805" s="137"/>
      <c r="AF805" s="137"/>
      <c r="AG805" s="137"/>
    </row>
    <row r="806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  <c r="AA806" s="137"/>
      <c r="AB806" s="137"/>
      <c r="AC806" s="137"/>
      <c r="AD806" s="137"/>
      <c r="AE806" s="137"/>
      <c r="AF806" s="137"/>
      <c r="AG806" s="137"/>
    </row>
    <row r="807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  <c r="AA807" s="137"/>
      <c r="AB807" s="137"/>
      <c r="AC807" s="137"/>
      <c r="AD807" s="137"/>
      <c r="AE807" s="137"/>
      <c r="AF807" s="137"/>
      <c r="AG807" s="137"/>
    </row>
    <row r="808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  <c r="AA808" s="137"/>
      <c r="AB808" s="137"/>
      <c r="AC808" s="137"/>
      <c r="AD808" s="137"/>
      <c r="AE808" s="137"/>
      <c r="AF808" s="137"/>
      <c r="AG808" s="137"/>
    </row>
    <row r="809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  <c r="AA809" s="137"/>
      <c r="AB809" s="137"/>
      <c r="AC809" s="137"/>
      <c r="AD809" s="137"/>
      <c r="AE809" s="137"/>
      <c r="AF809" s="137"/>
      <c r="AG809" s="137"/>
    </row>
    <row r="810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  <c r="AA810" s="137"/>
      <c r="AB810" s="137"/>
      <c r="AC810" s="137"/>
      <c r="AD810" s="137"/>
      <c r="AE810" s="137"/>
      <c r="AF810" s="137"/>
      <c r="AG810" s="137"/>
    </row>
    <row r="811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  <c r="AA811" s="137"/>
      <c r="AB811" s="137"/>
      <c r="AC811" s="137"/>
      <c r="AD811" s="137"/>
      <c r="AE811" s="137"/>
      <c r="AF811" s="137"/>
      <c r="AG811" s="137"/>
    </row>
    <row r="812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  <c r="AA812" s="137"/>
      <c r="AB812" s="137"/>
      <c r="AC812" s="137"/>
      <c r="AD812" s="137"/>
      <c r="AE812" s="137"/>
      <c r="AF812" s="137"/>
      <c r="AG812" s="137"/>
    </row>
    <row r="813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  <c r="AA813" s="137"/>
      <c r="AB813" s="137"/>
      <c r="AC813" s="137"/>
      <c r="AD813" s="137"/>
      <c r="AE813" s="137"/>
      <c r="AF813" s="137"/>
      <c r="AG813" s="137"/>
    </row>
    <row r="814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  <c r="AA814" s="137"/>
      <c r="AB814" s="137"/>
      <c r="AC814" s="137"/>
      <c r="AD814" s="137"/>
      <c r="AE814" s="137"/>
      <c r="AF814" s="137"/>
      <c r="AG814" s="137"/>
    </row>
    <row r="815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  <c r="AA815" s="137"/>
      <c r="AB815" s="137"/>
      <c r="AC815" s="137"/>
      <c r="AD815" s="137"/>
      <c r="AE815" s="137"/>
      <c r="AF815" s="137"/>
      <c r="AG815" s="137"/>
    </row>
    <row r="816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  <c r="AA816" s="137"/>
      <c r="AB816" s="137"/>
      <c r="AC816" s="137"/>
      <c r="AD816" s="137"/>
      <c r="AE816" s="137"/>
      <c r="AF816" s="137"/>
      <c r="AG816" s="137"/>
    </row>
    <row r="817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  <c r="AA817" s="137"/>
      <c r="AB817" s="137"/>
      <c r="AC817" s="137"/>
      <c r="AD817" s="137"/>
      <c r="AE817" s="137"/>
      <c r="AF817" s="137"/>
      <c r="AG817" s="137"/>
    </row>
    <row r="818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  <c r="AA818" s="137"/>
      <c r="AB818" s="137"/>
      <c r="AC818" s="137"/>
      <c r="AD818" s="137"/>
      <c r="AE818" s="137"/>
      <c r="AF818" s="137"/>
      <c r="AG818" s="137"/>
    </row>
    <row r="819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  <c r="AA819" s="137"/>
      <c r="AB819" s="137"/>
      <c r="AC819" s="137"/>
      <c r="AD819" s="137"/>
      <c r="AE819" s="137"/>
      <c r="AF819" s="137"/>
      <c r="AG819" s="137"/>
    </row>
    <row r="820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  <c r="AA820" s="137"/>
      <c r="AB820" s="137"/>
      <c r="AC820" s="137"/>
      <c r="AD820" s="137"/>
      <c r="AE820" s="137"/>
      <c r="AF820" s="137"/>
      <c r="AG820" s="137"/>
    </row>
    <row r="821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  <c r="AA821" s="137"/>
      <c r="AB821" s="137"/>
      <c r="AC821" s="137"/>
      <c r="AD821" s="137"/>
      <c r="AE821" s="137"/>
      <c r="AF821" s="137"/>
      <c r="AG821" s="137"/>
    </row>
    <row r="822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  <c r="AA822" s="137"/>
      <c r="AB822" s="137"/>
      <c r="AC822" s="137"/>
      <c r="AD822" s="137"/>
      <c r="AE822" s="137"/>
      <c r="AF822" s="137"/>
      <c r="AG822" s="137"/>
    </row>
    <row r="823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  <c r="AA823" s="137"/>
      <c r="AB823" s="137"/>
      <c r="AC823" s="137"/>
      <c r="AD823" s="137"/>
      <c r="AE823" s="137"/>
      <c r="AF823" s="137"/>
      <c r="AG823" s="137"/>
    </row>
    <row r="824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  <c r="AA824" s="137"/>
      <c r="AB824" s="137"/>
      <c r="AC824" s="137"/>
      <c r="AD824" s="137"/>
      <c r="AE824" s="137"/>
      <c r="AF824" s="137"/>
      <c r="AG824" s="137"/>
    </row>
    <row r="825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  <c r="AA825" s="137"/>
      <c r="AB825" s="137"/>
      <c r="AC825" s="137"/>
      <c r="AD825" s="137"/>
      <c r="AE825" s="137"/>
      <c r="AF825" s="137"/>
      <c r="AG825" s="137"/>
    </row>
    <row r="826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  <c r="AA826" s="137"/>
      <c r="AB826" s="137"/>
      <c r="AC826" s="137"/>
      <c r="AD826" s="137"/>
      <c r="AE826" s="137"/>
      <c r="AF826" s="137"/>
      <c r="AG826" s="137"/>
    </row>
    <row r="827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  <c r="AA827" s="137"/>
      <c r="AB827" s="137"/>
      <c r="AC827" s="137"/>
      <c r="AD827" s="137"/>
      <c r="AE827" s="137"/>
      <c r="AF827" s="137"/>
      <c r="AG827" s="137"/>
    </row>
    <row r="828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  <c r="AA828" s="137"/>
      <c r="AB828" s="137"/>
      <c r="AC828" s="137"/>
      <c r="AD828" s="137"/>
      <c r="AE828" s="137"/>
      <c r="AF828" s="137"/>
      <c r="AG828" s="137"/>
    </row>
    <row r="829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  <c r="AA829" s="137"/>
      <c r="AB829" s="137"/>
      <c r="AC829" s="137"/>
      <c r="AD829" s="137"/>
      <c r="AE829" s="137"/>
      <c r="AF829" s="137"/>
      <c r="AG829" s="137"/>
    </row>
    <row r="830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  <c r="AA830" s="137"/>
      <c r="AB830" s="137"/>
      <c r="AC830" s="137"/>
      <c r="AD830" s="137"/>
      <c r="AE830" s="137"/>
      <c r="AF830" s="137"/>
      <c r="AG830" s="137"/>
    </row>
    <row r="831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  <c r="AA831" s="137"/>
      <c r="AB831" s="137"/>
      <c r="AC831" s="137"/>
      <c r="AD831" s="137"/>
      <c r="AE831" s="137"/>
      <c r="AF831" s="137"/>
      <c r="AG831" s="137"/>
    </row>
    <row r="832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  <c r="AA832" s="137"/>
      <c r="AB832" s="137"/>
      <c r="AC832" s="137"/>
      <c r="AD832" s="137"/>
      <c r="AE832" s="137"/>
      <c r="AF832" s="137"/>
      <c r="AG832" s="137"/>
    </row>
    <row r="833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  <c r="AA833" s="137"/>
      <c r="AB833" s="137"/>
      <c r="AC833" s="137"/>
      <c r="AD833" s="137"/>
      <c r="AE833" s="137"/>
      <c r="AF833" s="137"/>
      <c r="AG833" s="137"/>
    </row>
    <row r="834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  <c r="AA834" s="137"/>
      <c r="AB834" s="137"/>
      <c r="AC834" s="137"/>
      <c r="AD834" s="137"/>
      <c r="AE834" s="137"/>
      <c r="AF834" s="137"/>
      <c r="AG834" s="137"/>
    </row>
    <row r="835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  <c r="AA835" s="137"/>
      <c r="AB835" s="137"/>
      <c r="AC835" s="137"/>
      <c r="AD835" s="137"/>
      <c r="AE835" s="137"/>
      <c r="AF835" s="137"/>
      <c r="AG835" s="137"/>
    </row>
    <row r="836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  <c r="AA836" s="137"/>
      <c r="AB836" s="137"/>
      <c r="AC836" s="137"/>
      <c r="AD836" s="137"/>
      <c r="AE836" s="137"/>
      <c r="AF836" s="137"/>
      <c r="AG836" s="137"/>
    </row>
    <row r="837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  <c r="AA837" s="137"/>
      <c r="AB837" s="137"/>
      <c r="AC837" s="137"/>
      <c r="AD837" s="137"/>
      <c r="AE837" s="137"/>
      <c r="AF837" s="137"/>
      <c r="AG837" s="137"/>
    </row>
    <row r="838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  <c r="AA838" s="137"/>
      <c r="AB838" s="137"/>
      <c r="AC838" s="137"/>
      <c r="AD838" s="137"/>
      <c r="AE838" s="137"/>
      <c r="AF838" s="137"/>
      <c r="AG838" s="137"/>
    </row>
    <row r="839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  <c r="AA839" s="137"/>
      <c r="AB839" s="137"/>
      <c r="AC839" s="137"/>
      <c r="AD839" s="137"/>
      <c r="AE839" s="137"/>
      <c r="AF839" s="137"/>
      <c r="AG839" s="137"/>
    </row>
    <row r="840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  <c r="AA840" s="137"/>
      <c r="AB840" s="137"/>
      <c r="AC840" s="137"/>
      <c r="AD840" s="137"/>
      <c r="AE840" s="137"/>
      <c r="AF840" s="137"/>
      <c r="AG840" s="137"/>
    </row>
    <row r="841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  <c r="AA841" s="137"/>
      <c r="AB841" s="137"/>
      <c r="AC841" s="137"/>
      <c r="AD841" s="137"/>
      <c r="AE841" s="137"/>
      <c r="AF841" s="137"/>
      <c r="AG841" s="137"/>
    </row>
    <row r="842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  <c r="AA842" s="137"/>
      <c r="AB842" s="137"/>
      <c r="AC842" s="137"/>
      <c r="AD842" s="137"/>
      <c r="AE842" s="137"/>
      <c r="AF842" s="137"/>
      <c r="AG842" s="137"/>
    </row>
    <row r="843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  <c r="AA843" s="137"/>
      <c r="AB843" s="137"/>
      <c r="AC843" s="137"/>
      <c r="AD843" s="137"/>
      <c r="AE843" s="137"/>
      <c r="AF843" s="137"/>
      <c r="AG843" s="137"/>
    </row>
    <row r="844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  <c r="AA844" s="137"/>
      <c r="AB844" s="137"/>
      <c r="AC844" s="137"/>
      <c r="AD844" s="137"/>
      <c r="AE844" s="137"/>
      <c r="AF844" s="137"/>
      <c r="AG844" s="137"/>
    </row>
    <row r="845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  <c r="AA845" s="137"/>
      <c r="AB845" s="137"/>
      <c r="AC845" s="137"/>
      <c r="AD845" s="137"/>
      <c r="AE845" s="137"/>
      <c r="AF845" s="137"/>
      <c r="AG845" s="137"/>
    </row>
    <row r="846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  <c r="AA846" s="137"/>
      <c r="AB846" s="137"/>
      <c r="AC846" s="137"/>
      <c r="AD846" s="137"/>
      <c r="AE846" s="137"/>
      <c r="AF846" s="137"/>
      <c r="AG846" s="137"/>
    </row>
    <row r="847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  <c r="AA847" s="137"/>
      <c r="AB847" s="137"/>
      <c r="AC847" s="137"/>
      <c r="AD847" s="137"/>
      <c r="AE847" s="137"/>
      <c r="AF847" s="137"/>
      <c r="AG847" s="137"/>
    </row>
    <row r="848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  <c r="AA848" s="137"/>
      <c r="AB848" s="137"/>
      <c r="AC848" s="137"/>
      <c r="AD848" s="137"/>
      <c r="AE848" s="137"/>
      <c r="AF848" s="137"/>
      <c r="AG848" s="137"/>
    </row>
    <row r="849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  <c r="AA849" s="137"/>
      <c r="AB849" s="137"/>
      <c r="AC849" s="137"/>
      <c r="AD849" s="137"/>
      <c r="AE849" s="137"/>
      <c r="AF849" s="137"/>
      <c r="AG849" s="137"/>
    </row>
    <row r="850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  <c r="AA850" s="137"/>
      <c r="AB850" s="137"/>
      <c r="AC850" s="137"/>
      <c r="AD850" s="137"/>
      <c r="AE850" s="137"/>
      <c r="AF850" s="137"/>
      <c r="AG850" s="137"/>
    </row>
    <row r="851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  <c r="AA851" s="137"/>
      <c r="AB851" s="137"/>
      <c r="AC851" s="137"/>
      <c r="AD851" s="137"/>
      <c r="AE851" s="137"/>
      <c r="AF851" s="137"/>
      <c r="AG851" s="137"/>
    </row>
    <row r="852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  <c r="AA852" s="137"/>
      <c r="AB852" s="137"/>
      <c r="AC852" s="137"/>
      <c r="AD852" s="137"/>
      <c r="AE852" s="137"/>
      <c r="AF852" s="137"/>
      <c r="AG852" s="137"/>
    </row>
    <row r="853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  <c r="AA853" s="137"/>
      <c r="AB853" s="137"/>
      <c r="AC853" s="137"/>
      <c r="AD853" s="137"/>
      <c r="AE853" s="137"/>
      <c r="AF853" s="137"/>
      <c r="AG853" s="137"/>
    </row>
    <row r="854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  <c r="AA854" s="137"/>
      <c r="AB854" s="137"/>
      <c r="AC854" s="137"/>
      <c r="AD854" s="137"/>
      <c r="AE854" s="137"/>
      <c r="AF854" s="137"/>
      <c r="AG854" s="137"/>
    </row>
    <row r="855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  <c r="AA855" s="137"/>
      <c r="AB855" s="137"/>
      <c r="AC855" s="137"/>
      <c r="AD855" s="137"/>
      <c r="AE855" s="137"/>
      <c r="AF855" s="137"/>
      <c r="AG855" s="137"/>
    </row>
    <row r="856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  <c r="AA856" s="137"/>
      <c r="AB856" s="137"/>
      <c r="AC856" s="137"/>
      <c r="AD856" s="137"/>
      <c r="AE856" s="137"/>
      <c r="AF856" s="137"/>
      <c r="AG856" s="137"/>
    </row>
    <row r="857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  <c r="AA857" s="137"/>
      <c r="AB857" s="137"/>
      <c r="AC857" s="137"/>
      <c r="AD857" s="137"/>
      <c r="AE857" s="137"/>
      <c r="AF857" s="137"/>
      <c r="AG857" s="137"/>
    </row>
    <row r="858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  <c r="AA858" s="137"/>
      <c r="AB858" s="137"/>
      <c r="AC858" s="137"/>
      <c r="AD858" s="137"/>
      <c r="AE858" s="137"/>
      <c r="AF858" s="137"/>
      <c r="AG858" s="137"/>
    </row>
    <row r="859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  <c r="AA859" s="137"/>
      <c r="AB859" s="137"/>
      <c r="AC859" s="137"/>
      <c r="AD859" s="137"/>
      <c r="AE859" s="137"/>
      <c r="AF859" s="137"/>
      <c r="AG859" s="137"/>
    </row>
    <row r="860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  <c r="AA860" s="137"/>
      <c r="AB860" s="137"/>
      <c r="AC860" s="137"/>
      <c r="AD860" s="137"/>
      <c r="AE860" s="137"/>
      <c r="AF860" s="137"/>
      <c r="AG860" s="137"/>
    </row>
    <row r="861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  <c r="AA861" s="137"/>
      <c r="AB861" s="137"/>
      <c r="AC861" s="137"/>
      <c r="AD861" s="137"/>
      <c r="AE861" s="137"/>
      <c r="AF861" s="137"/>
      <c r="AG861" s="137"/>
    </row>
    <row r="862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  <c r="AA862" s="137"/>
      <c r="AB862" s="137"/>
      <c r="AC862" s="137"/>
      <c r="AD862" s="137"/>
      <c r="AE862" s="137"/>
      <c r="AF862" s="137"/>
      <c r="AG862" s="137"/>
    </row>
    <row r="863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  <c r="AA863" s="137"/>
      <c r="AB863" s="137"/>
      <c r="AC863" s="137"/>
      <c r="AD863" s="137"/>
      <c r="AE863" s="137"/>
      <c r="AF863" s="137"/>
      <c r="AG863" s="137"/>
    </row>
    <row r="864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  <c r="AA864" s="137"/>
      <c r="AB864" s="137"/>
      <c r="AC864" s="137"/>
      <c r="AD864" s="137"/>
      <c r="AE864" s="137"/>
      <c r="AF864" s="137"/>
      <c r="AG864" s="137"/>
    </row>
    <row r="865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  <c r="AA865" s="137"/>
      <c r="AB865" s="137"/>
      <c r="AC865" s="137"/>
      <c r="AD865" s="137"/>
      <c r="AE865" s="137"/>
      <c r="AF865" s="137"/>
      <c r="AG865" s="137"/>
    </row>
    <row r="866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  <c r="AA866" s="137"/>
      <c r="AB866" s="137"/>
      <c r="AC866" s="137"/>
      <c r="AD866" s="137"/>
      <c r="AE866" s="137"/>
      <c r="AF866" s="137"/>
      <c r="AG866" s="137"/>
    </row>
    <row r="867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  <c r="AA867" s="137"/>
      <c r="AB867" s="137"/>
      <c r="AC867" s="137"/>
      <c r="AD867" s="137"/>
      <c r="AE867" s="137"/>
      <c r="AF867" s="137"/>
      <c r="AG867" s="137"/>
    </row>
    <row r="868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  <c r="AA868" s="137"/>
      <c r="AB868" s="137"/>
      <c r="AC868" s="137"/>
      <c r="AD868" s="137"/>
      <c r="AE868" s="137"/>
      <c r="AF868" s="137"/>
      <c r="AG868" s="137"/>
    </row>
    <row r="869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  <c r="AA869" s="137"/>
      <c r="AB869" s="137"/>
      <c r="AC869" s="137"/>
      <c r="AD869" s="137"/>
      <c r="AE869" s="137"/>
      <c r="AF869" s="137"/>
      <c r="AG869" s="137"/>
    </row>
    <row r="870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  <c r="AA870" s="137"/>
      <c r="AB870" s="137"/>
      <c r="AC870" s="137"/>
      <c r="AD870" s="137"/>
      <c r="AE870" s="137"/>
      <c r="AF870" s="137"/>
      <c r="AG870" s="137"/>
    </row>
    <row r="871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  <c r="AA871" s="137"/>
      <c r="AB871" s="137"/>
      <c r="AC871" s="137"/>
      <c r="AD871" s="137"/>
      <c r="AE871" s="137"/>
      <c r="AF871" s="137"/>
      <c r="AG871" s="137"/>
    </row>
    <row r="872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  <c r="AA872" s="137"/>
      <c r="AB872" s="137"/>
      <c r="AC872" s="137"/>
      <c r="AD872" s="137"/>
      <c r="AE872" s="137"/>
      <c r="AF872" s="137"/>
      <c r="AG872" s="137"/>
    </row>
    <row r="873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  <c r="AA873" s="137"/>
      <c r="AB873" s="137"/>
      <c r="AC873" s="137"/>
      <c r="AD873" s="137"/>
      <c r="AE873" s="137"/>
      <c r="AF873" s="137"/>
      <c r="AG873" s="137"/>
    </row>
    <row r="874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  <c r="AA874" s="137"/>
      <c r="AB874" s="137"/>
      <c r="AC874" s="137"/>
      <c r="AD874" s="137"/>
      <c r="AE874" s="137"/>
      <c r="AF874" s="137"/>
      <c r="AG874" s="137"/>
    </row>
    <row r="875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  <c r="AA875" s="137"/>
      <c r="AB875" s="137"/>
      <c r="AC875" s="137"/>
      <c r="AD875" s="137"/>
      <c r="AE875" s="137"/>
      <c r="AF875" s="137"/>
      <c r="AG875" s="137"/>
    </row>
    <row r="876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  <c r="AA876" s="137"/>
      <c r="AB876" s="137"/>
      <c r="AC876" s="137"/>
      <c r="AD876" s="137"/>
      <c r="AE876" s="137"/>
      <c r="AF876" s="137"/>
      <c r="AG876" s="137"/>
    </row>
    <row r="877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  <c r="AA877" s="137"/>
      <c r="AB877" s="137"/>
      <c r="AC877" s="137"/>
      <c r="AD877" s="137"/>
      <c r="AE877" s="137"/>
      <c r="AF877" s="137"/>
      <c r="AG877" s="137"/>
    </row>
    <row r="878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  <c r="AA878" s="137"/>
      <c r="AB878" s="137"/>
      <c r="AC878" s="137"/>
      <c r="AD878" s="137"/>
      <c r="AE878" s="137"/>
      <c r="AF878" s="137"/>
      <c r="AG878" s="137"/>
    </row>
    <row r="879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  <c r="AA879" s="137"/>
      <c r="AB879" s="137"/>
      <c r="AC879" s="137"/>
      <c r="AD879" s="137"/>
      <c r="AE879" s="137"/>
      <c r="AF879" s="137"/>
      <c r="AG879" s="137"/>
    </row>
    <row r="880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  <c r="AA880" s="137"/>
      <c r="AB880" s="137"/>
      <c r="AC880" s="137"/>
      <c r="AD880" s="137"/>
      <c r="AE880" s="137"/>
      <c r="AF880" s="137"/>
      <c r="AG880" s="137"/>
    </row>
    <row r="881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  <c r="AA881" s="137"/>
      <c r="AB881" s="137"/>
      <c r="AC881" s="137"/>
      <c r="AD881" s="137"/>
      <c r="AE881" s="137"/>
      <c r="AF881" s="137"/>
      <c r="AG881" s="137"/>
    </row>
    <row r="882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  <c r="AA882" s="137"/>
      <c r="AB882" s="137"/>
      <c r="AC882" s="137"/>
      <c r="AD882" s="137"/>
      <c r="AE882" s="137"/>
      <c r="AF882" s="137"/>
      <c r="AG882" s="137"/>
    </row>
    <row r="883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  <c r="AA883" s="137"/>
      <c r="AB883" s="137"/>
      <c r="AC883" s="137"/>
      <c r="AD883" s="137"/>
      <c r="AE883" s="137"/>
      <c r="AF883" s="137"/>
      <c r="AG883" s="137"/>
    </row>
    <row r="884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  <c r="AA884" s="137"/>
      <c r="AB884" s="137"/>
      <c r="AC884" s="137"/>
      <c r="AD884" s="137"/>
      <c r="AE884" s="137"/>
      <c r="AF884" s="137"/>
      <c r="AG884" s="137"/>
    </row>
    <row r="885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  <c r="AA885" s="137"/>
      <c r="AB885" s="137"/>
      <c r="AC885" s="137"/>
      <c r="AD885" s="137"/>
      <c r="AE885" s="137"/>
      <c r="AF885" s="137"/>
      <c r="AG885" s="137"/>
    </row>
    <row r="886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  <c r="AA886" s="137"/>
      <c r="AB886" s="137"/>
      <c r="AC886" s="137"/>
      <c r="AD886" s="137"/>
      <c r="AE886" s="137"/>
      <c r="AF886" s="137"/>
      <c r="AG886" s="137"/>
    </row>
    <row r="887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  <c r="AA887" s="137"/>
      <c r="AB887" s="137"/>
      <c r="AC887" s="137"/>
      <c r="AD887" s="137"/>
      <c r="AE887" s="137"/>
      <c r="AF887" s="137"/>
      <c r="AG887" s="137"/>
    </row>
    <row r="888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  <c r="AA888" s="137"/>
      <c r="AB888" s="137"/>
      <c r="AC888" s="137"/>
      <c r="AD888" s="137"/>
      <c r="AE888" s="137"/>
      <c r="AF888" s="137"/>
      <c r="AG888" s="137"/>
    </row>
    <row r="889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  <c r="AA889" s="137"/>
      <c r="AB889" s="137"/>
      <c r="AC889" s="137"/>
      <c r="AD889" s="137"/>
      <c r="AE889" s="137"/>
      <c r="AF889" s="137"/>
      <c r="AG889" s="137"/>
    </row>
    <row r="890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  <c r="AA890" s="137"/>
      <c r="AB890" s="137"/>
      <c r="AC890" s="137"/>
      <c r="AD890" s="137"/>
      <c r="AE890" s="137"/>
      <c r="AF890" s="137"/>
      <c r="AG890" s="137"/>
    </row>
    <row r="891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  <c r="AA891" s="137"/>
      <c r="AB891" s="137"/>
      <c r="AC891" s="137"/>
      <c r="AD891" s="137"/>
      <c r="AE891" s="137"/>
      <c r="AF891" s="137"/>
      <c r="AG891" s="137"/>
    </row>
    <row r="892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  <c r="AA892" s="137"/>
      <c r="AB892" s="137"/>
      <c r="AC892" s="137"/>
      <c r="AD892" s="137"/>
      <c r="AE892" s="137"/>
      <c r="AF892" s="137"/>
      <c r="AG892" s="137"/>
    </row>
    <row r="893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  <c r="AA893" s="137"/>
      <c r="AB893" s="137"/>
      <c r="AC893" s="137"/>
      <c r="AD893" s="137"/>
      <c r="AE893" s="137"/>
      <c r="AF893" s="137"/>
      <c r="AG893" s="137"/>
    </row>
    <row r="894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  <c r="AA894" s="137"/>
      <c r="AB894" s="137"/>
      <c r="AC894" s="137"/>
      <c r="AD894" s="137"/>
      <c r="AE894" s="137"/>
      <c r="AF894" s="137"/>
      <c r="AG894" s="137"/>
    </row>
    <row r="895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  <c r="AA895" s="137"/>
      <c r="AB895" s="137"/>
      <c r="AC895" s="137"/>
      <c r="AD895" s="137"/>
      <c r="AE895" s="137"/>
      <c r="AF895" s="137"/>
      <c r="AG895" s="137"/>
    </row>
    <row r="896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  <c r="AA896" s="137"/>
      <c r="AB896" s="137"/>
      <c r="AC896" s="137"/>
      <c r="AD896" s="137"/>
      <c r="AE896" s="137"/>
      <c r="AF896" s="137"/>
      <c r="AG896" s="137"/>
    </row>
    <row r="897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  <c r="AA897" s="137"/>
      <c r="AB897" s="137"/>
      <c r="AC897" s="137"/>
      <c r="AD897" s="137"/>
      <c r="AE897" s="137"/>
      <c r="AF897" s="137"/>
      <c r="AG897" s="137"/>
    </row>
    <row r="898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  <c r="AA898" s="137"/>
      <c r="AB898" s="137"/>
      <c r="AC898" s="137"/>
      <c r="AD898" s="137"/>
      <c r="AE898" s="137"/>
      <c r="AF898" s="137"/>
      <c r="AG898" s="137"/>
    </row>
    <row r="899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  <c r="AA899" s="137"/>
      <c r="AB899" s="137"/>
      <c r="AC899" s="137"/>
      <c r="AD899" s="137"/>
      <c r="AE899" s="137"/>
      <c r="AF899" s="137"/>
      <c r="AG899" s="137"/>
    </row>
    <row r="900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  <c r="AA900" s="137"/>
      <c r="AB900" s="137"/>
      <c r="AC900" s="137"/>
      <c r="AD900" s="137"/>
      <c r="AE900" s="137"/>
      <c r="AF900" s="137"/>
      <c r="AG900" s="137"/>
    </row>
    <row r="901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  <c r="AA901" s="137"/>
      <c r="AB901" s="137"/>
      <c r="AC901" s="137"/>
      <c r="AD901" s="137"/>
      <c r="AE901" s="137"/>
      <c r="AF901" s="137"/>
      <c r="AG901" s="137"/>
    </row>
    <row r="902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  <c r="AA902" s="137"/>
      <c r="AB902" s="137"/>
      <c r="AC902" s="137"/>
      <c r="AD902" s="137"/>
      <c r="AE902" s="137"/>
      <c r="AF902" s="137"/>
      <c r="AG902" s="137"/>
    </row>
    <row r="903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  <c r="AA903" s="137"/>
      <c r="AB903" s="137"/>
      <c r="AC903" s="137"/>
      <c r="AD903" s="137"/>
      <c r="AE903" s="137"/>
      <c r="AF903" s="137"/>
      <c r="AG903" s="137"/>
    </row>
    <row r="904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  <c r="AA904" s="137"/>
      <c r="AB904" s="137"/>
      <c r="AC904" s="137"/>
      <c r="AD904" s="137"/>
      <c r="AE904" s="137"/>
      <c r="AF904" s="137"/>
      <c r="AG904" s="137"/>
    </row>
    <row r="905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  <c r="AA905" s="137"/>
      <c r="AB905" s="137"/>
      <c r="AC905" s="137"/>
      <c r="AD905" s="137"/>
      <c r="AE905" s="137"/>
      <c r="AF905" s="137"/>
      <c r="AG905" s="137"/>
    </row>
    <row r="906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  <c r="AA906" s="137"/>
      <c r="AB906" s="137"/>
      <c r="AC906" s="137"/>
      <c r="AD906" s="137"/>
      <c r="AE906" s="137"/>
      <c r="AF906" s="137"/>
      <c r="AG906" s="137"/>
    </row>
    <row r="907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  <c r="AA907" s="137"/>
      <c r="AB907" s="137"/>
      <c r="AC907" s="137"/>
      <c r="AD907" s="137"/>
      <c r="AE907" s="137"/>
      <c r="AF907" s="137"/>
      <c r="AG907" s="137"/>
    </row>
    <row r="908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  <c r="AA908" s="137"/>
      <c r="AB908" s="137"/>
      <c r="AC908" s="137"/>
      <c r="AD908" s="137"/>
      <c r="AE908" s="137"/>
      <c r="AF908" s="137"/>
      <c r="AG908" s="137"/>
    </row>
    <row r="909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  <c r="AA909" s="137"/>
      <c r="AB909" s="137"/>
      <c r="AC909" s="137"/>
      <c r="AD909" s="137"/>
      <c r="AE909" s="137"/>
      <c r="AF909" s="137"/>
      <c r="AG909" s="137"/>
    </row>
    <row r="910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  <c r="AA910" s="137"/>
      <c r="AB910" s="137"/>
      <c r="AC910" s="137"/>
      <c r="AD910" s="137"/>
      <c r="AE910" s="137"/>
      <c r="AF910" s="137"/>
      <c r="AG910" s="137"/>
    </row>
    <row r="911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  <c r="AG911" s="137"/>
    </row>
    <row r="912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  <c r="AA912" s="137"/>
      <c r="AB912" s="137"/>
      <c r="AC912" s="137"/>
      <c r="AD912" s="137"/>
      <c r="AE912" s="137"/>
      <c r="AF912" s="137"/>
      <c r="AG912" s="137"/>
    </row>
    <row r="913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  <c r="AA913" s="137"/>
      <c r="AB913" s="137"/>
      <c r="AC913" s="137"/>
      <c r="AD913" s="137"/>
      <c r="AE913" s="137"/>
      <c r="AF913" s="137"/>
      <c r="AG913" s="137"/>
    </row>
    <row r="914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  <c r="AA914" s="137"/>
      <c r="AB914" s="137"/>
      <c r="AC914" s="137"/>
      <c r="AD914" s="137"/>
      <c r="AE914" s="137"/>
      <c r="AF914" s="137"/>
      <c r="AG914" s="137"/>
    </row>
    <row r="915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  <c r="AA915" s="137"/>
      <c r="AB915" s="137"/>
      <c r="AC915" s="137"/>
      <c r="AD915" s="137"/>
      <c r="AE915" s="137"/>
      <c r="AF915" s="137"/>
      <c r="AG915" s="137"/>
    </row>
    <row r="916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  <c r="AA916" s="137"/>
      <c r="AB916" s="137"/>
      <c r="AC916" s="137"/>
      <c r="AD916" s="137"/>
      <c r="AE916" s="137"/>
      <c r="AF916" s="137"/>
      <c r="AG916" s="137"/>
    </row>
    <row r="917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  <c r="AA917" s="137"/>
      <c r="AB917" s="137"/>
      <c r="AC917" s="137"/>
      <c r="AD917" s="137"/>
      <c r="AE917" s="137"/>
      <c r="AF917" s="137"/>
      <c r="AG917" s="137"/>
    </row>
    <row r="918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  <c r="AA918" s="137"/>
      <c r="AB918" s="137"/>
      <c r="AC918" s="137"/>
      <c r="AD918" s="137"/>
      <c r="AE918" s="137"/>
      <c r="AF918" s="137"/>
      <c r="AG918" s="137"/>
    </row>
    <row r="919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  <c r="AA919" s="137"/>
      <c r="AB919" s="137"/>
      <c r="AC919" s="137"/>
      <c r="AD919" s="137"/>
      <c r="AE919" s="137"/>
      <c r="AF919" s="137"/>
      <c r="AG919" s="137"/>
    </row>
    <row r="920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  <c r="AA920" s="137"/>
      <c r="AB920" s="137"/>
      <c r="AC920" s="137"/>
      <c r="AD920" s="137"/>
      <c r="AE920" s="137"/>
      <c r="AF920" s="137"/>
      <c r="AG920" s="137"/>
    </row>
    <row r="921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  <c r="AA921" s="137"/>
      <c r="AB921" s="137"/>
      <c r="AC921" s="137"/>
      <c r="AD921" s="137"/>
      <c r="AE921" s="137"/>
      <c r="AF921" s="137"/>
      <c r="AG921" s="137"/>
    </row>
    <row r="922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  <c r="AA922" s="137"/>
      <c r="AB922" s="137"/>
      <c r="AC922" s="137"/>
      <c r="AD922" s="137"/>
      <c r="AE922" s="137"/>
      <c r="AF922" s="137"/>
      <c r="AG922" s="137"/>
    </row>
    <row r="923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  <c r="AA923" s="137"/>
      <c r="AB923" s="137"/>
      <c r="AC923" s="137"/>
      <c r="AD923" s="137"/>
      <c r="AE923" s="137"/>
      <c r="AF923" s="137"/>
      <c r="AG923" s="137"/>
    </row>
    <row r="924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  <c r="AA924" s="137"/>
      <c r="AB924" s="137"/>
      <c r="AC924" s="137"/>
      <c r="AD924" s="137"/>
      <c r="AE924" s="137"/>
      <c r="AF924" s="137"/>
      <c r="AG924" s="137"/>
    </row>
    <row r="925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  <c r="AA925" s="137"/>
      <c r="AB925" s="137"/>
      <c r="AC925" s="137"/>
      <c r="AD925" s="137"/>
      <c r="AE925" s="137"/>
      <c r="AF925" s="137"/>
      <c r="AG925" s="137"/>
    </row>
    <row r="926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  <c r="AA926" s="137"/>
      <c r="AB926" s="137"/>
      <c r="AC926" s="137"/>
      <c r="AD926" s="137"/>
      <c r="AE926" s="137"/>
      <c r="AF926" s="137"/>
      <c r="AG926" s="137"/>
    </row>
    <row r="927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  <c r="AA927" s="137"/>
      <c r="AB927" s="137"/>
      <c r="AC927" s="137"/>
      <c r="AD927" s="137"/>
      <c r="AE927" s="137"/>
      <c r="AF927" s="137"/>
      <c r="AG927" s="137"/>
    </row>
    <row r="928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  <c r="AA928" s="137"/>
      <c r="AB928" s="137"/>
      <c r="AC928" s="137"/>
      <c r="AD928" s="137"/>
      <c r="AE928" s="137"/>
      <c r="AF928" s="137"/>
      <c r="AG928" s="137"/>
    </row>
    <row r="929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  <c r="AA929" s="137"/>
      <c r="AB929" s="137"/>
      <c r="AC929" s="137"/>
      <c r="AD929" s="137"/>
      <c r="AE929" s="137"/>
      <c r="AF929" s="137"/>
      <c r="AG929" s="137"/>
    </row>
    <row r="930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  <c r="AA930" s="137"/>
      <c r="AB930" s="137"/>
      <c r="AC930" s="137"/>
      <c r="AD930" s="137"/>
      <c r="AE930" s="137"/>
      <c r="AF930" s="137"/>
      <c r="AG930" s="137"/>
    </row>
    <row r="931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  <c r="AA931" s="137"/>
      <c r="AB931" s="137"/>
      <c r="AC931" s="137"/>
      <c r="AD931" s="137"/>
      <c r="AE931" s="137"/>
      <c r="AF931" s="137"/>
      <c r="AG931" s="137"/>
    </row>
    <row r="932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  <c r="AA932" s="137"/>
      <c r="AB932" s="137"/>
      <c r="AC932" s="137"/>
      <c r="AD932" s="137"/>
      <c r="AE932" s="137"/>
      <c r="AF932" s="137"/>
      <c r="AG932" s="137"/>
    </row>
    <row r="933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  <c r="AA933" s="137"/>
      <c r="AB933" s="137"/>
      <c r="AC933" s="137"/>
      <c r="AD933" s="137"/>
      <c r="AE933" s="137"/>
      <c r="AF933" s="137"/>
      <c r="AG933" s="137"/>
    </row>
    <row r="934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  <c r="AA934" s="137"/>
      <c r="AB934" s="137"/>
      <c r="AC934" s="137"/>
      <c r="AD934" s="137"/>
      <c r="AE934" s="137"/>
      <c r="AF934" s="137"/>
      <c r="AG934" s="137"/>
    </row>
    <row r="935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  <c r="AA935" s="137"/>
      <c r="AB935" s="137"/>
      <c r="AC935" s="137"/>
      <c r="AD935" s="137"/>
      <c r="AE935" s="137"/>
      <c r="AF935" s="137"/>
      <c r="AG935" s="137"/>
    </row>
    <row r="936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  <c r="AA936" s="137"/>
      <c r="AB936" s="137"/>
      <c r="AC936" s="137"/>
      <c r="AD936" s="137"/>
      <c r="AE936" s="137"/>
      <c r="AF936" s="137"/>
      <c r="AG936" s="137"/>
    </row>
    <row r="937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  <c r="AA937" s="137"/>
      <c r="AB937" s="137"/>
      <c r="AC937" s="137"/>
      <c r="AD937" s="137"/>
      <c r="AE937" s="137"/>
      <c r="AF937" s="137"/>
      <c r="AG937" s="137"/>
    </row>
    <row r="938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  <c r="AA938" s="137"/>
      <c r="AB938" s="137"/>
      <c r="AC938" s="137"/>
      <c r="AD938" s="137"/>
      <c r="AE938" s="137"/>
      <c r="AF938" s="137"/>
      <c r="AG938" s="137"/>
    </row>
    <row r="939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  <c r="AA939" s="137"/>
      <c r="AB939" s="137"/>
      <c r="AC939" s="137"/>
      <c r="AD939" s="137"/>
      <c r="AE939" s="137"/>
      <c r="AF939" s="137"/>
      <c r="AG939" s="137"/>
    </row>
    <row r="940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  <c r="AA940" s="137"/>
      <c r="AB940" s="137"/>
      <c r="AC940" s="137"/>
      <c r="AD940" s="137"/>
      <c r="AE940" s="137"/>
      <c r="AF940" s="137"/>
      <c r="AG940" s="137"/>
    </row>
    <row r="941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  <c r="AA941" s="137"/>
      <c r="AB941" s="137"/>
      <c r="AC941" s="137"/>
      <c r="AD941" s="137"/>
      <c r="AE941" s="137"/>
      <c r="AF941" s="137"/>
      <c r="AG941" s="137"/>
    </row>
    <row r="942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  <c r="AA942" s="137"/>
      <c r="AB942" s="137"/>
      <c r="AC942" s="137"/>
      <c r="AD942" s="137"/>
      <c r="AE942" s="137"/>
      <c r="AF942" s="137"/>
      <c r="AG942" s="137"/>
    </row>
    <row r="943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  <c r="AA943" s="137"/>
      <c r="AB943" s="137"/>
      <c r="AC943" s="137"/>
      <c r="AD943" s="137"/>
      <c r="AE943" s="137"/>
      <c r="AF943" s="137"/>
      <c r="AG943" s="137"/>
    </row>
    <row r="944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  <c r="AA944" s="137"/>
      <c r="AB944" s="137"/>
      <c r="AC944" s="137"/>
      <c r="AD944" s="137"/>
      <c r="AE944" s="137"/>
      <c r="AF944" s="137"/>
      <c r="AG944" s="137"/>
    </row>
    <row r="945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  <c r="AA945" s="137"/>
      <c r="AB945" s="137"/>
      <c r="AC945" s="137"/>
      <c r="AD945" s="137"/>
      <c r="AE945" s="137"/>
      <c r="AF945" s="137"/>
      <c r="AG945" s="137"/>
    </row>
    <row r="946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  <c r="AA946" s="137"/>
      <c r="AB946" s="137"/>
      <c r="AC946" s="137"/>
      <c r="AD946" s="137"/>
      <c r="AE946" s="137"/>
      <c r="AF946" s="137"/>
      <c r="AG946" s="137"/>
    </row>
    <row r="947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  <c r="AA947" s="137"/>
      <c r="AB947" s="137"/>
      <c r="AC947" s="137"/>
      <c r="AD947" s="137"/>
      <c r="AE947" s="137"/>
      <c r="AF947" s="137"/>
      <c r="AG947" s="137"/>
    </row>
    <row r="948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  <c r="AA948" s="137"/>
      <c r="AB948" s="137"/>
      <c r="AC948" s="137"/>
      <c r="AD948" s="137"/>
      <c r="AE948" s="137"/>
      <c r="AF948" s="137"/>
      <c r="AG948" s="137"/>
    </row>
    <row r="949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  <c r="AA949" s="137"/>
      <c r="AB949" s="137"/>
      <c r="AC949" s="137"/>
      <c r="AD949" s="137"/>
      <c r="AE949" s="137"/>
      <c r="AF949" s="137"/>
      <c r="AG949" s="137"/>
    </row>
    <row r="950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  <c r="AA950" s="137"/>
      <c r="AB950" s="137"/>
      <c r="AC950" s="137"/>
      <c r="AD950" s="137"/>
      <c r="AE950" s="137"/>
      <c r="AF950" s="137"/>
      <c r="AG950" s="137"/>
    </row>
    <row r="951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  <c r="AA951" s="137"/>
      <c r="AB951" s="137"/>
      <c r="AC951" s="137"/>
      <c r="AD951" s="137"/>
      <c r="AE951" s="137"/>
      <c r="AF951" s="137"/>
      <c r="AG951" s="137"/>
    </row>
    <row r="952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  <c r="AA952" s="137"/>
      <c r="AB952" s="137"/>
      <c r="AC952" s="137"/>
      <c r="AD952" s="137"/>
      <c r="AE952" s="137"/>
      <c r="AF952" s="137"/>
      <c r="AG952" s="137"/>
    </row>
    <row r="953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  <c r="AA953" s="137"/>
      <c r="AB953" s="137"/>
      <c r="AC953" s="137"/>
      <c r="AD953" s="137"/>
      <c r="AE953" s="137"/>
      <c r="AF953" s="137"/>
      <c r="AG953" s="137"/>
    </row>
    <row r="954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  <c r="AA954" s="137"/>
      <c r="AB954" s="137"/>
      <c r="AC954" s="137"/>
      <c r="AD954" s="137"/>
      <c r="AE954" s="137"/>
      <c r="AF954" s="137"/>
      <c r="AG954" s="137"/>
    </row>
    <row r="955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  <c r="AA955" s="137"/>
      <c r="AB955" s="137"/>
      <c r="AC955" s="137"/>
      <c r="AD955" s="137"/>
      <c r="AE955" s="137"/>
      <c r="AF955" s="137"/>
      <c r="AG955" s="137"/>
    </row>
    <row r="956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  <c r="AA956" s="137"/>
      <c r="AB956" s="137"/>
      <c r="AC956" s="137"/>
      <c r="AD956" s="137"/>
      <c r="AE956" s="137"/>
      <c r="AF956" s="137"/>
      <c r="AG956" s="137"/>
    </row>
    <row r="957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  <c r="AA957" s="137"/>
      <c r="AB957" s="137"/>
      <c r="AC957" s="137"/>
      <c r="AD957" s="137"/>
      <c r="AE957" s="137"/>
      <c r="AF957" s="137"/>
      <c r="AG957" s="137"/>
    </row>
    <row r="958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  <c r="AA958" s="137"/>
      <c r="AB958" s="137"/>
      <c r="AC958" s="137"/>
      <c r="AD958" s="137"/>
      <c r="AE958" s="137"/>
      <c r="AF958" s="137"/>
      <c r="AG958" s="137"/>
    </row>
    <row r="959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  <c r="AA959" s="137"/>
      <c r="AB959" s="137"/>
      <c r="AC959" s="137"/>
      <c r="AD959" s="137"/>
      <c r="AE959" s="137"/>
      <c r="AF959" s="137"/>
      <c r="AG959" s="137"/>
    </row>
    <row r="960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  <c r="AA960" s="137"/>
      <c r="AB960" s="137"/>
      <c r="AC960" s="137"/>
      <c r="AD960" s="137"/>
      <c r="AE960" s="137"/>
      <c r="AF960" s="137"/>
      <c r="AG960" s="137"/>
    </row>
    <row r="961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  <c r="AA961" s="137"/>
      <c r="AB961" s="137"/>
      <c r="AC961" s="137"/>
      <c r="AD961" s="137"/>
      <c r="AE961" s="137"/>
      <c r="AF961" s="137"/>
      <c r="AG961" s="137"/>
    </row>
    <row r="962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  <c r="AA962" s="137"/>
      <c r="AB962" s="137"/>
      <c r="AC962" s="137"/>
      <c r="AD962" s="137"/>
      <c r="AE962" s="137"/>
      <c r="AF962" s="137"/>
      <c r="AG962" s="137"/>
    </row>
    <row r="963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  <c r="AA963" s="137"/>
      <c r="AB963" s="137"/>
      <c r="AC963" s="137"/>
      <c r="AD963" s="137"/>
      <c r="AE963" s="137"/>
      <c r="AF963" s="137"/>
      <c r="AG963" s="137"/>
    </row>
    <row r="964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  <c r="AA964" s="137"/>
      <c r="AB964" s="137"/>
      <c r="AC964" s="137"/>
      <c r="AD964" s="137"/>
      <c r="AE964" s="137"/>
      <c r="AF964" s="137"/>
      <c r="AG964" s="137"/>
    </row>
    <row r="965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  <c r="AA965" s="137"/>
      <c r="AB965" s="137"/>
      <c r="AC965" s="137"/>
      <c r="AD965" s="137"/>
      <c r="AE965" s="137"/>
      <c r="AF965" s="137"/>
      <c r="AG965" s="137"/>
    </row>
    <row r="966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  <c r="AA966" s="137"/>
      <c r="AB966" s="137"/>
      <c r="AC966" s="137"/>
      <c r="AD966" s="137"/>
      <c r="AE966" s="137"/>
      <c r="AF966" s="137"/>
      <c r="AG966" s="137"/>
    </row>
    <row r="967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  <c r="AA967" s="137"/>
      <c r="AB967" s="137"/>
      <c r="AC967" s="137"/>
      <c r="AD967" s="137"/>
      <c r="AE967" s="137"/>
      <c r="AF967" s="137"/>
      <c r="AG967" s="137"/>
    </row>
    <row r="968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  <c r="AA968" s="137"/>
      <c r="AB968" s="137"/>
      <c r="AC968" s="137"/>
      <c r="AD968" s="137"/>
      <c r="AE968" s="137"/>
      <c r="AF968" s="137"/>
      <c r="AG968" s="137"/>
    </row>
    <row r="969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  <c r="AA969" s="137"/>
      <c r="AB969" s="137"/>
      <c r="AC969" s="137"/>
      <c r="AD969" s="137"/>
      <c r="AE969" s="137"/>
      <c r="AF969" s="137"/>
      <c r="AG969" s="137"/>
    </row>
    <row r="970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  <c r="AA970" s="137"/>
      <c r="AB970" s="137"/>
      <c r="AC970" s="137"/>
      <c r="AD970" s="137"/>
      <c r="AE970" s="137"/>
      <c r="AF970" s="137"/>
      <c r="AG970" s="137"/>
    </row>
    <row r="971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  <c r="AA971" s="137"/>
      <c r="AB971" s="137"/>
      <c r="AC971" s="137"/>
      <c r="AD971" s="137"/>
      <c r="AE971" s="137"/>
      <c r="AF971" s="137"/>
      <c r="AG971" s="137"/>
    </row>
    <row r="972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  <c r="AA972" s="137"/>
      <c r="AB972" s="137"/>
      <c r="AC972" s="137"/>
      <c r="AD972" s="137"/>
      <c r="AE972" s="137"/>
      <c r="AF972" s="137"/>
      <c r="AG972" s="137"/>
    </row>
    <row r="973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  <c r="AA973" s="137"/>
      <c r="AB973" s="137"/>
      <c r="AC973" s="137"/>
      <c r="AD973" s="137"/>
      <c r="AE973" s="137"/>
      <c r="AF973" s="137"/>
      <c r="AG973" s="137"/>
    </row>
    <row r="974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  <c r="AA974" s="137"/>
      <c r="AB974" s="137"/>
      <c r="AC974" s="137"/>
      <c r="AD974" s="137"/>
      <c r="AE974" s="137"/>
      <c r="AF974" s="137"/>
      <c r="AG974" s="137"/>
    </row>
    <row r="975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  <c r="AA975" s="137"/>
      <c r="AB975" s="137"/>
      <c r="AC975" s="137"/>
      <c r="AD975" s="137"/>
      <c r="AE975" s="137"/>
      <c r="AF975" s="137"/>
      <c r="AG975" s="137"/>
    </row>
    <row r="976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  <c r="AA976" s="137"/>
      <c r="AB976" s="137"/>
      <c r="AC976" s="137"/>
      <c r="AD976" s="137"/>
      <c r="AE976" s="137"/>
      <c r="AF976" s="137"/>
      <c r="AG976" s="137"/>
    </row>
    <row r="977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  <c r="AA977" s="137"/>
      <c r="AB977" s="137"/>
      <c r="AC977" s="137"/>
      <c r="AD977" s="137"/>
      <c r="AE977" s="137"/>
      <c r="AF977" s="137"/>
      <c r="AG977" s="137"/>
    </row>
    <row r="978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  <c r="AA978" s="137"/>
      <c r="AB978" s="137"/>
      <c r="AC978" s="137"/>
      <c r="AD978" s="137"/>
      <c r="AE978" s="137"/>
      <c r="AF978" s="137"/>
      <c r="AG978" s="137"/>
    </row>
    <row r="979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  <c r="AA979" s="137"/>
      <c r="AB979" s="137"/>
      <c r="AC979" s="137"/>
      <c r="AD979" s="137"/>
      <c r="AE979" s="137"/>
      <c r="AF979" s="137"/>
      <c r="AG979" s="137"/>
    </row>
    <row r="980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  <c r="AA980" s="137"/>
      <c r="AB980" s="137"/>
      <c r="AC980" s="137"/>
      <c r="AD980" s="137"/>
      <c r="AE980" s="137"/>
      <c r="AF980" s="137"/>
      <c r="AG980" s="137"/>
    </row>
    <row r="981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  <c r="AA981" s="137"/>
      <c r="AB981" s="137"/>
      <c r="AC981" s="137"/>
      <c r="AD981" s="137"/>
      <c r="AE981" s="137"/>
      <c r="AF981" s="137"/>
      <c r="AG981" s="137"/>
    </row>
    <row r="982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  <c r="AA982" s="137"/>
      <c r="AB982" s="137"/>
      <c r="AC982" s="137"/>
      <c r="AD982" s="137"/>
      <c r="AE982" s="137"/>
      <c r="AF982" s="137"/>
      <c r="AG982" s="137"/>
    </row>
    <row r="983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  <c r="AA983" s="137"/>
      <c r="AB983" s="137"/>
      <c r="AC983" s="137"/>
      <c r="AD983" s="137"/>
      <c r="AE983" s="137"/>
      <c r="AF983" s="137"/>
      <c r="AG983" s="137"/>
    </row>
    <row r="984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  <c r="AA984" s="137"/>
      <c r="AB984" s="137"/>
      <c r="AC984" s="137"/>
      <c r="AD984" s="137"/>
      <c r="AE984" s="137"/>
      <c r="AF984" s="137"/>
      <c r="AG984" s="137"/>
    </row>
    <row r="985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  <c r="AA985" s="137"/>
      <c r="AB985" s="137"/>
      <c r="AC985" s="137"/>
      <c r="AD985" s="137"/>
      <c r="AE985" s="137"/>
      <c r="AF985" s="137"/>
      <c r="AG985" s="137"/>
    </row>
    <row r="986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  <c r="AA986" s="137"/>
      <c r="AB986" s="137"/>
      <c r="AC986" s="137"/>
      <c r="AD986" s="137"/>
      <c r="AE986" s="137"/>
      <c r="AF986" s="137"/>
      <c r="AG986" s="137"/>
    </row>
    <row r="987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  <c r="AA987" s="137"/>
      <c r="AB987" s="137"/>
      <c r="AC987" s="137"/>
      <c r="AD987" s="137"/>
      <c r="AE987" s="137"/>
      <c r="AF987" s="137"/>
      <c r="AG987" s="137"/>
    </row>
    <row r="988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  <c r="AA988" s="137"/>
      <c r="AB988" s="137"/>
      <c r="AC988" s="137"/>
      <c r="AD988" s="137"/>
      <c r="AE988" s="137"/>
      <c r="AF988" s="137"/>
      <c r="AG988" s="137"/>
    </row>
    <row r="989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  <c r="AA989" s="137"/>
      <c r="AB989" s="137"/>
      <c r="AC989" s="137"/>
      <c r="AD989" s="137"/>
      <c r="AE989" s="137"/>
      <c r="AF989" s="137"/>
      <c r="AG989" s="137"/>
    </row>
    <row r="990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  <c r="AA990" s="137"/>
      <c r="AB990" s="137"/>
      <c r="AC990" s="137"/>
      <c r="AD990" s="137"/>
      <c r="AE990" s="137"/>
      <c r="AF990" s="137"/>
      <c r="AG990" s="137"/>
    </row>
    <row r="991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  <c r="AA991" s="137"/>
      <c r="AB991" s="137"/>
      <c r="AC991" s="137"/>
      <c r="AD991" s="137"/>
      <c r="AE991" s="137"/>
      <c r="AF991" s="137"/>
      <c r="AG991" s="137"/>
    </row>
    <row r="992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  <c r="AA992" s="137"/>
      <c r="AB992" s="137"/>
      <c r="AC992" s="137"/>
      <c r="AD992" s="137"/>
      <c r="AE992" s="137"/>
      <c r="AF992" s="137"/>
      <c r="AG992" s="137"/>
    </row>
    <row r="993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  <c r="AA993" s="137"/>
      <c r="AB993" s="137"/>
      <c r="AC993" s="137"/>
      <c r="AD993" s="137"/>
      <c r="AE993" s="137"/>
      <c r="AF993" s="137"/>
      <c r="AG993" s="137"/>
    </row>
    <row r="994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  <c r="AG994" s="137"/>
    </row>
    <row r="995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  <c r="AA995" s="137"/>
      <c r="AB995" s="137"/>
      <c r="AC995" s="137"/>
      <c r="AD995" s="137"/>
      <c r="AE995" s="137"/>
      <c r="AF995" s="137"/>
      <c r="AG995" s="137"/>
    </row>
    <row r="996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  <c r="AA996" s="137"/>
      <c r="AB996" s="137"/>
      <c r="AC996" s="137"/>
      <c r="AD996" s="137"/>
      <c r="AE996" s="137"/>
      <c r="AF996" s="137"/>
      <c r="AG996" s="137"/>
    </row>
    <row r="997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  <c r="AA997" s="137"/>
      <c r="AB997" s="137"/>
      <c r="AC997" s="137"/>
      <c r="AD997" s="137"/>
      <c r="AE997" s="137"/>
      <c r="AF997" s="137"/>
      <c r="AG997" s="137"/>
    </row>
    <row r="998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  <c r="AA998" s="137"/>
      <c r="AB998" s="137"/>
      <c r="AC998" s="137"/>
      <c r="AD998" s="137"/>
      <c r="AE998" s="137"/>
      <c r="AF998" s="137"/>
      <c r="AG998" s="137"/>
    </row>
    <row r="999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  <c r="AA999" s="137"/>
      <c r="AB999" s="137"/>
      <c r="AC999" s="137"/>
      <c r="AD999" s="137"/>
      <c r="AE999" s="137"/>
      <c r="AF999" s="137"/>
      <c r="AG999" s="137"/>
    </row>
    <row r="1000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  <c r="AA1000" s="137"/>
      <c r="AB1000" s="137"/>
      <c r="AC1000" s="137"/>
      <c r="AD1000" s="137"/>
      <c r="AE1000" s="137"/>
      <c r="AF1000" s="137"/>
      <c r="AG1000" s="137"/>
    </row>
    <row r="1001">
      <c r="A1001" s="137"/>
      <c r="B1001" s="137"/>
      <c r="C1001" s="137"/>
      <c r="D1001" s="137"/>
      <c r="E1001" s="137"/>
      <c r="F1001" s="137"/>
      <c r="G1001" s="137"/>
      <c r="H1001" s="137"/>
      <c r="I1001" s="137"/>
      <c r="J1001" s="137"/>
      <c r="K1001" s="137"/>
      <c r="L1001" s="137"/>
      <c r="M1001" s="137"/>
      <c r="N1001" s="137"/>
      <c r="O1001" s="137"/>
      <c r="P1001" s="137"/>
      <c r="Q1001" s="137"/>
      <c r="R1001" s="137"/>
      <c r="S1001" s="137"/>
      <c r="T1001" s="137"/>
      <c r="U1001" s="137"/>
      <c r="V1001" s="137"/>
      <c r="W1001" s="137"/>
      <c r="X1001" s="137"/>
      <c r="Y1001" s="137"/>
      <c r="Z1001" s="137"/>
      <c r="AA1001" s="137"/>
      <c r="AB1001" s="137"/>
      <c r="AC1001" s="137"/>
      <c r="AD1001" s="137"/>
      <c r="AE1001" s="137"/>
      <c r="AF1001" s="137"/>
      <c r="AG1001" s="13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240</v>
      </c>
    </row>
    <row r="2">
      <c r="B2" s="137"/>
      <c r="C2" s="172" t="s">
        <v>241</v>
      </c>
      <c r="E2" s="173"/>
      <c r="F2" s="102" t="s">
        <v>242</v>
      </c>
      <c r="H2" s="173"/>
    </row>
    <row r="3">
      <c r="B3" s="121" t="s">
        <v>243</v>
      </c>
      <c r="C3" s="174" t="s">
        <v>244</v>
      </c>
      <c r="D3" s="121" t="s">
        <v>245</v>
      </c>
      <c r="E3" s="175" t="s">
        <v>105</v>
      </c>
      <c r="F3" s="121" t="s">
        <v>246</v>
      </c>
      <c r="G3" s="121" t="s">
        <v>247</v>
      </c>
      <c r="H3" s="121" t="s">
        <v>248</v>
      </c>
    </row>
    <row r="4">
      <c r="B4" s="176" t="s">
        <v>249</v>
      </c>
      <c r="C4" s="177" t="s">
        <v>250</v>
      </c>
      <c r="D4" s="122" t="s">
        <v>251</v>
      </c>
      <c r="E4" s="178" t="s">
        <v>252</v>
      </c>
      <c r="F4" s="179" t="s">
        <v>253</v>
      </c>
      <c r="G4" s="179" t="s">
        <v>254</v>
      </c>
      <c r="H4" s="122"/>
    </row>
    <row r="5">
      <c r="B5" s="176" t="s">
        <v>255</v>
      </c>
      <c r="C5" s="180" t="s">
        <v>256</v>
      </c>
      <c r="D5" s="132"/>
      <c r="E5" s="178" t="s">
        <v>252</v>
      </c>
      <c r="F5" s="181" t="s">
        <v>257</v>
      </c>
      <c r="G5" s="182" t="s">
        <v>258</v>
      </c>
      <c r="H5" s="122"/>
    </row>
    <row r="6">
      <c r="B6" s="176" t="s">
        <v>259</v>
      </c>
      <c r="C6" s="177" t="s">
        <v>250</v>
      </c>
      <c r="D6" s="122" t="s">
        <v>260</v>
      </c>
      <c r="E6" s="178" t="s">
        <v>252</v>
      </c>
      <c r="F6" s="122" t="s">
        <v>237</v>
      </c>
      <c r="G6" s="122"/>
      <c r="H6" s="122"/>
    </row>
    <row r="7">
      <c r="B7" s="122" t="s">
        <v>17</v>
      </c>
      <c r="C7" s="183" t="s">
        <v>261</v>
      </c>
      <c r="D7" s="122"/>
      <c r="E7" s="184" t="s">
        <v>262</v>
      </c>
      <c r="F7" s="177" t="s">
        <v>263</v>
      </c>
      <c r="G7" s="122"/>
      <c r="H7" s="122" t="s">
        <v>264</v>
      </c>
    </row>
    <row r="8">
      <c r="B8" s="185" t="s">
        <v>265</v>
      </c>
      <c r="C8" s="186" t="s">
        <v>266</v>
      </c>
      <c r="D8" s="187"/>
      <c r="E8" s="185" t="s">
        <v>267</v>
      </c>
      <c r="F8" s="188" t="s">
        <v>268</v>
      </c>
      <c r="G8" s="189" t="s">
        <v>269</v>
      </c>
      <c r="H8" s="187"/>
    </row>
    <row r="9">
      <c r="B9" s="16" t="s">
        <v>270</v>
      </c>
      <c r="C9" s="190" t="s">
        <v>266</v>
      </c>
      <c r="D9" s="75"/>
      <c r="E9" s="75"/>
      <c r="F9" s="153"/>
      <c r="G9" s="75"/>
      <c r="H9" s="75"/>
    </row>
    <row r="10">
      <c r="B10" s="16" t="s">
        <v>271</v>
      </c>
      <c r="C10" s="153"/>
      <c r="D10" s="75"/>
      <c r="E10" s="75"/>
      <c r="F10" s="153"/>
      <c r="G10" s="179" t="s">
        <v>254</v>
      </c>
      <c r="H10" s="75"/>
    </row>
    <row r="11">
      <c r="B11" s="16" t="s">
        <v>272</v>
      </c>
      <c r="C11" s="153"/>
      <c r="D11" s="75"/>
      <c r="E11" s="75"/>
      <c r="F11" s="153"/>
      <c r="G11" s="191" t="s">
        <v>273</v>
      </c>
      <c r="H11" s="16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274</v>
      </c>
      <c r="C4" s="30"/>
    </row>
    <row r="5">
      <c r="C5" s="20" t="s">
        <v>275</v>
      </c>
    </row>
    <row r="7">
      <c r="C7" s="20" t="s">
        <v>276</v>
      </c>
    </row>
    <row r="8">
      <c r="D8" s="30"/>
    </row>
    <row r="9">
      <c r="B9" s="30" t="s">
        <v>277</v>
      </c>
    </row>
    <row r="10">
      <c r="C10" s="20" t="s">
        <v>278</v>
      </c>
    </row>
    <row r="13">
      <c r="D13" s="51" t="s">
        <v>279</v>
      </c>
    </row>
    <row r="14">
      <c r="D14" s="20" t="s">
        <v>280</v>
      </c>
    </row>
    <row r="16">
      <c r="D16" s="20" t="s">
        <v>281</v>
      </c>
    </row>
    <row r="20">
      <c r="B20" s="30" t="s">
        <v>282</v>
      </c>
    </row>
    <row r="21">
      <c r="B21" s="20" t="s">
        <v>283</v>
      </c>
    </row>
    <row r="22">
      <c r="B22" s="20" t="s">
        <v>284</v>
      </c>
    </row>
    <row r="23">
      <c r="C23" s="20" t="s">
        <v>285</v>
      </c>
    </row>
    <row r="26">
      <c r="L26" s="20" t="s">
        <v>286</v>
      </c>
      <c r="M26" s="20" t="s">
        <v>287</v>
      </c>
      <c r="N26" s="20" t="s">
        <v>43</v>
      </c>
      <c r="O26" s="20" t="s">
        <v>288</v>
      </c>
      <c r="P26" s="20" t="s">
        <v>289</v>
      </c>
      <c r="Q26" s="20" t="s">
        <v>179</v>
      </c>
      <c r="R26" s="20" t="s">
        <v>203</v>
      </c>
      <c r="S26" s="20" t="s">
        <v>290</v>
      </c>
      <c r="T26" s="20" t="s">
        <v>291</v>
      </c>
      <c r="U26" s="20" t="s">
        <v>9</v>
      </c>
      <c r="V26" s="20" t="s">
        <v>292</v>
      </c>
    </row>
    <row r="27">
      <c r="K27" s="20">
        <v>1.0</v>
      </c>
      <c r="M27" s="20" t="s">
        <v>293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293</v>
      </c>
      <c r="N28" s="20">
        <v>10.0</v>
      </c>
      <c r="O28" s="20">
        <v>0.0</v>
      </c>
      <c r="P28" s="20">
        <v>1.0</v>
      </c>
      <c r="Q28" s="192">
        <v>18.98</v>
      </c>
      <c r="R28" s="20">
        <v>2.71</v>
      </c>
      <c r="S28" s="20">
        <v>-3.01</v>
      </c>
      <c r="T28" s="20">
        <v>-0.43</v>
      </c>
      <c r="U28" s="193">
        <v>5.39</v>
      </c>
      <c r="V28" s="20">
        <v>16.35</v>
      </c>
    </row>
    <row r="29">
      <c r="K29" s="20">
        <v>2.0</v>
      </c>
      <c r="M29" s="20" t="s">
        <v>293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4"/>
      <c r="B1" s="103" t="s">
        <v>38</v>
      </c>
      <c r="C1" s="195"/>
      <c r="D1" s="194"/>
      <c r="E1" s="194"/>
      <c r="F1" s="194"/>
      <c r="G1" s="195"/>
      <c r="H1" s="195"/>
      <c r="I1" s="195"/>
      <c r="J1" s="195"/>
      <c r="K1" s="195"/>
      <c r="L1" s="195"/>
      <c r="M1" s="195"/>
      <c r="N1" s="195"/>
      <c r="O1" s="195"/>
      <c r="P1" s="103" t="s">
        <v>37</v>
      </c>
      <c r="Q1" s="195"/>
      <c r="R1" s="195"/>
      <c r="S1" s="103"/>
      <c r="T1" s="103"/>
      <c r="U1" s="103"/>
      <c r="V1" s="103"/>
      <c r="W1" s="103"/>
      <c r="X1" s="196"/>
      <c r="Y1" s="196" t="s">
        <v>294</v>
      </c>
      <c r="Z1" s="103"/>
      <c r="AA1" s="103"/>
      <c r="AB1" s="103"/>
      <c r="AC1" s="103"/>
      <c r="AD1" s="103"/>
      <c r="AE1" s="103" t="s">
        <v>28</v>
      </c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195"/>
      <c r="AS1" s="195"/>
      <c r="AT1" s="103" t="s">
        <v>29</v>
      </c>
      <c r="AU1" s="195"/>
      <c r="AV1" s="195"/>
      <c r="AW1" s="195"/>
      <c r="AX1" s="197"/>
      <c r="AY1" s="197"/>
      <c r="AZ1" s="197"/>
      <c r="BA1" s="197"/>
      <c r="BB1" s="195"/>
      <c r="BC1" s="195"/>
      <c r="BD1" s="195"/>
      <c r="BE1" s="195"/>
      <c r="BF1" s="195"/>
      <c r="BG1" s="195"/>
      <c r="BH1" s="195"/>
      <c r="BI1" s="195"/>
      <c r="BJ1" s="103" t="s">
        <v>25</v>
      </c>
      <c r="BK1" s="195"/>
      <c r="BL1" s="194"/>
      <c r="BM1" s="194"/>
      <c r="BN1" s="194"/>
      <c r="BO1" s="194"/>
      <c r="BP1" s="194"/>
      <c r="BQ1" s="194"/>
      <c r="BR1" s="194"/>
      <c r="BS1" s="194"/>
      <c r="BT1" s="194"/>
      <c r="BU1" s="194"/>
      <c r="BV1" s="194"/>
      <c r="BW1" s="194"/>
      <c r="BX1" s="194"/>
      <c r="BY1" s="194"/>
      <c r="BZ1" s="194"/>
      <c r="CA1" s="194"/>
      <c r="CB1" s="194"/>
      <c r="CC1" s="194"/>
      <c r="CD1" s="194"/>
      <c r="CE1" s="198" t="s">
        <v>295</v>
      </c>
      <c r="CF1" s="199" t="s">
        <v>296</v>
      </c>
      <c r="CG1" s="199" t="s">
        <v>52</v>
      </c>
      <c r="CH1" s="199" t="s">
        <v>31</v>
      </c>
      <c r="CI1" s="199" t="s">
        <v>179</v>
      </c>
      <c r="CJ1" s="200"/>
      <c r="CK1" s="200"/>
      <c r="CL1" s="200"/>
      <c r="CM1" s="200"/>
      <c r="CN1" s="200"/>
    </row>
    <row r="2">
      <c r="A2" s="169"/>
      <c r="B2" s="201" t="s">
        <v>297</v>
      </c>
      <c r="E2" s="201"/>
      <c r="F2" s="202" t="s">
        <v>298</v>
      </c>
      <c r="G2" s="202" t="s">
        <v>298</v>
      </c>
      <c r="H2" s="202"/>
      <c r="I2" s="202" t="s">
        <v>298</v>
      </c>
      <c r="J2" s="203" t="s">
        <v>299</v>
      </c>
      <c r="N2" s="83" t="s">
        <v>300</v>
      </c>
      <c r="O2" s="84"/>
      <c r="P2" s="201" t="s">
        <v>297</v>
      </c>
      <c r="S2" s="203" t="s">
        <v>299</v>
      </c>
      <c r="W2" s="204" t="s">
        <v>300</v>
      </c>
      <c r="X2" s="201"/>
      <c r="Y2" s="201" t="s">
        <v>301</v>
      </c>
      <c r="Z2" s="83" t="s">
        <v>300</v>
      </c>
      <c r="AA2" s="202" t="s">
        <v>298</v>
      </c>
      <c r="AB2" s="202"/>
      <c r="AC2" s="202"/>
      <c r="AD2" s="202"/>
      <c r="AE2" s="201" t="s">
        <v>297</v>
      </c>
      <c r="AH2" s="203" t="s">
        <v>299</v>
      </c>
      <c r="AL2" s="83" t="s">
        <v>300</v>
      </c>
      <c r="AM2" s="84"/>
      <c r="AN2" s="201"/>
      <c r="AO2" s="83" t="s">
        <v>300</v>
      </c>
      <c r="AP2" s="202" t="s">
        <v>298</v>
      </c>
      <c r="AQ2" s="84"/>
      <c r="AR2" s="84"/>
      <c r="AS2" s="84"/>
      <c r="AT2" s="201" t="s">
        <v>297</v>
      </c>
      <c r="AW2" s="203" t="s">
        <v>299</v>
      </c>
      <c r="BB2" s="83" t="s">
        <v>300</v>
      </c>
      <c r="BC2" s="83"/>
      <c r="BD2" s="201"/>
      <c r="BE2" s="83" t="s">
        <v>300</v>
      </c>
      <c r="BF2" s="84"/>
      <c r="BG2" s="84"/>
      <c r="BH2" s="84"/>
      <c r="BI2" s="84"/>
      <c r="BJ2" s="201" t="s">
        <v>297</v>
      </c>
      <c r="BN2" s="203" t="s">
        <v>299</v>
      </c>
      <c r="BS2" s="205"/>
      <c r="BT2" s="83" t="s">
        <v>300</v>
      </c>
      <c r="BU2" s="83"/>
      <c r="BV2" s="201"/>
      <c r="BW2" s="83" t="s">
        <v>300</v>
      </c>
      <c r="BX2" s="202" t="s">
        <v>298</v>
      </c>
      <c r="BY2" s="205"/>
      <c r="BZ2" s="205"/>
      <c r="CA2" s="205"/>
      <c r="CB2" s="205"/>
      <c r="CC2" s="205"/>
      <c r="CD2" s="205"/>
      <c r="CE2" s="206" t="s">
        <v>24</v>
      </c>
      <c r="CF2" s="207">
        <v>-0.72106</v>
      </c>
      <c r="CG2" s="207">
        <v>-0.55562</v>
      </c>
      <c r="CH2" s="207">
        <v>-0.27038</v>
      </c>
      <c r="CI2" s="207">
        <v>-0.63511</v>
      </c>
      <c r="CJ2" s="208"/>
      <c r="CK2" s="208"/>
      <c r="CL2" s="208"/>
      <c r="CM2" s="208"/>
      <c r="CN2" s="208"/>
    </row>
    <row r="3">
      <c r="A3" s="169"/>
      <c r="B3" s="202" t="s">
        <v>302</v>
      </c>
      <c r="C3" s="202" t="s">
        <v>303</v>
      </c>
      <c r="D3" s="205" t="s">
        <v>304</v>
      </c>
      <c r="E3" s="209" t="s">
        <v>305</v>
      </c>
      <c r="F3" s="209" t="s">
        <v>306</v>
      </c>
      <c r="G3" s="209" t="s">
        <v>307</v>
      </c>
      <c r="H3" s="210" t="s">
        <v>308</v>
      </c>
      <c r="I3" s="211" t="s">
        <v>309</v>
      </c>
      <c r="J3" s="83" t="s">
        <v>310</v>
      </c>
      <c r="K3" s="83" t="s">
        <v>310</v>
      </c>
      <c r="L3" s="204" t="s">
        <v>311</v>
      </c>
      <c r="M3" s="212" t="s">
        <v>312</v>
      </c>
      <c r="N3" s="202" t="s">
        <v>313</v>
      </c>
      <c r="O3" s="84"/>
      <c r="P3" s="202" t="s">
        <v>302</v>
      </c>
      <c r="Q3" s="202" t="s">
        <v>303</v>
      </c>
      <c r="R3" s="205" t="s">
        <v>304</v>
      </c>
      <c r="S3" s="83" t="s">
        <v>310</v>
      </c>
      <c r="T3" s="83" t="s">
        <v>310</v>
      </c>
      <c r="U3" s="83" t="s">
        <v>311</v>
      </c>
      <c r="V3" s="213" t="s">
        <v>312</v>
      </c>
      <c r="W3" s="214" t="s">
        <v>313</v>
      </c>
      <c r="X3" s="215"/>
      <c r="Y3" s="209" t="s">
        <v>305</v>
      </c>
      <c r="Z3" s="202" t="s">
        <v>313</v>
      </c>
      <c r="AA3" s="209" t="s">
        <v>306</v>
      </c>
      <c r="AB3" s="211" t="s">
        <v>309</v>
      </c>
      <c r="AC3" s="83" t="s">
        <v>314</v>
      </c>
      <c r="AD3" s="202"/>
      <c r="AE3" s="202" t="s">
        <v>302</v>
      </c>
      <c r="AF3" s="202" t="s">
        <v>303</v>
      </c>
      <c r="AG3" s="205" t="s">
        <v>304</v>
      </c>
      <c r="AH3" s="204" t="s">
        <v>310</v>
      </c>
      <c r="AI3" s="83" t="s">
        <v>310</v>
      </c>
      <c r="AJ3" s="83" t="s">
        <v>311</v>
      </c>
      <c r="AK3" s="212" t="s">
        <v>312</v>
      </c>
      <c r="AL3" s="202" t="s">
        <v>313</v>
      </c>
      <c r="AM3" s="84"/>
      <c r="AN3" s="209" t="s">
        <v>305</v>
      </c>
      <c r="AO3" s="202" t="s">
        <v>313</v>
      </c>
      <c r="AP3" s="209" t="s">
        <v>306</v>
      </c>
      <c r="AQ3" s="211" t="s">
        <v>309</v>
      </c>
      <c r="AR3" s="83" t="s">
        <v>314</v>
      </c>
      <c r="AS3" s="84"/>
      <c r="AT3" s="202" t="s">
        <v>302</v>
      </c>
      <c r="AU3" s="202" t="s">
        <v>303</v>
      </c>
      <c r="AV3" s="205" t="s">
        <v>304</v>
      </c>
      <c r="AW3" s="204" t="s">
        <v>310</v>
      </c>
      <c r="AX3" s="204" t="s">
        <v>310</v>
      </c>
      <c r="AY3" s="83"/>
      <c r="AZ3" s="83" t="s">
        <v>311</v>
      </c>
      <c r="BA3" s="213" t="s">
        <v>312</v>
      </c>
      <c r="BB3" s="202" t="s">
        <v>313</v>
      </c>
      <c r="BC3" s="202"/>
      <c r="BD3" s="209" t="s">
        <v>305</v>
      </c>
      <c r="BE3" s="202" t="s">
        <v>313</v>
      </c>
      <c r="BF3" s="211" t="s">
        <v>309</v>
      </c>
      <c r="BG3" s="83" t="s">
        <v>314</v>
      </c>
      <c r="BH3" s="84"/>
      <c r="BI3" s="84"/>
      <c r="BJ3" s="202" t="s">
        <v>302</v>
      </c>
      <c r="BK3" s="202" t="s">
        <v>303</v>
      </c>
      <c r="BL3" s="216" t="s">
        <v>315</v>
      </c>
      <c r="BM3" s="205" t="s">
        <v>304</v>
      </c>
      <c r="BN3" s="83" t="s">
        <v>310</v>
      </c>
      <c r="BO3" s="83" t="s">
        <v>310</v>
      </c>
      <c r="BP3" s="83"/>
      <c r="BQ3" s="83" t="s">
        <v>311</v>
      </c>
      <c r="BR3" s="213" t="s">
        <v>312</v>
      </c>
      <c r="BS3" s="205" t="s">
        <v>316</v>
      </c>
      <c r="BT3" s="202" t="s">
        <v>313</v>
      </c>
      <c r="BU3" s="202"/>
      <c r="BV3" s="209" t="s">
        <v>305</v>
      </c>
      <c r="BW3" s="202" t="s">
        <v>313</v>
      </c>
      <c r="BX3" s="209" t="s">
        <v>306</v>
      </c>
      <c r="BY3" s="211" t="s">
        <v>309</v>
      </c>
      <c r="BZ3" s="83" t="s">
        <v>314</v>
      </c>
      <c r="CA3" s="205"/>
      <c r="CB3" s="205"/>
      <c r="CC3" s="205"/>
      <c r="CD3" s="205"/>
      <c r="CE3" s="206" t="s">
        <v>317</v>
      </c>
      <c r="CF3" s="217">
        <v>-0.2884</v>
      </c>
      <c r="CG3" s="217">
        <v>-0.16526</v>
      </c>
      <c r="CH3" s="217">
        <v>0.022587</v>
      </c>
      <c r="CI3" s="217">
        <v>-0.20427</v>
      </c>
      <c r="CJ3" s="205"/>
      <c r="CK3" s="205"/>
      <c r="CL3" s="205"/>
      <c r="CM3" s="205"/>
      <c r="CN3" s="205"/>
    </row>
    <row r="4">
      <c r="A4" s="169"/>
      <c r="B4" s="83" t="s">
        <v>318</v>
      </c>
      <c r="C4" s="83" t="s">
        <v>319</v>
      </c>
      <c r="D4" s="61" t="s">
        <v>320</v>
      </c>
      <c r="E4" s="218" t="s">
        <v>321</v>
      </c>
      <c r="F4" s="83" t="s">
        <v>322</v>
      </c>
      <c r="G4" s="83" t="s">
        <v>323</v>
      </c>
      <c r="H4" s="83" t="s">
        <v>324</v>
      </c>
      <c r="I4" s="61" t="s">
        <v>325</v>
      </c>
      <c r="J4" s="219" t="s">
        <v>326</v>
      </c>
      <c r="K4" s="219" t="s">
        <v>327</v>
      </c>
      <c r="L4" s="220" t="s">
        <v>328</v>
      </c>
      <c r="M4" s="221" t="s">
        <v>329</v>
      </c>
      <c r="N4" s="83" t="s">
        <v>330</v>
      </c>
      <c r="O4" s="84"/>
      <c r="P4" s="83" t="s">
        <v>331</v>
      </c>
      <c r="Q4" s="83" t="s">
        <v>332</v>
      </c>
      <c r="R4" s="83" t="s">
        <v>333</v>
      </c>
      <c r="S4" s="219" t="s">
        <v>326</v>
      </c>
      <c r="T4" s="219" t="s">
        <v>327</v>
      </c>
      <c r="U4" s="220" t="s">
        <v>328</v>
      </c>
      <c r="V4" s="221" t="s">
        <v>334</v>
      </c>
      <c r="W4" s="204" t="s">
        <v>330</v>
      </c>
      <c r="X4" s="83"/>
      <c r="Y4" s="211" t="s">
        <v>335</v>
      </c>
      <c r="Z4" s="83" t="s">
        <v>330</v>
      </c>
      <c r="AA4" s="83" t="s">
        <v>322</v>
      </c>
      <c r="AB4" s="61" t="s">
        <v>325</v>
      </c>
      <c r="AC4" s="61" t="s">
        <v>324</v>
      </c>
      <c r="AD4" s="83"/>
      <c r="AE4" s="83" t="s">
        <v>336</v>
      </c>
      <c r="AF4" s="83" t="s">
        <v>336</v>
      </c>
      <c r="AG4" s="83" t="s">
        <v>337</v>
      </c>
      <c r="AH4" s="219" t="s">
        <v>326</v>
      </c>
      <c r="AI4" s="219" t="s">
        <v>327</v>
      </c>
      <c r="AJ4" s="220" t="s">
        <v>338</v>
      </c>
      <c r="AK4" s="221" t="s">
        <v>339</v>
      </c>
      <c r="AL4" s="83" t="s">
        <v>330</v>
      </c>
      <c r="AM4" s="84"/>
      <c r="AN4" s="211" t="s">
        <v>340</v>
      </c>
      <c r="AO4" s="83" t="s">
        <v>330</v>
      </c>
      <c r="AP4" s="83" t="s">
        <v>322</v>
      </c>
      <c r="AQ4" s="61" t="s">
        <v>325</v>
      </c>
      <c r="AR4" s="61" t="s">
        <v>324</v>
      </c>
      <c r="AS4" s="84"/>
      <c r="AT4" s="83" t="s">
        <v>341</v>
      </c>
      <c r="AU4" s="83" t="s">
        <v>332</v>
      </c>
      <c r="AV4" s="83" t="s">
        <v>342</v>
      </c>
      <c r="AW4" s="222" t="s">
        <v>326</v>
      </c>
      <c r="AX4" s="222" t="s">
        <v>327</v>
      </c>
      <c r="AY4" s="61" t="s">
        <v>343</v>
      </c>
      <c r="AZ4" s="220" t="s">
        <v>344</v>
      </c>
      <c r="BA4" s="221" t="s">
        <v>345</v>
      </c>
      <c r="BB4" s="83" t="s">
        <v>330</v>
      </c>
      <c r="BC4" s="83"/>
      <c r="BD4" s="211" t="s">
        <v>346</v>
      </c>
      <c r="BE4" s="83" t="s">
        <v>330</v>
      </c>
      <c r="BF4" s="61" t="s">
        <v>325</v>
      </c>
      <c r="BG4" s="61" t="s">
        <v>324</v>
      </c>
      <c r="BH4" s="84"/>
      <c r="BI4" s="84"/>
      <c r="BJ4" s="202" t="s">
        <v>347</v>
      </c>
      <c r="BK4" s="202" t="s">
        <v>348</v>
      </c>
      <c r="BL4" s="216" t="s">
        <v>349</v>
      </c>
      <c r="BM4" s="205" t="s">
        <v>350</v>
      </c>
      <c r="BN4" s="219" t="s">
        <v>326</v>
      </c>
      <c r="BO4" s="219" t="s">
        <v>327</v>
      </c>
      <c r="BP4" s="61" t="s">
        <v>351</v>
      </c>
      <c r="BQ4" s="220" t="s">
        <v>352</v>
      </c>
      <c r="BR4" s="223" t="s">
        <v>353</v>
      </c>
      <c r="BS4" s="223" t="s">
        <v>354</v>
      </c>
      <c r="BT4" s="83" t="s">
        <v>330</v>
      </c>
      <c r="BU4" s="83"/>
      <c r="BV4" s="213" t="s">
        <v>355</v>
      </c>
      <c r="BW4" s="83" t="s">
        <v>330</v>
      </c>
      <c r="BX4" s="83" t="s">
        <v>322</v>
      </c>
      <c r="BY4" s="61" t="s">
        <v>325</v>
      </c>
      <c r="BZ4" s="61" t="s">
        <v>324</v>
      </c>
      <c r="CA4" s="61"/>
      <c r="CB4" s="61"/>
      <c r="CC4" s="61"/>
      <c r="CD4" s="61"/>
      <c r="CE4" s="198" t="s">
        <v>356</v>
      </c>
      <c r="CF4" s="224">
        <v>-0.456028563</v>
      </c>
      <c r="CG4" s="224">
        <v>-0.28873597</v>
      </c>
      <c r="CH4" s="224">
        <v>-0.160923078</v>
      </c>
      <c r="CI4" s="224">
        <v>-0.22411403</v>
      </c>
      <c r="CJ4" s="61"/>
      <c r="CK4" s="61"/>
      <c r="CL4" s="61"/>
      <c r="CM4" s="61"/>
      <c r="CN4" s="61"/>
    </row>
    <row r="5">
      <c r="A5" s="225" t="s">
        <v>357</v>
      </c>
      <c r="B5" s="226">
        <f t="shared" ref="B5:N5" si="1">AVERAGE(B7:B26)</f>
        <v>3.398</v>
      </c>
      <c r="C5" s="226">
        <f t="shared" si="1"/>
        <v>1.9915</v>
      </c>
      <c r="D5" s="226">
        <f t="shared" si="1"/>
        <v>2.7805</v>
      </c>
      <c r="E5" s="226">
        <f t="shared" si="1"/>
        <v>4.428</v>
      </c>
      <c r="F5" s="227">
        <f t="shared" si="1"/>
        <v>3.961</v>
      </c>
      <c r="G5" s="227">
        <f t="shared" si="1"/>
        <v>3.271111111</v>
      </c>
      <c r="H5" s="227">
        <f t="shared" si="1"/>
        <v>4.0455</v>
      </c>
      <c r="I5" s="227">
        <f t="shared" si="1"/>
        <v>3.589</v>
      </c>
      <c r="J5" s="226">
        <f t="shared" si="1"/>
        <v>4.753</v>
      </c>
      <c r="K5" s="226">
        <f t="shared" si="1"/>
        <v>4.794</v>
      </c>
      <c r="L5" s="228">
        <f t="shared" si="1"/>
        <v>5.1425</v>
      </c>
      <c r="M5" s="228">
        <f t="shared" si="1"/>
        <v>5.148</v>
      </c>
      <c r="N5" s="226">
        <f t="shared" si="1"/>
        <v>2.212</v>
      </c>
      <c r="P5" s="226">
        <f t="shared" ref="P5:W5" si="2">AVERAGE(P7:P26)</f>
        <v>-8.158</v>
      </c>
      <c r="Q5" s="226">
        <f t="shared" si="2"/>
        <v>-10.9185</v>
      </c>
      <c r="R5" s="226">
        <f t="shared" si="2"/>
        <v>-8.707</v>
      </c>
      <c r="S5" s="226">
        <f t="shared" si="2"/>
        <v>-8.829</v>
      </c>
      <c r="T5" s="226">
        <f t="shared" si="2"/>
        <v>-9.1645</v>
      </c>
      <c r="U5" s="226">
        <f t="shared" si="2"/>
        <v>-8.655</v>
      </c>
      <c r="V5" s="226">
        <f t="shared" si="2"/>
        <v>-8.7705</v>
      </c>
      <c r="W5" s="228">
        <f t="shared" si="2"/>
        <v>-6.315</v>
      </c>
      <c r="X5" s="226"/>
      <c r="Y5" s="226">
        <f t="shared" ref="Y5:AC5" si="3">AVERAGE(Y7:Y26)</f>
        <v>-15.732</v>
      </c>
      <c r="Z5" s="228">
        <f t="shared" si="3"/>
        <v>-10.197</v>
      </c>
      <c r="AA5" s="226">
        <f t="shared" si="3"/>
        <v>-14.672</v>
      </c>
      <c r="AB5" s="226">
        <f t="shared" si="3"/>
        <v>-12.72</v>
      </c>
      <c r="AC5" s="226">
        <f t="shared" si="3"/>
        <v>-10.339</v>
      </c>
      <c r="AD5" s="226"/>
      <c r="AE5" s="226">
        <f t="shared" ref="AE5:AL5" si="4">AVERAGE(AE7:AE26)</f>
        <v>4.8415</v>
      </c>
      <c r="AF5" s="226">
        <f t="shared" si="4"/>
        <v>4.8415</v>
      </c>
      <c r="AG5" s="226">
        <f t="shared" si="4"/>
        <v>9.382</v>
      </c>
      <c r="AH5" s="228">
        <f t="shared" si="4"/>
        <v>13.462</v>
      </c>
      <c r="AI5" s="226">
        <f t="shared" si="4"/>
        <v>9.2985</v>
      </c>
      <c r="AJ5" s="226">
        <f t="shared" si="4"/>
        <v>12.4525</v>
      </c>
      <c r="AK5" s="228">
        <f t="shared" si="4"/>
        <v>13.307</v>
      </c>
      <c r="AL5" s="226">
        <f t="shared" si="4"/>
        <v>11.1705</v>
      </c>
      <c r="AN5" s="226">
        <f t="shared" ref="AN5:AR5" si="5">AVERAGE(AN7:AN26)</f>
        <v>-9.6785</v>
      </c>
      <c r="AO5" s="226">
        <f t="shared" si="5"/>
        <v>-2.638</v>
      </c>
      <c r="AP5" s="226">
        <f t="shared" si="5"/>
        <v>-4.056</v>
      </c>
      <c r="AQ5" s="226">
        <f t="shared" si="5"/>
        <v>-4.157</v>
      </c>
      <c r="AR5" s="228">
        <f t="shared" si="5"/>
        <v>4.276</v>
      </c>
      <c r="AT5" s="226">
        <f t="shared" ref="AT5:BB5" si="6">AVERAGE(AT7:AT26)</f>
        <v>5.3195</v>
      </c>
      <c r="AU5" s="226">
        <f t="shared" si="6"/>
        <v>4.796</v>
      </c>
      <c r="AV5" s="226">
        <f t="shared" si="6"/>
        <v>6.309</v>
      </c>
      <c r="AW5" s="229">
        <f t="shared" si="6"/>
        <v>7.104</v>
      </c>
      <c r="AX5" s="229">
        <f t="shared" si="6"/>
        <v>7.126</v>
      </c>
      <c r="AY5" s="226">
        <f t="shared" si="6"/>
        <v>4.5005</v>
      </c>
      <c r="AZ5" s="228">
        <f t="shared" si="6"/>
        <v>6.8285</v>
      </c>
      <c r="BA5" s="226">
        <f t="shared" si="6"/>
        <v>6.0595</v>
      </c>
      <c r="BB5" s="226">
        <f t="shared" si="6"/>
        <v>4.9205</v>
      </c>
      <c r="BC5" s="226"/>
      <c r="BD5" s="226">
        <f t="shared" ref="BD5:BH5" si="7">AVERAGE(BD7:BD26)</f>
        <v>12.331</v>
      </c>
      <c r="BE5" s="226">
        <f t="shared" si="7"/>
        <v>11.9455</v>
      </c>
      <c r="BF5" s="226">
        <f t="shared" si="7"/>
        <v>11.9335</v>
      </c>
      <c r="BG5" s="226">
        <f t="shared" si="7"/>
        <v>9.6705</v>
      </c>
      <c r="BH5" s="226">
        <f t="shared" si="7"/>
        <v>11.4995</v>
      </c>
      <c r="BJ5" s="226">
        <f t="shared" ref="BJ5:BT5" si="8">AVERAGE(BJ7:BJ26)</f>
        <v>11.582</v>
      </c>
      <c r="BK5" s="226">
        <f t="shared" si="8"/>
        <v>13.931</v>
      </c>
      <c r="BL5" s="229">
        <f t="shared" si="8"/>
        <v>19.261</v>
      </c>
      <c r="BM5" s="226">
        <f t="shared" si="8"/>
        <v>17.1135</v>
      </c>
      <c r="BN5" s="226">
        <f t="shared" si="8"/>
        <v>12.7565</v>
      </c>
      <c r="BO5" s="226">
        <f t="shared" si="8"/>
        <v>11.1805</v>
      </c>
      <c r="BP5" s="226">
        <f t="shared" si="8"/>
        <v>6.218</v>
      </c>
      <c r="BQ5" s="226">
        <f t="shared" si="8"/>
        <v>10.122</v>
      </c>
      <c r="BR5" s="226">
        <f t="shared" si="8"/>
        <v>9.324</v>
      </c>
      <c r="BS5" s="226">
        <f t="shared" si="8"/>
        <v>10.772</v>
      </c>
      <c r="BT5" s="228">
        <f t="shared" si="8"/>
        <v>15.445</v>
      </c>
      <c r="BU5" s="226"/>
      <c r="BV5" s="226">
        <f t="shared" ref="BV5:BW5" si="9">AVERAGE(BV7:BV26)</f>
        <v>17.4875</v>
      </c>
      <c r="BW5" s="228">
        <f t="shared" si="9"/>
        <v>8.906</v>
      </c>
      <c r="BX5" s="228"/>
      <c r="BY5" s="226">
        <f t="shared" ref="BY5:CA5" si="10">AVERAGE(BY7:BY26)</f>
        <v>8.0635</v>
      </c>
      <c r="BZ5" s="226">
        <f t="shared" si="10"/>
        <v>8.121</v>
      </c>
      <c r="CA5" s="226">
        <f t="shared" si="10"/>
        <v>5.778823529</v>
      </c>
      <c r="CB5" s="226"/>
      <c r="CC5" s="226"/>
      <c r="CD5" s="226"/>
      <c r="CE5" s="230" t="s">
        <v>358</v>
      </c>
      <c r="CF5" s="231">
        <v>-0.57020319</v>
      </c>
      <c r="CG5" s="231">
        <v>-0.51799341</v>
      </c>
      <c r="CH5" s="231">
        <v>-0.257172646</v>
      </c>
      <c r="CI5" s="231">
        <v>-0.496837681</v>
      </c>
      <c r="CJ5" s="226"/>
      <c r="CK5" s="226"/>
      <c r="CL5" s="226"/>
      <c r="CM5" s="226"/>
      <c r="CN5" s="226"/>
    </row>
    <row r="6">
      <c r="A6" s="225" t="s">
        <v>359</v>
      </c>
      <c r="B6" s="226">
        <f t="shared" ref="B6:N6" si="11">STDEV(B7:B26)</f>
        <v>8.348570379</v>
      </c>
      <c r="C6" s="226">
        <f t="shared" si="11"/>
        <v>3.293637047</v>
      </c>
      <c r="D6" s="226">
        <f t="shared" si="11"/>
        <v>3.286939826</v>
      </c>
      <c r="E6" s="226">
        <f t="shared" si="11"/>
        <v>8.675786389</v>
      </c>
      <c r="F6" s="232">
        <f t="shared" si="11"/>
        <v>7.696992509</v>
      </c>
      <c r="G6" s="232">
        <f t="shared" si="11"/>
        <v>5.907693776</v>
      </c>
      <c r="H6" s="232">
        <f t="shared" si="11"/>
        <v>8.330772047</v>
      </c>
      <c r="I6" s="232">
        <f t="shared" si="11"/>
        <v>7.752735952</v>
      </c>
      <c r="J6" s="226">
        <f t="shared" si="11"/>
        <v>7.431140098</v>
      </c>
      <c r="K6" s="226">
        <f t="shared" si="11"/>
        <v>8.101062568</v>
      </c>
      <c r="L6" s="226">
        <f t="shared" si="11"/>
        <v>7.963398425</v>
      </c>
      <c r="M6" s="226">
        <f t="shared" si="11"/>
        <v>7.984826795</v>
      </c>
      <c r="N6" s="226">
        <f t="shared" si="11"/>
        <v>3.249546689</v>
      </c>
      <c r="P6" s="226">
        <f t="shared" ref="P6:W6" si="12">STDEV(P7:P26)</f>
        <v>5.450201928</v>
      </c>
      <c r="Q6" s="226">
        <f t="shared" si="12"/>
        <v>4.446619384</v>
      </c>
      <c r="R6" s="226">
        <f t="shared" si="12"/>
        <v>4.087328429</v>
      </c>
      <c r="S6" s="226">
        <f t="shared" si="12"/>
        <v>4.551707488</v>
      </c>
      <c r="T6" s="226">
        <f t="shared" si="12"/>
        <v>2.927534395</v>
      </c>
      <c r="U6" s="226">
        <f t="shared" si="12"/>
        <v>4.360286688</v>
      </c>
      <c r="V6" s="226">
        <f t="shared" si="12"/>
        <v>6.629887254</v>
      </c>
      <c r="W6" s="226">
        <f t="shared" si="12"/>
        <v>5.4861294</v>
      </c>
      <c r="X6" s="226"/>
      <c r="Y6" s="226">
        <f t="shared" ref="Y6:AC6" si="13">STDEV(Y7:Y26)</f>
        <v>4.28276792</v>
      </c>
      <c r="Z6" s="226">
        <f t="shared" si="13"/>
        <v>8.449440405</v>
      </c>
      <c r="AA6" s="226">
        <f t="shared" si="13"/>
        <v>5.923020744</v>
      </c>
      <c r="AB6" s="226">
        <f t="shared" si="13"/>
        <v>5.817309923</v>
      </c>
      <c r="AC6" s="226">
        <f t="shared" si="13"/>
        <v>9.303112043</v>
      </c>
      <c r="AD6" s="226"/>
      <c r="AE6" s="226">
        <f t="shared" ref="AE6:AL6" si="14">STDEV(AE7:AE26)</f>
        <v>14.00958554</v>
      </c>
      <c r="AF6" s="226">
        <f t="shared" si="14"/>
        <v>14.00958554</v>
      </c>
      <c r="AG6" s="226">
        <f t="shared" si="14"/>
        <v>11.10474939</v>
      </c>
      <c r="AH6" s="226">
        <f t="shared" si="14"/>
        <v>12.33857605</v>
      </c>
      <c r="AI6" s="226">
        <f t="shared" si="14"/>
        <v>12.37909072</v>
      </c>
      <c r="AJ6" s="226">
        <f t="shared" si="14"/>
        <v>12.89900399</v>
      </c>
      <c r="AK6" s="226">
        <f t="shared" si="14"/>
        <v>18.45972147</v>
      </c>
      <c r="AL6" s="226">
        <f t="shared" si="14"/>
        <v>14.24647268</v>
      </c>
      <c r="AN6" s="226">
        <f t="shared" ref="AN6:AR6" si="15">STDEV(AN7:AN26)</f>
        <v>8.918618181</v>
      </c>
      <c r="AO6" s="226">
        <f t="shared" si="15"/>
        <v>10.84585907</v>
      </c>
      <c r="AP6" s="226">
        <f t="shared" si="15"/>
        <v>11.24808681</v>
      </c>
      <c r="AQ6" s="226">
        <f t="shared" si="15"/>
        <v>11.23053783</v>
      </c>
      <c r="AR6" s="226">
        <f t="shared" si="15"/>
        <v>11.4587399</v>
      </c>
      <c r="AT6" s="226">
        <f t="shared" ref="AT6:BB6" si="16">STDEV(AT7:AT26)</f>
        <v>7.068022485</v>
      </c>
      <c r="AU6" s="226">
        <f t="shared" si="16"/>
        <v>7.217143625</v>
      </c>
      <c r="AV6" s="226">
        <f t="shared" si="16"/>
        <v>5.955498919</v>
      </c>
      <c r="AW6" s="226">
        <f t="shared" si="16"/>
        <v>5.162436593</v>
      </c>
      <c r="AX6" s="226">
        <f t="shared" si="16"/>
        <v>2.929234497</v>
      </c>
      <c r="AY6" s="226">
        <f t="shared" si="16"/>
        <v>5.845869865</v>
      </c>
      <c r="AZ6" s="226">
        <f t="shared" si="16"/>
        <v>3.957236243</v>
      </c>
      <c r="BA6" s="226">
        <f t="shared" si="16"/>
        <v>6.748946487</v>
      </c>
      <c r="BB6" s="226">
        <f t="shared" si="16"/>
        <v>7.310474443</v>
      </c>
      <c r="BC6" s="226"/>
      <c r="BD6" s="226">
        <f t="shared" ref="BD6:BH6" si="17">STDEV(BD7:BD26)</f>
        <v>7.473357521</v>
      </c>
      <c r="BE6" s="226">
        <f t="shared" si="17"/>
        <v>7.650189867</v>
      </c>
      <c r="BF6" s="226">
        <f t="shared" si="17"/>
        <v>8.269325865</v>
      </c>
      <c r="BG6" s="226">
        <f t="shared" si="17"/>
        <v>8.155915177</v>
      </c>
      <c r="BH6" s="226">
        <f t="shared" si="17"/>
        <v>7.739683439</v>
      </c>
      <c r="BJ6" s="226">
        <f t="shared" ref="BJ6:BT6" si="18">STDEV(BJ7:BJ26)</f>
        <v>10.41549483</v>
      </c>
      <c r="BK6" s="226">
        <f t="shared" si="18"/>
        <v>12.96820927</v>
      </c>
      <c r="BL6" s="226">
        <f t="shared" si="18"/>
        <v>14.25319019</v>
      </c>
      <c r="BM6" s="226">
        <f t="shared" si="18"/>
        <v>16.03501572</v>
      </c>
      <c r="BN6" s="226">
        <f t="shared" si="18"/>
        <v>13.62926043</v>
      </c>
      <c r="BO6" s="226">
        <f t="shared" si="18"/>
        <v>10.34896205</v>
      </c>
      <c r="BP6" s="226">
        <f t="shared" si="18"/>
        <v>8.405775333</v>
      </c>
      <c r="BQ6" s="226">
        <f t="shared" si="18"/>
        <v>11.20796925</v>
      </c>
      <c r="BR6" s="226">
        <f t="shared" si="18"/>
        <v>11.43661221</v>
      </c>
      <c r="BS6" s="226">
        <f t="shared" si="18"/>
        <v>10.28812632</v>
      </c>
      <c r="BT6" s="226">
        <f t="shared" si="18"/>
        <v>14.97311679</v>
      </c>
      <c r="BU6" s="226"/>
      <c r="BV6" s="226">
        <f t="shared" ref="BV6:BW6" si="19">STDEV(BV7:BV26)</f>
        <v>14.13301058</v>
      </c>
      <c r="BW6" s="226">
        <f t="shared" si="19"/>
        <v>16.16411177</v>
      </c>
      <c r="BX6" s="226"/>
      <c r="BY6" s="226">
        <f t="shared" ref="BY6:CA6" si="20">STDEV(BY7:BY26)</f>
        <v>17.92534938</v>
      </c>
      <c r="BZ6" s="226">
        <f t="shared" si="20"/>
        <v>15.86651552</v>
      </c>
      <c r="CA6" s="226">
        <f t="shared" si="20"/>
        <v>16.65517483</v>
      </c>
      <c r="CB6" s="226"/>
      <c r="CC6" s="226"/>
      <c r="CD6" s="226"/>
      <c r="CE6" s="230" t="s">
        <v>360</v>
      </c>
      <c r="CF6" s="231">
        <v>-0.221394985</v>
      </c>
      <c r="CG6" s="231">
        <v>-0.24963855</v>
      </c>
      <c r="CH6" s="231">
        <v>-0.127997414</v>
      </c>
      <c r="CI6" s="231">
        <v>-0.208036147</v>
      </c>
      <c r="CJ6" s="226"/>
      <c r="CK6" s="226"/>
      <c r="CL6" s="226"/>
      <c r="CM6" s="226"/>
      <c r="CN6" s="226"/>
    </row>
    <row r="7">
      <c r="A7" s="13"/>
      <c r="B7" s="20">
        <v>4.43</v>
      </c>
      <c r="C7" s="20">
        <v>1.1</v>
      </c>
      <c r="D7" s="233">
        <v>5.52</v>
      </c>
      <c r="E7" s="233">
        <v>33.5</v>
      </c>
      <c r="F7" s="233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34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35" t="s">
        <v>357</v>
      </c>
      <c r="CF7" s="236">
        <f t="shared" ref="CF7:CI7" si="21">AVERAGE(CF2:CF6)</f>
        <v>-0.4514173476</v>
      </c>
      <c r="CG7" s="236">
        <f t="shared" si="21"/>
        <v>-0.355449586</v>
      </c>
      <c r="CH7" s="236">
        <f t="shared" si="21"/>
        <v>-0.1587772276</v>
      </c>
      <c r="CI7" s="236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33">
        <v>4.43</v>
      </c>
      <c r="E8" s="233">
        <v>6.4</v>
      </c>
      <c r="F8" s="233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34">
        <v>16.44</v>
      </c>
      <c r="BJ8" s="237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33">
        <v>4.12</v>
      </c>
      <c r="E9" s="233">
        <v>4.43</v>
      </c>
      <c r="F9" s="233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33">
        <v>4.4</v>
      </c>
      <c r="E10" s="233">
        <v>5.2</v>
      </c>
      <c r="F10" s="233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38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33">
        <v>5.82</v>
      </c>
      <c r="E11" s="233">
        <v>5.57</v>
      </c>
      <c r="F11" s="233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39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33">
        <v>0.0</v>
      </c>
      <c r="E12" s="233">
        <v>4.39</v>
      </c>
      <c r="F12" s="233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0">
        <v>-3.72</v>
      </c>
      <c r="E13" s="233">
        <v>4.77</v>
      </c>
      <c r="F13" s="233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33">
        <v>-2.59</v>
      </c>
      <c r="E14" s="240">
        <v>-2.98</v>
      </c>
      <c r="F14" s="233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33">
        <v>4.63</v>
      </c>
      <c r="E15" s="233">
        <v>5.02</v>
      </c>
      <c r="F15" s="233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33">
        <v>5.38</v>
      </c>
      <c r="E16" s="233">
        <v>5.4</v>
      </c>
      <c r="F16" s="233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39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39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33">
        <v>-2.98</v>
      </c>
      <c r="E17" s="233">
        <v>-0.95</v>
      </c>
      <c r="F17" s="233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33">
        <v>0.47</v>
      </c>
      <c r="E18" s="233">
        <v>5.52</v>
      </c>
      <c r="F18" s="233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33">
        <v>4.48</v>
      </c>
      <c r="E19" s="233">
        <v>16.07</v>
      </c>
      <c r="F19" s="233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33">
        <v>5.57</v>
      </c>
      <c r="E20" s="233">
        <v>4.12</v>
      </c>
      <c r="F20" s="233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33">
        <v>4.56</v>
      </c>
      <c r="E21" s="233">
        <v>4.67</v>
      </c>
      <c r="F21" s="233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39">
        <v>-8.78</v>
      </c>
      <c r="BO21" s="13">
        <v>0.02</v>
      </c>
      <c r="BP21" s="13">
        <v>-2.38</v>
      </c>
      <c r="BQ21" s="13">
        <v>22.55</v>
      </c>
      <c r="BR21" s="238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33">
        <v>1.1</v>
      </c>
      <c r="E22" s="233">
        <v>-1.79</v>
      </c>
      <c r="F22" s="233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33">
        <v>5.45</v>
      </c>
      <c r="E23" s="233">
        <v>-1.63</v>
      </c>
      <c r="F23" s="233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33">
        <v>-1.35</v>
      </c>
      <c r="E24" s="233">
        <v>4.81</v>
      </c>
      <c r="F24" s="233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33">
        <v>4.24</v>
      </c>
      <c r="E25" s="233">
        <v>-10.24</v>
      </c>
      <c r="F25" s="233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33">
        <v>6.08</v>
      </c>
      <c r="E26" s="233">
        <v>-3.72</v>
      </c>
      <c r="F26" s="241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361</v>
      </c>
      <c r="C29" s="66"/>
      <c r="D29" s="66"/>
      <c r="E29" s="66"/>
      <c r="P29" s="13" t="s">
        <v>361</v>
      </c>
      <c r="U29" s="13"/>
      <c r="V29" s="13"/>
      <c r="W29" s="13"/>
      <c r="Z29" s="13"/>
      <c r="AA29" s="13"/>
      <c r="AB29" s="13"/>
      <c r="AC29" s="13"/>
      <c r="AD29" s="13"/>
      <c r="AE29" s="13" t="s">
        <v>361</v>
      </c>
      <c r="AT29" s="13" t="s">
        <v>361</v>
      </c>
      <c r="BJ29" s="13" t="s">
        <v>361</v>
      </c>
    </row>
    <row r="30">
      <c r="A30" s="66"/>
      <c r="B30" s="238">
        <v>342.0</v>
      </c>
      <c r="C30" s="13" t="s">
        <v>362</v>
      </c>
      <c r="D30" s="66"/>
      <c r="E30" s="66"/>
      <c r="F30" s="20" t="s">
        <v>363</v>
      </c>
      <c r="P30" s="20">
        <v>912.0</v>
      </c>
      <c r="AE30" s="20">
        <v>882.0</v>
      </c>
      <c r="AT30" s="20">
        <v>979.0</v>
      </c>
      <c r="AU30" s="20" t="s">
        <v>364</v>
      </c>
      <c r="BJ30" s="45">
        <v>1117.0</v>
      </c>
      <c r="BK30" s="20" t="s">
        <v>365</v>
      </c>
    </row>
    <row r="31">
      <c r="A31" s="66"/>
      <c r="B31" s="242">
        <v>1071.0</v>
      </c>
      <c r="C31" s="13" t="s">
        <v>366</v>
      </c>
      <c r="D31" s="66"/>
      <c r="E31" s="66"/>
      <c r="F31" s="20">
        <v>342.0</v>
      </c>
      <c r="P31" s="20">
        <v>834.0</v>
      </c>
      <c r="Q31" s="20" t="s">
        <v>367</v>
      </c>
      <c r="AE31" s="45">
        <v>899.0</v>
      </c>
      <c r="AF31" s="20" t="s">
        <v>368</v>
      </c>
      <c r="BJ31" s="20">
        <v>1093.0</v>
      </c>
      <c r="BK31" s="20" t="s">
        <v>369</v>
      </c>
    </row>
    <row r="32">
      <c r="A32" s="66"/>
      <c r="D32" s="66"/>
      <c r="E32" s="66"/>
      <c r="F32" s="20">
        <v>35.0</v>
      </c>
      <c r="P32" s="45">
        <v>1134.0</v>
      </c>
      <c r="Q32" s="20" t="s">
        <v>370</v>
      </c>
      <c r="AE32" s="20">
        <v>372.0</v>
      </c>
      <c r="AT32" s="20">
        <v>223.0</v>
      </c>
      <c r="AU32" s="20" t="s">
        <v>371</v>
      </c>
      <c r="BJ32" s="20">
        <v>261.0</v>
      </c>
      <c r="BK32" s="20" t="s">
        <v>369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372</v>
      </c>
      <c r="AE33" s="20">
        <v>544.0</v>
      </c>
      <c r="AF33" s="20" t="s">
        <v>373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192" t="s">
        <v>374</v>
      </c>
    </row>
    <row r="38">
      <c r="A38" s="66"/>
      <c r="C38" s="243" t="s">
        <v>375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376</v>
      </c>
    </row>
    <row r="43">
      <c r="A43" s="66"/>
      <c r="B43" s="66"/>
      <c r="D43" s="66"/>
      <c r="E43" s="66"/>
      <c r="F43" s="66"/>
    </row>
    <row r="44">
      <c r="A44" s="66"/>
      <c r="B44" s="66"/>
      <c r="C44" s="244" t="s">
        <v>377</v>
      </c>
      <c r="D44" s="245"/>
      <c r="E44" s="245"/>
      <c r="F44" s="245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  <c r="AF44" s="246"/>
      <c r="AG44" s="246"/>
      <c r="AH44" s="246"/>
      <c r="AI44" s="246"/>
      <c r="AJ44" s="246"/>
      <c r="AK44" s="246"/>
      <c r="AL44" s="246"/>
      <c r="AM44" s="246"/>
      <c r="AN44" s="246"/>
      <c r="AO44" s="246"/>
      <c r="AP44" s="246"/>
      <c r="AQ44" s="246"/>
      <c r="AR44" s="246"/>
      <c r="AS44" s="246"/>
      <c r="AT44" s="246"/>
      <c r="AU44" s="246"/>
      <c r="AV44" s="246"/>
      <c r="AW44" s="246"/>
      <c r="AX44" s="246"/>
      <c r="AY44" s="246"/>
      <c r="AZ44" s="246"/>
      <c r="BA44" s="246"/>
      <c r="BB44" s="246"/>
      <c r="BC44" s="246"/>
      <c r="BD44" s="246"/>
      <c r="BE44" s="246"/>
      <c r="BF44" s="246"/>
      <c r="BG44" s="246"/>
      <c r="BH44" s="246"/>
      <c r="BI44" s="246"/>
      <c r="BJ44" s="246"/>
      <c r="BK44" s="246"/>
      <c r="BL44" s="246"/>
      <c r="BM44" s="246"/>
      <c r="BN44" s="246"/>
      <c r="BO44" s="246"/>
      <c r="BP44" s="246"/>
      <c r="BQ44" s="246"/>
      <c r="BR44" s="246"/>
      <c r="BS44" s="246"/>
      <c r="BT44" s="246"/>
      <c r="BU44" s="246"/>
      <c r="BV44" s="246"/>
      <c r="BW44" s="246"/>
      <c r="BX44" s="246"/>
      <c r="BY44" s="246"/>
      <c r="BZ44" s="246"/>
      <c r="CA44" s="246"/>
      <c r="CB44" s="246"/>
      <c r="CC44" s="246"/>
      <c r="CD44" s="246"/>
      <c r="CE44" s="246"/>
      <c r="CF44" s="246"/>
      <c r="CG44" s="246"/>
      <c r="CH44" s="246"/>
      <c r="CI44" s="246"/>
      <c r="CJ44" s="246"/>
      <c r="CK44" s="246"/>
      <c r="CL44" s="246"/>
      <c r="CM44" s="246"/>
      <c r="CN44" s="246"/>
    </row>
    <row r="45">
      <c r="A45" s="66"/>
      <c r="B45" s="66"/>
      <c r="C45" s="66"/>
      <c r="D45" s="13" t="s">
        <v>24</v>
      </c>
      <c r="E45" s="13">
        <v>342.0</v>
      </c>
      <c r="F45" s="13"/>
    </row>
    <row r="46">
      <c r="A46" s="66"/>
      <c r="B46" s="66"/>
      <c r="C46" s="66"/>
      <c r="D46" s="13" t="s">
        <v>317</v>
      </c>
      <c r="E46" s="66"/>
      <c r="F46" s="66"/>
    </row>
    <row r="47">
      <c r="A47" s="66"/>
      <c r="B47" s="66"/>
      <c r="C47" s="66"/>
      <c r="D47" s="13" t="s">
        <v>356</v>
      </c>
      <c r="E47" s="66"/>
      <c r="F47" s="66"/>
    </row>
    <row r="48">
      <c r="A48" s="66"/>
      <c r="B48" s="66"/>
      <c r="C48" s="66"/>
      <c r="D48" s="13" t="s">
        <v>358</v>
      </c>
      <c r="E48" s="66"/>
      <c r="F48" s="66"/>
    </row>
    <row r="49">
      <c r="A49" s="66"/>
      <c r="B49" s="66"/>
      <c r="C49" s="66"/>
      <c r="D49" s="13" t="s">
        <v>360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378</v>
      </c>
    </row>
    <row r="3">
      <c r="C3" s="19" t="s">
        <v>18</v>
      </c>
      <c r="D3" s="20">
        <v>800.0</v>
      </c>
      <c r="G3" s="20" t="s">
        <v>379</v>
      </c>
      <c r="K3" s="247"/>
    </row>
    <row r="4">
      <c r="C4" s="16" t="s">
        <v>19</v>
      </c>
      <c r="G4" s="20" t="s">
        <v>380</v>
      </c>
      <c r="K4" s="247"/>
    </row>
    <row r="5">
      <c r="C5" s="16" t="s">
        <v>20</v>
      </c>
      <c r="G5" s="20" t="s">
        <v>381</v>
      </c>
      <c r="K5" s="247"/>
    </row>
    <row r="6">
      <c r="C6" s="16" t="s">
        <v>21</v>
      </c>
      <c r="G6" s="20" t="s">
        <v>382</v>
      </c>
    </row>
    <row r="7">
      <c r="G7" s="20" t="s">
        <v>383</v>
      </c>
    </row>
    <row r="12">
      <c r="D12" s="248" t="s">
        <v>384</v>
      </c>
      <c r="F12" s="21"/>
    </row>
    <row r="13">
      <c r="C13" s="30" t="s">
        <v>385</v>
      </c>
      <c r="D13" s="30" t="s">
        <v>386</v>
      </c>
      <c r="F13" s="21"/>
    </row>
    <row r="14">
      <c r="C14" s="20" t="s">
        <v>387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49">
        <v>771.0</v>
      </c>
      <c r="K14" s="40">
        <v>375.0</v>
      </c>
      <c r="L14" s="51">
        <v>342.0</v>
      </c>
      <c r="M14" s="250">
        <v>1071.0</v>
      </c>
    </row>
    <row r="15">
      <c r="C15" s="20" t="s">
        <v>388</v>
      </c>
      <c r="D15" s="251">
        <v>800.0</v>
      </c>
      <c r="F15" s="51">
        <v>1134.0</v>
      </c>
      <c r="G15" s="21">
        <v>808.0</v>
      </c>
    </row>
    <row r="16">
      <c r="C16" s="20" t="s">
        <v>388</v>
      </c>
      <c r="D16" s="20">
        <v>766.0</v>
      </c>
      <c r="E16" s="21">
        <v>563.0</v>
      </c>
      <c r="F16" s="40">
        <v>899.0</v>
      </c>
    </row>
    <row r="17">
      <c r="C17" s="20" t="s">
        <v>387</v>
      </c>
      <c r="D17" s="45">
        <v>184.0</v>
      </c>
      <c r="E17" s="20">
        <v>211.0</v>
      </c>
      <c r="F17" s="252"/>
    </row>
    <row r="18">
      <c r="C18" s="20" t="s">
        <v>387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389</v>
      </c>
      <c r="E19" s="20" t="s">
        <v>390</v>
      </c>
      <c r="F19" s="20" t="s">
        <v>391</v>
      </c>
    </row>
    <row r="20">
      <c r="C20" s="17"/>
      <c r="E20" s="17"/>
      <c r="F20" s="17"/>
    </row>
    <row r="21">
      <c r="F21" s="17"/>
    </row>
    <row r="22">
      <c r="D22" s="20" t="s">
        <v>392</v>
      </c>
      <c r="F22" s="17"/>
    </row>
    <row r="25">
      <c r="D25" s="20" t="s">
        <v>393</v>
      </c>
    </row>
    <row r="26">
      <c r="D26" s="20" t="s">
        <v>24</v>
      </c>
      <c r="E26" s="45">
        <v>375.0</v>
      </c>
      <c r="F26" s="20">
        <v>1070.0</v>
      </c>
      <c r="G26" s="20">
        <v>771.0</v>
      </c>
    </row>
    <row r="27">
      <c r="D27" s="20" t="s">
        <v>317</v>
      </c>
      <c r="E27" s="45">
        <v>1092.0</v>
      </c>
      <c r="F27" s="20">
        <v>808.0</v>
      </c>
    </row>
    <row r="28">
      <c r="D28" s="20" t="s">
        <v>356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358</v>
      </c>
      <c r="E29" s="20">
        <v>187.0</v>
      </c>
      <c r="F29" s="45">
        <v>211.0</v>
      </c>
      <c r="G29" s="20">
        <v>907.0</v>
      </c>
    </row>
    <row r="30">
      <c r="D30" s="20" t="s">
        <v>360</v>
      </c>
      <c r="E30" s="45">
        <v>546.0</v>
      </c>
    </row>
    <row r="34">
      <c r="D34" s="20" t="s">
        <v>394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18</v>
      </c>
      <c r="E36" s="48">
        <v>1083.0</v>
      </c>
      <c r="H36" s="45">
        <v>1140.0</v>
      </c>
      <c r="I36" s="20">
        <v>1092.0</v>
      </c>
    </row>
    <row r="37">
      <c r="D37" s="16" t="s">
        <v>19</v>
      </c>
      <c r="E37" s="48">
        <v>766.0</v>
      </c>
      <c r="G37" s="45">
        <v>563.0</v>
      </c>
      <c r="H37" s="45">
        <v>751.0</v>
      </c>
    </row>
    <row r="38">
      <c r="D38" s="16" t="s">
        <v>20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21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72" t="s">
        <v>395</v>
      </c>
      <c r="N43" s="102" t="s">
        <v>396</v>
      </c>
      <c r="O43" s="102" t="s">
        <v>397</v>
      </c>
      <c r="P43" s="102" t="s">
        <v>398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53"/>
      <c r="P44" s="137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53"/>
      <c r="P45" s="137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33">
        <v>5.0</v>
      </c>
      <c r="J46" s="233">
        <v>6.58</v>
      </c>
      <c r="K46" s="233">
        <v>11.42</v>
      </c>
      <c r="L46" s="233">
        <f t="shared" ref="L46:L50" si="1">AVERAGE(I46:K46)</f>
        <v>7.666666667</v>
      </c>
      <c r="M46" s="254">
        <v>5.0</v>
      </c>
      <c r="N46" s="255" t="s">
        <v>399</v>
      </c>
      <c r="O46" s="256" t="s">
        <v>400</v>
      </c>
      <c r="P46" s="4" t="s">
        <v>401</v>
      </c>
      <c r="Q46" s="257">
        <v>-0.959</v>
      </c>
      <c r="R46" s="258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33">
        <v>7.11</v>
      </c>
      <c r="J47" s="233">
        <v>5.0</v>
      </c>
      <c r="K47" s="233">
        <v>9.74</v>
      </c>
      <c r="L47" s="233">
        <f t="shared" si="1"/>
        <v>7.283333333</v>
      </c>
      <c r="M47" s="254">
        <v>11.0</v>
      </c>
      <c r="N47" s="255" t="s">
        <v>402</v>
      </c>
      <c r="O47" s="256" t="s">
        <v>403</v>
      </c>
      <c r="P47" s="4">
        <v>49.0</v>
      </c>
      <c r="Q47" s="257">
        <v>-0.983461055390758</v>
      </c>
      <c r="R47" s="258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33">
        <v>5.0</v>
      </c>
      <c r="J48" s="233">
        <v>7.11</v>
      </c>
      <c r="K48" s="233">
        <v>8.68</v>
      </c>
      <c r="L48" s="233">
        <f t="shared" si="1"/>
        <v>6.93</v>
      </c>
      <c r="M48" s="254">
        <v>1.0</v>
      </c>
      <c r="N48" s="255" t="s">
        <v>404</v>
      </c>
      <c r="O48" s="256" t="s">
        <v>405</v>
      </c>
      <c r="P48" s="4">
        <v>385.0</v>
      </c>
      <c r="Q48" s="257">
        <v>-1.0062289543877</v>
      </c>
      <c r="R48" s="258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33">
        <v>6.05</v>
      </c>
      <c r="J49" s="233">
        <v>12.89</v>
      </c>
      <c r="K49" s="233">
        <v>8.68</v>
      </c>
      <c r="L49" s="233">
        <f t="shared" si="1"/>
        <v>9.206666667</v>
      </c>
      <c r="M49" s="254">
        <v>2.0</v>
      </c>
      <c r="N49" s="255" t="s">
        <v>406</v>
      </c>
      <c r="O49" s="259"/>
      <c r="P49" s="4">
        <v>211.0</v>
      </c>
      <c r="Q49" s="257">
        <v>-0.920368837543479</v>
      </c>
      <c r="R49" s="258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33">
        <v>5.0</v>
      </c>
      <c r="J50" s="233">
        <v>15.0</v>
      </c>
      <c r="K50" s="233">
        <v>5.0</v>
      </c>
      <c r="L50" s="233">
        <f t="shared" si="1"/>
        <v>8.333333333</v>
      </c>
      <c r="M50" s="254">
        <v>11.0</v>
      </c>
      <c r="N50" s="255" t="s">
        <v>407</v>
      </c>
      <c r="O50" s="256"/>
      <c r="P50" s="4" t="s">
        <v>408</v>
      </c>
      <c r="Q50" s="257">
        <v>-1.0182155187786</v>
      </c>
      <c r="R50" s="258">
        <v>-0.866421412348542</v>
      </c>
      <c r="S50" s="24">
        <f t="shared" si="2"/>
        <v>-0.1490785631</v>
      </c>
    </row>
    <row r="60">
      <c r="D60" s="30" t="s">
        <v>409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410</v>
      </c>
    </row>
    <row r="70">
      <c r="D70" s="20" t="s">
        <v>411</v>
      </c>
    </row>
    <row r="71">
      <c r="D71" s="20" t="s">
        <v>412</v>
      </c>
      <c r="F71" s="17"/>
      <c r="G71" s="17"/>
      <c r="H71" s="17"/>
      <c r="I71" s="17"/>
    </row>
    <row r="72">
      <c r="D72" s="20" t="s">
        <v>413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414</v>
      </c>
    </row>
    <row r="75">
      <c r="D75" s="20" t="s">
        <v>415</v>
      </c>
    </row>
    <row r="76">
      <c r="D76" s="20" t="s">
        <v>416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3" t="s">
        <v>38</v>
      </c>
      <c r="C1" s="195"/>
      <c r="D1" s="195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195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195"/>
      <c r="AJ1" s="103" t="s">
        <v>28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3" t="s">
        <v>29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3" t="s">
        <v>25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2" t="s">
        <v>179</v>
      </c>
      <c r="C2" s="102" t="s">
        <v>31</v>
      </c>
      <c r="D2" s="260" t="s">
        <v>290</v>
      </c>
      <c r="E2" s="102" t="s">
        <v>32</v>
      </c>
      <c r="F2" s="102" t="s">
        <v>417</v>
      </c>
      <c r="G2" s="102" t="s">
        <v>418</v>
      </c>
      <c r="H2" s="102" t="s">
        <v>419</v>
      </c>
      <c r="I2" s="260" t="s">
        <v>387</v>
      </c>
      <c r="J2" s="260" t="s">
        <v>388</v>
      </c>
      <c r="K2" s="102" t="s">
        <v>420</v>
      </c>
      <c r="L2" s="260" t="s">
        <v>421</v>
      </c>
      <c r="M2" s="102" t="s">
        <v>422</v>
      </c>
      <c r="N2" s="102" t="s">
        <v>423</v>
      </c>
      <c r="O2" s="260" t="s">
        <v>424</v>
      </c>
      <c r="P2" s="102" t="s">
        <v>425</v>
      </c>
      <c r="Q2" s="260" t="s">
        <v>426</v>
      </c>
      <c r="R2" s="202"/>
      <c r="S2" s="102" t="s">
        <v>179</v>
      </c>
      <c r="T2" s="102" t="s">
        <v>31</v>
      </c>
      <c r="U2" s="102" t="s">
        <v>290</v>
      </c>
      <c r="V2" s="102" t="s">
        <v>32</v>
      </c>
      <c r="W2" s="260" t="s">
        <v>417</v>
      </c>
      <c r="X2" s="102" t="s">
        <v>418</v>
      </c>
      <c r="Y2" s="102" t="s">
        <v>419</v>
      </c>
      <c r="Z2" s="102" t="s">
        <v>387</v>
      </c>
      <c r="AA2" s="102" t="s">
        <v>388</v>
      </c>
      <c r="AB2" s="102" t="s">
        <v>420</v>
      </c>
      <c r="AC2" s="102" t="s">
        <v>421</v>
      </c>
      <c r="AD2" s="102" t="s">
        <v>422</v>
      </c>
      <c r="AE2" s="260" t="s">
        <v>423</v>
      </c>
      <c r="AF2" s="102" t="s">
        <v>424</v>
      </c>
      <c r="AG2" s="260" t="s">
        <v>425</v>
      </c>
      <c r="AH2" s="102" t="s">
        <v>426</v>
      </c>
      <c r="AI2" s="84"/>
      <c r="AJ2" s="102" t="s">
        <v>179</v>
      </c>
      <c r="AK2" s="102" t="s">
        <v>31</v>
      </c>
      <c r="AL2" s="102" t="s">
        <v>290</v>
      </c>
      <c r="AM2" s="102" t="s">
        <v>32</v>
      </c>
      <c r="AN2" s="102" t="s">
        <v>417</v>
      </c>
      <c r="AO2" s="102" t="s">
        <v>418</v>
      </c>
      <c r="AP2" s="260" t="s">
        <v>419</v>
      </c>
      <c r="AQ2" s="102" t="s">
        <v>387</v>
      </c>
      <c r="AR2" s="260" t="s">
        <v>388</v>
      </c>
      <c r="AS2" s="102" t="s">
        <v>420</v>
      </c>
      <c r="AT2" s="102" t="s">
        <v>421</v>
      </c>
      <c r="AU2" s="102" t="s">
        <v>422</v>
      </c>
      <c r="AV2" s="102" t="s">
        <v>423</v>
      </c>
      <c r="AW2" s="102" t="s">
        <v>424</v>
      </c>
      <c r="AX2" s="260" t="s">
        <v>425</v>
      </c>
      <c r="AY2" s="102" t="s">
        <v>426</v>
      </c>
      <c r="AZ2" s="102"/>
      <c r="BA2" s="260" t="s">
        <v>179</v>
      </c>
      <c r="BB2" s="102" t="s">
        <v>31</v>
      </c>
      <c r="BC2" s="102" t="s">
        <v>290</v>
      </c>
      <c r="BD2" s="102" t="s">
        <v>32</v>
      </c>
      <c r="BE2" s="102" t="s">
        <v>417</v>
      </c>
      <c r="BF2" s="260" t="s">
        <v>418</v>
      </c>
      <c r="BG2" s="260" t="s">
        <v>419</v>
      </c>
      <c r="BH2" s="102" t="s">
        <v>387</v>
      </c>
      <c r="BI2" s="102" t="s">
        <v>388</v>
      </c>
      <c r="BJ2" s="260" t="s">
        <v>420</v>
      </c>
      <c r="BK2" s="260" t="s">
        <v>421</v>
      </c>
      <c r="BL2" s="102" t="s">
        <v>422</v>
      </c>
      <c r="BM2" s="102" t="s">
        <v>423</v>
      </c>
      <c r="BN2" s="260" t="s">
        <v>424</v>
      </c>
      <c r="BO2" s="102" t="s">
        <v>425</v>
      </c>
      <c r="BP2" s="102" t="s">
        <v>426</v>
      </c>
      <c r="BQ2" s="102"/>
      <c r="BR2" s="102" t="s">
        <v>179</v>
      </c>
      <c r="BS2" s="102" t="s">
        <v>31</v>
      </c>
      <c r="BT2" s="102" t="s">
        <v>290</v>
      </c>
      <c r="BU2" s="102" t="s">
        <v>32</v>
      </c>
      <c r="BV2" s="102" t="s">
        <v>417</v>
      </c>
      <c r="BW2" s="102" t="s">
        <v>418</v>
      </c>
      <c r="BX2" s="102" t="s">
        <v>419</v>
      </c>
      <c r="BY2" s="260" t="s">
        <v>387</v>
      </c>
      <c r="BZ2" s="260" t="s">
        <v>388</v>
      </c>
      <c r="CA2" s="102" t="s">
        <v>420</v>
      </c>
      <c r="CB2" s="102" t="s">
        <v>421</v>
      </c>
      <c r="CC2" s="102" t="s">
        <v>422</v>
      </c>
      <c r="CD2" s="102" t="s">
        <v>423</v>
      </c>
      <c r="CE2" s="102" t="s">
        <v>424</v>
      </c>
      <c r="CF2" s="102" t="s">
        <v>425</v>
      </c>
      <c r="CG2" s="102" t="s">
        <v>426</v>
      </c>
      <c r="CH2" s="102"/>
      <c r="CI2" s="102"/>
    </row>
    <row r="3">
      <c r="A3" s="225" t="s">
        <v>427</v>
      </c>
      <c r="B3" s="226">
        <f t="shared" ref="B3:Q3" si="1">AVERAGE(B5:B24)</f>
        <v>7.6005</v>
      </c>
      <c r="C3" s="226">
        <f t="shared" si="1"/>
        <v>10.9185</v>
      </c>
      <c r="D3" s="226">
        <f t="shared" si="1"/>
        <v>17.8895</v>
      </c>
      <c r="E3" s="226">
        <f t="shared" si="1"/>
        <v>15.57</v>
      </c>
      <c r="F3" s="226">
        <f t="shared" si="1"/>
        <v>8.2845</v>
      </c>
      <c r="G3" s="226">
        <f t="shared" si="1"/>
        <v>12.0135</v>
      </c>
      <c r="H3" s="226">
        <f t="shared" si="1"/>
        <v>14.199</v>
      </c>
      <c r="I3" s="226">
        <f t="shared" si="1"/>
        <v>18.777</v>
      </c>
      <c r="J3" s="226">
        <f t="shared" si="1"/>
        <v>18.638</v>
      </c>
      <c r="K3" s="226">
        <f t="shared" si="1"/>
        <v>14.9455</v>
      </c>
      <c r="L3" s="226">
        <f t="shared" si="1"/>
        <v>20.682</v>
      </c>
      <c r="M3" s="226">
        <f t="shared" si="1"/>
        <v>12.575</v>
      </c>
      <c r="N3" s="226">
        <f t="shared" si="1"/>
        <v>15.05</v>
      </c>
      <c r="O3" s="226">
        <f t="shared" si="1"/>
        <v>19.708</v>
      </c>
      <c r="P3" s="226">
        <f t="shared" si="1"/>
        <v>9.821</v>
      </c>
      <c r="Q3" s="226">
        <f t="shared" si="1"/>
        <v>17.916</v>
      </c>
      <c r="R3" s="226"/>
      <c r="S3" s="226">
        <f t="shared" ref="S3:AH3" si="2">AVERAGE(S5:S24)</f>
        <v>-6.686</v>
      </c>
      <c r="T3" s="226">
        <f t="shared" si="2"/>
        <v>-11.556</v>
      </c>
      <c r="U3" s="226">
        <f t="shared" si="2"/>
        <v>-7.3065</v>
      </c>
      <c r="V3" s="226">
        <f t="shared" si="2"/>
        <v>-5.383</v>
      </c>
      <c r="W3" s="226">
        <f t="shared" si="2"/>
        <v>0.223</v>
      </c>
      <c r="X3" s="226">
        <f t="shared" si="2"/>
        <v>-3.991</v>
      </c>
      <c r="Y3" s="226">
        <f t="shared" si="2"/>
        <v>-4.078</v>
      </c>
      <c r="Z3" s="226">
        <f t="shared" si="2"/>
        <v>-8.5645</v>
      </c>
      <c r="AA3" s="226">
        <f t="shared" si="2"/>
        <v>-4.9165</v>
      </c>
      <c r="AB3" s="226">
        <f t="shared" si="2"/>
        <v>-3.9645</v>
      </c>
      <c r="AC3" s="226">
        <f t="shared" si="2"/>
        <v>-4.0285</v>
      </c>
      <c r="AD3" s="226">
        <f t="shared" si="2"/>
        <v>-4.825</v>
      </c>
      <c r="AE3" s="226">
        <f t="shared" si="2"/>
        <v>1.039</v>
      </c>
      <c r="AF3" s="226">
        <f t="shared" si="2"/>
        <v>-8.99</v>
      </c>
      <c r="AG3" s="226">
        <f t="shared" si="2"/>
        <v>1.5255</v>
      </c>
      <c r="AH3" s="226">
        <f t="shared" si="2"/>
        <v>-7.5305</v>
      </c>
      <c r="AJ3" s="226">
        <f t="shared" ref="AJ3:AY3" si="3">AVERAGE(AJ5:AJ24)</f>
        <v>-17.0175</v>
      </c>
      <c r="AK3" s="226">
        <f t="shared" si="3"/>
        <v>-9.2555</v>
      </c>
      <c r="AL3" s="226">
        <f t="shared" si="3"/>
        <v>-3.371</v>
      </c>
      <c r="AM3" s="226">
        <f t="shared" si="3"/>
        <v>-3.434</v>
      </c>
      <c r="AN3" s="226">
        <f t="shared" si="3"/>
        <v>-1.7255</v>
      </c>
      <c r="AO3" s="226">
        <f t="shared" si="3"/>
        <v>1.475</v>
      </c>
      <c r="AP3" s="226">
        <f t="shared" si="3"/>
        <v>7.411</v>
      </c>
      <c r="AQ3" s="226">
        <f t="shared" si="3"/>
        <v>-20.6155</v>
      </c>
      <c r="AR3" s="226">
        <f t="shared" si="3"/>
        <v>7.5315</v>
      </c>
      <c r="AS3" s="226">
        <f t="shared" si="3"/>
        <v>-4.279</v>
      </c>
      <c r="AT3" s="226">
        <f t="shared" si="3"/>
        <v>-21.1405</v>
      </c>
      <c r="AU3" s="226">
        <f t="shared" si="3"/>
        <v>-6.4655</v>
      </c>
      <c r="AV3" s="226">
        <f t="shared" si="3"/>
        <v>-1.406</v>
      </c>
      <c r="AW3" s="226">
        <f t="shared" si="3"/>
        <v>-26.958</v>
      </c>
      <c r="AX3" s="226">
        <f t="shared" si="3"/>
        <v>6.5565</v>
      </c>
      <c r="AY3" s="226">
        <f t="shared" si="3"/>
        <v>-0.874</v>
      </c>
      <c r="AZ3" s="226"/>
      <c r="BA3" s="226">
        <f t="shared" ref="BA3:BP3" si="4">AVERAGE(BA5:BA24)</f>
        <v>-14.935</v>
      </c>
      <c r="BB3" s="226">
        <f t="shared" si="4"/>
        <v>-19.5555</v>
      </c>
      <c r="BC3" s="226">
        <f t="shared" si="4"/>
        <v>-17.8795</v>
      </c>
      <c r="BD3" s="226">
        <f t="shared" si="4"/>
        <v>-19.584</v>
      </c>
      <c r="BE3" s="226">
        <f t="shared" si="4"/>
        <v>-19.266</v>
      </c>
      <c r="BF3" s="226">
        <f t="shared" si="4"/>
        <v>-14.4365</v>
      </c>
      <c r="BG3" s="226">
        <f t="shared" si="4"/>
        <v>-15.8495</v>
      </c>
      <c r="BH3" s="226">
        <f t="shared" si="4"/>
        <v>-16.996</v>
      </c>
      <c r="BI3" s="226">
        <f t="shared" si="4"/>
        <v>-21.489</v>
      </c>
      <c r="BJ3" s="226">
        <f t="shared" si="4"/>
        <v>-14.2945</v>
      </c>
      <c r="BK3" s="226">
        <f t="shared" si="4"/>
        <v>-13.973</v>
      </c>
      <c r="BL3" s="226">
        <f t="shared" si="4"/>
        <v>-21.2015</v>
      </c>
      <c r="BM3" s="226">
        <f t="shared" si="4"/>
        <v>-24.153</v>
      </c>
      <c r="BN3" s="226">
        <f t="shared" si="4"/>
        <v>-9.3005</v>
      </c>
      <c r="BO3" s="226">
        <f t="shared" si="4"/>
        <v>-29.364</v>
      </c>
      <c r="BP3" s="226">
        <f t="shared" si="4"/>
        <v>-21.378</v>
      </c>
      <c r="BQ3" s="226"/>
      <c r="BR3" s="226">
        <f t="shared" ref="BR3:CG3" si="5">AVERAGE(BR5:BR24)</f>
        <v>-4.778</v>
      </c>
      <c r="BS3" s="226">
        <f t="shared" si="5"/>
        <v>-1.8045</v>
      </c>
      <c r="BT3" s="226">
        <f t="shared" si="5"/>
        <v>-3.1355</v>
      </c>
      <c r="BU3" s="226">
        <f t="shared" si="5"/>
        <v>-0.532</v>
      </c>
      <c r="BV3" s="226">
        <f t="shared" si="5"/>
        <v>0.5815</v>
      </c>
      <c r="BW3" s="226">
        <f t="shared" si="5"/>
        <v>-0.0745</v>
      </c>
      <c r="BX3" s="226">
        <f t="shared" si="5"/>
        <v>1.555</v>
      </c>
      <c r="BY3" s="226">
        <f t="shared" si="5"/>
        <v>3.7885</v>
      </c>
      <c r="BZ3" s="226">
        <f t="shared" si="5"/>
        <v>4.334</v>
      </c>
      <c r="CA3" s="226">
        <f t="shared" si="5"/>
        <v>1.204</v>
      </c>
      <c r="CB3" s="226">
        <f t="shared" si="5"/>
        <v>-4.729</v>
      </c>
      <c r="CC3" s="226">
        <f t="shared" si="5"/>
        <v>-8.059</v>
      </c>
      <c r="CD3" s="226">
        <f t="shared" si="5"/>
        <v>1.6905</v>
      </c>
      <c r="CE3" s="226">
        <f t="shared" si="5"/>
        <v>-6.0185</v>
      </c>
      <c r="CF3" s="226">
        <f t="shared" si="5"/>
        <v>20.016</v>
      </c>
      <c r="CG3" s="226">
        <f t="shared" si="5"/>
        <v>2.7825</v>
      </c>
      <c r="CH3" s="226"/>
      <c r="CI3" s="226"/>
    </row>
    <row r="4">
      <c r="A4" s="225" t="s">
        <v>428</v>
      </c>
      <c r="B4" s="226">
        <f t="shared" ref="B4:Q4" si="6">STDEV(B5:B24)</f>
        <v>11.24865114</v>
      </c>
      <c r="C4" s="226">
        <f t="shared" si="6"/>
        <v>14.90392893</v>
      </c>
      <c r="D4" s="226">
        <f t="shared" si="6"/>
        <v>14.15806093</v>
      </c>
      <c r="E4" s="226">
        <f t="shared" si="6"/>
        <v>4.244615165</v>
      </c>
      <c r="F4" s="226">
        <f t="shared" si="6"/>
        <v>13.171811</v>
      </c>
      <c r="G4" s="226">
        <f t="shared" si="6"/>
        <v>9.603319752</v>
      </c>
      <c r="H4" s="226">
        <f t="shared" si="6"/>
        <v>12.91828891</v>
      </c>
      <c r="I4" s="226">
        <f t="shared" si="6"/>
        <v>19.77128729</v>
      </c>
      <c r="J4" s="226">
        <f t="shared" si="6"/>
        <v>7.005575674</v>
      </c>
      <c r="K4" s="226">
        <f t="shared" si="6"/>
        <v>16.41624019</v>
      </c>
      <c r="L4" s="226">
        <f t="shared" si="6"/>
        <v>14.68100728</v>
      </c>
      <c r="M4" s="226">
        <f t="shared" si="6"/>
        <v>10.60836785</v>
      </c>
      <c r="N4" s="226">
        <f t="shared" si="6"/>
        <v>9.093052872</v>
      </c>
      <c r="O4" s="226">
        <f t="shared" si="6"/>
        <v>19.51728535</v>
      </c>
      <c r="P4" s="226">
        <f t="shared" si="6"/>
        <v>11.53703871</v>
      </c>
      <c r="Q4" s="226">
        <f t="shared" si="6"/>
        <v>17.44795551</v>
      </c>
      <c r="R4" s="226"/>
      <c r="S4" s="226">
        <f t="shared" ref="S4:AH4" si="7">STDEV(S5:S24)</f>
        <v>12.16595872</v>
      </c>
      <c r="T4" s="226">
        <f t="shared" si="7"/>
        <v>5.76882949</v>
      </c>
      <c r="U4" s="226">
        <f t="shared" si="7"/>
        <v>10.61155937</v>
      </c>
      <c r="V4" s="226">
        <f t="shared" si="7"/>
        <v>9.7094019</v>
      </c>
      <c r="W4" s="226">
        <f t="shared" si="7"/>
        <v>10.47576858</v>
      </c>
      <c r="X4" s="226">
        <f t="shared" si="7"/>
        <v>8.30784721</v>
      </c>
      <c r="Y4" s="226">
        <f t="shared" si="7"/>
        <v>11.58869849</v>
      </c>
      <c r="Z4" s="226">
        <f t="shared" si="7"/>
        <v>10.91598947</v>
      </c>
      <c r="AA4" s="226">
        <f t="shared" si="7"/>
        <v>14.06734452</v>
      </c>
      <c r="AB4" s="226">
        <f t="shared" si="7"/>
        <v>12.49473383</v>
      </c>
      <c r="AC4" s="226">
        <f t="shared" si="7"/>
        <v>8.328032734</v>
      </c>
      <c r="AD4" s="226">
        <f t="shared" si="7"/>
        <v>13.2394051</v>
      </c>
      <c r="AE4" s="226">
        <f t="shared" si="7"/>
        <v>5.389534596</v>
      </c>
      <c r="AF4" s="226">
        <f t="shared" si="7"/>
        <v>11.44017758</v>
      </c>
      <c r="AG4" s="226">
        <f t="shared" si="7"/>
        <v>10.72535534</v>
      </c>
      <c r="AH4" s="226">
        <f t="shared" si="7"/>
        <v>11.60475559</v>
      </c>
      <c r="AJ4" s="226">
        <f t="shared" ref="AJ4:AY4" si="8">STDEV(AJ5:AJ24)</f>
        <v>20.00643078</v>
      </c>
      <c r="AK4" s="226">
        <f t="shared" si="8"/>
        <v>14.752809</v>
      </c>
      <c r="AL4" s="226">
        <f t="shared" si="8"/>
        <v>19.59506971</v>
      </c>
      <c r="AM4" s="226">
        <f t="shared" si="8"/>
        <v>15.96013336</v>
      </c>
      <c r="AN4" s="226">
        <f t="shared" si="8"/>
        <v>20.42408601</v>
      </c>
      <c r="AO4" s="226">
        <f t="shared" si="8"/>
        <v>11.58277919</v>
      </c>
      <c r="AP4" s="226">
        <f t="shared" si="8"/>
        <v>16.54100452</v>
      </c>
      <c r="AQ4" s="226">
        <f t="shared" si="8"/>
        <v>18.65730603</v>
      </c>
      <c r="AR4" s="226">
        <f t="shared" si="8"/>
        <v>18.35986678</v>
      </c>
      <c r="AS4" s="226">
        <f t="shared" si="8"/>
        <v>19.01378749</v>
      </c>
      <c r="AT4" s="226">
        <f t="shared" si="8"/>
        <v>20.1797727</v>
      </c>
      <c r="AU4" s="226">
        <f t="shared" si="8"/>
        <v>19.84381396</v>
      </c>
      <c r="AV4" s="226">
        <f t="shared" si="8"/>
        <v>12.78425281</v>
      </c>
      <c r="AW4" s="226">
        <f t="shared" si="8"/>
        <v>17.26944018</v>
      </c>
      <c r="AX4" s="226">
        <f t="shared" si="8"/>
        <v>19.01144621</v>
      </c>
      <c r="AY4" s="226">
        <f t="shared" si="8"/>
        <v>19.76694354</v>
      </c>
      <c r="AZ4" s="226"/>
      <c r="BA4" s="226">
        <f t="shared" ref="BA4:BP4" si="9">STDEV(BA5:BA24)</f>
        <v>16.05554487</v>
      </c>
      <c r="BB4" s="226">
        <f t="shared" si="9"/>
        <v>10.38132964</v>
      </c>
      <c r="BC4" s="226">
        <f t="shared" si="9"/>
        <v>9.056197921</v>
      </c>
      <c r="BD4" s="226">
        <f t="shared" si="9"/>
        <v>9.484603812</v>
      </c>
      <c r="BE4" s="226">
        <f t="shared" si="9"/>
        <v>12.37173196</v>
      </c>
      <c r="BF4" s="226">
        <f t="shared" si="9"/>
        <v>4.58076904</v>
      </c>
      <c r="BG4" s="226">
        <f t="shared" si="9"/>
        <v>7.544278051</v>
      </c>
      <c r="BH4" s="226">
        <f t="shared" si="9"/>
        <v>13.80792236</v>
      </c>
      <c r="BI4" s="226">
        <f t="shared" si="9"/>
        <v>8.078848863</v>
      </c>
      <c r="BJ4" s="226">
        <f t="shared" si="9"/>
        <v>11.83131504</v>
      </c>
      <c r="BK4" s="226">
        <f t="shared" si="9"/>
        <v>18.10876586</v>
      </c>
      <c r="BL4" s="226">
        <f t="shared" si="9"/>
        <v>7.777545462</v>
      </c>
      <c r="BM4" s="226">
        <f t="shared" si="9"/>
        <v>10.12215397</v>
      </c>
      <c r="BN4" s="226">
        <f t="shared" si="9"/>
        <v>21.77640913</v>
      </c>
      <c r="BO4" s="226">
        <f t="shared" si="9"/>
        <v>3.8566544</v>
      </c>
      <c r="BP4" s="226">
        <f t="shared" si="9"/>
        <v>7.438211868</v>
      </c>
      <c r="BQ4" s="226"/>
      <c r="BR4" s="226">
        <f t="shared" ref="BR4:CG4" si="10">STDEV(BR5:BR24)</f>
        <v>20.60835487</v>
      </c>
      <c r="BS4" s="226">
        <f t="shared" si="10"/>
        <v>18.76144913</v>
      </c>
      <c r="BT4" s="226">
        <f t="shared" si="10"/>
        <v>21.21806987</v>
      </c>
      <c r="BU4" s="226">
        <f t="shared" si="10"/>
        <v>18.29579002</v>
      </c>
      <c r="BV4" s="226">
        <f t="shared" si="10"/>
        <v>19.77379586</v>
      </c>
      <c r="BW4" s="226">
        <f t="shared" si="10"/>
        <v>17.49121237</v>
      </c>
      <c r="BX4" s="226">
        <f t="shared" si="10"/>
        <v>22.33867958</v>
      </c>
      <c r="BY4" s="226">
        <f t="shared" si="10"/>
        <v>29.5411054</v>
      </c>
      <c r="BZ4" s="226">
        <f t="shared" si="10"/>
        <v>17.41722723</v>
      </c>
      <c r="CA4" s="226">
        <f t="shared" si="10"/>
        <v>22.60224591</v>
      </c>
      <c r="CB4" s="226">
        <f t="shared" si="10"/>
        <v>26.77032271</v>
      </c>
      <c r="CC4" s="226">
        <f t="shared" si="10"/>
        <v>18.67476003</v>
      </c>
      <c r="CD4" s="226">
        <f t="shared" si="10"/>
        <v>10.25258503</v>
      </c>
      <c r="CE4" s="226">
        <f t="shared" si="10"/>
        <v>25.51063313</v>
      </c>
      <c r="CF4" s="226">
        <f t="shared" si="10"/>
        <v>22.19362531</v>
      </c>
      <c r="CG4" s="226">
        <f t="shared" si="10"/>
        <v>23.58607191</v>
      </c>
      <c r="CH4" s="226"/>
      <c r="CI4" s="226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61">
        <v>-4.7780000000000005</v>
      </c>
      <c r="C26" s="261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62" t="s">
        <v>429</v>
      </c>
      <c r="B28" s="263" t="s">
        <v>24</v>
      </c>
      <c r="C28" s="263" t="s">
        <v>317</v>
      </c>
      <c r="D28" s="263" t="s">
        <v>356</v>
      </c>
      <c r="E28" s="263" t="s">
        <v>358</v>
      </c>
      <c r="F28" s="263" t="s">
        <v>360</v>
      </c>
      <c r="G28" s="264" t="s">
        <v>189</v>
      </c>
      <c r="J28" s="20" t="s">
        <v>24</v>
      </c>
      <c r="K28" s="20" t="s">
        <v>317</v>
      </c>
      <c r="L28" s="20" t="s">
        <v>356</v>
      </c>
      <c r="M28" s="20" t="s">
        <v>358</v>
      </c>
      <c r="N28" s="20" t="s">
        <v>360</v>
      </c>
      <c r="O28" s="20" t="s">
        <v>189</v>
      </c>
      <c r="Q28" s="265" t="s">
        <v>430</v>
      </c>
      <c r="R28" s="266" t="s">
        <v>24</v>
      </c>
      <c r="S28" s="266" t="s">
        <v>317</v>
      </c>
      <c r="T28" s="266" t="s">
        <v>356</v>
      </c>
      <c r="U28" s="266" t="s">
        <v>358</v>
      </c>
      <c r="V28" s="266" t="s">
        <v>360</v>
      </c>
      <c r="W28" s="266" t="s">
        <v>189</v>
      </c>
      <c r="X28" s="267" t="s">
        <v>359</v>
      </c>
      <c r="AA28" s="20" t="s">
        <v>24</v>
      </c>
      <c r="AB28" s="20" t="s">
        <v>317</v>
      </c>
      <c r="AC28" s="20" t="s">
        <v>356</v>
      </c>
      <c r="AD28" s="20" t="s">
        <v>358</v>
      </c>
      <c r="AE28" s="20" t="s">
        <v>360</v>
      </c>
    </row>
    <row r="29">
      <c r="A29" s="268" t="s">
        <v>425</v>
      </c>
      <c r="B29" s="269">
        <v>9.821</v>
      </c>
      <c r="C29" s="270">
        <v>1.5255</v>
      </c>
      <c r="D29" s="271">
        <v>6.5565000000000015</v>
      </c>
      <c r="E29" s="272">
        <v>-29.363999999999997</v>
      </c>
      <c r="F29" s="273">
        <v>20.0</v>
      </c>
      <c r="G29" s="274">
        <f t="shared" ref="G29:G44" si="13">AVERAGE(B29:F29)</f>
        <v>1.7078</v>
      </c>
      <c r="I29" s="20" t="s">
        <v>425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75" t="s">
        <v>388</v>
      </c>
      <c r="R29" s="276">
        <v>0.8437488055651112</v>
      </c>
      <c r="S29" s="277">
        <v>0.507548828498261</v>
      </c>
      <c r="T29" s="278">
        <v>1.0</v>
      </c>
      <c r="U29" s="279">
        <v>0.392503800433623</v>
      </c>
      <c r="V29" s="280">
        <v>0.4416764674436009</v>
      </c>
      <c r="W29" s="278">
        <v>0.6370955803881192</v>
      </c>
      <c r="X29" s="281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82" t="s">
        <v>388</v>
      </c>
      <c r="B30" s="283">
        <v>18.638</v>
      </c>
      <c r="C30" s="284">
        <v>-4.9165</v>
      </c>
      <c r="D30" s="270">
        <v>7.5314999999999985</v>
      </c>
      <c r="E30" s="285">
        <v>-21.489</v>
      </c>
      <c r="F30" s="286">
        <v>4.3340000000000005</v>
      </c>
      <c r="G30" s="287">
        <f t="shared" si="13"/>
        <v>0.8196</v>
      </c>
      <c r="I30" s="20" t="s">
        <v>388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75" t="s">
        <v>425</v>
      </c>
      <c r="R30" s="288">
        <v>0.16974353094064143</v>
      </c>
      <c r="S30" s="278">
        <v>1.0</v>
      </c>
      <c r="T30" s="289">
        <v>0.9717305266820337</v>
      </c>
      <c r="U30" s="290">
        <v>-2.220446049250313E-16</v>
      </c>
      <c r="V30" s="278">
        <v>1.0</v>
      </c>
      <c r="W30" s="289">
        <v>0.628294811524535</v>
      </c>
      <c r="X30" s="291">
        <f t="shared" si="16"/>
        <v>0.4998252774</v>
      </c>
      <c r="Z30" s="20" t="s">
        <v>423</v>
      </c>
      <c r="AA30" s="292">
        <f t="shared" ref="AA30:AE30" si="17">R33/AA$29</f>
        <v>0.284435196</v>
      </c>
      <c r="AB30" s="292">
        <f t="shared" si="17"/>
        <v>0.3517419535</v>
      </c>
      <c r="AC30" s="292">
        <f t="shared" si="17"/>
        <v>0.2920245259</v>
      </c>
      <c r="AD30" s="292">
        <f t="shared" si="17"/>
        <v>0.1296204169</v>
      </c>
      <c r="AE30" s="292">
        <f t="shared" si="17"/>
        <v>0.2038215895</v>
      </c>
    </row>
    <row r="31">
      <c r="A31" s="268" t="s">
        <v>419</v>
      </c>
      <c r="B31" s="293">
        <v>14.198999999999998</v>
      </c>
      <c r="C31" s="294">
        <v>-4.078</v>
      </c>
      <c r="D31" s="295">
        <v>7.411000000000001</v>
      </c>
      <c r="E31" s="296">
        <v>-15.849499999999997</v>
      </c>
      <c r="F31" s="297">
        <v>1.5549999999999997</v>
      </c>
      <c r="G31" s="298">
        <f t="shared" si="13"/>
        <v>0.6475</v>
      </c>
      <c r="I31" s="20" t="s">
        <v>419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75" t="s">
        <v>419</v>
      </c>
      <c r="R31" s="299">
        <v>0.5044146313496158</v>
      </c>
      <c r="S31" s="300">
        <v>0.5716469823796966</v>
      </c>
      <c r="T31" s="301">
        <v>0.9965061830412154</v>
      </c>
      <c r="U31" s="302">
        <v>0.6735863632965334</v>
      </c>
      <c r="V31" s="303">
        <v>0.3426351616237213</v>
      </c>
      <c r="W31" s="304">
        <v>0.6177578643381565</v>
      </c>
      <c r="X31" s="305">
        <f t="shared" si="16"/>
        <v>0.2435326024</v>
      </c>
      <c r="Z31" s="20" t="s">
        <v>424</v>
      </c>
      <c r="AA31" s="292">
        <f t="shared" ref="AA31:AE31" si="19">R41/AA$29</f>
        <v>0.4622859434</v>
      </c>
      <c r="AB31" s="292">
        <f t="shared" si="19"/>
        <v>0.07166096488</v>
      </c>
      <c r="AC31" s="292">
        <f t="shared" si="19"/>
        <v>0</v>
      </c>
      <c r="AD31" s="292">
        <f t="shared" si="19"/>
        <v>0.4990672106</v>
      </c>
      <c r="AE31" s="292">
        <f t="shared" si="19"/>
        <v>0.04265838795</v>
      </c>
      <c r="AL31" s="20"/>
      <c r="AM31" s="20"/>
    </row>
    <row r="32">
      <c r="A32" s="282" t="s">
        <v>418</v>
      </c>
      <c r="B32" s="306">
        <v>12.013500000000002</v>
      </c>
      <c r="C32" s="307">
        <v>-3.9909999999999997</v>
      </c>
      <c r="D32" s="308">
        <v>1.475</v>
      </c>
      <c r="E32" s="309">
        <v>-14.4365</v>
      </c>
      <c r="F32" s="310">
        <v>-0.07449999999999965</v>
      </c>
      <c r="G32" s="311">
        <f t="shared" si="13"/>
        <v>-1.0027</v>
      </c>
      <c r="I32" s="20" t="s">
        <v>418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12" t="s">
        <v>420</v>
      </c>
      <c r="R32" s="313">
        <v>0.5614799526048238</v>
      </c>
      <c r="S32" s="314">
        <v>0.5803233574131408</v>
      </c>
      <c r="T32" s="315">
        <v>0.657562446541701</v>
      </c>
      <c r="U32" s="316">
        <v>0.7510902883345377</v>
      </c>
      <c r="V32" s="317">
        <v>0.3301258063366477</v>
      </c>
      <c r="W32" s="318">
        <v>0.5761163702461701</v>
      </c>
      <c r="X32" s="319">
        <f t="shared" si="16"/>
        <v>0.1565188618</v>
      </c>
      <c r="Z32" s="20" t="s">
        <v>425</v>
      </c>
      <c r="AA32" s="292">
        <f t="shared" ref="AA32:AE32" si="21">R30/AA$29</f>
        <v>0.0847826502</v>
      </c>
      <c r="AB32" s="292">
        <f t="shared" si="21"/>
        <v>0.3653284926</v>
      </c>
      <c r="AC32" s="292">
        <f t="shared" si="21"/>
        <v>0.3830250459</v>
      </c>
      <c r="AD32" s="292">
        <f t="shared" si="21"/>
        <v>0</v>
      </c>
      <c r="AE32" s="292">
        <f t="shared" si="21"/>
        <v>0.5865972592</v>
      </c>
    </row>
    <row r="33">
      <c r="A33" s="268" t="s">
        <v>420</v>
      </c>
      <c r="B33" s="320">
        <v>14.945500000000001</v>
      </c>
      <c r="C33" s="307">
        <v>-3.9644999999999997</v>
      </c>
      <c r="D33" s="321">
        <v>-4.279000000000001</v>
      </c>
      <c r="E33" s="322">
        <v>-14.2945</v>
      </c>
      <c r="F33" s="323">
        <v>1.2039999999999995</v>
      </c>
      <c r="G33" s="324">
        <f t="shared" si="13"/>
        <v>-1.2777</v>
      </c>
      <c r="I33" s="20" t="s">
        <v>420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25" t="s">
        <v>423</v>
      </c>
      <c r="R33" s="326">
        <v>0.5694683331422234</v>
      </c>
      <c r="S33" s="327">
        <v>0.9628100752971754</v>
      </c>
      <c r="T33" s="328">
        <v>0.7408631612519753</v>
      </c>
      <c r="U33" s="329">
        <v>0.2597253719440773</v>
      </c>
      <c r="V33" s="330">
        <v>0.34746427171317573</v>
      </c>
      <c r="W33" s="318">
        <v>0.5760662426697255</v>
      </c>
      <c r="X33" s="331">
        <f t="shared" si="16"/>
        <v>0.2868373914</v>
      </c>
      <c r="Z33" s="51" t="s">
        <v>418</v>
      </c>
      <c r="AA33" s="292">
        <f t="shared" ref="AA33:AE33" si="23">R34/AA$29</f>
        <v>0.1684962105</v>
      </c>
      <c r="AB33" s="292">
        <f t="shared" si="23"/>
        <v>0.211268589</v>
      </c>
      <c r="AC33" s="292">
        <f t="shared" si="23"/>
        <v>0.3249504283</v>
      </c>
      <c r="AD33" s="292">
        <f t="shared" si="23"/>
        <v>0.3713123725</v>
      </c>
      <c r="AE33" s="292">
        <f t="shared" si="23"/>
        <v>0.1669227633</v>
      </c>
    </row>
    <row r="34">
      <c r="A34" s="282" t="s">
        <v>423</v>
      </c>
      <c r="B34" s="332">
        <v>15.049999999999997</v>
      </c>
      <c r="C34" s="333">
        <v>1.0390000000000001</v>
      </c>
      <c r="D34" s="334">
        <v>-1.406</v>
      </c>
      <c r="E34" s="335">
        <v>-24.153</v>
      </c>
      <c r="F34" s="336">
        <v>1.6905000000000001</v>
      </c>
      <c r="G34" s="337">
        <f t="shared" si="13"/>
        <v>-1.5559</v>
      </c>
      <c r="I34" s="20" t="s">
        <v>423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38" t="s">
        <v>418</v>
      </c>
      <c r="R34" s="339">
        <v>0.33734663456025715</v>
      </c>
      <c r="S34" s="314">
        <v>0.5782975958414556</v>
      </c>
      <c r="T34" s="340">
        <v>0.8243958306151147</v>
      </c>
      <c r="U34" s="341">
        <v>0.7440127594886234</v>
      </c>
      <c r="V34" s="342">
        <v>0.2845611033892868</v>
      </c>
      <c r="W34" s="343">
        <v>0.5537227847789475</v>
      </c>
      <c r="X34" s="344">
        <f t="shared" si="16"/>
        <v>0.239449756</v>
      </c>
    </row>
    <row r="35">
      <c r="A35" s="268" t="s">
        <v>426</v>
      </c>
      <c r="B35" s="345">
        <v>17.915999999999997</v>
      </c>
      <c r="C35" s="346">
        <v>-7.530500000000001</v>
      </c>
      <c r="D35" s="347">
        <v>-0.8740000000000002</v>
      </c>
      <c r="E35" s="348">
        <v>-21.378000000000004</v>
      </c>
      <c r="F35" s="349">
        <v>2.8</v>
      </c>
      <c r="G35" s="350">
        <f t="shared" si="13"/>
        <v>-1.8133</v>
      </c>
      <c r="I35" s="20" t="s">
        <v>426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25" t="s">
        <v>426</v>
      </c>
      <c r="R35" s="351">
        <v>0.7885563582158006</v>
      </c>
      <c r="S35" s="352">
        <v>0.30772464931391663</v>
      </c>
      <c r="T35" s="353">
        <v>0.756288145667522</v>
      </c>
      <c r="U35" s="354">
        <v>0.3980362349540205</v>
      </c>
      <c r="V35" s="279">
        <v>0.3870059517445382</v>
      </c>
      <c r="W35" s="355">
        <v>0.5275222679791596</v>
      </c>
      <c r="X35" s="356">
        <f t="shared" si="16"/>
        <v>0.2265475028</v>
      </c>
    </row>
    <row r="36">
      <c r="A36" s="282" t="s">
        <v>417</v>
      </c>
      <c r="B36" s="357">
        <v>8.2845</v>
      </c>
      <c r="C36" s="358">
        <v>0.22299999999999986</v>
      </c>
      <c r="D36" s="359">
        <v>-1.7254999999999998</v>
      </c>
      <c r="E36" s="360">
        <v>-19.266000000000002</v>
      </c>
      <c r="F36" s="346">
        <v>0.5814999999999998</v>
      </c>
      <c r="G36" s="361">
        <f t="shared" si="13"/>
        <v>-2.3805</v>
      </c>
      <c r="I36" s="20" t="s">
        <v>417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12" t="s">
        <v>421</v>
      </c>
      <c r="R36" s="278">
        <v>1.0</v>
      </c>
      <c r="S36" s="362">
        <v>0.5754309521079387</v>
      </c>
      <c r="T36" s="288">
        <v>0.16867452413053263</v>
      </c>
      <c r="U36" s="363">
        <v>0.7671144117427168</v>
      </c>
      <c r="V36" s="364">
        <v>0.11867849887736548</v>
      </c>
      <c r="W36" s="302">
        <v>0.5259796773717106</v>
      </c>
      <c r="X36" s="365">
        <f t="shared" si="16"/>
        <v>0.3804102645</v>
      </c>
      <c r="Z36" s="51" t="s">
        <v>431</v>
      </c>
    </row>
    <row r="37">
      <c r="A37" s="268" t="s">
        <v>32</v>
      </c>
      <c r="B37" s="366">
        <v>15.570000000000002</v>
      </c>
      <c r="C37" s="367">
        <v>-5.383000000000001</v>
      </c>
      <c r="D37" s="368">
        <v>-3.434</v>
      </c>
      <c r="E37" s="369">
        <v>-19.584000000000003</v>
      </c>
      <c r="F37" s="370">
        <v>-0.5320000000000001</v>
      </c>
      <c r="G37" s="371">
        <f t="shared" si="13"/>
        <v>-2.6726</v>
      </c>
      <c r="I37" s="20" t="s">
        <v>32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46"/>
      <c r="Q37" s="325" t="s">
        <v>290</v>
      </c>
      <c r="R37" s="351">
        <v>0.7865305966441156</v>
      </c>
      <c r="S37" s="372">
        <v>0.3248480678821237</v>
      </c>
      <c r="T37" s="373">
        <v>0.68388929964192</v>
      </c>
      <c r="U37" s="300">
        <v>0.5724076058514214</v>
      </c>
      <c r="V37" s="374">
        <v>0.17546954631312583</v>
      </c>
      <c r="W37" s="375">
        <v>0.5086290232665414</v>
      </c>
      <c r="X37" s="376">
        <f t="shared" si="16"/>
        <v>0.2533692134</v>
      </c>
      <c r="Y37" s="246"/>
      <c r="Z37" s="246"/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282" t="s">
        <v>290</v>
      </c>
      <c r="B38" s="345">
        <v>17.889499999999998</v>
      </c>
      <c r="C38" s="377">
        <v>-7.3065</v>
      </c>
      <c r="D38" s="378">
        <v>-3.3709999999999996</v>
      </c>
      <c r="E38" s="294">
        <v>-17.879500000000004</v>
      </c>
      <c r="F38" s="379">
        <v>-3.1354999999999995</v>
      </c>
      <c r="G38" s="380">
        <f t="shared" si="13"/>
        <v>-2.7606</v>
      </c>
      <c r="I38" s="20" t="s">
        <v>290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81" t="s">
        <v>32</v>
      </c>
      <c r="R38" s="382">
        <v>0.6092191262469902</v>
      </c>
      <c r="S38" s="383">
        <v>0.4718877804533119</v>
      </c>
      <c r="T38" s="384">
        <v>0.6820626567506052</v>
      </c>
      <c r="U38" s="385">
        <v>0.48745233882423267</v>
      </c>
      <c r="V38" s="386">
        <v>0.26825617448946854</v>
      </c>
      <c r="W38" s="382">
        <v>0.5037756153529217</v>
      </c>
      <c r="X38" s="319">
        <f t="shared" si="16"/>
        <v>0.1578427172</v>
      </c>
    </row>
    <row r="39">
      <c r="A39" s="268" t="s">
        <v>421</v>
      </c>
      <c r="B39" s="270">
        <v>20.682000000000002</v>
      </c>
      <c r="C39" s="387">
        <v>-4.0285</v>
      </c>
      <c r="D39" s="269">
        <v>-21.140499999999996</v>
      </c>
      <c r="E39" s="388">
        <v>-13.972999999999999</v>
      </c>
      <c r="F39" s="389">
        <v>-4.728999999999999</v>
      </c>
      <c r="G39" s="390">
        <f t="shared" si="13"/>
        <v>-4.6378</v>
      </c>
      <c r="I39" s="20" t="s">
        <v>421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391" t="s">
        <v>417</v>
      </c>
      <c r="R39" s="392">
        <v>0.05228758169934655</v>
      </c>
      <c r="S39" s="393">
        <v>0.9004319076558499</v>
      </c>
      <c r="T39" s="394">
        <v>0.7315994723031647</v>
      </c>
      <c r="U39" s="395">
        <v>0.5033020160988857</v>
      </c>
      <c r="V39" s="352">
        <v>0.3079404112762393</v>
      </c>
      <c r="W39" s="396">
        <v>0.49911227780669715</v>
      </c>
      <c r="X39" s="397">
        <f t="shared" si="16"/>
        <v>0.3359033665</v>
      </c>
    </row>
    <row r="40">
      <c r="A40" s="282" t="s">
        <v>387</v>
      </c>
      <c r="B40" s="398">
        <v>18.777</v>
      </c>
      <c r="C40" s="399">
        <v>-8.564499999999999</v>
      </c>
      <c r="D40" s="400">
        <v>-20.615500000000004</v>
      </c>
      <c r="E40" s="401">
        <v>-16.996</v>
      </c>
      <c r="F40" s="402">
        <v>3.788499999999999</v>
      </c>
      <c r="G40" s="403">
        <f t="shared" si="13"/>
        <v>-4.7221</v>
      </c>
      <c r="I40" s="20" t="s">
        <v>387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12" t="s">
        <v>387</v>
      </c>
      <c r="R40" s="404">
        <v>0.8543744983373467</v>
      </c>
      <c r="S40" s="405">
        <v>0.22868172610174686</v>
      </c>
      <c r="T40" s="406">
        <v>0.18389654822482193</v>
      </c>
      <c r="U40" s="407">
        <v>0.6164427941286414</v>
      </c>
      <c r="V40" s="408">
        <v>0.4222352899248012</v>
      </c>
      <c r="W40" s="409">
        <v>0.46112617134347167</v>
      </c>
      <c r="X40" s="410">
        <f t="shared" si="16"/>
        <v>0.2789115831</v>
      </c>
    </row>
    <row r="41">
      <c r="A41" s="268" t="s">
        <v>422</v>
      </c>
      <c r="B41" s="411">
        <v>12.574999999999998</v>
      </c>
      <c r="C41" s="412">
        <v>-4.825000000000001</v>
      </c>
      <c r="D41" s="413">
        <v>-6.465499999999999</v>
      </c>
      <c r="E41" s="414">
        <v>-21.201500000000003</v>
      </c>
      <c r="F41" s="272">
        <v>-8.059</v>
      </c>
      <c r="G41" s="415">
        <f t="shared" si="13"/>
        <v>-5.5952</v>
      </c>
      <c r="I41" s="20" t="s">
        <v>422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391" t="s">
        <v>424</v>
      </c>
      <c r="R41" s="416">
        <v>0.9255437067614574</v>
      </c>
      <c r="S41" s="417">
        <v>0.19615487520544272</v>
      </c>
      <c r="T41" s="290">
        <v>0.0</v>
      </c>
      <c r="U41" s="301">
        <v>0.9999999999999999</v>
      </c>
      <c r="V41" s="418">
        <v>0.07272176485263188</v>
      </c>
      <c r="W41" s="408">
        <v>0.43888406936390634</v>
      </c>
      <c r="X41" s="419">
        <f t="shared" si="16"/>
        <v>0.4840713304</v>
      </c>
    </row>
    <row r="42">
      <c r="A42" s="420" t="s">
        <v>31</v>
      </c>
      <c r="B42" s="421">
        <v>10.918499999999998</v>
      </c>
      <c r="C42" s="272">
        <v>-11.556000000000001</v>
      </c>
      <c r="D42" s="412">
        <v>-9.255500000000001</v>
      </c>
      <c r="E42" s="422">
        <v>-19.555500000000002</v>
      </c>
      <c r="F42" s="423">
        <v>-1.8045000000000002</v>
      </c>
      <c r="G42" s="424">
        <f t="shared" si="13"/>
        <v>-6.2506</v>
      </c>
      <c r="I42" s="20" t="s">
        <v>31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12" t="s">
        <v>422</v>
      </c>
      <c r="R42" s="425">
        <v>0.3802698467301149</v>
      </c>
      <c r="S42" s="426">
        <v>0.5145434392080419</v>
      </c>
      <c r="T42" s="427">
        <v>0.594166340480436</v>
      </c>
      <c r="U42" s="428">
        <v>0.40683330425897735</v>
      </c>
      <c r="V42" s="290">
        <v>-5.551115123125783E-17</v>
      </c>
      <c r="W42" s="429">
        <v>0.379162586135514</v>
      </c>
      <c r="X42" s="430">
        <f t="shared" si="16"/>
        <v>0.2286294771</v>
      </c>
    </row>
    <row r="43">
      <c r="A43" s="431" t="s">
        <v>424</v>
      </c>
      <c r="B43" s="432">
        <v>19.708000000000006</v>
      </c>
      <c r="C43" s="433">
        <v>-8.990000000000002</v>
      </c>
      <c r="D43" s="272">
        <v>-26.958</v>
      </c>
      <c r="E43" s="270">
        <v>-9.3005</v>
      </c>
      <c r="F43" s="434">
        <v>-6.0184999999999995</v>
      </c>
      <c r="G43" s="435">
        <f t="shared" si="13"/>
        <v>-6.3118</v>
      </c>
      <c r="I43" s="20" t="s">
        <v>424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391" t="s">
        <v>179</v>
      </c>
      <c r="R43" s="290">
        <v>1.1102230246251565E-16</v>
      </c>
      <c r="S43" s="436">
        <v>0.37228146619271507</v>
      </c>
      <c r="T43" s="437">
        <v>0.2882181533510198</v>
      </c>
      <c r="U43" s="438">
        <v>0.7191666458992697</v>
      </c>
      <c r="V43" s="439">
        <v>0.11693217862361441</v>
      </c>
      <c r="W43" s="440">
        <v>0.2993196888133238</v>
      </c>
      <c r="X43" s="441">
        <f t="shared" si="16"/>
        <v>0.2759418473</v>
      </c>
    </row>
    <row r="44">
      <c r="A44" s="420" t="s">
        <v>179</v>
      </c>
      <c r="B44" s="442">
        <v>7.6004999999999985</v>
      </c>
      <c r="C44" s="443">
        <v>-6.685999999999998</v>
      </c>
      <c r="D44" s="444">
        <v>-17.017500000000002</v>
      </c>
      <c r="E44" s="445">
        <v>-14.934999999999999</v>
      </c>
      <c r="F44" s="446">
        <v>-4.7780000000000005</v>
      </c>
      <c r="G44" s="447">
        <f t="shared" si="13"/>
        <v>-7.1632</v>
      </c>
      <c r="I44" s="20" t="s">
        <v>179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48" t="s">
        <v>31</v>
      </c>
      <c r="R44" s="449">
        <v>0.2536406375415663</v>
      </c>
      <c r="S44" s="450">
        <v>0.0</v>
      </c>
      <c r="T44" s="451">
        <v>0.5132721552936401</v>
      </c>
      <c r="U44" s="452">
        <v>0.48887282876865923</v>
      </c>
      <c r="V44" s="453">
        <v>0.22290530667521996</v>
      </c>
      <c r="W44" s="450">
        <v>0.2957381856558171</v>
      </c>
      <c r="X44" s="454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432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433</v>
      </c>
    </row>
    <row r="48">
      <c r="A48" s="20" t="s">
        <v>434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435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436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288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4"/>
      <c r="B1" s="103" t="s">
        <v>38</v>
      </c>
      <c r="C1" s="195"/>
      <c r="D1" s="195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195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195"/>
      <c r="AJ1" s="103" t="s">
        <v>28</v>
      </c>
      <c r="AK1" s="195"/>
      <c r="AN1" s="195"/>
      <c r="AO1" s="200"/>
      <c r="AP1" s="200"/>
      <c r="AQ1" s="200"/>
      <c r="AR1" s="200"/>
      <c r="AS1" s="200"/>
      <c r="AT1" s="200"/>
      <c r="AU1" s="200"/>
      <c r="AX1" s="200"/>
      <c r="AY1" s="200"/>
      <c r="AZ1" s="200"/>
      <c r="BA1" s="103" t="s">
        <v>29</v>
      </c>
      <c r="BB1" s="200"/>
      <c r="BC1" s="200"/>
      <c r="BD1" s="200"/>
      <c r="BE1" s="200"/>
      <c r="BF1" s="200"/>
      <c r="BG1" s="200"/>
      <c r="BH1" s="200"/>
      <c r="BI1" s="200"/>
      <c r="BJ1" s="200"/>
      <c r="BK1" s="200"/>
      <c r="BL1" s="200"/>
      <c r="BM1" s="200"/>
      <c r="BN1" s="200"/>
      <c r="BO1" s="200"/>
      <c r="BP1" s="200"/>
      <c r="BQ1" s="200"/>
      <c r="BR1" s="103" t="s">
        <v>25</v>
      </c>
      <c r="BS1" s="200"/>
      <c r="BT1" s="200"/>
      <c r="BU1" s="200"/>
      <c r="BV1" s="200"/>
      <c r="BW1" s="200"/>
      <c r="BX1" s="200"/>
      <c r="BY1" s="200"/>
      <c r="BZ1" s="200"/>
      <c r="CA1" s="200"/>
      <c r="CB1" s="200"/>
      <c r="CC1" s="200"/>
      <c r="CD1" s="200"/>
      <c r="CE1" s="200"/>
      <c r="CF1" s="200"/>
      <c r="CG1" s="200"/>
      <c r="CH1" s="200"/>
      <c r="CI1" s="200"/>
    </row>
    <row r="2">
      <c r="A2" s="169"/>
      <c r="B2" s="102" t="s">
        <v>179</v>
      </c>
      <c r="C2" s="102" t="s">
        <v>31</v>
      </c>
      <c r="D2" s="260" t="s">
        <v>290</v>
      </c>
      <c r="E2" s="102" t="s">
        <v>32</v>
      </c>
      <c r="F2" s="102" t="s">
        <v>417</v>
      </c>
      <c r="G2" s="102" t="s">
        <v>418</v>
      </c>
      <c r="H2" s="102" t="s">
        <v>419</v>
      </c>
      <c r="I2" s="260" t="s">
        <v>387</v>
      </c>
      <c r="J2" s="260" t="s">
        <v>388</v>
      </c>
      <c r="K2" s="102" t="s">
        <v>420</v>
      </c>
      <c r="L2" s="260" t="s">
        <v>421</v>
      </c>
      <c r="M2" s="102" t="s">
        <v>422</v>
      </c>
      <c r="N2" s="102" t="s">
        <v>423</v>
      </c>
      <c r="O2" s="260" t="s">
        <v>424</v>
      </c>
      <c r="P2" s="102" t="s">
        <v>425</v>
      </c>
      <c r="Q2" s="260" t="s">
        <v>426</v>
      </c>
      <c r="R2" s="202"/>
      <c r="S2" s="102" t="s">
        <v>179</v>
      </c>
      <c r="T2" s="102" t="s">
        <v>31</v>
      </c>
      <c r="U2" s="102" t="s">
        <v>290</v>
      </c>
      <c r="V2" s="102" t="s">
        <v>32</v>
      </c>
      <c r="W2" s="260" t="s">
        <v>417</v>
      </c>
      <c r="X2" s="102" t="s">
        <v>418</v>
      </c>
      <c r="Y2" s="102" t="s">
        <v>419</v>
      </c>
      <c r="Z2" s="102" t="s">
        <v>387</v>
      </c>
      <c r="AA2" s="102" t="s">
        <v>388</v>
      </c>
      <c r="AB2" s="102" t="s">
        <v>420</v>
      </c>
      <c r="AC2" s="102" t="s">
        <v>421</v>
      </c>
      <c r="AD2" s="102" t="s">
        <v>422</v>
      </c>
      <c r="AE2" s="260" t="s">
        <v>423</v>
      </c>
      <c r="AF2" s="102" t="s">
        <v>424</v>
      </c>
      <c r="AG2" s="260" t="s">
        <v>425</v>
      </c>
      <c r="AH2" s="102" t="s">
        <v>426</v>
      </c>
      <c r="AI2" s="84"/>
      <c r="AJ2" s="102" t="s">
        <v>179</v>
      </c>
      <c r="AK2" s="102" t="s">
        <v>31</v>
      </c>
      <c r="AL2" s="102" t="s">
        <v>290</v>
      </c>
      <c r="AM2" s="102" t="s">
        <v>32</v>
      </c>
      <c r="AN2" s="102" t="s">
        <v>417</v>
      </c>
      <c r="AO2" s="102" t="s">
        <v>418</v>
      </c>
      <c r="AP2" s="260" t="s">
        <v>419</v>
      </c>
      <c r="AQ2" s="102" t="s">
        <v>387</v>
      </c>
      <c r="AR2" s="260" t="s">
        <v>388</v>
      </c>
      <c r="AS2" s="102" t="s">
        <v>420</v>
      </c>
      <c r="AT2" s="102" t="s">
        <v>421</v>
      </c>
      <c r="AU2" s="102" t="s">
        <v>422</v>
      </c>
      <c r="AV2" s="102" t="s">
        <v>423</v>
      </c>
      <c r="AW2" s="102" t="s">
        <v>424</v>
      </c>
      <c r="AX2" s="260" t="s">
        <v>425</v>
      </c>
      <c r="AY2" s="102" t="s">
        <v>426</v>
      </c>
      <c r="AZ2" s="102"/>
      <c r="BA2" s="260" t="s">
        <v>179</v>
      </c>
      <c r="BB2" s="102" t="s">
        <v>31</v>
      </c>
      <c r="BC2" s="102" t="s">
        <v>290</v>
      </c>
      <c r="BD2" s="102" t="s">
        <v>32</v>
      </c>
      <c r="BE2" s="102" t="s">
        <v>417</v>
      </c>
      <c r="BF2" s="260" t="s">
        <v>418</v>
      </c>
      <c r="BG2" s="260" t="s">
        <v>419</v>
      </c>
      <c r="BH2" s="102" t="s">
        <v>387</v>
      </c>
      <c r="BI2" s="102" t="s">
        <v>388</v>
      </c>
      <c r="BJ2" s="260" t="s">
        <v>420</v>
      </c>
      <c r="BK2" s="260" t="s">
        <v>421</v>
      </c>
      <c r="BL2" s="102" t="s">
        <v>422</v>
      </c>
      <c r="BM2" s="102" t="s">
        <v>423</v>
      </c>
      <c r="BN2" s="260" t="s">
        <v>424</v>
      </c>
      <c r="BO2" s="102" t="s">
        <v>425</v>
      </c>
      <c r="BP2" s="102" t="s">
        <v>426</v>
      </c>
      <c r="BQ2" s="102"/>
      <c r="BR2" s="102" t="s">
        <v>179</v>
      </c>
      <c r="BS2" s="102" t="s">
        <v>31</v>
      </c>
      <c r="BT2" s="102" t="s">
        <v>290</v>
      </c>
      <c r="BU2" s="102" t="s">
        <v>32</v>
      </c>
      <c r="BV2" s="102" t="s">
        <v>417</v>
      </c>
      <c r="BW2" s="102" t="s">
        <v>418</v>
      </c>
      <c r="BX2" s="102" t="s">
        <v>419</v>
      </c>
      <c r="BY2" s="260" t="s">
        <v>387</v>
      </c>
      <c r="BZ2" s="260" t="s">
        <v>388</v>
      </c>
      <c r="CA2" s="102" t="s">
        <v>420</v>
      </c>
      <c r="CB2" s="102" t="s">
        <v>421</v>
      </c>
      <c r="CC2" s="102" t="s">
        <v>422</v>
      </c>
      <c r="CD2" s="102" t="s">
        <v>423</v>
      </c>
      <c r="CE2" s="102" t="s">
        <v>424</v>
      </c>
      <c r="CF2" s="102" t="s">
        <v>425</v>
      </c>
      <c r="CG2" s="102" t="s">
        <v>426</v>
      </c>
      <c r="CH2" s="102"/>
      <c r="CI2" s="102"/>
    </row>
    <row r="3">
      <c r="A3" s="225" t="s">
        <v>437</v>
      </c>
      <c r="B3" s="226">
        <f t="shared" ref="B3:Q3" si="1">AVERAGE(B5:B24)</f>
        <v>43.3825</v>
      </c>
      <c r="C3" s="226">
        <f t="shared" si="1"/>
        <v>45.8475</v>
      </c>
      <c r="D3" s="226">
        <f t="shared" si="1"/>
        <v>46.6455</v>
      </c>
      <c r="E3" s="226">
        <f t="shared" si="1"/>
        <v>44.675</v>
      </c>
      <c r="F3" s="226">
        <f t="shared" si="1"/>
        <v>44.7335</v>
      </c>
      <c r="G3" s="226">
        <f t="shared" si="1"/>
        <v>45.0135</v>
      </c>
      <c r="H3" s="226">
        <f t="shared" si="1"/>
        <v>46.7155</v>
      </c>
      <c r="I3" s="226">
        <f t="shared" si="1"/>
        <v>49.5395</v>
      </c>
      <c r="J3" s="226">
        <f t="shared" si="1"/>
        <v>46.989</v>
      </c>
      <c r="K3" s="226">
        <f t="shared" si="1"/>
        <v>47.93</v>
      </c>
      <c r="L3" s="226">
        <f t="shared" si="1"/>
        <v>48.8755</v>
      </c>
      <c r="M3" s="226">
        <f t="shared" si="1"/>
        <v>44.628</v>
      </c>
      <c r="N3" s="226">
        <f t="shared" si="1"/>
        <v>45.142</v>
      </c>
      <c r="O3" s="226">
        <f t="shared" si="1"/>
        <v>49.9815</v>
      </c>
      <c r="P3" s="226">
        <f t="shared" si="1"/>
        <v>44.039</v>
      </c>
      <c r="Q3" s="226">
        <f t="shared" si="1"/>
        <v>47.897</v>
      </c>
      <c r="R3" s="226"/>
      <c r="S3" s="226">
        <f t="shared" ref="S3:AH3" si="2">AVERAGE(S5:S24)</f>
        <v>37.665</v>
      </c>
      <c r="T3" s="226">
        <f t="shared" si="2"/>
        <v>36.732</v>
      </c>
      <c r="U3" s="226">
        <f t="shared" si="2"/>
        <v>37.9485</v>
      </c>
      <c r="V3" s="226">
        <f t="shared" si="2"/>
        <v>37.477</v>
      </c>
      <c r="W3" s="226">
        <f t="shared" si="2"/>
        <v>38.437</v>
      </c>
      <c r="X3" s="226">
        <f t="shared" si="2"/>
        <v>38.2215</v>
      </c>
      <c r="Y3" s="226">
        <f t="shared" si="2"/>
        <v>38.2205</v>
      </c>
      <c r="Z3" s="226">
        <f t="shared" si="2"/>
        <v>37.6485</v>
      </c>
      <c r="AA3" s="226">
        <f t="shared" si="2"/>
        <v>37.2155</v>
      </c>
      <c r="AB3" s="226">
        <f t="shared" si="2"/>
        <v>37.914</v>
      </c>
      <c r="AC3" s="226">
        <f t="shared" si="2"/>
        <v>38.443</v>
      </c>
      <c r="AD3" s="226">
        <f t="shared" si="2"/>
        <v>37.9065</v>
      </c>
      <c r="AE3" s="226">
        <f t="shared" si="2"/>
        <v>39.5915</v>
      </c>
      <c r="AF3" s="226">
        <f t="shared" si="2"/>
        <v>38.8065</v>
      </c>
      <c r="AG3" s="226">
        <f t="shared" si="2"/>
        <v>38.6575</v>
      </c>
      <c r="AH3" s="226">
        <f t="shared" si="2"/>
        <v>38.054</v>
      </c>
      <c r="AJ3" s="226">
        <f t="shared" ref="AJ3:AY3" si="3">AVERAGE(AJ5:AJ24)</f>
        <v>36.4675</v>
      </c>
      <c r="AK3" s="226">
        <f t="shared" si="3"/>
        <v>40.2245</v>
      </c>
      <c r="AL3" s="226">
        <f t="shared" si="3"/>
        <v>41.493</v>
      </c>
      <c r="AM3" s="226">
        <f t="shared" si="3"/>
        <v>41.615</v>
      </c>
      <c r="AN3" s="226">
        <f t="shared" si="3"/>
        <v>41.733</v>
      </c>
      <c r="AO3" s="226">
        <f t="shared" si="3"/>
        <v>41.758</v>
      </c>
      <c r="AP3" s="226">
        <f t="shared" si="3"/>
        <v>44.9875</v>
      </c>
      <c r="AQ3" s="226">
        <f t="shared" si="3"/>
        <v>35.6675</v>
      </c>
      <c r="AR3" s="226">
        <f t="shared" si="3"/>
        <v>43.6815</v>
      </c>
      <c r="AS3" s="226">
        <f t="shared" si="3"/>
        <v>40.967</v>
      </c>
      <c r="AT3" s="226">
        <f t="shared" si="3"/>
        <v>35.503</v>
      </c>
      <c r="AU3" s="226">
        <f t="shared" si="3"/>
        <v>38.6825</v>
      </c>
      <c r="AV3" s="226">
        <f t="shared" si="3"/>
        <v>40.4025</v>
      </c>
      <c r="AW3" s="226">
        <f t="shared" si="3"/>
        <v>32.3265</v>
      </c>
      <c r="AX3" s="226">
        <f t="shared" si="3"/>
        <v>43.3255</v>
      </c>
      <c r="AY3" s="226">
        <f t="shared" si="3"/>
        <v>42.79</v>
      </c>
      <c r="AZ3" s="226"/>
      <c r="BA3" s="226">
        <f t="shared" ref="BA3:BP3" si="4">AVERAGE(BA5:BA24)</f>
        <v>41.4005</v>
      </c>
      <c r="BB3" s="226">
        <f t="shared" si="4"/>
        <v>39.1235</v>
      </c>
      <c r="BC3" s="226">
        <f t="shared" si="4"/>
        <v>39.624</v>
      </c>
      <c r="BD3" s="226">
        <f t="shared" si="4"/>
        <v>39.631</v>
      </c>
      <c r="BE3" s="226">
        <f t="shared" si="4"/>
        <v>40.391</v>
      </c>
      <c r="BF3" s="226">
        <f t="shared" si="4"/>
        <v>42.9255</v>
      </c>
      <c r="BG3" s="226">
        <f t="shared" si="4"/>
        <v>41.785</v>
      </c>
      <c r="BH3" s="226">
        <f t="shared" si="4"/>
        <v>39.5765</v>
      </c>
      <c r="BI3" s="226">
        <f t="shared" si="4"/>
        <v>39.117</v>
      </c>
      <c r="BJ3" s="226">
        <f t="shared" si="4"/>
        <v>41.7855</v>
      </c>
      <c r="BK3" s="226">
        <f t="shared" si="4"/>
        <v>39.932</v>
      </c>
      <c r="BL3" s="226">
        <f t="shared" si="4"/>
        <v>39.3955</v>
      </c>
      <c r="BM3" s="226">
        <f t="shared" si="4"/>
        <v>35.66</v>
      </c>
      <c r="BN3" s="226">
        <f t="shared" si="4"/>
        <v>41.7035</v>
      </c>
      <c r="BO3" s="226">
        <f t="shared" si="4"/>
        <v>32.4215</v>
      </c>
      <c r="BP3" s="226">
        <f t="shared" si="4"/>
        <v>38.253</v>
      </c>
      <c r="BQ3" s="226"/>
      <c r="BR3" s="226">
        <f t="shared" ref="BR3:CG3" si="5">AVERAGE(BR5:BR24)</f>
        <v>42.417</v>
      </c>
      <c r="BS3" s="226">
        <f t="shared" si="5"/>
        <v>42.9755</v>
      </c>
      <c r="BT3" s="226">
        <f t="shared" si="5"/>
        <v>42.928</v>
      </c>
      <c r="BU3" s="226">
        <f t="shared" si="5"/>
        <v>42.8075</v>
      </c>
      <c r="BV3" s="226">
        <f t="shared" si="5"/>
        <v>42.173</v>
      </c>
      <c r="BW3" s="226">
        <f t="shared" si="5"/>
        <v>44.4</v>
      </c>
      <c r="BX3" s="226">
        <f t="shared" si="5"/>
        <v>43.9905</v>
      </c>
      <c r="BY3" s="226">
        <f t="shared" si="5"/>
        <v>43.114</v>
      </c>
      <c r="BZ3" s="226">
        <f t="shared" si="5"/>
        <v>43.4975</v>
      </c>
      <c r="CA3" s="226">
        <f t="shared" si="5"/>
        <v>44.456</v>
      </c>
      <c r="CB3" s="226">
        <f t="shared" si="5"/>
        <v>42.3295</v>
      </c>
      <c r="CC3" s="226">
        <f t="shared" si="5"/>
        <v>40.398</v>
      </c>
      <c r="CD3" s="226">
        <f t="shared" si="5"/>
        <v>41.48</v>
      </c>
      <c r="CE3" s="226">
        <f t="shared" si="5"/>
        <v>43.546</v>
      </c>
      <c r="CF3" s="226">
        <f t="shared" si="5"/>
        <v>45.374</v>
      </c>
      <c r="CG3" s="226">
        <f t="shared" si="5"/>
        <v>44.6675</v>
      </c>
      <c r="CH3" s="226"/>
      <c r="CI3" s="226"/>
    </row>
    <row r="4">
      <c r="A4" s="225" t="s">
        <v>438</v>
      </c>
      <c r="B4" s="226">
        <f t="shared" ref="B4:Q4" si="6">STDEV(B5:B24)</f>
        <v>2.968015241</v>
      </c>
      <c r="C4" s="226">
        <f t="shared" si="6"/>
        <v>5.726364581</v>
      </c>
      <c r="D4" s="226">
        <f t="shared" si="6"/>
        <v>5.924186353</v>
      </c>
      <c r="E4" s="226">
        <f t="shared" si="6"/>
        <v>2.72939843</v>
      </c>
      <c r="F4" s="226">
        <f t="shared" si="6"/>
        <v>4.714963052</v>
      </c>
      <c r="G4" s="226">
        <f t="shared" si="6"/>
        <v>4.048031718</v>
      </c>
      <c r="H4" s="226">
        <f t="shared" si="6"/>
        <v>5.707104045</v>
      </c>
      <c r="I4" s="226">
        <f t="shared" si="6"/>
        <v>6.625286866</v>
      </c>
      <c r="J4" s="226">
        <f t="shared" si="6"/>
        <v>4.517973346</v>
      </c>
      <c r="K4" s="226">
        <f t="shared" si="6"/>
        <v>6.615624249</v>
      </c>
      <c r="L4" s="226">
        <f t="shared" si="6"/>
        <v>5.636170289</v>
      </c>
      <c r="M4" s="226">
        <f t="shared" si="6"/>
        <v>4.04906305</v>
      </c>
      <c r="N4" s="226">
        <f t="shared" si="6"/>
        <v>4.33302204</v>
      </c>
      <c r="O4" s="226">
        <f t="shared" si="6"/>
        <v>5.978670223</v>
      </c>
      <c r="P4" s="226">
        <f t="shared" si="6"/>
        <v>4.226429251</v>
      </c>
      <c r="Q4" s="226">
        <f t="shared" si="6"/>
        <v>7.051294842</v>
      </c>
      <c r="R4" s="226"/>
      <c r="S4" s="226">
        <f t="shared" ref="S4:AH4" si="7">STDEV(S5:S24)</f>
        <v>5.594145906</v>
      </c>
      <c r="T4" s="226">
        <f t="shared" si="7"/>
        <v>5.126386436</v>
      </c>
      <c r="U4" s="226">
        <f t="shared" si="7"/>
        <v>4.424363499</v>
      </c>
      <c r="V4" s="226">
        <f t="shared" si="7"/>
        <v>3.039040881</v>
      </c>
      <c r="W4" s="226">
        <f t="shared" si="7"/>
        <v>2.251519019</v>
      </c>
      <c r="X4" s="226">
        <f t="shared" si="7"/>
        <v>2.604595685</v>
      </c>
      <c r="Y4" s="226">
        <f t="shared" si="7"/>
        <v>4.37867016</v>
      </c>
      <c r="Z4" s="226">
        <f t="shared" si="7"/>
        <v>5.733953605</v>
      </c>
      <c r="AA4" s="226">
        <f t="shared" si="7"/>
        <v>4.734908964</v>
      </c>
      <c r="AB4" s="226">
        <f t="shared" si="7"/>
        <v>4.563109974</v>
      </c>
      <c r="AC4" s="226">
        <f t="shared" si="7"/>
        <v>5.145361836</v>
      </c>
      <c r="AD4" s="226">
        <f t="shared" si="7"/>
        <v>6.154515907</v>
      </c>
      <c r="AE4" s="226">
        <f t="shared" si="7"/>
        <v>1.398214181</v>
      </c>
      <c r="AF4" s="226">
        <f t="shared" si="7"/>
        <v>6.776156553</v>
      </c>
      <c r="AG4" s="226">
        <f t="shared" si="7"/>
        <v>3.230450311</v>
      </c>
      <c r="AH4" s="226">
        <f t="shared" si="7"/>
        <v>4.601674066</v>
      </c>
      <c r="AJ4" s="226">
        <f t="shared" ref="AJ4:AY4" si="8">STDEV(AJ5:AJ24)</f>
        <v>6.93567655</v>
      </c>
      <c r="AK4" s="226">
        <f t="shared" si="8"/>
        <v>5.01167844</v>
      </c>
      <c r="AL4" s="226">
        <f t="shared" si="8"/>
        <v>6.341604562</v>
      </c>
      <c r="AM4" s="226">
        <f t="shared" si="8"/>
        <v>6.173934598</v>
      </c>
      <c r="AN4" s="226">
        <f t="shared" si="8"/>
        <v>6.506409876</v>
      </c>
      <c r="AO4" s="226">
        <f t="shared" si="8"/>
        <v>5.139006252</v>
      </c>
      <c r="AP4" s="226">
        <f t="shared" si="8"/>
        <v>6.488031795</v>
      </c>
      <c r="AQ4" s="226">
        <f t="shared" si="8"/>
        <v>6.906270892</v>
      </c>
      <c r="AR4" s="226">
        <f t="shared" si="8"/>
        <v>7.142872248</v>
      </c>
      <c r="AS4" s="226">
        <f t="shared" si="8"/>
        <v>7.716063286</v>
      </c>
      <c r="AT4" s="226">
        <f t="shared" si="8"/>
        <v>7.926632058</v>
      </c>
      <c r="AU4" s="226">
        <f t="shared" si="8"/>
        <v>7.107730317</v>
      </c>
      <c r="AV4" s="226">
        <f t="shared" si="8"/>
        <v>5.497049807</v>
      </c>
      <c r="AW4" s="226">
        <f t="shared" si="8"/>
        <v>6.858171672</v>
      </c>
      <c r="AX4" s="226">
        <f t="shared" si="8"/>
        <v>7.761632679</v>
      </c>
      <c r="AY4" s="226">
        <f t="shared" si="8"/>
        <v>7.428149164</v>
      </c>
      <c r="AZ4" s="226"/>
      <c r="BA4" s="226">
        <f t="shared" ref="BA4:BP4" si="9">STDEV(BA5:BA24)</f>
        <v>5.71962317</v>
      </c>
      <c r="BB4" s="226">
        <f t="shared" si="9"/>
        <v>4.822592964</v>
      </c>
      <c r="BC4" s="226">
        <f t="shared" si="9"/>
        <v>4.59562538</v>
      </c>
      <c r="BD4" s="226">
        <f t="shared" si="9"/>
        <v>5.036136677</v>
      </c>
      <c r="BE4" s="226">
        <f t="shared" si="9"/>
        <v>6.067325692</v>
      </c>
      <c r="BF4" s="226">
        <f t="shared" si="9"/>
        <v>2.964087638</v>
      </c>
      <c r="BG4" s="226">
        <f t="shared" si="9"/>
        <v>3.973356661</v>
      </c>
      <c r="BH4" s="226">
        <f t="shared" si="9"/>
        <v>5.037061879</v>
      </c>
      <c r="BI4" s="226">
        <f t="shared" si="9"/>
        <v>4.478440871</v>
      </c>
      <c r="BJ4" s="226">
        <f t="shared" si="9"/>
        <v>5.445309401</v>
      </c>
      <c r="BK4" s="226">
        <f t="shared" si="9"/>
        <v>6.571584444</v>
      </c>
      <c r="BL4" s="226">
        <f t="shared" si="9"/>
        <v>4.631061575</v>
      </c>
      <c r="BM4" s="226">
        <f t="shared" si="9"/>
        <v>5.452722159</v>
      </c>
      <c r="BN4" s="226">
        <f t="shared" si="9"/>
        <v>6.014023327</v>
      </c>
      <c r="BO4" s="226">
        <f t="shared" si="9"/>
        <v>2.368291134</v>
      </c>
      <c r="BP4" s="226">
        <f t="shared" si="9"/>
        <v>4.732135492</v>
      </c>
      <c r="BQ4" s="226"/>
      <c r="BR4" s="226">
        <f t="shared" ref="BR4:CG4" si="10">STDEV(BR5:BR24)</f>
        <v>5.982043393</v>
      </c>
      <c r="BS4" s="226">
        <f t="shared" si="10"/>
        <v>5.527389671</v>
      </c>
      <c r="BT4" s="226">
        <f t="shared" si="10"/>
        <v>6.600068261</v>
      </c>
      <c r="BU4" s="226">
        <f t="shared" si="10"/>
        <v>5.617175611</v>
      </c>
      <c r="BV4" s="226">
        <f t="shared" si="10"/>
        <v>5.01065927</v>
      </c>
      <c r="BW4" s="226">
        <f t="shared" si="10"/>
        <v>5.471967798</v>
      </c>
      <c r="BX4" s="226">
        <f t="shared" si="10"/>
        <v>6.466176349</v>
      </c>
      <c r="BY4" s="226">
        <f t="shared" si="10"/>
        <v>5.847211121</v>
      </c>
      <c r="BZ4" s="226">
        <f t="shared" si="10"/>
        <v>4.646655702</v>
      </c>
      <c r="CA4" s="226">
        <f t="shared" si="10"/>
        <v>6.106457669</v>
      </c>
      <c r="CB4" s="226">
        <f t="shared" si="10"/>
        <v>5.075944791</v>
      </c>
      <c r="CC4" s="226">
        <f t="shared" si="10"/>
        <v>3.085312575</v>
      </c>
      <c r="CD4" s="226">
        <f t="shared" si="10"/>
        <v>2.271435901</v>
      </c>
      <c r="CE4" s="226">
        <f t="shared" si="10"/>
        <v>3.760392477</v>
      </c>
      <c r="CF4" s="226">
        <f t="shared" si="10"/>
        <v>5.14200391</v>
      </c>
      <c r="CG4" s="226">
        <f t="shared" si="10"/>
        <v>7.400918773</v>
      </c>
      <c r="CH4" s="226"/>
      <c r="CI4" s="226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61">
        <v>42.416999999999994</v>
      </c>
      <c r="C26" s="261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62" t="s">
        <v>429</v>
      </c>
      <c r="B28" s="263" t="s">
        <v>24</v>
      </c>
      <c r="C28" s="263" t="s">
        <v>317</v>
      </c>
      <c r="D28" s="263" t="s">
        <v>356</v>
      </c>
      <c r="E28" s="263" t="s">
        <v>358</v>
      </c>
      <c r="F28" s="263" t="s">
        <v>360</v>
      </c>
      <c r="G28" s="264" t="s">
        <v>189</v>
      </c>
      <c r="J28" s="20" t="s">
        <v>24</v>
      </c>
      <c r="K28" s="20" t="s">
        <v>317</v>
      </c>
      <c r="L28" s="20" t="s">
        <v>356</v>
      </c>
      <c r="M28" s="20" t="s">
        <v>358</v>
      </c>
      <c r="N28" s="20" t="s">
        <v>360</v>
      </c>
      <c r="O28" s="20" t="s">
        <v>189</v>
      </c>
      <c r="Q28" s="265" t="s">
        <v>430</v>
      </c>
      <c r="R28" s="266" t="s">
        <v>24</v>
      </c>
      <c r="S28" s="266" t="s">
        <v>317</v>
      </c>
      <c r="T28" s="266" t="s">
        <v>356</v>
      </c>
      <c r="U28" s="266" t="s">
        <v>358</v>
      </c>
      <c r="V28" s="266" t="s">
        <v>360</v>
      </c>
      <c r="W28" s="266" t="s">
        <v>189</v>
      </c>
      <c r="X28" s="267" t="s">
        <v>359</v>
      </c>
    </row>
    <row r="29">
      <c r="A29" s="455" t="s">
        <v>419</v>
      </c>
      <c r="B29" s="456">
        <v>46.715500000000006</v>
      </c>
      <c r="C29" s="456">
        <v>38.2205</v>
      </c>
      <c r="D29" s="456">
        <v>44.9875</v>
      </c>
      <c r="E29" s="456">
        <v>41.78500000000001</v>
      </c>
      <c r="F29" s="456">
        <v>43.9905</v>
      </c>
      <c r="G29" s="274">
        <f t="shared" ref="G29:G44" si="13">AVERAGE(B29:F29)</f>
        <v>43.1398</v>
      </c>
      <c r="I29" s="20" t="s">
        <v>179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57" t="s">
        <v>419</v>
      </c>
      <c r="R29" s="299">
        <v>0.5050765267464783</v>
      </c>
      <c r="S29" s="458">
        <v>0.5205455499213123</v>
      </c>
      <c r="T29" s="278">
        <v>1.0</v>
      </c>
      <c r="U29" s="459">
        <v>0.8914223153084544</v>
      </c>
      <c r="V29" s="460">
        <v>0.7219654340836019</v>
      </c>
      <c r="W29" s="278">
        <v>0.7278019652119694</v>
      </c>
      <c r="X29" s="461">
        <f t="shared" ref="X29:X44" si="16">STDEV(R29:V29)</f>
        <v>0.2199200405</v>
      </c>
      <c r="AA29" s="462">
        <f t="shared" ref="AA29:AE29" si="12">R29+R31+R33+R34</f>
        <v>2.735717533</v>
      </c>
      <c r="AB29" s="462">
        <f t="shared" si="12"/>
        <v>1.877426123</v>
      </c>
      <c r="AC29" s="462">
        <f t="shared" si="12"/>
        <v>2.723284101</v>
      </c>
      <c r="AD29" s="462">
        <f t="shared" si="12"/>
        <v>2.967678979</v>
      </c>
      <c r="AE29" s="462">
        <f t="shared" si="12"/>
        <v>2.83551045</v>
      </c>
    </row>
    <row r="30">
      <c r="A30" s="463" t="s">
        <v>420</v>
      </c>
      <c r="B30" s="464">
        <v>47.93000000000001</v>
      </c>
      <c r="C30" s="464">
        <v>37.914</v>
      </c>
      <c r="D30" s="464">
        <v>40.967000000000006</v>
      </c>
      <c r="E30" s="464">
        <v>41.7855</v>
      </c>
      <c r="F30" s="464">
        <v>44.456</v>
      </c>
      <c r="G30" s="465">
        <f t="shared" si="13"/>
        <v>42.6105</v>
      </c>
      <c r="I30" s="20" t="s">
        <v>31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66" t="s">
        <v>420</v>
      </c>
      <c r="R30" s="467">
        <v>0.6891195635702401</v>
      </c>
      <c r="S30" s="468">
        <v>0.413358978842453</v>
      </c>
      <c r="T30" s="355">
        <v>0.682450043440487</v>
      </c>
      <c r="U30" s="459">
        <v>0.8914699162223907</v>
      </c>
      <c r="V30" s="469">
        <v>0.8155144694533778</v>
      </c>
      <c r="W30" s="470">
        <v>0.6983825943057898</v>
      </c>
      <c r="X30" s="471">
        <f t="shared" si="16"/>
        <v>0.1820581647</v>
      </c>
      <c r="Z30" s="34" t="s">
        <v>419</v>
      </c>
      <c r="AA30" s="292">
        <f t="shared" ref="AA30:AE30" si="17">R29/AA$29</f>
        <v>0.1846230543</v>
      </c>
      <c r="AB30" s="292">
        <f t="shared" si="17"/>
        <v>0.2772655304</v>
      </c>
      <c r="AC30" s="292">
        <f t="shared" si="17"/>
        <v>0.3672037007</v>
      </c>
      <c r="AD30" s="292">
        <f t="shared" si="17"/>
        <v>0.3003769348</v>
      </c>
      <c r="AE30" s="292">
        <f t="shared" si="17"/>
        <v>0.2546156845</v>
      </c>
    </row>
    <row r="31">
      <c r="A31" s="455" t="s">
        <v>418</v>
      </c>
      <c r="B31" s="456">
        <v>45.01349999999999</v>
      </c>
      <c r="C31" s="456">
        <v>38.221500000000006</v>
      </c>
      <c r="D31" s="456">
        <v>41.758</v>
      </c>
      <c r="E31" s="456">
        <v>42.92550000000001</v>
      </c>
      <c r="F31" s="456">
        <v>44.4</v>
      </c>
      <c r="G31" s="472">
        <f t="shared" si="13"/>
        <v>42.4637</v>
      </c>
      <c r="I31" s="20" t="s">
        <v>290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57" t="s">
        <v>426</v>
      </c>
      <c r="R31" s="373">
        <v>0.6841188058796792</v>
      </c>
      <c r="S31" s="473">
        <v>0.4623185871655888</v>
      </c>
      <c r="T31" s="340">
        <v>0.826435510623174</v>
      </c>
      <c r="U31" s="474">
        <v>0.5551694592536172</v>
      </c>
      <c r="V31" s="475">
        <v>0.8580184887459819</v>
      </c>
      <c r="W31" s="476">
        <v>0.6772121703336083</v>
      </c>
      <c r="X31" s="477">
        <f t="shared" si="16"/>
        <v>0.1703525074</v>
      </c>
      <c r="Z31" s="34" t="s">
        <v>426</v>
      </c>
      <c r="AA31" s="292">
        <f t="shared" ref="AA31:AE31" si="19">R31/AA$29</f>
        <v>0.2500692406</v>
      </c>
      <c r="AB31" s="292">
        <f t="shared" si="19"/>
        <v>0.2462512806</v>
      </c>
      <c r="AC31" s="292">
        <f t="shared" si="19"/>
        <v>0.3034701779</v>
      </c>
      <c r="AD31" s="292">
        <f t="shared" si="19"/>
        <v>0.1870719384</v>
      </c>
      <c r="AE31" s="292">
        <f t="shared" si="19"/>
        <v>0.3025975407</v>
      </c>
      <c r="AL31" s="20"/>
      <c r="AM31" s="20"/>
    </row>
    <row r="32">
      <c r="A32" s="463" t="s">
        <v>426</v>
      </c>
      <c r="B32" s="464">
        <v>47.897</v>
      </c>
      <c r="C32" s="464">
        <v>38.05400000000001</v>
      </c>
      <c r="D32" s="464">
        <v>42.790000000000006</v>
      </c>
      <c r="E32" s="464">
        <v>38.253</v>
      </c>
      <c r="F32" s="464">
        <v>44.667500000000004</v>
      </c>
      <c r="G32" s="478">
        <f t="shared" si="13"/>
        <v>42.3323</v>
      </c>
      <c r="I32" s="20" t="s">
        <v>32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66" t="s">
        <v>418</v>
      </c>
      <c r="R32" s="429">
        <v>0.24715866040309198</v>
      </c>
      <c r="S32" s="458">
        <v>0.5208952614093363</v>
      </c>
      <c r="T32" s="479">
        <v>0.7449253613458655</v>
      </c>
      <c r="U32" s="278">
        <v>1.0</v>
      </c>
      <c r="V32" s="480">
        <v>0.804260450160772</v>
      </c>
      <c r="W32" s="481">
        <v>0.6634479466638131</v>
      </c>
      <c r="X32" s="482">
        <f t="shared" si="16"/>
        <v>0.2886832402</v>
      </c>
      <c r="Z32" s="34" t="s">
        <v>424</v>
      </c>
      <c r="AA32" s="292">
        <f t="shared" ref="AA32:AE32" si="21">R33/AA$29</f>
        <v>0.3655348142</v>
      </c>
      <c r="AB32" s="292">
        <f t="shared" si="21"/>
        <v>0.3864207879</v>
      </c>
      <c r="AC32" s="292">
        <f t="shared" si="21"/>
        <v>0</v>
      </c>
      <c r="AD32" s="292">
        <f t="shared" si="21"/>
        <v>0.2977624509</v>
      </c>
      <c r="AE32" s="292">
        <f t="shared" si="21"/>
        <v>0.2231120876</v>
      </c>
    </row>
    <row r="33">
      <c r="A33" s="455" t="s">
        <v>388</v>
      </c>
      <c r="B33" s="456">
        <v>46.989</v>
      </c>
      <c r="C33" s="456">
        <v>37.2155</v>
      </c>
      <c r="D33" s="456">
        <v>43.68150000000001</v>
      </c>
      <c r="E33" s="456">
        <v>39.117000000000004</v>
      </c>
      <c r="F33" s="456">
        <v>43.4975</v>
      </c>
      <c r="G33" s="483">
        <f t="shared" si="13"/>
        <v>42.1001</v>
      </c>
      <c r="I33" s="20" t="s">
        <v>417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57" t="s">
        <v>424</v>
      </c>
      <c r="R33" s="278">
        <v>1.0</v>
      </c>
      <c r="S33" s="460">
        <v>0.725476481902426</v>
      </c>
      <c r="T33" s="290">
        <v>0.0</v>
      </c>
      <c r="U33" s="484">
        <v>0.8836633663366338</v>
      </c>
      <c r="V33" s="485">
        <v>0.6326366559485557</v>
      </c>
      <c r="W33" s="351">
        <v>0.6483553008375231</v>
      </c>
      <c r="X33" s="486">
        <f t="shared" si="16"/>
        <v>0.3890961413</v>
      </c>
      <c r="Z33" s="34" t="s">
        <v>388</v>
      </c>
      <c r="AA33" s="292">
        <f t="shared" ref="AA33:AE33" si="23">R34/AA$29</f>
        <v>0.1997728909</v>
      </c>
      <c r="AB33" s="292">
        <f t="shared" si="23"/>
        <v>0.09006240104</v>
      </c>
      <c r="AC33" s="292">
        <f t="shared" si="23"/>
        <v>0.3293261213</v>
      </c>
      <c r="AD33" s="292">
        <f t="shared" si="23"/>
        <v>0.2147886759</v>
      </c>
      <c r="AE33" s="292">
        <f t="shared" si="23"/>
        <v>0.2196746873</v>
      </c>
    </row>
    <row r="34">
      <c r="A34" s="463" t="s">
        <v>290</v>
      </c>
      <c r="B34" s="464">
        <v>46.6455</v>
      </c>
      <c r="C34" s="464">
        <v>37.9485</v>
      </c>
      <c r="D34" s="464">
        <v>41.493</v>
      </c>
      <c r="E34" s="464">
        <v>39.624</v>
      </c>
      <c r="F34" s="464">
        <v>42.928000000000004</v>
      </c>
      <c r="G34" s="487">
        <f t="shared" si="13"/>
        <v>41.7278</v>
      </c>
      <c r="I34" s="20" t="s">
        <v>418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57" t="s">
        <v>388</v>
      </c>
      <c r="R34" s="488">
        <v>0.5465222003333841</v>
      </c>
      <c r="S34" s="288">
        <v>0.16908550445881865</v>
      </c>
      <c r="T34" s="489">
        <v>0.896848590158756</v>
      </c>
      <c r="U34" s="490">
        <v>0.6374238385376998</v>
      </c>
      <c r="V34" s="375">
        <v>0.6228898713826378</v>
      </c>
      <c r="W34" s="427">
        <v>0.5745540009742592</v>
      </c>
      <c r="X34" s="491">
        <f t="shared" si="16"/>
        <v>0.2623705674</v>
      </c>
    </row>
    <row r="35">
      <c r="A35" s="455" t="s">
        <v>417</v>
      </c>
      <c r="B35" s="456">
        <v>44.73350000000001</v>
      </c>
      <c r="C35" s="456">
        <v>38.43700000000001</v>
      </c>
      <c r="D35" s="456">
        <v>41.733</v>
      </c>
      <c r="E35" s="456">
        <v>40.391000000000005</v>
      </c>
      <c r="F35" s="456">
        <v>42.17299999999999</v>
      </c>
      <c r="G35" s="492">
        <f t="shared" si="13"/>
        <v>41.4935</v>
      </c>
      <c r="I35" s="20" t="s">
        <v>419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493" t="s">
        <v>290</v>
      </c>
      <c r="R35" s="494">
        <v>0.49446885891801884</v>
      </c>
      <c r="S35" s="495">
        <v>0.4254240251792254</v>
      </c>
      <c r="T35" s="460">
        <v>0.7239949451070218</v>
      </c>
      <c r="U35" s="467">
        <v>0.6856911652703728</v>
      </c>
      <c r="V35" s="277">
        <v>0.5084405144694557</v>
      </c>
      <c r="W35" s="300">
        <v>0.5676039017888189</v>
      </c>
      <c r="X35" s="319">
        <f t="shared" si="16"/>
        <v>0.1298719739</v>
      </c>
    </row>
    <row r="36">
      <c r="A36" s="463" t="s">
        <v>424</v>
      </c>
      <c r="B36" s="464">
        <v>49.9815</v>
      </c>
      <c r="C36" s="464">
        <v>38.8065</v>
      </c>
      <c r="D36" s="464">
        <v>32.3265</v>
      </c>
      <c r="E36" s="464">
        <v>41.703500000000005</v>
      </c>
      <c r="F36" s="464">
        <v>43.54600000000001</v>
      </c>
      <c r="G36" s="496">
        <f t="shared" si="13"/>
        <v>41.2728</v>
      </c>
      <c r="I36" s="20" t="s">
        <v>387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66" t="s">
        <v>421</v>
      </c>
      <c r="R36" s="497">
        <v>0.8323988483103513</v>
      </c>
      <c r="S36" s="498">
        <v>0.5983563560062937</v>
      </c>
      <c r="T36" s="499">
        <v>0.2508885554063669</v>
      </c>
      <c r="U36" s="500">
        <v>0.7150133282559015</v>
      </c>
      <c r="V36" s="279">
        <v>0.3881631832797421</v>
      </c>
      <c r="W36" s="501">
        <v>0.5569640542517311</v>
      </c>
      <c r="X36" s="502">
        <f t="shared" si="16"/>
        <v>0.2370301492</v>
      </c>
      <c r="Z36" s="20" t="s">
        <v>439</v>
      </c>
    </row>
    <row r="37">
      <c r="A37" s="455" t="s">
        <v>32</v>
      </c>
      <c r="B37" s="456">
        <v>44.67500000000001</v>
      </c>
      <c r="C37" s="456">
        <v>37.47700000000001</v>
      </c>
      <c r="D37" s="456">
        <v>41.615</v>
      </c>
      <c r="E37" s="456">
        <v>39.63100000000001</v>
      </c>
      <c r="F37" s="456">
        <v>42.8075</v>
      </c>
      <c r="G37" s="503">
        <f t="shared" si="13"/>
        <v>41.2411</v>
      </c>
      <c r="I37" s="20" t="s">
        <v>388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46"/>
      <c r="Q37" s="493" t="s">
        <v>387</v>
      </c>
      <c r="R37" s="504">
        <v>0.9330201545688759</v>
      </c>
      <c r="S37" s="505">
        <v>0.32051057877250955</v>
      </c>
      <c r="T37" s="506">
        <v>0.26388121001500675</v>
      </c>
      <c r="U37" s="355">
        <v>0.6811690784463051</v>
      </c>
      <c r="V37" s="488">
        <v>0.545819935691318</v>
      </c>
      <c r="W37" s="507">
        <v>0.5488801914988031</v>
      </c>
      <c r="X37" s="508">
        <f t="shared" si="16"/>
        <v>0.2731530365</v>
      </c>
      <c r="Y37" s="246"/>
      <c r="Z37" s="509" t="s">
        <v>440</v>
      </c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6"/>
      <c r="BB37" s="246"/>
      <c r="BC37" s="246"/>
      <c r="BD37" s="246"/>
      <c r="BE37" s="246"/>
      <c r="BF37" s="246"/>
      <c r="BG37" s="246"/>
      <c r="BH37" s="246"/>
      <c r="BI37" s="246"/>
      <c r="BJ37" s="246"/>
      <c r="BK37" s="246"/>
      <c r="BL37" s="246"/>
      <c r="BM37" s="246"/>
      <c r="BN37" s="246"/>
      <c r="BO37" s="246"/>
      <c r="BP37" s="246"/>
      <c r="BQ37" s="246"/>
      <c r="BR37" s="246"/>
      <c r="BS37" s="246"/>
      <c r="BT37" s="246"/>
      <c r="BU37" s="246"/>
      <c r="BV37" s="246"/>
      <c r="BW37" s="246"/>
      <c r="BX37" s="246"/>
      <c r="BY37" s="246"/>
      <c r="BZ37" s="246"/>
      <c r="CA37" s="246"/>
      <c r="CB37" s="246"/>
      <c r="CC37" s="246"/>
      <c r="CD37" s="246"/>
      <c r="CE37" s="246"/>
      <c r="CF37" s="246"/>
      <c r="CG37" s="246"/>
      <c r="CH37" s="246"/>
      <c r="CI37" s="246"/>
    </row>
    <row r="38">
      <c r="A38" s="463" t="s">
        <v>387</v>
      </c>
      <c r="B38" s="464">
        <v>49.539500000000004</v>
      </c>
      <c r="C38" s="464">
        <v>37.6485</v>
      </c>
      <c r="D38" s="464">
        <v>35.667500000000004</v>
      </c>
      <c r="E38" s="464">
        <v>39.576499999999996</v>
      </c>
      <c r="F38" s="464">
        <v>43.114</v>
      </c>
      <c r="G38" s="510">
        <f t="shared" si="13"/>
        <v>41.1092</v>
      </c>
      <c r="I38" s="20" t="s">
        <v>420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66" t="s">
        <v>417</v>
      </c>
      <c r="R38" s="511">
        <v>0.2047279890892586</v>
      </c>
      <c r="S38" s="396">
        <v>0.5962580870781604</v>
      </c>
      <c r="T38" s="328">
        <v>0.742950793776163</v>
      </c>
      <c r="U38" s="353">
        <v>0.7587109672505714</v>
      </c>
      <c r="V38" s="512">
        <v>0.3567122186495162</v>
      </c>
      <c r="W38" s="513">
        <v>0.531872011168734</v>
      </c>
      <c r="X38" s="410">
        <f t="shared" si="16"/>
        <v>0.2438544111</v>
      </c>
    </row>
    <row r="39">
      <c r="A39" s="455" t="s">
        <v>421</v>
      </c>
      <c r="B39" s="456">
        <v>48.8755</v>
      </c>
      <c r="C39" s="456">
        <v>38.443000000000005</v>
      </c>
      <c r="D39" s="456">
        <v>35.503000000000014</v>
      </c>
      <c r="E39" s="456">
        <v>39.931999999999995</v>
      </c>
      <c r="F39" s="456">
        <v>42.32949999999999</v>
      </c>
      <c r="G39" s="403">
        <f t="shared" si="13"/>
        <v>41.0166</v>
      </c>
      <c r="I39" s="20" t="s">
        <v>421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493" t="s">
        <v>425</v>
      </c>
      <c r="R39" s="514">
        <v>0.09948477041976211</v>
      </c>
      <c r="S39" s="302">
        <v>0.6733694701870885</v>
      </c>
      <c r="T39" s="515">
        <v>0.8687307479661959</v>
      </c>
      <c r="U39" s="290">
        <v>0.0</v>
      </c>
      <c r="V39" s="278">
        <v>1.0</v>
      </c>
      <c r="W39" s="516">
        <v>0.5283169977146093</v>
      </c>
      <c r="X39" s="291">
        <f t="shared" si="16"/>
        <v>0.4534375715</v>
      </c>
    </row>
    <row r="40">
      <c r="A40" s="463" t="s">
        <v>31</v>
      </c>
      <c r="B40" s="517">
        <v>45.84750000000001</v>
      </c>
      <c r="C40" s="517">
        <v>36.732000000000006</v>
      </c>
      <c r="D40" s="517">
        <v>40.224500000000006</v>
      </c>
      <c r="E40" s="517">
        <v>39.12349999999999</v>
      </c>
      <c r="F40" s="517">
        <v>42.9755</v>
      </c>
      <c r="G40" s="518">
        <f t="shared" si="13"/>
        <v>40.9806</v>
      </c>
      <c r="I40" s="20" t="s">
        <v>422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66" t="s">
        <v>423</v>
      </c>
      <c r="R40" s="519">
        <v>0.266631307773908</v>
      </c>
      <c r="S40" s="278">
        <v>1.0</v>
      </c>
      <c r="T40" s="490">
        <v>0.63786430771661</v>
      </c>
      <c r="U40" s="352">
        <v>0.3083111195734958</v>
      </c>
      <c r="V40" s="520">
        <v>0.21744372990353789</v>
      </c>
      <c r="W40" s="512">
        <v>0.4860500929935103</v>
      </c>
      <c r="X40" s="521">
        <f t="shared" si="16"/>
        <v>0.3313144982</v>
      </c>
    </row>
    <row r="41">
      <c r="A41" s="455" t="s">
        <v>425</v>
      </c>
      <c r="B41" s="456">
        <v>44.039</v>
      </c>
      <c r="C41" s="456">
        <v>38.65749999999999</v>
      </c>
      <c r="D41" s="456">
        <v>43.325500000000005</v>
      </c>
      <c r="E41" s="456">
        <v>32.4215</v>
      </c>
      <c r="F41" s="456">
        <v>45.374</v>
      </c>
      <c r="G41" s="522">
        <f t="shared" si="13"/>
        <v>40.7635</v>
      </c>
      <c r="I41" s="20" t="s">
        <v>423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493" t="s">
        <v>32</v>
      </c>
      <c r="R41" s="417">
        <v>0.19586300954690383</v>
      </c>
      <c r="S41" s="329">
        <v>0.260535058576675</v>
      </c>
      <c r="T41" s="523">
        <v>0.7336308348471685</v>
      </c>
      <c r="U41" s="467">
        <v>0.6863575780654991</v>
      </c>
      <c r="V41" s="409">
        <v>0.4842242765273319</v>
      </c>
      <c r="W41" s="505">
        <v>0.4721221515127157</v>
      </c>
      <c r="X41" s="441">
        <f t="shared" si="16"/>
        <v>0.2426511293</v>
      </c>
    </row>
    <row r="42">
      <c r="A42" s="463" t="s">
        <v>423</v>
      </c>
      <c r="B42" s="464">
        <v>45.14200000000001</v>
      </c>
      <c r="C42" s="464">
        <v>39.59150000000001</v>
      </c>
      <c r="D42" s="464">
        <v>40.402499999999996</v>
      </c>
      <c r="E42" s="464">
        <v>35.660000000000004</v>
      </c>
      <c r="F42" s="464">
        <v>41.48</v>
      </c>
      <c r="G42" s="524">
        <f t="shared" si="13"/>
        <v>40.4552</v>
      </c>
      <c r="I42" s="20" t="s">
        <v>424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66" t="s">
        <v>31</v>
      </c>
      <c r="R42" s="436">
        <v>0.37354144567358993</v>
      </c>
      <c r="S42" s="290">
        <v>0.0</v>
      </c>
      <c r="T42" s="375">
        <v>0.6238053866203308</v>
      </c>
      <c r="U42" s="490">
        <v>0.6380426504188867</v>
      </c>
      <c r="V42" s="458">
        <v>0.5179863344051441</v>
      </c>
      <c r="W42" s="525">
        <v>0.4306751634235903</v>
      </c>
      <c r="X42" s="491">
        <f t="shared" si="16"/>
        <v>0.2629967473</v>
      </c>
    </row>
    <row r="43">
      <c r="A43" s="455" t="s">
        <v>179</v>
      </c>
      <c r="B43" s="272">
        <v>43.38249999999999</v>
      </c>
      <c r="C43" s="272">
        <v>37.665</v>
      </c>
      <c r="D43" s="272">
        <v>36.46750000000001</v>
      </c>
      <c r="E43" s="272">
        <v>41.4005</v>
      </c>
      <c r="F43" s="272">
        <v>42.416999999999994</v>
      </c>
      <c r="G43" s="526">
        <f t="shared" si="13"/>
        <v>40.2665</v>
      </c>
      <c r="I43" s="20" t="s">
        <v>425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27" t="s">
        <v>179</v>
      </c>
      <c r="R43" s="528">
        <v>0.0</v>
      </c>
      <c r="S43" s="529">
        <v>0.32628081832487865</v>
      </c>
      <c r="T43" s="529">
        <v>0.3270673722454789</v>
      </c>
      <c r="U43" s="530">
        <v>0.8548172124904796</v>
      </c>
      <c r="V43" s="531">
        <v>0.4057475884244379</v>
      </c>
      <c r="W43" s="532">
        <v>0.382782598297055</v>
      </c>
      <c r="X43" s="533">
        <f t="shared" si="16"/>
        <v>0.3066607339</v>
      </c>
    </row>
    <row r="44">
      <c r="A44" s="534" t="s">
        <v>422</v>
      </c>
      <c r="B44" s="535">
        <v>44.628</v>
      </c>
      <c r="C44" s="535">
        <v>37.9065</v>
      </c>
      <c r="D44" s="535">
        <v>38.6825</v>
      </c>
      <c r="E44" s="535">
        <v>39.3955</v>
      </c>
      <c r="F44" s="535">
        <v>40.397999999999996</v>
      </c>
      <c r="G44" s="447">
        <f t="shared" si="13"/>
        <v>40.2021</v>
      </c>
      <c r="I44" s="20" t="s">
        <v>426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36" t="s">
        <v>422</v>
      </c>
      <c r="R44" s="537">
        <v>0.1887407182906511</v>
      </c>
      <c r="S44" s="538">
        <v>0.41073614268228376</v>
      </c>
      <c r="T44" s="539">
        <v>0.502014058921096</v>
      </c>
      <c r="U44" s="540">
        <v>0.6639375476009133</v>
      </c>
      <c r="V44" s="450">
        <v>0.0</v>
      </c>
      <c r="W44" s="450">
        <v>0.35308569349898883</v>
      </c>
      <c r="X44" s="541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432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433</v>
      </c>
    </row>
    <row r="48">
      <c r="A48" s="20" t="s">
        <v>434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435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436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288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441</v>
      </c>
      <c r="L1" s="84"/>
    </row>
    <row r="2">
      <c r="L2" s="84"/>
    </row>
    <row r="3">
      <c r="A3" s="20" t="s">
        <v>442</v>
      </c>
      <c r="L3" s="84"/>
    </row>
    <row r="4">
      <c r="B4" s="20" t="s">
        <v>443</v>
      </c>
      <c r="G4" s="20" t="s">
        <v>293</v>
      </c>
      <c r="L4" s="84"/>
    </row>
    <row r="5">
      <c r="A5" s="19" t="s">
        <v>16</v>
      </c>
      <c r="B5" s="115">
        <v>0.664848456</v>
      </c>
      <c r="C5" s="247"/>
      <c r="D5" s="247"/>
      <c r="E5" s="247"/>
      <c r="F5" s="247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18</v>
      </c>
      <c r="B6" s="115">
        <v>0.664304152</v>
      </c>
      <c r="C6" s="247"/>
      <c r="D6" s="247"/>
      <c r="E6" s="247"/>
      <c r="F6" s="247"/>
      <c r="G6" s="115">
        <v>0.734990728</v>
      </c>
      <c r="H6" s="101">
        <f t="shared" si="1"/>
        <v>0.106406946</v>
      </c>
      <c r="L6" s="84"/>
    </row>
    <row r="7">
      <c r="A7" s="16" t="s">
        <v>19</v>
      </c>
      <c r="B7" s="115">
        <v>0.67680879</v>
      </c>
      <c r="C7" s="247"/>
      <c r="D7" s="247"/>
      <c r="E7" s="247"/>
      <c r="F7" s="247"/>
      <c r="G7" s="115">
        <v>0.798889936</v>
      </c>
      <c r="H7" s="101">
        <f t="shared" si="1"/>
        <v>0.1803776012</v>
      </c>
      <c r="L7" s="84"/>
    </row>
    <row r="8">
      <c r="A8" s="16" t="s">
        <v>20</v>
      </c>
      <c r="B8" s="115">
        <v>0.317632128</v>
      </c>
      <c r="C8" s="247"/>
      <c r="D8" s="247"/>
      <c r="E8" s="247"/>
      <c r="F8" s="247"/>
      <c r="G8" s="115">
        <v>0.384549825</v>
      </c>
      <c r="H8" s="101">
        <f t="shared" si="1"/>
        <v>0.2106767266</v>
      </c>
      <c r="L8" s="84"/>
    </row>
    <row r="9">
      <c r="A9" s="16" t="s">
        <v>21</v>
      </c>
      <c r="B9" s="115">
        <v>0.598124706</v>
      </c>
      <c r="C9" s="247"/>
      <c r="D9" s="247"/>
      <c r="E9" s="247"/>
      <c r="F9" s="247"/>
      <c r="G9" s="115">
        <v>0.636406505</v>
      </c>
      <c r="H9" s="101">
        <f t="shared" si="1"/>
        <v>0.06400303919</v>
      </c>
      <c r="L9" s="84"/>
    </row>
    <row r="11">
      <c r="A11" s="542" t="s">
        <v>444</v>
      </c>
    </row>
    <row r="13">
      <c r="A13" s="30" t="s">
        <v>445</v>
      </c>
    </row>
    <row r="14">
      <c r="A14" s="20" t="s">
        <v>446</v>
      </c>
    </row>
    <row r="15">
      <c r="B15" s="542" t="s">
        <v>447</v>
      </c>
    </row>
    <row r="18">
      <c r="A18" s="30" t="s">
        <v>448</v>
      </c>
    </row>
    <row r="19">
      <c r="B19" s="20" t="s">
        <v>449</v>
      </c>
      <c r="F19" s="85"/>
    </row>
    <row r="20">
      <c r="B20" s="30" t="s">
        <v>450</v>
      </c>
      <c r="C20" s="32"/>
      <c r="D20" s="32"/>
      <c r="E20" s="32"/>
      <c r="F20" s="32"/>
      <c r="G20" s="30" t="s">
        <v>451</v>
      </c>
      <c r="H20" s="30" t="s">
        <v>317</v>
      </c>
      <c r="I20" s="30" t="s">
        <v>356</v>
      </c>
      <c r="J20" s="30" t="s">
        <v>358</v>
      </c>
      <c r="K20" s="30" t="s">
        <v>360</v>
      </c>
    </row>
    <row r="21">
      <c r="B21" s="30" t="s">
        <v>452</v>
      </c>
      <c r="G21" s="34">
        <v>2.575</v>
      </c>
    </row>
    <row r="23">
      <c r="K23" s="30" t="s">
        <v>453</v>
      </c>
    </row>
    <row r="24">
      <c r="A24" s="20" t="s">
        <v>454</v>
      </c>
      <c r="H24" s="20" t="s">
        <v>179</v>
      </c>
      <c r="I24" s="20" t="s">
        <v>455</v>
      </c>
      <c r="K24" s="20" t="s">
        <v>456</v>
      </c>
      <c r="L24" s="20" t="s">
        <v>457</v>
      </c>
      <c r="M24" s="20" t="s">
        <v>458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459</v>
      </c>
    </row>
    <row r="26">
      <c r="A26" s="20">
        <v>4.52</v>
      </c>
      <c r="B26" s="20">
        <v>1.19</v>
      </c>
      <c r="K26" s="20" t="s">
        <v>460</v>
      </c>
    </row>
    <row r="27">
      <c r="A27" s="20">
        <v>12.04</v>
      </c>
      <c r="B27" s="20">
        <v>2.19</v>
      </c>
      <c r="K27" s="20" t="s">
        <v>461</v>
      </c>
    </row>
    <row r="28">
      <c r="A28" s="20">
        <v>0.63</v>
      </c>
      <c r="B28" s="20">
        <v>0.05</v>
      </c>
      <c r="K28" s="20" t="s">
        <v>462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463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43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464</v>
      </c>
    </row>
    <row r="42">
      <c r="A42" s="20">
        <v>2.18</v>
      </c>
      <c r="B42" s="20">
        <v>0.69</v>
      </c>
      <c r="K42" s="20" t="s">
        <v>456</v>
      </c>
      <c r="L42" s="20" t="s">
        <v>457</v>
      </c>
      <c r="M42" s="20" t="s">
        <v>458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465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43" t="s">
        <v>466</v>
      </c>
      <c r="M54" s="544"/>
      <c r="N54" s="80" t="s">
        <v>43</v>
      </c>
      <c r="O54" s="80" t="s">
        <v>467</v>
      </c>
      <c r="P54" s="80" t="s">
        <v>468</v>
      </c>
      <c r="R54" s="21" t="s">
        <v>115</v>
      </c>
      <c r="S54" s="85">
        <v>0.15</v>
      </c>
    </row>
    <row r="55">
      <c r="A55" s="20">
        <v>0.64</v>
      </c>
      <c r="B55" s="20">
        <v>-0.12</v>
      </c>
      <c r="K55" s="16" t="s">
        <v>24</v>
      </c>
      <c r="L55" s="545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45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45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469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360</v>
      </c>
      <c r="L58" s="545">
        <v>0.57</v>
      </c>
      <c r="M58" s="75"/>
      <c r="N58" s="16">
        <v>10.0</v>
      </c>
      <c r="O58" s="16">
        <f t="shared" si="3"/>
        <v>0.855</v>
      </c>
      <c r="P58" s="16" t="s">
        <v>470</v>
      </c>
    </row>
    <row r="59">
      <c r="A59" s="20">
        <v>0.0</v>
      </c>
      <c r="B59" s="20">
        <v>0.0</v>
      </c>
      <c r="K59" s="75"/>
      <c r="L59" s="545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471</v>
      </c>
    </row>
    <row r="61">
      <c r="A61" s="20">
        <v>0.65</v>
      </c>
      <c r="B61" s="20">
        <v>0.02</v>
      </c>
      <c r="K61" s="16" t="s">
        <v>358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356</v>
      </c>
      <c r="L64" s="16">
        <v>0.42</v>
      </c>
      <c r="M64" s="75"/>
      <c r="N64" s="16">
        <v>80.0</v>
      </c>
      <c r="O64" s="546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46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47"/>
      <c r="N66" s="16">
        <v>5.0</v>
      </c>
      <c r="O66" s="546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46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46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46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317</v>
      </c>
      <c r="L70" s="16">
        <v>0.66</v>
      </c>
      <c r="M70" s="75"/>
      <c r="N70" s="16">
        <v>100.0</v>
      </c>
      <c r="O70" s="546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46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33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472</v>
      </c>
    </row>
    <row r="90">
      <c r="A90" s="20">
        <v>3.62</v>
      </c>
      <c r="B90" s="20">
        <v>0.95</v>
      </c>
      <c r="K90" s="30" t="s">
        <v>473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2"/>
      <c r="I97" s="42"/>
      <c r="J97" s="42"/>
    </row>
    <row r="98">
      <c r="A98" s="20">
        <v>3.74</v>
      </c>
      <c r="B98" s="20">
        <v>3.15</v>
      </c>
      <c r="G98" s="21"/>
      <c r="H98" s="42"/>
      <c r="I98" s="42"/>
      <c r="J98" s="42"/>
    </row>
    <row r="99">
      <c r="A99" s="20">
        <v>1.26</v>
      </c>
      <c r="B99" s="20">
        <v>0.21</v>
      </c>
      <c r="G99" s="21"/>
      <c r="H99" s="42"/>
      <c r="I99" s="42"/>
      <c r="J99" s="42"/>
    </row>
    <row r="100">
      <c r="A100" s="20">
        <v>5.08</v>
      </c>
      <c r="B100" s="20">
        <v>17.28</v>
      </c>
      <c r="G100" s="21"/>
      <c r="H100" s="42"/>
      <c r="I100" s="42"/>
      <c r="J100" s="42"/>
    </row>
    <row r="101">
      <c r="A101" s="20">
        <v>1.23</v>
      </c>
      <c r="B101" s="20">
        <v>0.33</v>
      </c>
      <c r="G101" s="21"/>
      <c r="H101" s="42"/>
      <c r="I101" s="42"/>
      <c r="J101" s="42"/>
    </row>
    <row r="102">
      <c r="A102" s="20">
        <v>4.36</v>
      </c>
      <c r="B102" s="20">
        <v>4.08</v>
      </c>
      <c r="G102" s="21"/>
      <c r="H102" s="42"/>
      <c r="I102" s="42"/>
      <c r="J102" s="42"/>
    </row>
    <row r="103">
      <c r="A103" s="20">
        <v>3.19</v>
      </c>
      <c r="B103" s="20">
        <v>2.93</v>
      </c>
      <c r="G103" s="21"/>
      <c r="H103" s="42"/>
      <c r="I103" s="42"/>
      <c r="J103" s="42"/>
    </row>
    <row r="104">
      <c r="A104" s="20">
        <v>2.77</v>
      </c>
      <c r="B104" s="20">
        <v>2.09</v>
      </c>
      <c r="G104" s="21"/>
      <c r="H104" s="42"/>
      <c r="I104" s="42"/>
      <c r="J104" s="42"/>
    </row>
    <row r="105">
      <c r="A105" s="20">
        <v>2.81</v>
      </c>
      <c r="B105" s="20">
        <v>2.32</v>
      </c>
      <c r="G105" s="21"/>
      <c r="H105" s="42"/>
      <c r="I105" s="42"/>
      <c r="J105" s="42"/>
    </row>
    <row r="106">
      <c r="A106" s="20">
        <v>3.73</v>
      </c>
      <c r="B106" s="20">
        <v>9.35</v>
      </c>
      <c r="G106" s="21"/>
      <c r="H106" s="42"/>
      <c r="I106" s="42"/>
      <c r="J106" s="42"/>
    </row>
    <row r="107">
      <c r="A107" s="20">
        <v>0.58</v>
      </c>
      <c r="B107" s="20">
        <v>0.03</v>
      </c>
      <c r="G107" s="21"/>
      <c r="H107" s="42"/>
      <c r="I107" s="42"/>
      <c r="J107" s="42"/>
    </row>
    <row r="108">
      <c r="A108" s="20">
        <v>3.44</v>
      </c>
      <c r="B108" s="20">
        <v>2.81</v>
      </c>
      <c r="G108" s="21"/>
      <c r="H108" s="42"/>
      <c r="I108" s="42"/>
      <c r="J108" s="42"/>
    </row>
    <row r="109">
      <c r="A109" s="20">
        <v>3.5</v>
      </c>
      <c r="B109" s="20">
        <v>7.09</v>
      </c>
      <c r="G109" s="21"/>
      <c r="H109" s="42"/>
      <c r="I109" s="42"/>
      <c r="J109" s="42"/>
    </row>
    <row r="110">
      <c r="A110" s="20">
        <v>2.31</v>
      </c>
      <c r="B110" s="20">
        <v>0.91</v>
      </c>
      <c r="G110" s="21"/>
      <c r="H110" s="42"/>
      <c r="I110" s="42"/>
      <c r="J110" s="42"/>
    </row>
    <row r="111">
      <c r="A111" s="20">
        <v>0.56</v>
      </c>
      <c r="B111" s="20">
        <v>0.03</v>
      </c>
      <c r="G111" s="21"/>
      <c r="H111" s="42"/>
      <c r="I111" s="42"/>
      <c r="J111" s="42"/>
    </row>
    <row r="112">
      <c r="A112" s="20">
        <v>2.96</v>
      </c>
      <c r="B112" s="20">
        <v>1.07</v>
      </c>
      <c r="G112" s="21"/>
      <c r="H112" s="42"/>
      <c r="I112" s="42"/>
      <c r="J112" s="42"/>
    </row>
    <row r="113">
      <c r="A113" s="20">
        <v>2.4</v>
      </c>
      <c r="B113" s="20">
        <v>0.93</v>
      </c>
      <c r="G113" s="21"/>
      <c r="H113" s="42"/>
      <c r="I113" s="42"/>
      <c r="J113" s="42"/>
    </row>
    <row r="114">
      <c r="A114" s="20">
        <v>1.13</v>
      </c>
      <c r="B114" s="20">
        <v>0.26</v>
      </c>
      <c r="G114" s="21"/>
      <c r="H114" s="42"/>
      <c r="I114" s="42"/>
      <c r="J114" s="42"/>
    </row>
    <row r="115">
      <c r="A115" s="20">
        <v>0.57</v>
      </c>
      <c r="B115" s="20">
        <v>-0.11</v>
      </c>
      <c r="G115" s="21"/>
      <c r="H115" s="42"/>
      <c r="I115" s="42"/>
      <c r="J115" s="42"/>
    </row>
    <row r="116">
      <c r="A116" s="20">
        <v>0.54</v>
      </c>
      <c r="B116" s="20">
        <v>0.06</v>
      </c>
      <c r="G116" s="21"/>
      <c r="H116" s="42"/>
      <c r="I116" s="42"/>
      <c r="J116" s="42"/>
    </row>
    <row r="117">
      <c r="A117" s="20">
        <v>1.09</v>
      </c>
      <c r="B117" s="20">
        <v>0.19</v>
      </c>
      <c r="G117" s="21"/>
      <c r="H117" s="42"/>
      <c r="I117" s="42"/>
      <c r="J117" s="42"/>
    </row>
    <row r="118">
      <c r="A118" s="20">
        <v>1.11</v>
      </c>
      <c r="B118" s="20">
        <v>0.11</v>
      </c>
      <c r="G118" s="21"/>
      <c r="H118" s="42"/>
      <c r="I118" s="42"/>
      <c r="J118" s="42"/>
    </row>
    <row r="119">
      <c r="A119" s="20">
        <v>1.14</v>
      </c>
      <c r="B119" s="20">
        <v>-0.01</v>
      </c>
      <c r="G119" s="21"/>
      <c r="H119" s="42"/>
      <c r="I119" s="42"/>
      <c r="J119" s="42"/>
    </row>
    <row r="120">
      <c r="A120" s="20">
        <v>0.56</v>
      </c>
      <c r="B120" s="20">
        <v>0.03</v>
      </c>
      <c r="G120" s="21"/>
      <c r="H120" s="42"/>
      <c r="I120" s="42"/>
      <c r="J120" s="42"/>
    </row>
    <row r="121">
      <c r="A121" s="20">
        <v>0.52</v>
      </c>
      <c r="B121" s="20">
        <v>0.01</v>
      </c>
      <c r="G121" s="21"/>
      <c r="H121" s="42"/>
      <c r="I121" s="42"/>
      <c r="J121" s="42"/>
    </row>
    <row r="122">
      <c r="A122" s="20">
        <v>1.75</v>
      </c>
      <c r="B122" s="20">
        <v>0.34</v>
      </c>
      <c r="G122" s="21"/>
      <c r="H122" s="42"/>
      <c r="I122" s="42"/>
      <c r="J122" s="42"/>
    </row>
    <row r="123">
      <c r="A123" s="20">
        <v>1.12</v>
      </c>
      <c r="B123" s="20">
        <v>0.22</v>
      </c>
      <c r="G123" s="21"/>
      <c r="H123" s="42"/>
      <c r="I123" s="42"/>
      <c r="J123" s="42"/>
    </row>
    <row r="124">
      <c r="A124" s="20">
        <v>2.37</v>
      </c>
      <c r="B124" s="20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