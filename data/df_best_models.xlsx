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Modelo semana 26" sheetId="4" r:id="rId7"/>
    <sheet state="visible" name="Reseña modelos" sheetId="5" r:id="rId8"/>
    <sheet state="visible" name="Data preparation" sheetId="6" r:id="rId9"/>
    <sheet state="visible" name="Framework" sheetId="7" r:id="rId10"/>
  </sheets>
  <definedNames>
    <definedName hidden="1" localSheetId="0" name="_xlnm._FilterDatabase">'Modelos actuales'!$A$1:$Q$8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Q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<sst xmlns="http://schemas.openxmlformats.org/spreadsheetml/2006/main" count="520" uniqueCount="313">
  <si>
    <t>id_country</t>
  </si>
  <si>
    <t>country</t>
  </si>
  <si>
    <t>iteration_date</t>
  </si>
  <si>
    <t>n_model</t>
  </si>
  <si>
    <t>model_name</t>
  </si>
  <si>
    <t>recall</t>
  </si>
  <si>
    <t>ROI_sin_ea</t>
  </si>
  <si>
    <t>m_home</t>
  </si>
  <si>
    <t>m_draw</t>
  </si>
  <si>
    <t>m_away</t>
  </si>
  <si>
    <t>curva_home</t>
  </si>
  <si>
    <t>curva_draw</t>
  </si>
  <si>
    <t>curva_away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</si>
  <si>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</si>
  <si>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</si>
  <si>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</si>
  <si>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</si>
  <si>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</si>
  <si>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</si>
  <si>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</si>
  <si>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</si>
  <si>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K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</si>
  <si>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</si>
  <si>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</si>
  <si>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</si>
  <si>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</si>
  <si>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</si>
  <si>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</si>
  <si>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</si>
  <si>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</si>
  <si>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</si>
  <si>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</si>
  <si>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</si>
  <si>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</si>
  <si>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</si>
  <si>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</si>
  <si>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</si>
  <si>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</si>
  <si>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</si>
  <si>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</si>
  <si>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</si>
  <si>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</si>
  <si>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</si>
  <si>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</si>
  <si>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</si>
  <si>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</si>
  <si>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</si>
  <si>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</si>
  <si>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</si>
  <si>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</si>
  <si>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</si>
  <si>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</si>
  <si>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</si>
  <si>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</si>
  <si>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</si>
  <si>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</si>
  <si>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</si>
  <si>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</si>
  <si>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</si>
  <si>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</si>
  <si>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</si>
  <si>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</si>
  <si>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</si>
  <si>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</si>
  <si>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</si>
  <si>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</si>
  <si>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</si>
  <si>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</si>
  <si>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</si>
  <si>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</si>
  <si>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</si>
  <si>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</si>
  <si>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</si>
  <si>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</si>
  <si>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</si>
  <si>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</si>
  <si>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</si>
  <si>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</si>
  <si>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</si>
  <si>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</si>
  <si>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</si>
  <si>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</si>
  <si>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</si>
  <si>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</si>
  <si>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</si>
  <si>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</si>
  <si>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</si>
  <si>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</si>
  <si>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</si>
  <si>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</si>
  <si>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</si>
  <si>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</si>
  <si>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</si>
  <si>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</si>
  <si>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</si>
  <si>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</si>
  <si>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</si>
  <si>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</si>
  <si>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</si>
  <si>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</si>
  <si>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</si>
  <si>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</si>
  <si>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</si>
  <si>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</si>
  <si>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</si>
  <si>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</si>
  <si>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</si>
  <si>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</si>
  <si>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</si>
  <si>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</si>
  <si>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</si>
  <si>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</si>
  <si>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</si>
  <si>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</si>
  <si>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</si>
  <si>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</si>
  <si>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</si>
  <si>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</si>
  <si>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</si>
  <si>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</si>
  <si>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</si>
  <si>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</si>
  <si>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</si>
  <si>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</si>
  <si>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</si>
  <si>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</si>
  <si>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</si>
  <si>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</si>
  <si>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</si>
  <si>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</si>
  <si>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</si>
  <si>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</si>
  <si>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</si>
  <si>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</si>
  <si>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</si>
  <si>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</si>
  <si>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</si>
  <si>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</si>
  <si>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</si>
  <si>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</si>
  <si>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</si>
  <si>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</si>
  <si>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</si>
  <si>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</si>
  <si>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</si>
  <si>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</si>
  <si>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</si>
  <si>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</si>
  <si>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</si>
  <si>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</si>
  <si>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</si>
  <si>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</si>
  <si>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</si>
  <si>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</si>
  <si>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</si>
  <si>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</si>
  <si>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</si>
  <si>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</si>
  <si>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</si>
  <si>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</si>
  <si>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</si>
  <si>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</si>
  <si>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</si>
  <si>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</si>
  <si>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</si>
  <si>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</si>
  <si>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</si>
  <si>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</si>
  <si>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</si>
  <si>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</si>
  <si>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</si>
  <si>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</si>
  <si>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</si>
  <si>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</si>
  <si>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</si>
  <si>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</si>
  <si>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</si>
  <si>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</si>
  <si>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</si>
  <si>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</si>
  <si>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</si>
  <si>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</si>
  <si>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</si>
  <si>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</si>
  <si>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</si>
  <si>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</si>
  <si>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</si>
  <si>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</si>
  <si>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</si>
  <si>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</si>
  <si>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</si>
  <si>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</si>
  <si>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</si>
  <si>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</si>
  <si>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</si>
  <si>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</si>
  <si>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</si>
  <si>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</si>
  <si>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</si>
  <si>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</si>
  <si>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</si>
  <si>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</si>
  <si>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2.17</t>
  </si>
  <si>
    <t>0.14</t>
  </si>
  <si>
    <t>6.52</t>
  </si>
  <si>
    <t>0.00</t>
  </si>
  <si>
    <t>2.79</t>
  </si>
  <si>
    <t>0.02</t>
  </si>
  <si>
    <t>2.67</t>
  </si>
  <si>
    <t>Country</t>
  </si>
  <si>
    <t>Correl ROI y Expected ROI</t>
  </si>
  <si>
    <t>2.49</t>
  </si>
  <si>
    <t>2.75</t>
  </si>
  <si>
    <t>mean</t>
  </si>
  <si>
    <t>1.83</t>
  </si>
  <si>
    <t>median</t>
  </si>
  <si>
    <t>p25</t>
  </si>
  <si>
    <t>7.09</t>
  </si>
  <si>
    <t>p75</t>
  </si>
  <si>
    <t>0.94</t>
  </si>
  <si>
    <t>4.28</t>
  </si>
  <si>
    <t>6.54</t>
  </si>
  <si>
    <t>0.74</t>
  </si>
  <si>
    <t>5.39</t>
  </si>
  <si>
    <t>3.55</t>
  </si>
  <si>
    <t>Gracias a las nuevas métricas de G/P sin bank en test, me di cuenta de que:</t>
  </si>
  <si>
    <t>3.94</t>
  </si>
  <si>
    <t>La rentabilidad en ITA está en el visitante y no en el empate como creía.</t>
  </si>
  <si>
    <t>3.95</t>
  </si>
  <si>
    <t>La rentabilidad en ENG y GER está en el empate tal como creía.</t>
  </si>
  <si>
    <t>8.55</t>
  </si>
  <si>
    <t>En SPA esta repartido aunque Empate saca una ventaja.</t>
  </si>
  <si>
    <t>4.12</t>
  </si>
  <si>
    <t>En FRA, depende el modelo. A veces local, a veces, empate.</t>
  </si>
  <si>
    <t>7.78</t>
  </si>
  <si>
    <t>Si en FRA empate no rinde, no tiene sentido exigirle una buena distrib en empate… → Tiene sentido pero al parecer si importa el empate puesto que el modelo que gana se basa en empate.</t>
  </si>
  <si>
    <t>2.32</t>
  </si>
  <si>
    <t>1.23</t>
  </si>
  <si>
    <t>0.32</t>
  </si>
  <si>
    <t>7.49</t>
  </si>
  <si>
    <t>7.07</t>
  </si>
  <si>
    <t>4.67</t>
  </si>
  <si>
    <t>3.28</t>
  </si>
  <si>
    <t>7.29</t>
  </si>
  <si>
    <t>5.59</t>
  </si>
  <si>
    <t>2.34</t>
  </si>
  <si>
    <t>5.12</t>
  </si>
  <si>
    <t>6.01</t>
  </si>
  <si>
    <t>5.91</t>
  </si>
  <si>
    <t>5.55</t>
  </si>
  <si>
    <t>5.36</t>
  </si>
  <si>
    <t>0.17</t>
  </si>
  <si>
    <t>2.44</t>
  </si>
  <si>
    <t>2.77</t>
  </si>
  <si>
    <t>2.53</t>
  </si>
  <si>
    <t>2.98</t>
  </si>
  <si>
    <t>1.35</t>
  </si>
  <si>
    <t>2.29</t>
  </si>
  <si>
    <t>1.41</t>
  </si>
  <si>
    <t>3.19</t>
  </si>
  <si>
    <t>1.90</t>
  </si>
  <si>
    <t>1.98</t>
  </si>
  <si>
    <t>1.69</t>
  </si>
  <si>
    <t>3.03</t>
  </si>
  <si>
    <t>4.89</t>
  </si>
  <si>
    <t>5.69</t>
  </si>
  <si>
    <t>8.18</t>
  </si>
  <si>
    <t>6.94</t>
  </si>
  <si>
    <t>6.57</t>
  </si>
  <si>
    <t>9.63</t>
  </si>
  <si>
    <t>8.72</t>
  </si>
  <si>
    <t>8.58</t>
  </si>
  <si>
    <t>7.00</t>
  </si>
  <si>
    <t>7.33</t>
  </si>
  <si>
    <t>3.85</t>
  </si>
  <si>
    <t>7.54</t>
  </si>
  <si>
    <t>3.77</t>
  </si>
  <si>
    <t>1.50</t>
  </si>
  <si>
    <t>5.24</t>
  </si>
  <si>
    <t>4.41</t>
  </si>
  <si>
    <t>1.76</t>
  </si>
  <si>
    <t>4.52</t>
  </si>
  <si>
    <t>4.80</t>
  </si>
  <si>
    <t>1.81</t>
  </si>
  <si>
    <t>5.04</t>
  </si>
  <si>
    <t>8.91</t>
  </si>
  <si>
    <t>4.02</t>
  </si>
  <si>
    <t>9.05</t>
  </si>
  <si>
    <t>0.07</t>
  </si>
  <si>
    <t>2.99</t>
  </si>
  <si>
    <t>2.40</t>
  </si>
  <si>
    <t>3.00</t>
  </si>
  <si>
    <t>2.97</t>
  </si>
  <si>
    <t>0.35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</si>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</sst>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7" width="10.13"/>
    <col customWidth="1" min="8" max="14" width="8.25"/>
    <col customWidth="1" min="15" max="15" width="8.75"/>
    <col customWidth="1" min="16" max="16" width="10.13"/>
    <col customWidth="1" min="17" max="17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9"/>
      <c r="S1" s="10"/>
    </row>
    <row r="2" ht="39.0" hidden="1" customHeight="1">
      <c r="A2" s="11">
        <v>6.0</v>
      </c>
      <c r="B2" s="12" t="s">
        <v>17</v>
      </c>
      <c r="C2" s="13">
        <v>45685.0</v>
      </c>
      <c r="D2" s="14">
        <v>616.0</v>
      </c>
      <c r="E2" s="15" t="s">
        <v>18</v>
      </c>
      <c r="F2" s="16"/>
      <c r="G2" s="17">
        <f>5.8410821479406*100</f>
        <v>584.1082148</v>
      </c>
      <c r="H2" s="18">
        <v>70.0</v>
      </c>
      <c r="I2" s="18">
        <v>45.0</v>
      </c>
      <c r="J2" s="18">
        <v>10.0</v>
      </c>
      <c r="K2" s="18"/>
      <c r="L2" s="18"/>
      <c r="M2" s="18"/>
      <c r="N2" s="19"/>
      <c r="O2" s="19"/>
      <c r="P2" s="16">
        <v>31833.0939389723</v>
      </c>
      <c r="Q2" s="20">
        <f>P2/G2</f>
        <v>54.49862394</v>
      </c>
      <c r="R2" s="21"/>
      <c r="S2" s="22"/>
    </row>
    <row r="3" hidden="1">
      <c r="A3" s="23">
        <v>167.0</v>
      </c>
      <c r="B3" s="23" t="s">
        <v>19</v>
      </c>
      <c r="C3" s="13"/>
      <c r="D3" s="13"/>
      <c r="E3" s="13"/>
      <c r="F3" s="21"/>
      <c r="G3" s="24"/>
      <c r="H3" s="21"/>
      <c r="I3" s="21"/>
      <c r="J3" s="21"/>
      <c r="K3" s="21"/>
      <c r="L3" s="21"/>
      <c r="M3" s="21"/>
      <c r="N3" s="19"/>
      <c r="O3" s="25"/>
      <c r="P3" s="26"/>
      <c r="Q3" s="27"/>
      <c r="R3" s="21"/>
      <c r="S3" s="28"/>
    </row>
    <row r="4" ht="19.5" customHeight="1">
      <c r="A4" s="29">
        <v>48.0</v>
      </c>
      <c r="B4" s="30" t="s">
        <v>20</v>
      </c>
      <c r="C4" s="13">
        <v>45693.0</v>
      </c>
      <c r="D4" s="15">
        <v>344.0</v>
      </c>
      <c r="E4" s="15" t="s">
        <v>18</v>
      </c>
      <c r="F4" s="16">
        <v>54.7438672438672</v>
      </c>
      <c r="G4" s="17">
        <f>3.46734255670938*100</f>
        <v>346.7342557</v>
      </c>
      <c r="H4" s="18">
        <v>10.0</v>
      </c>
      <c r="I4" s="18">
        <v>25.0</v>
      </c>
      <c r="J4" s="18">
        <v>10.0</v>
      </c>
      <c r="K4" s="18" t="s">
        <v>21</v>
      </c>
      <c r="L4" s="18" t="s">
        <v>21</v>
      </c>
      <c r="M4" s="18" t="s">
        <v>21</v>
      </c>
      <c r="N4" s="20">
        <f t="shared" ref="N4:N8" si="1">AVERAGE(H4:J4)</f>
        <v>15</v>
      </c>
      <c r="O4" s="27">
        <f>N4*'Data preparation'!$C$2</f>
        <v>3.75</v>
      </c>
      <c r="P4" s="16">
        <v>2219.11264327355</v>
      </c>
      <c r="Q4" s="20">
        <f t="shared" ref="Q4:Q8" si="2">P4/G4</f>
        <v>6.400038666</v>
      </c>
    </row>
    <row r="5">
      <c r="A5" s="23">
        <v>55.0</v>
      </c>
      <c r="B5" s="30" t="s">
        <v>22</v>
      </c>
      <c r="C5" s="13">
        <v>45693.0</v>
      </c>
      <c r="D5" s="15">
        <v>1288.0</v>
      </c>
      <c r="E5" s="15" t="s">
        <v>18</v>
      </c>
      <c r="F5" s="16">
        <v>54.8446950528928</v>
      </c>
      <c r="G5" s="17">
        <f>1.39378408500051*100</f>
        <v>139.3784085</v>
      </c>
      <c r="H5" s="16">
        <v>45.0</v>
      </c>
      <c r="I5" s="16">
        <v>45.0</v>
      </c>
      <c r="J5" s="16">
        <v>10.0</v>
      </c>
      <c r="K5" s="16" t="s">
        <v>21</v>
      </c>
      <c r="L5" s="16" t="s">
        <v>21</v>
      </c>
      <c r="M5" s="16" t="s">
        <v>21</v>
      </c>
      <c r="N5" s="20">
        <f t="shared" si="1"/>
        <v>33.33333333</v>
      </c>
      <c r="O5" s="27">
        <f>N5*'Data preparation'!$C$2</f>
        <v>8.333333333</v>
      </c>
      <c r="P5" s="16">
        <v>2572.90077073494</v>
      </c>
      <c r="Q5" s="20">
        <f t="shared" si="2"/>
        <v>18.45982314</v>
      </c>
      <c r="S5" s="31"/>
    </row>
    <row r="6">
      <c r="A6" s="23">
        <v>59.0</v>
      </c>
      <c r="B6" s="23" t="s">
        <v>23</v>
      </c>
      <c r="C6" s="13">
        <v>45693.0</v>
      </c>
      <c r="D6" s="15">
        <v>447.0</v>
      </c>
      <c r="E6" s="15" t="s">
        <v>18</v>
      </c>
      <c r="F6" s="16">
        <v>59.4211822660098</v>
      </c>
      <c r="G6" s="17">
        <f>6.01632326194318*100</f>
        <v>601.6323262</v>
      </c>
      <c r="H6" s="16">
        <v>45.0</v>
      </c>
      <c r="I6" s="16">
        <v>25.0</v>
      </c>
      <c r="J6" s="16">
        <v>10.0</v>
      </c>
      <c r="K6" s="16" t="s">
        <v>21</v>
      </c>
      <c r="L6" s="16" t="s">
        <v>21</v>
      </c>
      <c r="M6" s="16" t="s">
        <v>21</v>
      </c>
      <c r="N6" s="20">
        <f t="shared" si="1"/>
        <v>26.66666667</v>
      </c>
      <c r="O6" s="27">
        <f>N6*'Data preparation'!$C$2</f>
        <v>6.666666667</v>
      </c>
      <c r="P6" s="32">
        <v>13978.9606210805</v>
      </c>
      <c r="Q6" s="20">
        <f t="shared" si="2"/>
        <v>23.23505572</v>
      </c>
    </row>
    <row r="7">
      <c r="A7" s="23">
        <v>77.0</v>
      </c>
      <c r="B7" s="23" t="s">
        <v>24</v>
      </c>
      <c r="C7" s="13">
        <v>45693.0</v>
      </c>
      <c r="D7" s="15">
        <v>1271.0</v>
      </c>
      <c r="E7" s="15" t="s">
        <v>18</v>
      </c>
      <c r="F7" s="16">
        <v>58.5579803166452</v>
      </c>
      <c r="G7" s="17">
        <f>2.31915822391638*100</f>
        <v>231.9158224</v>
      </c>
      <c r="H7" s="18">
        <v>25.0</v>
      </c>
      <c r="I7" s="18">
        <v>25.0</v>
      </c>
      <c r="J7" s="18">
        <v>45.0</v>
      </c>
      <c r="K7" s="18" t="s">
        <v>21</v>
      </c>
      <c r="L7" s="18" t="s">
        <v>21</v>
      </c>
      <c r="M7" s="18" t="s">
        <v>21</v>
      </c>
      <c r="N7" s="20">
        <f t="shared" si="1"/>
        <v>31.66666667</v>
      </c>
      <c r="O7" s="27">
        <f>N7*'Data preparation'!$C$2</f>
        <v>7.916666667</v>
      </c>
      <c r="P7" s="16">
        <v>2440.21825177097</v>
      </c>
      <c r="Q7" s="20">
        <f t="shared" si="2"/>
        <v>10.52199986</v>
      </c>
    </row>
    <row r="8">
      <c r="A8" s="23">
        <v>148.0</v>
      </c>
      <c r="B8" s="23" t="s">
        <v>25</v>
      </c>
      <c r="C8" s="13">
        <v>45693.0</v>
      </c>
      <c r="D8" s="15">
        <v>1212.0</v>
      </c>
      <c r="E8" s="15" t="s">
        <v>18</v>
      </c>
      <c r="F8" s="16">
        <v>57.3296327328585</v>
      </c>
      <c r="G8" s="17">
        <f>4.06784826362199*100</f>
        <v>406.7848264</v>
      </c>
      <c r="H8" s="18">
        <v>45.0</v>
      </c>
      <c r="I8" s="18">
        <v>25.0</v>
      </c>
      <c r="J8" s="18">
        <v>25.0</v>
      </c>
      <c r="K8" s="18" t="s">
        <v>21</v>
      </c>
      <c r="L8" s="18" t="s">
        <v>21</v>
      </c>
      <c r="M8" s="18" t="s">
        <v>21</v>
      </c>
      <c r="N8" s="20">
        <f t="shared" si="1"/>
        <v>31.66666667</v>
      </c>
      <c r="O8" s="27">
        <f>N8*'Data preparation'!$C$2</f>
        <v>7.916666667</v>
      </c>
      <c r="P8" s="16">
        <v>9424.20510560613</v>
      </c>
      <c r="Q8" s="20">
        <f t="shared" si="2"/>
        <v>23.16754337</v>
      </c>
    </row>
    <row r="9" ht="20.25" customHeight="1">
      <c r="F9" s="21"/>
      <c r="G9" s="21"/>
      <c r="H9" s="21"/>
      <c r="I9" s="21"/>
      <c r="J9" s="21"/>
      <c r="K9" s="21"/>
      <c r="L9" s="21"/>
      <c r="M9" s="21"/>
      <c r="N9" s="21"/>
      <c r="P9" s="26"/>
      <c r="Q9" s="26"/>
      <c r="S9" s="33"/>
    </row>
    <row r="10" ht="20.25" customHeight="1">
      <c r="P10" s="34"/>
      <c r="Q10" s="34"/>
    </row>
    <row r="11">
      <c r="H11" s="35"/>
      <c r="N11" s="36"/>
      <c r="O11" s="36"/>
      <c r="P11" s="34"/>
      <c r="Q11" s="34"/>
      <c r="R11" s="36"/>
    </row>
    <row r="12" ht="20.25" customHeight="1"/>
    <row r="13">
      <c r="A13" s="37"/>
    </row>
    <row r="27">
      <c r="A27" s="37"/>
      <c r="C27" s="38"/>
    </row>
    <row r="28">
      <c r="C28" s="38"/>
    </row>
    <row r="29">
      <c r="C29" s="38"/>
    </row>
    <row r="30">
      <c r="C30" s="38"/>
    </row>
    <row r="31">
      <c r="C31" s="38"/>
    </row>
    <row r="56">
      <c r="P56" s="34"/>
      <c r="Q56" s="34"/>
    </row>
    <row r="57">
      <c r="P57" s="34"/>
      <c r="Q57" s="34"/>
    </row>
    <row r="58">
      <c r="P58" s="34"/>
      <c r="Q58" s="34"/>
    </row>
    <row r="59">
      <c r="P59" s="34"/>
      <c r="Q59" s="34"/>
    </row>
    <row r="60">
      <c r="P60" s="34"/>
      <c r="Q60" s="34"/>
    </row>
    <row r="61">
      <c r="P61" s="34"/>
      <c r="Q61" s="34"/>
    </row>
    <row r="62">
      <c r="P62" s="34"/>
      <c r="Q62" s="34"/>
    </row>
    <row r="63">
      <c r="P63" s="34"/>
      <c r="Q63" s="34"/>
    </row>
    <row r="64">
      <c r="P64" s="34"/>
      <c r="Q64" s="34"/>
    </row>
    <row r="65">
      <c r="P65" s="34"/>
      <c r="Q65" s="34"/>
    </row>
    <row r="66">
      <c r="P66" s="34"/>
      <c r="Q66" s="34"/>
    </row>
    <row r="67">
      <c r="P67" s="34"/>
      <c r="Q67" s="34"/>
    </row>
    <row r="68">
      <c r="P68" s="34"/>
      <c r="Q68" s="34"/>
    </row>
    <row r="69">
      <c r="P69" s="34"/>
      <c r="Q69" s="34"/>
    </row>
    <row r="70">
      <c r="P70" s="34"/>
      <c r="Q70" s="34"/>
    </row>
    <row r="71">
      <c r="P71" s="34"/>
      <c r="Q71" s="34"/>
    </row>
    <row r="72">
      <c r="P72" s="34"/>
      <c r="Q72" s="34"/>
    </row>
    <row r="73">
      <c r="P73" s="34"/>
      <c r="Q73" s="34"/>
    </row>
    <row r="74">
      <c r="P74" s="34"/>
      <c r="Q74" s="34"/>
    </row>
    <row r="75">
      <c r="P75" s="34"/>
      <c r="Q75" s="34"/>
    </row>
    <row r="76">
      <c r="P76" s="34"/>
      <c r="Q76" s="34"/>
    </row>
    <row r="77">
      <c r="P77" s="34"/>
      <c r="Q77" s="34"/>
    </row>
    <row r="78">
      <c r="P78" s="34"/>
      <c r="Q78" s="34"/>
    </row>
    <row r="79">
      <c r="P79" s="34"/>
      <c r="Q79" s="34"/>
    </row>
    <row r="80">
      <c r="P80" s="34"/>
      <c r="Q80" s="34"/>
    </row>
    <row r="81">
      <c r="P81" s="34"/>
      <c r="Q81" s="34"/>
    </row>
    <row r="82">
      <c r="P82" s="34"/>
      <c r="Q82" s="34"/>
    </row>
    <row r="83">
      <c r="P83" s="34"/>
      <c r="Q83" s="34"/>
    </row>
    <row r="84">
      <c r="P84" s="34"/>
      <c r="Q84" s="34"/>
    </row>
    <row r="85">
      <c r="P85" s="34"/>
      <c r="Q85" s="34"/>
    </row>
    <row r="86">
      <c r="P86" s="34"/>
      <c r="Q86" s="34"/>
    </row>
    <row r="87">
      <c r="P87" s="34"/>
      <c r="Q87" s="34"/>
    </row>
    <row r="88">
      <c r="P88" s="34"/>
      <c r="Q88" s="34"/>
    </row>
    <row r="89">
      <c r="P89" s="34"/>
      <c r="Q89" s="34"/>
    </row>
    <row r="90">
      <c r="P90" s="34"/>
      <c r="Q90" s="34"/>
    </row>
    <row r="91">
      <c r="P91" s="34"/>
      <c r="Q91" s="34"/>
    </row>
    <row r="92">
      <c r="P92" s="34"/>
      <c r="Q92" s="34"/>
    </row>
    <row r="93">
      <c r="P93" s="34"/>
      <c r="Q93" s="34"/>
    </row>
    <row r="94">
      <c r="P94" s="34"/>
      <c r="Q94" s="34"/>
    </row>
    <row r="95">
      <c r="P95" s="34"/>
      <c r="Q95" s="34"/>
    </row>
    <row r="96">
      <c r="P96" s="34"/>
      <c r="Q96" s="34"/>
    </row>
    <row r="97">
      <c r="P97" s="34"/>
      <c r="Q97" s="34"/>
    </row>
    <row r="98">
      <c r="P98" s="34"/>
      <c r="Q98" s="34"/>
    </row>
    <row r="99">
      <c r="P99" s="34"/>
      <c r="Q99" s="34"/>
    </row>
    <row r="100">
      <c r="P100" s="34"/>
      <c r="Q100" s="34"/>
    </row>
    <row r="101">
      <c r="P101" s="34"/>
      <c r="Q101" s="34"/>
    </row>
    <row r="102">
      <c r="P102" s="34"/>
      <c r="Q102" s="34"/>
    </row>
    <row r="103">
      <c r="O103" s="18"/>
      <c r="P103" s="34"/>
      <c r="Q103" s="34"/>
    </row>
    <row r="104">
      <c r="O104" s="18"/>
      <c r="P104" s="34"/>
      <c r="Q104" s="34"/>
    </row>
    <row r="105">
      <c r="O105" s="18"/>
      <c r="P105" s="34"/>
      <c r="Q105" s="34"/>
    </row>
    <row r="106">
      <c r="O106" s="18"/>
      <c r="P106" s="34"/>
      <c r="Q106" s="34"/>
    </row>
    <row r="107">
      <c r="O107" s="18"/>
      <c r="P107" s="34"/>
      <c r="Q107" s="34"/>
    </row>
    <row r="108">
      <c r="O108" s="18"/>
      <c r="P108" s="34"/>
      <c r="Q108" s="34"/>
    </row>
    <row r="109">
      <c r="O109" s="18"/>
      <c r="P109" s="34"/>
      <c r="Q109" s="34"/>
    </row>
    <row r="110">
      <c r="O110" s="18"/>
      <c r="P110" s="34"/>
      <c r="Q110" s="34"/>
    </row>
    <row r="111">
      <c r="O111" s="18"/>
      <c r="P111" s="34"/>
      <c r="Q111" s="34"/>
    </row>
    <row r="112">
      <c r="O112" s="18"/>
      <c r="P112" s="34"/>
      <c r="Q112" s="34"/>
    </row>
    <row r="113">
      <c r="O113" s="18"/>
      <c r="P113" s="34"/>
      <c r="Q113" s="34"/>
    </row>
    <row r="114">
      <c r="O114" s="18"/>
      <c r="P114" s="34"/>
      <c r="Q114" s="34"/>
    </row>
    <row r="115">
      <c r="O115" s="18"/>
      <c r="P115" s="34"/>
      <c r="Q115" s="34"/>
    </row>
    <row r="116">
      <c r="O116" s="18"/>
      <c r="P116" s="34"/>
      <c r="Q116" s="34"/>
    </row>
    <row r="117">
      <c r="O117" s="18"/>
      <c r="P117" s="34"/>
      <c r="Q117" s="34"/>
    </row>
    <row r="118">
      <c r="O118" s="18"/>
      <c r="P118" s="34"/>
      <c r="Q118" s="34"/>
    </row>
    <row r="119">
      <c r="O119" s="18"/>
      <c r="P119" s="34"/>
      <c r="Q119" s="34"/>
    </row>
    <row r="120">
      <c r="O120" s="18"/>
      <c r="P120" s="34"/>
      <c r="Q120" s="34"/>
    </row>
    <row r="121">
      <c r="O121" s="18"/>
      <c r="P121" s="34"/>
      <c r="Q121" s="34"/>
    </row>
    <row r="122">
      <c r="O122" s="18"/>
      <c r="P122" s="34"/>
      <c r="Q122" s="34"/>
    </row>
    <row r="123">
      <c r="O123" s="18"/>
      <c r="P123" s="34"/>
      <c r="Q123" s="34"/>
    </row>
    <row r="124">
      <c r="O124" s="18"/>
      <c r="P124" s="34"/>
      <c r="Q124" s="34"/>
    </row>
    <row r="125">
      <c r="O125" s="18"/>
      <c r="P125" s="34"/>
      <c r="Q125" s="34"/>
    </row>
    <row r="126">
      <c r="O126" s="18"/>
      <c r="P126" s="34"/>
      <c r="Q126" s="34"/>
    </row>
    <row r="127">
      <c r="O127" s="18"/>
      <c r="P127" s="34"/>
      <c r="Q127" s="34"/>
    </row>
    <row r="128">
      <c r="O128" s="18"/>
      <c r="P128" s="34"/>
      <c r="Q128" s="34"/>
    </row>
    <row r="129">
      <c r="O129" s="18"/>
      <c r="P129" s="34"/>
      <c r="Q129" s="34"/>
    </row>
    <row r="130">
      <c r="O130" s="18"/>
      <c r="P130" s="34"/>
      <c r="Q130" s="34"/>
    </row>
    <row r="131">
      <c r="O131" s="18"/>
      <c r="P131" s="34"/>
      <c r="Q131" s="34"/>
    </row>
    <row r="132">
      <c r="O132" s="18"/>
      <c r="P132" s="34"/>
      <c r="Q132" s="34"/>
    </row>
    <row r="133">
      <c r="P133" s="34"/>
      <c r="Q133" s="34"/>
    </row>
    <row r="134">
      <c r="P134" s="34"/>
      <c r="Q134" s="34"/>
    </row>
    <row r="135">
      <c r="P135" s="34"/>
      <c r="Q135" s="34"/>
    </row>
    <row r="136">
      <c r="P136" s="34"/>
      <c r="Q136" s="34"/>
    </row>
    <row r="137">
      <c r="P137" s="34"/>
      <c r="Q137" s="34"/>
    </row>
    <row r="138">
      <c r="P138" s="34"/>
      <c r="Q138" s="34"/>
    </row>
    <row r="139">
      <c r="P139" s="34"/>
      <c r="Q139" s="34"/>
    </row>
    <row r="140">
      <c r="P140" s="34"/>
      <c r="Q140" s="34"/>
    </row>
    <row r="141">
      <c r="P141" s="34"/>
      <c r="Q141" s="34"/>
    </row>
    <row r="142">
      <c r="P142" s="34"/>
      <c r="Q142" s="34"/>
    </row>
    <row r="143">
      <c r="P143" s="34"/>
      <c r="Q143" s="34"/>
    </row>
    <row r="144">
      <c r="P144" s="34"/>
      <c r="Q144" s="34"/>
    </row>
    <row r="145">
      <c r="P145" s="34"/>
      <c r="Q145" s="34"/>
    </row>
    <row r="146">
      <c r="P146" s="34"/>
      <c r="Q146" s="34"/>
    </row>
    <row r="147">
      <c r="P147" s="34"/>
      <c r="Q147" s="34"/>
    </row>
    <row r="148">
      <c r="P148" s="34"/>
      <c r="Q148" s="34"/>
    </row>
    <row r="149">
      <c r="P149" s="34"/>
      <c r="Q149" s="34"/>
    </row>
    <row r="150">
      <c r="P150" s="34"/>
      <c r="Q150" s="34"/>
    </row>
    <row r="151">
      <c r="P151" s="34"/>
      <c r="Q151" s="34"/>
    </row>
    <row r="152">
      <c r="P152" s="34"/>
      <c r="Q152" s="34"/>
    </row>
    <row r="153">
      <c r="P153" s="34"/>
      <c r="Q153" s="34"/>
    </row>
    <row r="154">
      <c r="P154" s="34"/>
      <c r="Q154" s="34"/>
    </row>
    <row r="155">
      <c r="P155" s="34"/>
      <c r="Q155" s="34"/>
    </row>
    <row r="156">
      <c r="P156" s="34"/>
      <c r="Q156" s="34"/>
    </row>
    <row r="157">
      <c r="P157" s="34"/>
      <c r="Q157" s="34"/>
    </row>
    <row r="158">
      <c r="P158" s="34"/>
      <c r="Q158" s="34"/>
    </row>
    <row r="159">
      <c r="P159" s="34"/>
      <c r="Q159" s="34"/>
    </row>
    <row r="160">
      <c r="P160" s="34"/>
      <c r="Q160" s="34"/>
    </row>
    <row r="161">
      <c r="P161" s="34"/>
      <c r="Q161" s="34"/>
    </row>
    <row r="162">
      <c r="P162" s="34"/>
      <c r="Q162" s="34"/>
    </row>
    <row r="163">
      <c r="P163" s="34"/>
      <c r="Q163" s="34"/>
    </row>
    <row r="164">
      <c r="P164" s="34"/>
      <c r="Q164" s="34"/>
    </row>
    <row r="165">
      <c r="P165" s="34"/>
      <c r="Q165" s="34"/>
    </row>
    <row r="166">
      <c r="P166" s="34"/>
      <c r="Q166" s="34"/>
    </row>
    <row r="167">
      <c r="P167" s="34"/>
      <c r="Q167" s="34"/>
    </row>
    <row r="168">
      <c r="P168" s="34"/>
      <c r="Q168" s="34"/>
    </row>
    <row r="169">
      <c r="P169" s="34"/>
      <c r="Q169" s="34"/>
    </row>
    <row r="170">
      <c r="P170" s="34"/>
      <c r="Q170" s="34"/>
    </row>
    <row r="171">
      <c r="P171" s="34"/>
      <c r="Q171" s="34"/>
    </row>
    <row r="172">
      <c r="P172" s="34"/>
      <c r="Q172" s="34"/>
    </row>
    <row r="173">
      <c r="P173" s="34"/>
      <c r="Q173" s="34"/>
    </row>
    <row r="174">
      <c r="P174" s="34"/>
      <c r="Q174" s="34"/>
    </row>
    <row r="175">
      <c r="P175" s="34"/>
      <c r="Q175" s="34"/>
    </row>
    <row r="176">
      <c r="P176" s="34"/>
      <c r="Q176" s="34"/>
    </row>
    <row r="177">
      <c r="P177" s="34"/>
      <c r="Q177" s="34"/>
    </row>
    <row r="178">
      <c r="P178" s="34"/>
      <c r="Q178" s="34"/>
    </row>
    <row r="179">
      <c r="P179" s="34"/>
      <c r="Q179" s="34"/>
    </row>
    <row r="180">
      <c r="P180" s="34"/>
      <c r="Q180" s="34"/>
    </row>
    <row r="181">
      <c r="P181" s="34"/>
      <c r="Q181" s="34"/>
    </row>
    <row r="182">
      <c r="P182" s="34"/>
      <c r="Q182" s="34"/>
    </row>
    <row r="183">
      <c r="P183" s="34"/>
      <c r="Q183" s="34"/>
    </row>
    <row r="184">
      <c r="P184" s="34"/>
      <c r="Q184" s="34"/>
    </row>
    <row r="185">
      <c r="P185" s="34"/>
      <c r="Q185" s="34"/>
    </row>
    <row r="186">
      <c r="P186" s="34"/>
      <c r="Q186" s="34"/>
    </row>
    <row r="187">
      <c r="P187" s="34"/>
      <c r="Q187" s="34"/>
    </row>
    <row r="188">
      <c r="P188" s="34"/>
      <c r="Q188" s="34"/>
    </row>
    <row r="189">
      <c r="P189" s="34"/>
      <c r="Q189" s="34"/>
    </row>
    <row r="190">
      <c r="P190" s="34"/>
      <c r="Q190" s="34"/>
    </row>
    <row r="191">
      <c r="P191" s="34"/>
      <c r="Q191" s="34"/>
    </row>
    <row r="192">
      <c r="P192" s="34"/>
      <c r="Q192" s="34"/>
    </row>
    <row r="193">
      <c r="P193" s="34"/>
      <c r="Q193" s="34"/>
    </row>
    <row r="194">
      <c r="P194" s="34"/>
      <c r="Q194" s="34"/>
    </row>
    <row r="195">
      <c r="P195" s="34"/>
      <c r="Q195" s="34"/>
    </row>
    <row r="196">
      <c r="P196" s="34"/>
      <c r="Q196" s="34"/>
    </row>
    <row r="197">
      <c r="P197" s="34"/>
      <c r="Q197" s="34"/>
    </row>
    <row r="198">
      <c r="P198" s="34"/>
      <c r="Q198" s="34"/>
    </row>
    <row r="199">
      <c r="P199" s="34"/>
      <c r="Q199" s="34"/>
    </row>
    <row r="200">
      <c r="P200" s="34"/>
      <c r="Q200" s="34"/>
    </row>
    <row r="201">
      <c r="P201" s="34"/>
      <c r="Q201" s="34"/>
    </row>
    <row r="202">
      <c r="P202" s="34"/>
      <c r="Q202" s="34"/>
    </row>
    <row r="203">
      <c r="P203" s="34"/>
      <c r="Q203" s="34"/>
    </row>
    <row r="204">
      <c r="P204" s="34"/>
      <c r="Q204" s="34"/>
    </row>
    <row r="205">
      <c r="P205" s="34"/>
      <c r="Q205" s="34"/>
    </row>
    <row r="206">
      <c r="P206" s="34"/>
      <c r="Q206" s="34"/>
    </row>
    <row r="207">
      <c r="P207" s="34"/>
      <c r="Q207" s="34"/>
    </row>
    <row r="208">
      <c r="P208" s="34"/>
      <c r="Q208" s="34"/>
    </row>
    <row r="209">
      <c r="P209" s="34"/>
      <c r="Q209" s="34"/>
    </row>
    <row r="210">
      <c r="P210" s="34"/>
      <c r="Q210" s="34"/>
    </row>
    <row r="211">
      <c r="P211" s="34"/>
      <c r="Q211" s="34"/>
    </row>
    <row r="212">
      <c r="P212" s="34"/>
      <c r="Q212" s="34"/>
    </row>
    <row r="213">
      <c r="P213" s="34"/>
      <c r="Q213" s="34"/>
    </row>
    <row r="214">
      <c r="P214" s="34"/>
      <c r="Q214" s="34"/>
    </row>
    <row r="215">
      <c r="P215" s="34"/>
      <c r="Q215" s="34"/>
    </row>
    <row r="216">
      <c r="P216" s="34"/>
      <c r="Q216" s="34"/>
    </row>
    <row r="217">
      <c r="P217" s="34"/>
      <c r="Q217" s="34"/>
    </row>
    <row r="218">
      <c r="P218" s="34"/>
      <c r="Q218" s="34"/>
    </row>
    <row r="219">
      <c r="P219" s="34"/>
      <c r="Q219" s="34"/>
    </row>
    <row r="220">
      <c r="P220" s="34"/>
      <c r="Q220" s="34"/>
    </row>
    <row r="221">
      <c r="P221" s="34"/>
      <c r="Q221" s="34"/>
    </row>
    <row r="222">
      <c r="P222" s="34"/>
      <c r="Q222" s="34"/>
    </row>
    <row r="223">
      <c r="P223" s="34"/>
      <c r="Q223" s="34"/>
    </row>
    <row r="224">
      <c r="P224" s="34"/>
      <c r="Q224" s="34"/>
    </row>
    <row r="225">
      <c r="P225" s="34"/>
      <c r="Q225" s="34"/>
    </row>
    <row r="226">
      <c r="P226" s="34"/>
      <c r="Q226" s="34"/>
    </row>
    <row r="227">
      <c r="P227" s="34"/>
      <c r="Q227" s="34"/>
    </row>
    <row r="228">
      <c r="P228" s="34"/>
      <c r="Q228" s="34"/>
    </row>
    <row r="229">
      <c r="P229" s="34"/>
      <c r="Q229" s="34"/>
    </row>
    <row r="230">
      <c r="P230" s="34"/>
      <c r="Q230" s="34"/>
    </row>
    <row r="231">
      <c r="P231" s="34"/>
      <c r="Q231" s="34"/>
    </row>
    <row r="232">
      <c r="P232" s="34"/>
      <c r="Q232" s="34"/>
    </row>
    <row r="233">
      <c r="P233" s="34"/>
      <c r="Q233" s="34"/>
    </row>
    <row r="234">
      <c r="P234" s="34"/>
      <c r="Q234" s="34"/>
    </row>
    <row r="235">
      <c r="P235" s="34"/>
      <c r="Q235" s="34"/>
    </row>
    <row r="236">
      <c r="P236" s="34"/>
      <c r="Q236" s="34"/>
    </row>
    <row r="237">
      <c r="P237" s="34"/>
      <c r="Q237" s="34"/>
    </row>
    <row r="238">
      <c r="P238" s="34"/>
      <c r="Q238" s="34"/>
    </row>
    <row r="239">
      <c r="P239" s="34"/>
      <c r="Q239" s="34"/>
    </row>
    <row r="240">
      <c r="P240" s="34"/>
      <c r="Q240" s="34"/>
    </row>
    <row r="241">
      <c r="P241" s="34"/>
      <c r="Q241" s="34"/>
    </row>
    <row r="242">
      <c r="P242" s="34"/>
      <c r="Q242" s="34"/>
    </row>
    <row r="243">
      <c r="P243" s="34"/>
      <c r="Q243" s="34"/>
    </row>
    <row r="244">
      <c r="P244" s="34"/>
      <c r="Q244" s="34"/>
    </row>
    <row r="245">
      <c r="P245" s="34"/>
      <c r="Q245" s="34"/>
    </row>
    <row r="246">
      <c r="P246" s="34"/>
      <c r="Q246" s="34"/>
    </row>
    <row r="247">
      <c r="P247" s="34"/>
      <c r="Q247" s="34"/>
    </row>
    <row r="248">
      <c r="P248" s="34"/>
      <c r="Q248" s="34"/>
    </row>
    <row r="249">
      <c r="P249" s="34"/>
      <c r="Q249" s="34"/>
    </row>
    <row r="250">
      <c r="P250" s="34"/>
      <c r="Q250" s="34"/>
    </row>
    <row r="251">
      <c r="P251" s="34"/>
      <c r="Q251" s="34"/>
    </row>
    <row r="252">
      <c r="P252" s="34"/>
      <c r="Q252" s="34"/>
    </row>
    <row r="253">
      <c r="P253" s="34"/>
      <c r="Q253" s="34"/>
    </row>
    <row r="254">
      <c r="P254" s="34"/>
      <c r="Q254" s="34"/>
    </row>
    <row r="255">
      <c r="P255" s="34"/>
      <c r="Q255" s="34"/>
    </row>
    <row r="256">
      <c r="P256" s="34"/>
      <c r="Q256" s="34"/>
    </row>
    <row r="257">
      <c r="P257" s="34"/>
      <c r="Q257" s="34"/>
    </row>
    <row r="258">
      <c r="P258" s="34"/>
      <c r="Q258" s="34"/>
    </row>
    <row r="259">
      <c r="P259" s="34"/>
      <c r="Q259" s="34"/>
    </row>
    <row r="260">
      <c r="P260" s="34"/>
      <c r="Q260" s="34"/>
    </row>
    <row r="261">
      <c r="P261" s="34"/>
      <c r="Q261" s="34"/>
    </row>
    <row r="262">
      <c r="P262" s="34"/>
      <c r="Q262" s="34"/>
    </row>
    <row r="263">
      <c r="P263" s="34"/>
      <c r="Q263" s="34"/>
    </row>
    <row r="264">
      <c r="P264" s="34"/>
      <c r="Q264" s="34"/>
    </row>
    <row r="265">
      <c r="P265" s="34"/>
      <c r="Q265" s="34"/>
    </row>
    <row r="266">
      <c r="P266" s="34"/>
      <c r="Q266" s="34"/>
    </row>
    <row r="267">
      <c r="P267" s="34"/>
      <c r="Q267" s="34"/>
    </row>
    <row r="268">
      <c r="P268" s="34"/>
      <c r="Q268" s="34"/>
    </row>
    <row r="269">
      <c r="P269" s="34"/>
      <c r="Q269" s="34"/>
    </row>
    <row r="270">
      <c r="P270" s="34"/>
      <c r="Q270" s="34"/>
    </row>
    <row r="271">
      <c r="P271" s="34"/>
      <c r="Q271" s="34"/>
    </row>
    <row r="272">
      <c r="P272" s="34"/>
      <c r="Q272" s="34"/>
    </row>
    <row r="273">
      <c r="P273" s="34"/>
      <c r="Q273" s="34"/>
    </row>
    <row r="274">
      <c r="P274" s="34"/>
      <c r="Q274" s="34"/>
    </row>
    <row r="275">
      <c r="P275" s="34"/>
      <c r="Q275" s="34"/>
    </row>
    <row r="276">
      <c r="P276" s="34"/>
      <c r="Q276" s="34"/>
    </row>
    <row r="277">
      <c r="P277" s="34"/>
      <c r="Q277" s="34"/>
    </row>
    <row r="278">
      <c r="P278" s="34"/>
      <c r="Q278" s="34"/>
    </row>
    <row r="279">
      <c r="P279" s="34"/>
      <c r="Q279" s="34"/>
    </row>
    <row r="280">
      <c r="P280" s="34"/>
      <c r="Q280" s="34"/>
    </row>
    <row r="281">
      <c r="P281" s="34"/>
      <c r="Q281" s="34"/>
    </row>
    <row r="282">
      <c r="P282" s="34"/>
      <c r="Q282" s="34"/>
    </row>
    <row r="283">
      <c r="P283" s="34"/>
      <c r="Q283" s="34"/>
    </row>
    <row r="284">
      <c r="P284" s="34"/>
      <c r="Q284" s="34"/>
    </row>
    <row r="285">
      <c r="P285" s="34"/>
      <c r="Q285" s="34"/>
    </row>
    <row r="286">
      <c r="P286" s="34"/>
      <c r="Q286" s="34"/>
    </row>
    <row r="287">
      <c r="P287" s="34"/>
      <c r="Q287" s="34"/>
    </row>
    <row r="288">
      <c r="P288" s="34"/>
      <c r="Q288" s="34"/>
    </row>
    <row r="289">
      <c r="P289" s="34"/>
      <c r="Q289" s="34"/>
    </row>
    <row r="290">
      <c r="P290" s="34"/>
      <c r="Q290" s="34"/>
    </row>
    <row r="291">
      <c r="P291" s="34"/>
      <c r="Q291" s="34"/>
    </row>
    <row r="292">
      <c r="P292" s="34"/>
      <c r="Q292" s="34"/>
    </row>
    <row r="293">
      <c r="P293" s="34"/>
      <c r="Q293" s="34"/>
    </row>
    <row r="294">
      <c r="P294" s="34"/>
      <c r="Q294" s="34"/>
    </row>
    <row r="295">
      <c r="P295" s="34"/>
      <c r="Q295" s="34"/>
    </row>
    <row r="296">
      <c r="P296" s="34"/>
      <c r="Q296" s="34"/>
    </row>
    <row r="297">
      <c r="P297" s="34"/>
      <c r="Q297" s="34"/>
    </row>
    <row r="298">
      <c r="P298" s="34"/>
      <c r="Q298" s="34"/>
    </row>
    <row r="299">
      <c r="P299" s="34"/>
      <c r="Q299" s="34"/>
    </row>
    <row r="300">
      <c r="P300" s="34"/>
      <c r="Q300" s="34"/>
    </row>
    <row r="301">
      <c r="P301" s="34"/>
      <c r="Q301" s="34"/>
    </row>
    <row r="302">
      <c r="P302" s="34"/>
      <c r="Q302" s="34"/>
    </row>
    <row r="303">
      <c r="P303" s="34"/>
      <c r="Q303" s="34"/>
    </row>
    <row r="304">
      <c r="P304" s="34"/>
      <c r="Q304" s="34"/>
    </row>
    <row r="305">
      <c r="P305" s="34"/>
      <c r="Q305" s="34"/>
    </row>
    <row r="306">
      <c r="P306" s="34"/>
      <c r="Q306" s="34"/>
    </row>
    <row r="307">
      <c r="P307" s="34"/>
      <c r="Q307" s="34"/>
    </row>
    <row r="308">
      <c r="P308" s="34"/>
      <c r="Q308" s="34"/>
    </row>
    <row r="309">
      <c r="P309" s="34"/>
      <c r="Q309" s="34"/>
    </row>
    <row r="310">
      <c r="P310" s="34"/>
      <c r="Q310" s="34"/>
    </row>
    <row r="311">
      <c r="P311" s="34"/>
      <c r="Q311" s="34"/>
    </row>
    <row r="312">
      <c r="P312" s="34"/>
      <c r="Q312" s="34"/>
    </row>
    <row r="313">
      <c r="P313" s="34"/>
      <c r="Q313" s="34"/>
    </row>
    <row r="314">
      <c r="P314" s="34"/>
      <c r="Q314" s="34"/>
    </row>
    <row r="315">
      <c r="P315" s="34"/>
      <c r="Q315" s="34"/>
    </row>
    <row r="316">
      <c r="P316" s="34"/>
      <c r="Q316" s="34"/>
    </row>
    <row r="317">
      <c r="P317" s="34"/>
      <c r="Q317" s="34"/>
    </row>
    <row r="318">
      <c r="P318" s="34"/>
      <c r="Q318" s="34"/>
    </row>
    <row r="319">
      <c r="P319" s="34"/>
      <c r="Q319" s="34"/>
    </row>
    <row r="320">
      <c r="P320" s="34"/>
      <c r="Q320" s="34"/>
    </row>
    <row r="321">
      <c r="P321" s="34"/>
      <c r="Q321" s="34"/>
    </row>
    <row r="322">
      <c r="P322" s="34"/>
      <c r="Q322" s="34"/>
    </row>
    <row r="323">
      <c r="P323" s="34"/>
      <c r="Q323" s="34"/>
    </row>
    <row r="324">
      <c r="P324" s="34"/>
      <c r="Q324" s="34"/>
    </row>
    <row r="325">
      <c r="P325" s="34"/>
      <c r="Q325" s="34"/>
    </row>
    <row r="326">
      <c r="P326" s="34"/>
      <c r="Q326" s="34"/>
    </row>
    <row r="327">
      <c r="P327" s="34"/>
      <c r="Q327" s="34"/>
    </row>
    <row r="328">
      <c r="P328" s="34"/>
      <c r="Q328" s="34"/>
    </row>
    <row r="329">
      <c r="P329" s="34"/>
      <c r="Q329" s="34"/>
    </row>
    <row r="330">
      <c r="P330" s="34"/>
      <c r="Q330" s="34"/>
    </row>
    <row r="331">
      <c r="P331" s="34"/>
      <c r="Q331" s="34"/>
    </row>
    <row r="332">
      <c r="P332" s="34"/>
      <c r="Q332" s="34"/>
    </row>
    <row r="333">
      <c r="P333" s="34"/>
      <c r="Q333" s="34"/>
    </row>
    <row r="334">
      <c r="P334" s="34"/>
      <c r="Q334" s="34"/>
    </row>
    <row r="335">
      <c r="P335" s="34"/>
      <c r="Q335" s="34"/>
    </row>
    <row r="336">
      <c r="P336" s="34"/>
      <c r="Q336" s="34"/>
    </row>
    <row r="337">
      <c r="P337" s="34"/>
      <c r="Q337" s="34"/>
    </row>
    <row r="338">
      <c r="P338" s="34"/>
      <c r="Q338" s="34"/>
    </row>
    <row r="339">
      <c r="P339" s="34"/>
      <c r="Q339" s="34"/>
    </row>
    <row r="340">
      <c r="P340" s="34"/>
      <c r="Q340" s="34"/>
    </row>
    <row r="341">
      <c r="P341" s="34"/>
      <c r="Q341" s="34"/>
    </row>
    <row r="342">
      <c r="P342" s="34"/>
      <c r="Q342" s="34"/>
    </row>
    <row r="343">
      <c r="P343" s="34"/>
      <c r="Q343" s="34"/>
    </row>
    <row r="344">
      <c r="P344" s="34"/>
      <c r="Q344" s="34"/>
    </row>
    <row r="345">
      <c r="P345" s="34"/>
      <c r="Q345" s="34"/>
    </row>
    <row r="346">
      <c r="P346" s="34"/>
      <c r="Q346" s="34"/>
    </row>
    <row r="347">
      <c r="P347" s="34"/>
      <c r="Q347" s="34"/>
    </row>
    <row r="348">
      <c r="P348" s="34"/>
      <c r="Q348" s="34"/>
    </row>
    <row r="349">
      <c r="P349" s="34"/>
      <c r="Q349" s="34"/>
    </row>
    <row r="350">
      <c r="P350" s="34"/>
      <c r="Q350" s="34"/>
    </row>
    <row r="351">
      <c r="P351" s="34"/>
      <c r="Q351" s="34"/>
    </row>
    <row r="352">
      <c r="P352" s="34"/>
      <c r="Q352" s="34"/>
    </row>
    <row r="353">
      <c r="P353" s="34"/>
      <c r="Q353" s="34"/>
    </row>
    <row r="354">
      <c r="P354" s="34"/>
      <c r="Q354" s="34"/>
    </row>
    <row r="355">
      <c r="P355" s="34"/>
      <c r="Q355" s="34"/>
    </row>
    <row r="356">
      <c r="P356" s="34"/>
      <c r="Q356" s="34"/>
    </row>
    <row r="357">
      <c r="P357" s="34"/>
      <c r="Q357" s="34"/>
    </row>
    <row r="358">
      <c r="P358" s="34"/>
      <c r="Q358" s="34"/>
    </row>
    <row r="359">
      <c r="P359" s="34"/>
      <c r="Q359" s="34"/>
    </row>
    <row r="360">
      <c r="P360" s="34"/>
      <c r="Q360" s="34"/>
    </row>
    <row r="361">
      <c r="P361" s="34"/>
      <c r="Q361" s="34"/>
    </row>
    <row r="362">
      <c r="P362" s="34"/>
      <c r="Q362" s="34"/>
    </row>
    <row r="363">
      <c r="P363" s="34"/>
      <c r="Q363" s="34"/>
    </row>
    <row r="364">
      <c r="P364" s="34"/>
      <c r="Q364" s="34"/>
    </row>
    <row r="365">
      <c r="P365" s="34"/>
      <c r="Q365" s="34"/>
    </row>
    <row r="366">
      <c r="P366" s="34"/>
      <c r="Q366" s="34"/>
    </row>
    <row r="367">
      <c r="P367" s="34"/>
      <c r="Q367" s="34"/>
    </row>
    <row r="368">
      <c r="P368" s="34"/>
      <c r="Q368" s="34"/>
    </row>
    <row r="369">
      <c r="P369" s="34"/>
      <c r="Q369" s="34"/>
    </row>
    <row r="370">
      <c r="P370" s="34"/>
      <c r="Q370" s="34"/>
    </row>
    <row r="371">
      <c r="P371" s="34"/>
      <c r="Q371" s="34"/>
    </row>
    <row r="372">
      <c r="P372" s="34"/>
      <c r="Q372" s="34"/>
    </row>
    <row r="373">
      <c r="P373" s="34"/>
      <c r="Q373" s="34"/>
    </row>
    <row r="374">
      <c r="P374" s="34"/>
      <c r="Q374" s="34"/>
    </row>
    <row r="375">
      <c r="P375" s="34"/>
      <c r="Q375" s="34"/>
    </row>
    <row r="376">
      <c r="P376" s="34"/>
      <c r="Q376" s="34"/>
    </row>
    <row r="377">
      <c r="P377" s="34"/>
      <c r="Q377" s="34"/>
    </row>
    <row r="378">
      <c r="P378" s="34"/>
      <c r="Q378" s="34"/>
    </row>
    <row r="379">
      <c r="P379" s="34"/>
      <c r="Q379" s="34"/>
    </row>
    <row r="380">
      <c r="P380" s="34"/>
      <c r="Q380" s="34"/>
    </row>
    <row r="381">
      <c r="P381" s="34"/>
      <c r="Q381" s="34"/>
    </row>
    <row r="382">
      <c r="P382" s="34"/>
      <c r="Q382" s="34"/>
    </row>
    <row r="383">
      <c r="P383" s="34"/>
      <c r="Q383" s="34"/>
    </row>
    <row r="384">
      <c r="P384" s="34"/>
      <c r="Q384" s="34"/>
    </row>
    <row r="385">
      <c r="P385" s="34"/>
      <c r="Q385" s="34"/>
    </row>
    <row r="386">
      <c r="P386" s="34"/>
      <c r="Q386" s="34"/>
    </row>
    <row r="387">
      <c r="P387" s="34"/>
      <c r="Q387" s="34"/>
    </row>
    <row r="388">
      <c r="P388" s="34"/>
      <c r="Q388" s="34"/>
    </row>
    <row r="389">
      <c r="P389" s="34"/>
      <c r="Q389" s="34"/>
    </row>
    <row r="390">
      <c r="P390" s="34"/>
      <c r="Q390" s="34"/>
    </row>
    <row r="391">
      <c r="P391" s="34"/>
      <c r="Q391" s="34"/>
    </row>
    <row r="392">
      <c r="P392" s="34"/>
      <c r="Q392" s="34"/>
    </row>
    <row r="393">
      <c r="P393" s="34"/>
      <c r="Q393" s="34"/>
    </row>
    <row r="394">
      <c r="P394" s="34"/>
      <c r="Q394" s="34"/>
    </row>
    <row r="395">
      <c r="P395" s="34"/>
      <c r="Q395" s="34"/>
    </row>
    <row r="396">
      <c r="P396" s="34"/>
      <c r="Q396" s="34"/>
    </row>
    <row r="397">
      <c r="P397" s="34"/>
      <c r="Q397" s="34"/>
    </row>
    <row r="398">
      <c r="P398" s="34"/>
      <c r="Q398" s="34"/>
    </row>
    <row r="399">
      <c r="P399" s="34"/>
      <c r="Q399" s="34"/>
    </row>
    <row r="400">
      <c r="P400" s="34"/>
      <c r="Q400" s="34"/>
    </row>
    <row r="401">
      <c r="P401" s="34"/>
      <c r="Q401" s="34"/>
    </row>
    <row r="402">
      <c r="P402" s="34"/>
      <c r="Q402" s="34"/>
    </row>
    <row r="403">
      <c r="P403" s="34"/>
      <c r="Q403" s="34"/>
    </row>
    <row r="404">
      <c r="P404" s="34"/>
      <c r="Q404" s="34"/>
    </row>
    <row r="405">
      <c r="P405" s="34"/>
      <c r="Q405" s="34"/>
    </row>
    <row r="406">
      <c r="P406" s="34"/>
      <c r="Q406" s="34"/>
    </row>
    <row r="407">
      <c r="P407" s="34"/>
      <c r="Q407" s="34"/>
    </row>
    <row r="408">
      <c r="P408" s="34"/>
      <c r="Q408" s="34"/>
    </row>
    <row r="409">
      <c r="P409" s="34"/>
      <c r="Q409" s="34"/>
    </row>
    <row r="410">
      <c r="P410" s="34"/>
      <c r="Q410" s="34"/>
    </row>
    <row r="411">
      <c r="P411" s="34"/>
      <c r="Q411" s="34"/>
    </row>
    <row r="412">
      <c r="P412" s="34"/>
      <c r="Q412" s="34"/>
    </row>
    <row r="413">
      <c r="P413" s="34"/>
      <c r="Q413" s="34"/>
    </row>
    <row r="414">
      <c r="P414" s="34"/>
      <c r="Q414" s="34"/>
    </row>
    <row r="415">
      <c r="P415" s="34"/>
      <c r="Q415" s="34"/>
    </row>
    <row r="416">
      <c r="P416" s="34"/>
      <c r="Q416" s="34"/>
    </row>
    <row r="417">
      <c r="P417" s="34"/>
      <c r="Q417" s="34"/>
    </row>
    <row r="418">
      <c r="P418" s="34"/>
      <c r="Q418" s="34"/>
    </row>
    <row r="419">
      <c r="P419" s="34"/>
      <c r="Q419" s="34"/>
    </row>
    <row r="420">
      <c r="P420" s="34"/>
      <c r="Q420" s="34"/>
    </row>
    <row r="421">
      <c r="P421" s="34"/>
      <c r="Q421" s="34"/>
    </row>
    <row r="422">
      <c r="P422" s="34"/>
      <c r="Q422" s="34"/>
    </row>
    <row r="423">
      <c r="P423" s="34"/>
      <c r="Q423" s="34"/>
    </row>
    <row r="424">
      <c r="P424" s="34"/>
      <c r="Q424" s="34"/>
    </row>
    <row r="425">
      <c r="P425" s="34"/>
      <c r="Q425" s="34"/>
    </row>
    <row r="426">
      <c r="P426" s="34"/>
      <c r="Q426" s="34"/>
    </row>
    <row r="427">
      <c r="P427" s="34"/>
      <c r="Q427" s="34"/>
    </row>
    <row r="428">
      <c r="P428" s="34"/>
      <c r="Q428" s="34"/>
    </row>
    <row r="429">
      <c r="P429" s="34"/>
      <c r="Q429" s="34"/>
    </row>
    <row r="430">
      <c r="P430" s="34"/>
      <c r="Q430" s="34"/>
    </row>
    <row r="431">
      <c r="P431" s="34"/>
      <c r="Q431" s="34"/>
    </row>
    <row r="432">
      <c r="P432" s="34"/>
      <c r="Q432" s="34"/>
    </row>
    <row r="433">
      <c r="P433" s="34"/>
      <c r="Q433" s="34"/>
    </row>
    <row r="434">
      <c r="P434" s="34"/>
      <c r="Q434" s="34"/>
    </row>
    <row r="435">
      <c r="P435" s="34"/>
      <c r="Q435" s="34"/>
    </row>
    <row r="436">
      <c r="P436" s="34"/>
      <c r="Q436" s="34"/>
    </row>
    <row r="437">
      <c r="P437" s="34"/>
      <c r="Q437" s="34"/>
    </row>
    <row r="438">
      <c r="P438" s="34"/>
      <c r="Q438" s="34"/>
    </row>
    <row r="439">
      <c r="P439" s="34"/>
      <c r="Q439" s="34"/>
    </row>
    <row r="440">
      <c r="P440" s="34"/>
      <c r="Q440" s="34"/>
    </row>
    <row r="441">
      <c r="P441" s="34"/>
      <c r="Q441" s="34"/>
    </row>
    <row r="442">
      <c r="P442" s="34"/>
      <c r="Q442" s="34"/>
    </row>
    <row r="443">
      <c r="P443" s="34"/>
      <c r="Q443" s="34"/>
    </row>
    <row r="444">
      <c r="P444" s="34"/>
      <c r="Q444" s="34"/>
    </row>
    <row r="445">
      <c r="P445" s="34"/>
      <c r="Q445" s="34"/>
    </row>
    <row r="446">
      <c r="P446" s="34"/>
      <c r="Q446" s="34"/>
    </row>
    <row r="447">
      <c r="P447" s="34"/>
      <c r="Q447" s="34"/>
    </row>
    <row r="448">
      <c r="P448" s="34"/>
      <c r="Q448" s="34"/>
    </row>
    <row r="449">
      <c r="P449" s="34"/>
      <c r="Q449" s="34"/>
    </row>
    <row r="450">
      <c r="P450" s="34"/>
      <c r="Q450" s="34"/>
    </row>
    <row r="451">
      <c r="P451" s="34"/>
      <c r="Q451" s="34"/>
    </row>
    <row r="452">
      <c r="P452" s="34"/>
      <c r="Q452" s="34"/>
    </row>
    <row r="453">
      <c r="P453" s="34"/>
      <c r="Q453" s="34"/>
    </row>
    <row r="454">
      <c r="P454" s="34"/>
      <c r="Q454" s="34"/>
    </row>
    <row r="455">
      <c r="P455" s="34"/>
      <c r="Q455" s="34"/>
    </row>
    <row r="456">
      <c r="P456" s="34"/>
      <c r="Q456" s="34"/>
    </row>
    <row r="457">
      <c r="P457" s="34"/>
      <c r="Q457" s="34"/>
    </row>
    <row r="458">
      <c r="P458" s="34"/>
      <c r="Q458" s="34"/>
    </row>
    <row r="459">
      <c r="P459" s="34"/>
      <c r="Q459" s="34"/>
    </row>
    <row r="460">
      <c r="P460" s="34"/>
      <c r="Q460" s="34"/>
    </row>
    <row r="461">
      <c r="P461" s="34"/>
      <c r="Q461" s="34"/>
    </row>
    <row r="462">
      <c r="P462" s="34"/>
      <c r="Q462" s="34"/>
    </row>
    <row r="463">
      <c r="P463" s="34"/>
      <c r="Q463" s="34"/>
    </row>
    <row r="464">
      <c r="P464" s="34"/>
      <c r="Q464" s="34"/>
    </row>
    <row r="465">
      <c r="P465" s="34"/>
      <c r="Q465" s="34"/>
    </row>
    <row r="466">
      <c r="P466" s="34"/>
      <c r="Q466" s="34"/>
    </row>
    <row r="467">
      <c r="P467" s="34"/>
      <c r="Q467" s="34"/>
    </row>
    <row r="468">
      <c r="P468" s="34"/>
      <c r="Q468" s="34"/>
    </row>
    <row r="469">
      <c r="P469" s="34"/>
      <c r="Q469" s="34"/>
    </row>
    <row r="470">
      <c r="P470" s="34"/>
      <c r="Q470" s="34"/>
    </row>
    <row r="471">
      <c r="P471" s="34"/>
      <c r="Q471" s="34"/>
    </row>
    <row r="472">
      <c r="P472" s="34"/>
      <c r="Q472" s="34"/>
    </row>
    <row r="473">
      <c r="P473" s="34"/>
      <c r="Q473" s="34"/>
    </row>
    <row r="474">
      <c r="P474" s="34"/>
      <c r="Q474" s="34"/>
    </row>
    <row r="475">
      <c r="P475" s="34"/>
      <c r="Q475" s="34"/>
    </row>
    <row r="476">
      <c r="P476" s="34"/>
      <c r="Q476" s="34"/>
    </row>
    <row r="477">
      <c r="P477" s="34"/>
      <c r="Q477" s="34"/>
    </row>
    <row r="478">
      <c r="P478" s="34"/>
      <c r="Q478" s="34"/>
    </row>
    <row r="479">
      <c r="P479" s="34"/>
      <c r="Q479" s="34"/>
    </row>
    <row r="480">
      <c r="P480" s="34"/>
      <c r="Q480" s="34"/>
    </row>
    <row r="481">
      <c r="P481" s="34"/>
      <c r="Q481" s="34"/>
    </row>
    <row r="482">
      <c r="P482" s="34"/>
      <c r="Q482" s="34"/>
    </row>
    <row r="483">
      <c r="P483" s="34"/>
      <c r="Q483" s="34"/>
    </row>
    <row r="484">
      <c r="P484" s="34"/>
      <c r="Q484" s="34"/>
    </row>
    <row r="485">
      <c r="P485" s="34"/>
      <c r="Q485" s="34"/>
    </row>
    <row r="486">
      <c r="P486" s="34"/>
      <c r="Q486" s="34"/>
    </row>
    <row r="487">
      <c r="P487" s="34"/>
      <c r="Q487" s="34"/>
    </row>
    <row r="488">
      <c r="P488" s="34"/>
      <c r="Q488" s="34"/>
    </row>
    <row r="489">
      <c r="P489" s="34"/>
      <c r="Q489" s="34"/>
    </row>
    <row r="490">
      <c r="P490" s="34"/>
      <c r="Q490" s="34"/>
    </row>
    <row r="491">
      <c r="P491" s="34"/>
      <c r="Q491" s="34"/>
    </row>
    <row r="492">
      <c r="P492" s="34"/>
      <c r="Q492" s="34"/>
    </row>
    <row r="493">
      <c r="P493" s="34"/>
      <c r="Q493" s="34"/>
    </row>
    <row r="494">
      <c r="P494" s="34"/>
      <c r="Q494" s="34"/>
    </row>
    <row r="495">
      <c r="P495" s="34"/>
      <c r="Q495" s="34"/>
    </row>
    <row r="496">
      <c r="P496" s="34"/>
      <c r="Q496" s="34"/>
    </row>
    <row r="497">
      <c r="P497" s="34"/>
      <c r="Q497" s="34"/>
    </row>
    <row r="498">
      <c r="P498" s="34"/>
      <c r="Q498" s="34"/>
    </row>
    <row r="499">
      <c r="P499" s="34"/>
      <c r="Q499" s="34"/>
    </row>
    <row r="500">
      <c r="P500" s="34"/>
      <c r="Q500" s="34"/>
    </row>
    <row r="501">
      <c r="P501" s="34"/>
      <c r="Q501" s="34"/>
    </row>
    <row r="502">
      <c r="P502" s="34"/>
      <c r="Q502" s="34"/>
    </row>
    <row r="503">
      <c r="P503" s="34"/>
      <c r="Q503" s="34"/>
    </row>
    <row r="504">
      <c r="P504" s="34"/>
      <c r="Q504" s="34"/>
    </row>
    <row r="505">
      <c r="P505" s="34"/>
      <c r="Q505" s="34"/>
    </row>
    <row r="506">
      <c r="P506" s="34"/>
      <c r="Q506" s="34"/>
    </row>
    <row r="507">
      <c r="P507" s="34"/>
      <c r="Q507" s="34"/>
    </row>
    <row r="508">
      <c r="P508" s="34"/>
      <c r="Q508" s="34"/>
    </row>
    <row r="509">
      <c r="P509" s="34"/>
      <c r="Q509" s="34"/>
    </row>
    <row r="510">
      <c r="P510" s="34"/>
      <c r="Q510" s="34"/>
    </row>
    <row r="511">
      <c r="P511" s="34"/>
      <c r="Q511" s="34"/>
    </row>
    <row r="512">
      <c r="P512" s="34"/>
      <c r="Q512" s="34"/>
    </row>
    <row r="513">
      <c r="P513" s="34"/>
      <c r="Q513" s="34"/>
    </row>
    <row r="514">
      <c r="P514" s="34"/>
      <c r="Q514" s="34"/>
    </row>
    <row r="515">
      <c r="P515" s="34"/>
      <c r="Q515" s="34"/>
    </row>
    <row r="516">
      <c r="P516" s="34"/>
      <c r="Q516" s="34"/>
    </row>
    <row r="517">
      <c r="P517" s="34"/>
      <c r="Q517" s="34"/>
    </row>
    <row r="518">
      <c r="P518" s="34"/>
      <c r="Q518" s="34"/>
    </row>
    <row r="519">
      <c r="P519" s="34"/>
      <c r="Q519" s="34"/>
    </row>
    <row r="520">
      <c r="P520" s="34"/>
      <c r="Q520" s="34"/>
    </row>
    <row r="521">
      <c r="P521" s="34"/>
      <c r="Q521" s="34"/>
    </row>
    <row r="522">
      <c r="P522" s="34"/>
      <c r="Q522" s="34"/>
    </row>
    <row r="523">
      <c r="P523" s="34"/>
      <c r="Q523" s="34"/>
    </row>
    <row r="524">
      <c r="P524" s="34"/>
      <c r="Q524" s="34"/>
    </row>
    <row r="525">
      <c r="P525" s="34"/>
      <c r="Q525" s="34"/>
    </row>
    <row r="526">
      <c r="P526" s="34"/>
      <c r="Q526" s="34"/>
    </row>
    <row r="527">
      <c r="P527" s="34"/>
      <c r="Q527" s="34"/>
    </row>
    <row r="528">
      <c r="P528" s="34"/>
      <c r="Q528" s="34"/>
    </row>
    <row r="529">
      <c r="P529" s="34"/>
      <c r="Q529" s="34"/>
    </row>
    <row r="530">
      <c r="P530" s="34"/>
      <c r="Q530" s="34"/>
    </row>
    <row r="531">
      <c r="P531" s="34"/>
      <c r="Q531" s="34"/>
    </row>
    <row r="532">
      <c r="P532" s="34"/>
      <c r="Q532" s="34"/>
    </row>
    <row r="533">
      <c r="P533" s="34"/>
      <c r="Q533" s="34"/>
    </row>
    <row r="534">
      <c r="P534" s="34"/>
      <c r="Q534" s="34"/>
    </row>
    <row r="535">
      <c r="P535" s="34"/>
      <c r="Q535" s="34"/>
    </row>
    <row r="536">
      <c r="P536" s="34"/>
      <c r="Q536" s="34"/>
    </row>
    <row r="537">
      <c r="P537" s="34"/>
      <c r="Q537" s="34"/>
    </row>
    <row r="538">
      <c r="P538" s="34"/>
      <c r="Q538" s="34"/>
    </row>
    <row r="539">
      <c r="P539" s="34"/>
      <c r="Q539" s="34"/>
    </row>
    <row r="540">
      <c r="P540" s="34"/>
      <c r="Q540" s="34"/>
    </row>
    <row r="541">
      <c r="P541" s="34"/>
      <c r="Q541" s="34"/>
    </row>
    <row r="542">
      <c r="P542" s="34"/>
      <c r="Q542" s="34"/>
    </row>
    <row r="543">
      <c r="P543" s="34"/>
      <c r="Q543" s="34"/>
    </row>
    <row r="544">
      <c r="P544" s="34"/>
      <c r="Q544" s="34"/>
    </row>
    <row r="545">
      <c r="P545" s="34"/>
      <c r="Q545" s="34"/>
    </row>
    <row r="546">
      <c r="P546" s="34"/>
      <c r="Q546" s="34"/>
    </row>
    <row r="547">
      <c r="P547" s="34"/>
      <c r="Q547" s="34"/>
    </row>
    <row r="548">
      <c r="P548" s="34"/>
      <c r="Q548" s="34"/>
    </row>
    <row r="549">
      <c r="P549" s="34"/>
      <c r="Q549" s="34"/>
    </row>
    <row r="550">
      <c r="P550" s="34"/>
      <c r="Q550" s="34"/>
    </row>
    <row r="551">
      <c r="P551" s="34"/>
      <c r="Q551" s="34"/>
    </row>
    <row r="552">
      <c r="P552" s="34"/>
      <c r="Q552" s="34"/>
    </row>
    <row r="553">
      <c r="P553" s="34"/>
      <c r="Q553" s="34"/>
    </row>
    <row r="554">
      <c r="P554" s="34"/>
      <c r="Q554" s="34"/>
    </row>
    <row r="555">
      <c r="P555" s="34"/>
      <c r="Q555" s="34"/>
    </row>
    <row r="556">
      <c r="P556" s="34"/>
      <c r="Q556" s="34"/>
    </row>
    <row r="557">
      <c r="P557" s="34"/>
      <c r="Q557" s="34"/>
    </row>
    <row r="558">
      <c r="P558" s="34"/>
      <c r="Q558" s="34"/>
    </row>
    <row r="559">
      <c r="P559" s="34"/>
      <c r="Q559" s="34"/>
    </row>
    <row r="560">
      <c r="P560" s="34"/>
      <c r="Q560" s="34"/>
    </row>
    <row r="561">
      <c r="P561" s="34"/>
      <c r="Q561" s="34"/>
    </row>
    <row r="562">
      <c r="P562" s="34"/>
      <c r="Q562" s="34"/>
    </row>
    <row r="563">
      <c r="P563" s="34"/>
      <c r="Q563" s="34"/>
    </row>
    <row r="564">
      <c r="P564" s="34"/>
      <c r="Q564" s="34"/>
    </row>
    <row r="565">
      <c r="P565" s="34"/>
      <c r="Q565" s="34"/>
    </row>
    <row r="566">
      <c r="P566" s="34"/>
      <c r="Q566" s="34"/>
    </row>
    <row r="567">
      <c r="P567" s="34"/>
      <c r="Q567" s="34"/>
    </row>
    <row r="568">
      <c r="P568" s="34"/>
      <c r="Q568" s="34"/>
    </row>
    <row r="569">
      <c r="P569" s="34"/>
      <c r="Q569" s="34"/>
    </row>
    <row r="570">
      <c r="P570" s="34"/>
      <c r="Q570" s="34"/>
    </row>
    <row r="571">
      <c r="P571" s="34"/>
      <c r="Q571" s="34"/>
    </row>
    <row r="572">
      <c r="P572" s="34"/>
      <c r="Q572" s="34"/>
    </row>
    <row r="573">
      <c r="P573" s="34"/>
      <c r="Q573" s="34"/>
    </row>
    <row r="574">
      <c r="P574" s="34"/>
      <c r="Q574" s="34"/>
    </row>
    <row r="575">
      <c r="P575" s="34"/>
      <c r="Q575" s="34"/>
    </row>
    <row r="576">
      <c r="P576" s="34"/>
      <c r="Q576" s="34"/>
    </row>
    <row r="577">
      <c r="P577" s="34"/>
      <c r="Q577" s="34"/>
    </row>
    <row r="578">
      <c r="P578" s="34"/>
      <c r="Q578" s="34"/>
    </row>
    <row r="579">
      <c r="P579" s="34"/>
      <c r="Q579" s="34"/>
    </row>
    <row r="580">
      <c r="P580" s="34"/>
      <c r="Q580" s="34"/>
    </row>
    <row r="581">
      <c r="P581" s="34"/>
      <c r="Q581" s="34"/>
    </row>
    <row r="582">
      <c r="P582" s="34"/>
      <c r="Q582" s="34"/>
    </row>
    <row r="583">
      <c r="P583" s="34"/>
      <c r="Q583" s="34"/>
    </row>
    <row r="584">
      <c r="P584" s="34"/>
      <c r="Q584" s="34"/>
    </row>
    <row r="585">
      <c r="P585" s="34"/>
      <c r="Q585" s="34"/>
    </row>
    <row r="586">
      <c r="P586" s="34"/>
      <c r="Q586" s="34"/>
    </row>
    <row r="587">
      <c r="P587" s="34"/>
      <c r="Q587" s="34"/>
    </row>
    <row r="588">
      <c r="P588" s="34"/>
      <c r="Q588" s="34"/>
    </row>
    <row r="589">
      <c r="P589" s="34"/>
      <c r="Q589" s="34"/>
    </row>
    <row r="590">
      <c r="P590" s="34"/>
      <c r="Q590" s="34"/>
    </row>
    <row r="591">
      <c r="P591" s="34"/>
      <c r="Q591" s="34"/>
    </row>
    <row r="592">
      <c r="P592" s="34"/>
      <c r="Q592" s="34"/>
    </row>
    <row r="593">
      <c r="P593" s="34"/>
      <c r="Q593" s="34"/>
    </row>
    <row r="594">
      <c r="P594" s="34"/>
      <c r="Q594" s="34"/>
    </row>
    <row r="595">
      <c r="P595" s="34"/>
      <c r="Q595" s="34"/>
    </row>
    <row r="596">
      <c r="P596" s="34"/>
      <c r="Q596" s="34"/>
    </row>
    <row r="597">
      <c r="P597" s="34"/>
      <c r="Q597" s="34"/>
    </row>
    <row r="598">
      <c r="P598" s="34"/>
      <c r="Q598" s="34"/>
    </row>
    <row r="599">
      <c r="P599" s="34"/>
      <c r="Q599" s="34"/>
    </row>
    <row r="600">
      <c r="P600" s="34"/>
      <c r="Q600" s="34"/>
    </row>
    <row r="601">
      <c r="P601" s="34"/>
      <c r="Q601" s="34"/>
    </row>
    <row r="602">
      <c r="P602" s="34"/>
      <c r="Q602" s="34"/>
    </row>
    <row r="603">
      <c r="P603" s="34"/>
      <c r="Q603" s="34"/>
    </row>
    <row r="604">
      <c r="P604" s="34"/>
      <c r="Q604" s="34"/>
    </row>
    <row r="605">
      <c r="P605" s="34"/>
      <c r="Q605" s="34"/>
    </row>
    <row r="606">
      <c r="P606" s="34"/>
      <c r="Q606" s="34"/>
    </row>
    <row r="607">
      <c r="P607" s="34"/>
      <c r="Q607" s="34"/>
    </row>
    <row r="608">
      <c r="P608" s="34"/>
      <c r="Q608" s="34"/>
    </row>
    <row r="609">
      <c r="P609" s="34"/>
      <c r="Q609" s="34"/>
    </row>
    <row r="610">
      <c r="P610" s="34"/>
      <c r="Q610" s="34"/>
    </row>
    <row r="611">
      <c r="P611" s="34"/>
      <c r="Q611" s="34"/>
    </row>
    <row r="612">
      <c r="P612" s="34"/>
      <c r="Q612" s="34"/>
    </row>
    <row r="613">
      <c r="P613" s="34"/>
      <c r="Q613" s="34"/>
    </row>
    <row r="614">
      <c r="P614" s="34"/>
      <c r="Q614" s="34"/>
    </row>
    <row r="615">
      <c r="P615" s="34"/>
      <c r="Q615" s="34"/>
    </row>
    <row r="616">
      <c r="P616" s="34"/>
      <c r="Q616" s="34"/>
    </row>
    <row r="617">
      <c r="P617" s="34"/>
      <c r="Q617" s="34"/>
    </row>
    <row r="618">
      <c r="P618" s="34"/>
      <c r="Q618" s="34"/>
    </row>
    <row r="619">
      <c r="P619" s="34"/>
      <c r="Q619" s="34"/>
    </row>
    <row r="620">
      <c r="P620" s="34"/>
      <c r="Q620" s="34"/>
    </row>
    <row r="621">
      <c r="P621" s="34"/>
      <c r="Q621" s="34"/>
    </row>
    <row r="622">
      <c r="P622" s="34"/>
      <c r="Q622" s="34"/>
    </row>
    <row r="623">
      <c r="P623" s="34"/>
      <c r="Q623" s="34"/>
    </row>
    <row r="624">
      <c r="P624" s="34"/>
      <c r="Q624" s="34"/>
    </row>
    <row r="625">
      <c r="P625" s="34"/>
      <c r="Q625" s="34"/>
    </row>
    <row r="626">
      <c r="P626" s="34"/>
      <c r="Q626" s="34"/>
    </row>
    <row r="627">
      <c r="P627" s="34"/>
      <c r="Q627" s="34"/>
    </row>
    <row r="628">
      <c r="P628" s="34"/>
      <c r="Q628" s="34"/>
    </row>
    <row r="629">
      <c r="P629" s="34"/>
      <c r="Q629" s="34"/>
    </row>
    <row r="630">
      <c r="P630" s="34"/>
      <c r="Q630" s="34"/>
    </row>
    <row r="631">
      <c r="P631" s="34"/>
      <c r="Q631" s="34"/>
    </row>
    <row r="632">
      <c r="P632" s="34"/>
      <c r="Q632" s="34"/>
    </row>
    <row r="633">
      <c r="P633" s="34"/>
      <c r="Q633" s="34"/>
    </row>
    <row r="634">
      <c r="P634" s="34"/>
      <c r="Q634" s="34"/>
    </row>
    <row r="635">
      <c r="P635" s="34"/>
      <c r="Q635" s="34"/>
    </row>
    <row r="636">
      <c r="P636" s="34"/>
      <c r="Q636" s="34"/>
    </row>
    <row r="637">
      <c r="P637" s="34"/>
      <c r="Q637" s="34"/>
    </row>
    <row r="638">
      <c r="P638" s="34"/>
      <c r="Q638" s="34"/>
    </row>
    <row r="639">
      <c r="P639" s="34"/>
      <c r="Q639" s="34"/>
    </row>
    <row r="640">
      <c r="P640" s="34"/>
      <c r="Q640" s="34"/>
    </row>
    <row r="641">
      <c r="P641" s="34"/>
      <c r="Q641" s="34"/>
    </row>
    <row r="642">
      <c r="P642" s="34"/>
      <c r="Q642" s="34"/>
    </row>
    <row r="643">
      <c r="P643" s="34"/>
      <c r="Q643" s="34"/>
    </row>
    <row r="644">
      <c r="P644" s="34"/>
      <c r="Q644" s="34"/>
    </row>
    <row r="645">
      <c r="P645" s="34"/>
      <c r="Q645" s="34"/>
    </row>
    <row r="646">
      <c r="P646" s="34"/>
      <c r="Q646" s="34"/>
    </row>
    <row r="647">
      <c r="P647" s="34"/>
      <c r="Q647" s="34"/>
    </row>
    <row r="648">
      <c r="P648" s="34"/>
      <c r="Q648" s="34"/>
    </row>
    <row r="649">
      <c r="P649" s="34"/>
      <c r="Q649" s="34"/>
    </row>
    <row r="650">
      <c r="P650" s="34"/>
      <c r="Q650" s="34"/>
    </row>
    <row r="651">
      <c r="P651" s="34"/>
      <c r="Q651" s="34"/>
    </row>
    <row r="652">
      <c r="P652" s="34"/>
      <c r="Q652" s="34"/>
    </row>
    <row r="653">
      <c r="P653" s="34"/>
      <c r="Q653" s="34"/>
    </row>
    <row r="654">
      <c r="P654" s="34"/>
      <c r="Q654" s="34"/>
    </row>
    <row r="655">
      <c r="P655" s="34"/>
      <c r="Q655" s="34"/>
    </row>
    <row r="656">
      <c r="P656" s="34"/>
      <c r="Q656" s="34"/>
    </row>
    <row r="657">
      <c r="P657" s="34"/>
      <c r="Q657" s="34"/>
    </row>
    <row r="658">
      <c r="P658" s="34"/>
      <c r="Q658" s="34"/>
    </row>
    <row r="659">
      <c r="P659" s="34"/>
      <c r="Q659" s="34"/>
    </row>
    <row r="660">
      <c r="P660" s="34"/>
      <c r="Q660" s="34"/>
    </row>
    <row r="661">
      <c r="P661" s="34"/>
      <c r="Q661" s="34"/>
    </row>
    <row r="662">
      <c r="P662" s="34"/>
      <c r="Q662" s="34"/>
    </row>
    <row r="663">
      <c r="P663" s="34"/>
      <c r="Q663" s="34"/>
    </row>
    <row r="664">
      <c r="P664" s="34"/>
      <c r="Q664" s="34"/>
    </row>
    <row r="665">
      <c r="P665" s="34"/>
      <c r="Q665" s="34"/>
    </row>
    <row r="666">
      <c r="P666" s="34"/>
      <c r="Q666" s="34"/>
    </row>
    <row r="667">
      <c r="P667" s="34"/>
      <c r="Q667" s="34"/>
    </row>
    <row r="668">
      <c r="P668" s="34"/>
      <c r="Q668" s="34"/>
    </row>
    <row r="669">
      <c r="P669" s="34"/>
      <c r="Q669" s="34"/>
    </row>
    <row r="670">
      <c r="P670" s="34"/>
      <c r="Q670" s="34"/>
    </row>
    <row r="671">
      <c r="P671" s="34"/>
      <c r="Q671" s="34"/>
    </row>
    <row r="672">
      <c r="P672" s="34"/>
      <c r="Q672" s="34"/>
    </row>
    <row r="673">
      <c r="P673" s="34"/>
      <c r="Q673" s="34"/>
    </row>
    <row r="674">
      <c r="P674" s="34"/>
      <c r="Q674" s="34"/>
    </row>
    <row r="675">
      <c r="P675" s="34"/>
      <c r="Q675" s="34"/>
    </row>
    <row r="676">
      <c r="P676" s="34"/>
      <c r="Q676" s="34"/>
    </row>
    <row r="677">
      <c r="P677" s="34"/>
      <c r="Q677" s="34"/>
    </row>
    <row r="678">
      <c r="P678" s="34"/>
      <c r="Q678" s="34"/>
    </row>
    <row r="679">
      <c r="P679" s="34"/>
      <c r="Q679" s="34"/>
    </row>
    <row r="680">
      <c r="P680" s="34"/>
      <c r="Q680" s="34"/>
    </row>
    <row r="681">
      <c r="P681" s="34"/>
      <c r="Q681" s="34"/>
    </row>
    <row r="682">
      <c r="P682" s="34"/>
      <c r="Q682" s="34"/>
    </row>
    <row r="683">
      <c r="P683" s="34"/>
      <c r="Q683" s="34"/>
    </row>
    <row r="684">
      <c r="P684" s="34"/>
      <c r="Q684" s="34"/>
    </row>
    <row r="685">
      <c r="P685" s="34"/>
      <c r="Q685" s="34"/>
    </row>
    <row r="686">
      <c r="P686" s="34"/>
      <c r="Q686" s="34"/>
    </row>
    <row r="687">
      <c r="P687" s="34"/>
      <c r="Q687" s="34"/>
    </row>
    <row r="688">
      <c r="P688" s="34"/>
      <c r="Q688" s="34"/>
    </row>
    <row r="689">
      <c r="P689" s="34"/>
      <c r="Q689" s="34"/>
    </row>
    <row r="690">
      <c r="P690" s="34"/>
      <c r="Q690" s="34"/>
    </row>
    <row r="691">
      <c r="P691" s="34"/>
      <c r="Q691" s="34"/>
    </row>
    <row r="692">
      <c r="P692" s="34"/>
      <c r="Q692" s="34"/>
    </row>
    <row r="693">
      <c r="P693" s="34"/>
      <c r="Q693" s="34"/>
    </row>
    <row r="694">
      <c r="P694" s="34"/>
      <c r="Q694" s="34"/>
    </row>
    <row r="695">
      <c r="P695" s="34"/>
      <c r="Q695" s="34"/>
    </row>
    <row r="696">
      <c r="P696" s="34"/>
      <c r="Q696" s="34"/>
    </row>
    <row r="697">
      <c r="P697" s="34"/>
      <c r="Q697" s="34"/>
    </row>
    <row r="698">
      <c r="P698" s="34"/>
      <c r="Q698" s="34"/>
    </row>
    <row r="699">
      <c r="P699" s="34"/>
      <c r="Q699" s="34"/>
    </row>
    <row r="700">
      <c r="P700" s="34"/>
      <c r="Q700" s="34"/>
    </row>
    <row r="701">
      <c r="P701" s="34"/>
      <c r="Q701" s="34"/>
    </row>
    <row r="702">
      <c r="P702" s="34"/>
      <c r="Q702" s="34"/>
    </row>
    <row r="703">
      <c r="P703" s="34"/>
      <c r="Q703" s="34"/>
    </row>
    <row r="704">
      <c r="P704" s="34"/>
      <c r="Q704" s="34"/>
    </row>
    <row r="705">
      <c r="P705" s="34"/>
      <c r="Q705" s="34"/>
    </row>
    <row r="706">
      <c r="P706" s="34"/>
      <c r="Q706" s="34"/>
    </row>
    <row r="707">
      <c r="P707" s="34"/>
      <c r="Q707" s="34"/>
    </row>
    <row r="708">
      <c r="P708" s="34"/>
      <c r="Q708" s="34"/>
    </row>
    <row r="709">
      <c r="P709" s="34"/>
      <c r="Q709" s="34"/>
    </row>
    <row r="710">
      <c r="P710" s="34"/>
      <c r="Q710" s="34"/>
    </row>
    <row r="711">
      <c r="P711" s="34"/>
      <c r="Q711" s="34"/>
    </row>
    <row r="712">
      <c r="P712" s="34"/>
      <c r="Q712" s="34"/>
    </row>
    <row r="713">
      <c r="P713" s="34"/>
      <c r="Q713" s="34"/>
    </row>
    <row r="714">
      <c r="P714" s="34"/>
      <c r="Q714" s="34"/>
    </row>
    <row r="715">
      <c r="P715" s="34"/>
      <c r="Q715" s="34"/>
    </row>
    <row r="716">
      <c r="P716" s="34"/>
      <c r="Q716" s="34"/>
    </row>
    <row r="717">
      <c r="P717" s="34"/>
      <c r="Q717" s="34"/>
    </row>
    <row r="718">
      <c r="P718" s="34"/>
      <c r="Q718" s="34"/>
    </row>
    <row r="719">
      <c r="P719" s="34"/>
      <c r="Q719" s="34"/>
    </row>
    <row r="720">
      <c r="P720" s="34"/>
      <c r="Q720" s="34"/>
    </row>
    <row r="721">
      <c r="P721" s="34"/>
      <c r="Q721" s="34"/>
    </row>
    <row r="722">
      <c r="P722" s="34"/>
      <c r="Q722" s="34"/>
    </row>
    <row r="723">
      <c r="P723" s="34"/>
      <c r="Q723" s="34"/>
    </row>
    <row r="724">
      <c r="P724" s="34"/>
      <c r="Q724" s="34"/>
    </row>
    <row r="725">
      <c r="P725" s="34"/>
      <c r="Q725" s="34"/>
    </row>
    <row r="726">
      <c r="P726" s="34"/>
      <c r="Q726" s="34"/>
    </row>
    <row r="727">
      <c r="P727" s="34"/>
      <c r="Q727" s="34"/>
    </row>
    <row r="728">
      <c r="P728" s="34"/>
      <c r="Q728" s="34"/>
    </row>
    <row r="729">
      <c r="P729" s="34"/>
      <c r="Q729" s="34"/>
    </row>
    <row r="730">
      <c r="P730" s="34"/>
      <c r="Q730" s="34"/>
    </row>
    <row r="731">
      <c r="P731" s="34"/>
      <c r="Q731" s="34"/>
    </row>
    <row r="732">
      <c r="P732" s="34"/>
      <c r="Q732" s="34"/>
    </row>
    <row r="733">
      <c r="P733" s="34"/>
      <c r="Q733" s="34"/>
    </row>
    <row r="734">
      <c r="P734" s="34"/>
      <c r="Q734" s="34"/>
    </row>
    <row r="735">
      <c r="P735" s="34"/>
      <c r="Q735" s="34"/>
    </row>
    <row r="736">
      <c r="P736" s="34"/>
      <c r="Q736" s="34"/>
    </row>
    <row r="737">
      <c r="P737" s="34"/>
      <c r="Q737" s="34"/>
    </row>
    <row r="738">
      <c r="P738" s="34"/>
      <c r="Q738" s="34"/>
    </row>
    <row r="739">
      <c r="P739" s="34"/>
      <c r="Q739" s="34"/>
    </row>
    <row r="740">
      <c r="P740" s="34"/>
      <c r="Q740" s="34"/>
    </row>
    <row r="741">
      <c r="P741" s="34"/>
      <c r="Q741" s="34"/>
    </row>
    <row r="742">
      <c r="P742" s="34"/>
      <c r="Q742" s="34"/>
    </row>
    <row r="743">
      <c r="P743" s="34"/>
      <c r="Q743" s="34"/>
    </row>
    <row r="744">
      <c r="P744" s="34"/>
      <c r="Q744" s="34"/>
    </row>
    <row r="745">
      <c r="P745" s="34"/>
      <c r="Q745" s="34"/>
    </row>
    <row r="746">
      <c r="P746" s="34"/>
      <c r="Q746" s="34"/>
    </row>
    <row r="747">
      <c r="P747" s="34"/>
      <c r="Q747" s="34"/>
    </row>
    <row r="748">
      <c r="P748" s="34"/>
      <c r="Q748" s="34"/>
    </row>
    <row r="749">
      <c r="P749" s="34"/>
      <c r="Q749" s="34"/>
    </row>
    <row r="750">
      <c r="P750" s="34"/>
      <c r="Q750" s="34"/>
    </row>
    <row r="751">
      <c r="P751" s="34"/>
      <c r="Q751" s="34"/>
    </row>
    <row r="752">
      <c r="P752" s="34"/>
      <c r="Q752" s="34"/>
    </row>
    <row r="753">
      <c r="P753" s="34"/>
      <c r="Q753" s="34"/>
    </row>
    <row r="754">
      <c r="P754" s="34"/>
      <c r="Q754" s="34"/>
    </row>
    <row r="755">
      <c r="P755" s="34"/>
      <c r="Q755" s="34"/>
    </row>
    <row r="756">
      <c r="P756" s="34"/>
      <c r="Q756" s="34"/>
    </row>
    <row r="757">
      <c r="P757" s="34"/>
      <c r="Q757" s="34"/>
    </row>
    <row r="758">
      <c r="P758" s="34"/>
      <c r="Q758" s="34"/>
    </row>
    <row r="759">
      <c r="P759" s="34"/>
      <c r="Q759" s="34"/>
    </row>
    <row r="760">
      <c r="P760" s="34"/>
      <c r="Q760" s="34"/>
    </row>
    <row r="761">
      <c r="P761" s="34"/>
      <c r="Q761" s="34"/>
    </row>
    <row r="762">
      <c r="P762" s="34"/>
      <c r="Q762" s="34"/>
    </row>
    <row r="763">
      <c r="P763" s="34"/>
      <c r="Q763" s="34"/>
    </row>
    <row r="764">
      <c r="P764" s="34"/>
      <c r="Q764" s="34"/>
    </row>
    <row r="765">
      <c r="P765" s="34"/>
      <c r="Q765" s="34"/>
    </row>
    <row r="766">
      <c r="P766" s="34"/>
      <c r="Q766" s="34"/>
    </row>
    <row r="767">
      <c r="P767" s="34"/>
      <c r="Q767" s="34"/>
    </row>
    <row r="768">
      <c r="P768" s="34"/>
      <c r="Q768" s="34"/>
    </row>
    <row r="769">
      <c r="P769" s="34"/>
      <c r="Q769" s="34"/>
    </row>
    <row r="770">
      <c r="P770" s="34"/>
      <c r="Q770" s="34"/>
    </row>
    <row r="771">
      <c r="P771" s="34"/>
      <c r="Q771" s="34"/>
    </row>
    <row r="772">
      <c r="P772" s="34"/>
      <c r="Q772" s="34"/>
    </row>
    <row r="773">
      <c r="P773" s="34"/>
      <c r="Q773" s="34"/>
    </row>
    <row r="774">
      <c r="P774" s="34"/>
      <c r="Q774" s="34"/>
    </row>
    <row r="775">
      <c r="P775" s="34"/>
      <c r="Q775" s="34"/>
    </row>
    <row r="776">
      <c r="P776" s="34"/>
      <c r="Q776" s="34"/>
    </row>
    <row r="777">
      <c r="P777" s="34"/>
      <c r="Q777" s="34"/>
    </row>
    <row r="778">
      <c r="P778" s="34"/>
      <c r="Q778" s="34"/>
    </row>
    <row r="779">
      <c r="P779" s="34"/>
      <c r="Q779" s="34"/>
    </row>
    <row r="780">
      <c r="P780" s="34"/>
      <c r="Q780" s="34"/>
    </row>
    <row r="781">
      <c r="P781" s="34"/>
      <c r="Q781" s="34"/>
    </row>
    <row r="782">
      <c r="P782" s="34"/>
      <c r="Q782" s="34"/>
    </row>
    <row r="783">
      <c r="P783" s="34"/>
      <c r="Q783" s="34"/>
    </row>
    <row r="784">
      <c r="P784" s="34"/>
      <c r="Q784" s="34"/>
    </row>
    <row r="785">
      <c r="P785" s="34"/>
      <c r="Q785" s="34"/>
    </row>
    <row r="786">
      <c r="P786" s="34"/>
      <c r="Q786" s="34"/>
    </row>
    <row r="787">
      <c r="P787" s="34"/>
      <c r="Q787" s="34"/>
    </row>
    <row r="788">
      <c r="P788" s="34"/>
      <c r="Q788" s="34"/>
    </row>
    <row r="789">
      <c r="P789" s="34"/>
      <c r="Q789" s="34"/>
    </row>
    <row r="790">
      <c r="P790" s="34"/>
      <c r="Q790" s="34"/>
    </row>
    <row r="791">
      <c r="P791" s="34"/>
      <c r="Q791" s="34"/>
    </row>
    <row r="792">
      <c r="P792" s="34"/>
      <c r="Q792" s="34"/>
    </row>
    <row r="793">
      <c r="P793" s="34"/>
      <c r="Q793" s="34"/>
    </row>
    <row r="794">
      <c r="P794" s="34"/>
      <c r="Q794" s="34"/>
    </row>
    <row r="795">
      <c r="P795" s="34"/>
      <c r="Q795" s="34"/>
    </row>
    <row r="796">
      <c r="P796" s="34"/>
      <c r="Q796" s="34"/>
    </row>
    <row r="797">
      <c r="P797" s="34"/>
      <c r="Q797" s="34"/>
    </row>
    <row r="798">
      <c r="P798" s="34"/>
      <c r="Q798" s="34"/>
    </row>
    <row r="799">
      <c r="P799" s="34"/>
      <c r="Q799" s="34"/>
    </row>
    <row r="800">
      <c r="P800" s="34"/>
      <c r="Q800" s="34"/>
    </row>
    <row r="801">
      <c r="P801" s="34"/>
      <c r="Q801" s="34"/>
    </row>
    <row r="802">
      <c r="P802" s="34"/>
      <c r="Q802" s="34"/>
    </row>
    <row r="803">
      <c r="P803" s="34"/>
      <c r="Q803" s="34"/>
    </row>
    <row r="804">
      <c r="P804" s="34"/>
      <c r="Q804" s="34"/>
    </row>
    <row r="805">
      <c r="P805" s="34"/>
      <c r="Q805" s="34"/>
    </row>
    <row r="806">
      <c r="P806" s="34"/>
      <c r="Q806" s="34"/>
    </row>
    <row r="807">
      <c r="P807" s="34"/>
      <c r="Q807" s="34"/>
    </row>
    <row r="808">
      <c r="P808" s="34"/>
      <c r="Q808" s="34"/>
    </row>
    <row r="809">
      <c r="P809" s="34"/>
      <c r="Q809" s="34"/>
    </row>
    <row r="810">
      <c r="P810" s="34"/>
      <c r="Q810" s="34"/>
    </row>
    <row r="811">
      <c r="P811" s="34"/>
      <c r="Q811" s="34"/>
    </row>
    <row r="812">
      <c r="P812" s="34"/>
      <c r="Q812" s="34"/>
    </row>
    <row r="813">
      <c r="P813" s="34"/>
      <c r="Q813" s="34"/>
    </row>
    <row r="814">
      <c r="P814" s="34"/>
      <c r="Q814" s="34"/>
    </row>
    <row r="815">
      <c r="P815" s="34"/>
      <c r="Q815" s="34"/>
    </row>
    <row r="816">
      <c r="P816" s="34"/>
      <c r="Q816" s="34"/>
    </row>
    <row r="817">
      <c r="P817" s="34"/>
      <c r="Q817" s="34"/>
    </row>
    <row r="818">
      <c r="P818" s="34"/>
      <c r="Q818" s="34"/>
    </row>
    <row r="819">
      <c r="P819" s="34"/>
      <c r="Q819" s="34"/>
    </row>
    <row r="820">
      <c r="P820" s="34"/>
      <c r="Q820" s="34"/>
    </row>
    <row r="821">
      <c r="P821" s="34"/>
      <c r="Q821" s="34"/>
    </row>
    <row r="822">
      <c r="P822" s="34"/>
      <c r="Q822" s="34"/>
    </row>
    <row r="823">
      <c r="P823" s="34"/>
      <c r="Q823" s="34"/>
    </row>
    <row r="824">
      <c r="P824" s="34"/>
      <c r="Q824" s="34"/>
    </row>
    <row r="825">
      <c r="P825" s="34"/>
      <c r="Q825" s="34"/>
    </row>
    <row r="826">
      <c r="P826" s="34"/>
      <c r="Q826" s="34"/>
    </row>
    <row r="827">
      <c r="P827" s="34"/>
      <c r="Q827" s="34"/>
    </row>
    <row r="828">
      <c r="P828" s="34"/>
      <c r="Q828" s="34"/>
    </row>
    <row r="829">
      <c r="P829" s="34"/>
      <c r="Q829" s="34"/>
    </row>
    <row r="830">
      <c r="P830" s="34"/>
      <c r="Q830" s="34"/>
    </row>
    <row r="831">
      <c r="P831" s="34"/>
      <c r="Q831" s="34"/>
    </row>
    <row r="832">
      <c r="P832" s="34"/>
      <c r="Q832" s="34"/>
    </row>
    <row r="833">
      <c r="P833" s="34"/>
      <c r="Q833" s="34"/>
    </row>
    <row r="834">
      <c r="P834" s="34"/>
      <c r="Q834" s="34"/>
    </row>
    <row r="835">
      <c r="P835" s="34"/>
      <c r="Q835" s="34"/>
    </row>
    <row r="836">
      <c r="P836" s="34"/>
      <c r="Q836" s="34"/>
    </row>
    <row r="837">
      <c r="P837" s="34"/>
      <c r="Q837" s="34"/>
    </row>
    <row r="838">
      <c r="P838" s="34"/>
      <c r="Q838" s="34"/>
    </row>
    <row r="839">
      <c r="P839" s="34"/>
      <c r="Q839" s="34"/>
    </row>
    <row r="840">
      <c r="P840" s="34"/>
      <c r="Q840" s="34"/>
    </row>
    <row r="841">
      <c r="P841" s="34"/>
      <c r="Q841" s="34"/>
    </row>
    <row r="842">
      <c r="P842" s="34"/>
      <c r="Q842" s="34"/>
    </row>
    <row r="843">
      <c r="P843" s="34"/>
      <c r="Q843" s="34"/>
    </row>
    <row r="844">
      <c r="P844" s="34"/>
      <c r="Q844" s="34"/>
    </row>
    <row r="845">
      <c r="P845" s="34"/>
      <c r="Q845" s="34"/>
    </row>
    <row r="846">
      <c r="P846" s="34"/>
      <c r="Q846" s="34"/>
    </row>
    <row r="847">
      <c r="P847" s="34"/>
      <c r="Q847" s="34"/>
    </row>
    <row r="848">
      <c r="P848" s="34"/>
      <c r="Q848" s="34"/>
    </row>
    <row r="849">
      <c r="P849" s="34"/>
      <c r="Q849" s="34"/>
    </row>
    <row r="850">
      <c r="P850" s="34"/>
      <c r="Q850" s="34"/>
    </row>
    <row r="851">
      <c r="P851" s="34"/>
      <c r="Q851" s="34"/>
    </row>
    <row r="852">
      <c r="P852" s="34"/>
      <c r="Q852" s="34"/>
    </row>
    <row r="853">
      <c r="P853" s="34"/>
      <c r="Q853" s="34"/>
    </row>
    <row r="854">
      <c r="P854" s="34"/>
      <c r="Q854" s="34"/>
    </row>
    <row r="855">
      <c r="P855" s="34"/>
      <c r="Q855" s="34"/>
    </row>
    <row r="856">
      <c r="P856" s="34"/>
      <c r="Q856" s="34"/>
    </row>
    <row r="857">
      <c r="P857" s="34"/>
      <c r="Q857" s="34"/>
    </row>
    <row r="858">
      <c r="P858" s="34"/>
      <c r="Q858" s="34"/>
    </row>
    <row r="859">
      <c r="P859" s="34"/>
      <c r="Q859" s="34"/>
    </row>
    <row r="860">
      <c r="P860" s="34"/>
      <c r="Q860" s="34"/>
    </row>
    <row r="861">
      <c r="P861" s="34"/>
      <c r="Q861" s="34"/>
    </row>
    <row r="862">
      <c r="P862" s="34"/>
      <c r="Q862" s="34"/>
    </row>
    <row r="863">
      <c r="P863" s="34"/>
      <c r="Q863" s="34"/>
    </row>
    <row r="864">
      <c r="P864" s="34"/>
      <c r="Q864" s="34"/>
    </row>
    <row r="865">
      <c r="P865" s="34"/>
      <c r="Q865" s="34"/>
    </row>
    <row r="866">
      <c r="P866" s="34"/>
      <c r="Q866" s="34"/>
    </row>
    <row r="867">
      <c r="P867" s="34"/>
      <c r="Q867" s="34"/>
    </row>
    <row r="868">
      <c r="P868" s="34"/>
      <c r="Q868" s="34"/>
    </row>
    <row r="869">
      <c r="P869" s="34"/>
      <c r="Q869" s="34"/>
    </row>
    <row r="870">
      <c r="P870" s="34"/>
      <c r="Q870" s="34"/>
    </row>
    <row r="871">
      <c r="P871" s="34"/>
      <c r="Q871" s="34"/>
    </row>
    <row r="872">
      <c r="P872" s="34"/>
      <c r="Q872" s="34"/>
    </row>
    <row r="873">
      <c r="P873" s="34"/>
      <c r="Q873" s="34"/>
    </row>
    <row r="874">
      <c r="P874" s="34"/>
      <c r="Q874" s="34"/>
    </row>
    <row r="875">
      <c r="P875" s="34"/>
      <c r="Q875" s="34"/>
    </row>
    <row r="876">
      <c r="P876" s="34"/>
      <c r="Q876" s="34"/>
    </row>
    <row r="877">
      <c r="P877" s="34"/>
      <c r="Q877" s="34"/>
    </row>
    <row r="878">
      <c r="P878" s="34"/>
      <c r="Q878" s="34"/>
    </row>
    <row r="879">
      <c r="P879" s="34"/>
      <c r="Q879" s="34"/>
    </row>
    <row r="880">
      <c r="P880" s="34"/>
      <c r="Q880" s="34"/>
    </row>
    <row r="881">
      <c r="P881" s="34"/>
      <c r="Q881" s="34"/>
    </row>
    <row r="882">
      <c r="P882" s="34"/>
      <c r="Q882" s="34"/>
    </row>
    <row r="883">
      <c r="P883" s="34"/>
      <c r="Q883" s="34"/>
    </row>
    <row r="884">
      <c r="P884" s="34"/>
      <c r="Q884" s="34"/>
    </row>
    <row r="885">
      <c r="P885" s="34"/>
      <c r="Q885" s="34"/>
    </row>
    <row r="886">
      <c r="P886" s="34"/>
      <c r="Q886" s="34"/>
    </row>
    <row r="887">
      <c r="P887" s="34"/>
      <c r="Q887" s="34"/>
    </row>
    <row r="888">
      <c r="P888" s="34"/>
      <c r="Q888" s="34"/>
    </row>
    <row r="889">
      <c r="P889" s="34"/>
      <c r="Q889" s="34"/>
    </row>
    <row r="890">
      <c r="P890" s="34"/>
      <c r="Q890" s="34"/>
    </row>
    <row r="891">
      <c r="P891" s="34"/>
      <c r="Q891" s="34"/>
    </row>
    <row r="892">
      <c r="P892" s="34"/>
      <c r="Q892" s="34"/>
    </row>
    <row r="893">
      <c r="P893" s="34"/>
      <c r="Q893" s="34"/>
    </row>
    <row r="894">
      <c r="P894" s="34"/>
      <c r="Q894" s="34"/>
    </row>
    <row r="895">
      <c r="P895" s="34"/>
      <c r="Q895" s="34"/>
    </row>
    <row r="896">
      <c r="P896" s="34"/>
      <c r="Q896" s="34"/>
    </row>
    <row r="897">
      <c r="P897" s="34"/>
      <c r="Q897" s="34"/>
    </row>
    <row r="898">
      <c r="P898" s="34"/>
      <c r="Q898" s="34"/>
    </row>
    <row r="899">
      <c r="P899" s="34"/>
      <c r="Q899" s="34"/>
    </row>
    <row r="900">
      <c r="P900" s="34"/>
      <c r="Q900" s="34"/>
    </row>
    <row r="901">
      <c r="P901" s="34"/>
      <c r="Q901" s="34"/>
    </row>
    <row r="902">
      <c r="P902" s="34"/>
      <c r="Q902" s="34"/>
    </row>
    <row r="903">
      <c r="P903" s="34"/>
      <c r="Q903" s="34"/>
    </row>
    <row r="904">
      <c r="P904" s="34"/>
      <c r="Q904" s="34"/>
    </row>
    <row r="905">
      <c r="P905" s="34"/>
      <c r="Q905" s="34"/>
    </row>
    <row r="906">
      <c r="P906" s="34"/>
      <c r="Q906" s="34"/>
    </row>
    <row r="907">
      <c r="P907" s="34"/>
      <c r="Q907" s="34"/>
    </row>
    <row r="908">
      <c r="P908" s="34"/>
      <c r="Q908" s="34"/>
    </row>
    <row r="909">
      <c r="P909" s="34"/>
      <c r="Q909" s="34"/>
    </row>
    <row r="910">
      <c r="P910" s="34"/>
      <c r="Q910" s="34"/>
    </row>
    <row r="911">
      <c r="P911" s="34"/>
      <c r="Q911" s="34"/>
    </row>
    <row r="912">
      <c r="P912" s="34"/>
      <c r="Q912" s="34"/>
    </row>
    <row r="913">
      <c r="P913" s="34"/>
      <c r="Q913" s="34"/>
    </row>
    <row r="914">
      <c r="P914" s="34"/>
      <c r="Q914" s="34"/>
    </row>
    <row r="915">
      <c r="P915" s="34"/>
      <c r="Q915" s="34"/>
    </row>
    <row r="916">
      <c r="P916" s="34"/>
      <c r="Q916" s="34"/>
    </row>
    <row r="917">
      <c r="P917" s="34"/>
      <c r="Q917" s="34"/>
    </row>
    <row r="918">
      <c r="P918" s="34"/>
      <c r="Q918" s="34"/>
    </row>
    <row r="919">
      <c r="P919" s="34"/>
      <c r="Q919" s="34"/>
    </row>
    <row r="920">
      <c r="P920" s="34"/>
      <c r="Q920" s="34"/>
    </row>
    <row r="921">
      <c r="P921" s="34"/>
      <c r="Q921" s="34"/>
    </row>
    <row r="922">
      <c r="P922" s="34"/>
      <c r="Q922" s="34"/>
    </row>
    <row r="923">
      <c r="P923" s="34"/>
      <c r="Q923" s="34"/>
    </row>
    <row r="924">
      <c r="P924" s="34"/>
      <c r="Q924" s="34"/>
    </row>
    <row r="925">
      <c r="P925" s="34"/>
      <c r="Q925" s="34"/>
    </row>
    <row r="926">
      <c r="P926" s="34"/>
      <c r="Q926" s="34"/>
    </row>
    <row r="927">
      <c r="P927" s="34"/>
      <c r="Q927" s="34"/>
    </row>
    <row r="928">
      <c r="P928" s="34"/>
      <c r="Q928" s="34"/>
    </row>
    <row r="929">
      <c r="P929" s="34"/>
      <c r="Q929" s="34"/>
    </row>
    <row r="930">
      <c r="P930" s="34"/>
      <c r="Q930" s="34"/>
    </row>
    <row r="931">
      <c r="P931" s="34"/>
      <c r="Q931" s="34"/>
    </row>
    <row r="932">
      <c r="P932" s="34"/>
      <c r="Q932" s="34"/>
    </row>
    <row r="933">
      <c r="P933" s="34"/>
      <c r="Q933" s="34"/>
    </row>
    <row r="934">
      <c r="P934" s="34"/>
      <c r="Q934" s="34"/>
    </row>
    <row r="935">
      <c r="P935" s="34"/>
      <c r="Q935" s="34"/>
    </row>
    <row r="936">
      <c r="P936" s="34"/>
      <c r="Q936" s="34"/>
    </row>
    <row r="937">
      <c r="P937" s="34"/>
      <c r="Q937" s="34"/>
    </row>
    <row r="938">
      <c r="P938" s="34"/>
      <c r="Q938" s="34"/>
    </row>
    <row r="939">
      <c r="P939" s="34"/>
      <c r="Q939" s="34"/>
    </row>
    <row r="940">
      <c r="P940" s="34"/>
      <c r="Q940" s="34"/>
    </row>
    <row r="941">
      <c r="P941" s="34"/>
      <c r="Q941" s="34"/>
    </row>
    <row r="942">
      <c r="P942" s="34"/>
      <c r="Q942" s="34"/>
    </row>
    <row r="943">
      <c r="P943" s="34"/>
      <c r="Q943" s="34"/>
    </row>
    <row r="944">
      <c r="P944" s="34"/>
      <c r="Q944" s="34"/>
    </row>
    <row r="945">
      <c r="P945" s="34"/>
      <c r="Q945" s="34"/>
    </row>
    <row r="946">
      <c r="P946" s="34"/>
      <c r="Q946" s="34"/>
    </row>
    <row r="947">
      <c r="P947" s="34"/>
      <c r="Q947" s="34"/>
    </row>
    <row r="948">
      <c r="P948" s="34"/>
      <c r="Q948" s="34"/>
    </row>
    <row r="949">
      <c r="P949" s="34"/>
      <c r="Q949" s="34"/>
    </row>
    <row r="950">
      <c r="P950" s="34"/>
      <c r="Q950" s="34"/>
    </row>
    <row r="951">
      <c r="P951" s="34"/>
      <c r="Q951" s="34"/>
    </row>
    <row r="952">
      <c r="P952" s="34"/>
      <c r="Q952" s="34"/>
    </row>
    <row r="953">
      <c r="P953" s="34"/>
      <c r="Q953" s="34"/>
    </row>
    <row r="954">
      <c r="P954" s="34"/>
      <c r="Q954" s="34"/>
    </row>
    <row r="955">
      <c r="P955" s="34"/>
      <c r="Q955" s="34"/>
    </row>
    <row r="956">
      <c r="P956" s="34"/>
      <c r="Q956" s="34"/>
    </row>
    <row r="957">
      <c r="P957" s="34"/>
      <c r="Q957" s="34"/>
    </row>
    <row r="958">
      <c r="P958" s="34"/>
      <c r="Q958" s="34"/>
    </row>
    <row r="959">
      <c r="P959" s="34"/>
      <c r="Q959" s="34"/>
    </row>
    <row r="960">
      <c r="P960" s="34"/>
      <c r="Q960" s="34"/>
    </row>
    <row r="961">
      <c r="P961" s="34"/>
      <c r="Q961" s="34"/>
    </row>
    <row r="962">
      <c r="P962" s="34"/>
      <c r="Q962" s="34"/>
    </row>
    <row r="963">
      <c r="P963" s="34"/>
      <c r="Q963" s="34"/>
    </row>
    <row r="964">
      <c r="P964" s="34"/>
      <c r="Q964" s="34"/>
    </row>
    <row r="965">
      <c r="P965" s="34"/>
      <c r="Q965" s="34"/>
    </row>
    <row r="966">
      <c r="P966" s="34"/>
      <c r="Q966" s="34"/>
    </row>
    <row r="967">
      <c r="P967" s="34"/>
      <c r="Q967" s="34"/>
    </row>
    <row r="968">
      <c r="P968" s="34"/>
      <c r="Q968" s="34"/>
    </row>
    <row r="969">
      <c r="P969" s="34"/>
      <c r="Q969" s="34"/>
    </row>
    <row r="970">
      <c r="P970" s="34"/>
      <c r="Q970" s="34"/>
    </row>
    <row r="971">
      <c r="P971" s="34"/>
      <c r="Q971" s="34"/>
    </row>
    <row r="972">
      <c r="P972" s="34"/>
      <c r="Q972" s="34"/>
    </row>
    <row r="973">
      <c r="P973" s="34"/>
      <c r="Q973" s="34"/>
    </row>
    <row r="974">
      <c r="P974" s="34"/>
      <c r="Q974" s="34"/>
    </row>
    <row r="975">
      <c r="P975" s="34"/>
      <c r="Q975" s="34"/>
    </row>
    <row r="976">
      <c r="P976" s="34"/>
      <c r="Q976" s="34"/>
    </row>
    <row r="977">
      <c r="P977" s="34"/>
      <c r="Q977" s="34"/>
    </row>
    <row r="978">
      <c r="P978" s="34"/>
      <c r="Q978" s="34"/>
    </row>
    <row r="979">
      <c r="P979" s="34"/>
      <c r="Q979" s="34"/>
    </row>
    <row r="980">
      <c r="P980" s="34"/>
      <c r="Q980" s="34"/>
    </row>
    <row r="981">
      <c r="P981" s="34"/>
      <c r="Q981" s="34"/>
    </row>
    <row r="982">
      <c r="P982" s="34"/>
      <c r="Q982" s="34"/>
    </row>
    <row r="983">
      <c r="P983" s="34"/>
      <c r="Q983" s="34"/>
    </row>
    <row r="984">
      <c r="P984" s="34"/>
      <c r="Q984" s="34"/>
    </row>
    <row r="985">
      <c r="P985" s="34"/>
      <c r="Q985" s="34"/>
    </row>
    <row r="986">
      <c r="P986" s="34"/>
      <c r="Q986" s="34"/>
    </row>
    <row r="987">
      <c r="P987" s="34"/>
      <c r="Q987" s="34"/>
    </row>
    <row r="988">
      <c r="P988" s="34"/>
      <c r="Q988" s="34"/>
    </row>
    <row r="989">
      <c r="P989" s="34"/>
      <c r="Q989" s="34"/>
    </row>
    <row r="990">
      <c r="P990" s="34"/>
      <c r="Q990" s="34"/>
    </row>
    <row r="991">
      <c r="P991" s="34"/>
      <c r="Q991" s="34"/>
    </row>
    <row r="992">
      <c r="P992" s="34"/>
      <c r="Q992" s="34"/>
    </row>
    <row r="993">
      <c r="P993" s="34"/>
      <c r="Q993" s="34"/>
    </row>
    <row r="994">
      <c r="P994" s="34"/>
      <c r="Q994" s="34"/>
    </row>
    <row r="995">
      <c r="P995" s="34"/>
      <c r="Q995" s="34"/>
    </row>
    <row r="996">
      <c r="P996" s="34"/>
      <c r="Q996" s="34"/>
    </row>
    <row r="997">
      <c r="P997" s="34"/>
      <c r="Q997" s="34"/>
    </row>
    <row r="998">
      <c r="P998" s="34"/>
      <c r="Q998" s="34"/>
    </row>
    <row r="999">
      <c r="P999" s="34"/>
      <c r="Q999" s="34"/>
    </row>
    <row r="1000">
      <c r="P1000" s="34"/>
      <c r="Q1000" s="34"/>
    </row>
    <row r="1001">
      <c r="P1001" s="34"/>
      <c r="Q1001" s="34"/>
    </row>
    <row r="1002">
      <c r="P1002" s="34"/>
      <c r="Q1002" s="34"/>
    </row>
    <row r="1003">
      <c r="P1003" s="34"/>
      <c r="Q1003" s="34"/>
    </row>
    <row r="1004">
      <c r="P1004" s="34"/>
      <c r="Q1004" s="34"/>
    </row>
    <row r="1005">
      <c r="P1005" s="34"/>
      <c r="Q1005" s="34"/>
    </row>
    <row r="1006">
      <c r="P1006" s="34"/>
      <c r="Q1006" s="34"/>
    </row>
    <row r="1007">
      <c r="P1007" s="34"/>
      <c r="Q1007" s="34"/>
    </row>
    <row r="1008">
      <c r="P1008" s="34"/>
      <c r="Q1008" s="34"/>
    </row>
    <row r="1009">
      <c r="P1009" s="34"/>
      <c r="Q1009" s="34"/>
    </row>
    <row r="1010">
      <c r="P1010" s="34"/>
      <c r="Q1010" s="34"/>
    </row>
    <row r="1011">
      <c r="P1011" s="34"/>
      <c r="Q1011" s="34"/>
    </row>
    <row r="1012">
      <c r="P1012" s="34"/>
      <c r="Q1012" s="34"/>
    </row>
    <row r="1013">
      <c r="P1013" s="34"/>
      <c r="Q1013" s="34"/>
    </row>
    <row r="1014">
      <c r="P1014" s="34"/>
      <c r="Q1014" s="34"/>
    </row>
    <row r="1015">
      <c r="P1015" s="34"/>
      <c r="Q1015" s="34"/>
    </row>
    <row r="1016">
      <c r="P1016" s="34"/>
      <c r="Q1016" s="34"/>
    </row>
    <row r="1017">
      <c r="P1017" s="34"/>
      <c r="Q1017" s="34"/>
    </row>
    <row r="1018">
      <c r="P1018" s="34"/>
      <c r="Q1018" s="34"/>
    </row>
    <row r="1019">
      <c r="P1019" s="34"/>
      <c r="Q1019" s="34"/>
    </row>
    <row r="1020">
      <c r="P1020" s="34"/>
      <c r="Q1020" s="34"/>
    </row>
    <row r="1021">
      <c r="P1021" s="34"/>
      <c r="Q1021" s="34"/>
    </row>
    <row r="1022">
      <c r="P1022" s="34"/>
      <c r="Q1022" s="34"/>
    </row>
    <row r="1023">
      <c r="P1023" s="34"/>
      <c r="Q1023" s="34"/>
    </row>
    <row r="1024">
      <c r="P1024" s="34"/>
      <c r="Q1024" s="34"/>
    </row>
    <row r="1025">
      <c r="P1025" s="34"/>
      <c r="Q1025" s="34"/>
    </row>
    <row r="1026">
      <c r="P1026" s="34"/>
      <c r="Q1026" s="34"/>
    </row>
    <row r="1027">
      <c r="P1027" s="34"/>
      <c r="Q1027" s="34"/>
    </row>
    <row r="1028">
      <c r="P1028" s="34"/>
      <c r="Q1028" s="34"/>
    </row>
    <row r="1029">
      <c r="P1029" s="34"/>
      <c r="Q1029" s="34"/>
    </row>
    <row r="1030">
      <c r="P1030" s="34"/>
      <c r="Q1030" s="34"/>
    </row>
    <row r="1031">
      <c r="P1031" s="34"/>
      <c r="Q1031" s="34"/>
    </row>
    <row r="1032">
      <c r="P1032" s="34"/>
      <c r="Q1032" s="34"/>
    </row>
    <row r="1033">
      <c r="P1033" s="34"/>
      <c r="Q1033" s="34"/>
    </row>
    <row r="1034">
      <c r="P1034" s="34"/>
      <c r="Q1034" s="34"/>
    </row>
    <row r="1035">
      <c r="P1035" s="34"/>
      <c r="Q1035" s="34"/>
    </row>
    <row r="1036">
      <c r="P1036" s="34"/>
      <c r="Q1036" s="34"/>
    </row>
    <row r="1037">
      <c r="P1037" s="34"/>
      <c r="Q1037" s="34"/>
    </row>
    <row r="1038">
      <c r="P1038" s="34"/>
      <c r="Q1038" s="34"/>
    </row>
    <row r="1039">
      <c r="P1039" s="34"/>
      <c r="Q1039" s="34"/>
    </row>
    <row r="1040">
      <c r="P1040" s="34"/>
      <c r="Q1040" s="34"/>
    </row>
    <row r="1041">
      <c r="P1041" s="34"/>
      <c r="Q1041" s="34"/>
    </row>
    <row r="1042">
      <c r="P1042" s="34"/>
      <c r="Q1042" s="34"/>
    </row>
    <row r="1043">
      <c r="P1043" s="34"/>
      <c r="Q1043" s="34"/>
    </row>
    <row r="1044">
      <c r="P1044" s="34"/>
      <c r="Q1044" s="34"/>
    </row>
    <row r="1045">
      <c r="P1045" s="34"/>
      <c r="Q1045" s="34"/>
    </row>
    <row r="1046">
      <c r="P1046" s="34"/>
      <c r="Q1046" s="34"/>
    </row>
    <row r="1047">
      <c r="P1047" s="34"/>
      <c r="Q1047" s="34"/>
    </row>
    <row r="1048">
      <c r="P1048" s="34"/>
      <c r="Q1048" s="34"/>
    </row>
    <row r="1049">
      <c r="P1049" s="34"/>
      <c r="Q1049" s="34"/>
    </row>
    <row r="1050">
      <c r="P1050" s="34"/>
      <c r="Q1050" s="34"/>
    </row>
    <row r="1051">
      <c r="P1051" s="34"/>
      <c r="Q1051" s="34"/>
    </row>
    <row r="1052">
      <c r="P1052" s="34"/>
      <c r="Q1052" s="34"/>
    </row>
    <row r="1053">
      <c r="P1053" s="34"/>
      <c r="Q1053" s="34"/>
    </row>
    <row r="1054">
      <c r="P1054" s="34"/>
      <c r="Q1054" s="34"/>
    </row>
    <row r="1055">
      <c r="P1055" s="34"/>
      <c r="Q1055" s="34"/>
    </row>
    <row r="1056">
      <c r="P1056" s="34"/>
      <c r="Q1056" s="34"/>
    </row>
    <row r="1057">
      <c r="P1057" s="34"/>
      <c r="Q1057" s="34"/>
    </row>
    <row r="1058">
      <c r="P1058" s="34"/>
      <c r="Q1058" s="34"/>
    </row>
    <row r="1059">
      <c r="P1059" s="34"/>
      <c r="Q1059" s="34"/>
    </row>
    <row r="1060">
      <c r="P1060" s="34"/>
      <c r="Q1060" s="34"/>
    </row>
    <row r="1061">
      <c r="P1061" s="34"/>
      <c r="Q1061" s="34"/>
    </row>
    <row r="1062">
      <c r="P1062" s="34"/>
      <c r="Q1062" s="34"/>
    </row>
    <row r="1063">
      <c r="P1063" s="34"/>
      <c r="Q1063" s="34"/>
    </row>
    <row r="1064">
      <c r="P1064" s="34"/>
      <c r="Q1064" s="34"/>
    </row>
    <row r="1065">
      <c r="P1065" s="34"/>
      <c r="Q1065" s="34"/>
    </row>
    <row r="1066">
      <c r="P1066" s="34"/>
      <c r="Q1066" s="34"/>
    </row>
    <row r="1067">
      <c r="P1067" s="34"/>
      <c r="Q1067" s="34"/>
    </row>
    <row r="1068">
      <c r="P1068" s="34"/>
      <c r="Q1068" s="34"/>
    </row>
    <row r="1069">
      <c r="P1069" s="34"/>
      <c r="Q1069" s="34"/>
    </row>
    <row r="1070">
      <c r="P1070" s="34"/>
      <c r="Q1070" s="34"/>
    </row>
    <row r="1071">
      <c r="P1071" s="34"/>
      <c r="Q1071" s="34"/>
    </row>
    <row r="1072">
      <c r="P1072" s="34"/>
      <c r="Q1072" s="34"/>
    </row>
    <row r="1073">
      <c r="P1073" s="34"/>
      <c r="Q1073" s="34"/>
    </row>
    <row r="1074">
      <c r="P1074" s="34"/>
      <c r="Q1074" s="34"/>
    </row>
    <row r="1075">
      <c r="P1075" s="34"/>
      <c r="Q1075" s="34"/>
    </row>
    <row r="1076">
      <c r="P1076" s="34"/>
      <c r="Q1076" s="34"/>
    </row>
    <row r="1077">
      <c r="P1077" s="34"/>
      <c r="Q1077" s="34"/>
    </row>
    <row r="1078">
      <c r="P1078" s="34"/>
      <c r="Q1078" s="34"/>
    </row>
    <row r="1079">
      <c r="P1079" s="34"/>
      <c r="Q1079" s="34"/>
    </row>
    <row r="1080">
      <c r="P1080" s="34"/>
      <c r="Q1080" s="34"/>
    </row>
    <row r="1081">
      <c r="P1081" s="34"/>
      <c r="Q1081" s="34"/>
    </row>
    <row r="1082">
      <c r="P1082" s="34"/>
      <c r="Q1082" s="34"/>
    </row>
    <row r="1083">
      <c r="P1083" s="34"/>
      <c r="Q1083" s="34"/>
    </row>
    <row r="1084">
      <c r="P1084" s="34"/>
      <c r="Q1084" s="34"/>
    </row>
    <row r="1085">
      <c r="P1085" s="34"/>
      <c r="Q1085" s="34"/>
    </row>
    <row r="1086">
      <c r="P1086" s="34"/>
      <c r="Q1086" s="34"/>
    </row>
    <row r="1087">
      <c r="P1087" s="34"/>
      <c r="Q1087" s="34"/>
    </row>
    <row r="1088">
      <c r="P1088" s="34"/>
      <c r="Q1088" s="34"/>
    </row>
    <row r="1089">
      <c r="P1089" s="34"/>
      <c r="Q1089" s="34"/>
    </row>
    <row r="1090">
      <c r="P1090" s="34"/>
      <c r="Q1090" s="34"/>
    </row>
    <row r="1091">
      <c r="P1091" s="34"/>
      <c r="Q1091" s="34"/>
    </row>
    <row r="1092">
      <c r="P1092" s="34"/>
      <c r="Q1092" s="34"/>
    </row>
    <row r="1093">
      <c r="P1093" s="34"/>
      <c r="Q1093" s="34"/>
    </row>
    <row r="1094">
      <c r="P1094" s="34"/>
      <c r="Q1094" s="34"/>
    </row>
    <row r="1095">
      <c r="P1095" s="34"/>
      <c r="Q1095" s="34"/>
    </row>
    <row r="1096">
      <c r="P1096" s="34"/>
      <c r="Q1096" s="34"/>
    </row>
    <row r="1097">
      <c r="P1097" s="34"/>
      <c r="Q1097" s="34"/>
    </row>
    <row r="1098">
      <c r="P1098" s="34"/>
      <c r="Q1098" s="34"/>
    </row>
    <row r="1099">
      <c r="P1099" s="34"/>
      <c r="Q1099" s="34"/>
    </row>
    <row r="1100">
      <c r="P1100" s="34"/>
      <c r="Q1100" s="34"/>
    </row>
    <row r="1101">
      <c r="P1101" s="34"/>
      <c r="Q1101" s="34"/>
    </row>
    <row r="1102">
      <c r="P1102" s="34"/>
      <c r="Q1102" s="34"/>
    </row>
    <row r="1103">
      <c r="P1103" s="34"/>
      <c r="Q1103" s="34"/>
    </row>
    <row r="1104">
      <c r="P1104" s="34"/>
      <c r="Q1104" s="34"/>
    </row>
    <row r="1105">
      <c r="P1105" s="34"/>
      <c r="Q1105" s="34"/>
    </row>
    <row r="1106">
      <c r="P1106" s="34"/>
      <c r="Q1106" s="34"/>
    </row>
    <row r="1107">
      <c r="P1107" s="34"/>
      <c r="Q1107" s="34"/>
    </row>
    <row r="1108">
      <c r="P1108" s="34"/>
      <c r="Q1108" s="34"/>
    </row>
    <row r="1109">
      <c r="P1109" s="34"/>
      <c r="Q1109" s="34"/>
    </row>
    <row r="1110">
      <c r="P1110" s="34"/>
      <c r="Q1110" s="34"/>
    </row>
    <row r="1111">
      <c r="P1111" s="34"/>
      <c r="Q1111" s="34"/>
    </row>
    <row r="1112">
      <c r="P1112" s="34"/>
      <c r="Q1112" s="34"/>
    </row>
    <row r="1113">
      <c r="P1113" s="34"/>
      <c r="Q1113" s="34"/>
    </row>
    <row r="1114">
      <c r="P1114" s="34"/>
      <c r="Q1114" s="34"/>
    </row>
    <row r="1115">
      <c r="P1115" s="34"/>
      <c r="Q1115" s="34"/>
    </row>
    <row r="1116">
      <c r="P1116" s="34"/>
      <c r="Q1116" s="34"/>
    </row>
    <row r="1117">
      <c r="P1117" s="34"/>
      <c r="Q1117" s="34"/>
    </row>
    <row r="1118">
      <c r="P1118" s="34"/>
      <c r="Q1118" s="34"/>
    </row>
    <row r="1119">
      <c r="P1119" s="34"/>
      <c r="Q1119" s="34"/>
    </row>
    <row r="1120">
      <c r="P1120" s="34"/>
      <c r="Q1120" s="34"/>
    </row>
    <row r="1121">
      <c r="P1121" s="34"/>
      <c r="Q1121" s="34"/>
    </row>
    <row r="1122">
      <c r="P1122" s="34"/>
      <c r="Q1122" s="34"/>
    </row>
    <row r="1123">
      <c r="P1123" s="34"/>
      <c r="Q1123" s="34"/>
    </row>
    <row r="1124">
      <c r="P1124" s="34"/>
      <c r="Q1124" s="34"/>
    </row>
    <row r="1125">
      <c r="P1125" s="34"/>
      <c r="Q1125" s="34"/>
    </row>
    <row r="1126">
      <c r="P1126" s="34"/>
      <c r="Q1126" s="34"/>
    </row>
    <row r="1127">
      <c r="P1127" s="34"/>
      <c r="Q1127" s="34"/>
    </row>
    <row r="1128">
      <c r="P1128" s="34"/>
      <c r="Q1128" s="34"/>
    </row>
    <row r="1129">
      <c r="P1129" s="34"/>
      <c r="Q1129" s="34"/>
    </row>
    <row r="1130">
      <c r="P1130" s="34"/>
      <c r="Q1130" s="34"/>
    </row>
    <row r="1131">
      <c r="P1131" s="34"/>
      <c r="Q1131" s="34"/>
    </row>
    <row r="1132">
      <c r="P1132" s="34"/>
      <c r="Q1132" s="34"/>
    </row>
    <row r="1133">
      <c r="P1133" s="34"/>
      <c r="Q1133" s="34"/>
    </row>
    <row r="1134">
      <c r="P1134" s="34"/>
      <c r="Q1134" s="34"/>
    </row>
    <row r="1135">
      <c r="P1135" s="34"/>
      <c r="Q1135" s="34"/>
    </row>
    <row r="1136">
      <c r="P1136" s="34"/>
      <c r="Q1136" s="34"/>
    </row>
    <row r="1137">
      <c r="P1137" s="34"/>
      <c r="Q1137" s="34"/>
    </row>
    <row r="1138">
      <c r="P1138" s="34"/>
      <c r="Q1138" s="34"/>
    </row>
    <row r="1139">
      <c r="P1139" s="34"/>
      <c r="Q1139" s="34"/>
    </row>
    <row r="1140">
      <c r="P1140" s="34"/>
      <c r="Q1140" s="34"/>
    </row>
    <row r="1141">
      <c r="P1141" s="34"/>
      <c r="Q1141" s="34"/>
    </row>
    <row r="1142">
      <c r="P1142" s="34"/>
      <c r="Q1142" s="34"/>
    </row>
    <row r="1143">
      <c r="P1143" s="34"/>
      <c r="Q1143" s="34"/>
    </row>
    <row r="1144">
      <c r="P1144" s="34"/>
      <c r="Q1144" s="34"/>
    </row>
    <row r="1145">
      <c r="P1145" s="34"/>
      <c r="Q1145" s="34"/>
    </row>
    <row r="1146">
      <c r="P1146" s="34"/>
      <c r="Q1146" s="34"/>
    </row>
    <row r="1147">
      <c r="P1147" s="34"/>
      <c r="Q1147" s="34"/>
    </row>
    <row r="1148">
      <c r="P1148" s="34"/>
      <c r="Q1148" s="34"/>
    </row>
    <row r="1149">
      <c r="P1149" s="34"/>
      <c r="Q1149" s="34"/>
    </row>
    <row r="1150">
      <c r="P1150" s="34"/>
      <c r="Q1150" s="34"/>
    </row>
    <row r="1151">
      <c r="P1151" s="34"/>
      <c r="Q1151" s="34"/>
    </row>
    <row r="1152">
      <c r="P1152" s="34"/>
      <c r="Q1152" s="34"/>
    </row>
    <row r="1153">
      <c r="P1153" s="34"/>
      <c r="Q1153" s="34"/>
    </row>
    <row r="1154">
      <c r="P1154" s="34"/>
      <c r="Q1154" s="34"/>
    </row>
    <row r="1155">
      <c r="P1155" s="34"/>
      <c r="Q1155" s="34"/>
    </row>
    <row r="1156">
      <c r="P1156" s="34"/>
      <c r="Q1156" s="34"/>
    </row>
    <row r="1157">
      <c r="P1157" s="34"/>
      <c r="Q1157" s="34"/>
    </row>
    <row r="1158">
      <c r="P1158" s="34"/>
      <c r="Q1158" s="34"/>
    </row>
    <row r="1159">
      <c r="P1159" s="34"/>
      <c r="Q1159" s="34"/>
    </row>
    <row r="1160">
      <c r="P1160" s="34"/>
      <c r="Q1160" s="34"/>
    </row>
    <row r="1161">
      <c r="P1161" s="34"/>
      <c r="Q1161" s="34"/>
    </row>
    <row r="1162">
      <c r="P1162" s="34"/>
      <c r="Q1162" s="34"/>
    </row>
    <row r="1163">
      <c r="P1163" s="34"/>
      <c r="Q1163" s="34"/>
    </row>
    <row r="1164">
      <c r="P1164" s="34"/>
      <c r="Q1164" s="34"/>
    </row>
    <row r="1165">
      <c r="P1165" s="34"/>
      <c r="Q1165" s="34"/>
    </row>
    <row r="1166">
      <c r="P1166" s="34"/>
      <c r="Q1166" s="34"/>
    </row>
    <row r="1167">
      <c r="P1167" s="34"/>
      <c r="Q1167" s="34"/>
    </row>
    <row r="1168">
      <c r="P1168" s="34"/>
      <c r="Q1168" s="34"/>
    </row>
    <row r="1169">
      <c r="P1169" s="34"/>
      <c r="Q1169" s="34"/>
    </row>
    <row r="1170">
      <c r="P1170" s="34"/>
      <c r="Q1170" s="34"/>
    </row>
    <row r="1171">
      <c r="P1171" s="34"/>
      <c r="Q1171" s="34"/>
    </row>
    <row r="1172">
      <c r="P1172" s="34"/>
      <c r="Q1172" s="34"/>
    </row>
    <row r="1173">
      <c r="P1173" s="34"/>
      <c r="Q1173" s="34"/>
    </row>
    <row r="1174">
      <c r="P1174" s="34"/>
      <c r="Q1174" s="34"/>
    </row>
    <row r="1175">
      <c r="P1175" s="34"/>
      <c r="Q1175" s="34"/>
    </row>
    <row r="1176">
      <c r="P1176" s="34"/>
      <c r="Q1176" s="34"/>
    </row>
    <row r="1177">
      <c r="P1177" s="34"/>
      <c r="Q1177" s="34"/>
    </row>
    <row r="1178">
      <c r="P1178" s="34"/>
      <c r="Q1178" s="34"/>
    </row>
    <row r="1179">
      <c r="P1179" s="34"/>
      <c r="Q1179" s="34"/>
    </row>
    <row r="1180">
      <c r="P1180" s="34"/>
      <c r="Q1180" s="34"/>
    </row>
    <row r="1181">
      <c r="P1181" s="34"/>
      <c r="Q1181" s="34"/>
    </row>
    <row r="1182">
      <c r="P1182" s="34"/>
      <c r="Q1182" s="34"/>
    </row>
    <row r="1183">
      <c r="P1183" s="34"/>
      <c r="Q1183" s="34"/>
    </row>
    <row r="1184">
      <c r="P1184" s="34"/>
      <c r="Q1184" s="34"/>
    </row>
    <row r="1185">
      <c r="P1185" s="34"/>
      <c r="Q1185" s="34"/>
    </row>
    <row r="1186">
      <c r="P1186" s="34"/>
      <c r="Q1186" s="34"/>
    </row>
    <row r="1187">
      <c r="P1187" s="34"/>
      <c r="Q1187" s="34"/>
    </row>
    <row r="1188">
      <c r="P1188" s="34"/>
      <c r="Q1188" s="34"/>
    </row>
    <row r="1189">
      <c r="P1189" s="34"/>
      <c r="Q1189" s="34"/>
    </row>
    <row r="1190">
      <c r="P1190" s="34"/>
      <c r="Q1190" s="34"/>
    </row>
    <row r="1191">
      <c r="P1191" s="34"/>
      <c r="Q1191" s="34"/>
    </row>
    <row r="1192">
      <c r="P1192" s="34"/>
      <c r="Q1192" s="34"/>
    </row>
    <row r="1193">
      <c r="P1193" s="34"/>
      <c r="Q1193" s="34"/>
    </row>
    <row r="1194">
      <c r="P1194" s="34"/>
      <c r="Q1194" s="34"/>
    </row>
    <row r="1195">
      <c r="P1195" s="34"/>
      <c r="Q1195" s="34"/>
    </row>
    <row r="1196">
      <c r="P1196" s="34"/>
      <c r="Q1196" s="34"/>
    </row>
    <row r="1197">
      <c r="P1197" s="34"/>
      <c r="Q1197" s="34"/>
    </row>
    <row r="1198">
      <c r="P1198" s="34"/>
      <c r="Q1198" s="34"/>
    </row>
    <row r="1199">
      <c r="P1199" s="34"/>
      <c r="Q1199" s="34"/>
    </row>
    <row r="1200">
      <c r="P1200" s="34"/>
      <c r="Q1200" s="34"/>
    </row>
    <row r="1201">
      <c r="P1201" s="34"/>
      <c r="Q1201" s="34"/>
    </row>
    <row r="1202">
      <c r="P1202" s="34"/>
      <c r="Q1202" s="34"/>
    </row>
    <row r="1203">
      <c r="P1203" s="34"/>
      <c r="Q1203" s="34"/>
    </row>
    <row r="1204">
      <c r="P1204" s="34"/>
      <c r="Q1204" s="34"/>
    </row>
    <row r="1205">
      <c r="P1205" s="34"/>
      <c r="Q1205" s="34"/>
    </row>
    <row r="1206">
      <c r="P1206" s="34"/>
      <c r="Q1206" s="34"/>
    </row>
    <row r="1207">
      <c r="P1207" s="34"/>
      <c r="Q1207" s="34"/>
    </row>
    <row r="1208">
      <c r="P1208" s="34"/>
      <c r="Q1208" s="34"/>
    </row>
    <row r="1209">
      <c r="P1209" s="34"/>
      <c r="Q1209" s="34"/>
    </row>
    <row r="1210">
      <c r="P1210" s="34"/>
      <c r="Q1210" s="34"/>
    </row>
    <row r="1211">
      <c r="P1211" s="34"/>
      <c r="Q1211" s="34"/>
    </row>
    <row r="1212">
      <c r="P1212" s="34"/>
      <c r="Q1212" s="34"/>
    </row>
    <row r="1213">
      <c r="P1213" s="34"/>
      <c r="Q1213" s="34"/>
    </row>
    <row r="1214">
      <c r="P1214" s="34"/>
      <c r="Q1214" s="34"/>
    </row>
    <row r="1215">
      <c r="P1215" s="34"/>
      <c r="Q1215" s="34"/>
    </row>
    <row r="1216">
      <c r="P1216" s="34"/>
      <c r="Q1216" s="34"/>
    </row>
    <row r="1217">
      <c r="P1217" s="34"/>
      <c r="Q1217" s="34"/>
    </row>
    <row r="1218">
      <c r="P1218" s="34"/>
      <c r="Q1218" s="34"/>
    </row>
    <row r="1219">
      <c r="P1219" s="34"/>
      <c r="Q1219" s="34"/>
    </row>
    <row r="1220">
      <c r="P1220" s="34"/>
      <c r="Q1220" s="34"/>
    </row>
    <row r="1221">
      <c r="P1221" s="34"/>
      <c r="Q1221" s="34"/>
    </row>
    <row r="1222">
      <c r="P1222" s="34"/>
      <c r="Q1222" s="34"/>
    </row>
    <row r="1223">
      <c r="P1223" s="34"/>
      <c r="Q1223" s="34"/>
    </row>
    <row r="1224">
      <c r="P1224" s="34"/>
      <c r="Q1224" s="34"/>
    </row>
    <row r="1225">
      <c r="P1225" s="34"/>
      <c r="Q1225" s="34"/>
    </row>
    <row r="1226">
      <c r="P1226" s="34"/>
      <c r="Q1226" s="34"/>
    </row>
    <row r="1227">
      <c r="P1227" s="34"/>
      <c r="Q1227" s="34"/>
    </row>
    <row r="1228">
      <c r="P1228" s="34"/>
      <c r="Q1228" s="34"/>
    </row>
    <row r="1229">
      <c r="P1229" s="34"/>
      <c r="Q1229" s="34"/>
    </row>
    <row r="1230">
      <c r="P1230" s="34"/>
      <c r="Q1230" s="34"/>
    </row>
    <row r="1231">
      <c r="P1231" s="34"/>
      <c r="Q1231" s="34"/>
    </row>
    <row r="1232">
      <c r="P1232" s="34"/>
      <c r="Q1232" s="34"/>
    </row>
    <row r="1233">
      <c r="P1233" s="34"/>
      <c r="Q1233" s="34"/>
    </row>
    <row r="1234">
      <c r="P1234" s="34"/>
      <c r="Q1234" s="34"/>
    </row>
    <row r="1235">
      <c r="P1235" s="34"/>
      <c r="Q1235" s="34"/>
    </row>
    <row r="1236">
      <c r="P1236" s="34"/>
      <c r="Q1236" s="34"/>
    </row>
    <row r="1237">
      <c r="P1237" s="34"/>
      <c r="Q1237" s="34"/>
    </row>
    <row r="1238">
      <c r="P1238" s="34"/>
      <c r="Q1238" s="34"/>
    </row>
    <row r="1239">
      <c r="P1239" s="34"/>
      <c r="Q1239" s="34"/>
    </row>
    <row r="1240">
      <c r="P1240" s="34"/>
      <c r="Q1240" s="34"/>
    </row>
    <row r="1241">
      <c r="P1241" s="34"/>
      <c r="Q1241" s="34"/>
    </row>
    <row r="1242">
      <c r="P1242" s="34"/>
      <c r="Q1242" s="34"/>
    </row>
    <row r="1243">
      <c r="P1243" s="34"/>
      <c r="Q1243" s="34"/>
    </row>
    <row r="1244">
      <c r="P1244" s="34"/>
      <c r="Q1244" s="34"/>
    </row>
    <row r="1245">
      <c r="P1245" s="34"/>
      <c r="Q1245" s="34"/>
    </row>
    <row r="1246">
      <c r="P1246" s="34"/>
      <c r="Q1246" s="34"/>
    </row>
    <row r="1247">
      <c r="P1247" s="34"/>
      <c r="Q1247" s="34"/>
    </row>
    <row r="1248">
      <c r="P1248" s="34"/>
      <c r="Q1248" s="34"/>
    </row>
    <row r="1249">
      <c r="P1249" s="34"/>
      <c r="Q1249" s="34"/>
    </row>
    <row r="1250">
      <c r="P1250" s="34"/>
      <c r="Q1250" s="34"/>
    </row>
    <row r="1251">
      <c r="P1251" s="34"/>
      <c r="Q1251" s="34"/>
    </row>
    <row r="1252">
      <c r="P1252" s="34"/>
      <c r="Q1252" s="34"/>
    </row>
    <row r="1253">
      <c r="P1253" s="34"/>
      <c r="Q1253" s="34"/>
    </row>
    <row r="1254">
      <c r="P1254" s="34"/>
      <c r="Q1254" s="34"/>
    </row>
    <row r="1255">
      <c r="P1255" s="34"/>
      <c r="Q1255" s="34"/>
    </row>
    <row r="1256">
      <c r="P1256" s="34"/>
      <c r="Q1256" s="34"/>
    </row>
    <row r="1257">
      <c r="P1257" s="34"/>
      <c r="Q1257" s="34"/>
    </row>
    <row r="1258">
      <c r="P1258" s="34"/>
      <c r="Q1258" s="34"/>
    </row>
    <row r="1259">
      <c r="P1259" s="34"/>
      <c r="Q1259" s="34"/>
    </row>
    <row r="1260">
      <c r="P1260" s="34"/>
      <c r="Q1260" s="34"/>
    </row>
    <row r="1261">
      <c r="P1261" s="34"/>
      <c r="Q1261" s="34"/>
    </row>
    <row r="1262">
      <c r="P1262" s="34"/>
      <c r="Q1262" s="34"/>
    </row>
    <row r="1263">
      <c r="P1263" s="34"/>
      <c r="Q1263" s="34"/>
    </row>
    <row r="1264">
      <c r="P1264" s="34"/>
      <c r="Q1264" s="34"/>
    </row>
    <row r="1265">
      <c r="P1265" s="34"/>
      <c r="Q1265" s="34"/>
    </row>
    <row r="1266">
      <c r="P1266" s="34"/>
      <c r="Q1266" s="34"/>
    </row>
    <row r="1267">
      <c r="P1267" s="34"/>
      <c r="Q1267" s="34"/>
    </row>
    <row r="1268">
      <c r="P1268" s="34"/>
      <c r="Q1268" s="34"/>
    </row>
    <row r="1269">
      <c r="P1269" s="34"/>
      <c r="Q1269" s="34"/>
    </row>
    <row r="1270">
      <c r="P1270" s="34"/>
      <c r="Q1270" s="34"/>
    </row>
    <row r="1271">
      <c r="P1271" s="34"/>
      <c r="Q1271" s="34"/>
    </row>
    <row r="1272">
      <c r="P1272" s="34"/>
      <c r="Q1272" s="34"/>
    </row>
    <row r="1273">
      <c r="P1273" s="34"/>
      <c r="Q1273" s="34"/>
    </row>
    <row r="1274">
      <c r="P1274" s="34"/>
      <c r="Q1274" s="34"/>
    </row>
    <row r="1275">
      <c r="P1275" s="34"/>
      <c r="Q1275" s="34"/>
    </row>
    <row r="1276">
      <c r="P1276" s="34"/>
      <c r="Q1276" s="34"/>
    </row>
    <row r="1277">
      <c r="P1277" s="34"/>
      <c r="Q1277" s="34"/>
    </row>
    <row r="1278">
      <c r="P1278" s="34"/>
      <c r="Q1278" s="34"/>
    </row>
    <row r="1279">
      <c r="P1279" s="34"/>
      <c r="Q1279" s="34"/>
    </row>
    <row r="1280">
      <c r="P1280" s="34"/>
      <c r="Q1280" s="34"/>
    </row>
    <row r="1281">
      <c r="P1281" s="34"/>
      <c r="Q1281" s="34"/>
    </row>
    <row r="1282">
      <c r="P1282" s="34"/>
      <c r="Q1282" s="34"/>
    </row>
    <row r="1283">
      <c r="P1283" s="34"/>
      <c r="Q1283" s="34"/>
    </row>
    <row r="1284">
      <c r="P1284" s="34"/>
      <c r="Q1284" s="34"/>
    </row>
    <row r="1285">
      <c r="P1285" s="34"/>
      <c r="Q1285" s="34"/>
    </row>
    <row r="1286">
      <c r="P1286" s="34"/>
      <c r="Q1286" s="34"/>
    </row>
    <row r="1287">
      <c r="P1287" s="34"/>
      <c r="Q1287" s="34"/>
    </row>
    <row r="1288">
      <c r="P1288" s="34"/>
      <c r="Q1288" s="34"/>
    </row>
    <row r="1289">
      <c r="P1289" s="34"/>
      <c r="Q1289" s="34"/>
    </row>
    <row r="1290">
      <c r="P1290" s="34"/>
      <c r="Q1290" s="34"/>
    </row>
    <row r="1291">
      <c r="P1291" s="34"/>
      <c r="Q1291" s="34"/>
    </row>
    <row r="1292">
      <c r="P1292" s="34"/>
      <c r="Q1292" s="34"/>
    </row>
    <row r="1293">
      <c r="P1293" s="34"/>
      <c r="Q1293" s="34"/>
    </row>
    <row r="1294">
      <c r="P1294" s="34"/>
      <c r="Q1294" s="34"/>
    </row>
    <row r="1295">
      <c r="P1295" s="34"/>
      <c r="Q1295" s="34"/>
    </row>
    <row r="1296">
      <c r="P1296" s="34"/>
      <c r="Q1296" s="34"/>
    </row>
    <row r="1297">
      <c r="P1297" s="34"/>
      <c r="Q1297" s="34"/>
    </row>
    <row r="1298">
      <c r="P1298" s="34"/>
      <c r="Q1298" s="34"/>
    </row>
    <row r="1299">
      <c r="P1299" s="34"/>
      <c r="Q1299" s="34"/>
    </row>
    <row r="1300">
      <c r="P1300" s="34"/>
      <c r="Q1300" s="34"/>
    </row>
    <row r="1301">
      <c r="P1301" s="34"/>
      <c r="Q1301" s="34"/>
    </row>
    <row r="1302">
      <c r="P1302" s="34"/>
      <c r="Q1302" s="34"/>
    </row>
    <row r="1303">
      <c r="P1303" s="34"/>
      <c r="Q1303" s="34"/>
    </row>
    <row r="1304">
      <c r="P1304" s="34"/>
      <c r="Q1304" s="34"/>
    </row>
    <row r="1305">
      <c r="P1305" s="34"/>
      <c r="Q1305" s="34"/>
    </row>
    <row r="1306">
      <c r="P1306" s="34"/>
      <c r="Q1306" s="34"/>
    </row>
    <row r="1307">
      <c r="P1307" s="34"/>
      <c r="Q1307" s="34"/>
    </row>
    <row r="1308">
      <c r="P1308" s="34"/>
      <c r="Q1308" s="34"/>
    </row>
    <row r="1309">
      <c r="P1309" s="34"/>
      <c r="Q1309" s="34"/>
    </row>
    <row r="1310">
      <c r="P1310" s="34"/>
      <c r="Q1310" s="34"/>
    </row>
    <row r="1311">
      <c r="P1311" s="34"/>
      <c r="Q1311" s="34"/>
    </row>
    <row r="1312">
      <c r="P1312" s="34"/>
      <c r="Q1312" s="34"/>
    </row>
    <row r="1313">
      <c r="P1313" s="34"/>
      <c r="Q1313" s="34"/>
    </row>
    <row r="1314">
      <c r="P1314" s="34"/>
      <c r="Q1314" s="34"/>
    </row>
    <row r="1315">
      <c r="P1315" s="34"/>
      <c r="Q1315" s="34"/>
    </row>
    <row r="1316">
      <c r="P1316" s="34"/>
      <c r="Q1316" s="34"/>
    </row>
    <row r="1317">
      <c r="P1317" s="34"/>
      <c r="Q1317" s="34"/>
    </row>
    <row r="1318">
      <c r="P1318" s="34"/>
      <c r="Q1318" s="34"/>
    </row>
    <row r="1319">
      <c r="P1319" s="34"/>
      <c r="Q1319" s="34"/>
    </row>
    <row r="1320">
      <c r="P1320" s="34"/>
      <c r="Q1320" s="34"/>
    </row>
    <row r="1321">
      <c r="P1321" s="34"/>
      <c r="Q1321" s="34"/>
    </row>
    <row r="1322">
      <c r="P1322" s="34"/>
      <c r="Q1322" s="34"/>
    </row>
    <row r="1323">
      <c r="P1323" s="34"/>
      <c r="Q1323" s="34"/>
    </row>
    <row r="1324">
      <c r="P1324" s="34"/>
      <c r="Q1324" s="34"/>
    </row>
    <row r="1325">
      <c r="P1325" s="34"/>
      <c r="Q1325" s="34"/>
    </row>
    <row r="1326">
      <c r="P1326" s="34"/>
      <c r="Q1326" s="34"/>
    </row>
    <row r="1327">
      <c r="P1327" s="34"/>
      <c r="Q1327" s="34"/>
    </row>
    <row r="1328">
      <c r="P1328" s="34"/>
      <c r="Q1328" s="34"/>
    </row>
    <row r="1329">
      <c r="P1329" s="34"/>
      <c r="Q1329" s="34"/>
    </row>
    <row r="1330">
      <c r="P1330" s="34"/>
      <c r="Q1330" s="34"/>
    </row>
    <row r="1331">
      <c r="P1331" s="34"/>
      <c r="Q1331" s="34"/>
    </row>
    <row r="1332">
      <c r="P1332" s="34"/>
      <c r="Q1332" s="34"/>
    </row>
    <row r="1333">
      <c r="P1333" s="34"/>
      <c r="Q1333" s="34"/>
    </row>
    <row r="1334">
      <c r="P1334" s="34"/>
      <c r="Q1334" s="34"/>
    </row>
    <row r="1335">
      <c r="P1335" s="34"/>
      <c r="Q1335" s="34"/>
    </row>
    <row r="1336">
      <c r="P1336" s="34"/>
      <c r="Q1336" s="34"/>
    </row>
    <row r="1337">
      <c r="P1337" s="34"/>
      <c r="Q1337" s="34"/>
    </row>
    <row r="1338">
      <c r="P1338" s="34"/>
      <c r="Q1338" s="34"/>
    </row>
    <row r="1339">
      <c r="P1339" s="34"/>
      <c r="Q1339" s="34"/>
    </row>
    <row r="1340">
      <c r="P1340" s="34"/>
      <c r="Q1340" s="34"/>
    </row>
    <row r="1341">
      <c r="P1341" s="34"/>
      <c r="Q1341" s="34"/>
    </row>
    <row r="1342">
      <c r="P1342" s="34"/>
      <c r="Q1342" s="34"/>
    </row>
    <row r="1343">
      <c r="P1343" s="34"/>
      <c r="Q1343" s="34"/>
    </row>
    <row r="1344">
      <c r="P1344" s="34"/>
      <c r="Q1344" s="34"/>
    </row>
    <row r="1345">
      <c r="P1345" s="34"/>
      <c r="Q1345" s="34"/>
    </row>
    <row r="1346">
      <c r="P1346" s="34"/>
      <c r="Q1346" s="34"/>
    </row>
    <row r="1347">
      <c r="P1347" s="34"/>
      <c r="Q1347" s="34"/>
    </row>
    <row r="1348">
      <c r="P1348" s="34"/>
      <c r="Q1348" s="34"/>
    </row>
    <row r="1349">
      <c r="P1349" s="34"/>
      <c r="Q1349" s="34"/>
    </row>
    <row r="1350">
      <c r="P1350" s="34"/>
      <c r="Q1350" s="34"/>
    </row>
    <row r="1351">
      <c r="P1351" s="34"/>
      <c r="Q1351" s="34"/>
    </row>
    <row r="1352">
      <c r="P1352" s="34"/>
      <c r="Q1352" s="34"/>
    </row>
    <row r="1353">
      <c r="P1353" s="34"/>
      <c r="Q1353" s="34"/>
    </row>
    <row r="1354">
      <c r="P1354" s="34"/>
      <c r="Q1354" s="34"/>
    </row>
    <row r="1355">
      <c r="P1355" s="34"/>
      <c r="Q1355" s="34"/>
    </row>
    <row r="1356">
      <c r="P1356" s="34"/>
      <c r="Q1356" s="34"/>
    </row>
    <row r="1357">
      <c r="P1357" s="34"/>
      <c r="Q1357" s="34"/>
    </row>
    <row r="1358">
      <c r="P1358" s="34"/>
      <c r="Q1358" s="34"/>
    </row>
    <row r="1359">
      <c r="P1359" s="34"/>
      <c r="Q1359" s="34"/>
    </row>
    <row r="1360">
      <c r="P1360" s="34"/>
      <c r="Q1360" s="34"/>
    </row>
    <row r="1361">
      <c r="P1361" s="34"/>
      <c r="Q1361" s="34"/>
    </row>
    <row r="1362">
      <c r="P1362" s="34"/>
      <c r="Q1362" s="34"/>
    </row>
    <row r="1363">
      <c r="P1363" s="34"/>
      <c r="Q1363" s="34"/>
    </row>
    <row r="1364">
      <c r="P1364" s="34"/>
      <c r="Q1364" s="34"/>
    </row>
    <row r="1365">
      <c r="P1365" s="34"/>
      <c r="Q1365" s="34"/>
    </row>
    <row r="1366">
      <c r="P1366" s="34"/>
      <c r="Q1366" s="34"/>
    </row>
    <row r="1367">
      <c r="P1367" s="34"/>
      <c r="Q1367" s="34"/>
    </row>
    <row r="1368">
      <c r="P1368" s="34"/>
      <c r="Q1368" s="34"/>
    </row>
    <row r="1369">
      <c r="P1369" s="34"/>
      <c r="Q1369" s="34"/>
    </row>
    <row r="1370">
      <c r="P1370" s="34"/>
      <c r="Q1370" s="34"/>
    </row>
    <row r="1371">
      <c r="P1371" s="34"/>
      <c r="Q1371" s="34"/>
    </row>
    <row r="1372">
      <c r="P1372" s="34"/>
      <c r="Q1372" s="34"/>
    </row>
    <row r="1373">
      <c r="P1373" s="34"/>
      <c r="Q1373" s="34"/>
    </row>
    <row r="1374">
      <c r="P1374" s="34"/>
      <c r="Q1374" s="34"/>
    </row>
    <row r="1375">
      <c r="P1375" s="34"/>
      <c r="Q1375" s="34"/>
    </row>
    <row r="1376">
      <c r="P1376" s="34"/>
      <c r="Q1376" s="34"/>
    </row>
    <row r="1377">
      <c r="P1377" s="34"/>
      <c r="Q1377" s="34"/>
    </row>
    <row r="1378">
      <c r="P1378" s="34"/>
      <c r="Q1378" s="34"/>
    </row>
    <row r="1379">
      <c r="P1379" s="34"/>
      <c r="Q1379" s="34"/>
    </row>
    <row r="1380">
      <c r="P1380" s="34"/>
      <c r="Q1380" s="34"/>
    </row>
    <row r="1381">
      <c r="P1381" s="34"/>
      <c r="Q1381" s="34"/>
    </row>
    <row r="1382">
      <c r="P1382" s="34"/>
      <c r="Q1382" s="34"/>
    </row>
    <row r="1383">
      <c r="P1383" s="34"/>
      <c r="Q1383" s="34"/>
    </row>
    <row r="1384">
      <c r="P1384" s="34"/>
      <c r="Q1384" s="34"/>
    </row>
    <row r="1385">
      <c r="P1385" s="34"/>
      <c r="Q1385" s="34"/>
    </row>
    <row r="1386">
      <c r="P1386" s="34"/>
      <c r="Q1386" s="34"/>
    </row>
    <row r="1387">
      <c r="P1387" s="34"/>
      <c r="Q1387" s="34"/>
    </row>
    <row r="1388">
      <c r="P1388" s="34"/>
      <c r="Q1388" s="34"/>
    </row>
    <row r="1389">
      <c r="P1389" s="34"/>
      <c r="Q1389" s="34"/>
    </row>
    <row r="1390">
      <c r="P1390" s="34"/>
      <c r="Q1390" s="34"/>
    </row>
    <row r="1391">
      <c r="P1391" s="34"/>
      <c r="Q1391" s="34"/>
    </row>
    <row r="1392">
      <c r="P1392" s="34"/>
      <c r="Q1392" s="34"/>
    </row>
    <row r="1393">
      <c r="P1393" s="34"/>
      <c r="Q1393" s="34"/>
    </row>
    <row r="1394">
      <c r="P1394" s="34"/>
      <c r="Q1394" s="34"/>
    </row>
    <row r="1395">
      <c r="P1395" s="34"/>
      <c r="Q1395" s="34"/>
    </row>
    <row r="1396">
      <c r="P1396" s="34"/>
      <c r="Q1396" s="34"/>
    </row>
    <row r="1397">
      <c r="P1397" s="34"/>
      <c r="Q1397" s="34"/>
    </row>
    <row r="1398">
      <c r="P1398" s="34"/>
      <c r="Q1398" s="34"/>
    </row>
    <row r="1399">
      <c r="P1399" s="34"/>
      <c r="Q1399" s="34"/>
    </row>
    <row r="1400">
      <c r="P1400" s="34"/>
      <c r="Q1400" s="34"/>
    </row>
    <row r="1401">
      <c r="P1401" s="34"/>
      <c r="Q1401" s="34"/>
    </row>
    <row r="1402">
      <c r="P1402" s="34"/>
      <c r="Q1402" s="34"/>
    </row>
    <row r="1403">
      <c r="P1403" s="34"/>
      <c r="Q1403" s="34"/>
    </row>
    <row r="1404">
      <c r="P1404" s="34"/>
      <c r="Q1404" s="34"/>
    </row>
    <row r="1405">
      <c r="P1405" s="34"/>
      <c r="Q1405" s="34"/>
    </row>
    <row r="1406">
      <c r="P1406" s="34"/>
      <c r="Q1406" s="34"/>
    </row>
    <row r="1407">
      <c r="P1407" s="34"/>
      <c r="Q1407" s="34"/>
    </row>
    <row r="1408">
      <c r="P1408" s="34"/>
      <c r="Q1408" s="34"/>
    </row>
    <row r="1409">
      <c r="P1409" s="34"/>
      <c r="Q1409" s="34"/>
    </row>
    <row r="1410">
      <c r="P1410" s="34"/>
      <c r="Q1410" s="34"/>
    </row>
    <row r="1411">
      <c r="P1411" s="34"/>
      <c r="Q1411" s="34"/>
    </row>
    <row r="1412">
      <c r="P1412" s="34"/>
      <c r="Q1412" s="34"/>
    </row>
    <row r="1413">
      <c r="P1413" s="34"/>
      <c r="Q1413" s="34"/>
    </row>
    <row r="1414">
      <c r="P1414" s="34"/>
      <c r="Q1414" s="34"/>
    </row>
    <row r="1415">
      <c r="P1415" s="34"/>
      <c r="Q1415" s="34"/>
    </row>
    <row r="1416">
      <c r="P1416" s="34"/>
      <c r="Q1416" s="34"/>
    </row>
    <row r="1417">
      <c r="P1417" s="34"/>
      <c r="Q1417" s="34"/>
    </row>
    <row r="1418">
      <c r="P1418" s="34"/>
      <c r="Q1418" s="34"/>
    </row>
    <row r="1419">
      <c r="P1419" s="34"/>
      <c r="Q1419" s="34"/>
    </row>
    <row r="1420">
      <c r="P1420" s="34"/>
      <c r="Q1420" s="34"/>
    </row>
    <row r="1421">
      <c r="P1421" s="34"/>
      <c r="Q1421" s="34"/>
    </row>
    <row r="1422">
      <c r="P1422" s="34"/>
      <c r="Q1422" s="34"/>
    </row>
    <row r="1423">
      <c r="P1423" s="34"/>
      <c r="Q1423" s="34"/>
    </row>
    <row r="1424">
      <c r="P1424" s="34"/>
      <c r="Q1424" s="34"/>
    </row>
    <row r="1425">
      <c r="P1425" s="34"/>
      <c r="Q1425" s="34"/>
    </row>
    <row r="1426">
      <c r="P1426" s="34"/>
      <c r="Q1426" s="34"/>
    </row>
    <row r="1427">
      <c r="P1427" s="34"/>
      <c r="Q1427" s="34"/>
    </row>
    <row r="1428">
      <c r="P1428" s="34"/>
      <c r="Q1428" s="34"/>
    </row>
    <row r="1429">
      <c r="P1429" s="34"/>
      <c r="Q1429" s="34"/>
    </row>
    <row r="1430">
      <c r="P1430" s="34"/>
      <c r="Q1430" s="34"/>
    </row>
    <row r="1431">
      <c r="P1431" s="34"/>
      <c r="Q1431" s="34"/>
    </row>
    <row r="1432">
      <c r="P1432" s="34"/>
      <c r="Q1432" s="34"/>
    </row>
    <row r="1433">
      <c r="P1433" s="34"/>
      <c r="Q1433" s="34"/>
    </row>
    <row r="1434">
      <c r="P1434" s="34"/>
      <c r="Q1434" s="34"/>
    </row>
    <row r="1435">
      <c r="P1435" s="34"/>
      <c r="Q1435" s="34"/>
    </row>
    <row r="1436">
      <c r="P1436" s="34"/>
      <c r="Q1436" s="34"/>
    </row>
    <row r="1437">
      <c r="P1437" s="34"/>
      <c r="Q1437" s="34"/>
    </row>
    <row r="1438">
      <c r="P1438" s="34"/>
      <c r="Q1438" s="34"/>
    </row>
    <row r="1439">
      <c r="P1439" s="34"/>
      <c r="Q1439" s="34"/>
    </row>
    <row r="1440">
      <c r="P1440" s="34"/>
      <c r="Q1440" s="34"/>
    </row>
    <row r="1441">
      <c r="P1441" s="34"/>
      <c r="Q1441" s="34"/>
    </row>
    <row r="1442">
      <c r="P1442" s="34"/>
      <c r="Q1442" s="34"/>
    </row>
    <row r="1443">
      <c r="P1443" s="34"/>
      <c r="Q1443" s="34"/>
    </row>
    <row r="1444">
      <c r="P1444" s="34"/>
      <c r="Q1444" s="34"/>
    </row>
    <row r="1445">
      <c r="P1445" s="34"/>
      <c r="Q1445" s="34"/>
    </row>
    <row r="1446">
      <c r="P1446" s="34"/>
      <c r="Q1446" s="34"/>
    </row>
    <row r="1447">
      <c r="P1447" s="34"/>
      <c r="Q1447" s="34"/>
    </row>
    <row r="1448">
      <c r="P1448" s="34"/>
      <c r="Q1448" s="34"/>
    </row>
    <row r="1449">
      <c r="P1449" s="34"/>
      <c r="Q1449" s="34"/>
    </row>
    <row r="1450">
      <c r="P1450" s="34"/>
      <c r="Q1450" s="34"/>
    </row>
    <row r="1451">
      <c r="P1451" s="34"/>
      <c r="Q1451" s="34"/>
    </row>
    <row r="1452">
      <c r="P1452" s="34"/>
      <c r="Q1452" s="34"/>
    </row>
    <row r="1453">
      <c r="P1453" s="34"/>
      <c r="Q1453" s="34"/>
    </row>
    <row r="1454">
      <c r="P1454" s="34"/>
      <c r="Q1454" s="34"/>
    </row>
    <row r="1455">
      <c r="P1455" s="34"/>
      <c r="Q1455" s="34"/>
    </row>
    <row r="1456">
      <c r="P1456" s="34"/>
      <c r="Q1456" s="34"/>
    </row>
    <row r="1457">
      <c r="P1457" s="34"/>
      <c r="Q1457" s="34"/>
    </row>
    <row r="1458">
      <c r="P1458" s="34"/>
      <c r="Q1458" s="34"/>
    </row>
    <row r="1459">
      <c r="P1459" s="34"/>
      <c r="Q1459" s="34"/>
    </row>
    <row r="1460">
      <c r="P1460" s="34"/>
      <c r="Q1460" s="34"/>
    </row>
    <row r="1461">
      <c r="P1461" s="34"/>
      <c r="Q1461" s="34"/>
    </row>
    <row r="1462">
      <c r="P1462" s="34"/>
      <c r="Q1462" s="34"/>
    </row>
    <row r="1463">
      <c r="P1463" s="34"/>
      <c r="Q1463" s="34"/>
    </row>
    <row r="1464">
      <c r="P1464" s="34"/>
      <c r="Q1464" s="34"/>
    </row>
    <row r="1465">
      <c r="P1465" s="34"/>
      <c r="Q1465" s="34"/>
    </row>
    <row r="1466">
      <c r="P1466" s="34"/>
      <c r="Q1466" s="34"/>
    </row>
    <row r="1467">
      <c r="P1467" s="34"/>
      <c r="Q1467" s="34"/>
    </row>
    <row r="1468">
      <c r="P1468" s="34"/>
      <c r="Q1468" s="34"/>
    </row>
    <row r="1469">
      <c r="P1469" s="34"/>
      <c r="Q1469" s="34"/>
    </row>
    <row r="1470">
      <c r="P1470" s="34"/>
      <c r="Q1470" s="34"/>
    </row>
    <row r="1471">
      <c r="P1471" s="34"/>
      <c r="Q1471" s="34"/>
    </row>
    <row r="1472">
      <c r="P1472" s="34"/>
      <c r="Q1472" s="34"/>
    </row>
    <row r="1473">
      <c r="P1473" s="34"/>
      <c r="Q1473" s="34"/>
    </row>
    <row r="1474">
      <c r="P1474" s="34"/>
      <c r="Q1474" s="34"/>
    </row>
    <row r="1475">
      <c r="P1475" s="34"/>
      <c r="Q1475" s="34"/>
    </row>
    <row r="1476">
      <c r="P1476" s="34"/>
      <c r="Q1476" s="34"/>
    </row>
    <row r="1477">
      <c r="P1477" s="34"/>
      <c r="Q1477" s="34"/>
    </row>
    <row r="1478">
      <c r="P1478" s="34"/>
      <c r="Q1478" s="34"/>
    </row>
    <row r="1479">
      <c r="P1479" s="34"/>
      <c r="Q1479" s="34"/>
    </row>
    <row r="1480">
      <c r="P1480" s="34"/>
      <c r="Q1480" s="34"/>
    </row>
    <row r="1481">
      <c r="P1481" s="34"/>
      <c r="Q1481" s="34"/>
    </row>
    <row r="1482">
      <c r="P1482" s="34"/>
      <c r="Q1482" s="34"/>
    </row>
    <row r="1483">
      <c r="P1483" s="34"/>
      <c r="Q1483" s="34"/>
    </row>
    <row r="1484">
      <c r="P1484" s="34"/>
      <c r="Q1484" s="34"/>
    </row>
    <row r="1485">
      <c r="P1485" s="34"/>
      <c r="Q1485" s="34"/>
    </row>
    <row r="1486">
      <c r="P1486" s="34"/>
      <c r="Q1486" s="34"/>
    </row>
    <row r="1487">
      <c r="P1487" s="34"/>
      <c r="Q1487" s="34"/>
    </row>
    <row r="1488">
      <c r="P1488" s="34"/>
      <c r="Q1488" s="34"/>
    </row>
    <row r="1489">
      <c r="P1489" s="34"/>
      <c r="Q1489" s="34"/>
    </row>
    <row r="1490">
      <c r="P1490" s="34"/>
      <c r="Q1490" s="34"/>
    </row>
    <row r="1491">
      <c r="P1491" s="34"/>
      <c r="Q1491" s="34"/>
    </row>
    <row r="1492">
      <c r="P1492" s="34"/>
      <c r="Q1492" s="34"/>
    </row>
    <row r="1493">
      <c r="P1493" s="34"/>
      <c r="Q1493" s="34"/>
    </row>
    <row r="1494">
      <c r="P1494" s="34"/>
      <c r="Q1494" s="34"/>
    </row>
    <row r="1495">
      <c r="P1495" s="34"/>
      <c r="Q1495" s="34"/>
    </row>
    <row r="1496">
      <c r="P1496" s="34"/>
      <c r="Q1496" s="34"/>
    </row>
    <row r="1497">
      <c r="P1497" s="34"/>
      <c r="Q1497" s="34"/>
    </row>
    <row r="1498">
      <c r="P1498" s="34"/>
      <c r="Q1498" s="34"/>
    </row>
    <row r="1499">
      <c r="P1499" s="34"/>
      <c r="Q1499" s="34"/>
    </row>
    <row r="1500">
      <c r="P1500" s="34"/>
      <c r="Q1500" s="34"/>
    </row>
    <row r="1501">
      <c r="P1501" s="34"/>
      <c r="Q1501" s="34"/>
    </row>
    <row r="1502">
      <c r="P1502" s="34"/>
      <c r="Q1502" s="34"/>
    </row>
    <row r="1503">
      <c r="P1503" s="34"/>
      <c r="Q1503" s="34"/>
    </row>
    <row r="1504">
      <c r="P1504" s="34"/>
      <c r="Q1504" s="34"/>
    </row>
    <row r="1505">
      <c r="P1505" s="34"/>
      <c r="Q1505" s="34"/>
    </row>
    <row r="1506">
      <c r="P1506" s="34"/>
      <c r="Q1506" s="34"/>
    </row>
    <row r="1507">
      <c r="P1507" s="34"/>
      <c r="Q1507" s="34"/>
    </row>
    <row r="1508">
      <c r="P1508" s="34"/>
      <c r="Q1508" s="34"/>
    </row>
    <row r="1509">
      <c r="P1509" s="34"/>
      <c r="Q1509" s="34"/>
    </row>
    <row r="1510">
      <c r="P1510" s="34"/>
      <c r="Q1510" s="34"/>
    </row>
    <row r="1511">
      <c r="P1511" s="34"/>
      <c r="Q1511" s="34"/>
    </row>
    <row r="1512">
      <c r="P1512" s="34"/>
      <c r="Q1512" s="34"/>
    </row>
    <row r="1513">
      <c r="P1513" s="34"/>
      <c r="Q1513" s="34"/>
    </row>
    <row r="1514">
      <c r="P1514" s="34"/>
      <c r="Q1514" s="34"/>
    </row>
    <row r="1515">
      <c r="P1515" s="34"/>
      <c r="Q1515" s="34"/>
    </row>
    <row r="1516">
      <c r="P1516" s="34"/>
      <c r="Q1516" s="34"/>
    </row>
    <row r="1517">
      <c r="P1517" s="34"/>
      <c r="Q1517" s="34"/>
    </row>
    <row r="1518">
      <c r="P1518" s="34"/>
      <c r="Q1518" s="34"/>
    </row>
    <row r="1519">
      <c r="P1519" s="34"/>
      <c r="Q1519" s="34"/>
    </row>
    <row r="1520">
      <c r="P1520" s="34"/>
      <c r="Q1520" s="34"/>
    </row>
    <row r="1521">
      <c r="P1521" s="34"/>
      <c r="Q1521" s="34"/>
    </row>
    <row r="1522">
      <c r="P1522" s="34"/>
      <c r="Q1522" s="34"/>
    </row>
    <row r="1523">
      <c r="P1523" s="34"/>
      <c r="Q1523" s="34"/>
    </row>
    <row r="1524">
      <c r="P1524" s="34"/>
      <c r="Q1524" s="34"/>
    </row>
    <row r="1525">
      <c r="P1525" s="34"/>
      <c r="Q1525" s="34"/>
    </row>
    <row r="1526">
      <c r="P1526" s="34"/>
      <c r="Q1526" s="34"/>
    </row>
    <row r="1527">
      <c r="P1527" s="34"/>
      <c r="Q1527" s="34"/>
    </row>
    <row r="1528">
      <c r="P1528" s="34"/>
      <c r="Q1528" s="34"/>
    </row>
    <row r="1529">
      <c r="P1529" s="34"/>
      <c r="Q1529" s="34"/>
    </row>
    <row r="1530">
      <c r="P1530" s="34"/>
      <c r="Q1530" s="34"/>
    </row>
    <row r="1531">
      <c r="P1531" s="34"/>
      <c r="Q1531" s="34"/>
    </row>
    <row r="1532">
      <c r="P1532" s="34"/>
      <c r="Q1532" s="34"/>
    </row>
    <row r="1533">
      <c r="P1533" s="34"/>
      <c r="Q1533" s="34"/>
    </row>
    <row r="1534">
      <c r="P1534" s="34"/>
      <c r="Q1534" s="34"/>
    </row>
    <row r="1535">
      <c r="P1535" s="34"/>
      <c r="Q1535" s="34"/>
    </row>
    <row r="1536">
      <c r="P1536" s="34"/>
      <c r="Q1536" s="34"/>
    </row>
    <row r="1537">
      <c r="P1537" s="34"/>
      <c r="Q1537" s="34"/>
    </row>
    <row r="1538">
      <c r="P1538" s="34"/>
      <c r="Q1538" s="34"/>
    </row>
    <row r="1539">
      <c r="P1539" s="34"/>
      <c r="Q1539" s="34"/>
    </row>
    <row r="1540">
      <c r="P1540" s="34"/>
      <c r="Q1540" s="34"/>
    </row>
    <row r="1541">
      <c r="P1541" s="34"/>
      <c r="Q1541" s="34"/>
    </row>
    <row r="1542">
      <c r="P1542" s="34"/>
      <c r="Q1542" s="34"/>
    </row>
    <row r="1543">
      <c r="P1543" s="34"/>
      <c r="Q1543" s="34"/>
    </row>
    <row r="1544">
      <c r="P1544" s="34"/>
      <c r="Q1544" s="34"/>
    </row>
    <row r="1545">
      <c r="P1545" s="34"/>
      <c r="Q1545" s="34"/>
    </row>
    <row r="1546">
      <c r="P1546" s="34"/>
      <c r="Q1546" s="34"/>
    </row>
    <row r="1547">
      <c r="P1547" s="34"/>
      <c r="Q1547" s="34"/>
    </row>
    <row r="1548">
      <c r="P1548" s="34"/>
      <c r="Q1548" s="34"/>
    </row>
    <row r="1549">
      <c r="P1549" s="34"/>
      <c r="Q1549" s="34"/>
    </row>
    <row r="1550">
      <c r="P1550" s="34"/>
      <c r="Q1550" s="34"/>
    </row>
    <row r="1551">
      <c r="P1551" s="34"/>
      <c r="Q1551" s="34"/>
    </row>
    <row r="1552">
      <c r="P1552" s="34"/>
      <c r="Q1552" s="34"/>
    </row>
    <row r="1553">
      <c r="P1553" s="34"/>
      <c r="Q1553" s="34"/>
    </row>
    <row r="1554">
      <c r="P1554" s="34"/>
      <c r="Q1554" s="34"/>
    </row>
    <row r="1555">
      <c r="P1555" s="34"/>
      <c r="Q1555" s="34"/>
    </row>
    <row r="1556">
      <c r="P1556" s="34"/>
      <c r="Q1556" s="34"/>
    </row>
    <row r="1557">
      <c r="P1557" s="34"/>
      <c r="Q1557" s="34"/>
    </row>
    <row r="1558">
      <c r="P1558" s="34"/>
      <c r="Q1558" s="34"/>
    </row>
    <row r="1559">
      <c r="P1559" s="34"/>
      <c r="Q1559" s="34"/>
    </row>
    <row r="1560">
      <c r="P1560" s="34"/>
      <c r="Q1560" s="34"/>
    </row>
    <row r="1561">
      <c r="P1561" s="34"/>
      <c r="Q1561" s="34"/>
    </row>
    <row r="1562">
      <c r="P1562" s="34"/>
      <c r="Q1562" s="34"/>
    </row>
    <row r="1563">
      <c r="P1563" s="34"/>
      <c r="Q1563" s="34"/>
    </row>
    <row r="1564">
      <c r="P1564" s="34"/>
      <c r="Q1564" s="34"/>
    </row>
    <row r="1565">
      <c r="P1565" s="34"/>
      <c r="Q1565" s="34"/>
    </row>
    <row r="1566">
      <c r="P1566" s="34"/>
      <c r="Q1566" s="34"/>
    </row>
    <row r="1567">
      <c r="P1567" s="34"/>
      <c r="Q1567" s="34"/>
    </row>
    <row r="1568">
      <c r="P1568" s="34"/>
      <c r="Q1568" s="34"/>
    </row>
    <row r="1569">
      <c r="P1569" s="34"/>
      <c r="Q1569" s="34"/>
    </row>
    <row r="1570">
      <c r="P1570" s="34"/>
      <c r="Q1570" s="34"/>
    </row>
    <row r="1571">
      <c r="P1571" s="34"/>
      <c r="Q1571" s="34"/>
    </row>
    <row r="1572">
      <c r="P1572" s="34"/>
      <c r="Q1572" s="34"/>
    </row>
    <row r="1573">
      <c r="P1573" s="34"/>
      <c r="Q1573" s="34"/>
    </row>
    <row r="1574">
      <c r="P1574" s="34"/>
      <c r="Q1574" s="34"/>
    </row>
    <row r="1575">
      <c r="P1575" s="34"/>
      <c r="Q1575" s="34"/>
    </row>
    <row r="1576">
      <c r="P1576" s="34"/>
      <c r="Q1576" s="34"/>
    </row>
    <row r="1577">
      <c r="P1577" s="34"/>
      <c r="Q1577" s="34"/>
    </row>
    <row r="1578">
      <c r="P1578" s="34"/>
      <c r="Q1578" s="34"/>
    </row>
    <row r="1579">
      <c r="P1579" s="34"/>
      <c r="Q1579" s="34"/>
    </row>
    <row r="1580">
      <c r="P1580" s="34"/>
      <c r="Q1580" s="34"/>
    </row>
    <row r="1581">
      <c r="P1581" s="34"/>
      <c r="Q1581" s="34"/>
    </row>
    <row r="1582">
      <c r="P1582" s="34"/>
      <c r="Q1582" s="34"/>
    </row>
    <row r="1583">
      <c r="P1583" s="34"/>
      <c r="Q1583" s="34"/>
    </row>
    <row r="1584">
      <c r="P1584" s="34"/>
      <c r="Q1584" s="34"/>
    </row>
    <row r="1585">
      <c r="P1585" s="34"/>
      <c r="Q1585" s="34"/>
    </row>
    <row r="1586">
      <c r="P1586" s="34"/>
      <c r="Q1586" s="34"/>
    </row>
    <row r="1587">
      <c r="P1587" s="34"/>
      <c r="Q1587" s="34"/>
    </row>
    <row r="1588">
      <c r="P1588" s="34"/>
      <c r="Q1588" s="34"/>
    </row>
    <row r="1589">
      <c r="P1589" s="34"/>
      <c r="Q1589" s="34"/>
    </row>
    <row r="1590">
      <c r="P1590" s="34"/>
      <c r="Q1590" s="34"/>
    </row>
    <row r="1591">
      <c r="P1591" s="34"/>
      <c r="Q1591" s="34"/>
    </row>
    <row r="1592">
      <c r="P1592" s="34"/>
      <c r="Q1592" s="34"/>
    </row>
    <row r="1593">
      <c r="P1593" s="34"/>
      <c r="Q1593" s="34"/>
    </row>
    <row r="1594">
      <c r="P1594" s="34"/>
      <c r="Q1594" s="34"/>
    </row>
    <row r="1595">
      <c r="P1595" s="34"/>
      <c r="Q1595" s="34"/>
    </row>
  </sheetData>
  <autoFilter ref="$A$1:$Q$8"/>
  <conditionalFormatting sqref="Q2 Q4:Q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M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M8">
    <cfRule type="cellIs" dxfId="0" priority="3" operator="equal">
      <formula>"K"</formula>
    </cfRule>
  </conditionalFormatting>
  <conditionalFormatting sqref="N4:N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39"/>
      <c r="N1" s="35"/>
      <c r="O1" s="39"/>
      <c r="P1" s="39"/>
      <c r="Q1" s="40"/>
    </row>
    <row r="2">
      <c r="A2" s="37">
        <v>48.0</v>
      </c>
      <c r="B2" s="41" t="s">
        <v>20</v>
      </c>
      <c r="C2" s="38">
        <v>45679.0</v>
      </c>
      <c r="D2" s="42">
        <v>395.0</v>
      </c>
      <c r="E2" s="42" t="s">
        <v>18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22</v>
      </c>
      <c r="C3" s="38">
        <v>45679.0</v>
      </c>
      <c r="D3" s="42">
        <v>724.0</v>
      </c>
      <c r="E3" s="42" t="s">
        <v>18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23</v>
      </c>
      <c r="C4" s="38">
        <v>45680.0</v>
      </c>
      <c r="D4" s="42">
        <v>1051.0</v>
      </c>
      <c r="E4" s="42" t="s">
        <v>18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24</v>
      </c>
      <c r="C5" s="13">
        <v>45677.0</v>
      </c>
      <c r="D5" s="15">
        <v>931.0</v>
      </c>
      <c r="E5" s="15" t="s">
        <v>18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25</v>
      </c>
      <c r="C6" s="13">
        <v>45677.0</v>
      </c>
      <c r="D6" s="15">
        <v>112.0</v>
      </c>
      <c r="E6" s="15" t="s">
        <v>18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4"/>
      <c r="O7" s="34"/>
      <c r="P7" s="34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26</v>
      </c>
      <c r="L11" s="42" t="s">
        <v>27</v>
      </c>
      <c r="M11" s="44" t="s">
        <v>28</v>
      </c>
      <c r="N11" s="51" t="s">
        <v>29</v>
      </c>
      <c r="O11" s="34"/>
      <c r="P11" s="34"/>
    </row>
    <row r="12">
      <c r="E12" s="50" t="s">
        <v>30</v>
      </c>
      <c r="L12" s="42" t="s">
        <v>31</v>
      </c>
      <c r="M12" s="44" t="s">
        <v>32</v>
      </c>
      <c r="N12" s="51" t="s">
        <v>33</v>
      </c>
      <c r="O12" s="34"/>
      <c r="P12" s="34"/>
    </row>
    <row r="13">
      <c r="M13" s="34"/>
      <c r="O13" s="34"/>
      <c r="P13" s="34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20</v>
      </c>
      <c r="C16" s="38">
        <v>45679.0</v>
      </c>
      <c r="D16" s="54">
        <v>1363.0</v>
      </c>
      <c r="E16" s="42" t="s">
        <v>18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22</v>
      </c>
      <c r="C17" s="38">
        <v>45679.0</v>
      </c>
      <c r="D17" s="42">
        <v>724.0</v>
      </c>
      <c r="E17" s="42" t="s">
        <v>18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23</v>
      </c>
      <c r="C18" s="38">
        <v>45680.0</v>
      </c>
      <c r="D18" s="42">
        <v>935.0</v>
      </c>
      <c r="E18" s="42" t="s">
        <v>18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24</v>
      </c>
      <c r="C19" s="38">
        <v>45677.0</v>
      </c>
      <c r="D19" s="54">
        <v>47.0</v>
      </c>
      <c r="E19" s="42" t="s">
        <v>18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25</v>
      </c>
      <c r="C20" s="38">
        <v>45677.0</v>
      </c>
      <c r="D20" s="42">
        <v>1475.0</v>
      </c>
      <c r="E20" s="42" t="s">
        <v>18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4"/>
      <c r="O21" s="34"/>
      <c r="P21" s="34"/>
    </row>
    <row r="24">
      <c r="C24" s="35" t="s">
        <v>34</v>
      </c>
    </row>
    <row r="25">
      <c r="C25" s="47" t="s">
        <v>35</v>
      </c>
    </row>
    <row r="26">
      <c r="C26" s="55" t="s">
        <v>36</v>
      </c>
    </row>
    <row r="27">
      <c r="C27" s="56" t="s">
        <v>37</v>
      </c>
    </row>
    <row r="28">
      <c r="C28" s="54" t="s">
        <v>38</v>
      </c>
    </row>
    <row r="30">
      <c r="C30" s="57" t="s">
        <v>39</v>
      </c>
    </row>
    <row r="31">
      <c r="C31" s="35" t="s">
        <v>40</v>
      </c>
      <c r="L31" s="35" t="s">
        <v>33</v>
      </c>
      <c r="Q31" s="35" t="s">
        <v>41</v>
      </c>
      <c r="Z31" s="35" t="s">
        <v>32</v>
      </c>
      <c r="AH31" s="35" t="s">
        <v>42</v>
      </c>
    </row>
    <row r="32">
      <c r="C32" s="58">
        <v>1243.0</v>
      </c>
      <c r="D32" s="35">
        <v>52.0</v>
      </c>
      <c r="E32" s="35">
        <v>1146.0</v>
      </c>
      <c r="F32" s="35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5">
        <v>176.0</v>
      </c>
      <c r="S32" s="61">
        <v>364.0</v>
      </c>
      <c r="T32" s="35">
        <v>734.0</v>
      </c>
      <c r="U32" s="35">
        <v>807.0</v>
      </c>
      <c r="V32" s="35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5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5" t="s">
        <v>43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35</v>
      </c>
      <c r="I65" s="4" t="s">
        <v>44</v>
      </c>
      <c r="J65" s="4" t="s">
        <v>45</v>
      </c>
      <c r="K65" s="7" t="s">
        <v>46</v>
      </c>
      <c r="L65" s="4" t="s">
        <v>47</v>
      </c>
      <c r="M65" s="67" t="s">
        <v>16</v>
      </c>
      <c r="N65" s="68" t="s">
        <v>14</v>
      </c>
    </row>
    <row r="66">
      <c r="C66" s="11">
        <v>6.0</v>
      </c>
      <c r="D66" s="12" t="s">
        <v>17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19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20</v>
      </c>
      <c r="E68" s="13">
        <v>45679.0</v>
      </c>
      <c r="F68" s="15">
        <v>395.0</v>
      </c>
      <c r="G68" s="15" t="s">
        <v>18</v>
      </c>
      <c r="H68" s="18">
        <v>57.2457163045398</v>
      </c>
      <c r="I68" s="16">
        <v>1.99999999999998</v>
      </c>
      <c r="J68" s="16">
        <v>153.7</v>
      </c>
      <c r="K68" s="16">
        <f>-40.5+
2413.68+
163.23
</f>
        <v>2536.41</v>
      </c>
      <c r="L68" s="18">
        <v>30.0</v>
      </c>
      <c r="M68" s="16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22</v>
      </c>
      <c r="E69" s="13">
        <v>45679.0</v>
      </c>
      <c r="F69" s="15">
        <v>724.0</v>
      </c>
      <c r="G69" s="15" t="s">
        <v>18</v>
      </c>
      <c r="H69" s="16">
        <v>57.7626974489822</v>
      </c>
      <c r="I69" s="16">
        <v>7.0</v>
      </c>
      <c r="J69" s="16">
        <v>174.21</v>
      </c>
      <c r="K69" s="16">
        <f>1150.93+
478.33+
122.61
</f>
        <v>1751.87</v>
      </c>
      <c r="L69" s="16">
        <f>60/2</f>
        <v>30</v>
      </c>
      <c r="M69" s="16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23</v>
      </c>
      <c r="E70" s="13">
        <v>45680.0</v>
      </c>
      <c r="F70" s="15">
        <v>935.0</v>
      </c>
      <c r="G70" s="15" t="s">
        <v>18</v>
      </c>
      <c r="H70" s="16">
        <v>61.8147668934429</v>
      </c>
      <c r="I70" s="16">
        <v>5.0</v>
      </c>
      <c r="J70" s="16">
        <v>149.66</v>
      </c>
      <c r="K70" s="16">
        <f>729.17+
5039.3+
-26.81
</f>
        <v>5741.66</v>
      </c>
      <c r="L70" s="16">
        <f>50/2</f>
        <v>25</v>
      </c>
      <c r="M70" s="16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24</v>
      </c>
      <c r="E71" s="13">
        <v>45677.0</v>
      </c>
      <c r="F71" s="15">
        <v>931.0</v>
      </c>
      <c r="G71" s="15" t="s">
        <v>18</v>
      </c>
      <c r="H71" s="16">
        <v>59.8048011309572</v>
      </c>
      <c r="I71" s="16">
        <v>11.0</v>
      </c>
      <c r="J71" s="16">
        <v>190.1</v>
      </c>
      <c r="K71" s="16">
        <f>-0.29+
1243.98+
236.53
</f>
        <v>1480.22</v>
      </c>
      <c r="L71" s="18">
        <v>40.0</v>
      </c>
      <c r="M71" s="16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25</v>
      </c>
      <c r="E72" s="13">
        <v>45677.0</v>
      </c>
      <c r="F72" s="15">
        <v>112.0</v>
      </c>
      <c r="G72" s="15" t="s">
        <v>18</v>
      </c>
      <c r="H72" s="16">
        <v>56.318574213311</v>
      </c>
      <c r="I72" s="16">
        <v>8.0</v>
      </c>
      <c r="J72" s="16">
        <v>127.26</v>
      </c>
      <c r="K72" s="16">
        <f>1613.45+
584.93+
-27.72
</f>
        <v>2170.66</v>
      </c>
      <c r="L72" s="18">
        <v>40.0</v>
      </c>
      <c r="M72" s="16">
        <f t="shared" si="7"/>
        <v>17.0568914</v>
      </c>
      <c r="N72" s="21">
        <f>L72*'Data preparation'!$C$2</f>
        <v>10</v>
      </c>
    </row>
    <row r="76">
      <c r="C76" s="35" t="s">
        <v>48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35</v>
      </c>
      <c r="I77" s="4" t="s">
        <v>44</v>
      </c>
      <c r="J77" s="4" t="s">
        <v>45</v>
      </c>
      <c r="K77" s="7" t="s">
        <v>46</v>
      </c>
      <c r="L77" s="4" t="s">
        <v>7</v>
      </c>
      <c r="M77" s="4" t="s">
        <v>8</v>
      </c>
      <c r="N77" s="4" t="s">
        <v>9</v>
      </c>
      <c r="O77" s="4"/>
      <c r="P77" s="4" t="s">
        <v>13</v>
      </c>
      <c r="Q77" s="67" t="s">
        <v>16</v>
      </c>
      <c r="R77" s="68" t="s">
        <v>14</v>
      </c>
    </row>
    <row r="78">
      <c r="C78" s="11">
        <v>6.0</v>
      </c>
      <c r="D78" s="12" t="s">
        <v>17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19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20</v>
      </c>
      <c r="E80" s="13">
        <v>45679.0</v>
      </c>
      <c r="F80" s="15">
        <v>395.0</v>
      </c>
      <c r="G80" s="15" t="s">
        <v>18</v>
      </c>
      <c r="H80" s="18">
        <v>57.2457163045398</v>
      </c>
      <c r="I80" s="16">
        <v>1.99999999999998</v>
      </c>
      <c r="J80" s="16">
        <v>153.7</v>
      </c>
      <c r="K80" s="16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6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22</v>
      </c>
      <c r="E81" s="13">
        <v>45679.0</v>
      </c>
      <c r="F81" s="15">
        <v>724.0</v>
      </c>
      <c r="G81" s="15" t="s">
        <v>18</v>
      </c>
      <c r="H81" s="16">
        <v>57.7626974489822</v>
      </c>
      <c r="I81" s="16">
        <v>7.0</v>
      </c>
      <c r="J81" s="16">
        <v>174.21</v>
      </c>
      <c r="K81" s="16">
        <f>2560.91+
473.91+
196
</f>
        <v>3230.82</v>
      </c>
      <c r="L81" s="16">
        <v>90.0</v>
      </c>
      <c r="M81" s="16">
        <v>50.0</v>
      </c>
      <c r="N81" s="16">
        <v>40.0</v>
      </c>
      <c r="O81" s="18"/>
      <c r="P81" s="16">
        <f t="shared" si="8"/>
        <v>60</v>
      </c>
      <c r="Q81" s="16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23</v>
      </c>
      <c r="E82" s="13">
        <v>45680.0</v>
      </c>
      <c r="F82" s="15">
        <v>935.0</v>
      </c>
      <c r="G82" s="15" t="s">
        <v>18</v>
      </c>
      <c r="H82" s="16">
        <v>61.8147668934429</v>
      </c>
      <c r="I82" s="16">
        <v>5.0</v>
      </c>
      <c r="J82" s="16">
        <v>149.66</v>
      </c>
      <c r="K82" s="16">
        <f>899.02+
15191.45+
-2.4
</f>
        <v>16088.07</v>
      </c>
      <c r="L82" s="16">
        <v>80.0</v>
      </c>
      <c r="M82" s="16">
        <v>90.0</v>
      </c>
      <c r="N82" s="16">
        <v>5.0</v>
      </c>
      <c r="O82" s="18"/>
      <c r="P82" s="16">
        <f t="shared" si="8"/>
        <v>58.33333333</v>
      </c>
      <c r="Q82" s="16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24</v>
      </c>
      <c r="E83" s="13">
        <v>45677.0</v>
      </c>
      <c r="F83" s="15">
        <v>931.0</v>
      </c>
      <c r="G83" s="15" t="s">
        <v>18</v>
      </c>
      <c r="H83" s="16">
        <v>59.8048011309572</v>
      </c>
      <c r="I83" s="16">
        <v>11.0</v>
      </c>
      <c r="J83" s="16">
        <v>190.1</v>
      </c>
      <c r="K83" s="16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6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25</v>
      </c>
      <c r="E84" s="13">
        <v>45677.0</v>
      </c>
      <c r="F84" s="15">
        <v>112.0</v>
      </c>
      <c r="G84" s="15" t="s">
        <v>18</v>
      </c>
      <c r="H84" s="16">
        <v>56.318574213311</v>
      </c>
      <c r="I84" s="16">
        <v>8.0</v>
      </c>
      <c r="J84" s="16">
        <v>127.26</v>
      </c>
      <c r="K84" s="16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6">
        <f t="shared" si="9"/>
        <v>19.81667452</v>
      </c>
      <c r="R84" s="26">
        <f>P84*'Data preparation'!$C$2</f>
        <v>12.5</v>
      </c>
    </row>
    <row r="94">
      <c r="C94" s="42" t="s">
        <v>49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36</v>
      </c>
      <c r="I96" s="4" t="s">
        <v>5</v>
      </c>
      <c r="J96" s="4" t="s">
        <v>35</v>
      </c>
      <c r="K96" s="7" t="s">
        <v>50</v>
      </c>
      <c r="L96" s="7" t="s">
        <v>51</v>
      </c>
      <c r="M96" s="7" t="s">
        <v>52</v>
      </c>
      <c r="N96" s="4" t="s">
        <v>45</v>
      </c>
      <c r="O96" s="7" t="s">
        <v>46</v>
      </c>
      <c r="P96" s="67" t="s">
        <v>16</v>
      </c>
      <c r="Q96" s="4" t="s">
        <v>7</v>
      </c>
      <c r="R96" s="4" t="s">
        <v>8</v>
      </c>
      <c r="S96" s="4" t="s">
        <v>9</v>
      </c>
      <c r="T96" s="4" t="s">
        <v>13</v>
      </c>
      <c r="U96" s="68" t="s">
        <v>14</v>
      </c>
    </row>
    <row r="97">
      <c r="C97" s="11">
        <v>6.0</v>
      </c>
      <c r="D97" s="12" t="s">
        <v>17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19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20</v>
      </c>
      <c r="E99" s="13">
        <v>45679.0</v>
      </c>
      <c r="F99" s="15">
        <v>395.0</v>
      </c>
      <c r="G99" s="15" t="s">
        <v>18</v>
      </c>
      <c r="H99" s="16">
        <v>57.9999999999999</v>
      </c>
      <c r="I99" s="16">
        <v>57.1154487821154</v>
      </c>
      <c r="J99" s="16">
        <v>57.2457163045398</v>
      </c>
      <c r="K99" s="16">
        <v>-0.02</v>
      </c>
      <c r="L99" s="16">
        <v>99.14</v>
      </c>
      <c r="M99" s="16">
        <v>0.88</v>
      </c>
      <c r="N99" s="16">
        <v>153.704876815795</v>
      </c>
      <c r="O99" s="16">
        <v>8715.95604136256</v>
      </c>
      <c r="P99" s="16">
        <v>55.7057872328151</v>
      </c>
      <c r="Q99" s="18">
        <v>5.0</v>
      </c>
      <c r="R99" s="18">
        <v>60.0</v>
      </c>
      <c r="S99" s="18">
        <v>30.0</v>
      </c>
      <c r="T99" s="16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22</v>
      </c>
      <c r="E100" s="13">
        <v>45679.0</v>
      </c>
      <c r="F100" s="15">
        <v>724.0</v>
      </c>
      <c r="G100" s="15" t="s">
        <v>18</v>
      </c>
      <c r="H100" s="16">
        <v>61.0</v>
      </c>
      <c r="I100" s="16">
        <v>58.04</v>
      </c>
      <c r="J100" s="16">
        <v>57.76</v>
      </c>
      <c r="K100" s="16">
        <v>79.27</v>
      </c>
      <c r="L100" s="16">
        <v>14.67</v>
      </c>
      <c r="M100" s="16">
        <v>6.07</v>
      </c>
      <c r="N100" s="16">
        <v>174.2</v>
      </c>
      <c r="O100" s="16">
        <v>3230.82</v>
      </c>
      <c r="P100" s="16">
        <v>17.55</v>
      </c>
      <c r="Q100" s="16">
        <v>90.0</v>
      </c>
      <c r="R100" s="16">
        <v>50.0</v>
      </c>
      <c r="S100" s="16">
        <v>40.0</v>
      </c>
      <c r="T100" s="16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23</v>
      </c>
      <c r="E101" s="13">
        <v>45680.0</v>
      </c>
      <c r="F101" s="15">
        <v>935.0</v>
      </c>
      <c r="G101" s="15" t="s">
        <v>18</v>
      </c>
      <c r="H101" s="16">
        <v>64.0</v>
      </c>
      <c r="I101" s="16">
        <v>61.76</v>
      </c>
      <c r="J101" s="16">
        <v>61.81</v>
      </c>
      <c r="K101" s="16">
        <v>5.59</v>
      </c>
      <c r="L101" s="16">
        <v>94.43</v>
      </c>
      <c r="M101" s="16">
        <v>-0.01</v>
      </c>
      <c r="N101" s="16">
        <v>149.67</v>
      </c>
      <c r="O101" s="16">
        <v>16088.07</v>
      </c>
      <c r="P101" s="16">
        <v>106.49</v>
      </c>
      <c r="Q101" s="16">
        <v>80.0</v>
      </c>
      <c r="R101" s="16">
        <v>90.0</v>
      </c>
      <c r="S101" s="16">
        <v>5.0</v>
      </c>
      <c r="T101" s="16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24</v>
      </c>
      <c r="E102" s="13">
        <v>45677.0</v>
      </c>
      <c r="F102" s="15">
        <v>1623.0</v>
      </c>
      <c r="G102" s="15" t="s">
        <v>18</v>
      </c>
      <c r="H102" s="16">
        <v>60.0</v>
      </c>
      <c r="I102" s="16">
        <v>59.89</v>
      </c>
      <c r="J102" s="16">
        <v>58.66</v>
      </c>
      <c r="K102" s="16">
        <v>-0.06</v>
      </c>
      <c r="L102" s="16">
        <v>92.71</v>
      </c>
      <c r="M102" s="16">
        <v>7.34</v>
      </c>
      <c r="N102" s="16">
        <v>130.83</v>
      </c>
      <c r="O102" s="16">
        <v>5977.86</v>
      </c>
      <c r="P102" s="16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25</v>
      </c>
      <c r="E103" s="13">
        <v>45677.0</v>
      </c>
      <c r="F103" s="15">
        <v>814.0</v>
      </c>
      <c r="G103" s="15" t="s">
        <v>18</v>
      </c>
      <c r="H103" s="16">
        <v>56.0</v>
      </c>
      <c r="I103" s="16">
        <v>52.0</v>
      </c>
      <c r="J103" s="16">
        <v>51.98</v>
      </c>
      <c r="K103" s="16">
        <v>99.43</v>
      </c>
      <c r="L103" s="16">
        <v>0.64</v>
      </c>
      <c r="M103" s="16">
        <v>-0.07</v>
      </c>
      <c r="N103" s="16">
        <v>96.01</v>
      </c>
      <c r="O103" s="16">
        <v>7974.28</v>
      </c>
      <c r="P103" s="16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53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5"/>
    </row>
    <row r="2">
      <c r="A2" s="79"/>
      <c r="B2" s="80" t="s">
        <v>54</v>
      </c>
      <c r="C2" s="80" t="s">
        <v>55</v>
      </c>
      <c r="D2" s="81" t="s">
        <v>56</v>
      </c>
      <c r="E2" s="81" t="s">
        <v>57</v>
      </c>
      <c r="F2" s="80" t="s">
        <v>58</v>
      </c>
      <c r="G2" s="82" t="s">
        <v>6</v>
      </c>
      <c r="H2" s="82" t="s">
        <v>59</v>
      </c>
      <c r="I2" s="82" t="s">
        <v>15</v>
      </c>
      <c r="J2" s="80"/>
      <c r="K2" s="80" t="s">
        <v>60</v>
      </c>
      <c r="L2" s="80" t="s">
        <v>61</v>
      </c>
      <c r="M2" s="83" t="s">
        <v>62</v>
      </c>
      <c r="N2" s="82" t="s">
        <v>63</v>
      </c>
      <c r="O2" s="82" t="s">
        <v>64</v>
      </c>
      <c r="P2" s="82" t="s">
        <v>65</v>
      </c>
      <c r="U2" s="40"/>
      <c r="V2" s="35"/>
    </row>
    <row r="3">
      <c r="A3" s="84" t="s">
        <v>42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41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32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33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29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4"/>
    </row>
    <row r="9">
      <c r="O9" s="43"/>
      <c r="P9" s="49"/>
      <c r="Q9" s="49"/>
      <c r="R9" s="49"/>
      <c r="S9" s="49"/>
      <c r="V9" s="49"/>
    </row>
    <row r="10">
      <c r="A10" s="49"/>
      <c r="E10" s="42" t="s">
        <v>66</v>
      </c>
      <c r="O10" s="43"/>
      <c r="P10" s="49"/>
      <c r="Q10" s="49"/>
      <c r="R10" s="49"/>
      <c r="S10" s="33"/>
      <c r="T10" s="10"/>
    </row>
    <row r="11">
      <c r="A11" s="40"/>
      <c r="E11" s="30" t="s">
        <v>20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22</v>
      </c>
      <c r="F12" s="15">
        <v>724.0</v>
      </c>
      <c r="O12" s="34"/>
      <c r="P12" s="31"/>
      <c r="Q12" s="31"/>
      <c r="S12" s="31"/>
      <c r="T12" s="31"/>
      <c r="V12" s="31"/>
      <c r="W12" s="31"/>
    </row>
    <row r="13">
      <c r="A13" s="31"/>
      <c r="E13" s="23" t="s">
        <v>23</v>
      </c>
      <c r="F13" s="15">
        <v>1051.0</v>
      </c>
      <c r="O13" s="34"/>
      <c r="P13" s="31"/>
      <c r="Q13" s="31"/>
      <c r="S13" s="31"/>
      <c r="T13" s="31"/>
      <c r="V13" s="31"/>
      <c r="W13" s="31"/>
    </row>
    <row r="14">
      <c r="A14" s="31"/>
      <c r="E14" s="23" t="s">
        <v>24</v>
      </c>
      <c r="F14" s="15">
        <v>47.0</v>
      </c>
      <c r="N14" s="34"/>
      <c r="O14" s="34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25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67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20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22</v>
      </c>
      <c r="F20" s="15">
        <v>654.0</v>
      </c>
      <c r="O20" s="43"/>
      <c r="Q20" s="31"/>
      <c r="S20" s="31"/>
      <c r="T20" s="31"/>
    </row>
    <row r="21">
      <c r="E21" s="23" t="s">
        <v>23</v>
      </c>
      <c r="F21" s="15">
        <v>1051.0</v>
      </c>
      <c r="O21" s="43"/>
      <c r="P21" s="31"/>
      <c r="T21" s="31"/>
    </row>
    <row r="22">
      <c r="E22" s="23" t="s">
        <v>24</v>
      </c>
      <c r="F22" s="15">
        <v>622.0</v>
      </c>
      <c r="M22" s="49"/>
      <c r="O22" s="34"/>
      <c r="P22" s="31"/>
      <c r="T22" s="31"/>
    </row>
    <row r="23">
      <c r="E23" s="23" t="s">
        <v>25</v>
      </c>
      <c r="F23" s="15">
        <v>1545.0</v>
      </c>
      <c r="M23" s="49"/>
      <c r="O23" s="34"/>
      <c r="T23" s="31"/>
    </row>
    <row r="24">
      <c r="M24" s="49"/>
      <c r="O24" s="34"/>
      <c r="Q24" s="31"/>
      <c r="T24" s="31"/>
    </row>
    <row r="25">
      <c r="O25" s="34"/>
    </row>
    <row r="26">
      <c r="O26" s="34"/>
      <c r="T26" s="31"/>
    </row>
    <row r="27">
      <c r="N27" s="34"/>
      <c r="O27" s="3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5" t="s">
        <v>6</v>
      </c>
      <c r="I32" s="4" t="s">
        <v>7</v>
      </c>
      <c r="J32" s="4" t="s">
        <v>8</v>
      </c>
      <c r="K32" s="4" t="s">
        <v>9</v>
      </c>
      <c r="L32" s="6" t="s">
        <v>13</v>
      </c>
      <c r="M32" s="6" t="s">
        <v>14</v>
      </c>
      <c r="N32" s="7" t="s">
        <v>15</v>
      </c>
      <c r="O32" s="8" t="s">
        <v>16</v>
      </c>
    </row>
    <row r="33">
      <c r="C33" s="11">
        <v>6.0</v>
      </c>
      <c r="D33" s="12" t="s">
        <v>17</v>
      </c>
      <c r="E33" s="13">
        <v>45685.0</v>
      </c>
      <c r="F33" s="14">
        <v>616.0</v>
      </c>
      <c r="G33" s="15" t="s">
        <v>18</v>
      </c>
      <c r="H33" s="17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6">
        <v>31833.0939389723</v>
      </c>
      <c r="O33" s="20">
        <f>N33/H33</f>
        <v>54.49862394</v>
      </c>
    </row>
    <row r="34">
      <c r="C34" s="23">
        <v>167.0</v>
      </c>
      <c r="D34" s="23" t="s">
        <v>19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7">
        <v>48.0</v>
      </c>
      <c r="D35" s="73" t="s">
        <v>20</v>
      </c>
      <c r="E35" s="13">
        <v>45679.0</v>
      </c>
      <c r="F35" s="15">
        <v>343.0</v>
      </c>
      <c r="G35" s="15" t="s">
        <v>18</v>
      </c>
      <c r="H35" s="17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5</v>
      </c>
      <c r="N35" s="16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22</v>
      </c>
      <c r="E36" s="13">
        <v>45679.0</v>
      </c>
      <c r="F36" s="15">
        <v>724.0</v>
      </c>
      <c r="G36" s="15" t="s">
        <v>18</v>
      </c>
      <c r="H36" s="17">
        <f>3.44623889518345*100</f>
        <v>344.6238895</v>
      </c>
      <c r="I36" s="16">
        <v>70.0</v>
      </c>
      <c r="J36" s="16">
        <v>45.0</v>
      </c>
      <c r="K36" s="16">
        <v>45.0</v>
      </c>
      <c r="L36" s="20">
        <f t="shared" si="1"/>
        <v>53.33333333</v>
      </c>
      <c r="M36" s="27">
        <f>L36*'Data preparation'!$C$2</f>
        <v>13.33333333</v>
      </c>
      <c r="N36" s="16">
        <v>7144.81139954358</v>
      </c>
      <c r="O36" s="20">
        <f t="shared" si="2"/>
        <v>20.73219999</v>
      </c>
    </row>
    <row r="37">
      <c r="C37" s="72">
        <v>59.0</v>
      </c>
      <c r="D37" s="72" t="s">
        <v>23</v>
      </c>
      <c r="E37" s="13">
        <v>45680.0</v>
      </c>
      <c r="F37" s="15">
        <v>1051.0</v>
      </c>
      <c r="G37" s="15" t="s">
        <v>18</v>
      </c>
      <c r="H37" s="17">
        <f>5.03501136998037*100</f>
        <v>503.501137</v>
      </c>
      <c r="I37" s="16">
        <v>70.0</v>
      </c>
      <c r="J37" s="16">
        <v>70.0</v>
      </c>
      <c r="K37" s="16">
        <v>10.0</v>
      </c>
      <c r="L37" s="20">
        <f t="shared" si="1"/>
        <v>50</v>
      </c>
      <c r="M37" s="27">
        <f>L37*'Data preparation'!$C$2</f>
        <v>12.5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24</v>
      </c>
      <c r="E38" s="13">
        <v>45677.0</v>
      </c>
      <c r="F38" s="15">
        <v>281.0</v>
      </c>
      <c r="G38" s="15" t="s">
        <v>18</v>
      </c>
      <c r="H38" s="17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12.5</v>
      </c>
      <c r="N38" s="16">
        <v>13938.355259875</v>
      </c>
      <c r="O38" s="20">
        <f t="shared" si="2"/>
        <v>50.3566298</v>
      </c>
    </row>
    <row r="39">
      <c r="C39" s="72">
        <v>148.0</v>
      </c>
      <c r="D39" s="72" t="s">
        <v>25</v>
      </c>
      <c r="E39" s="13">
        <v>45677.0</v>
      </c>
      <c r="F39" s="15">
        <v>1051.0</v>
      </c>
      <c r="G39" s="15" t="s">
        <v>18</v>
      </c>
      <c r="H39" s="17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6.666666667</v>
      </c>
      <c r="N39" s="16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42" t="s">
        <v>68</v>
      </c>
      <c r="C9" s="42" t="s">
        <v>69</v>
      </c>
      <c r="D9" s="42" t="s">
        <v>70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71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72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73</v>
      </c>
    </row>
    <row r="17">
      <c r="G17" s="89"/>
      <c r="H17" s="35" t="s">
        <v>74</v>
      </c>
      <c r="I17" s="35" t="s">
        <v>75</v>
      </c>
    </row>
    <row r="18">
      <c r="A18" s="42">
        <v>332.0</v>
      </c>
      <c r="B18" s="42">
        <v>0.05</v>
      </c>
      <c r="C18" s="42">
        <v>0.85</v>
      </c>
      <c r="G18" s="90" t="s">
        <v>42</v>
      </c>
      <c r="H18" s="42">
        <v>332.0</v>
      </c>
      <c r="I18" s="91" t="s">
        <v>76</v>
      </c>
    </row>
    <row r="19">
      <c r="A19" s="42">
        <v>518.0</v>
      </c>
      <c r="B19" s="42">
        <v>0.01</v>
      </c>
      <c r="C19" s="42">
        <v>0.81</v>
      </c>
      <c r="G19" s="90" t="s">
        <v>41</v>
      </c>
      <c r="H19" s="42" t="s">
        <v>77</v>
      </c>
      <c r="I19" s="42" t="s">
        <v>78</v>
      </c>
    </row>
    <row r="20">
      <c r="A20" s="42">
        <v>1082.0</v>
      </c>
      <c r="B20" s="42">
        <v>0.04</v>
      </c>
      <c r="C20" s="42">
        <v>0.89</v>
      </c>
      <c r="G20" s="90" t="s">
        <v>32</v>
      </c>
      <c r="H20" s="42">
        <v>411.0</v>
      </c>
      <c r="I20" s="42" t="s">
        <v>79</v>
      </c>
    </row>
    <row r="21">
      <c r="G21" s="90" t="s">
        <v>33</v>
      </c>
      <c r="H21" s="42" t="s">
        <v>80</v>
      </c>
      <c r="I21" s="42" t="s">
        <v>81</v>
      </c>
    </row>
    <row r="22">
      <c r="G22" s="90" t="s">
        <v>29</v>
      </c>
      <c r="H22" s="42" t="s">
        <v>82</v>
      </c>
      <c r="I22" s="42" t="s">
        <v>83</v>
      </c>
    </row>
    <row r="24">
      <c r="B24" s="12"/>
      <c r="I24" s="42" t="s">
        <v>84</v>
      </c>
    </row>
    <row r="25">
      <c r="B25" s="2" t="s">
        <v>1</v>
      </c>
      <c r="I25" s="42" t="s">
        <v>85</v>
      </c>
    </row>
    <row r="26">
      <c r="B26" s="30" t="s">
        <v>20</v>
      </c>
      <c r="C26" s="42">
        <v>332.0</v>
      </c>
      <c r="M26" s="34"/>
      <c r="N26" s="34"/>
    </row>
    <row r="27">
      <c r="B27" s="30" t="s">
        <v>22</v>
      </c>
      <c r="C27" s="42">
        <v>1288.0</v>
      </c>
      <c r="M27" s="34"/>
      <c r="N27" s="34"/>
    </row>
    <row r="28">
      <c r="B28" s="23" t="s">
        <v>23</v>
      </c>
      <c r="C28" s="42">
        <v>411.0</v>
      </c>
      <c r="M28" s="34"/>
      <c r="N28" s="34"/>
    </row>
    <row r="29">
      <c r="B29" s="23" t="s">
        <v>24</v>
      </c>
      <c r="C29" s="42">
        <v>1015.0</v>
      </c>
      <c r="M29" s="34"/>
      <c r="N29" s="34"/>
    </row>
    <row r="30">
      <c r="B30" s="23" t="s">
        <v>25</v>
      </c>
      <c r="C30" s="42">
        <v>530.0</v>
      </c>
      <c r="I30" s="35" t="s">
        <v>86</v>
      </c>
      <c r="M30" s="34"/>
      <c r="N30" s="34"/>
    </row>
    <row r="31">
      <c r="I31" s="35" t="s">
        <v>87</v>
      </c>
      <c r="M31" s="34"/>
      <c r="N31" s="34"/>
    </row>
    <row r="32">
      <c r="I32" s="42" t="s">
        <v>88</v>
      </c>
      <c r="M32" s="34"/>
      <c r="N32" s="34"/>
    </row>
    <row r="33">
      <c r="I33" s="42" t="s">
        <v>89</v>
      </c>
      <c r="M33" s="34"/>
      <c r="N33" s="34"/>
    </row>
    <row r="34">
      <c r="M34" s="34"/>
      <c r="N34" s="34"/>
    </row>
    <row r="35">
      <c r="I35" s="42" t="s">
        <v>90</v>
      </c>
      <c r="M35" s="34"/>
      <c r="N35" s="34"/>
    </row>
    <row r="36">
      <c r="M36" s="34"/>
      <c r="N36" s="34"/>
    </row>
    <row r="37">
      <c r="M37" s="34"/>
      <c r="N37" s="34"/>
    </row>
    <row r="38">
      <c r="M38" s="34"/>
      <c r="N38" s="34"/>
    </row>
    <row r="39">
      <c r="I39" s="35" t="s">
        <v>91</v>
      </c>
      <c r="M39" s="34"/>
      <c r="N39" s="34"/>
    </row>
    <row r="40">
      <c r="I40" s="42" t="s">
        <v>92</v>
      </c>
      <c r="M40" s="34"/>
      <c r="N40" s="34"/>
    </row>
    <row r="41">
      <c r="I41" s="42" t="s">
        <v>93</v>
      </c>
      <c r="M41" s="34"/>
      <c r="N41" s="34"/>
    </row>
    <row r="42">
      <c r="I42" s="57" t="s">
        <v>94</v>
      </c>
      <c r="M42" s="34"/>
      <c r="N42" s="34"/>
    </row>
    <row r="43">
      <c r="M43" s="34"/>
      <c r="N43" s="34"/>
    </row>
    <row r="44">
      <c r="I44" s="35" t="s">
        <v>95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96</v>
      </c>
    </row>
    <row r="2">
      <c r="B2" s="9"/>
      <c r="C2" s="92" t="s">
        <v>97</v>
      </c>
      <c r="E2" s="93"/>
      <c r="F2" s="94" t="s">
        <v>98</v>
      </c>
      <c r="H2" s="93"/>
    </row>
    <row r="3">
      <c r="B3" s="95" t="s">
        <v>99</v>
      </c>
      <c r="C3" s="96" t="s">
        <v>100</v>
      </c>
      <c r="D3" s="95" t="s">
        <v>101</v>
      </c>
      <c r="E3" s="97" t="s">
        <v>102</v>
      </c>
      <c r="F3" s="95" t="s">
        <v>103</v>
      </c>
      <c r="G3" s="95" t="s">
        <v>104</v>
      </c>
      <c r="H3" s="95" t="s">
        <v>105</v>
      </c>
    </row>
    <row r="4">
      <c r="B4" s="98" t="s">
        <v>106</v>
      </c>
      <c r="C4" s="99" t="s">
        <v>107</v>
      </c>
      <c r="D4" s="100" t="s">
        <v>108</v>
      </c>
      <c r="E4" s="101" t="s">
        <v>109</v>
      </c>
      <c r="F4" s="102" t="s">
        <v>110</v>
      </c>
      <c r="G4" s="102" t="s">
        <v>111</v>
      </c>
      <c r="H4" s="100"/>
    </row>
    <row r="5">
      <c r="B5" s="98" t="s">
        <v>112</v>
      </c>
      <c r="C5" s="103" t="s">
        <v>113</v>
      </c>
      <c r="D5" s="104"/>
      <c r="E5" s="101" t="s">
        <v>109</v>
      </c>
      <c r="F5" s="105" t="s">
        <v>114</v>
      </c>
      <c r="G5" s="106" t="s">
        <v>115</v>
      </c>
      <c r="H5" s="100"/>
    </row>
    <row r="6">
      <c r="B6" s="98" t="s">
        <v>116</v>
      </c>
      <c r="C6" s="99" t="s">
        <v>107</v>
      </c>
      <c r="D6" s="100" t="s">
        <v>117</v>
      </c>
      <c r="E6" s="101" t="s">
        <v>109</v>
      </c>
      <c r="F6" s="100" t="s">
        <v>118</v>
      </c>
      <c r="G6" s="100"/>
      <c r="H6" s="100"/>
    </row>
    <row r="7">
      <c r="B7" s="100" t="s">
        <v>119</v>
      </c>
      <c r="C7" s="107" t="s">
        <v>120</v>
      </c>
      <c r="D7" s="100"/>
      <c r="E7" s="108" t="s">
        <v>121</v>
      </c>
      <c r="F7" s="99" t="s">
        <v>122</v>
      </c>
      <c r="G7" s="100"/>
      <c r="H7" s="100" t="s">
        <v>123</v>
      </c>
    </row>
    <row r="8">
      <c r="B8" s="109" t="s">
        <v>124</v>
      </c>
      <c r="C8" s="110" t="s">
        <v>125</v>
      </c>
      <c r="D8" s="111"/>
      <c r="E8" s="109" t="s">
        <v>126</v>
      </c>
      <c r="F8" s="112" t="s">
        <v>127</v>
      </c>
      <c r="G8" s="113" t="s">
        <v>128</v>
      </c>
      <c r="H8" s="111"/>
    </row>
    <row r="9">
      <c r="B9" s="23" t="s">
        <v>129</v>
      </c>
      <c r="C9" s="114" t="s">
        <v>125</v>
      </c>
      <c r="D9" s="79"/>
      <c r="E9" s="79"/>
      <c r="F9" s="115"/>
      <c r="G9" s="79"/>
      <c r="H9" s="79"/>
    </row>
    <row r="10">
      <c r="B10" s="23" t="s">
        <v>130</v>
      </c>
      <c r="C10" s="115"/>
      <c r="D10" s="79"/>
      <c r="E10" s="79"/>
      <c r="F10" s="115"/>
      <c r="G10" s="102" t="s">
        <v>111</v>
      </c>
      <c r="H10" s="79"/>
    </row>
    <row r="11">
      <c r="B11" s="23" t="s">
        <v>131</v>
      </c>
      <c r="C11" s="115"/>
      <c r="D11" s="79"/>
      <c r="E11" s="79"/>
      <c r="F11" s="115"/>
      <c r="G11" s="116" t="s">
        <v>132</v>
      </c>
      <c r="H11" s="23"/>
    </row>
  </sheetData>
  <mergeCells count="2">
    <mergeCell ref="C2:E2"/>
    <mergeCell ref="F2:H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4"/>
      <c r="C1" s="18"/>
      <c r="L1" s="117"/>
    </row>
    <row r="2">
      <c r="A2" s="18"/>
      <c r="B2" s="94" t="s">
        <v>133</v>
      </c>
      <c r="C2" s="18">
        <v>0.25</v>
      </c>
      <c r="L2" s="117"/>
    </row>
    <row r="3">
      <c r="A3" s="18"/>
      <c r="B3" s="94" t="s">
        <v>134</v>
      </c>
      <c r="C3" s="26">
        <f>AVERAGE('Modelos actuales'!O4:O8)</f>
        <v>6.916666667</v>
      </c>
      <c r="L3" s="117"/>
      <c r="P3" s="117"/>
    </row>
    <row r="4">
      <c r="A4" s="18"/>
      <c r="B4" s="117"/>
      <c r="L4" s="117"/>
      <c r="P4" s="117"/>
      <c r="AE4" s="42" t="s">
        <v>135</v>
      </c>
      <c r="AF4" s="118">
        <f>CORREL(AE6:AE10000,AF6:AF10000)</f>
        <v>0.4113182759</v>
      </c>
    </row>
    <row r="5">
      <c r="A5" s="18"/>
      <c r="B5" s="117" t="s">
        <v>136</v>
      </c>
      <c r="L5" s="117" t="s">
        <v>137</v>
      </c>
      <c r="P5" s="117" t="s">
        <v>138</v>
      </c>
      <c r="AE5" s="42" t="s">
        <v>139</v>
      </c>
      <c r="AF5" s="42" t="s">
        <v>140</v>
      </c>
    </row>
    <row r="6">
      <c r="A6" s="18"/>
      <c r="B6" s="42" t="s">
        <v>141</v>
      </c>
      <c r="F6" s="42" t="s">
        <v>142</v>
      </c>
      <c r="K6" s="35"/>
      <c r="L6" s="35" t="s">
        <v>143</v>
      </c>
      <c r="N6" s="35" t="s">
        <v>144</v>
      </c>
      <c r="P6" s="35" t="s">
        <v>145</v>
      </c>
      <c r="R6" s="35" t="s">
        <v>146</v>
      </c>
      <c r="V6" s="35" t="s">
        <v>147</v>
      </c>
      <c r="AA6" s="42" t="s">
        <v>148</v>
      </c>
      <c r="AB6" s="42" t="s">
        <v>149</v>
      </c>
      <c r="AE6" s="42">
        <v>519.2</v>
      </c>
      <c r="AF6" s="42">
        <v>-50.86</v>
      </c>
    </row>
    <row r="7">
      <c r="A7" s="18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150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8"/>
      <c r="B8" s="122" t="s">
        <v>151</v>
      </c>
      <c r="C8" s="123" t="str">
        <f t="shared" ref="C8:C17" si="5">REPLACE(B8,FIND(".",B8),1,",")*1</f>
        <v>#VALUE!</v>
      </c>
      <c r="F8" s="47" t="s">
        <v>152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8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153</v>
      </c>
      <c r="AB8" s="41">
        <f t="shared" si="4"/>
        <v>54</v>
      </c>
      <c r="AE8" s="42">
        <v>396.62</v>
      </c>
      <c r="AF8" s="42">
        <v>77.53</v>
      </c>
    </row>
    <row r="9">
      <c r="A9" s="18"/>
      <c r="B9" s="122" t="s">
        <v>154</v>
      </c>
      <c r="C9" s="123" t="str">
        <f t="shared" si="5"/>
        <v>#VALUE!</v>
      </c>
      <c r="F9" s="47" t="s">
        <v>155</v>
      </c>
      <c r="G9" s="123" t="str">
        <f t="shared" si="6"/>
        <v>#VALUE!</v>
      </c>
      <c r="I9" s="42">
        <v>30.0</v>
      </c>
      <c r="J9" s="42">
        <v>50.0</v>
      </c>
      <c r="K9" s="18"/>
      <c r="L9" s="119" t="s">
        <v>156</v>
      </c>
      <c r="M9" s="119" t="s">
        <v>157</v>
      </c>
      <c r="N9" s="35" t="s">
        <v>158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159</v>
      </c>
      <c r="AB9" s="41">
        <f t="shared" si="4"/>
        <v>81</v>
      </c>
      <c r="AE9" s="42">
        <v>386.95</v>
      </c>
      <c r="AF9" s="42">
        <v>196.62</v>
      </c>
    </row>
    <row r="10">
      <c r="A10" s="18"/>
      <c r="B10" s="124" t="s">
        <v>160</v>
      </c>
      <c r="C10" s="123" t="str">
        <f t="shared" si="5"/>
        <v>#VALUE!</v>
      </c>
      <c r="F10" s="47" t="s">
        <v>161</v>
      </c>
      <c r="G10" s="123" t="str">
        <f t="shared" si="6"/>
        <v>#VALUE!</v>
      </c>
      <c r="I10" s="42">
        <v>20.0</v>
      </c>
      <c r="J10" s="42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162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163</v>
      </c>
      <c r="C11" s="123" t="str">
        <f t="shared" si="5"/>
        <v>#VALUE!</v>
      </c>
      <c r="F11" s="47" t="s">
        <v>164</v>
      </c>
      <c r="G11" s="123" t="str">
        <f t="shared" si="6"/>
        <v>#VALUE!</v>
      </c>
      <c r="I11" s="42">
        <v>20.0</v>
      </c>
      <c r="J11" s="42">
        <v>40.0</v>
      </c>
      <c r="K11" s="18"/>
      <c r="L11" s="28" t="str">
        <f t="shared" si="7"/>
        <v>#VALUE!</v>
      </c>
      <c r="M11" s="18">
        <f t="shared" si="8"/>
        <v>256</v>
      </c>
      <c r="N11" s="41" t="str">
        <f t="shared" si="9"/>
        <v>#VALUE!</v>
      </c>
      <c r="P11" s="121">
        <v>2.0</v>
      </c>
      <c r="AA11" s="42" t="s">
        <v>165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166</v>
      </c>
      <c r="C12" s="123" t="str">
        <f t="shared" si="5"/>
        <v>#VALUE!</v>
      </c>
      <c r="F12" s="47" t="s">
        <v>167</v>
      </c>
      <c r="G12" s="123" t="str">
        <f t="shared" si="6"/>
        <v>#VALUE!</v>
      </c>
      <c r="I12" s="42">
        <v>20.0</v>
      </c>
      <c r="J12" s="42">
        <v>40.0</v>
      </c>
      <c r="K12" s="18"/>
      <c r="L12" s="28" t="str">
        <f t="shared" si="7"/>
        <v>#VALUE!</v>
      </c>
      <c r="M12" s="18">
        <f t="shared" si="8"/>
        <v>128</v>
      </c>
      <c r="N12" s="41" t="str">
        <f t="shared" si="9"/>
        <v>#VALUE!</v>
      </c>
      <c r="P12" s="121">
        <v>1.0</v>
      </c>
      <c r="AA12" s="42" t="s">
        <v>162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168</v>
      </c>
      <c r="C13" s="123" t="str">
        <f t="shared" si="5"/>
        <v>#VALUE!</v>
      </c>
      <c r="F13" s="47" t="s">
        <v>169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8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170</v>
      </c>
      <c r="T13" s="84" t="s">
        <v>171</v>
      </c>
      <c r="U13" s="84" t="s">
        <v>172</v>
      </c>
      <c r="AA13" s="42" t="s">
        <v>173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174</v>
      </c>
      <c r="C14" s="123" t="str">
        <f t="shared" si="5"/>
        <v>#VALUE!</v>
      </c>
      <c r="F14" s="47" t="s">
        <v>175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8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176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177</v>
      </c>
      <c r="C15" s="123" t="str">
        <f t="shared" si="5"/>
        <v>#VALUE!</v>
      </c>
      <c r="F15" s="47" t="s">
        <v>178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8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179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180</v>
      </c>
      <c r="C16" s="123" t="str">
        <f t="shared" si="5"/>
        <v>#VALUE!</v>
      </c>
      <c r="F16" s="47" t="s">
        <v>181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8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182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183</v>
      </c>
      <c r="C17" s="123" t="str">
        <f t="shared" si="5"/>
        <v>#VALUE!</v>
      </c>
      <c r="F17" s="47" t="s">
        <v>184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8">
        <f t="shared" si="8"/>
        <v>4</v>
      </c>
      <c r="N17" s="41" t="str">
        <f t="shared" si="9"/>
        <v>#VALUE!</v>
      </c>
      <c r="P17" s="121">
        <v>1.0</v>
      </c>
      <c r="R17" s="84" t="s">
        <v>185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186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8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5" t="s">
        <v>187</v>
      </c>
      <c r="C19" s="41" t="str">
        <f>AVERAGE(C8:C17)</f>
        <v>#VALUE!</v>
      </c>
      <c r="F19" s="47" t="s">
        <v>188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8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189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190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191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170</v>
      </c>
      <c r="T21" s="84" t="s">
        <v>171</v>
      </c>
      <c r="U21" s="84" t="s">
        <v>172</v>
      </c>
      <c r="AE21" s="42">
        <v>146.62</v>
      </c>
      <c r="AF21" s="42">
        <v>74.55</v>
      </c>
    </row>
    <row r="22">
      <c r="C22" s="123"/>
      <c r="F22" s="47" t="s">
        <v>192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193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194</v>
      </c>
      <c r="G25" s="123" t="str">
        <f t="shared" si="6"/>
        <v>#VALUE!</v>
      </c>
      <c r="I25" s="42">
        <v>10.0</v>
      </c>
      <c r="P25" s="121">
        <v>1.0</v>
      </c>
      <c r="R25" s="84" t="s">
        <v>185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195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196</v>
      </c>
      <c r="AB28" s="42" t="s">
        <v>197</v>
      </c>
      <c r="AC28" s="42" t="s">
        <v>197</v>
      </c>
      <c r="AE28" s="42">
        <v>106.73</v>
      </c>
      <c r="AF28" s="42">
        <v>-68.34</v>
      </c>
    </row>
    <row r="29">
      <c r="F29" s="35" t="s">
        <v>187</v>
      </c>
      <c r="G29" s="41" t="str">
        <f>AVERAGE(G8:G27)</f>
        <v>#VALUE!</v>
      </c>
      <c r="H29" s="35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198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199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5" t="s">
        <v>200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5" t="s">
        <v>42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3.991363636</v>
      </c>
      <c r="G37" s="35" t="s">
        <v>41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5" t="s">
        <v>32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201</v>
      </c>
      <c r="D39" s="123">
        <f t="shared" ref="D39:D221" si="17">IF(COUNTA(C39)=1,C39/1,"")</f>
        <v>1.87</v>
      </c>
      <c r="G39" s="35" t="s">
        <v>33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202</v>
      </c>
      <c r="D40" s="123">
        <f t="shared" si="17"/>
        <v>2.17</v>
      </c>
      <c r="G40" s="35" t="s">
        <v>29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203</v>
      </c>
      <c r="D41" s="123">
        <f t="shared" si="17"/>
        <v>0.14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204</v>
      </c>
      <c r="D42" s="123">
        <f t="shared" si="17"/>
        <v>6.52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205</v>
      </c>
      <c r="D43" s="123">
        <f t="shared" si="17"/>
        <v>0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206</v>
      </c>
      <c r="D44" s="123">
        <f t="shared" si="17"/>
        <v>2.79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207</v>
      </c>
      <c r="D45" s="123">
        <f t="shared" si="17"/>
        <v>0.02</v>
      </c>
      <c r="P45" s="121">
        <v>1.0</v>
      </c>
      <c r="AE45" s="42">
        <v>69.71</v>
      </c>
      <c r="AF45" s="42">
        <v>-64.4</v>
      </c>
    </row>
    <row r="46">
      <c r="C46" s="134" t="s">
        <v>208</v>
      </c>
      <c r="D46" s="123">
        <f t="shared" si="17"/>
        <v>2.67</v>
      </c>
      <c r="G46" s="95" t="s">
        <v>209</v>
      </c>
      <c r="H46" s="95" t="s">
        <v>210</v>
      </c>
      <c r="P46" s="121">
        <v>0.0</v>
      </c>
      <c r="AE46" s="42">
        <v>69.63</v>
      </c>
      <c r="AF46" s="42">
        <v>-60.86</v>
      </c>
    </row>
    <row r="47">
      <c r="C47" s="134" t="s">
        <v>211</v>
      </c>
      <c r="D47" s="123">
        <f t="shared" si="17"/>
        <v>2.49</v>
      </c>
      <c r="G47" s="100" t="s">
        <v>42</v>
      </c>
      <c r="H47" s="135">
        <v>0.376453591155815</v>
      </c>
      <c r="P47" s="121">
        <v>2.0</v>
      </c>
      <c r="AA47" s="42" t="s">
        <v>3</v>
      </c>
      <c r="AB47" s="42" t="s">
        <v>197</v>
      </c>
      <c r="AE47" s="42">
        <v>67.98</v>
      </c>
      <c r="AF47" s="42">
        <v>104.85</v>
      </c>
    </row>
    <row r="48">
      <c r="C48" s="134" t="s">
        <v>212</v>
      </c>
      <c r="D48" s="123">
        <f t="shared" si="17"/>
        <v>2.75</v>
      </c>
      <c r="G48" s="100" t="s">
        <v>41</v>
      </c>
      <c r="H48" s="135">
        <v>0.36678739680281</v>
      </c>
      <c r="J48" s="42" t="s">
        <v>213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214</v>
      </c>
      <c r="D49" s="123">
        <f t="shared" si="17"/>
        <v>1.83</v>
      </c>
      <c r="G49" s="100" t="s">
        <v>32</v>
      </c>
      <c r="H49" s="135">
        <v>0.142870351877935</v>
      </c>
      <c r="J49" s="42" t="s">
        <v>215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214</v>
      </c>
      <c r="D50" s="123">
        <f t="shared" si="17"/>
        <v>1.83</v>
      </c>
      <c r="G50" s="100" t="s">
        <v>33</v>
      </c>
      <c r="H50" s="135">
        <v>0.497437843674554</v>
      </c>
      <c r="J50" s="42" t="s">
        <v>216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217</v>
      </c>
      <c r="D51" s="123">
        <f t="shared" si="17"/>
        <v>7.09</v>
      </c>
      <c r="G51" s="100" t="s">
        <v>29</v>
      </c>
      <c r="H51" s="135">
        <v>0.247446036291655</v>
      </c>
      <c r="J51" s="42" t="s">
        <v>218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183</v>
      </c>
      <c r="D52" s="123">
        <f t="shared" si="17"/>
        <v>2.8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219</v>
      </c>
      <c r="D53" s="123">
        <f t="shared" si="17"/>
        <v>0.94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220</v>
      </c>
      <c r="D54" s="123">
        <f t="shared" si="17"/>
        <v>4.28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221</v>
      </c>
      <c r="D55" s="123">
        <f t="shared" si="17"/>
        <v>6.54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222</v>
      </c>
      <c r="D56" s="123">
        <f t="shared" si="17"/>
        <v>0.74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223</v>
      </c>
      <c r="D57" s="123">
        <f t="shared" si="17"/>
        <v>5.39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224</v>
      </c>
      <c r="D58" s="123">
        <f t="shared" si="17"/>
        <v>3.55</v>
      </c>
      <c r="G58" s="136" t="s">
        <v>225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226</v>
      </c>
      <c r="D59" s="123">
        <f t="shared" si="17"/>
        <v>3.94</v>
      </c>
      <c r="G59" s="137"/>
      <c r="H59" s="138" t="s">
        <v>227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228</v>
      </c>
      <c r="D60" s="123">
        <f t="shared" si="17"/>
        <v>3.95</v>
      </c>
      <c r="G60" s="137"/>
      <c r="H60" s="138" t="s">
        <v>229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230</v>
      </c>
      <c r="D61" s="123">
        <f t="shared" si="17"/>
        <v>8.55</v>
      </c>
      <c r="G61" s="137"/>
      <c r="H61" s="138" t="s">
        <v>231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232</v>
      </c>
      <c r="D62" s="123">
        <f t="shared" si="17"/>
        <v>4.12</v>
      </c>
      <c r="G62" s="137"/>
      <c r="H62" s="138" t="s">
        <v>233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234</v>
      </c>
      <c r="D63" s="123">
        <f t="shared" si="17"/>
        <v>7.78</v>
      </c>
      <c r="G63" s="137"/>
      <c r="H63" s="138" t="s">
        <v>235</v>
      </c>
      <c r="P63" s="121">
        <v>0.0</v>
      </c>
      <c r="AE63" s="42">
        <v>43.45</v>
      </c>
      <c r="AF63" s="42">
        <v>-44.18</v>
      </c>
    </row>
    <row r="64">
      <c r="C64" s="134" t="s">
        <v>208</v>
      </c>
      <c r="D64" s="123">
        <f t="shared" si="17"/>
        <v>2.67</v>
      </c>
      <c r="P64" s="121">
        <v>1.0</v>
      </c>
      <c r="AE64" s="42">
        <v>43.36</v>
      </c>
      <c r="AF64" s="42">
        <v>-27.6</v>
      </c>
    </row>
    <row r="65">
      <c r="C65" s="134" t="s">
        <v>202</v>
      </c>
      <c r="D65" s="123">
        <f t="shared" si="17"/>
        <v>2.17</v>
      </c>
      <c r="P65" s="121">
        <v>2.0</v>
      </c>
      <c r="AE65" s="42">
        <v>42.74</v>
      </c>
      <c r="AF65" s="42">
        <v>-59.18</v>
      </c>
    </row>
    <row r="66">
      <c r="C66" s="134" t="s">
        <v>236</v>
      </c>
      <c r="D66" s="123">
        <f t="shared" si="17"/>
        <v>2.32</v>
      </c>
      <c r="P66" s="121">
        <v>0.0</v>
      </c>
      <c r="AE66" s="42">
        <v>42.18</v>
      </c>
      <c r="AF66" s="42">
        <v>-37.16</v>
      </c>
    </row>
    <row r="67">
      <c r="C67" s="134" t="s">
        <v>237</v>
      </c>
      <c r="D67" s="123">
        <f t="shared" si="17"/>
        <v>1.23</v>
      </c>
      <c r="P67" s="121">
        <v>0.0</v>
      </c>
      <c r="AE67" s="42">
        <v>40.68</v>
      </c>
      <c r="AF67" s="42">
        <v>223.42</v>
      </c>
    </row>
    <row r="68">
      <c r="C68" s="134" t="s">
        <v>238</v>
      </c>
      <c r="D68" s="123">
        <f t="shared" si="17"/>
        <v>0.32</v>
      </c>
      <c r="P68" s="121">
        <v>1.0</v>
      </c>
      <c r="AE68" s="42">
        <v>39.22</v>
      </c>
      <c r="AF68" s="42">
        <v>-20.09</v>
      </c>
    </row>
    <row r="69">
      <c r="C69" s="134" t="s">
        <v>239</v>
      </c>
      <c r="D69" s="123">
        <f t="shared" si="17"/>
        <v>7.49</v>
      </c>
      <c r="P69" s="121">
        <v>2.0</v>
      </c>
      <c r="AE69" s="42">
        <v>38.29</v>
      </c>
      <c r="AF69" s="42">
        <v>-64.28</v>
      </c>
    </row>
    <row r="70">
      <c r="C70" s="134" t="s">
        <v>240</v>
      </c>
      <c r="D70" s="123">
        <f t="shared" si="17"/>
        <v>7.07</v>
      </c>
      <c r="P70" s="121">
        <v>1.0</v>
      </c>
      <c r="AE70" s="42">
        <v>37.04</v>
      </c>
      <c r="AF70" s="42">
        <v>-46.65</v>
      </c>
    </row>
    <row r="71">
      <c r="C71" s="134" t="s">
        <v>241</v>
      </c>
      <c r="D71" s="123">
        <f t="shared" si="17"/>
        <v>4.67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242</v>
      </c>
      <c r="D72" s="123">
        <f t="shared" si="17"/>
        <v>3.28</v>
      </c>
      <c r="P72" s="121">
        <v>0.0</v>
      </c>
      <c r="AE72" s="42">
        <v>34.32</v>
      </c>
      <c r="AF72" s="42">
        <v>-73.73</v>
      </c>
    </row>
    <row r="73">
      <c r="C73" s="134" t="s">
        <v>243</v>
      </c>
      <c r="D73" s="123">
        <f t="shared" si="17"/>
        <v>7.29</v>
      </c>
      <c r="P73" s="121">
        <v>1.0</v>
      </c>
      <c r="AE73" s="42">
        <v>34.22</v>
      </c>
      <c r="AF73" s="42">
        <v>-18.66</v>
      </c>
    </row>
    <row r="74">
      <c r="C74" s="134" t="s">
        <v>244</v>
      </c>
      <c r="D74" s="123">
        <f t="shared" si="17"/>
        <v>5.59</v>
      </c>
      <c r="P74" s="121">
        <v>0.0</v>
      </c>
      <c r="AE74" s="42">
        <v>33.52</v>
      </c>
      <c r="AF74" s="42">
        <v>-40.62</v>
      </c>
    </row>
    <row r="75">
      <c r="C75" s="134" t="s">
        <v>245</v>
      </c>
      <c r="D75" s="123">
        <f t="shared" si="17"/>
        <v>2.34</v>
      </c>
      <c r="P75" s="121">
        <v>1.0</v>
      </c>
      <c r="AE75" s="42">
        <v>33.35</v>
      </c>
      <c r="AF75" s="42">
        <v>-47.6</v>
      </c>
    </row>
    <row r="76">
      <c r="C76" s="134" t="s">
        <v>246</v>
      </c>
      <c r="D76" s="123">
        <f t="shared" si="17"/>
        <v>5.12</v>
      </c>
      <c r="P76" s="121">
        <v>0.0</v>
      </c>
      <c r="AE76" s="42">
        <v>32.76</v>
      </c>
      <c r="AF76" s="42">
        <v>-24.49</v>
      </c>
    </row>
    <row r="77">
      <c r="C77" s="134" t="s">
        <v>247</v>
      </c>
      <c r="D77" s="123">
        <f t="shared" si="17"/>
        <v>6.01</v>
      </c>
      <c r="P77" s="121">
        <v>0.0</v>
      </c>
      <c r="AE77" s="42">
        <v>31.4</v>
      </c>
      <c r="AF77" s="42">
        <v>-35.28</v>
      </c>
    </row>
    <row r="78">
      <c r="C78" s="134" t="s">
        <v>248</v>
      </c>
      <c r="D78" s="123">
        <f t="shared" si="17"/>
        <v>5.91</v>
      </c>
      <c r="P78" s="121">
        <v>1.0</v>
      </c>
      <c r="AE78" s="42">
        <v>30.17</v>
      </c>
      <c r="AF78" s="42">
        <v>-70.08</v>
      </c>
    </row>
    <row r="79">
      <c r="C79" s="134" t="s">
        <v>249</v>
      </c>
      <c r="D79" s="123">
        <f t="shared" si="17"/>
        <v>5.55</v>
      </c>
      <c r="P79" s="121">
        <v>2.0</v>
      </c>
      <c r="AE79" s="42">
        <v>29.4</v>
      </c>
      <c r="AF79" s="42">
        <v>-10.36</v>
      </c>
    </row>
    <row r="80">
      <c r="C80" s="134" t="s">
        <v>250</v>
      </c>
      <c r="D80" s="123">
        <f t="shared" si="17"/>
        <v>5.36</v>
      </c>
      <c r="P80" s="121">
        <v>1.0</v>
      </c>
      <c r="AE80" s="42">
        <v>28.21</v>
      </c>
      <c r="AF80" s="42">
        <v>-31.91</v>
      </c>
    </row>
    <row r="81">
      <c r="C81" s="134" t="s">
        <v>251</v>
      </c>
      <c r="D81" s="123">
        <f t="shared" si="17"/>
        <v>0.17</v>
      </c>
      <c r="P81" s="121">
        <v>2.0</v>
      </c>
      <c r="AE81" s="42">
        <v>26.36</v>
      </c>
      <c r="AF81" s="42">
        <v>-55.82</v>
      </c>
    </row>
    <row r="82">
      <c r="C82" s="134" t="s">
        <v>252</v>
      </c>
      <c r="D82" s="123">
        <f t="shared" si="17"/>
        <v>2.44</v>
      </c>
      <c r="P82" s="121">
        <v>1.0</v>
      </c>
      <c r="AE82" s="42">
        <v>25.78</v>
      </c>
      <c r="AF82" s="42">
        <v>9.54</v>
      </c>
    </row>
    <row r="83">
      <c r="C83" s="134" t="s">
        <v>253</v>
      </c>
      <c r="D83" s="123">
        <f t="shared" si="17"/>
        <v>2.77</v>
      </c>
      <c r="P83" s="121">
        <v>0.0</v>
      </c>
      <c r="AE83" s="42">
        <v>23.92</v>
      </c>
      <c r="AF83" s="42">
        <v>40.59</v>
      </c>
    </row>
    <row r="84">
      <c r="C84" s="134" t="s">
        <v>254</v>
      </c>
      <c r="D84" s="123">
        <f t="shared" si="17"/>
        <v>2.53</v>
      </c>
      <c r="P84" s="121">
        <v>1.0</v>
      </c>
      <c r="AE84" s="42">
        <v>22.79</v>
      </c>
      <c r="AF84" s="42">
        <v>-71.84</v>
      </c>
    </row>
    <row r="85">
      <c r="C85" s="134" t="s">
        <v>255</v>
      </c>
      <c r="D85" s="123">
        <f t="shared" si="17"/>
        <v>2.98</v>
      </c>
      <c r="P85" s="121">
        <v>0.0</v>
      </c>
      <c r="AE85" s="42">
        <v>21.0</v>
      </c>
      <c r="AF85" s="42">
        <v>-59.22</v>
      </c>
    </row>
    <row r="86">
      <c r="C86" s="134" t="s">
        <v>256</v>
      </c>
      <c r="D86" s="123">
        <f t="shared" si="17"/>
        <v>1.35</v>
      </c>
      <c r="P86" s="121">
        <v>0.0</v>
      </c>
      <c r="AE86" s="42">
        <v>20.94</v>
      </c>
      <c r="AF86" s="42">
        <v>-71.78</v>
      </c>
    </row>
    <row r="87">
      <c r="C87" s="134" t="s">
        <v>257</v>
      </c>
      <c r="D87" s="123">
        <f t="shared" si="17"/>
        <v>2.29</v>
      </c>
      <c r="P87" s="121">
        <v>1.0</v>
      </c>
      <c r="AE87" s="42">
        <v>20.55</v>
      </c>
      <c r="AF87" s="42">
        <v>-77.85</v>
      </c>
    </row>
    <row r="88">
      <c r="C88" s="134" t="s">
        <v>258</v>
      </c>
      <c r="D88" s="123">
        <f t="shared" si="17"/>
        <v>1.41</v>
      </c>
      <c r="P88" s="121">
        <v>2.0</v>
      </c>
      <c r="AE88" s="42">
        <v>17.74</v>
      </c>
      <c r="AF88" s="42">
        <v>13.18</v>
      </c>
    </row>
    <row r="89">
      <c r="C89" s="134" t="s">
        <v>259</v>
      </c>
      <c r="D89" s="123">
        <f t="shared" si="17"/>
        <v>3.19</v>
      </c>
      <c r="P89" s="121">
        <v>2.0</v>
      </c>
      <c r="AE89" s="42">
        <v>17.33</v>
      </c>
      <c r="AF89" s="42">
        <v>16.81</v>
      </c>
    </row>
    <row r="90">
      <c r="C90" s="134" t="s">
        <v>260</v>
      </c>
      <c r="D90" s="123">
        <f t="shared" si="17"/>
        <v>1.9</v>
      </c>
      <c r="P90" s="121">
        <v>1.0</v>
      </c>
      <c r="AE90" s="42">
        <v>16.85</v>
      </c>
      <c r="AF90" s="42">
        <v>-50.81</v>
      </c>
    </row>
    <row r="91">
      <c r="C91" s="134" t="s">
        <v>261</v>
      </c>
      <c r="D91" s="123">
        <f t="shared" si="17"/>
        <v>1.98</v>
      </c>
      <c r="P91" s="121">
        <v>1.0</v>
      </c>
      <c r="AE91" s="42">
        <v>16.11</v>
      </c>
      <c r="AF91" s="42">
        <v>-52.86</v>
      </c>
    </row>
    <row r="92">
      <c r="C92" s="134" t="s">
        <v>262</v>
      </c>
      <c r="D92" s="123">
        <f t="shared" si="17"/>
        <v>1.69</v>
      </c>
      <c r="P92" s="121">
        <v>2.0</v>
      </c>
      <c r="AE92" s="42">
        <v>16.08</v>
      </c>
      <c r="AF92" s="42">
        <v>80.01</v>
      </c>
    </row>
    <row r="93">
      <c r="C93" s="134" t="s">
        <v>263</v>
      </c>
      <c r="D93" s="123">
        <f t="shared" si="17"/>
        <v>3.03</v>
      </c>
      <c r="P93" s="121">
        <v>0.0</v>
      </c>
      <c r="AE93" s="42">
        <v>15.84</v>
      </c>
      <c r="AF93" s="42">
        <v>-77.3</v>
      </c>
    </row>
    <row r="94">
      <c r="C94" s="134" t="s">
        <v>264</v>
      </c>
      <c r="D94" s="123">
        <f t="shared" si="17"/>
        <v>4.89</v>
      </c>
      <c r="P94" s="121">
        <v>0.0</v>
      </c>
      <c r="AE94" s="42">
        <v>14.26</v>
      </c>
      <c r="AF94" s="42">
        <v>40.11</v>
      </c>
    </row>
    <row r="95">
      <c r="C95" s="134" t="s">
        <v>265</v>
      </c>
      <c r="D95" s="123">
        <f t="shared" si="17"/>
        <v>5.69</v>
      </c>
      <c r="P95" s="121">
        <v>1.0</v>
      </c>
      <c r="AE95" s="42">
        <v>14.03</v>
      </c>
      <c r="AF95" s="42">
        <v>-4.79</v>
      </c>
    </row>
    <row r="96">
      <c r="C96" s="134" t="s">
        <v>266</v>
      </c>
      <c r="D96" s="123">
        <f t="shared" si="17"/>
        <v>8.18</v>
      </c>
      <c r="P96" s="121">
        <v>2.0</v>
      </c>
      <c r="AE96" s="42">
        <v>12.81</v>
      </c>
      <c r="AF96" s="42">
        <v>18.57</v>
      </c>
    </row>
    <row r="97">
      <c r="C97" s="134" t="s">
        <v>267</v>
      </c>
      <c r="D97" s="123">
        <f t="shared" si="17"/>
        <v>6.94</v>
      </c>
      <c r="P97" s="121">
        <v>0.0</v>
      </c>
      <c r="AE97" s="42">
        <v>12.67</v>
      </c>
      <c r="AF97" s="42">
        <v>-30.26</v>
      </c>
    </row>
    <row r="98">
      <c r="C98" s="134" t="s">
        <v>268</v>
      </c>
      <c r="D98" s="123">
        <f t="shared" si="17"/>
        <v>6.57</v>
      </c>
      <c r="P98" s="121">
        <v>2.0</v>
      </c>
      <c r="AE98" s="42">
        <v>12.56</v>
      </c>
      <c r="AF98" s="42">
        <v>-41.83</v>
      </c>
    </row>
    <row r="99">
      <c r="C99" s="134" t="s">
        <v>269</v>
      </c>
      <c r="D99" s="123">
        <f t="shared" si="17"/>
        <v>9.63</v>
      </c>
      <c r="P99" s="121">
        <v>2.0</v>
      </c>
      <c r="AE99" s="42">
        <v>12.05</v>
      </c>
      <c r="AF99" s="42">
        <v>-26.54</v>
      </c>
    </row>
    <row r="100">
      <c r="C100" s="134" t="s">
        <v>270</v>
      </c>
      <c r="D100" s="123">
        <f t="shared" si="17"/>
        <v>8.72</v>
      </c>
      <c r="P100" s="121">
        <v>2.0</v>
      </c>
      <c r="AE100" s="42">
        <v>11.89</v>
      </c>
      <c r="AF100" s="42">
        <v>165.95</v>
      </c>
    </row>
    <row r="101">
      <c r="C101" s="134" t="s">
        <v>271</v>
      </c>
      <c r="D101" s="123">
        <f t="shared" si="17"/>
        <v>8.58</v>
      </c>
      <c r="P101" s="121">
        <v>2.0</v>
      </c>
      <c r="AE101" s="42">
        <v>11.24</v>
      </c>
      <c r="AF101" s="42">
        <v>-30.28</v>
      </c>
    </row>
    <row r="102">
      <c r="C102" s="134" t="s">
        <v>272</v>
      </c>
      <c r="D102" s="123">
        <f t="shared" si="17"/>
        <v>7</v>
      </c>
      <c r="P102" s="121">
        <v>2.0</v>
      </c>
      <c r="AE102" s="42">
        <v>10.65</v>
      </c>
      <c r="AF102" s="42">
        <v>-65.29</v>
      </c>
    </row>
    <row r="103">
      <c r="C103" s="134" t="s">
        <v>273</v>
      </c>
      <c r="D103" s="123">
        <f t="shared" si="17"/>
        <v>7.33</v>
      </c>
      <c r="P103" s="121">
        <v>1.0</v>
      </c>
      <c r="AE103" s="42">
        <v>10.35</v>
      </c>
      <c r="AF103" s="42">
        <v>70.73</v>
      </c>
    </row>
    <row r="104">
      <c r="C104" s="134" t="s">
        <v>274</v>
      </c>
      <c r="D104" s="123">
        <f t="shared" si="17"/>
        <v>3.85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243</v>
      </c>
      <c r="D105" s="123">
        <f t="shared" si="17"/>
        <v>7.29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275</v>
      </c>
      <c r="D106" s="123">
        <f t="shared" si="17"/>
        <v>7.54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276</v>
      </c>
      <c r="D107" s="123">
        <f t="shared" si="17"/>
        <v>3.77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277</v>
      </c>
      <c r="D108" s="123">
        <f t="shared" si="17"/>
        <v>1.5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278</v>
      </c>
      <c r="D109" s="123">
        <f t="shared" si="17"/>
        <v>5.24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279</v>
      </c>
      <c r="D110" s="123">
        <f t="shared" si="17"/>
        <v>4.41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280</v>
      </c>
      <c r="D111" s="123">
        <f t="shared" si="17"/>
        <v>1.76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281</v>
      </c>
      <c r="D112" s="123">
        <f t="shared" si="17"/>
        <v>4.52</v>
      </c>
      <c r="P112" s="121">
        <v>1.0</v>
      </c>
      <c r="AE112" s="42">
        <v>4.34</v>
      </c>
      <c r="AF112" s="42">
        <v>-29.66</v>
      </c>
    </row>
    <row r="113">
      <c r="C113" s="134" t="s">
        <v>282</v>
      </c>
      <c r="D113" s="123">
        <f t="shared" si="17"/>
        <v>4.8</v>
      </c>
      <c r="P113" s="121">
        <v>0.0</v>
      </c>
      <c r="AE113" s="42">
        <v>3.56</v>
      </c>
      <c r="AF113" s="42">
        <v>-31.38</v>
      </c>
    </row>
    <row r="114">
      <c r="C114" s="134" t="s">
        <v>283</v>
      </c>
      <c r="D114" s="123">
        <f t="shared" si="17"/>
        <v>1.81</v>
      </c>
      <c r="P114" s="121">
        <v>1.0</v>
      </c>
      <c r="AE114" s="42">
        <v>3.15</v>
      </c>
      <c r="AF114" s="42">
        <v>21.65</v>
      </c>
    </row>
    <row r="115">
      <c r="C115" s="134" t="s">
        <v>284</v>
      </c>
      <c r="D115" s="123">
        <f t="shared" si="17"/>
        <v>5.04</v>
      </c>
      <c r="P115" s="121">
        <v>1.0</v>
      </c>
      <c r="AE115" s="42">
        <v>3.11</v>
      </c>
      <c r="AF115" s="42">
        <v>-34.68</v>
      </c>
    </row>
    <row r="116">
      <c r="C116" s="134" t="s">
        <v>285</v>
      </c>
      <c r="D116" s="123">
        <f t="shared" si="17"/>
        <v>8.91</v>
      </c>
      <c r="P116" s="121">
        <v>1.0</v>
      </c>
      <c r="AE116" s="42">
        <v>1.32</v>
      </c>
      <c r="AF116" s="42">
        <v>25.47</v>
      </c>
    </row>
    <row r="117">
      <c r="C117" s="134" t="s">
        <v>286</v>
      </c>
      <c r="D117" s="123">
        <f t="shared" si="17"/>
        <v>4.02</v>
      </c>
      <c r="P117" s="141"/>
      <c r="AE117" s="42">
        <v>0.88</v>
      </c>
      <c r="AF117" s="42">
        <v>-52.33</v>
      </c>
    </row>
    <row r="118">
      <c r="C118" s="134" t="s">
        <v>287</v>
      </c>
      <c r="D118" s="123">
        <f t="shared" si="17"/>
        <v>9.05</v>
      </c>
      <c r="P118" s="141"/>
      <c r="AE118" s="42">
        <v>0.4</v>
      </c>
      <c r="AF118" s="42">
        <v>-16.42</v>
      </c>
    </row>
    <row r="119">
      <c r="C119" s="134" t="s">
        <v>166</v>
      </c>
      <c r="D119" s="123">
        <f t="shared" si="17"/>
        <v>3.65</v>
      </c>
      <c r="P119" s="141"/>
      <c r="AE119" s="42">
        <v>0.22</v>
      </c>
      <c r="AF119" s="42">
        <v>22.39</v>
      </c>
    </row>
    <row r="120">
      <c r="C120" s="134" t="s">
        <v>288</v>
      </c>
      <c r="D120" s="123">
        <f t="shared" si="17"/>
        <v>0.07</v>
      </c>
      <c r="P120" s="141"/>
      <c r="AE120" s="42">
        <v>0.13</v>
      </c>
      <c r="AF120" s="42">
        <v>-16.88</v>
      </c>
    </row>
    <row r="121">
      <c r="C121" s="134" t="s">
        <v>289</v>
      </c>
      <c r="D121" s="123">
        <f t="shared" si="17"/>
        <v>2.99</v>
      </c>
      <c r="P121" s="141"/>
      <c r="AE121" s="42">
        <v>-0.43</v>
      </c>
      <c r="AF121" s="42">
        <v>48.74</v>
      </c>
    </row>
    <row r="122">
      <c r="C122" s="134" t="s">
        <v>290</v>
      </c>
      <c r="D122" s="123">
        <f t="shared" si="17"/>
        <v>2.4</v>
      </c>
      <c r="P122" s="141"/>
      <c r="AE122" s="42">
        <v>-0.45</v>
      </c>
      <c r="AF122" s="42">
        <v>4.32</v>
      </c>
    </row>
    <row r="123">
      <c r="C123" s="134" t="s">
        <v>291</v>
      </c>
      <c r="D123" s="123">
        <f t="shared" si="17"/>
        <v>3</v>
      </c>
      <c r="P123" s="141"/>
      <c r="AE123" s="42">
        <v>-1.63</v>
      </c>
      <c r="AF123" s="42">
        <v>-35.85</v>
      </c>
    </row>
    <row r="124">
      <c r="C124" s="134" t="s">
        <v>292</v>
      </c>
      <c r="D124" s="123">
        <f t="shared" si="17"/>
        <v>2.97</v>
      </c>
      <c r="P124" s="141"/>
      <c r="AE124" s="42">
        <v>-1.73</v>
      </c>
      <c r="AF124" s="42">
        <v>-38.06</v>
      </c>
    </row>
    <row r="125">
      <c r="C125" s="134" t="s">
        <v>293</v>
      </c>
      <c r="D125" s="123">
        <f t="shared" si="17"/>
        <v>0.35</v>
      </c>
      <c r="P125" s="141"/>
      <c r="AE125" s="42">
        <v>-2.37</v>
      </c>
      <c r="AF125" s="42">
        <v>-50.44</v>
      </c>
    </row>
    <row r="126">
      <c r="C126" s="134" t="s">
        <v>260</v>
      </c>
      <c r="D126" s="123">
        <f t="shared" si="17"/>
        <v>1.9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294</v>
      </c>
      <c r="C1" s="145"/>
      <c r="D1" s="145"/>
      <c r="E1" s="145"/>
      <c r="F1" s="145"/>
      <c r="G1" s="146" t="s">
        <v>295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296</v>
      </c>
      <c r="C2" s="149" t="s">
        <v>297</v>
      </c>
      <c r="D2" s="149" t="s">
        <v>197</v>
      </c>
      <c r="E2" s="149" t="s">
        <v>298</v>
      </c>
      <c r="F2" s="150" t="s">
        <v>299</v>
      </c>
      <c r="G2" s="148">
        <v>1.0</v>
      </c>
      <c r="H2" s="149" t="s">
        <v>149</v>
      </c>
      <c r="I2" s="149">
        <v>2.0</v>
      </c>
      <c r="J2" s="149" t="s">
        <v>300</v>
      </c>
      <c r="K2" s="151" t="s">
        <v>301</v>
      </c>
      <c r="L2" s="149" t="s">
        <v>302</v>
      </c>
      <c r="M2" s="152" t="s">
        <v>303</v>
      </c>
      <c r="N2" s="100" t="s">
        <v>304</v>
      </c>
      <c r="O2" s="100" t="s">
        <v>305</v>
      </c>
      <c r="P2" s="100" t="s">
        <v>306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8"/>
      <c r="B20" s="16"/>
      <c r="C20" s="16"/>
      <c r="D20" s="16"/>
      <c r="E20" s="16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8"/>
      <c r="B21" s="16"/>
      <c r="C21" s="16"/>
      <c r="D21" s="16"/>
      <c r="E21" s="16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4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189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307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149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4" t="s">
        <v>308</v>
      </c>
      <c r="E29" s="4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309</v>
      </c>
      <c r="M29" s="94" t="s">
        <v>310</v>
      </c>
      <c r="O29" s="4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4">
        <v>0.0</v>
      </c>
      <c r="M30" s="4">
        <v>2.0</v>
      </c>
      <c r="O30" s="4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4">
        <v>2.0</v>
      </c>
      <c r="M31" s="4">
        <v>2.0</v>
      </c>
      <c r="O31" s="4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4">
        <v>2.0</v>
      </c>
      <c r="M32" s="4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311</v>
      </c>
      <c r="J33" s="9"/>
      <c r="K33" s="9"/>
      <c r="L33" s="4">
        <v>2.0</v>
      </c>
      <c r="M33" s="4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149</v>
      </c>
      <c r="I34" s="169">
        <v>2.0</v>
      </c>
      <c r="J34" s="9"/>
      <c r="K34" s="9"/>
      <c r="L34" s="4">
        <v>0.0</v>
      </c>
      <c r="M34" s="4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4">
        <v>2.0</v>
      </c>
      <c r="M35" s="4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4">
        <v>2.0</v>
      </c>
      <c r="M36" s="4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4">
        <v>2.0</v>
      </c>
      <c r="M37" s="4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4" t="s">
        <v>312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4">
        <v>1.0</v>
      </c>
      <c r="M38" s="4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4">
        <v>1.0</v>
      </c>
      <c r="M39" s="4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4">
        <v>1.0</v>
      </c>
      <c r="M40" s="4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4">
        <v>1.0</v>
      </c>
      <c r="M41" s="4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4">
        <v>0.0</v>
      </c>
      <c r="M42" s="4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4">
        <v>1.0</v>
      </c>
      <c r="M43" s="4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4">
        <v>2.0</v>
      </c>
      <c r="M44" s="4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4">
        <v>2.0</v>
      </c>
      <c r="M45" s="4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4">
        <v>1.0</v>
      </c>
      <c r="M46" s="4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4">
        <v>1.0</v>
      </c>
      <c r="M47" s="4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4">
        <v>2.0</v>
      </c>
      <c r="M48" s="4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4">
        <v>1.0</v>
      </c>
      <c r="M49" s="4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4">
        <v>2.0</v>
      </c>
      <c r="M50" s="4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>
        <v>0.0</v>
      </c>
      <c r="M51" s="4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4">
        <v>2.0</v>
      </c>
      <c r="M52" s="4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4">
        <v>1.0</v>
      </c>
      <c r="M53" s="4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4">
        <v>2.0</v>
      </c>
      <c r="M54" s="4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4">
        <v>2.0</v>
      </c>
      <c r="M55" s="4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4">
        <v>1.0</v>
      </c>
      <c r="M56" s="4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4">
        <v>2.0</v>
      </c>
      <c r="M57" s="4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4">
        <v>1.0</v>
      </c>
      <c r="M58" s="4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4">
        <v>0.0</v>
      </c>
      <c r="M59" s="4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4">
        <v>2.0</v>
      </c>
      <c r="M60" s="4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4">
        <v>0.0</v>
      </c>
      <c r="M61" s="4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4">
        <v>2.0</v>
      </c>
      <c r="M62" s="4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4">
        <v>0.0</v>
      </c>
      <c r="M63" s="4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4">
        <v>0.0</v>
      </c>
      <c r="M64" s="4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4">
        <v>0.0</v>
      </c>
      <c r="M65" s="4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4">
        <v>0.0</v>
      </c>
      <c r="M66" s="4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4">
        <v>1.0</v>
      </c>
      <c r="M67" s="4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4">
        <v>2.0</v>
      </c>
      <c r="M68" s="4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4">
        <v>1.0</v>
      </c>
      <c r="M69" s="4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4">
        <v>2.0</v>
      </c>
      <c r="M70" s="4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4">
        <v>1.0</v>
      </c>
      <c r="M71" s="4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4">
        <v>2.0</v>
      </c>
      <c r="M72" s="4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4">
        <v>1.0</v>
      </c>
      <c r="M73" s="4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4">
        <v>2.0</v>
      </c>
      <c r="M74" s="4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>
        <v>1.0</v>
      </c>
      <c r="M75" s="4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4">
        <v>1.0</v>
      </c>
      <c r="M76" s="4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4">
        <v>1.0</v>
      </c>
      <c r="M77" s="4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4">
        <v>0.0</v>
      </c>
      <c r="M78" s="4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4">
        <v>1.0</v>
      </c>
      <c r="M79" s="4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4">
        <v>2.0</v>
      </c>
      <c r="M80" s="4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4">
        <v>1.0</v>
      </c>
      <c r="M81" s="4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4">
        <v>2.0</v>
      </c>
      <c r="M82" s="4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4">
        <v>1.0</v>
      </c>
      <c r="M83" s="4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4">
        <v>1.0</v>
      </c>
      <c r="M84" s="4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4">
        <v>2.0</v>
      </c>
      <c r="M85" s="4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4">
        <v>2.0</v>
      </c>
      <c r="M86" s="4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4">
        <v>1.0</v>
      </c>
      <c r="M87" s="4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4">
        <v>1.0</v>
      </c>
      <c r="M88" s="4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4">
        <v>2.0</v>
      </c>
      <c r="M89" s="4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4">
        <v>1.0</v>
      </c>
      <c r="M90" s="4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4">
        <v>0.0</v>
      </c>
      <c r="M91" s="4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4">
        <v>0.0</v>
      </c>
      <c r="M92" s="4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4">
        <v>1.0</v>
      </c>
      <c r="M93" s="4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4">
        <v>1.0</v>
      </c>
      <c r="M94" s="4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4">
        <v>2.0</v>
      </c>
      <c r="M95" s="4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4">
        <v>1.0</v>
      </c>
      <c r="M96" s="4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4">
        <v>2.0</v>
      </c>
      <c r="M97" s="4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4">
        <v>0.0</v>
      </c>
      <c r="M98" s="4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4">
        <v>0.0</v>
      </c>
      <c r="M99" s="4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4">
        <v>0.0</v>
      </c>
      <c r="M100" s="4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4">
        <v>2.0</v>
      </c>
      <c r="M101" s="4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4">
        <v>0.0</v>
      </c>
      <c r="M102" s="4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4">
        <v>1.0</v>
      </c>
      <c r="M103" s="4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4">
        <v>1.0</v>
      </c>
      <c r="M104" s="4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4">
        <v>0.0</v>
      </c>
      <c r="M105" s="4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4">
        <v>1.0</v>
      </c>
      <c r="M106" s="4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4">
        <v>0.0</v>
      </c>
      <c r="M107" s="4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4">
        <v>2.0</v>
      </c>
      <c r="M108" s="4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4">
        <v>2.0</v>
      </c>
      <c r="M109" s="4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4">
        <v>0.0</v>
      </c>
      <c r="M110" s="4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4">
        <v>2.0</v>
      </c>
      <c r="M111" s="4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4">
        <v>1.0</v>
      </c>
      <c r="M112" s="4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4">
        <v>0.0</v>
      </c>
      <c r="M113" s="4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4">
        <v>0.0</v>
      </c>
      <c r="M114" s="4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4">
        <v>0.0</v>
      </c>
      <c r="M115" s="4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4">
        <v>1.0</v>
      </c>
      <c r="M116" s="4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4">
        <v>2.0</v>
      </c>
      <c r="M117" s="4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4">
        <v>1.0</v>
      </c>
      <c r="M118" s="4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4">
        <v>2.0</v>
      </c>
      <c r="M119" s="4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4">
        <v>1.0</v>
      </c>
      <c r="M120" s="4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4">
        <v>1.0</v>
      </c>
      <c r="M121" s="4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4">
        <v>0.0</v>
      </c>
      <c r="M122" s="4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4">
        <v>1.0</v>
      </c>
      <c r="M123" s="4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4">
        <v>1.0</v>
      </c>
      <c r="M124" s="4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4">
        <v>1.0</v>
      </c>
      <c r="M125" s="4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4">
        <v>2.0</v>
      </c>
      <c r="M126" s="4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>
        <v>1.0</v>
      </c>
      <c r="M127" s="4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4">
        <v>1.0</v>
      </c>
      <c r="M128" s="4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4">
        <v>2.0</v>
      </c>
      <c r="M129" s="4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4">
        <v>2.0</v>
      </c>
      <c r="M130" s="4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4">
        <v>2.0</v>
      </c>
      <c r="M131" s="4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4">
        <v>1.0</v>
      </c>
      <c r="M132" s="4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4">
        <v>0.0</v>
      </c>
      <c r="M133" s="4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4">
        <v>1.0</v>
      </c>
      <c r="M134" s="4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4">
        <v>1.0</v>
      </c>
      <c r="M135" s="4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4">
        <v>0.0</v>
      </c>
      <c r="M136" s="4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4">
        <v>1.0</v>
      </c>
      <c r="M137" s="4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4">
        <v>2.0</v>
      </c>
      <c r="M138" s="4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4">
        <v>2.0</v>
      </c>
      <c r="M139" s="4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4">
        <v>1.0</v>
      </c>
      <c r="M140" s="4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4">
        <v>0.0</v>
      </c>
      <c r="M141" s="4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4">
        <v>2.0</v>
      </c>
      <c r="M142" s="4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4">
        <v>1.0</v>
      </c>
      <c r="M143" s="4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4">
        <v>2.0</v>
      </c>
      <c r="M144" s="4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4">
        <v>0.0</v>
      </c>
      <c r="M145" s="4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4">
        <v>2.0</v>
      </c>
      <c r="M146" s="4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4">
        <v>1.0</v>
      </c>
      <c r="M147" s="4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4">
        <v>1.0</v>
      </c>
      <c r="M148" s="4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4">
        <v>1.0</v>
      </c>
      <c r="M149" s="4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4">
        <v>2.0</v>
      </c>
      <c r="M150" s="4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4">
        <v>1.0</v>
      </c>
      <c r="M151" s="4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4">
        <v>0.0</v>
      </c>
      <c r="M152" s="4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4">
        <v>2.0</v>
      </c>
      <c r="M153" s="4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4">
        <v>2.0</v>
      </c>
      <c r="M154" s="4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4">
        <v>2.0</v>
      </c>
      <c r="M155" s="4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4">
        <v>1.0</v>
      </c>
      <c r="M156" s="4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4">
        <v>2.0</v>
      </c>
      <c r="M157" s="4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4">
        <v>2.0</v>
      </c>
      <c r="M158" s="4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4">
        <v>0.0</v>
      </c>
      <c r="M159" s="4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4">
        <v>2.0</v>
      </c>
      <c r="M160" s="4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4">
        <v>1.0</v>
      </c>
      <c r="M161" s="4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4">
        <v>2.0</v>
      </c>
      <c r="M162" s="4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4">
        <v>1.0</v>
      </c>
      <c r="M163" s="4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4">
        <v>1.0</v>
      </c>
      <c r="M164" s="4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4">
        <v>1.0</v>
      </c>
      <c r="M165" s="4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4">
        <v>0.0</v>
      </c>
      <c r="M166" s="4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4">
        <v>1.0</v>
      </c>
      <c r="M167" s="4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4">
        <v>0.0</v>
      </c>
      <c r="M168" s="4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4">
        <v>1.0</v>
      </c>
      <c r="M169" s="4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4">
        <v>2.0</v>
      </c>
      <c r="M170" s="4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4">
        <v>2.0</v>
      </c>
      <c r="M171" s="4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4">
        <v>1.0</v>
      </c>
      <c r="M172" s="4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4">
        <v>0.0</v>
      </c>
      <c r="M173" s="4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4">
        <v>2.0</v>
      </c>
      <c r="M174" s="4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4">
        <v>2.0</v>
      </c>
      <c r="M175" s="4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