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actuales'!$A$1:$P$8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D4">
      <text>
        <t xml:space="preserve">al menos por hoy, para no tener que decidir cual empata</t>
      </text>
    </comment>
    <comment authorId="0" ref="L4">
      <text>
        <t xml:space="preserve">el 1071 un poco mas pero predicen lo mismo en prox partidos</t>
      </text>
    </comment>
    <comment authorId="0" ref="M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M5">
      <text>
        <t xml:space="preserve">el 1134 tambien pero ojo la distrib de probas no me gusta
1083
918
</t>
      </text>
    </comment>
    <comment authorId="0" ref="M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<sst xmlns="http://schemas.openxmlformats.org/spreadsheetml/2006/main" count="886" uniqueCount="461">
  <si>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</si>
  <si>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</si>
  <si>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</si>
  <si>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</si>
  <si>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</si>
  <si>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</si>
  <si>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</si>
  <si>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</si>
  <si>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</si>
  <si>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</si>
  <si>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</si>
  <si>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</si>
  <si>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</si>
  <si>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</si>
  <si>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</si>
  <si>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</si>
  <si>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</si>
  <si>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</si>
  <si>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</si>
  <si>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</si>
  <si>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</si>
  <si>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</si>
  <si>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</si>
  <si>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</si>
  <si>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</si>
  <si>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</si>
  <si>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</si>
  <si>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</si>
  <si>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</si>
  <si>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</si>
  <si>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</si>
  <si>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#2 roi con ea y #1 en f1_score
Gran assess</t>
  </si>
  <si>
    <t>Predice poco empate (-58%)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</si>
  <si>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</si>
  <si>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</si>
  <si>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</si>
  <si>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</si>
  <si>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</si>
  <si>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</si>
  <si>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</si>
  <si>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</si>
  <si>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</si>
  <si>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</si>
  <si>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</si>
  <si>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</si>
  <si>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</si>
  <si>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</si>
  <si>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</si>
  <si>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</si>
  <si>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</si>
  <si>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</si>
  <si>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</si>
  <si>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</si>
  <si>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</si>
  <si>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</si>
  <si>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</si>
  <si>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</si>
  <si>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</si>
  <si>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</si>
  <si>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</si>
  <si>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</si>
  <si>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</si>
  <si>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</si>
  <si>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</si>
  <si>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</si>
  <si>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</si>
  <si>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</si>
  <si>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</si>
  <si>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</si>
  <si>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</si>
  <si>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</si>
  <si>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</si>
  <si>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</si>
  <si>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</si>
  <si>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</si>
  <si>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</si>
  <si>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</si>
  <si>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</si>
  <si>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</si>
  <si>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</si>
  <si>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</si>
  <si>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</si>
  <si>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</si>
  <si>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</si>
  <si>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</si>
  <si>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</si>
  <si>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</si>
  <si>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</si>
  <si>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</si>
  <si>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</si>
  <si>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</si>
  <si>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</si>
  <si>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</si>
  <si>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</si>
  <si>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</si>
  <si>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</si>
  <si>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</si>
  <si>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</si>
  <si>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</si>
  <si>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</si>
  <si>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</si>
  <si>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</si>
  <si>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</si>
  <si>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</si>
  <si>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</si>
  <si>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</si>
  <si>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</si>
  <si>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</si>
  <si>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</si>
  <si>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</si>
  <si>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</si>
  <si>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</si>
  <si>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</si>
  <si>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</si>
  <si>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</si>
  <si>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</si>
  <si>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</si>
  <si>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</si>
  <si>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</si>
  <si>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</si>
  <si>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</si>
  <si>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</si>
  <si>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</si>
  <si>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</si>
  <si>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</si>
  <si>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</si>
  <si>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</si>
  <si>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</si>
  <si>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</si>
  <si>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</si>
  <si>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</si>
  <si>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</si>
  <si>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</si>
  <si>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</si>
  <si>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</si>
  <si>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</si>
  <si>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</si>
  <si>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</si>
  <si>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</si>
  <si>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</si>
  <si>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</si>
  <si>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</si>
  <si>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</si>
  <si>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</si>
  <si>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</si>
  <si>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</si>
  <si>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</si>
  <si>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</si>
  <si>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</si>
  <si>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</si>
  <si>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</si>
  <si>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</si>
  <si>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</si>
  <si>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</si>
  <si>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</si>
  <si>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</si>
  <si>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</si>
  <si>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</si>
  <si>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</si>
  <si>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</si>
  <si>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</si>
  <si>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</si>
  <si>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</si>
  <si>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</si>
  <si>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</si>
  <si>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</si>
  <si>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</si>
  <si>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</si>
  <si>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</si>
  <si>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</si>
  <si>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</si>
  <si>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</si>
  <si>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</si>
  <si>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</si>
  <si>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</si>
  <si>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</si>
  <si>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</si>
  <si>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</si>
  <si>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</si>
  <si>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</si>
  <si>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</si>
  <si>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</si>
  <si>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</si>
  <si>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</si>
  <si>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</si>
  <si>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</si>
  <si>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</si>
  <si>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</si>
  <si>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</si>
  <si>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</si>
  <si>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</si>
  <si>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</si>
  <si>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</si>
  <si>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</si>
  <si>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</si>
  <si>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</si>
  <si>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</si>
  <si>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</si>
  <si>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</si>
  <si>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</si>
  <si>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</si>
  <si>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</si>
  <si>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</si>
  <si>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</si>
  <si>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</si>
  <si>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</si>
  <si>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</si>
  <si>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</si>
  <si>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</si>
  <si>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</si>
  <si>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</si>
  <si>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</si>
  <si>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</si>
  <si>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</si>
  <si>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</si>
  <si>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</si>
  <si>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</si>
  <si>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</si>
  <si>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</si>
  <si>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</si>
  <si>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</si>
  <si>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</si>
  <si>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</si>
  <si>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</si>
  <si>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</si>
  <si>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</si>
  <si>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</si>
  <si>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</si>
  <si>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</si>
  <si>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</si>
  <si>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</si>
  <si>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</si>
  <si>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</si>
  <si>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</si>
  <si>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</si>
  <si>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</si>
  <si>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</si>
  <si>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</si>
  <si>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</si>
  <si>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</si>
  <si>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</si>
  <si>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</si>
  <si>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</si>
  <si>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</si>
  <si>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</si>
  <si>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</si>
  <si>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</si>
  <si>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</si>
  <si>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</si>
  <si>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</si>
  <si>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</si>
  <si>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</si>
  <si>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</si>
  <si>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</si>
  <si>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</si>
  <si>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</si>
  <si>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</si>
  <si>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</si>
  <si>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</si>
  <si>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</si>
  <si>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</si>
  <si>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</si>
  <si>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</si>
  <si>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</si>
  <si>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</si>
  <si>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</si>
  <si>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</si>
  <si>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</si>
  <si>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</si>
  <si>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</si>
  <si>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</si>
  <si>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</si>
  <si>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</si>
  <si>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</si>
  <si>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</si>
  <si>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</si>
  <si>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</si>
  <si>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</si>
  <si>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</si>
  <si>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</si>
  <si>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</si>
  <si>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</si>
  <si>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</si>
  <si>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</si>
  <si>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</si>
  <si>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</si>
  <si>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</si>
  <si>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</si>
  <si>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</si>
  <si>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1.39</t>
  </si>
  <si>
    <t>1.50</t>
  </si>
  <si>
    <t>0.46</t>
  </si>
  <si>
    <t>0.84</t>
  </si>
  <si>
    <t>2.83</t>
  </si>
  <si>
    <t>1.52</t>
  </si>
  <si>
    <t>1.94</t>
  </si>
  <si>
    <t>1.91</t>
  </si>
  <si>
    <t>Country</t>
  </si>
  <si>
    <t>Correl ROI y Expected ROI</t>
  </si>
  <si>
    <t>0.24</t>
  </si>
  <si>
    <t>0.54</t>
  </si>
  <si>
    <t>mean</t>
  </si>
  <si>
    <t>3.88</t>
  </si>
  <si>
    <t>median</t>
  </si>
  <si>
    <t>4.22</t>
  </si>
  <si>
    <t>p25</t>
  </si>
  <si>
    <t>4.62</t>
  </si>
  <si>
    <t>p75</t>
  </si>
  <si>
    <t>5.77</t>
  </si>
  <si>
    <t>3.56</t>
  </si>
  <si>
    <t>3.78</t>
  </si>
  <si>
    <t>5.26</t>
  </si>
  <si>
    <t>5.86</t>
  </si>
  <si>
    <t>4.45</t>
  </si>
  <si>
    <t>6.81</t>
  </si>
  <si>
    <t>Gracias a las nuevas métricas de G/P sin bank en test, me di cuenta de que:</t>
  </si>
  <si>
    <t>1.35</t>
  </si>
  <si>
    <t>La rentabilidad en ITA está en el visitante y no en el empate como creía.</t>
  </si>
  <si>
    <t>1.69</t>
  </si>
  <si>
    <t>La rentabilidad en ENG y GER está en el empate tal como creía.</t>
  </si>
  <si>
    <t>0.86</t>
  </si>
  <si>
    <t>En SPA esta repartido aunque Empate saca una ventaja.</t>
  </si>
  <si>
    <t>1.24</t>
  </si>
  <si>
    <t>En FRA, depende el modelo. A veces local, a veces, empate.</t>
  </si>
  <si>
    <t>2.38</t>
  </si>
  <si>
    <t>Si en FRA empate no rinde, no tiene sentido exigirle una buena distrib en empate… → Tiene sentido pero al parecer si importa el empate puesto que el modelo que gana se basa en empate.</t>
  </si>
  <si>
    <t>1.73</t>
  </si>
  <si>
    <t>3.92</t>
  </si>
  <si>
    <t>4.91</t>
  </si>
  <si>
    <t>1.96</t>
  </si>
  <si>
    <t>2.94</t>
  </si>
  <si>
    <t>2.59</t>
  </si>
  <si>
    <t>2.18</t>
  </si>
  <si>
    <t>2.03</t>
  </si>
  <si>
    <t>3.85</t>
  </si>
  <si>
    <t>7.02</t>
  </si>
  <si>
    <t>9.13</t>
  </si>
  <si>
    <t>3.00</t>
  </si>
  <si>
    <t>1.90</t>
  </si>
  <si>
    <t>0.39</t>
  </si>
  <si>
    <t>5.85</t>
  </si>
  <si>
    <t>5.70</t>
  </si>
  <si>
    <t>3.14</t>
  </si>
  <si>
    <t>5.67</t>
  </si>
  <si>
    <t>3.55</t>
  </si>
  <si>
    <t>2.42</t>
  </si>
  <si>
    <t>2.64</t>
  </si>
  <si>
    <t>3.50</t>
  </si>
  <si>
    <t>1.99</t>
  </si>
  <si>
    <t>2.27</t>
  </si>
  <si>
    <t>2.55</t>
  </si>
  <si>
    <t>1.81</t>
  </si>
  <si>
    <t>2.16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</si>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</sst>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"/>
    <numFmt numFmtId="166" formatCode="0.00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10" fontId="4" numFmtId="165" xfId="0" applyFill="1" applyFont="1" applyNumberFormat="1"/>
    <xf borderId="0" fillId="6" fontId="4" numFmtId="165" xfId="0" applyFont="1" applyNumberFormat="1"/>
    <xf borderId="1" fillId="0" fontId="11" numFmtId="165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5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5" xfId="0" applyAlignment="1" applyFont="1" applyNumberFormat="1">
      <alignment horizontal="center" readingOrder="0" vertical="center"/>
    </xf>
    <xf borderId="0" fillId="10" fontId="3" numFmtId="165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45739.0</v>
      </c>
      <c r="D4" s="14">
        <v>458.0</v>
      </c>
      <c r="E4" s="14" t="s">
        <v>17</v>
      </c>
      <c r="F4" s="24">
        <v>5.0</v>
      </c>
      <c r="G4" s="24">
        <v>12.8</v>
      </c>
      <c r="H4" s="24">
        <v>10.79</v>
      </c>
      <c r="I4" s="24">
        <f t="shared" ref="I4:I8" si="1">AVERAGE(F4:H4)</f>
        <v>9.53</v>
      </c>
      <c r="J4" s="25">
        <v>5.0</v>
      </c>
      <c r="K4" s="26" t="s">
        <v>20</v>
      </c>
      <c r="L4" s="27" t="s">
        <v>21</v>
      </c>
      <c r="M4" s="4">
        <v>1071.0</v>
      </c>
      <c r="N4" s="28">
        <v>-0.959</v>
      </c>
      <c r="O4" s="29">
        <v>-0.941356160637481</v>
      </c>
      <c r="P4" s="30">
        <f t="shared" ref="P4:P8" si="2">(O4-N4)/N4</f>
        <v>-0.01839816409</v>
      </c>
    </row>
    <row r="5">
      <c r="A5" s="20">
        <v>55.0</v>
      </c>
      <c r="B5" s="23" t="s">
        <v>22</v>
      </c>
      <c r="C5" s="12">
        <v>45739.0</v>
      </c>
      <c r="D5" s="14">
        <v>1092.0</v>
      </c>
      <c r="E5" s="14" t="s">
        <v>17</v>
      </c>
      <c r="F5" s="24">
        <v>7.11</v>
      </c>
      <c r="G5" s="24">
        <v>5.0</v>
      </c>
      <c r="H5" s="24">
        <v>9.74</v>
      </c>
      <c r="I5" s="24">
        <f t="shared" si="1"/>
        <v>7.283333333</v>
      </c>
      <c r="J5" s="25">
        <v>11.0</v>
      </c>
      <c r="K5" s="26" t="s">
        <v>23</v>
      </c>
      <c r="L5" s="27" t="s">
        <v>24</v>
      </c>
      <c r="M5" s="4">
        <v>49.0</v>
      </c>
      <c r="N5" s="28">
        <v>-0.983461055390758</v>
      </c>
      <c r="O5" s="29">
        <v>-1.03568863905778</v>
      </c>
      <c r="P5" s="30">
        <f t="shared" si="2"/>
        <v>0.05310589919</v>
      </c>
    </row>
    <row r="6">
      <c r="A6" s="20">
        <v>59.0</v>
      </c>
      <c r="B6" s="20" t="s">
        <v>25</v>
      </c>
      <c r="C6" s="12">
        <v>45739.0</v>
      </c>
      <c r="D6" s="14">
        <v>900.0</v>
      </c>
      <c r="E6" s="14" t="s">
        <v>17</v>
      </c>
      <c r="F6" s="24">
        <v>5.0</v>
      </c>
      <c r="G6" s="24">
        <v>8.16</v>
      </c>
      <c r="H6" s="24">
        <v>13.42</v>
      </c>
      <c r="I6" s="24">
        <f t="shared" si="1"/>
        <v>8.86</v>
      </c>
      <c r="J6" s="25">
        <v>1.0</v>
      </c>
      <c r="K6" s="26" t="s">
        <v>26</v>
      </c>
      <c r="L6" s="27" t="s">
        <v>27</v>
      </c>
      <c r="M6" s="4">
        <v>385.0</v>
      </c>
      <c r="N6" s="28">
        <v>-1.0062289543877</v>
      </c>
      <c r="O6" s="29">
        <v>-0.97031500407769</v>
      </c>
      <c r="P6" s="30">
        <f t="shared" si="2"/>
        <v>-0.03569162878</v>
      </c>
    </row>
    <row r="7">
      <c r="A7" s="20">
        <v>77.0</v>
      </c>
      <c r="B7" s="20" t="s">
        <v>28</v>
      </c>
      <c r="C7" s="12">
        <v>45739.0</v>
      </c>
      <c r="D7" s="14">
        <v>184.0</v>
      </c>
      <c r="E7" s="14" t="s">
        <v>17</v>
      </c>
      <c r="F7" s="24">
        <v>6.05</v>
      </c>
      <c r="G7" s="24">
        <v>12.89</v>
      </c>
      <c r="H7" s="24">
        <v>8.68</v>
      </c>
      <c r="I7" s="24">
        <f t="shared" si="1"/>
        <v>9.206666667</v>
      </c>
      <c r="J7" s="25">
        <v>2.0</v>
      </c>
      <c r="K7" s="26" t="s">
        <v>29</v>
      </c>
      <c r="L7" s="31"/>
      <c r="M7" s="4">
        <v>625.0</v>
      </c>
      <c r="N7" s="28">
        <v>-0.920368837543479</v>
      </c>
      <c r="O7" s="29">
        <v>-1.00954296359786</v>
      </c>
      <c r="P7" s="30">
        <f t="shared" si="2"/>
        <v>0.09688955386</v>
      </c>
    </row>
    <row r="8">
      <c r="A8" s="20">
        <v>148.0</v>
      </c>
      <c r="B8" s="20" t="s">
        <v>30</v>
      </c>
      <c r="C8" s="12">
        <v>45740.0</v>
      </c>
      <c r="D8" s="14">
        <v>112.0</v>
      </c>
      <c r="E8" s="14" t="s">
        <v>17</v>
      </c>
      <c r="F8" s="24">
        <v>5.0</v>
      </c>
      <c r="G8" s="24">
        <v>10.79</v>
      </c>
      <c r="H8" s="24">
        <v>5.0</v>
      </c>
      <c r="I8" s="24">
        <f t="shared" si="1"/>
        <v>6.93</v>
      </c>
      <c r="J8" s="25">
        <v>11.0</v>
      </c>
      <c r="K8" s="26" t="s">
        <v>31</v>
      </c>
      <c r="L8" s="27" t="s">
        <v>32</v>
      </c>
      <c r="M8" s="4">
        <v>261.0</v>
      </c>
      <c r="N8" s="28">
        <v>-1.0182155187786</v>
      </c>
      <c r="O8" s="29">
        <v>-0.866421412348542</v>
      </c>
      <c r="P8" s="30">
        <f t="shared" si="2"/>
        <v>-0.1490785631</v>
      </c>
    </row>
    <row r="9" ht="20.25" customHeight="1">
      <c r="F9" s="21"/>
      <c r="G9" s="21"/>
      <c r="H9" s="21"/>
      <c r="I9" s="21"/>
      <c r="K9" s="32"/>
      <c r="L9" s="32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33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34</v>
      </c>
      <c r="Q1" s="35"/>
      <c r="R1" s="35"/>
      <c r="S1" s="34"/>
      <c r="T1" s="34"/>
      <c r="U1" s="34"/>
      <c r="V1" s="34"/>
      <c r="W1" s="34"/>
      <c r="X1" s="36"/>
      <c r="Y1" s="36" t="s">
        <v>35</v>
      </c>
      <c r="Z1" s="34"/>
      <c r="AA1" s="34"/>
      <c r="AB1" s="34"/>
      <c r="AC1" s="34"/>
      <c r="AD1" s="34"/>
      <c r="AE1" s="34" t="s">
        <v>36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37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38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39</v>
      </c>
      <c r="CF1" s="39" t="s">
        <v>40</v>
      </c>
      <c r="CG1" s="39" t="s">
        <v>41</v>
      </c>
      <c r="CH1" s="39" t="s">
        <v>42</v>
      </c>
      <c r="CI1" s="39" t="s">
        <v>43</v>
      </c>
      <c r="CJ1" s="40"/>
      <c r="CK1" s="40"/>
      <c r="CL1" s="40"/>
      <c r="CM1" s="40"/>
      <c r="CN1" s="40"/>
    </row>
    <row r="2">
      <c r="A2" s="41"/>
      <c r="B2" s="42" t="s">
        <v>44</v>
      </c>
      <c r="E2" s="42"/>
      <c r="F2" s="43" t="s">
        <v>45</v>
      </c>
      <c r="G2" s="43" t="s">
        <v>45</v>
      </c>
      <c r="H2" s="43"/>
      <c r="I2" s="43" t="s">
        <v>45</v>
      </c>
      <c r="J2" s="44" t="s">
        <v>46</v>
      </c>
      <c r="N2" s="45" t="s">
        <v>47</v>
      </c>
      <c r="O2" s="32"/>
      <c r="P2" s="42" t="s">
        <v>44</v>
      </c>
      <c r="S2" s="44" t="s">
        <v>46</v>
      </c>
      <c r="W2" s="46" t="s">
        <v>47</v>
      </c>
      <c r="X2" s="42"/>
      <c r="Y2" s="42" t="s">
        <v>48</v>
      </c>
      <c r="Z2" s="45" t="s">
        <v>47</v>
      </c>
      <c r="AA2" s="43" t="s">
        <v>45</v>
      </c>
      <c r="AB2" s="43"/>
      <c r="AC2" s="43"/>
      <c r="AD2" s="43"/>
      <c r="AE2" s="42" t="s">
        <v>44</v>
      </c>
      <c r="AH2" s="44" t="s">
        <v>46</v>
      </c>
      <c r="AL2" s="45" t="s">
        <v>47</v>
      </c>
      <c r="AM2" s="32"/>
      <c r="AN2" s="42"/>
      <c r="AO2" s="45" t="s">
        <v>47</v>
      </c>
      <c r="AP2" s="43" t="s">
        <v>45</v>
      </c>
      <c r="AQ2" s="32"/>
      <c r="AR2" s="32"/>
      <c r="AS2" s="32"/>
      <c r="AT2" s="42" t="s">
        <v>44</v>
      </c>
      <c r="AW2" s="44" t="s">
        <v>46</v>
      </c>
      <c r="BB2" s="45" t="s">
        <v>47</v>
      </c>
      <c r="BC2" s="45"/>
      <c r="BD2" s="42"/>
      <c r="BE2" s="45" t="s">
        <v>47</v>
      </c>
      <c r="BF2" s="32"/>
      <c r="BG2" s="32"/>
      <c r="BH2" s="32"/>
      <c r="BI2" s="32"/>
      <c r="BJ2" s="42" t="s">
        <v>44</v>
      </c>
      <c r="BN2" s="44" t="s">
        <v>46</v>
      </c>
      <c r="BS2" s="47"/>
      <c r="BT2" s="45" t="s">
        <v>47</v>
      </c>
      <c r="BU2" s="45"/>
      <c r="BV2" s="42"/>
      <c r="BW2" s="45" t="s">
        <v>47</v>
      </c>
      <c r="BX2" s="43" t="s">
        <v>45</v>
      </c>
      <c r="BY2" s="47"/>
      <c r="BZ2" s="47"/>
      <c r="CA2" s="47"/>
      <c r="CB2" s="47"/>
      <c r="CC2" s="47"/>
      <c r="CD2" s="47"/>
      <c r="CE2" s="48" t="s">
        <v>49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50</v>
      </c>
      <c r="C3" s="43" t="s">
        <v>51</v>
      </c>
      <c r="D3" s="47" t="s">
        <v>52</v>
      </c>
      <c r="E3" s="51" t="s">
        <v>53</v>
      </c>
      <c r="F3" s="51" t="s">
        <v>54</v>
      </c>
      <c r="G3" s="51" t="s">
        <v>55</v>
      </c>
      <c r="H3" s="52" t="s">
        <v>56</v>
      </c>
      <c r="I3" s="53" t="s">
        <v>57</v>
      </c>
      <c r="J3" s="45" t="s">
        <v>58</v>
      </c>
      <c r="K3" s="45" t="s">
        <v>58</v>
      </c>
      <c r="L3" s="46" t="s">
        <v>59</v>
      </c>
      <c r="M3" s="54" t="s">
        <v>60</v>
      </c>
      <c r="N3" s="43" t="s">
        <v>61</v>
      </c>
      <c r="O3" s="32"/>
      <c r="P3" s="43" t="s">
        <v>50</v>
      </c>
      <c r="Q3" s="43" t="s">
        <v>51</v>
      </c>
      <c r="R3" s="47" t="s">
        <v>52</v>
      </c>
      <c r="S3" s="45" t="s">
        <v>58</v>
      </c>
      <c r="T3" s="45" t="s">
        <v>58</v>
      </c>
      <c r="U3" s="45" t="s">
        <v>59</v>
      </c>
      <c r="V3" s="55" t="s">
        <v>60</v>
      </c>
      <c r="W3" s="56" t="s">
        <v>61</v>
      </c>
      <c r="X3" s="57"/>
      <c r="Y3" s="51" t="s">
        <v>53</v>
      </c>
      <c r="Z3" s="43" t="s">
        <v>61</v>
      </c>
      <c r="AA3" s="51" t="s">
        <v>54</v>
      </c>
      <c r="AB3" s="53" t="s">
        <v>57</v>
      </c>
      <c r="AC3" s="45" t="s">
        <v>62</v>
      </c>
      <c r="AD3" s="43"/>
      <c r="AE3" s="43" t="s">
        <v>50</v>
      </c>
      <c r="AF3" s="43" t="s">
        <v>51</v>
      </c>
      <c r="AG3" s="47" t="s">
        <v>52</v>
      </c>
      <c r="AH3" s="46" t="s">
        <v>58</v>
      </c>
      <c r="AI3" s="45" t="s">
        <v>58</v>
      </c>
      <c r="AJ3" s="45" t="s">
        <v>59</v>
      </c>
      <c r="AK3" s="54" t="s">
        <v>60</v>
      </c>
      <c r="AL3" s="43" t="s">
        <v>61</v>
      </c>
      <c r="AM3" s="32"/>
      <c r="AN3" s="51" t="s">
        <v>53</v>
      </c>
      <c r="AO3" s="43" t="s">
        <v>61</v>
      </c>
      <c r="AP3" s="51" t="s">
        <v>54</v>
      </c>
      <c r="AQ3" s="53" t="s">
        <v>57</v>
      </c>
      <c r="AR3" s="45" t="s">
        <v>62</v>
      </c>
      <c r="AS3" s="32"/>
      <c r="AT3" s="43" t="s">
        <v>50</v>
      </c>
      <c r="AU3" s="43" t="s">
        <v>51</v>
      </c>
      <c r="AV3" s="47" t="s">
        <v>52</v>
      </c>
      <c r="AW3" s="46" t="s">
        <v>58</v>
      </c>
      <c r="AX3" s="46" t="s">
        <v>58</v>
      </c>
      <c r="AY3" s="45"/>
      <c r="AZ3" s="45" t="s">
        <v>59</v>
      </c>
      <c r="BA3" s="55" t="s">
        <v>60</v>
      </c>
      <c r="BB3" s="43" t="s">
        <v>61</v>
      </c>
      <c r="BC3" s="43"/>
      <c r="BD3" s="51" t="s">
        <v>53</v>
      </c>
      <c r="BE3" s="43" t="s">
        <v>61</v>
      </c>
      <c r="BF3" s="53" t="s">
        <v>57</v>
      </c>
      <c r="BG3" s="45" t="s">
        <v>62</v>
      </c>
      <c r="BH3" s="32"/>
      <c r="BI3" s="32"/>
      <c r="BJ3" s="43" t="s">
        <v>50</v>
      </c>
      <c r="BK3" s="43" t="s">
        <v>51</v>
      </c>
      <c r="BL3" s="58" t="s">
        <v>63</v>
      </c>
      <c r="BM3" s="47" t="s">
        <v>52</v>
      </c>
      <c r="BN3" s="45" t="s">
        <v>58</v>
      </c>
      <c r="BO3" s="45" t="s">
        <v>58</v>
      </c>
      <c r="BP3" s="45"/>
      <c r="BQ3" s="45" t="s">
        <v>59</v>
      </c>
      <c r="BR3" s="55" t="s">
        <v>60</v>
      </c>
      <c r="BS3" s="47" t="s">
        <v>64</v>
      </c>
      <c r="BT3" s="43" t="s">
        <v>61</v>
      </c>
      <c r="BU3" s="43"/>
      <c r="BV3" s="51" t="s">
        <v>53</v>
      </c>
      <c r="BW3" s="43" t="s">
        <v>61</v>
      </c>
      <c r="BX3" s="51" t="s">
        <v>54</v>
      </c>
      <c r="BY3" s="53" t="s">
        <v>57</v>
      </c>
      <c r="BZ3" s="45" t="s">
        <v>62</v>
      </c>
      <c r="CA3" s="47"/>
      <c r="CB3" s="47"/>
      <c r="CC3" s="47"/>
      <c r="CD3" s="47"/>
      <c r="CE3" s="48" t="s">
        <v>65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66</v>
      </c>
      <c r="C4" s="45" t="s">
        <v>67</v>
      </c>
      <c r="D4" s="60" t="s">
        <v>68</v>
      </c>
      <c r="E4" s="61" t="s">
        <v>69</v>
      </c>
      <c r="F4" s="45" t="s">
        <v>70</v>
      </c>
      <c r="G4" s="45" t="s">
        <v>71</v>
      </c>
      <c r="H4" s="45" t="s">
        <v>72</v>
      </c>
      <c r="I4" s="60" t="s">
        <v>73</v>
      </c>
      <c r="J4" s="62" t="s">
        <v>74</v>
      </c>
      <c r="K4" s="62" t="s">
        <v>75</v>
      </c>
      <c r="L4" s="63" t="s">
        <v>76</v>
      </c>
      <c r="M4" s="64" t="s">
        <v>77</v>
      </c>
      <c r="N4" s="45" t="s">
        <v>78</v>
      </c>
      <c r="O4" s="32"/>
      <c r="P4" s="45" t="s">
        <v>79</v>
      </c>
      <c r="Q4" s="45" t="s">
        <v>80</v>
      </c>
      <c r="R4" s="45" t="s">
        <v>81</v>
      </c>
      <c r="S4" s="62" t="s">
        <v>74</v>
      </c>
      <c r="T4" s="62" t="s">
        <v>75</v>
      </c>
      <c r="U4" s="63" t="s">
        <v>76</v>
      </c>
      <c r="V4" s="64" t="s">
        <v>82</v>
      </c>
      <c r="W4" s="46" t="s">
        <v>78</v>
      </c>
      <c r="X4" s="45"/>
      <c r="Y4" s="53" t="s">
        <v>83</v>
      </c>
      <c r="Z4" s="45" t="s">
        <v>78</v>
      </c>
      <c r="AA4" s="45" t="s">
        <v>70</v>
      </c>
      <c r="AB4" s="60" t="s">
        <v>73</v>
      </c>
      <c r="AC4" s="60" t="s">
        <v>72</v>
      </c>
      <c r="AD4" s="45"/>
      <c r="AE4" s="45" t="s">
        <v>84</v>
      </c>
      <c r="AF4" s="45" t="s">
        <v>84</v>
      </c>
      <c r="AG4" s="45" t="s">
        <v>85</v>
      </c>
      <c r="AH4" s="62" t="s">
        <v>74</v>
      </c>
      <c r="AI4" s="62" t="s">
        <v>75</v>
      </c>
      <c r="AJ4" s="63" t="s">
        <v>86</v>
      </c>
      <c r="AK4" s="64" t="s">
        <v>87</v>
      </c>
      <c r="AL4" s="45" t="s">
        <v>78</v>
      </c>
      <c r="AM4" s="32"/>
      <c r="AN4" s="53" t="s">
        <v>88</v>
      </c>
      <c r="AO4" s="45" t="s">
        <v>78</v>
      </c>
      <c r="AP4" s="45" t="s">
        <v>70</v>
      </c>
      <c r="AQ4" s="60" t="s">
        <v>73</v>
      </c>
      <c r="AR4" s="60" t="s">
        <v>72</v>
      </c>
      <c r="AS4" s="32"/>
      <c r="AT4" s="45" t="s">
        <v>89</v>
      </c>
      <c r="AU4" s="45" t="s">
        <v>80</v>
      </c>
      <c r="AV4" s="45" t="s">
        <v>90</v>
      </c>
      <c r="AW4" s="65" t="s">
        <v>74</v>
      </c>
      <c r="AX4" s="65" t="s">
        <v>75</v>
      </c>
      <c r="AY4" s="60" t="s">
        <v>91</v>
      </c>
      <c r="AZ4" s="63" t="s">
        <v>92</v>
      </c>
      <c r="BA4" s="64" t="s">
        <v>93</v>
      </c>
      <c r="BB4" s="45" t="s">
        <v>78</v>
      </c>
      <c r="BC4" s="45"/>
      <c r="BD4" s="53" t="s">
        <v>94</v>
      </c>
      <c r="BE4" s="45" t="s">
        <v>78</v>
      </c>
      <c r="BF4" s="60" t="s">
        <v>73</v>
      </c>
      <c r="BG4" s="60" t="s">
        <v>72</v>
      </c>
      <c r="BH4" s="32"/>
      <c r="BI4" s="32"/>
      <c r="BJ4" s="43" t="s">
        <v>95</v>
      </c>
      <c r="BK4" s="43" t="s">
        <v>96</v>
      </c>
      <c r="BL4" s="58" t="s">
        <v>97</v>
      </c>
      <c r="BM4" s="47" t="s">
        <v>98</v>
      </c>
      <c r="BN4" s="62" t="s">
        <v>74</v>
      </c>
      <c r="BO4" s="62" t="s">
        <v>75</v>
      </c>
      <c r="BP4" s="60" t="s">
        <v>99</v>
      </c>
      <c r="BQ4" s="63" t="s">
        <v>100</v>
      </c>
      <c r="BR4" s="66" t="s">
        <v>101</v>
      </c>
      <c r="BS4" s="66" t="s">
        <v>102</v>
      </c>
      <c r="BT4" s="45" t="s">
        <v>78</v>
      </c>
      <c r="BU4" s="45"/>
      <c r="BV4" s="55" t="s">
        <v>103</v>
      </c>
      <c r="BW4" s="45" t="s">
        <v>78</v>
      </c>
      <c r="BX4" s="45" t="s">
        <v>70</v>
      </c>
      <c r="BY4" s="60" t="s">
        <v>73</v>
      </c>
      <c r="BZ4" s="60" t="s">
        <v>72</v>
      </c>
      <c r="CA4" s="60"/>
      <c r="CB4" s="60"/>
      <c r="CC4" s="60"/>
      <c r="CD4" s="60"/>
      <c r="CE4" s="38" t="s">
        <v>104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105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106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107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108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24">
        <v>5.52</v>
      </c>
      <c r="E7" s="24">
        <v>33.5</v>
      </c>
      <c r="F7" s="24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7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7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8">
        <v>14.08</v>
      </c>
      <c r="BJ7" s="79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105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24">
        <v>4.43</v>
      </c>
      <c r="E8" s="24">
        <v>6.4</v>
      </c>
      <c r="F8" s="24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8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24">
        <v>4.12</v>
      </c>
      <c r="E9" s="24">
        <v>4.43</v>
      </c>
      <c r="F9" s="24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79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24">
        <v>4.4</v>
      </c>
      <c r="E10" s="24">
        <v>5.2</v>
      </c>
      <c r="F10" s="24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79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24">
        <v>5.82</v>
      </c>
      <c r="E11" s="24">
        <v>5.57</v>
      </c>
      <c r="F11" s="24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79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24">
        <v>0.0</v>
      </c>
      <c r="E12" s="24">
        <v>4.39</v>
      </c>
      <c r="F12" s="24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79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24">
        <v>4.77</v>
      </c>
      <c r="F13" s="24">
        <v>5.38</v>
      </c>
      <c r="G13" s="77">
        <v>15.14</v>
      </c>
      <c r="H13" s="77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79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24">
        <v>-2.59</v>
      </c>
      <c r="E14" s="87">
        <v>-2.98</v>
      </c>
      <c r="F14" s="24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7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79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24">
        <v>4.63</v>
      </c>
      <c r="E15" s="24">
        <v>5.02</v>
      </c>
      <c r="F15" s="24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7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79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24">
        <v>5.38</v>
      </c>
      <c r="E16" s="24">
        <v>5.4</v>
      </c>
      <c r="F16" s="24">
        <v>4.78</v>
      </c>
      <c r="G16" s="77">
        <v>16.18</v>
      </c>
      <c r="H16" s="77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7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79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24">
        <v>-2.98</v>
      </c>
      <c r="E17" s="24">
        <v>-0.95</v>
      </c>
      <c r="F17" s="24">
        <v>5.49</v>
      </c>
      <c r="G17" s="77">
        <v>10.04</v>
      </c>
      <c r="H17" s="77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79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24">
        <v>0.47</v>
      </c>
      <c r="E18" s="24">
        <v>5.52</v>
      </c>
      <c r="F18" s="24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79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24">
        <v>4.48</v>
      </c>
      <c r="E19" s="24">
        <v>16.07</v>
      </c>
      <c r="F19" s="24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79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24">
        <v>5.57</v>
      </c>
      <c r="E20" s="24">
        <v>4.12</v>
      </c>
      <c r="F20" s="24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79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24">
        <v>4.56</v>
      </c>
      <c r="E21" s="24">
        <v>4.67</v>
      </c>
      <c r="F21" s="24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79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24">
        <v>1.1</v>
      </c>
      <c r="E22" s="24">
        <v>-1.79</v>
      </c>
      <c r="F22" s="24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7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79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24">
        <v>5.45</v>
      </c>
      <c r="E23" s="24">
        <v>-1.63</v>
      </c>
      <c r="F23" s="24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7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7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79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24">
        <v>-1.35</v>
      </c>
      <c r="E24" s="24">
        <v>4.81</v>
      </c>
      <c r="F24" s="24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79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24">
        <v>4.24</v>
      </c>
      <c r="E25" s="24">
        <v>-10.24</v>
      </c>
      <c r="F25" s="24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79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24">
        <v>6.08</v>
      </c>
      <c r="E26" s="24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79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109</v>
      </c>
      <c r="C29" s="82"/>
      <c r="D29" s="82"/>
      <c r="E29" s="82"/>
      <c r="P29" s="15" t="s">
        <v>109</v>
      </c>
      <c r="U29" s="15"/>
      <c r="V29" s="15"/>
      <c r="W29" s="15"/>
      <c r="Z29" s="15"/>
      <c r="AA29" s="15"/>
      <c r="AB29" s="15"/>
      <c r="AC29" s="15"/>
      <c r="AD29" s="15"/>
      <c r="AE29" s="15" t="s">
        <v>109</v>
      </c>
      <c r="AT29" s="15" t="s">
        <v>109</v>
      </c>
      <c r="BJ29" s="15" t="s">
        <v>109</v>
      </c>
    </row>
    <row r="30">
      <c r="A30" s="82"/>
      <c r="B30" s="85">
        <v>342.0</v>
      </c>
      <c r="C30" s="15" t="s">
        <v>110</v>
      </c>
      <c r="D30" s="82"/>
      <c r="E30" s="82"/>
      <c r="F30" s="76" t="s">
        <v>111</v>
      </c>
      <c r="P30" s="76">
        <v>912.0</v>
      </c>
      <c r="AE30" s="76">
        <v>882.0</v>
      </c>
      <c r="AT30" s="76">
        <v>979.0</v>
      </c>
      <c r="AU30" s="76" t="s">
        <v>112</v>
      </c>
      <c r="BJ30" s="77">
        <v>1117.0</v>
      </c>
      <c r="BK30" s="76" t="s">
        <v>113</v>
      </c>
    </row>
    <row r="31">
      <c r="A31" s="82"/>
      <c r="B31" s="89">
        <v>1071.0</v>
      </c>
      <c r="C31" s="15" t="s">
        <v>114</v>
      </c>
      <c r="D31" s="82"/>
      <c r="E31" s="82"/>
      <c r="F31" s="76">
        <v>342.0</v>
      </c>
      <c r="P31" s="76">
        <v>834.0</v>
      </c>
      <c r="Q31" s="76" t="s">
        <v>115</v>
      </c>
      <c r="AE31" s="77">
        <v>899.0</v>
      </c>
      <c r="AF31" s="76" t="s">
        <v>116</v>
      </c>
      <c r="BJ31" s="76">
        <v>1093.0</v>
      </c>
      <c r="BK31" s="76" t="s">
        <v>117</v>
      </c>
    </row>
    <row r="32">
      <c r="A32" s="82"/>
      <c r="D32" s="82"/>
      <c r="E32" s="82"/>
      <c r="F32" s="76">
        <v>35.0</v>
      </c>
      <c r="P32" s="77">
        <v>1134.0</v>
      </c>
      <c r="Q32" s="76" t="s">
        <v>118</v>
      </c>
      <c r="AE32" s="76">
        <v>372.0</v>
      </c>
      <c r="AT32" s="76">
        <v>223.0</v>
      </c>
      <c r="AU32" s="76" t="s">
        <v>119</v>
      </c>
      <c r="BJ32" s="76">
        <v>261.0</v>
      </c>
      <c r="BK32" s="76" t="s">
        <v>117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120</v>
      </c>
      <c r="AE33" s="76">
        <v>544.0</v>
      </c>
      <c r="AF33" s="76" t="s">
        <v>121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122</v>
      </c>
    </row>
    <row r="38">
      <c r="A38" s="82"/>
      <c r="C38" s="92" t="s">
        <v>123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124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125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49</v>
      </c>
      <c r="E45" s="15">
        <v>342.0</v>
      </c>
      <c r="F45" s="15"/>
    </row>
    <row r="46">
      <c r="A46" s="82"/>
      <c r="B46" s="82"/>
      <c r="C46" s="82"/>
      <c r="D46" s="15" t="s">
        <v>65</v>
      </c>
      <c r="E46" s="82"/>
      <c r="F46" s="82"/>
    </row>
    <row r="47">
      <c r="A47" s="82"/>
      <c r="B47" s="82"/>
      <c r="C47" s="82"/>
      <c r="D47" s="15" t="s">
        <v>104</v>
      </c>
      <c r="E47" s="82"/>
      <c r="F47" s="82"/>
    </row>
    <row r="48">
      <c r="A48" s="82"/>
      <c r="B48" s="82"/>
      <c r="C48" s="82"/>
      <c r="D48" s="15" t="s">
        <v>106</v>
      </c>
      <c r="E48" s="82"/>
      <c r="F48" s="82"/>
    </row>
    <row r="49">
      <c r="A49" s="82"/>
      <c r="B49" s="82"/>
      <c r="C49" s="82"/>
      <c r="D49" s="15" t="s">
        <v>108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90" t="s">
        <v>126</v>
      </c>
    </row>
    <row r="3">
      <c r="C3" s="23" t="s">
        <v>22</v>
      </c>
      <c r="D3" s="76">
        <v>800.0</v>
      </c>
      <c r="G3" s="76" t="s">
        <v>127</v>
      </c>
      <c r="K3" s="97"/>
    </row>
    <row r="4">
      <c r="C4" s="20" t="s">
        <v>25</v>
      </c>
      <c r="G4" s="76" t="s">
        <v>128</v>
      </c>
      <c r="K4" s="97"/>
    </row>
    <row r="5">
      <c r="C5" s="20" t="s">
        <v>28</v>
      </c>
      <c r="G5" s="76" t="s">
        <v>129</v>
      </c>
      <c r="K5" s="97"/>
    </row>
    <row r="6">
      <c r="C6" s="20" t="s">
        <v>30</v>
      </c>
      <c r="G6" s="76" t="s">
        <v>130</v>
      </c>
    </row>
    <row r="7">
      <c r="G7" s="76" t="s">
        <v>131</v>
      </c>
    </row>
    <row r="12">
      <c r="D12" s="98" t="s">
        <v>132</v>
      </c>
      <c r="F12" s="79"/>
    </row>
    <row r="13">
      <c r="C13" s="90" t="s">
        <v>133</v>
      </c>
      <c r="D13" s="90" t="s">
        <v>134</v>
      </c>
      <c r="F13" s="79"/>
    </row>
    <row r="14">
      <c r="C14" s="76" t="s">
        <v>135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136</v>
      </c>
      <c r="D15" s="102">
        <v>800.0</v>
      </c>
      <c r="F15" s="93">
        <v>1134.0</v>
      </c>
      <c r="G15" s="79">
        <v>808.0</v>
      </c>
    </row>
    <row r="16">
      <c r="C16" s="76" t="s">
        <v>136</v>
      </c>
      <c r="D16" s="76">
        <v>766.0</v>
      </c>
      <c r="E16" s="79">
        <v>563.0</v>
      </c>
      <c r="F16" s="99">
        <v>899.0</v>
      </c>
    </row>
    <row r="17">
      <c r="C17" s="76" t="s">
        <v>135</v>
      </c>
      <c r="D17" s="77">
        <v>184.0</v>
      </c>
      <c r="E17" s="76">
        <v>211.0</v>
      </c>
      <c r="F17" s="103"/>
    </row>
    <row r="18">
      <c r="C18" s="76" t="s">
        <v>135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137</v>
      </c>
      <c r="E19" s="76" t="s">
        <v>138</v>
      </c>
      <c r="F19" s="76" t="s">
        <v>139</v>
      </c>
    </row>
    <row r="20">
      <c r="C20" s="21"/>
      <c r="E20" s="21"/>
      <c r="F20" s="21"/>
    </row>
    <row r="21">
      <c r="F21" s="21"/>
    </row>
    <row r="22">
      <c r="D22" s="76" t="s">
        <v>140</v>
      </c>
      <c r="F22" s="21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4"/>
      <c r="N1" s="90"/>
      <c r="O1" s="104"/>
      <c r="P1" s="104"/>
      <c r="Q1" s="105"/>
    </row>
    <row r="2">
      <c r="A2" s="106">
        <v>48.0</v>
      </c>
      <c r="B2" s="107" t="s">
        <v>19</v>
      </c>
      <c r="C2" s="108">
        <v>45679.0</v>
      </c>
      <c r="D2" s="76">
        <v>395.0</v>
      </c>
      <c r="E2" s="76" t="s">
        <v>17</v>
      </c>
      <c r="F2" s="76">
        <v>57.9999999999999</v>
      </c>
      <c r="G2" s="109"/>
      <c r="H2" s="109"/>
      <c r="I2" s="109"/>
      <c r="J2" s="109"/>
      <c r="K2" s="109">
        <v>2.0</v>
      </c>
      <c r="L2" s="109">
        <v>153.7</v>
      </c>
      <c r="M2" s="110">
        <v>3507.81</v>
      </c>
      <c r="N2" s="76">
        <v>30.0</v>
      </c>
      <c r="O2" s="109"/>
      <c r="P2" s="109">
        <v>22.82244632400781</v>
      </c>
      <c r="Q2" s="107">
        <v>9.0</v>
      </c>
    </row>
    <row r="3">
      <c r="A3" s="76">
        <v>55.0</v>
      </c>
      <c r="B3" s="107" t="s">
        <v>22</v>
      </c>
      <c r="C3" s="108">
        <v>45679.0</v>
      </c>
      <c r="D3" s="76">
        <v>724.0</v>
      </c>
      <c r="E3" s="76" t="s">
        <v>17</v>
      </c>
      <c r="F3" s="109">
        <v>61.0</v>
      </c>
      <c r="G3" s="109"/>
      <c r="H3" s="109"/>
      <c r="I3" s="109"/>
      <c r="J3" s="109"/>
      <c r="K3" s="109">
        <v>7.0</v>
      </c>
      <c r="L3" s="109">
        <v>174.21</v>
      </c>
      <c r="M3" s="109">
        <v>1825.8099999999997</v>
      </c>
      <c r="N3" s="109">
        <v>30.0</v>
      </c>
      <c r="O3" s="109"/>
      <c r="P3" s="109">
        <v>10.480512025716088</v>
      </c>
      <c r="Q3" s="107">
        <v>9.0</v>
      </c>
    </row>
    <row r="4">
      <c r="A4" s="76">
        <v>59.0</v>
      </c>
      <c r="B4" s="76" t="s">
        <v>25</v>
      </c>
      <c r="C4" s="108">
        <v>45680.0</v>
      </c>
      <c r="D4" s="76">
        <v>1051.0</v>
      </c>
      <c r="E4" s="76" t="s">
        <v>17</v>
      </c>
      <c r="F4" s="109">
        <v>62.0</v>
      </c>
      <c r="G4" s="109"/>
      <c r="H4" s="109"/>
      <c r="I4" s="109"/>
      <c r="J4" s="109"/>
      <c r="K4" s="109">
        <v>3.0</v>
      </c>
      <c r="L4" s="109">
        <v>171.72</v>
      </c>
      <c r="M4" s="111">
        <v>5053.5599999999995</v>
      </c>
      <c r="N4" s="109">
        <v>25.0</v>
      </c>
      <c r="O4" s="109"/>
      <c r="P4" s="109">
        <v>29.429070580013974</v>
      </c>
      <c r="Q4" s="107">
        <v>7.5</v>
      </c>
    </row>
    <row r="5">
      <c r="A5" s="20">
        <v>77.0</v>
      </c>
      <c r="B5" s="20" t="s">
        <v>28</v>
      </c>
      <c r="C5" s="12">
        <v>45677.0</v>
      </c>
      <c r="D5" s="14">
        <v>931.0</v>
      </c>
      <c r="E5" s="14" t="s">
        <v>17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2">
        <f>2.59+
1339.47+
236.53
</f>
        <v>1578.59</v>
      </c>
      <c r="N5" s="76">
        <v>40.0</v>
      </c>
      <c r="O5" s="109"/>
      <c r="P5" s="109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17</v>
      </c>
      <c r="L6" s="99">
        <v>127.26</v>
      </c>
      <c r="M6" s="113">
        <f>1920.79+
729.18+
-17.44
</f>
        <v>2632.53</v>
      </c>
      <c r="N6" s="76">
        <v>40.0</v>
      </c>
      <c r="O6" s="109"/>
      <c r="P6" s="109">
        <f t="shared" si="1"/>
        <v>20.68623291</v>
      </c>
    </row>
    <row r="7">
      <c r="M7" s="114"/>
      <c r="O7" s="114"/>
      <c r="P7" s="114"/>
    </row>
    <row r="8">
      <c r="F8" s="115"/>
      <c r="G8" s="115"/>
      <c r="H8" s="115"/>
      <c r="I8" s="115"/>
      <c r="J8" s="115"/>
      <c r="K8" s="115"/>
      <c r="L8" s="115"/>
      <c r="M8" s="109"/>
      <c r="N8" s="115"/>
      <c r="O8" s="109"/>
      <c r="P8" s="109"/>
    </row>
    <row r="9">
      <c r="F9" s="115"/>
      <c r="G9" s="115"/>
      <c r="H9" s="115"/>
      <c r="I9" s="115"/>
      <c r="J9" s="115"/>
      <c r="K9" s="115"/>
      <c r="L9" s="115"/>
      <c r="M9" s="109"/>
      <c r="N9" s="115"/>
      <c r="O9" s="109"/>
      <c r="P9" s="109"/>
    </row>
    <row r="10">
      <c r="F10" s="115"/>
      <c r="G10" s="115"/>
      <c r="H10" s="115"/>
      <c r="I10" s="115"/>
      <c r="J10" s="115"/>
      <c r="K10" s="115"/>
      <c r="L10" s="115"/>
      <c r="M10" s="109"/>
      <c r="N10" s="115"/>
      <c r="O10" s="109"/>
      <c r="P10" s="109"/>
    </row>
    <row r="11">
      <c r="E11" s="116" t="s">
        <v>141</v>
      </c>
      <c r="L11" s="76" t="s">
        <v>142</v>
      </c>
      <c r="M11" s="110" t="s">
        <v>49</v>
      </c>
      <c r="N11" s="77" t="s">
        <v>38</v>
      </c>
      <c r="O11" s="114"/>
      <c r="P11" s="114"/>
    </row>
    <row r="12">
      <c r="E12" s="116" t="s">
        <v>143</v>
      </c>
      <c r="L12" s="76" t="s">
        <v>144</v>
      </c>
      <c r="M12" s="110" t="s">
        <v>36</v>
      </c>
      <c r="N12" s="77" t="s">
        <v>37</v>
      </c>
      <c r="O12" s="114"/>
      <c r="P12" s="114"/>
    </row>
    <row r="13">
      <c r="M13" s="114"/>
      <c r="O13" s="114"/>
      <c r="P13" s="114"/>
    </row>
    <row r="14">
      <c r="F14" s="115"/>
      <c r="G14" s="115"/>
      <c r="H14" s="115"/>
      <c r="I14" s="115"/>
      <c r="J14" s="115"/>
      <c r="K14" s="115"/>
      <c r="L14" s="115"/>
      <c r="M14" s="109"/>
      <c r="N14" s="115"/>
      <c r="O14" s="109"/>
      <c r="P14" s="109"/>
    </row>
    <row r="15">
      <c r="F15" s="115"/>
      <c r="G15" s="115"/>
      <c r="H15" s="115"/>
      <c r="I15" s="115"/>
      <c r="J15" s="115"/>
      <c r="K15" s="115"/>
      <c r="L15" s="115"/>
      <c r="M15" s="109"/>
      <c r="N15" s="115"/>
      <c r="O15" s="109"/>
      <c r="P15" s="109"/>
    </row>
    <row r="16">
      <c r="A16" s="117">
        <v>48.0</v>
      </c>
      <c r="B16" s="118" t="s">
        <v>19</v>
      </c>
      <c r="C16" s="108">
        <v>45679.0</v>
      </c>
      <c r="D16" s="119">
        <v>1363.0</v>
      </c>
      <c r="E16" s="76" t="s">
        <v>17</v>
      </c>
      <c r="F16" s="76">
        <v>57.5213675213675</v>
      </c>
      <c r="G16" s="109"/>
      <c r="H16" s="109"/>
      <c r="I16" s="109"/>
      <c r="J16" s="109"/>
      <c r="K16" s="109">
        <v>5.99999999999999</v>
      </c>
      <c r="L16" s="109">
        <v>127.72</v>
      </c>
      <c r="M16" s="109">
        <v>958.71</v>
      </c>
      <c r="N16" s="76">
        <v>40.0</v>
      </c>
      <c r="O16" s="109"/>
      <c r="P16" s="109">
        <v>7.50634199812089</v>
      </c>
      <c r="Q16" s="107">
        <v>12.0</v>
      </c>
    </row>
    <row r="17">
      <c r="A17" s="76">
        <v>55.0</v>
      </c>
      <c r="B17" s="107" t="s">
        <v>22</v>
      </c>
      <c r="C17" s="108">
        <v>45679.0</v>
      </c>
      <c r="D17" s="76">
        <v>724.0</v>
      </c>
      <c r="E17" s="76" t="s">
        <v>17</v>
      </c>
      <c r="F17" s="109">
        <v>57.7626974489822</v>
      </c>
      <c r="G17" s="109"/>
      <c r="H17" s="109"/>
      <c r="I17" s="109"/>
      <c r="J17" s="109"/>
      <c r="K17" s="109">
        <v>7.0</v>
      </c>
      <c r="L17" s="109">
        <v>174.21</v>
      </c>
      <c r="M17" s="109">
        <v>1825.8099999999997</v>
      </c>
      <c r="N17" s="109">
        <v>30.0</v>
      </c>
      <c r="O17" s="109"/>
      <c r="P17" s="109">
        <v>10.480512025716088</v>
      </c>
      <c r="Q17" s="107">
        <v>9.0</v>
      </c>
    </row>
    <row r="18">
      <c r="A18" s="76">
        <v>59.0</v>
      </c>
      <c r="B18" s="76" t="s">
        <v>25</v>
      </c>
      <c r="C18" s="108">
        <v>45680.0</v>
      </c>
      <c r="D18" s="76">
        <v>935.0</v>
      </c>
      <c r="E18" s="76" t="s">
        <v>17</v>
      </c>
      <c r="F18" s="109">
        <v>61.8147668934429</v>
      </c>
      <c r="G18" s="109"/>
      <c r="H18" s="109"/>
      <c r="I18" s="109"/>
      <c r="J18" s="109"/>
      <c r="K18" s="109">
        <v>5.0</v>
      </c>
      <c r="L18" s="109">
        <v>149.66</v>
      </c>
      <c r="M18" s="109">
        <v>8422.4</v>
      </c>
      <c r="N18" s="109"/>
      <c r="O18" s="109"/>
      <c r="P18" s="109">
        <v>56.27689429373246</v>
      </c>
      <c r="Q18" s="107">
        <v>0.0</v>
      </c>
    </row>
    <row r="19">
      <c r="A19" s="119">
        <v>77.0</v>
      </c>
      <c r="B19" s="119" t="s">
        <v>28</v>
      </c>
      <c r="C19" s="108">
        <v>45677.0</v>
      </c>
      <c r="D19" s="119">
        <v>47.0</v>
      </c>
      <c r="E19" s="76" t="s">
        <v>17</v>
      </c>
      <c r="F19" s="109">
        <v>60.7563651137594</v>
      </c>
      <c r="G19" s="109"/>
      <c r="H19" s="109"/>
      <c r="I19" s="109"/>
      <c r="J19" s="109"/>
      <c r="K19" s="109">
        <v>12.0</v>
      </c>
      <c r="L19" s="109">
        <v>152.96</v>
      </c>
      <c r="M19" s="109">
        <v>2356.64</v>
      </c>
      <c r="N19" s="76">
        <v>60.0</v>
      </c>
      <c r="O19" s="109"/>
      <c r="P19" s="109">
        <v>15.406903765690375</v>
      </c>
      <c r="Q19" s="107">
        <v>18.0</v>
      </c>
    </row>
    <row r="20">
      <c r="A20" s="76">
        <v>148.0</v>
      </c>
      <c r="B20" s="76" t="s">
        <v>30</v>
      </c>
      <c r="C20" s="108">
        <v>45677.0</v>
      </c>
      <c r="D20" s="76">
        <v>1475.0</v>
      </c>
      <c r="E20" s="76" t="s">
        <v>17</v>
      </c>
      <c r="F20" s="109">
        <v>56.4173196363555</v>
      </c>
      <c r="G20" s="109"/>
      <c r="H20" s="109"/>
      <c r="I20" s="109"/>
      <c r="J20" s="109"/>
      <c r="K20" s="109">
        <v>6.99999999999999</v>
      </c>
      <c r="L20" s="109">
        <v>101.46</v>
      </c>
      <c r="M20" s="109">
        <v>795.72</v>
      </c>
      <c r="N20" s="76">
        <v>30.0</v>
      </c>
      <c r="O20" s="109"/>
      <c r="P20" s="109">
        <v>7.842696629213484</v>
      </c>
      <c r="Q20" s="107">
        <v>9.0</v>
      </c>
    </row>
    <row r="21">
      <c r="M21" s="114"/>
      <c r="O21" s="114"/>
      <c r="P21" s="114"/>
    </row>
    <row r="24">
      <c r="C24" s="90" t="s">
        <v>145</v>
      </c>
    </row>
    <row r="25">
      <c r="C25" s="99" t="s">
        <v>42</v>
      </c>
    </row>
    <row r="26">
      <c r="C26" s="120" t="s">
        <v>146</v>
      </c>
    </row>
    <row r="27">
      <c r="C27" s="121" t="s">
        <v>147</v>
      </c>
    </row>
    <row r="28">
      <c r="C28" s="119" t="s">
        <v>148</v>
      </c>
    </row>
    <row r="30">
      <c r="C30" s="93" t="s">
        <v>149</v>
      </c>
    </row>
    <row r="31">
      <c r="C31" s="90" t="s">
        <v>150</v>
      </c>
      <c r="L31" s="90" t="s">
        <v>37</v>
      </c>
      <c r="Q31" s="90" t="s">
        <v>34</v>
      </c>
      <c r="Z31" s="90" t="s">
        <v>36</v>
      </c>
      <c r="AH31" s="90" t="s">
        <v>33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19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19">
        <v>194.0</v>
      </c>
    </row>
    <row r="33">
      <c r="C33" s="126">
        <f t="shared" ref="C33:J33" si="2">SUM(C34:C47)</f>
        <v>2.25</v>
      </c>
      <c r="D33" s="107">
        <f t="shared" si="2"/>
        <v>-12.37</v>
      </c>
      <c r="E33" s="107">
        <f t="shared" si="2"/>
        <v>-24.21</v>
      </c>
      <c r="F33" s="107">
        <f t="shared" si="2"/>
        <v>11.79</v>
      </c>
      <c r="G33" s="107">
        <f t="shared" si="2"/>
        <v>-15.52</v>
      </c>
      <c r="H33" s="107">
        <f t="shared" si="2"/>
        <v>-8.53</v>
      </c>
      <c r="I33" s="107">
        <f t="shared" si="2"/>
        <v>-4.23</v>
      </c>
      <c r="J33" s="107">
        <f t="shared" si="2"/>
        <v>-24.21</v>
      </c>
      <c r="L33" s="126">
        <f>SUM(L34:L51)</f>
        <v>-1.5</v>
      </c>
      <c r="M33" s="107">
        <f t="shared" ref="M33:O33" si="3">SUM(M34:M47)</f>
        <v>24.31</v>
      </c>
      <c r="N33" s="107">
        <f t="shared" si="3"/>
        <v>31.5</v>
      </c>
      <c r="O33" s="107">
        <f t="shared" si="3"/>
        <v>-5.84</v>
      </c>
      <c r="Q33" s="126">
        <f>SUM(Q34:Q51)</f>
        <v>-7.31</v>
      </c>
      <c r="R33" s="107">
        <f t="shared" ref="R33:W33" si="4">SUM(R34:R47)</f>
        <v>-20.51</v>
      </c>
      <c r="S33" s="127">
        <f t="shared" si="4"/>
        <v>-10.26</v>
      </c>
      <c r="T33" s="107">
        <f t="shared" si="4"/>
        <v>7.35</v>
      </c>
      <c r="U33" s="107">
        <f t="shared" si="4"/>
        <v>17.63</v>
      </c>
      <c r="V33" s="107">
        <f t="shared" si="4"/>
        <v>4.01</v>
      </c>
      <c r="W33" s="107">
        <f t="shared" si="4"/>
        <v>-18.07</v>
      </c>
      <c r="X33" s="118"/>
      <c r="Z33" s="107">
        <f t="shared" ref="Z33:AF33" si="5">SUM(Z34:Z101)</f>
        <v>-14.05</v>
      </c>
      <c r="AA33" s="107">
        <f t="shared" si="5"/>
        <v>18.35</v>
      </c>
      <c r="AB33" s="107">
        <f t="shared" si="5"/>
        <v>17.99</v>
      </c>
      <c r="AC33" s="127">
        <f t="shared" si="5"/>
        <v>13.54</v>
      </c>
      <c r="AD33" s="107">
        <f t="shared" si="5"/>
        <v>-12.75</v>
      </c>
      <c r="AE33" s="107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7">
        <f t="shared" si="6"/>
        <v>-23.73</v>
      </c>
      <c r="AJ33" s="107">
        <f t="shared" si="6"/>
        <v>-49.24</v>
      </c>
      <c r="AK33" s="107">
        <f t="shared" si="6"/>
        <v>-59.85</v>
      </c>
      <c r="AL33" s="107">
        <f t="shared" si="6"/>
        <v>16.48</v>
      </c>
      <c r="AM33" s="127">
        <f t="shared" si="6"/>
        <v>1.43</v>
      </c>
      <c r="AN33" s="107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8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8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8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8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8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8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8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8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8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8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8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8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8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8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8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8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8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8"/>
    </row>
    <row r="63">
      <c r="C63" s="90" t="s">
        <v>151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152</v>
      </c>
      <c r="J65" s="4" t="s">
        <v>153</v>
      </c>
      <c r="K65" s="60" t="s">
        <v>154</v>
      </c>
      <c r="L65" s="4" t="s">
        <v>155</v>
      </c>
      <c r="M65" s="131" t="s">
        <v>156</v>
      </c>
      <c r="N65" s="132" t="s">
        <v>157</v>
      </c>
    </row>
    <row r="66">
      <c r="C66" s="10">
        <v>6.0</v>
      </c>
      <c r="D66" s="11" t="s">
        <v>16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79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79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79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22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28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79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79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158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152</v>
      </c>
      <c r="J77" s="4" t="s">
        <v>153</v>
      </c>
      <c r="K77" s="60" t="s">
        <v>154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31" t="s">
        <v>156</v>
      </c>
      <c r="R77" s="132" t="s">
        <v>157</v>
      </c>
    </row>
    <row r="78">
      <c r="C78" s="10">
        <v>6.0</v>
      </c>
      <c r="D78" s="11" t="s">
        <v>16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79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79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79">
        <v>5.0</v>
      </c>
      <c r="M80" s="79">
        <v>60.0</v>
      </c>
      <c r="N80" s="79">
        <v>30.0</v>
      </c>
      <c r="O80" s="79"/>
      <c r="P80" s="79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22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79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79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28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79">
        <v>10.0</v>
      </c>
      <c r="M83" s="79">
        <v>40.0</v>
      </c>
      <c r="N83" s="79">
        <v>50.0</v>
      </c>
      <c r="O83" s="79"/>
      <c r="P83" s="79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79">
        <v>70.0</v>
      </c>
      <c r="M84" s="79">
        <v>70.0</v>
      </c>
      <c r="N84" s="79">
        <v>10.0</v>
      </c>
      <c r="O84" s="79"/>
      <c r="P84" s="79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159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146</v>
      </c>
      <c r="I96" s="4" t="s">
        <v>41</v>
      </c>
      <c r="J96" s="4" t="s">
        <v>42</v>
      </c>
      <c r="K96" s="60" t="s">
        <v>160</v>
      </c>
      <c r="L96" s="60" t="s">
        <v>161</v>
      </c>
      <c r="M96" s="60" t="s">
        <v>162</v>
      </c>
      <c r="N96" s="4" t="s">
        <v>153</v>
      </c>
      <c r="O96" s="60" t="s">
        <v>154</v>
      </c>
      <c r="P96" s="131" t="s">
        <v>156</v>
      </c>
      <c r="Q96" s="4" t="s">
        <v>5</v>
      </c>
      <c r="R96" s="4" t="s">
        <v>6</v>
      </c>
      <c r="S96" s="4" t="s">
        <v>7</v>
      </c>
      <c r="T96" s="4" t="s">
        <v>8</v>
      </c>
      <c r="U96" s="132" t="s">
        <v>157</v>
      </c>
    </row>
    <row r="97">
      <c r="C97" s="10">
        <v>6.0</v>
      </c>
      <c r="D97" s="11" t="s">
        <v>16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79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79">
        <v>5.0</v>
      </c>
      <c r="R99" s="79">
        <v>60.0</v>
      </c>
      <c r="S99" s="79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22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25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28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79">
        <v>5.0</v>
      </c>
      <c r="R102" s="79">
        <v>80.0</v>
      </c>
      <c r="S102" s="79">
        <v>50.0</v>
      </c>
      <c r="T102" s="79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30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79">
        <v>90.0</v>
      </c>
      <c r="R103" s="79">
        <v>15.0</v>
      </c>
      <c r="S103" s="79">
        <v>5.0</v>
      </c>
      <c r="T103" s="79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163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5"/>
      <c r="V1" s="90"/>
    </row>
    <row r="2">
      <c r="A2" s="143"/>
      <c r="B2" s="144" t="s">
        <v>164</v>
      </c>
      <c r="C2" s="144" t="s">
        <v>165</v>
      </c>
      <c r="D2" s="145" t="s">
        <v>166</v>
      </c>
      <c r="E2" s="145" t="s">
        <v>167</v>
      </c>
      <c r="F2" s="144" t="s">
        <v>168</v>
      </c>
      <c r="G2" s="146" t="s">
        <v>169</v>
      </c>
      <c r="H2" s="146" t="s">
        <v>170</v>
      </c>
      <c r="I2" s="146" t="s">
        <v>171</v>
      </c>
      <c r="J2" s="144"/>
      <c r="K2" s="144" t="s">
        <v>172</v>
      </c>
      <c r="L2" s="144" t="s">
        <v>173</v>
      </c>
      <c r="M2" s="147" t="s">
        <v>174</v>
      </c>
      <c r="N2" s="146" t="s">
        <v>175</v>
      </c>
      <c r="O2" s="146" t="s">
        <v>176</v>
      </c>
      <c r="P2" s="146" t="s">
        <v>177</v>
      </c>
      <c r="U2" s="105"/>
      <c r="V2" s="90"/>
    </row>
    <row r="3">
      <c r="A3" s="148" t="s">
        <v>33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34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09"/>
      <c r="R4" s="109"/>
      <c r="S4" s="109"/>
    </row>
    <row r="5">
      <c r="A5" s="148" t="s">
        <v>36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09"/>
      <c r="R5" s="109"/>
      <c r="S5" s="109"/>
    </row>
    <row r="6">
      <c r="A6" s="148" t="s">
        <v>37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38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4"/>
    </row>
    <row r="9">
      <c r="O9" s="109"/>
      <c r="P9" s="115"/>
      <c r="Q9" s="115"/>
      <c r="R9" s="115"/>
      <c r="S9" s="115"/>
      <c r="V9" s="115"/>
    </row>
    <row r="10">
      <c r="A10" s="115"/>
      <c r="E10" s="76" t="s">
        <v>178</v>
      </c>
      <c r="O10" s="109"/>
      <c r="P10" s="115"/>
      <c r="Q10" s="115"/>
      <c r="R10" s="115"/>
      <c r="S10" s="45"/>
      <c r="T10" s="32"/>
    </row>
    <row r="11">
      <c r="A11" s="105"/>
      <c r="E11" s="23" t="s">
        <v>19</v>
      </c>
      <c r="F11" s="14">
        <v>343.0</v>
      </c>
      <c r="O11" s="109"/>
      <c r="P11" s="105"/>
      <c r="Q11" s="105"/>
      <c r="R11" s="105"/>
      <c r="S11" s="105"/>
      <c r="T11" s="105"/>
      <c r="V11" s="105"/>
      <c r="W11" s="105"/>
    </row>
    <row r="12">
      <c r="A12" s="151"/>
      <c r="E12" s="23" t="s">
        <v>22</v>
      </c>
      <c r="F12" s="14">
        <v>724.0</v>
      </c>
      <c r="O12" s="114"/>
      <c r="P12" s="151"/>
      <c r="Q12" s="151"/>
      <c r="S12" s="151"/>
      <c r="T12" s="151"/>
      <c r="V12" s="151"/>
      <c r="W12" s="151"/>
    </row>
    <row r="13">
      <c r="A13" s="151"/>
      <c r="E13" s="20" t="s">
        <v>25</v>
      </c>
      <c r="F13" s="14">
        <v>1051.0</v>
      </c>
      <c r="O13" s="114"/>
      <c r="P13" s="151"/>
      <c r="Q13" s="151"/>
      <c r="S13" s="151"/>
      <c r="T13" s="151"/>
      <c r="V13" s="151"/>
      <c r="W13" s="151"/>
    </row>
    <row r="14">
      <c r="A14" s="151"/>
      <c r="E14" s="20" t="s">
        <v>28</v>
      </c>
      <c r="F14" s="14">
        <v>47.0</v>
      </c>
      <c r="N14" s="114"/>
      <c r="O14" s="114"/>
      <c r="P14" s="151"/>
      <c r="Q14" s="151"/>
      <c r="S14" s="151"/>
      <c r="T14" s="151"/>
      <c r="V14" s="151"/>
      <c r="W14" s="151"/>
    </row>
    <row r="15">
      <c r="A15" s="115"/>
      <c r="B15" s="151"/>
      <c r="C15" s="151"/>
      <c r="D15" s="151"/>
      <c r="E15" s="20" t="s">
        <v>30</v>
      </c>
      <c r="F15" s="14">
        <v>1447.0</v>
      </c>
      <c r="G15" s="151"/>
      <c r="H15" s="151"/>
      <c r="I15" s="151"/>
      <c r="J15" s="151"/>
      <c r="K15" s="151"/>
      <c r="N15" s="151"/>
      <c r="O15" s="109"/>
      <c r="P15" s="115"/>
      <c r="Q15" s="115"/>
      <c r="R15" s="115"/>
      <c r="S15" s="151"/>
      <c r="T15" s="151"/>
      <c r="V15" s="151"/>
      <c r="W15" s="151"/>
    </row>
    <row r="16">
      <c r="A16" s="115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09"/>
      <c r="P16" s="115"/>
      <c r="Q16" s="115"/>
      <c r="R16" s="115"/>
      <c r="S16" s="151"/>
      <c r="T16" s="151"/>
      <c r="V16" s="151"/>
    </row>
    <row r="17">
      <c r="O17" s="109"/>
      <c r="P17" s="151"/>
      <c r="Q17" s="151"/>
      <c r="S17" s="151"/>
      <c r="T17" s="151"/>
    </row>
    <row r="18">
      <c r="A18" s="109"/>
      <c r="E18" s="76" t="s">
        <v>179</v>
      </c>
      <c r="O18" s="109"/>
      <c r="P18" s="109"/>
      <c r="Q18" s="109"/>
      <c r="R18" s="109"/>
      <c r="S18" s="151"/>
      <c r="T18" s="151"/>
      <c r="W18" s="151"/>
    </row>
    <row r="19">
      <c r="A19" s="109"/>
      <c r="E19" s="23" t="s">
        <v>19</v>
      </c>
      <c r="F19" s="14">
        <v>663.0</v>
      </c>
      <c r="O19" s="109"/>
      <c r="P19" s="109"/>
      <c r="Q19" s="109"/>
      <c r="R19" s="109"/>
      <c r="S19" s="151"/>
      <c r="T19" s="151"/>
    </row>
    <row r="20">
      <c r="E20" s="23" t="s">
        <v>22</v>
      </c>
      <c r="F20" s="14">
        <v>654.0</v>
      </c>
      <c r="O20" s="109"/>
      <c r="Q20" s="151"/>
      <c r="S20" s="151"/>
      <c r="T20" s="151"/>
    </row>
    <row r="21">
      <c r="E21" s="20" t="s">
        <v>25</v>
      </c>
      <c r="F21" s="14">
        <v>1051.0</v>
      </c>
      <c r="O21" s="109"/>
      <c r="P21" s="151"/>
      <c r="T21" s="151"/>
    </row>
    <row r="22">
      <c r="E22" s="20" t="s">
        <v>28</v>
      </c>
      <c r="F22" s="14">
        <v>622.0</v>
      </c>
      <c r="M22" s="115"/>
      <c r="O22" s="114"/>
      <c r="P22" s="151"/>
      <c r="T22" s="151"/>
    </row>
    <row r="23">
      <c r="E23" s="20" t="s">
        <v>30</v>
      </c>
      <c r="F23" s="14">
        <v>1545.0</v>
      </c>
      <c r="M23" s="115"/>
      <c r="O23" s="114"/>
      <c r="T23" s="151"/>
    </row>
    <row r="24">
      <c r="M24" s="115"/>
      <c r="O24" s="114"/>
      <c r="Q24" s="151"/>
      <c r="T24" s="151"/>
    </row>
    <row r="25">
      <c r="O25" s="114"/>
    </row>
    <row r="26">
      <c r="O26" s="114"/>
      <c r="T26" s="151"/>
    </row>
    <row r="27">
      <c r="N27" s="114"/>
      <c r="O27" s="11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169</v>
      </c>
      <c r="I32" s="4" t="s">
        <v>5</v>
      </c>
      <c r="J32" s="4" t="s">
        <v>6</v>
      </c>
      <c r="K32" s="4" t="s">
        <v>7</v>
      </c>
      <c r="L32" s="153" t="s">
        <v>8</v>
      </c>
      <c r="M32" s="153" t="s">
        <v>157</v>
      </c>
      <c r="N32" s="60" t="s">
        <v>171</v>
      </c>
      <c r="O32" s="154" t="s">
        <v>156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55">
        <f>5.8410821479406*100</f>
        <v>584.1082148</v>
      </c>
      <c r="I33" s="79">
        <v>70.0</v>
      </c>
      <c r="J33" s="79">
        <v>45.0</v>
      </c>
      <c r="K33" s="79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19</v>
      </c>
      <c r="E35" s="12">
        <v>45679.0</v>
      </c>
      <c r="F35" s="14">
        <v>343.0</v>
      </c>
      <c r="G35" s="14" t="s">
        <v>17</v>
      </c>
      <c r="H35" s="155">
        <f>1.95083127981317*100</f>
        <v>195.083128</v>
      </c>
      <c r="I35" s="79">
        <v>10.0</v>
      </c>
      <c r="J35" s="79">
        <v>25.0</v>
      </c>
      <c r="K35" s="79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22</v>
      </c>
      <c r="E36" s="12">
        <v>45679.0</v>
      </c>
      <c r="F36" s="14">
        <v>724.0</v>
      </c>
      <c r="G36" s="14" t="s">
        <v>17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25</v>
      </c>
      <c r="E37" s="12">
        <v>45680.0</v>
      </c>
      <c r="F37" s="14">
        <v>1051.0</v>
      </c>
      <c r="G37" s="14" t="s">
        <v>17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28</v>
      </c>
      <c r="E38" s="12">
        <v>45677.0</v>
      </c>
      <c r="F38" s="14">
        <v>281.0</v>
      </c>
      <c r="G38" s="14" t="s">
        <v>17</v>
      </c>
      <c r="H38" s="155">
        <f>2.76792853614368*100</f>
        <v>276.7928536</v>
      </c>
      <c r="I38" s="79">
        <v>10.0</v>
      </c>
      <c r="J38" s="79">
        <v>70.0</v>
      </c>
      <c r="K38" s="79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30</v>
      </c>
      <c r="E39" s="12">
        <v>45677.0</v>
      </c>
      <c r="F39" s="14">
        <v>1051.0</v>
      </c>
      <c r="G39" s="14" t="s">
        <v>17</v>
      </c>
      <c r="H39" s="155">
        <f>4.33116583093229*100</f>
        <v>433.1165831</v>
      </c>
      <c r="I39" s="79">
        <v>45.0</v>
      </c>
      <c r="J39" s="79">
        <v>10.0</v>
      </c>
      <c r="K39" s="79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7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7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7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9">
      <c r="B9" s="76" t="s">
        <v>180</v>
      </c>
      <c r="C9" s="76" t="s">
        <v>181</v>
      </c>
      <c r="D9" s="76" t="s">
        <v>182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183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184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185</v>
      </c>
    </row>
    <row r="17">
      <c r="G17" s="164"/>
      <c r="H17" s="90" t="s">
        <v>186</v>
      </c>
      <c r="I17" s="90" t="s">
        <v>187</v>
      </c>
    </row>
    <row r="18">
      <c r="A18" s="76">
        <v>332.0</v>
      </c>
      <c r="B18" s="76">
        <v>0.05</v>
      </c>
      <c r="C18" s="76">
        <v>0.85</v>
      </c>
      <c r="G18" s="165" t="s">
        <v>33</v>
      </c>
      <c r="H18" s="76">
        <v>332.0</v>
      </c>
      <c r="I18" s="83" t="s">
        <v>188</v>
      </c>
    </row>
    <row r="19">
      <c r="A19" s="76">
        <v>518.0</v>
      </c>
      <c r="B19" s="76">
        <v>0.01</v>
      </c>
      <c r="C19" s="76">
        <v>0.81</v>
      </c>
      <c r="G19" s="165" t="s">
        <v>34</v>
      </c>
      <c r="H19" s="76" t="s">
        <v>189</v>
      </c>
      <c r="I19" s="76" t="s">
        <v>190</v>
      </c>
    </row>
    <row r="20">
      <c r="A20" s="76">
        <v>1082.0</v>
      </c>
      <c r="B20" s="76">
        <v>0.04</v>
      </c>
      <c r="C20" s="76">
        <v>0.89</v>
      </c>
      <c r="G20" s="165" t="s">
        <v>36</v>
      </c>
      <c r="H20" s="76">
        <v>411.0</v>
      </c>
      <c r="I20" s="76" t="s">
        <v>191</v>
      </c>
    </row>
    <row r="21">
      <c r="G21" s="165" t="s">
        <v>37</v>
      </c>
      <c r="H21" s="76" t="s">
        <v>192</v>
      </c>
      <c r="I21" s="76" t="s">
        <v>193</v>
      </c>
    </row>
    <row r="22">
      <c r="G22" s="165" t="s">
        <v>38</v>
      </c>
      <c r="H22" s="76" t="s">
        <v>194</v>
      </c>
      <c r="I22" s="76" t="s">
        <v>195</v>
      </c>
    </row>
    <row r="24">
      <c r="B24" s="11"/>
      <c r="I24" s="76" t="s">
        <v>196</v>
      </c>
    </row>
    <row r="25">
      <c r="B25" s="2" t="s">
        <v>1</v>
      </c>
      <c r="I25" s="76" t="s">
        <v>197</v>
      </c>
    </row>
    <row r="26">
      <c r="B26" s="23" t="s">
        <v>19</v>
      </c>
      <c r="C26" s="76">
        <v>332.0</v>
      </c>
      <c r="M26" s="114"/>
      <c r="N26" s="114"/>
    </row>
    <row r="27">
      <c r="B27" s="23" t="s">
        <v>22</v>
      </c>
      <c r="C27" s="76">
        <v>1288.0</v>
      </c>
      <c r="M27" s="114"/>
      <c r="N27" s="114"/>
    </row>
    <row r="28">
      <c r="B28" s="20" t="s">
        <v>25</v>
      </c>
      <c r="C28" s="76">
        <v>411.0</v>
      </c>
      <c r="M28" s="114"/>
      <c r="N28" s="114"/>
    </row>
    <row r="29">
      <c r="B29" s="20" t="s">
        <v>28</v>
      </c>
      <c r="C29" s="76">
        <v>1015.0</v>
      </c>
      <c r="M29" s="114"/>
      <c r="N29" s="114"/>
    </row>
    <row r="30">
      <c r="B30" s="20" t="s">
        <v>30</v>
      </c>
      <c r="C30" s="76">
        <v>530.0</v>
      </c>
      <c r="I30" s="90" t="s">
        <v>198</v>
      </c>
      <c r="M30" s="114"/>
      <c r="N30" s="114"/>
    </row>
    <row r="31">
      <c r="I31" s="90" t="s">
        <v>199</v>
      </c>
      <c r="M31" s="114"/>
      <c r="N31" s="114"/>
    </row>
    <row r="32">
      <c r="I32" s="76" t="s">
        <v>200</v>
      </c>
      <c r="M32" s="114"/>
      <c r="N32" s="114"/>
    </row>
    <row r="33">
      <c r="I33" s="76" t="s">
        <v>201</v>
      </c>
      <c r="M33" s="114"/>
      <c r="N33" s="114"/>
    </row>
    <row r="34">
      <c r="M34" s="114"/>
      <c r="N34" s="114"/>
    </row>
    <row r="35">
      <c r="I35" s="76" t="s">
        <v>202</v>
      </c>
      <c r="M35" s="114"/>
      <c r="N35" s="114"/>
    </row>
    <row r="36">
      <c r="M36" s="114"/>
      <c r="N36" s="114"/>
    </row>
    <row r="37">
      <c r="M37" s="114"/>
      <c r="N37" s="114"/>
    </row>
    <row r="38">
      <c r="M38" s="114"/>
      <c r="N38" s="114"/>
    </row>
    <row r="39">
      <c r="I39" s="90" t="s">
        <v>203</v>
      </c>
      <c r="M39" s="114"/>
      <c r="N39" s="114"/>
    </row>
    <row r="40">
      <c r="I40" s="76" t="s">
        <v>204</v>
      </c>
      <c r="M40" s="114"/>
      <c r="N40" s="114"/>
    </row>
    <row r="41">
      <c r="I41" s="76" t="s">
        <v>205</v>
      </c>
      <c r="M41" s="114"/>
      <c r="N41" s="114"/>
    </row>
    <row r="42">
      <c r="I42" s="93" t="s">
        <v>206</v>
      </c>
      <c r="M42" s="114"/>
      <c r="N42" s="114"/>
    </row>
    <row r="43">
      <c r="M43" s="114"/>
      <c r="N43" s="114"/>
    </row>
    <row r="44">
      <c r="I44" s="90" t="s">
        <v>207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208</v>
      </c>
    </row>
    <row r="3">
      <c r="C3" s="76" t="s">
        <v>209</v>
      </c>
      <c r="D3" s="76" t="s">
        <v>210</v>
      </c>
      <c r="H3" s="76" t="s">
        <v>211</v>
      </c>
      <c r="K3" s="114"/>
      <c r="L3" s="114"/>
    </row>
    <row r="4">
      <c r="B4" s="76" t="s">
        <v>33</v>
      </c>
      <c r="C4" s="90" t="s">
        <v>212</v>
      </c>
      <c r="D4" s="90" t="s">
        <v>212</v>
      </c>
      <c r="H4" s="76" t="s">
        <v>213</v>
      </c>
      <c r="I4" s="166"/>
      <c r="J4" s="166"/>
      <c r="K4" s="114"/>
      <c r="L4" s="114"/>
    </row>
    <row r="5">
      <c r="B5" s="90" t="s">
        <v>214</v>
      </c>
      <c r="C5" s="105">
        <f t="shared" ref="C5:D5" si="1">SUM(C6:C18)</f>
        <v>23.59</v>
      </c>
      <c r="D5" s="105">
        <f t="shared" si="1"/>
        <v>33.21</v>
      </c>
      <c r="E5" s="163">
        <f>(D5-C5)/C5</f>
        <v>0.4077999152</v>
      </c>
      <c r="F5" s="76" t="s">
        <v>215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216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217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218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219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220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34</v>
      </c>
      <c r="C20" s="90" t="s">
        <v>209</v>
      </c>
      <c r="D20" s="90" t="s">
        <v>210</v>
      </c>
    </row>
    <row r="21">
      <c r="B21" s="90" t="s">
        <v>214</v>
      </c>
      <c r="C21" s="105">
        <f t="shared" ref="C21:D21" si="2">sum(C22:C34)</f>
        <v>17.92</v>
      </c>
      <c r="D21" s="105">
        <f t="shared" si="2"/>
        <v>25.11</v>
      </c>
      <c r="E21" s="163">
        <f>(D21-C21)/C21</f>
        <v>0.4012276786</v>
      </c>
      <c r="F21" s="76" t="s">
        <v>215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36</v>
      </c>
      <c r="C37" s="90" t="s">
        <v>209</v>
      </c>
      <c r="D37" s="90" t="s">
        <v>210</v>
      </c>
    </row>
    <row r="38">
      <c r="B38" s="90" t="s">
        <v>214</v>
      </c>
      <c r="C38" s="105">
        <f t="shared" ref="C38:D38" si="3">sum(C39:C51)</f>
        <v>41.51</v>
      </c>
      <c r="D38" s="105">
        <f t="shared" si="3"/>
        <v>42.82</v>
      </c>
      <c r="E38" s="163">
        <f>(D38-C38)/C38</f>
        <v>0.03155866056</v>
      </c>
      <c r="F38" s="76" t="s">
        <v>221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4"/>
      <c r="L49" s="114"/>
    </row>
    <row r="50">
      <c r="C50" s="76">
        <v>2.21</v>
      </c>
      <c r="D50" s="76">
        <v>3.14</v>
      </c>
      <c r="K50" s="114"/>
      <c r="L50" s="114"/>
    </row>
    <row r="51">
      <c r="C51" s="76">
        <v>0.58</v>
      </c>
      <c r="D51" s="76">
        <v>3.43</v>
      </c>
      <c r="K51" s="114"/>
      <c r="L51" s="114"/>
    </row>
    <row r="52">
      <c r="K52" s="114"/>
      <c r="L52" s="114"/>
    </row>
    <row r="53">
      <c r="K53" s="114"/>
      <c r="L53" s="114"/>
    </row>
    <row r="54">
      <c r="B54" s="90" t="s">
        <v>37</v>
      </c>
      <c r="C54" s="90" t="s">
        <v>209</v>
      </c>
      <c r="D54" s="90" t="s">
        <v>210</v>
      </c>
      <c r="K54" s="114"/>
      <c r="L54" s="114"/>
    </row>
    <row r="55">
      <c r="B55" s="90" t="s">
        <v>214</v>
      </c>
      <c r="C55" s="105">
        <f>sum(C56:C69)</f>
        <v>26.14</v>
      </c>
      <c r="D55" s="105">
        <f>sum(D56:D68)</f>
        <v>26.29</v>
      </c>
      <c r="E55" s="163">
        <f>(D55-C55)/C55</f>
        <v>0.005738332058</v>
      </c>
      <c r="F55" s="76" t="s">
        <v>221</v>
      </c>
      <c r="K55" s="114"/>
      <c r="L55" s="114"/>
    </row>
    <row r="56">
      <c r="C56" s="76">
        <v>1.37</v>
      </c>
      <c r="D56" s="76">
        <v>4.62</v>
      </c>
      <c r="K56" s="114"/>
      <c r="L56" s="114"/>
    </row>
    <row r="57">
      <c r="C57" s="76">
        <v>2.53</v>
      </c>
      <c r="D57" s="76">
        <v>1.75</v>
      </c>
      <c r="K57" s="114"/>
      <c r="L57" s="114"/>
    </row>
    <row r="58">
      <c r="C58" s="76">
        <v>2.5</v>
      </c>
      <c r="D58" s="76">
        <v>2.53</v>
      </c>
      <c r="K58" s="114"/>
      <c r="L58" s="114"/>
    </row>
    <row r="59">
      <c r="C59" s="76">
        <v>4.62</v>
      </c>
      <c r="D59" s="76">
        <v>2.5</v>
      </c>
      <c r="K59" s="114"/>
      <c r="L59" s="114"/>
    </row>
    <row r="60">
      <c r="C60" s="76">
        <v>1.51</v>
      </c>
      <c r="D60" s="76">
        <v>1.85</v>
      </c>
      <c r="K60" s="114"/>
      <c r="L60" s="114"/>
    </row>
    <row r="61">
      <c r="C61" s="76">
        <v>2.54</v>
      </c>
      <c r="D61" s="76">
        <v>1.51</v>
      </c>
      <c r="K61" s="114"/>
      <c r="L61" s="114"/>
    </row>
    <row r="62">
      <c r="C62" s="76">
        <v>1.9</v>
      </c>
      <c r="D62" s="76">
        <v>1.09</v>
      </c>
      <c r="K62" s="114"/>
      <c r="L62" s="114"/>
    </row>
    <row r="63">
      <c r="C63" s="76">
        <v>1.79</v>
      </c>
      <c r="D63" s="76">
        <v>1.39</v>
      </c>
      <c r="K63" s="114"/>
      <c r="L63" s="114"/>
    </row>
    <row r="64">
      <c r="C64" s="76">
        <v>1.95</v>
      </c>
      <c r="D64" s="76">
        <v>1.17</v>
      </c>
      <c r="K64" s="114"/>
      <c r="L64" s="114"/>
    </row>
    <row r="65">
      <c r="C65" s="76">
        <v>0.87</v>
      </c>
      <c r="D65" s="76">
        <v>1.9</v>
      </c>
      <c r="K65" s="114"/>
      <c r="L65" s="114"/>
    </row>
    <row r="66">
      <c r="C66" s="76">
        <v>1.46</v>
      </c>
      <c r="D66" s="76">
        <v>1.02</v>
      </c>
      <c r="K66" s="114"/>
      <c r="L66" s="114"/>
    </row>
    <row r="67">
      <c r="C67" s="76">
        <v>0.59</v>
      </c>
      <c r="D67" s="76">
        <v>2.42</v>
      </c>
      <c r="K67" s="114"/>
      <c r="L67" s="114"/>
    </row>
    <row r="68">
      <c r="C68" s="76">
        <v>0.6</v>
      </c>
      <c r="D68" s="76">
        <v>2.54</v>
      </c>
      <c r="K68" s="114"/>
      <c r="L68" s="114"/>
    </row>
    <row r="69">
      <c r="C69" s="76">
        <v>1.91</v>
      </c>
      <c r="D69" s="76">
        <v>1.46</v>
      </c>
      <c r="K69" s="114"/>
      <c r="L69" s="114"/>
    </row>
    <row r="70">
      <c r="K70" s="114"/>
      <c r="L70" s="114"/>
    </row>
    <row r="71">
      <c r="B71" s="90" t="s">
        <v>38</v>
      </c>
      <c r="C71" s="90" t="s">
        <v>209</v>
      </c>
      <c r="D71" s="90" t="s">
        <v>210</v>
      </c>
      <c r="K71" s="114"/>
      <c r="L71" s="114"/>
    </row>
    <row r="72">
      <c r="B72" s="90" t="s">
        <v>214</v>
      </c>
      <c r="C72" s="105">
        <f>sum(C73:C86)</f>
        <v>15.74</v>
      </c>
      <c r="D72" s="105">
        <f>sum(D73:D85)</f>
        <v>21.91</v>
      </c>
      <c r="E72" s="163">
        <f>(D72-C72)/C72</f>
        <v>0.3919949174</v>
      </c>
      <c r="F72" s="76" t="s">
        <v>215</v>
      </c>
      <c r="K72" s="114"/>
      <c r="L72" s="114"/>
    </row>
    <row r="73">
      <c r="C73" s="76">
        <v>1.39</v>
      </c>
      <c r="D73" s="76">
        <v>2.51</v>
      </c>
      <c r="K73" s="114"/>
      <c r="L73" s="114"/>
    </row>
    <row r="74">
      <c r="C74" s="76">
        <v>0.61</v>
      </c>
      <c r="D74" s="76">
        <v>1.39</v>
      </c>
      <c r="K74" s="114"/>
      <c r="L74" s="114"/>
    </row>
    <row r="75">
      <c r="C75" s="76">
        <v>1.58</v>
      </c>
      <c r="D75" s="76">
        <v>1.4</v>
      </c>
      <c r="K75" s="114"/>
      <c r="L75" s="114"/>
    </row>
    <row r="76">
      <c r="C76" s="76">
        <v>0.56</v>
      </c>
      <c r="D76" s="76">
        <v>3.85</v>
      </c>
      <c r="K76" s="114"/>
      <c r="L76" s="114"/>
    </row>
    <row r="77">
      <c r="C77" s="76">
        <v>0.74</v>
      </c>
      <c r="D77" s="76">
        <v>0.74</v>
      </c>
      <c r="K77" s="114"/>
      <c r="L77" s="114"/>
    </row>
    <row r="78">
      <c r="C78" s="76">
        <v>0.99</v>
      </c>
      <c r="D78" s="76">
        <v>0.99</v>
      </c>
      <c r="K78" s="114"/>
      <c r="L78" s="114"/>
    </row>
    <row r="79">
      <c r="C79" s="76">
        <v>3.84</v>
      </c>
      <c r="D79" s="76">
        <v>3.84</v>
      </c>
      <c r="K79" s="114"/>
      <c r="L79" s="114"/>
    </row>
    <row r="80">
      <c r="C80" s="76">
        <v>1.58</v>
      </c>
      <c r="D80" s="76">
        <v>1.58</v>
      </c>
      <c r="K80" s="114"/>
      <c r="L80" s="114"/>
    </row>
    <row r="81">
      <c r="C81" s="76">
        <v>0.88</v>
      </c>
      <c r="D81" s="76">
        <v>2.37</v>
      </c>
      <c r="K81" s="114"/>
      <c r="L81" s="114"/>
    </row>
    <row r="82">
      <c r="C82" s="76">
        <v>0.99</v>
      </c>
      <c r="D82" s="76">
        <v>0.56</v>
      </c>
      <c r="K82" s="114"/>
      <c r="L82" s="114"/>
    </row>
    <row r="83">
      <c r="C83" s="76">
        <v>1.13</v>
      </c>
      <c r="D83" s="76">
        <v>0.61</v>
      </c>
      <c r="K83" s="114"/>
      <c r="L83" s="114"/>
    </row>
    <row r="84">
      <c r="C84" s="76">
        <v>0.91</v>
      </c>
      <c r="D84" s="76">
        <v>1.22</v>
      </c>
      <c r="K84" s="114"/>
      <c r="L84" s="114"/>
    </row>
    <row r="85">
      <c r="C85" s="76">
        <v>0.54</v>
      </c>
      <c r="D85" s="76">
        <v>0.85</v>
      </c>
      <c r="K85" s="114"/>
      <c r="L85" s="114"/>
    </row>
    <row r="86">
      <c r="K86" s="114"/>
      <c r="L86" s="114"/>
    </row>
    <row r="87">
      <c r="K87" s="114"/>
      <c r="L87" s="114"/>
    </row>
    <row r="88">
      <c r="K88" s="114"/>
      <c r="L88" s="114"/>
    </row>
    <row r="89">
      <c r="K89" s="114"/>
      <c r="L89" s="114"/>
    </row>
    <row r="90">
      <c r="K90" s="114"/>
      <c r="L90" s="114"/>
    </row>
    <row r="91">
      <c r="K91" s="114"/>
      <c r="L91" s="114"/>
    </row>
    <row r="92">
      <c r="K92" s="114"/>
      <c r="L92" s="114"/>
    </row>
    <row r="93">
      <c r="K93" s="114"/>
      <c r="L93" s="114"/>
    </row>
    <row r="94">
      <c r="K94" s="114"/>
      <c r="L94" s="114"/>
    </row>
    <row r="95">
      <c r="K95" s="114"/>
      <c r="L95" s="114"/>
    </row>
    <row r="96">
      <c r="J96" s="79"/>
      <c r="K96" s="114"/>
      <c r="L96" s="114"/>
    </row>
    <row r="97">
      <c r="J97" s="79"/>
      <c r="K97" s="114"/>
      <c r="L97" s="1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79"/>
      <c r="B1" s="6"/>
      <c r="C1" s="79"/>
      <c r="L1" s="34"/>
    </row>
    <row r="2">
      <c r="A2" s="79"/>
      <c r="B2" s="6" t="s">
        <v>222</v>
      </c>
      <c r="C2" s="79">
        <v>0.1</v>
      </c>
      <c r="L2" s="34"/>
    </row>
    <row r="3">
      <c r="A3" s="79"/>
      <c r="B3" s="6" t="s">
        <v>223</v>
      </c>
      <c r="C3" s="21" t="str">
        <f>AVERAGE(#REF!)</f>
        <v>#REF!</v>
      </c>
      <c r="L3" s="34"/>
      <c r="P3" s="34"/>
    </row>
    <row r="4">
      <c r="A4" s="79"/>
      <c r="B4" s="34"/>
      <c r="L4" s="34"/>
      <c r="P4" s="34"/>
      <c r="AE4" s="76" t="s">
        <v>224</v>
      </c>
      <c r="AF4" s="167">
        <f>CORREL(AE6:AE10000,AF6:AF10000)</f>
        <v>0.4113182759</v>
      </c>
    </row>
    <row r="5">
      <c r="A5" s="79"/>
      <c r="B5" s="34" t="s">
        <v>225</v>
      </c>
      <c r="L5" s="34" t="s">
        <v>226</v>
      </c>
      <c r="P5" s="34" t="s">
        <v>227</v>
      </c>
      <c r="AE5" s="76" t="s">
        <v>228</v>
      </c>
      <c r="AF5" s="76" t="s">
        <v>229</v>
      </c>
    </row>
    <row r="6">
      <c r="A6" s="79"/>
      <c r="B6" s="76" t="s">
        <v>230</v>
      </c>
      <c r="F6" s="76" t="s">
        <v>231</v>
      </c>
      <c r="K6" s="90"/>
      <c r="L6" s="90" t="s">
        <v>232</v>
      </c>
      <c r="N6" s="90" t="s">
        <v>233</v>
      </c>
      <c r="P6" s="90" t="s">
        <v>234</v>
      </c>
      <c r="R6" s="90" t="s">
        <v>235</v>
      </c>
      <c r="V6" s="90" t="s">
        <v>236</v>
      </c>
      <c r="AA6" s="76" t="s">
        <v>237</v>
      </c>
      <c r="AB6" s="76" t="s">
        <v>238</v>
      </c>
      <c r="AE6" s="76">
        <v>519.2</v>
      </c>
      <c r="AF6" s="76">
        <v>-50.86</v>
      </c>
    </row>
    <row r="7">
      <c r="A7" s="79"/>
      <c r="K7" s="168"/>
      <c r="L7" s="169" t="str">
        <f>AVERAGE(L10:L19)</f>
        <v>#VALUE!</v>
      </c>
      <c r="N7" s="107" t="str">
        <f>SUM(N10:N29)/SUM(M10:M19)</f>
        <v>#VALUE!</v>
      </c>
      <c r="P7" s="170">
        <v>1.0</v>
      </c>
      <c r="R7" s="76">
        <v>1.0</v>
      </c>
      <c r="S7" s="107">
        <f t="shared" ref="S7:S9" si="1">COUNTIF($P$7:$P1775,R7)</f>
        <v>51</v>
      </c>
      <c r="T7" s="163">
        <f t="shared" ref="T7:T9" si="2">S7/$S$10</f>
        <v>0.4636363636</v>
      </c>
      <c r="V7" s="107">
        <v>33.0</v>
      </c>
      <c r="W7" s="163">
        <f t="shared" ref="W7:W9" si="3">(S7-V7)/V7</f>
        <v>0.5454545455</v>
      </c>
      <c r="AA7" s="76" t="s">
        <v>239</v>
      </c>
      <c r="AB7" s="107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79"/>
      <c r="B8" s="171" t="s">
        <v>240</v>
      </c>
      <c r="C8" s="172" t="str">
        <f t="shared" ref="C8:C17" si="5">REPLACE(B8,FIND(".",B8),1,",")*1</f>
        <v>#VALUE!</v>
      </c>
      <c r="F8" s="99" t="s">
        <v>241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79"/>
      <c r="P8" s="170">
        <v>2.0</v>
      </c>
      <c r="R8" s="76">
        <v>0.0</v>
      </c>
      <c r="S8" s="107">
        <f t="shared" si="1"/>
        <v>29</v>
      </c>
      <c r="T8" s="163">
        <f t="shared" si="2"/>
        <v>0.2636363636</v>
      </c>
      <c r="V8" s="107">
        <v>19.0</v>
      </c>
      <c r="W8" s="163">
        <f t="shared" si="3"/>
        <v>0.5263157895</v>
      </c>
      <c r="AA8" s="76" t="s">
        <v>242</v>
      </c>
      <c r="AB8" s="107">
        <f t="shared" si="4"/>
        <v>54</v>
      </c>
      <c r="AE8" s="76">
        <v>396.62</v>
      </c>
      <c r="AF8" s="76">
        <v>77.53</v>
      </c>
    </row>
    <row r="9">
      <c r="A9" s="79"/>
      <c r="B9" s="171" t="s">
        <v>243</v>
      </c>
      <c r="C9" s="172" t="str">
        <f t="shared" si="5"/>
        <v>#VALUE!</v>
      </c>
      <c r="F9" s="99" t="s">
        <v>244</v>
      </c>
      <c r="G9" s="172" t="str">
        <f t="shared" si="6"/>
        <v>#VALUE!</v>
      </c>
      <c r="I9" s="76">
        <v>30.0</v>
      </c>
      <c r="J9" s="76">
        <v>50.0</v>
      </c>
      <c r="K9" s="79"/>
      <c r="L9" s="168" t="s">
        <v>245</v>
      </c>
      <c r="M9" s="168" t="s">
        <v>246</v>
      </c>
      <c r="N9" s="90" t="s">
        <v>247</v>
      </c>
      <c r="P9" s="170">
        <v>1.0</v>
      </c>
      <c r="R9" s="76">
        <v>2.0</v>
      </c>
      <c r="S9" s="107">
        <f t="shared" si="1"/>
        <v>30</v>
      </c>
      <c r="T9" s="163">
        <f t="shared" si="2"/>
        <v>0.2727272727</v>
      </c>
      <c r="V9" s="107">
        <v>24.0</v>
      </c>
      <c r="W9" s="163">
        <f t="shared" si="3"/>
        <v>0.25</v>
      </c>
      <c r="AA9" s="76" t="s">
        <v>248</v>
      </c>
      <c r="AB9" s="107">
        <f t="shared" si="4"/>
        <v>81</v>
      </c>
      <c r="AE9" s="76">
        <v>386.95</v>
      </c>
      <c r="AF9" s="76">
        <v>196.62</v>
      </c>
    </row>
    <row r="10">
      <c r="A10" s="79"/>
      <c r="B10" s="173" t="s">
        <v>249</v>
      </c>
      <c r="C10" s="172" t="str">
        <f t="shared" si="5"/>
        <v>#VALUE!</v>
      </c>
      <c r="F10" s="99" t="s">
        <v>250</v>
      </c>
      <c r="G10" s="172" t="str">
        <f t="shared" si="6"/>
        <v>#VALUE!</v>
      </c>
      <c r="I10" s="76">
        <v>20.0</v>
      </c>
      <c r="J10" s="76">
        <v>40.0</v>
      </c>
      <c r="K10" s="79"/>
      <c r="L10" s="174" t="str">
        <f t="shared" ref="L10:L19" si="7">C8</f>
        <v>#VALUE!</v>
      </c>
      <c r="M10" s="79">
        <f t="shared" ref="M10:M18" si="8">M11*2</f>
        <v>512</v>
      </c>
      <c r="N10" s="107" t="str">
        <f t="shared" ref="N10:N19" si="9">M10*L10</f>
        <v>#VALUE!</v>
      </c>
      <c r="P10" s="170">
        <v>0.0</v>
      </c>
      <c r="S10" s="107">
        <f>SUM(S7:S9)</f>
        <v>110</v>
      </c>
      <c r="V10" s="107">
        <f>SUM(V7:V9)</f>
        <v>76</v>
      </c>
      <c r="AA10" s="76" t="s">
        <v>251</v>
      </c>
      <c r="AB10" s="107">
        <f t="shared" si="4"/>
        <v>54</v>
      </c>
      <c r="AE10" s="76">
        <v>325.02</v>
      </c>
      <c r="AF10" s="76">
        <v>159.3</v>
      </c>
    </row>
    <row r="11">
      <c r="B11" s="171" t="s">
        <v>252</v>
      </c>
      <c r="C11" s="172" t="str">
        <f t="shared" si="5"/>
        <v>#VALUE!</v>
      </c>
      <c r="F11" s="99" t="s">
        <v>253</v>
      </c>
      <c r="G11" s="172" t="str">
        <f t="shared" si="6"/>
        <v>#VALUE!</v>
      </c>
      <c r="I11" s="76">
        <v>20.0</v>
      </c>
      <c r="J11" s="76">
        <v>40.0</v>
      </c>
      <c r="K11" s="79"/>
      <c r="L11" s="174" t="str">
        <f t="shared" si="7"/>
        <v>#VALUE!</v>
      </c>
      <c r="M11" s="79">
        <f t="shared" si="8"/>
        <v>256</v>
      </c>
      <c r="N11" s="107" t="str">
        <f t="shared" si="9"/>
        <v>#VALUE!</v>
      </c>
      <c r="P11" s="170">
        <v>2.0</v>
      </c>
      <c r="AA11" s="76" t="s">
        <v>254</v>
      </c>
      <c r="AB11" s="107">
        <f t="shared" si="4"/>
        <v>54</v>
      </c>
      <c r="AE11" s="76">
        <v>311.0</v>
      </c>
      <c r="AF11" s="76">
        <v>139.56</v>
      </c>
    </row>
    <row r="12">
      <c r="B12" s="173" t="s">
        <v>255</v>
      </c>
      <c r="C12" s="172" t="str">
        <f t="shared" si="5"/>
        <v>#VALUE!</v>
      </c>
      <c r="F12" s="99" t="s">
        <v>256</v>
      </c>
      <c r="G12" s="172" t="str">
        <f t="shared" si="6"/>
        <v>#VALUE!</v>
      </c>
      <c r="I12" s="76">
        <v>20.0</v>
      </c>
      <c r="J12" s="76">
        <v>40.0</v>
      </c>
      <c r="K12" s="79"/>
      <c r="L12" s="174" t="str">
        <f t="shared" si="7"/>
        <v>#VALUE!</v>
      </c>
      <c r="M12" s="79">
        <f t="shared" si="8"/>
        <v>128</v>
      </c>
      <c r="N12" s="107" t="str">
        <f t="shared" si="9"/>
        <v>#VALUE!</v>
      </c>
      <c r="P12" s="170">
        <v>1.0</v>
      </c>
      <c r="AA12" s="76" t="s">
        <v>251</v>
      </c>
      <c r="AB12" s="107">
        <f t="shared" si="4"/>
        <v>54</v>
      </c>
      <c r="AE12" s="76">
        <v>298.88</v>
      </c>
      <c r="AF12" s="76">
        <v>9.97</v>
      </c>
    </row>
    <row r="13">
      <c r="B13" s="171" t="s">
        <v>257</v>
      </c>
      <c r="C13" s="172" t="str">
        <f t="shared" si="5"/>
        <v>#VALUE!</v>
      </c>
      <c r="F13" s="99" t="s">
        <v>258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79">
        <f t="shared" si="8"/>
        <v>64</v>
      </c>
      <c r="N13" s="107" t="str">
        <f t="shared" si="9"/>
        <v>#VALUE!</v>
      </c>
      <c r="P13" s="170">
        <v>1.0</v>
      </c>
      <c r="Q13" s="105"/>
      <c r="R13" s="143"/>
      <c r="S13" s="148" t="s">
        <v>259</v>
      </c>
      <c r="T13" s="148" t="s">
        <v>260</v>
      </c>
      <c r="U13" s="148" t="s">
        <v>261</v>
      </c>
      <c r="AA13" s="76" t="s">
        <v>262</v>
      </c>
      <c r="AB13" s="107">
        <f t="shared" si="4"/>
        <v>81</v>
      </c>
      <c r="AE13" s="76">
        <v>278.86</v>
      </c>
      <c r="AF13" s="76">
        <v>-2.22</v>
      </c>
    </row>
    <row r="14">
      <c r="B14" s="171" t="s">
        <v>263</v>
      </c>
      <c r="C14" s="172" t="str">
        <f t="shared" si="5"/>
        <v>#VALUE!</v>
      </c>
      <c r="F14" s="99" t="s">
        <v>264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79">
        <f t="shared" si="8"/>
        <v>32</v>
      </c>
      <c r="N14" s="107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265</v>
      </c>
      <c r="AB14" s="107">
        <f t="shared" si="4"/>
        <v>81</v>
      </c>
      <c r="AE14" s="76">
        <v>248.07</v>
      </c>
      <c r="AF14" s="76">
        <v>-78.26</v>
      </c>
    </row>
    <row r="15">
      <c r="B15" s="171" t="s">
        <v>266</v>
      </c>
      <c r="C15" s="172" t="str">
        <f t="shared" si="5"/>
        <v>#VALUE!</v>
      </c>
      <c r="F15" s="99" t="s">
        <v>267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79">
        <f t="shared" si="8"/>
        <v>16</v>
      </c>
      <c r="N15" s="107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268</v>
      </c>
      <c r="AB15" s="107">
        <f t="shared" si="4"/>
        <v>54</v>
      </c>
      <c r="AE15" s="76">
        <v>247.8</v>
      </c>
      <c r="AF15" s="76">
        <v>-49.83</v>
      </c>
    </row>
    <row r="16">
      <c r="B16" s="171" t="s">
        <v>269</v>
      </c>
      <c r="C16" s="172" t="str">
        <f t="shared" si="5"/>
        <v>#VALUE!</v>
      </c>
      <c r="F16" s="99" t="s">
        <v>270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79">
        <f t="shared" si="8"/>
        <v>8</v>
      </c>
      <c r="N16" s="107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271</v>
      </c>
      <c r="AB16" s="107">
        <f t="shared" si="4"/>
        <v>81</v>
      </c>
      <c r="AE16" s="76">
        <v>245.03</v>
      </c>
      <c r="AF16" s="76">
        <v>213.08</v>
      </c>
    </row>
    <row r="17">
      <c r="B17" s="171" t="s">
        <v>272</v>
      </c>
      <c r="C17" s="172" t="str">
        <f t="shared" si="5"/>
        <v>#VALUE!</v>
      </c>
      <c r="F17" s="99" t="s">
        <v>273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79">
        <f t="shared" si="8"/>
        <v>4</v>
      </c>
      <c r="N17" s="107" t="str">
        <f t="shared" si="9"/>
        <v>#VALUE!</v>
      </c>
      <c r="P17" s="170">
        <v>1.0</v>
      </c>
      <c r="R17" s="148" t="s">
        <v>274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275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79">
        <f t="shared" si="8"/>
        <v>2</v>
      </c>
      <c r="N18" s="107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276</v>
      </c>
      <c r="C19" s="107" t="str">
        <f>AVERAGE(C8:C17)</f>
        <v>#VALUE!</v>
      </c>
      <c r="F19" s="99" t="s">
        <v>277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79">
        <v>1.0</v>
      </c>
      <c r="N19" s="107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278</v>
      </c>
      <c r="AB19" s="107">
        <f>AVERAGE(AB7:AB16)</f>
        <v>67.5</v>
      </c>
      <c r="AE19" s="76">
        <v>161.12</v>
      </c>
      <c r="AF19" s="76">
        <v>125.27</v>
      </c>
    </row>
    <row r="20">
      <c r="F20" s="99" t="s">
        <v>279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280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259</v>
      </c>
      <c r="T21" s="148" t="s">
        <v>260</v>
      </c>
      <c r="U21" s="148" t="s">
        <v>261</v>
      </c>
      <c r="AE21" s="76">
        <v>146.62</v>
      </c>
      <c r="AF21" s="76">
        <v>74.55</v>
      </c>
    </row>
    <row r="22">
      <c r="C22" s="172"/>
      <c r="F22" s="99" t="s">
        <v>281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282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283</v>
      </c>
      <c r="G25" s="172" t="str">
        <f t="shared" si="6"/>
        <v>#VALUE!</v>
      </c>
      <c r="I25" s="76">
        <v>10.0</v>
      </c>
      <c r="P25" s="170">
        <v>1.0</v>
      </c>
      <c r="R25" s="148" t="s">
        <v>274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284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285</v>
      </c>
      <c r="AB28" s="76" t="s">
        <v>43</v>
      </c>
      <c r="AC28" s="76" t="s">
        <v>43</v>
      </c>
      <c r="AE28" s="76">
        <v>106.73</v>
      </c>
      <c r="AF28" s="76">
        <v>-68.34</v>
      </c>
    </row>
    <row r="29">
      <c r="F29" s="90" t="s">
        <v>276</v>
      </c>
      <c r="G29" s="107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5">
        <v>1051.0</v>
      </c>
      <c r="AB29" s="76">
        <v>207.56</v>
      </c>
      <c r="AC29" s="107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7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7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19" t="s">
        <v>286</v>
      </c>
      <c r="G32" s="172"/>
      <c r="P32" s="170">
        <v>0.0</v>
      </c>
      <c r="AA32" s="115">
        <v>1475.0</v>
      </c>
      <c r="AB32" s="76">
        <v>120.82</v>
      </c>
      <c r="AC32" s="107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287</v>
      </c>
      <c r="G33" s="179"/>
      <c r="P33" s="170">
        <v>1.0</v>
      </c>
      <c r="AA33" s="115">
        <v>1545.0</v>
      </c>
      <c r="AB33" s="76">
        <v>111.42</v>
      </c>
      <c r="AC33" s="107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7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288</v>
      </c>
      <c r="P35" s="170">
        <v>1.0</v>
      </c>
      <c r="AA35" s="115">
        <v>1426.0</v>
      </c>
      <c r="AB35" s="76">
        <v>101.23</v>
      </c>
      <c r="AC35" s="107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33</v>
      </c>
      <c r="H36" s="180">
        <v>4.555000000000001</v>
      </c>
      <c r="P36" s="170">
        <v>1.0</v>
      </c>
      <c r="AA36" s="115">
        <v>1447.0</v>
      </c>
      <c r="AB36" s="76">
        <v>97.89</v>
      </c>
      <c r="AC36" s="107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5"/>
      <c r="B37" s="105"/>
      <c r="C37" s="105"/>
      <c r="D37" s="181">
        <f>AVERAGE(D39:D1775)</f>
        <v>3.140689655</v>
      </c>
      <c r="G37" s="90" t="s">
        <v>34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7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36</v>
      </c>
      <c r="H38" s="182">
        <v>2.21</v>
      </c>
      <c r="P38" s="170">
        <v>2.0</v>
      </c>
      <c r="AA38" s="115">
        <v>1526.0</v>
      </c>
      <c r="AB38" s="76">
        <v>85.82</v>
      </c>
      <c r="AC38" s="107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289</v>
      </c>
      <c r="D39" s="184">
        <f t="shared" ref="D39:D221" si="17">IF(COUNTA(C39)=1,C39/1,"")</f>
        <v>1.39</v>
      </c>
      <c r="G39" s="90" t="s">
        <v>37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7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290</v>
      </c>
      <c r="D40" s="172">
        <f t="shared" si="17"/>
        <v>1.5</v>
      </c>
      <c r="G40" s="90" t="s">
        <v>38</v>
      </c>
      <c r="H40" s="180">
        <v>3.3411111111111107</v>
      </c>
      <c r="P40" s="170">
        <v>2.0</v>
      </c>
      <c r="AA40" s="115">
        <v>1606.0</v>
      </c>
      <c r="AB40" s="76">
        <v>77.21</v>
      </c>
      <c r="AC40" s="107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291</v>
      </c>
      <c r="D41" s="172">
        <f t="shared" si="17"/>
        <v>0.46</v>
      </c>
      <c r="P41" s="170">
        <v>0.0</v>
      </c>
      <c r="AA41" s="115">
        <v>1164.0</v>
      </c>
      <c r="AB41" s="76">
        <v>76.05</v>
      </c>
      <c r="AC41" s="107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292</v>
      </c>
      <c r="D42" s="172">
        <f t="shared" si="17"/>
        <v>0.84</v>
      </c>
      <c r="P42" s="170">
        <v>2.0</v>
      </c>
      <c r="AA42" s="115">
        <v>1448.0</v>
      </c>
      <c r="AB42" s="76">
        <v>71.77</v>
      </c>
      <c r="AC42" s="107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293</v>
      </c>
      <c r="D43" s="172">
        <f t="shared" si="17"/>
        <v>2.83</v>
      </c>
      <c r="P43" s="170">
        <v>1.0</v>
      </c>
      <c r="AA43" s="115">
        <v>1614.0</v>
      </c>
      <c r="AB43" s="76">
        <v>68.01</v>
      </c>
      <c r="AC43" s="107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294</v>
      </c>
      <c r="D44" s="172">
        <f t="shared" si="17"/>
        <v>1.52</v>
      </c>
      <c r="P44" s="170">
        <v>2.0</v>
      </c>
      <c r="AB44" s="107">
        <f t="shared" ref="AB44:AD44" si="18">AVERAGE(AB29:AB43)</f>
        <v>106.338</v>
      </c>
      <c r="AC44" s="107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295</v>
      </c>
      <c r="D45" s="172">
        <f t="shared" si="17"/>
        <v>1.94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296</v>
      </c>
      <c r="D46" s="172">
        <f t="shared" si="17"/>
        <v>1.91</v>
      </c>
      <c r="G46" s="186" t="s">
        <v>297</v>
      </c>
      <c r="H46" s="186" t="s">
        <v>298</v>
      </c>
      <c r="P46" s="170">
        <v>0.0</v>
      </c>
      <c r="AE46" s="76">
        <v>69.63</v>
      </c>
      <c r="AF46" s="76">
        <v>-60.86</v>
      </c>
    </row>
    <row r="47">
      <c r="C47" s="185" t="s">
        <v>299</v>
      </c>
      <c r="D47" s="172">
        <f t="shared" si="17"/>
        <v>0.24</v>
      </c>
      <c r="G47" s="187" t="s">
        <v>33</v>
      </c>
      <c r="H47" s="188">
        <v>0.376453591155815</v>
      </c>
      <c r="P47" s="170">
        <v>2.0</v>
      </c>
      <c r="AA47" s="76" t="s">
        <v>3</v>
      </c>
      <c r="AB47" s="76" t="s">
        <v>43</v>
      </c>
      <c r="AE47" s="76">
        <v>67.98</v>
      </c>
      <c r="AF47" s="76">
        <v>104.85</v>
      </c>
    </row>
    <row r="48">
      <c r="C48" s="185" t="s">
        <v>300</v>
      </c>
      <c r="D48" s="172">
        <f t="shared" si="17"/>
        <v>0.54</v>
      </c>
      <c r="G48" s="187" t="s">
        <v>34</v>
      </c>
      <c r="H48" s="188">
        <v>0.36678739680281</v>
      </c>
      <c r="J48" s="76" t="s">
        <v>301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302</v>
      </c>
      <c r="D49" s="172">
        <f t="shared" si="17"/>
        <v>3.88</v>
      </c>
      <c r="G49" s="187" t="s">
        <v>36</v>
      </c>
      <c r="H49" s="188">
        <v>0.142870351877935</v>
      </c>
      <c r="J49" s="76" t="s">
        <v>303</v>
      </c>
      <c r="K49" s="163">
        <f>MEDIAN(H47:H51)</f>
        <v>0.3667873968</v>
      </c>
      <c r="P49" s="170">
        <v>1.0</v>
      </c>
      <c r="AA49" s="115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304</v>
      </c>
      <c r="D50" s="172">
        <f t="shared" si="17"/>
        <v>4.22</v>
      </c>
      <c r="G50" s="187" t="s">
        <v>37</v>
      </c>
      <c r="H50" s="188">
        <v>0.497437843674554</v>
      </c>
      <c r="J50" s="76" t="s">
        <v>305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306</v>
      </c>
      <c r="D51" s="172">
        <f t="shared" si="17"/>
        <v>4.62</v>
      </c>
      <c r="G51" s="187" t="s">
        <v>38</v>
      </c>
      <c r="H51" s="188">
        <v>0.247446036291655</v>
      </c>
      <c r="J51" s="76" t="s">
        <v>307</v>
      </c>
      <c r="K51" s="163">
        <f>PERCENTILE(H47:H51,0.75)</f>
        <v>0.3764535912</v>
      </c>
      <c r="P51" s="170">
        <v>2.0</v>
      </c>
      <c r="AA51" s="115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308</v>
      </c>
      <c r="D52" s="172">
        <f t="shared" si="17"/>
        <v>5.77</v>
      </c>
      <c r="P52" s="170">
        <v>0.0</v>
      </c>
      <c r="AA52" s="115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309</v>
      </c>
      <c r="D53" s="172">
        <f t="shared" si="17"/>
        <v>3.56</v>
      </c>
      <c r="P53" s="170">
        <v>0.0</v>
      </c>
      <c r="AA53" s="115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310</v>
      </c>
      <c r="D54" s="172">
        <f t="shared" si="17"/>
        <v>3.78</v>
      </c>
      <c r="P54" s="170">
        <v>2.0</v>
      </c>
      <c r="AA54" s="115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311</v>
      </c>
      <c r="D55" s="172">
        <f t="shared" si="17"/>
        <v>5.26</v>
      </c>
      <c r="P55" s="170">
        <v>0.0</v>
      </c>
      <c r="AA55" s="115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312</v>
      </c>
      <c r="D56" s="172">
        <f t="shared" si="17"/>
        <v>5.86</v>
      </c>
      <c r="P56" s="170">
        <v>0.0</v>
      </c>
      <c r="AA56" s="115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313</v>
      </c>
      <c r="D57" s="172">
        <f t="shared" si="17"/>
        <v>4.45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314</v>
      </c>
      <c r="D58" s="172">
        <f t="shared" si="17"/>
        <v>6.81</v>
      </c>
      <c r="G58" s="189" t="s">
        <v>315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316</v>
      </c>
      <c r="D59" s="172">
        <f t="shared" si="17"/>
        <v>1.35</v>
      </c>
      <c r="G59" s="190"/>
      <c r="H59" s="191" t="s">
        <v>317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318</v>
      </c>
      <c r="D60" s="172">
        <f t="shared" si="17"/>
        <v>1.69</v>
      </c>
      <c r="G60" s="190"/>
      <c r="H60" s="191" t="s">
        <v>319</v>
      </c>
      <c r="P60" s="170">
        <v>2.0</v>
      </c>
      <c r="AA60" s="115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320</v>
      </c>
      <c r="D61" s="172">
        <f t="shared" si="17"/>
        <v>0.86</v>
      </c>
      <c r="G61" s="190"/>
      <c r="H61" s="191" t="s">
        <v>321</v>
      </c>
      <c r="P61" s="170">
        <v>2.0</v>
      </c>
      <c r="AA61" s="115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322</v>
      </c>
      <c r="D62" s="172">
        <f t="shared" si="17"/>
        <v>1.24</v>
      </c>
      <c r="G62" s="190"/>
      <c r="H62" s="191" t="s">
        <v>323</v>
      </c>
      <c r="P62" s="170">
        <v>1.0</v>
      </c>
      <c r="AA62" s="115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324</v>
      </c>
      <c r="D63" s="172">
        <f t="shared" si="17"/>
        <v>2.38</v>
      </c>
      <c r="G63" s="190"/>
      <c r="H63" s="191" t="s">
        <v>325</v>
      </c>
      <c r="P63" s="170">
        <v>0.0</v>
      </c>
      <c r="AE63" s="76">
        <v>43.45</v>
      </c>
      <c r="AF63" s="76">
        <v>-44.18</v>
      </c>
    </row>
    <row r="64">
      <c r="C64" s="185" t="s">
        <v>326</v>
      </c>
      <c r="D64" s="172">
        <f t="shared" si="17"/>
        <v>1.73</v>
      </c>
      <c r="P64" s="170">
        <v>1.0</v>
      </c>
      <c r="AE64" s="76">
        <v>43.36</v>
      </c>
      <c r="AF64" s="76">
        <v>-27.6</v>
      </c>
    </row>
    <row r="65">
      <c r="C65" s="185" t="s">
        <v>253</v>
      </c>
      <c r="D65" s="172">
        <f t="shared" si="17"/>
        <v>3.83</v>
      </c>
      <c r="P65" s="170">
        <v>2.0</v>
      </c>
      <c r="AE65" s="76">
        <v>42.74</v>
      </c>
      <c r="AF65" s="76">
        <v>-59.18</v>
      </c>
    </row>
    <row r="66">
      <c r="C66" s="185" t="s">
        <v>327</v>
      </c>
      <c r="D66" s="172">
        <f t="shared" si="17"/>
        <v>3.92</v>
      </c>
      <c r="P66" s="170">
        <v>0.0</v>
      </c>
      <c r="AE66" s="76">
        <v>42.18</v>
      </c>
      <c r="AF66" s="76">
        <v>-37.16</v>
      </c>
    </row>
    <row r="67">
      <c r="C67" s="185" t="s">
        <v>328</v>
      </c>
      <c r="D67" s="172">
        <f t="shared" si="17"/>
        <v>4.91</v>
      </c>
      <c r="P67" s="170">
        <v>0.0</v>
      </c>
      <c r="AE67" s="76">
        <v>40.68</v>
      </c>
      <c r="AF67" s="76">
        <v>223.42</v>
      </c>
    </row>
    <row r="68">
      <c r="C68" s="185" t="s">
        <v>329</v>
      </c>
      <c r="D68" s="172">
        <f t="shared" si="17"/>
        <v>1.96</v>
      </c>
      <c r="P68" s="170">
        <v>1.0</v>
      </c>
      <c r="AE68" s="76">
        <v>39.22</v>
      </c>
      <c r="AF68" s="76">
        <v>-20.09</v>
      </c>
    </row>
    <row r="69">
      <c r="C69" s="185" t="s">
        <v>310</v>
      </c>
      <c r="D69" s="172">
        <f t="shared" si="17"/>
        <v>3.78</v>
      </c>
      <c r="P69" s="170">
        <v>2.0</v>
      </c>
      <c r="AE69" s="76">
        <v>38.29</v>
      </c>
      <c r="AF69" s="76">
        <v>-64.28</v>
      </c>
    </row>
    <row r="70">
      <c r="C70" s="185" t="s">
        <v>330</v>
      </c>
      <c r="D70" s="172">
        <f t="shared" si="17"/>
        <v>2.94</v>
      </c>
      <c r="P70" s="170">
        <v>1.0</v>
      </c>
      <c r="AE70" s="76">
        <v>37.04</v>
      </c>
      <c r="AF70" s="76">
        <v>-46.65</v>
      </c>
    </row>
    <row r="71">
      <c r="C71" s="185" t="s">
        <v>331</v>
      </c>
      <c r="D71" s="172">
        <f t="shared" si="17"/>
        <v>2.59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332</v>
      </c>
      <c r="D72" s="172">
        <f t="shared" si="17"/>
        <v>2.18</v>
      </c>
      <c r="P72" s="170">
        <v>0.0</v>
      </c>
      <c r="AE72" s="76">
        <v>34.32</v>
      </c>
      <c r="AF72" s="76">
        <v>-73.73</v>
      </c>
    </row>
    <row r="73">
      <c r="C73" s="185" t="s">
        <v>333</v>
      </c>
      <c r="D73" s="172">
        <f t="shared" si="17"/>
        <v>2.03</v>
      </c>
      <c r="P73" s="170">
        <v>1.0</v>
      </c>
      <c r="AE73" s="76">
        <v>34.22</v>
      </c>
      <c r="AF73" s="76">
        <v>-18.66</v>
      </c>
    </row>
    <row r="74">
      <c r="C74" s="185" t="s">
        <v>334</v>
      </c>
      <c r="D74" s="172">
        <f t="shared" si="17"/>
        <v>3.85</v>
      </c>
      <c r="P74" s="170">
        <v>0.0</v>
      </c>
      <c r="AE74" s="76">
        <v>33.52</v>
      </c>
      <c r="AF74" s="76">
        <v>-40.62</v>
      </c>
    </row>
    <row r="75">
      <c r="C75" s="185" t="s">
        <v>335</v>
      </c>
      <c r="D75" s="172">
        <f t="shared" si="17"/>
        <v>7.02</v>
      </c>
      <c r="P75" s="170">
        <v>1.0</v>
      </c>
      <c r="AE75" s="76">
        <v>33.35</v>
      </c>
      <c r="AF75" s="76">
        <v>-47.6</v>
      </c>
    </row>
    <row r="76">
      <c r="C76" s="185" t="s">
        <v>336</v>
      </c>
      <c r="D76" s="172">
        <f t="shared" si="17"/>
        <v>9.13</v>
      </c>
      <c r="P76" s="170">
        <v>0.0</v>
      </c>
      <c r="AE76" s="76">
        <v>32.76</v>
      </c>
      <c r="AF76" s="76">
        <v>-24.49</v>
      </c>
    </row>
    <row r="77">
      <c r="C77" s="185" t="s">
        <v>337</v>
      </c>
      <c r="D77" s="172">
        <f t="shared" si="17"/>
        <v>3</v>
      </c>
      <c r="P77" s="170">
        <v>0.0</v>
      </c>
      <c r="AE77" s="76">
        <v>31.4</v>
      </c>
      <c r="AF77" s="76">
        <v>-35.28</v>
      </c>
    </row>
    <row r="78">
      <c r="C78" s="185" t="s">
        <v>269</v>
      </c>
      <c r="D78" s="172">
        <f t="shared" si="17"/>
        <v>2.71</v>
      </c>
      <c r="P78" s="170">
        <v>1.0</v>
      </c>
      <c r="AE78" s="76">
        <v>30.17</v>
      </c>
      <c r="AF78" s="76">
        <v>-70.08</v>
      </c>
    </row>
    <row r="79">
      <c r="C79" s="185" t="s">
        <v>338</v>
      </c>
      <c r="D79" s="172">
        <f t="shared" si="17"/>
        <v>1.9</v>
      </c>
      <c r="P79" s="170">
        <v>2.0</v>
      </c>
      <c r="AE79" s="76">
        <v>29.4</v>
      </c>
      <c r="AF79" s="76">
        <v>-10.36</v>
      </c>
    </row>
    <row r="80">
      <c r="C80" s="185" t="s">
        <v>339</v>
      </c>
      <c r="D80" s="172">
        <f t="shared" si="17"/>
        <v>0.39</v>
      </c>
      <c r="P80" s="170">
        <v>1.0</v>
      </c>
      <c r="AE80" s="76">
        <v>28.21</v>
      </c>
      <c r="AF80" s="76">
        <v>-31.91</v>
      </c>
    </row>
    <row r="81">
      <c r="C81" s="185" t="s">
        <v>241</v>
      </c>
      <c r="D81" s="172">
        <f t="shared" si="17"/>
        <v>5.8</v>
      </c>
      <c r="P81" s="170">
        <v>2.0</v>
      </c>
      <c r="AE81" s="76">
        <v>26.36</v>
      </c>
      <c r="AF81" s="76">
        <v>-55.82</v>
      </c>
    </row>
    <row r="82">
      <c r="C82" s="185" t="s">
        <v>340</v>
      </c>
      <c r="D82" s="172">
        <f t="shared" si="17"/>
        <v>5.85</v>
      </c>
      <c r="P82" s="170">
        <v>1.0</v>
      </c>
      <c r="AE82" s="76">
        <v>25.78</v>
      </c>
      <c r="AF82" s="76">
        <v>9.54</v>
      </c>
    </row>
    <row r="83">
      <c r="C83" s="185" t="s">
        <v>341</v>
      </c>
      <c r="D83" s="172">
        <f t="shared" si="17"/>
        <v>5.7</v>
      </c>
      <c r="P83" s="170">
        <v>0.0</v>
      </c>
      <c r="AE83" s="76">
        <v>23.92</v>
      </c>
      <c r="AF83" s="76">
        <v>40.59</v>
      </c>
    </row>
    <row r="84">
      <c r="C84" s="185" t="s">
        <v>342</v>
      </c>
      <c r="D84" s="172">
        <f t="shared" si="17"/>
        <v>3.14</v>
      </c>
      <c r="P84" s="170">
        <v>1.0</v>
      </c>
      <c r="AE84" s="76">
        <v>22.79</v>
      </c>
      <c r="AF84" s="76">
        <v>-71.84</v>
      </c>
    </row>
    <row r="85">
      <c r="C85" s="185" t="s">
        <v>343</v>
      </c>
      <c r="D85" s="172">
        <f t="shared" si="17"/>
        <v>5.67</v>
      </c>
      <c r="P85" s="170">
        <v>0.0</v>
      </c>
      <c r="AE85" s="76">
        <v>21.0</v>
      </c>
      <c r="AF85" s="76">
        <v>-59.22</v>
      </c>
    </row>
    <row r="86">
      <c r="C86" s="185" t="s">
        <v>344</v>
      </c>
      <c r="D86" s="172">
        <f t="shared" si="17"/>
        <v>3.55</v>
      </c>
      <c r="P86" s="170">
        <v>0.0</v>
      </c>
      <c r="AE86" s="76">
        <v>20.94</v>
      </c>
      <c r="AF86" s="76">
        <v>-71.78</v>
      </c>
    </row>
    <row r="87">
      <c r="C87" s="185" t="s">
        <v>345</v>
      </c>
      <c r="D87" s="172">
        <f t="shared" si="17"/>
        <v>2.42</v>
      </c>
      <c r="P87" s="170">
        <v>1.0</v>
      </c>
      <c r="AE87" s="76">
        <v>20.55</v>
      </c>
      <c r="AF87" s="76">
        <v>-77.85</v>
      </c>
    </row>
    <row r="88">
      <c r="C88" s="185" t="s">
        <v>346</v>
      </c>
      <c r="D88" s="172">
        <f t="shared" si="17"/>
        <v>2.64</v>
      </c>
      <c r="P88" s="170">
        <v>2.0</v>
      </c>
      <c r="AE88" s="76">
        <v>17.74</v>
      </c>
      <c r="AF88" s="76">
        <v>13.18</v>
      </c>
    </row>
    <row r="89">
      <c r="C89" s="185" t="s">
        <v>347</v>
      </c>
      <c r="D89" s="172">
        <f t="shared" si="17"/>
        <v>3.5</v>
      </c>
      <c r="P89" s="170">
        <v>2.0</v>
      </c>
      <c r="AE89" s="76">
        <v>17.33</v>
      </c>
      <c r="AF89" s="76">
        <v>16.81</v>
      </c>
    </row>
    <row r="90">
      <c r="C90" s="185" t="s">
        <v>257</v>
      </c>
      <c r="D90" s="172">
        <f t="shared" si="17"/>
        <v>3.63</v>
      </c>
      <c r="P90" s="170">
        <v>1.0</v>
      </c>
      <c r="AE90" s="76">
        <v>16.85</v>
      </c>
      <c r="AF90" s="76">
        <v>-50.81</v>
      </c>
    </row>
    <row r="91">
      <c r="C91" s="185" t="s">
        <v>348</v>
      </c>
      <c r="D91" s="172">
        <f t="shared" si="17"/>
        <v>1.99</v>
      </c>
      <c r="P91" s="170">
        <v>1.0</v>
      </c>
      <c r="AE91" s="76">
        <v>16.11</v>
      </c>
      <c r="AF91" s="76">
        <v>-52.86</v>
      </c>
    </row>
    <row r="92">
      <c r="C92" s="185" t="s">
        <v>349</v>
      </c>
      <c r="D92" s="172">
        <f t="shared" si="17"/>
        <v>2.27</v>
      </c>
      <c r="P92" s="170">
        <v>2.0</v>
      </c>
      <c r="AE92" s="76">
        <v>16.08</v>
      </c>
      <c r="AF92" s="76">
        <v>80.01</v>
      </c>
    </row>
    <row r="93">
      <c r="C93" s="185" t="s">
        <v>269</v>
      </c>
      <c r="D93" s="172">
        <f t="shared" si="17"/>
        <v>2.71</v>
      </c>
      <c r="P93" s="170">
        <v>0.0</v>
      </c>
      <c r="AE93" s="76">
        <v>15.84</v>
      </c>
      <c r="AF93" s="76">
        <v>-77.3</v>
      </c>
    </row>
    <row r="94">
      <c r="C94" s="185" t="s">
        <v>350</v>
      </c>
      <c r="D94" s="172">
        <f t="shared" si="17"/>
        <v>2.55</v>
      </c>
      <c r="P94" s="170">
        <v>0.0</v>
      </c>
      <c r="AE94" s="76">
        <v>14.26</v>
      </c>
      <c r="AF94" s="76">
        <v>40.11</v>
      </c>
    </row>
    <row r="95">
      <c r="C95" s="185" t="s">
        <v>351</v>
      </c>
      <c r="D95" s="172">
        <f t="shared" si="17"/>
        <v>1.81</v>
      </c>
      <c r="P95" s="170">
        <v>1.0</v>
      </c>
      <c r="AE95" s="76">
        <v>14.03</v>
      </c>
      <c r="AF95" s="76">
        <v>-4.79</v>
      </c>
    </row>
    <row r="96">
      <c r="C96" s="185" t="s">
        <v>352</v>
      </c>
      <c r="D96" s="172">
        <f t="shared" si="17"/>
        <v>2.16</v>
      </c>
      <c r="P96" s="170">
        <v>2.0</v>
      </c>
      <c r="AE96" s="76">
        <v>12.81</v>
      </c>
      <c r="AF96" s="76">
        <v>18.57</v>
      </c>
    </row>
    <row r="97">
      <c r="C97" s="185"/>
      <c r="D97" s="172" t="str">
        <f t="shared" si="17"/>
        <v/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353</v>
      </c>
      <c r="C1" s="199"/>
      <c r="D1" s="199"/>
      <c r="E1" s="199"/>
      <c r="F1" s="199"/>
      <c r="G1" s="200" t="s">
        <v>354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355</v>
      </c>
      <c r="C2" s="203" t="s">
        <v>356</v>
      </c>
      <c r="D2" s="203" t="s">
        <v>43</v>
      </c>
      <c r="E2" s="203" t="s">
        <v>357</v>
      </c>
      <c r="F2" s="204" t="s">
        <v>358</v>
      </c>
      <c r="G2" s="202">
        <v>1.0</v>
      </c>
      <c r="H2" s="203" t="s">
        <v>238</v>
      </c>
      <c r="I2" s="203">
        <v>2.0</v>
      </c>
      <c r="J2" s="203" t="s">
        <v>359</v>
      </c>
      <c r="K2" s="205" t="s">
        <v>360</v>
      </c>
      <c r="L2" s="203" t="s">
        <v>361</v>
      </c>
      <c r="M2" s="206" t="s">
        <v>362</v>
      </c>
      <c r="N2" s="187" t="s">
        <v>363</v>
      </c>
      <c r="O2" s="187" t="s">
        <v>364</v>
      </c>
      <c r="P2" s="187" t="s">
        <v>365</v>
      </c>
      <c r="Q2" s="17"/>
      <c r="R2" s="17"/>
      <c r="S2" s="6" t="s">
        <v>366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367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368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369</v>
      </c>
      <c r="Z6" s="151"/>
      <c r="AD6" s="76" t="s">
        <v>370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371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372</v>
      </c>
      <c r="AA8" s="151"/>
      <c r="AD8" s="216" t="s">
        <v>373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374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375</v>
      </c>
    </row>
    <row r="20">
      <c r="A20" s="79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79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278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22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376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28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238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377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378</v>
      </c>
      <c r="M29" s="6" t="s">
        <v>379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380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381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382</v>
      </c>
      <c r="W33" s="76" t="s">
        <v>383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238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7" t="s">
        <v>19</v>
      </c>
      <c r="T34" s="83">
        <v>1626.0</v>
      </c>
      <c r="U34" s="83" t="s">
        <v>384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7" t="s">
        <v>22</v>
      </c>
      <c r="T35" s="83">
        <v>4176.0</v>
      </c>
      <c r="U35" s="83" t="s">
        <v>384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25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28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385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30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386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169</v>
      </c>
      <c r="Y49" s="4" t="s">
        <v>155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157</v>
      </c>
      <c r="AE49" s="60" t="s">
        <v>171</v>
      </c>
      <c r="AF49" s="60" t="s">
        <v>156</v>
      </c>
      <c r="AG49" s="60" t="s">
        <v>387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16</v>
      </c>
      <c r="U50" s="232">
        <v>45685.0</v>
      </c>
      <c r="V50" s="4">
        <v>616.0</v>
      </c>
      <c r="W50" s="4" t="s">
        <v>17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18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19</v>
      </c>
      <c r="U52" s="232">
        <v>45719.0</v>
      </c>
      <c r="V52" s="4">
        <v>5193.0</v>
      </c>
      <c r="W52" s="4" t="s">
        <v>17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388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22</v>
      </c>
      <c r="U53" s="232">
        <v>45719.0</v>
      </c>
      <c r="V53" s="4">
        <v>4863.0</v>
      </c>
      <c r="W53" s="4" t="s">
        <v>17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388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25</v>
      </c>
      <c r="U54" s="232">
        <v>45720.0</v>
      </c>
      <c r="V54" s="4">
        <v>3032.0</v>
      </c>
      <c r="W54" s="4" t="s">
        <v>17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388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28</v>
      </c>
      <c r="U55" s="232">
        <v>45720.0</v>
      </c>
      <c r="V55" s="4">
        <v>2114.0</v>
      </c>
      <c r="W55" s="4" t="s">
        <v>17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388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30</v>
      </c>
      <c r="U56" s="232">
        <v>45720.0</v>
      </c>
      <c r="V56" s="4">
        <v>240.0</v>
      </c>
      <c r="W56" s="4" t="s">
        <v>17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388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389</v>
      </c>
      <c r="V62" s="76" t="s">
        <v>390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19</v>
      </c>
      <c r="U63" s="76">
        <v>2434.0</v>
      </c>
      <c r="V63" s="76">
        <v>2165.0</v>
      </c>
      <c r="W63" s="76" t="s">
        <v>391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22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25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28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30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19</v>
      </c>
      <c r="V70" s="83">
        <v>3526.0</v>
      </c>
      <c r="W70" s="83">
        <v>3574.0</v>
      </c>
      <c r="X70" s="77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22</v>
      </c>
      <c r="V71" s="77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25</v>
      </c>
      <c r="V72" s="99">
        <v>5130.0</v>
      </c>
      <c r="W72" s="77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28</v>
      </c>
      <c r="V73" s="77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83">
        <v>5142.0</v>
      </c>
      <c r="W74" s="77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392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393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19</v>
      </c>
      <c r="W81" s="76">
        <v>100.0</v>
      </c>
      <c r="X81" s="76">
        <v>80.0</v>
      </c>
      <c r="Y81" s="79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22</v>
      </c>
      <c r="W82" s="76">
        <v>80.0</v>
      </c>
      <c r="X82" s="76">
        <v>120.0</v>
      </c>
      <c r="Y82" s="79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7">
        <v>3032.0</v>
      </c>
      <c r="V83" s="20" t="s">
        <v>25</v>
      </c>
      <c r="W83" s="76">
        <v>80.0</v>
      </c>
      <c r="X83" s="76">
        <v>120.0</v>
      </c>
      <c r="Y83" s="79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7">
        <v>2114.0</v>
      </c>
      <c r="V84" s="20" t="s">
        <v>28</v>
      </c>
      <c r="W84" s="76">
        <v>120.0</v>
      </c>
      <c r="X84" s="76">
        <v>80.0</v>
      </c>
      <c r="Y84" s="79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7">
        <v>870.0</v>
      </c>
      <c r="V85" s="20" t="s">
        <v>30</v>
      </c>
      <c r="W85" s="76">
        <v>130.0</v>
      </c>
      <c r="X85" s="76">
        <v>130.0</v>
      </c>
      <c r="Y85" s="79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394</v>
      </c>
    </row>
    <row r="2">
      <c r="B2" s="17"/>
      <c r="C2" s="5" t="s">
        <v>395</v>
      </c>
      <c r="E2" s="235"/>
      <c r="F2" s="6" t="s">
        <v>396</v>
      </c>
      <c r="H2" s="235"/>
    </row>
    <row r="3">
      <c r="B3" s="186" t="s">
        <v>397</v>
      </c>
      <c r="C3" s="236" t="s">
        <v>398</v>
      </c>
      <c r="D3" s="186" t="s">
        <v>399</v>
      </c>
      <c r="E3" s="237" t="s">
        <v>212</v>
      </c>
      <c r="F3" s="186" t="s">
        <v>400</v>
      </c>
      <c r="G3" s="186" t="s">
        <v>401</v>
      </c>
      <c r="H3" s="186" t="s">
        <v>402</v>
      </c>
    </row>
    <row r="4">
      <c r="B4" s="238" t="s">
        <v>403</v>
      </c>
      <c r="C4" s="239" t="s">
        <v>404</v>
      </c>
      <c r="D4" s="187" t="s">
        <v>405</v>
      </c>
      <c r="E4" s="240" t="s">
        <v>406</v>
      </c>
      <c r="F4" s="241" t="s">
        <v>407</v>
      </c>
      <c r="G4" s="241" t="s">
        <v>408</v>
      </c>
      <c r="H4" s="187"/>
    </row>
    <row r="5">
      <c r="B5" s="238" t="s">
        <v>409</v>
      </c>
      <c r="C5" s="242" t="s">
        <v>410</v>
      </c>
      <c r="D5" s="197"/>
      <c r="E5" s="240" t="s">
        <v>406</v>
      </c>
      <c r="F5" s="243" t="s">
        <v>411</v>
      </c>
      <c r="G5" s="244" t="s">
        <v>412</v>
      </c>
      <c r="H5" s="187"/>
    </row>
    <row r="6">
      <c r="B6" s="238" t="s">
        <v>413</v>
      </c>
      <c r="C6" s="239" t="s">
        <v>404</v>
      </c>
      <c r="D6" s="187" t="s">
        <v>414</v>
      </c>
      <c r="E6" s="240" t="s">
        <v>406</v>
      </c>
      <c r="F6" s="187" t="s">
        <v>391</v>
      </c>
      <c r="G6" s="187"/>
      <c r="H6" s="187"/>
    </row>
    <row r="7">
      <c r="B7" s="187" t="s">
        <v>415</v>
      </c>
      <c r="C7" s="245" t="s">
        <v>416</v>
      </c>
      <c r="D7" s="187"/>
      <c r="E7" s="246" t="s">
        <v>417</v>
      </c>
      <c r="F7" s="239" t="s">
        <v>418</v>
      </c>
      <c r="G7" s="187"/>
      <c r="H7" s="187" t="s">
        <v>419</v>
      </c>
    </row>
    <row r="8">
      <c r="B8" s="247" t="s">
        <v>420</v>
      </c>
      <c r="C8" s="248" t="s">
        <v>421</v>
      </c>
      <c r="D8" s="249"/>
      <c r="E8" s="247" t="s">
        <v>422</v>
      </c>
      <c r="F8" s="250" t="s">
        <v>423</v>
      </c>
      <c r="G8" s="251" t="s">
        <v>424</v>
      </c>
      <c r="H8" s="249"/>
    </row>
    <row r="9">
      <c r="B9" s="20" t="s">
        <v>425</v>
      </c>
      <c r="C9" s="252" t="s">
        <v>421</v>
      </c>
      <c r="D9" s="143"/>
      <c r="E9" s="143"/>
      <c r="F9" s="217"/>
      <c r="G9" s="143"/>
      <c r="H9" s="143"/>
    </row>
    <row r="10">
      <c r="B10" s="20" t="s">
        <v>426</v>
      </c>
      <c r="C10" s="217"/>
      <c r="D10" s="143"/>
      <c r="E10" s="143"/>
      <c r="F10" s="217"/>
      <c r="G10" s="241" t="s">
        <v>408</v>
      </c>
      <c r="H10" s="143"/>
    </row>
    <row r="11">
      <c r="B11" s="20" t="s">
        <v>427</v>
      </c>
      <c r="C11" s="217"/>
      <c r="D11" s="143"/>
      <c r="E11" s="143"/>
      <c r="F11" s="217"/>
      <c r="G11" s="253" t="s">
        <v>428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429</v>
      </c>
      <c r="L1" s="32"/>
    </row>
    <row r="2">
      <c r="L2" s="32"/>
    </row>
    <row r="3">
      <c r="A3" s="76" t="s">
        <v>430</v>
      </c>
      <c r="L3" s="32"/>
    </row>
    <row r="4">
      <c r="B4" s="76" t="s">
        <v>431</v>
      </c>
      <c r="G4" s="76" t="s">
        <v>432</v>
      </c>
      <c r="L4" s="32"/>
    </row>
    <row r="5">
      <c r="A5" s="23" t="s">
        <v>19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22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25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28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30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433</v>
      </c>
    </row>
    <row r="13">
      <c r="A13" s="90" t="s">
        <v>434</v>
      </c>
    </row>
    <row r="14">
      <c r="A14" s="76" t="s">
        <v>435</v>
      </c>
    </row>
    <row r="15">
      <c r="B15" s="254" t="s">
        <v>436</v>
      </c>
    </row>
    <row r="18">
      <c r="A18" s="90" t="s">
        <v>437</v>
      </c>
    </row>
    <row r="19">
      <c r="B19" s="76" t="s">
        <v>438</v>
      </c>
      <c r="F19" s="151"/>
    </row>
    <row r="20">
      <c r="B20" s="90" t="s">
        <v>439</v>
      </c>
      <c r="C20" s="105"/>
      <c r="D20" s="105"/>
      <c r="E20" s="105"/>
      <c r="F20" s="105"/>
      <c r="G20" s="90" t="s">
        <v>440</v>
      </c>
      <c r="H20" s="90" t="s">
        <v>65</v>
      </c>
      <c r="I20" s="90" t="s">
        <v>104</v>
      </c>
      <c r="J20" s="90" t="s">
        <v>106</v>
      </c>
      <c r="K20" s="90" t="s">
        <v>108</v>
      </c>
    </row>
    <row r="21">
      <c r="B21" s="90" t="s">
        <v>441</v>
      </c>
      <c r="G21" s="107">
        <v>2.575</v>
      </c>
    </row>
    <row r="23">
      <c r="K23" s="90" t="s">
        <v>442</v>
      </c>
    </row>
    <row r="24">
      <c r="A24" s="76" t="s">
        <v>443</v>
      </c>
      <c r="H24" s="76" t="s">
        <v>43</v>
      </c>
      <c r="I24" s="76" t="s">
        <v>444</v>
      </c>
      <c r="K24" s="76" t="s">
        <v>445</v>
      </c>
      <c r="L24" s="76" t="s">
        <v>446</v>
      </c>
      <c r="M24" s="76" t="s">
        <v>447</v>
      </c>
    </row>
    <row r="25">
      <c r="A25" s="76">
        <v>0.0</v>
      </c>
      <c r="B25" s="76">
        <v>0.0</v>
      </c>
      <c r="H25" s="107" t="str">
        <f t="shared" ref="H25:I25" si="2">AVERAGE(#REF!)</f>
        <v>#REF!</v>
      </c>
      <c r="I25" s="107" t="str">
        <f t="shared" si="2"/>
        <v>#REF!</v>
      </c>
      <c r="K25" s="76" t="s">
        <v>448</v>
      </c>
    </row>
    <row r="26">
      <c r="A26" s="76">
        <v>4.52</v>
      </c>
      <c r="B26" s="76">
        <v>1.19</v>
      </c>
      <c r="K26" s="76" t="s">
        <v>449</v>
      </c>
    </row>
    <row r="27">
      <c r="A27" s="76">
        <v>12.04</v>
      </c>
      <c r="B27" s="76">
        <v>2.19</v>
      </c>
      <c r="K27" s="76" t="s">
        <v>450</v>
      </c>
    </row>
    <row r="28">
      <c r="A28" s="76">
        <v>0.63</v>
      </c>
      <c r="B28" s="76">
        <v>0.05</v>
      </c>
      <c r="K28" s="76" t="s">
        <v>451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452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155</v>
      </c>
    </row>
    <row r="32">
      <c r="A32" s="76">
        <v>0.0</v>
      </c>
      <c r="B32" s="76">
        <v>0.0</v>
      </c>
      <c r="K32" s="23" t="s">
        <v>19</v>
      </c>
      <c r="L32" s="14">
        <v>6293.0</v>
      </c>
      <c r="M32" s="109">
        <v>20.0</v>
      </c>
    </row>
    <row r="33">
      <c r="A33" s="76">
        <v>2.31</v>
      </c>
      <c r="B33" s="76">
        <v>0.58</v>
      </c>
      <c r="K33" s="23" t="s">
        <v>22</v>
      </c>
      <c r="L33" s="14">
        <v>3960.0</v>
      </c>
      <c r="M33" s="109">
        <v>60.0</v>
      </c>
    </row>
    <row r="34">
      <c r="A34" s="76">
        <v>3.8</v>
      </c>
      <c r="B34" s="76">
        <v>0.77</v>
      </c>
      <c r="K34" s="20" t="s">
        <v>25</v>
      </c>
      <c r="L34" s="14">
        <v>3032.0</v>
      </c>
      <c r="M34" s="109">
        <v>10.0</v>
      </c>
    </row>
    <row r="35">
      <c r="A35" s="76">
        <v>0.0</v>
      </c>
      <c r="B35" s="76">
        <v>0.0</v>
      </c>
      <c r="K35" s="20" t="s">
        <v>28</v>
      </c>
      <c r="L35" s="14">
        <v>2114.0</v>
      </c>
      <c r="M35" s="109">
        <v>40.0</v>
      </c>
    </row>
    <row r="36">
      <c r="A36" s="76">
        <v>5.86</v>
      </c>
      <c r="B36" s="76">
        <v>2.53</v>
      </c>
      <c r="K36" s="20" t="s">
        <v>30</v>
      </c>
      <c r="L36" s="14">
        <v>2232.0</v>
      </c>
      <c r="M36" s="109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453</v>
      </c>
    </row>
    <row r="42">
      <c r="A42" s="76">
        <v>2.18</v>
      </c>
      <c r="B42" s="76">
        <v>0.69</v>
      </c>
      <c r="K42" s="76" t="s">
        <v>445</v>
      </c>
      <c r="L42" s="76" t="s">
        <v>446</v>
      </c>
      <c r="M42" s="76" t="s">
        <v>447</v>
      </c>
    </row>
    <row r="43">
      <c r="A43" s="76">
        <v>8.47</v>
      </c>
      <c r="B43" s="76">
        <v>4.59</v>
      </c>
      <c r="K43" s="76">
        <v>0.8</v>
      </c>
      <c r="L43" s="107">
        <v>5.276900000000001</v>
      </c>
      <c r="M43" s="107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7">
        <v>4.023500000000001</v>
      </c>
      <c r="M45" s="107">
        <v>-0.9597</v>
      </c>
    </row>
    <row r="46">
      <c r="A46" s="76">
        <v>0.0</v>
      </c>
      <c r="B46" s="76">
        <v>0.0</v>
      </c>
      <c r="K46" s="76">
        <v>0.4</v>
      </c>
      <c r="L46" s="107">
        <v>3.2705</v>
      </c>
      <c r="M46" s="107">
        <v>0.5869999999999999</v>
      </c>
    </row>
    <row r="47">
      <c r="A47" s="76">
        <v>0.0</v>
      </c>
      <c r="B47" s="76">
        <v>0.0</v>
      </c>
      <c r="K47" s="76">
        <v>0.3</v>
      </c>
      <c r="L47" s="107">
        <v>2.568899999999999</v>
      </c>
      <c r="M47" s="107">
        <v>1.3571999999999995</v>
      </c>
    </row>
    <row r="48">
      <c r="A48" s="76">
        <v>6.91</v>
      </c>
      <c r="B48" s="76">
        <v>2.88</v>
      </c>
      <c r="K48" s="76">
        <v>0.2</v>
      </c>
      <c r="L48" s="107">
        <v>2.434199999999999</v>
      </c>
      <c r="M48" s="107">
        <v>1.5152999999999996</v>
      </c>
    </row>
    <row r="49">
      <c r="A49" s="76">
        <v>1.49</v>
      </c>
      <c r="B49" s="76">
        <v>0.05</v>
      </c>
      <c r="K49" s="76">
        <v>0.1</v>
      </c>
      <c r="L49" s="107">
        <v>2.067100000000001</v>
      </c>
      <c r="M49" s="107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454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455</v>
      </c>
      <c r="M54" s="256"/>
      <c r="N54" s="148" t="s">
        <v>155</v>
      </c>
      <c r="O54" s="148" t="s">
        <v>456</v>
      </c>
      <c r="P54" s="148" t="s">
        <v>457</v>
      </c>
      <c r="R54" s="79" t="s">
        <v>222</v>
      </c>
      <c r="S54" s="151">
        <v>0.15</v>
      </c>
    </row>
    <row r="55">
      <c r="A55" s="76">
        <v>0.64</v>
      </c>
      <c r="B55" s="76">
        <v>-0.12</v>
      </c>
      <c r="K55" s="20" t="s">
        <v>49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5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458</v>
      </c>
      <c r="S57" s="107">
        <f>SUM(P55:P74)</f>
        <v>9.42</v>
      </c>
    </row>
    <row r="58">
      <c r="A58" s="76">
        <v>0.0</v>
      </c>
      <c r="B58" s="76">
        <v>0.0</v>
      </c>
      <c r="K58" s="20" t="s">
        <v>108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459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460</v>
      </c>
    </row>
    <row r="61">
      <c r="A61" s="76">
        <v>0.65</v>
      </c>
      <c r="B61" s="76">
        <v>0.02</v>
      </c>
      <c r="K61" s="20" t="s">
        <v>106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104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65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24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79"/>
      <c r="H97" s="114"/>
      <c r="I97" s="114"/>
      <c r="J97" s="114"/>
    </row>
    <row r="98">
      <c r="A98" s="76">
        <v>3.74</v>
      </c>
      <c r="B98" s="76">
        <v>3.15</v>
      </c>
      <c r="G98" s="79"/>
      <c r="H98" s="114"/>
      <c r="I98" s="114"/>
      <c r="J98" s="114"/>
    </row>
    <row r="99">
      <c r="A99" s="76">
        <v>1.26</v>
      </c>
      <c r="B99" s="76">
        <v>0.21</v>
      </c>
      <c r="G99" s="79"/>
      <c r="H99" s="114"/>
      <c r="I99" s="114"/>
      <c r="J99" s="114"/>
    </row>
    <row r="100">
      <c r="A100" s="76">
        <v>5.08</v>
      </c>
      <c r="B100" s="76">
        <v>17.28</v>
      </c>
      <c r="G100" s="79"/>
      <c r="H100" s="114"/>
      <c r="I100" s="114"/>
      <c r="J100" s="114"/>
    </row>
    <row r="101">
      <c r="A101" s="76">
        <v>1.23</v>
      </c>
      <c r="B101" s="76">
        <v>0.33</v>
      </c>
      <c r="G101" s="79"/>
      <c r="H101" s="114"/>
      <c r="I101" s="114"/>
      <c r="J101" s="114"/>
    </row>
    <row r="102">
      <c r="A102" s="76">
        <v>4.36</v>
      </c>
      <c r="B102" s="76">
        <v>4.08</v>
      </c>
      <c r="G102" s="79"/>
      <c r="H102" s="114"/>
      <c r="I102" s="114"/>
      <c r="J102" s="114"/>
    </row>
    <row r="103">
      <c r="A103" s="76">
        <v>3.19</v>
      </c>
      <c r="B103" s="76">
        <v>2.93</v>
      </c>
      <c r="G103" s="79"/>
      <c r="H103" s="114"/>
      <c r="I103" s="114"/>
      <c r="J103" s="114"/>
    </row>
    <row r="104">
      <c r="A104" s="76">
        <v>2.77</v>
      </c>
      <c r="B104" s="76">
        <v>2.09</v>
      </c>
      <c r="G104" s="79"/>
      <c r="H104" s="114"/>
      <c r="I104" s="114"/>
      <c r="J104" s="114"/>
    </row>
    <row r="105">
      <c r="A105" s="76">
        <v>2.81</v>
      </c>
      <c r="B105" s="76">
        <v>2.32</v>
      </c>
      <c r="G105" s="79"/>
      <c r="H105" s="114"/>
      <c r="I105" s="114"/>
      <c r="J105" s="114"/>
    </row>
    <row r="106">
      <c r="A106" s="76">
        <v>3.73</v>
      </c>
      <c r="B106" s="76">
        <v>9.35</v>
      </c>
      <c r="G106" s="79"/>
      <c r="H106" s="114"/>
      <c r="I106" s="114"/>
      <c r="J106" s="114"/>
    </row>
    <row r="107">
      <c r="A107" s="76">
        <v>0.58</v>
      </c>
      <c r="B107" s="76">
        <v>0.03</v>
      </c>
      <c r="G107" s="79"/>
      <c r="H107" s="114"/>
      <c r="I107" s="114"/>
      <c r="J107" s="114"/>
    </row>
    <row r="108">
      <c r="A108" s="76">
        <v>3.44</v>
      </c>
      <c r="B108" s="76">
        <v>2.81</v>
      </c>
      <c r="G108" s="79"/>
      <c r="H108" s="114"/>
      <c r="I108" s="114"/>
      <c r="J108" s="114"/>
    </row>
    <row r="109">
      <c r="A109" s="76">
        <v>3.5</v>
      </c>
      <c r="B109" s="76">
        <v>7.09</v>
      </c>
      <c r="G109" s="79"/>
      <c r="H109" s="114"/>
      <c r="I109" s="114"/>
      <c r="J109" s="114"/>
    </row>
    <row r="110">
      <c r="A110" s="76">
        <v>2.31</v>
      </c>
      <c r="B110" s="76">
        <v>0.91</v>
      </c>
      <c r="G110" s="79"/>
      <c r="H110" s="114"/>
      <c r="I110" s="114"/>
      <c r="J110" s="114"/>
    </row>
    <row r="111">
      <c r="A111" s="76">
        <v>0.56</v>
      </c>
      <c r="B111" s="76">
        <v>0.03</v>
      </c>
      <c r="G111" s="79"/>
      <c r="H111" s="114"/>
      <c r="I111" s="114"/>
      <c r="J111" s="114"/>
    </row>
    <row r="112">
      <c r="A112" s="76">
        <v>2.96</v>
      </c>
      <c r="B112" s="76">
        <v>1.07</v>
      </c>
      <c r="G112" s="79"/>
      <c r="H112" s="114"/>
      <c r="I112" s="114"/>
      <c r="J112" s="114"/>
    </row>
    <row r="113">
      <c r="A113" s="76">
        <v>2.4</v>
      </c>
      <c r="B113" s="76">
        <v>0.93</v>
      </c>
      <c r="G113" s="79"/>
      <c r="H113" s="114"/>
      <c r="I113" s="114"/>
      <c r="J113" s="114"/>
    </row>
    <row r="114">
      <c r="A114" s="76">
        <v>1.13</v>
      </c>
      <c r="B114" s="76">
        <v>0.26</v>
      </c>
      <c r="G114" s="79"/>
      <c r="H114" s="114"/>
      <c r="I114" s="114"/>
      <c r="J114" s="114"/>
    </row>
    <row r="115">
      <c r="A115" s="76">
        <v>0.57</v>
      </c>
      <c r="B115" s="76">
        <v>-0.11</v>
      </c>
      <c r="G115" s="79"/>
      <c r="H115" s="114"/>
      <c r="I115" s="114"/>
      <c r="J115" s="114"/>
    </row>
    <row r="116">
      <c r="A116" s="76">
        <v>0.54</v>
      </c>
      <c r="B116" s="76">
        <v>0.06</v>
      </c>
      <c r="G116" s="79"/>
      <c r="H116" s="114"/>
      <c r="I116" s="114"/>
      <c r="J116" s="114"/>
    </row>
    <row r="117">
      <c r="A117" s="76">
        <v>1.09</v>
      </c>
      <c r="B117" s="76">
        <v>0.19</v>
      </c>
      <c r="G117" s="79"/>
      <c r="H117" s="114"/>
      <c r="I117" s="114"/>
      <c r="J117" s="114"/>
    </row>
    <row r="118">
      <c r="A118" s="76">
        <v>1.11</v>
      </c>
      <c r="B118" s="76">
        <v>0.11</v>
      </c>
      <c r="G118" s="79"/>
      <c r="H118" s="114"/>
      <c r="I118" s="114"/>
      <c r="J118" s="114"/>
    </row>
    <row r="119">
      <c r="A119" s="76">
        <v>1.14</v>
      </c>
      <c r="B119" s="76">
        <v>-0.01</v>
      </c>
      <c r="G119" s="79"/>
      <c r="H119" s="114"/>
      <c r="I119" s="114"/>
      <c r="J119" s="114"/>
    </row>
    <row r="120">
      <c r="A120" s="76">
        <v>0.56</v>
      </c>
      <c r="B120" s="76">
        <v>0.03</v>
      </c>
      <c r="G120" s="79"/>
      <c r="H120" s="114"/>
      <c r="I120" s="114"/>
      <c r="J120" s="114"/>
    </row>
    <row r="121">
      <c r="A121" s="76">
        <v>0.52</v>
      </c>
      <c r="B121" s="76">
        <v>0.01</v>
      </c>
      <c r="G121" s="79"/>
      <c r="H121" s="114"/>
      <c r="I121" s="114"/>
      <c r="J121" s="114"/>
    </row>
    <row r="122">
      <c r="A122" s="76">
        <v>1.75</v>
      </c>
      <c r="B122" s="76">
        <v>0.34</v>
      </c>
      <c r="G122" s="79"/>
      <c r="H122" s="114"/>
      <c r="I122" s="114"/>
      <c r="J122" s="114"/>
    </row>
    <row r="123">
      <c r="A123" s="76">
        <v>1.12</v>
      </c>
      <c r="B123" s="76">
        <v>0.22</v>
      </c>
      <c r="G123" s="79"/>
      <c r="H123" s="114"/>
      <c r="I123" s="114"/>
      <c r="J123" s="114"/>
    </row>
    <row r="124">
      <c r="A124" s="76">
        <v>2.37</v>
      </c>
      <c r="B124" s="76">
        <v>0.72</v>
      </c>
      <c r="G124" s="79"/>
      <c r="H124" s="114"/>
      <c r="I124" s="114"/>
      <c r="J124" s="114"/>
    </row>
    <row r="125">
      <c r="H125" s="114"/>
      <c r="I125" s="114"/>
      <c r="J125" s="114"/>
    </row>
    <row r="126">
      <c r="H126" s="114"/>
      <c r="I126" s="114"/>
      <c r="J126" s="114"/>
    </row>
    <row r="127">
      <c r="H127" s="114"/>
      <c r="I127" s="114"/>
      <c r="J127" s="114"/>
    </row>
    <row r="128">
      <c r="H128" s="114"/>
      <c r="I128" s="114"/>
      <c r="J128" s="114"/>
    </row>
    <row r="129">
      <c r="H129" s="114"/>
      <c r="I129" s="114"/>
      <c r="J129" s="114"/>
    </row>
  </sheetData>
  <drawing r:id="rId1"/>
</worksheet>
</file>