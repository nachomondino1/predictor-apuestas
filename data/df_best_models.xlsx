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scatter-plot" sheetId="7" r:id="rId10"/>
    <sheet state="visible" name="Framework" sheetId="8" r:id="rId11"/>
    <sheet state="visible" name="Reseña modelos" sheetId="9" r:id="rId12"/>
    <sheet state="visible" name="Semana 35" sheetId="10" r:id="rId13"/>
    <sheet state="visible" name="Metricas semana 33" sheetId="11" r:id="rId14"/>
    <sheet state="visible" name="Metricas semana 34" sheetId="12" r:id="rId15"/>
    <sheet state="visible" name="Metricas semana 35 - roi" sheetId="13" r:id="rId16"/>
    <sheet state="visible" name="Metricas semana 35 - f1_score" sheetId="14" r:id="rId17"/>
    <sheet state="visible" name="Sheet28" sheetId="15" r:id="rId18"/>
  </sheets>
  <definedNames>
    <definedName hidden="1" localSheetId="0" name="_xlnm._FilterDatabase">'Modelos actuales'!$A$1:$M$8</definedName>
    <definedName hidden="1" localSheetId="7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F5">
      <text>
        <t xml:space="preserve">-0.5</t>
      </text>
    </comment>
    <comment authorId="0" ref="F6">
      <text>
        <t xml:space="preserve">-1</t>
      </text>
    </comment>
    <comment authorId="0" ref="D7">
      <text>
        <t xml:space="preserve">Alternativas: 
209	LogisticRegression
209	SVC
</t>
      </text>
    </comment>
    <comment authorId="0" ref="F8">
      <text>
        <t xml:space="preserve">-0.25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K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A1">
      <text>
        <t xml:space="preserve">Capaz se dieron resultados muy poco esperados... Por eso expected alto pero bajo roi
Conclusión: otra vez gana el gráfico 2025-04-23.
💡 ¿Por qué?
	1.	Mayor variabilidad y riqueza en los modelos, lo que da más espacio para elegir y optimizar.
	2.	La nube de puntos está más distribuida en todas las zonas, especialmente las positivas.
	3.	El expected_roi no solo varía más, sino que tiene más casos donde se alinea con un ROI positivo.</t>
      </text>
    </comment>
    <comment authorId="0" ref="CP1">
      <text>
        <t xml:space="preserve"> Capaz se dieron rdos poco esperados...
✅ Conclusión: el gráfico del 2025-04-23 es mejor.
💡 ¿Por qué?
	1.	Mayor diversidad en los modelos evaluados, con presencia de modelos realmente rentables (expected y real).
	2.	Presencia de cuadrante ideal (roi &gt; 0, expected_roi &gt; 0).
	3.	Posibilidad de aplicar filtros (por ejemplo, expected_roi &gt; 10) para ver si ahí sí aparece una mejor relación con el roi real.
	4.	No te limita a zonas negativas como el gráfico anterior.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<sst xmlns="http://schemas.openxmlformats.org/spreadsheetml/2006/main" count="8575" uniqueCount="478">
  <si>
    <t>id_country</t>
  </si>
  <si>
    <t>country</t>
  </si>
  <si>
    <t>iteration_date</t>
  </si>
  <si>
    <t>n_model</t>
  </si>
  <si>
    <t>model_name</t>
  </si>
  <si>
    <t>Doble oportunidad</t>
  </si>
  <si>
    <t>mean_stake_home</t>
  </si>
  <si>
    <t>mean_stake_draw</t>
  </si>
  <si>
    <t>mean_stake_away</t>
  </si>
  <si>
    <t>mean_stake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</si>
  <si>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</si>
  <si>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</si>
  <si>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</si>
  <si>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</si>
  <si>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</si>
  <si>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</si>
  <si>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</si>
  <si>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</si>
  <si>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france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</si>
  <si>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</si>
  <si>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</si>
  <si>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</si>
  <si>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</si>
  <si>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</si>
  <si>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</si>
  <si>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</si>
  <si>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</si>
  <si>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</si>
  <si>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</si>
  <si>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</si>
  <si>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</si>
  <si>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</si>
  <si>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</si>
  <si>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</si>
  <si>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</si>
  <si>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</si>
  <si>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</si>
  <si>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</si>
  <si>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</si>
  <si>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</si>
  <si>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</si>
  <si>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</si>
  <si>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</si>
  <si>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</si>
  <si>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</si>
  <si>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</si>
  <si>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</si>
  <si>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</si>
  <si>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</si>
  <si>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</si>
  <si>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</si>
  <si>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</si>
  <si>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</si>
  <si>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</si>
  <si>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</si>
  <si>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</si>
  <si>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</si>
  <si>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</si>
  <si>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</si>
  <si>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</si>
  <si>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</si>
  <si>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</si>
  <si>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</si>
  <si>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</si>
  <si>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</si>
  <si>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</si>
  <si>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</si>
  <si>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</si>
  <si>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</si>
  <si>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</si>
  <si>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</si>
  <si>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</si>
  <si>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</si>
  <si>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</si>
  <si>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</si>
  <si>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</si>
  <si>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</si>
  <si>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</si>
  <si>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</si>
  <si>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</si>
  <si>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</si>
  <si>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</si>
  <si>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</si>
  <si>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</si>
  <si>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</si>
  <si>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</si>
  <si>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</si>
  <si>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</si>
  <si>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</si>
  <si>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</si>
  <si>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</si>
  <si>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</si>
  <si>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</si>
  <si>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</si>
  <si>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</si>
  <si>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</si>
  <si>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</si>
  <si>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</si>
  <si>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</si>
  <si>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</si>
  <si>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</si>
  <si>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</si>
  <si>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</si>
  <si>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</si>
  <si>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</si>
  <si>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</si>
  <si>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</si>
  <si>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</si>
  <si>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</si>
  <si>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</si>
  <si>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</si>
  <si>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</si>
  <si>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</si>
  <si>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</si>
  <si>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</si>
  <si>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</si>
  <si>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</si>
  <si>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</si>
  <si>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</si>
  <si>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</si>
  <si>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</si>
  <si>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</si>
  <si>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</si>
  <si>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</si>
  <si>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</si>
  <si>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</si>
  <si>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</si>
  <si>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</si>
  <si>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</si>
  <si>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</si>
  <si>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</si>
  <si>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</si>
  <si>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</si>
  <si>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</si>
  <si>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</si>
  <si>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</si>
  <si>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</si>
  <si>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</si>
  <si>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</si>
  <si>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</si>
  <si>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</si>
  <si>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</si>
  <si>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</si>
  <si>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</si>
  <si>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</si>
  <si>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</si>
  <si>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</si>
  <si>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</si>
  <si>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</si>
  <si>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</si>
  <si>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</si>
  <si>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</si>
  <si>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</si>
  <si>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</si>
  <si>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</si>
  <si>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</si>
  <si>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</si>
  <si>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</si>
  <si>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</si>
  <si>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</si>
  <si>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</si>
  <si>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</si>
  <si>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</si>
  <si>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</si>
  <si>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</si>
  <si>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</si>
  <si>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</si>
  <si>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</si>
  <si>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</si>
  <si>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</si>
  <si>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</si>
  <si>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</si>
  <si>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</si>
  <si>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</si>
  <si>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</si>
  <si>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</si>
  <si>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</si>
  <si>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</si>
  <si>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</si>
  <si>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</si>
  <si>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prob_result_to_bet</t>
  </si>
  <si>
    <t>prob_bm</t>
  </si>
  <si>
    <t>odd</t>
  </si>
  <si>
    <t>kelly_crit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</si>
  <si>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</si>
  <si>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</si>
  <si>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</si>
  <si>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</si>
  <si>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</si>
  <si>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</si>
  <si>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</si>
  <si>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</si>
  <si>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</si>
  <si>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</si>
  <si>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</si>
  <si>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</si>
  <si>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</si>
  <si>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</si>
  <si>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</si>
  <si>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Top 5% expected_roi</t>
  </si>
  <si>
    <t>percentil</t>
  </si>
  <si>
    <t>expected_roi</t>
  </si>
  <si>
    <t>modelo</t>
  </si>
  <si>
    <t>Tras el assess (veo que el que maximiza roi + Expected roi)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</si>
  <si>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</si>
  <si>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</si>
  <si>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</si>
  <si>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</si>
  <si>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</si>
  <si>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</si>
  <si>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</si>
  <si>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</si>
  <si>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</si>
  <si>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</si>
  <si>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</si>
  <si>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</si>
  <si>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</si>
  <si>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</si>
  <si>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</si>
  <si>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</si>
  <si>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</si>
  <si>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</si>
  <si>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</si>
  <si>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</si>
  <si>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</si>
  <si>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</si>
  <si>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</si>
  <si>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</si>
  <si>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</si>
  <si>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</si>
  <si>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</si>
  <si>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</si>
  <si>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</si>
  <si>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</si>
  <si>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</si>
  <si>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</si>
  <si>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</si>
  <si>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</si>
  <si>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</si>
  <si>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</si>
  <si>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</si>
  <si>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</si>
  <si>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</si>
  <si>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</si>
  <si>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</si>
  <si>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</si>
  <si>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</si>
  <si>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</si>
  <si>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</si>
  <si>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</si>
  <si>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</si>
  <si>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</si>
  <si>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</si>
  <si>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</si>
  <si>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</si>
  <si>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</si>
  <si>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</si>
  <si>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</si>
  <si>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</si>
  <si>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</si>
  <si>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</si>
  <si>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</si>
  <si>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</si>
  <si>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</si>
  <si>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</si>
  <si>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</si>
  <si>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</si>
  <si>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</si>
  <si>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</si>
  <si>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</si>
  <si>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</si>
  <si>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</si>
  <si>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</si>
  <si>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</si>
  <si>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</si>
  <si>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</si>
  <si>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</si>
  <si>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</si>
  <si>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</si>
  <si>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</si>
  <si>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</si>
  <si>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</si>
  <si>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</si>
  <si>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</si>
  <si>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</si>
  <si>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</si>
  <si>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</si>
  <si>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Semana 36</t>
  </si>
  <si>
    <t>Si el roi + ex_roi es negativo prefiero usar stake 0.</t>
  </si>
  <si>
    <t>Sino usa un stake altisimo...</t>
  </si>
  <si>
    <t>No basa el stake segun el roi generado. A mayor roi generado no necesariamente mayor stake...</t>
  </si>
  <si>
    <t>prob_dp</t>
  </si>
  <si>
    <t>curva</t>
  </si>
  <si>
    <t>b</t>
  </si>
  <si>
    <t>k</t>
  </si>
  <si>
    <t>expected_roi_por_partido</t>
  </si>
  <si>
    <t>%_G/P</t>
  </si>
  <si>
    <t>kelly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</si>
  <si>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</si>
  <si>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</si>
  <si>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</si>
  <si>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</si>
  <si>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</si>
  <si>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</si>
  <si>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</si>
  <si>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</si>
  <si>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</si>
  <si>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</si>
  <si>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</si>
  <si>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</si>
  <si>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</si>
  <si>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</si>
  <si>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</si>
  <si>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</si>
  <si>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</si>
  <si>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</si>
  <si>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</si>
  <si>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</si>
  <si>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</si>
  <si>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</si>
  <si>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</si>
  <si>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</si>
  <si>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</si>
  <si>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</si>
  <si>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</si>
  <si>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</si>
  <si>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</si>
  <si>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</si>
  <si>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</si>
  <si>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</si>
  <si>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</si>
  <si>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</si>
  <si>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</si>
  <si>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</si>
  <si>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</si>
  <si>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</si>
  <si>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</si>
  <si>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</si>
  <si>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</si>
  <si>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</si>
  <si>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</si>
  <si>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</si>
  <si>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</si>
  <si>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</si>
  <si>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</si>
  <si>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</si>
  <si>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</si>
  <si>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</si>
  <si>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</si>
  <si>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</si>
  <si>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</si>
  <si>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</si>
  <si>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</si>
  <si>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</si>
  <si>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</si>
  <si>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</si>
  <si>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</si>
  <si>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</si>
  <si>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</si>
  <si>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</si>
  <si>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</si>
  <si>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</si>
  <si>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</si>
  <si>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</si>
  <si>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</si>
  <si>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</si>
  <si>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</si>
  <si>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</si>
  <si>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</si>
  <si>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</si>
  <si>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</si>
  <si>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</si>
  <si>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</si>
  <si>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</si>
  <si>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</si>
  <si>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</si>
  <si>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</si>
  <si>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</si>
  <si>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</si>
  <si>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</si>
  <si>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</si>
  <si>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</si>
  <si>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</si>
  <si>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</si>
  <si>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</si>
  <si>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</si>
  <si>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</si>
  <si>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</si>
  <si>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</si>
  <si>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</si>
  <si>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</si>
  <si>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</si>
  <si>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</si>
  <si>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</si>
  <si>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</si>
  <si>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</si>
  <si>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</si>
  <si>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</si>
  <si>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</si>
  <si>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Posicion segun metrics</t>
  </si>
  <si>
    <t>Puntos fuertes</t>
  </si>
  <si>
    <t>Puntos flacos</t>
  </si>
  <si>
    <t>Modelo alternativa</t>
  </si>
  <si>
    <t># 5 metrica (error + roi)
# 7 roi con ea + Expected roi con ea bueno (en eng importa)
Buen assess</t>
  </si>
  <si>
    <t>Predice poco empate (-65%)</t>
  </si>
  <si>
    <t>1071
375
771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</si>
  <si>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</si>
  <si>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</si>
  <si>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#2 en roi con ea y #2 en f1_score y #2 en roi
Error promedio.</t>
  </si>
  <si>
    <t>Mal assess
Predice un poco mas de empate de los que hay</t>
  </si>
  <si>
    <t># 1 roi, con gp_draw y gp_away max. 
Gran f1_score
Distribucion aceptable (20%)
Grandes metricas de cv</t>
  </si>
  <si>
    <t># Max roi con ea en empates
Metrica buena
Buen assess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</si>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</sst>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yyyy&quot;-&quot;mm&quot;-&quot;dd"/>
    <numFmt numFmtId="165" formatCode="0.000"/>
    <numFmt numFmtId="166" formatCode="0.0"/>
    <numFmt numFmtId="167" formatCode="dd.mm"/>
    <numFmt numFmtId="168" formatCode="#,##0.0"/>
    <numFmt numFmtId="169" formatCode="yyyy-mm-dd"/>
  </numFmts>
  <fonts count="2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  <font/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b/>
      <color rgb="FFFF0000"/>
      <name val="Arial"/>
      <scheme val="minor"/>
    </font>
    <font>
      <b/>
      <color rgb="FF38761D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3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BF9000"/>
        <bgColor rgb="FFBF9000"/>
      </patternFill>
    </fill>
    <fill>
      <patternFill patternType="solid">
        <fgColor rgb="FFFF0000"/>
        <bgColor rgb="FFFF0000"/>
      </patternFill>
    </fill>
    <fill>
      <patternFill patternType="solid">
        <fgColor rgb="FF4A86E8"/>
        <bgColor rgb="FF4A86E8"/>
      </patternFill>
    </fill>
    <fill>
      <patternFill patternType="solid">
        <fgColor rgb="FF6AA84F"/>
        <bgColor rgb="FF6AA84F"/>
      </patternFill>
    </fill>
    <fill>
      <patternFill patternType="solid">
        <fgColor rgb="FF351C75"/>
        <bgColor rgb="FF351C75"/>
      </patternFill>
    </fill>
    <fill>
      <patternFill patternType="solid">
        <fgColor rgb="FFF1C232"/>
        <bgColor rgb="FFF1C232"/>
      </patternFill>
    </fill>
    <fill>
      <patternFill patternType="solid">
        <fgColor rgb="FFCC0000"/>
        <bgColor rgb="FFCC0000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5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1" fillId="4" fontId="5" numFmtId="3" xfId="0" applyAlignment="1" applyBorder="1" applyFont="1" applyNumberFormat="1">
      <alignment horizontal="center" readingOrder="0" vertical="center"/>
    </xf>
    <xf borderId="0" fillId="0" fontId="3" numFmtId="2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readingOrder="0"/>
    </xf>
    <xf borderId="0" fillId="0" fontId="3" numFmtId="166" xfId="0" applyFont="1" applyNumberFormat="1"/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4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0" fillId="20" fontId="15" numFmtId="0" xfId="0" applyAlignment="1" applyFill="1" applyFont="1">
      <alignment readingOrder="0"/>
    </xf>
    <xf borderId="0" fillId="0" fontId="4" numFmtId="169" xfId="0" applyAlignment="1" applyFont="1" applyNumberFormat="1">
      <alignment readingOrder="0"/>
    </xf>
    <xf borderId="0" fillId="0" fontId="15" numFmtId="0" xfId="0" applyAlignment="1" applyFont="1">
      <alignment readingOrder="0"/>
    </xf>
    <xf borderId="0" fillId="6" fontId="4" numFmtId="169" xfId="0" applyAlignment="1" applyFont="1" applyNumberFormat="1">
      <alignment readingOrder="0"/>
    </xf>
    <xf borderId="0" fillId="21" fontId="15" numFmtId="0" xfId="0" applyAlignment="1" applyFill="1" applyFont="1">
      <alignment readingOrder="0"/>
    </xf>
    <xf borderId="0" fillId="7" fontId="4" numFmtId="169" xfId="0" applyAlignment="1" applyFont="1" applyNumberFormat="1">
      <alignment readingOrder="0"/>
    </xf>
    <xf borderId="0" fillId="22" fontId="15" numFmtId="0" xfId="0" applyAlignment="1" applyFill="1" applyFont="1">
      <alignment readingOrder="0"/>
    </xf>
    <xf borderId="0" fillId="23" fontId="15" numFmtId="0" xfId="0" applyAlignment="1" applyFill="1" applyFont="1">
      <alignment readingOrder="0"/>
    </xf>
    <xf borderId="0" fillId="24" fontId="15" numFmtId="0" xfId="0" applyAlignment="1" applyFill="1" applyFont="1">
      <alignment readingOrder="0"/>
    </xf>
    <xf borderId="1" fillId="0" fontId="3" numFmtId="0" xfId="0" applyAlignment="1" applyBorder="1" applyFont="1">
      <alignment horizontal="center" shrinkToFit="0" vertical="center" wrapText="1"/>
    </xf>
    <xf borderId="9" fillId="25" fontId="4" numFmtId="0" xfId="0" applyAlignment="1" applyBorder="1" applyFill="1" applyFont="1">
      <alignment horizontal="center" readingOrder="0" shrinkToFit="0" vertical="center" wrapText="1"/>
    </xf>
    <xf borderId="1" fillId="0" fontId="16" numFmtId="0" xfId="0" applyBorder="1" applyFont="1"/>
    <xf borderId="9" fillId="23" fontId="15" numFmtId="0" xfId="0" applyAlignment="1" applyBorder="1" applyFont="1">
      <alignment horizontal="center" readingOrder="0" shrinkToFit="0" vertical="center" wrapText="1"/>
    </xf>
    <xf borderId="2" fillId="0" fontId="16" numFmtId="0" xfId="0" applyBorder="1" applyFont="1"/>
    <xf borderId="0" fillId="0" fontId="3" numFmtId="0" xfId="0" applyAlignment="1" applyFont="1">
      <alignment horizontal="center" shrinkToFit="0" vertical="center" wrapText="1"/>
    </xf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4" fillId="0" fontId="16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6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6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6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23" numFmtId="1" xfId="0" applyAlignment="1" applyFont="1" applyNumberFormat="1">
      <alignment horizontal="center" vertical="center"/>
    </xf>
    <xf borderId="0" fillId="0" fontId="23" numFmtId="0" xfId="0" applyFont="1"/>
    <xf borderId="0" fillId="0" fontId="24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5" numFmtId="1" xfId="0" applyAlignment="1" applyBorder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vertical="center"/>
    </xf>
    <xf borderId="0" fillId="0" fontId="23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6" numFmtId="1" xfId="0" applyAlignment="1" applyBorder="1" applyFont="1" applyNumberFormat="1">
      <alignment horizontal="center" readingOrder="0" shrinkToFit="0" vertical="center" wrapText="1"/>
    </xf>
    <xf borderId="1" fillId="0" fontId="26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3" fontId="15" numFmtId="0" xfId="0" applyAlignment="1" applyFont="1">
      <alignment horizontal="center" readingOrder="0" shrinkToFit="0" vertical="center" wrapText="1"/>
    </xf>
    <xf borderId="0" fillId="23" fontId="15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5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2" fontId="20" numFmtId="1" xfId="0" applyAlignment="1" applyFont="1" applyNumberFormat="1">
      <alignment horizontal="center" readingOrder="0" shrinkToFit="0" vertical="center" wrapText="1"/>
    </xf>
    <xf quotePrefix="1" borderId="0" fillId="27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7" fontId="20" numFmtId="1" xfId="0" applyAlignment="1" applyFont="1" applyNumberFormat="1">
      <alignment horizontal="center" readingOrder="0" shrinkToFit="0" vertical="center" wrapText="1"/>
    </xf>
    <xf borderId="1" fillId="0" fontId="25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6" numFmtId="166" xfId="0" applyAlignment="1" applyBorder="1" applyFont="1" applyNumberFormat="1">
      <alignment horizontal="center" readingOrder="0" vertical="center"/>
    </xf>
    <xf borderId="1" fillId="0" fontId="26" numFmtId="9" xfId="0" applyAlignment="1" applyBorder="1" applyFont="1" applyNumberFormat="1">
      <alignment horizontal="center" readingOrder="0" vertical="center"/>
    </xf>
    <xf borderId="0" fillId="28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9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5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1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1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7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7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7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7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8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'scatter-plot'!$M$3:$M$1538</c:f>
            </c:numRef>
          </c:xVal>
          <c:yVal>
            <c:numRef>
              <c:f>'scatter-plot'!$N$3:$N$1538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3000856"/>
        <c:axId val="724733896"/>
      </c:scatterChart>
      <c:valAx>
        <c:axId val="84300085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4733896"/>
      </c:valAx>
      <c:valAx>
        <c:axId val="7247338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300085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'scatter-plot'!$AO$3:$AO$1504</c:f>
            </c:numRef>
          </c:xVal>
          <c:yVal>
            <c:numRef>
              <c:f>'scatter-plot'!$AP$3:$AP$1504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1006694"/>
        <c:axId val="970879697"/>
      </c:scatterChart>
      <c:valAx>
        <c:axId val="64100669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0879697"/>
      </c:valAx>
      <c:valAx>
        <c:axId val="9708796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410066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'scatter-plot'!$AU$3:$AU$1530</c:f>
            </c:numRef>
          </c:xVal>
          <c:yVal>
            <c:numRef>
              <c:f>'scatter-plot'!$AV$3:$AV$1530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253124"/>
        <c:axId val="2127411757"/>
      </c:scatterChart>
      <c:valAx>
        <c:axId val="78225312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7411757"/>
      </c:valAx>
      <c:valAx>
        <c:axId val="21274117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22531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- 2025-03-23</a:t>
            </a:r>
          </a:p>
        </c:rich>
      </c:tx>
      <c:layout>
        <c:manualLayout>
          <c:xMode val="edge"/>
          <c:yMode val="edge"/>
          <c:x val="0.03220757825370676"/>
          <c:y val="0.05"/>
        </c:manualLayout>
      </c:layout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'scatter-plot'!$BG$3:$BG$1154</c:f>
            </c:numRef>
          </c:xVal>
          <c:yVal>
            <c:numRef>
              <c:f>'scatter-plot'!$BH$3:$BH$1154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7589874"/>
        <c:axId val="1105719525"/>
      </c:scatterChart>
      <c:valAx>
        <c:axId val="76758987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5719525"/>
      </c:valAx>
      <c:valAx>
        <c:axId val="11057195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75898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- 2025-04-23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'scatter-plot'!$BM$3:$BM$1530</c:f>
            </c:numRef>
          </c:xVal>
          <c:yVal>
            <c:numRef>
              <c:f>'scatter-plot'!$BN$3:$BN$1530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2815640"/>
        <c:axId val="610115015"/>
      </c:scatterChart>
      <c:valAx>
        <c:axId val="82281564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0115015"/>
      </c:valAx>
      <c:valAx>
        <c:axId val="6101150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28156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'scatter-plot'!$AI$3:$AI$1154</c:f>
            </c:numRef>
          </c:xVal>
          <c:yVal>
            <c:numRef>
              <c:f>'scatter-plot'!$AJ$3:$AJ$1154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860798"/>
        <c:axId val="351691522"/>
      </c:scatterChart>
      <c:valAx>
        <c:axId val="41986079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1691522"/>
      </c:valAx>
      <c:valAx>
        <c:axId val="3516915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198607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- 2025-03-23 vs.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'scatter-plot'!$BX$2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'scatter-plot'!$BW$3:$BW$1154</c:f>
            </c:numRef>
          </c:xVal>
          <c:yVal>
            <c:numRef>
              <c:f>'scatter-plot'!$BX$3:$BX$1154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7118979"/>
        <c:axId val="885548938"/>
      </c:scatterChart>
      <c:valAx>
        <c:axId val="139711897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85548938"/>
      </c:valAx>
      <c:valAx>
        <c:axId val="8855489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971189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2025-03-23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'scatter-plot'!$CJ$2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'scatter-plot'!$CI$3:$CI$674</c:f>
            </c:numRef>
          </c:xVal>
          <c:yVal>
            <c:numRef>
              <c:f>'scatter-plot'!$CJ$3:$CJ$674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943445"/>
        <c:axId val="734856868"/>
      </c:scatterChart>
      <c:valAx>
        <c:axId val="673943445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34856868"/>
      </c:valAx>
      <c:valAx>
        <c:axId val="7348568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39434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- 2025-03-23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'scatter-plot'!$G$2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'scatter-plot'!$F$3:$F$1154</c:f>
            </c:numRef>
          </c:xVal>
          <c:yVal>
            <c:numRef>
              <c:f>'scatter-plot'!$G$3:$G$1154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3900617"/>
        <c:axId val="1585485307"/>
      </c:scatterChart>
      <c:valAx>
        <c:axId val="29390061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5485307"/>
      </c:valAx>
      <c:valAx>
        <c:axId val="15854853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39006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- 2025-02-05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'scatter-plot'!$B$2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'scatter-plot'!$A$3:$A$1187</c:f>
            </c:numRef>
          </c:xVal>
          <c:yVal>
            <c:numRef>
              <c:f>'scatter-plot'!$B$3:$B$1187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744392"/>
        <c:axId val="1183916728"/>
      </c:scatterChart>
      <c:valAx>
        <c:axId val="4274439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3916728"/>
      </c:valAx>
      <c:valAx>
        <c:axId val="118391672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74439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2025-04-23 vs. ITA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'scatter-plot'!$P$3:$P$1514</c:f>
            </c:numRef>
          </c:xVal>
          <c:yVal>
            <c:numRef>
              <c:f>'scatter-plot'!$Q$3:$Q$1514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4001997"/>
        <c:axId val="2145675823"/>
      </c:scatterChart>
      <c:valAx>
        <c:axId val="37400199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ITA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5675823"/>
      </c:valAx>
      <c:valAx>
        <c:axId val="21456758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2025-04-23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40019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 roi 2025-04-23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'scatter-plot'!$CP$2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'scatter-plot'!$CO$3:$CO$1496</c:f>
            </c:numRef>
          </c:xVal>
          <c:yVal>
            <c:numRef>
              <c:f>'scatter-plot'!$CP$3:$CP$1496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7192832"/>
        <c:axId val="382648081"/>
      </c:scatterChart>
      <c:valAx>
        <c:axId val="184719283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2648081"/>
      </c:valAx>
      <c:valAx>
        <c:axId val="3826480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471928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expeced_roi vs roi - 2025-04-23 GER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'scatter-plot'!$CA$2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'scatter-plot'!$BZ$3:$BZ$1442</c:f>
            </c:numRef>
          </c:xVal>
          <c:yVal>
            <c:numRef>
              <c:f>'scatter-plot'!$CA$3:$CA$1442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2732"/>
        <c:axId val="870717938"/>
      </c:scatterChart>
      <c:valAx>
        <c:axId val="1432732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0717938"/>
      </c:valAx>
      <c:valAx>
        <c:axId val="8707179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27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expected_roi vs. roi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xVal>
            <c:numRef>
              <c:f>'scatter-plot'!$CS$2:$CS$152</c:f>
            </c:numRef>
          </c:xVal>
          <c:yVal>
            <c:numRef>
              <c:f>'scatter-plot'!$CT$2:$CT$152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0104499"/>
        <c:axId val="1216231797"/>
      </c:scatterChart>
      <c:valAx>
        <c:axId val="170010449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6231797"/>
      </c:valAx>
      <c:valAx>
        <c:axId val="12162317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expected_roi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01044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19050</xdr:colOff>
      <xdr:row>4</xdr:row>
      <xdr:rowOff>57150</xdr:rowOff>
    </xdr:from>
    <xdr:ext cx="4514850" cy="2771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37</xdr:col>
      <xdr:colOff>457200</xdr:colOff>
      <xdr:row>4</xdr:row>
      <xdr:rowOff>95250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43</xdr:col>
      <xdr:colOff>466725</xdr:colOff>
      <xdr:row>4</xdr:row>
      <xdr:rowOff>95250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55</xdr:col>
      <xdr:colOff>419100</xdr:colOff>
      <xdr:row>4</xdr:row>
      <xdr:rowOff>95250</xdr:rowOff>
    </xdr:from>
    <xdr:ext cx="5781675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61</xdr:col>
      <xdr:colOff>438150</xdr:colOff>
      <xdr:row>4</xdr:row>
      <xdr:rowOff>95250</xdr:rowOff>
    </xdr:from>
    <xdr:ext cx="5715000" cy="3533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31</xdr:col>
      <xdr:colOff>133350</xdr:colOff>
      <xdr:row>4</xdr:row>
      <xdr:rowOff>19050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70</xdr:col>
      <xdr:colOff>628650</xdr:colOff>
      <xdr:row>4</xdr:row>
      <xdr:rowOff>95250</xdr:rowOff>
    </xdr:from>
    <xdr:ext cx="5715000" cy="353377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84</xdr:col>
      <xdr:colOff>371475</xdr:colOff>
      <xdr:row>4</xdr:row>
      <xdr:rowOff>57150</xdr:rowOff>
    </xdr:from>
    <xdr:ext cx="5715000" cy="3533775"/>
    <xdr:graphicFrame>
      <xdr:nvGraphicFramePr>
        <xdr:cNvPr id="8" name="Chart 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5</xdr:col>
      <xdr:colOff>0</xdr:colOff>
      <xdr:row>4</xdr:row>
      <xdr:rowOff>95250</xdr:rowOff>
    </xdr:from>
    <xdr:ext cx="4419600" cy="27336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0</xdr:col>
      <xdr:colOff>0</xdr:colOff>
      <xdr:row>4</xdr:row>
      <xdr:rowOff>95250</xdr:rowOff>
    </xdr:from>
    <xdr:ext cx="4419600" cy="2733675"/>
    <xdr:graphicFrame>
      <xdr:nvGraphicFramePr>
        <xdr:cNvPr id="10" name="Chart 1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14</xdr:col>
      <xdr:colOff>847725</xdr:colOff>
      <xdr:row>4</xdr:row>
      <xdr:rowOff>19050</xdr:rowOff>
    </xdr:from>
    <xdr:ext cx="4552950" cy="2809875"/>
    <xdr:graphicFrame>
      <xdr:nvGraphicFramePr>
        <xdr:cNvPr id="11" name="Chart 1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90</xdr:col>
      <xdr:colOff>485775</xdr:colOff>
      <xdr:row>4</xdr:row>
      <xdr:rowOff>57150</xdr:rowOff>
    </xdr:from>
    <xdr:ext cx="5715000" cy="3533775"/>
    <xdr:graphicFrame>
      <xdr:nvGraphicFramePr>
        <xdr:cNvPr id="12" name="Chart 1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76</xdr:col>
      <xdr:colOff>847725</xdr:colOff>
      <xdr:row>4</xdr:row>
      <xdr:rowOff>95250</xdr:rowOff>
    </xdr:from>
    <xdr:ext cx="5715000" cy="3533775"/>
    <xdr:graphicFrame>
      <xdr:nvGraphicFramePr>
        <xdr:cNvPr id="13" name="Chart 1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96</xdr:col>
      <xdr:colOff>504825</xdr:colOff>
      <xdr:row>4</xdr:row>
      <xdr:rowOff>95250</xdr:rowOff>
    </xdr:from>
    <xdr:ext cx="5715000" cy="3533775"/>
    <xdr:graphicFrame>
      <xdr:nvGraphicFramePr>
        <xdr:cNvPr id="14" name="Chart 1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0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0" width="10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5" t="s">
        <v>10</v>
      </c>
      <c r="L1" s="6" t="s">
        <v>11</v>
      </c>
      <c r="M1" s="7" t="s">
        <v>12</v>
      </c>
    </row>
    <row r="2" ht="39.0" hidden="1" customHeight="1">
      <c r="A2" s="8">
        <v>6.0</v>
      </c>
      <c r="B2" s="9" t="s">
        <v>13</v>
      </c>
      <c r="C2" s="10">
        <v>45685.0</v>
      </c>
      <c r="D2" s="11">
        <v>616.0</v>
      </c>
      <c r="E2" s="12" t="s">
        <v>14</v>
      </c>
      <c r="F2" s="13"/>
      <c r="G2" s="13"/>
      <c r="H2" s="13"/>
      <c r="I2" s="13"/>
      <c r="J2" s="13"/>
      <c r="K2" s="14"/>
      <c r="M2" s="15"/>
    </row>
    <row r="3" hidden="1">
      <c r="A3" s="16">
        <v>167.0</v>
      </c>
      <c r="B3" s="16" t="s">
        <v>15</v>
      </c>
      <c r="C3" s="10"/>
      <c r="D3" s="10"/>
      <c r="E3" s="10"/>
      <c r="F3" s="17"/>
      <c r="G3" s="17"/>
      <c r="H3" s="17"/>
      <c r="I3" s="17"/>
      <c r="J3" s="17"/>
      <c r="K3" s="14"/>
      <c r="M3" s="15"/>
    </row>
    <row r="4">
      <c r="A4" s="18">
        <v>48.0</v>
      </c>
      <c r="B4" s="19" t="s">
        <v>16</v>
      </c>
      <c r="C4" s="10">
        <v>45769.0</v>
      </c>
      <c r="D4" s="12">
        <v>361.0</v>
      </c>
      <c r="E4" s="12" t="s">
        <v>17</v>
      </c>
      <c r="G4" s="20">
        <v>40.0</v>
      </c>
      <c r="H4" s="20">
        <v>70.0</v>
      </c>
      <c r="I4" s="20">
        <v>10.0</v>
      </c>
      <c r="J4" s="21">
        <f t="shared" ref="J4:J8" si="1">AVERAGE(G4:I4)</f>
        <v>40</v>
      </c>
      <c r="K4" s="22"/>
      <c r="L4" s="23"/>
      <c r="M4" s="24" t="str">
        <f t="shared" ref="M4:M8" si="2">(L4-K4)/K4</f>
        <v>#DIV/0!</v>
      </c>
    </row>
    <row r="5">
      <c r="A5" s="16">
        <v>55.0</v>
      </c>
      <c r="B5" s="19" t="s">
        <v>18</v>
      </c>
      <c r="C5" s="10">
        <v>45770.0</v>
      </c>
      <c r="D5" s="25">
        <v>130.0</v>
      </c>
      <c r="E5" s="12" t="s">
        <v>17</v>
      </c>
      <c r="F5" s="20">
        <v>1.0</v>
      </c>
      <c r="G5" s="20">
        <v>35.0</v>
      </c>
      <c r="H5" s="20">
        <v>100.0</v>
      </c>
      <c r="I5" s="20">
        <v>80.0</v>
      </c>
      <c r="J5" s="26">
        <f t="shared" si="1"/>
        <v>71.66666667</v>
      </c>
      <c r="K5" s="22"/>
      <c r="L5" s="23"/>
      <c r="M5" s="24" t="str">
        <f t="shared" si="2"/>
        <v>#DIV/0!</v>
      </c>
    </row>
    <row r="6">
      <c r="A6" s="16">
        <v>59.0</v>
      </c>
      <c r="B6" s="16" t="s">
        <v>19</v>
      </c>
      <c r="C6" s="10">
        <v>45770.0</v>
      </c>
      <c r="D6" s="25">
        <v>760.0</v>
      </c>
      <c r="E6" s="12" t="s">
        <v>14</v>
      </c>
      <c r="F6" s="20">
        <v>12.0</v>
      </c>
      <c r="G6" s="20">
        <v>55.0</v>
      </c>
      <c r="H6" s="20">
        <v>45.0</v>
      </c>
      <c r="I6" s="20">
        <v>70.0</v>
      </c>
      <c r="J6" s="21">
        <f t="shared" si="1"/>
        <v>56.66666667</v>
      </c>
      <c r="K6" s="22"/>
      <c r="L6" s="23"/>
      <c r="M6" s="24" t="str">
        <f t="shared" si="2"/>
        <v>#DIV/0!</v>
      </c>
    </row>
    <row r="7">
      <c r="A7" s="16">
        <v>77.0</v>
      </c>
      <c r="B7" s="16" t="s">
        <v>20</v>
      </c>
      <c r="C7" s="10">
        <v>45770.0</v>
      </c>
      <c r="D7" s="12">
        <v>235.0</v>
      </c>
      <c r="E7" s="12" t="s">
        <v>14</v>
      </c>
      <c r="G7" s="20">
        <v>10.0</v>
      </c>
      <c r="H7" s="20">
        <v>100.0</v>
      </c>
      <c r="I7" s="20">
        <v>65.0</v>
      </c>
      <c r="J7" s="21">
        <f t="shared" si="1"/>
        <v>58.33333333</v>
      </c>
      <c r="K7" s="22"/>
      <c r="L7" s="23"/>
      <c r="M7" s="24" t="str">
        <f t="shared" si="2"/>
        <v>#DIV/0!</v>
      </c>
    </row>
    <row r="8">
      <c r="A8" s="16">
        <v>148.0</v>
      </c>
      <c r="B8" s="16" t="s">
        <v>21</v>
      </c>
      <c r="C8" s="10">
        <v>45770.0</v>
      </c>
      <c r="D8" s="25">
        <v>193.0</v>
      </c>
      <c r="E8" s="12" t="s">
        <v>14</v>
      </c>
      <c r="F8" s="20">
        <v>2.0</v>
      </c>
      <c r="G8" s="20">
        <v>10.0</v>
      </c>
      <c r="H8" s="20">
        <v>90.0</v>
      </c>
      <c r="I8" s="20">
        <v>75.0</v>
      </c>
      <c r="J8" s="21">
        <f t="shared" si="1"/>
        <v>58.33333333</v>
      </c>
      <c r="K8" s="22"/>
      <c r="L8" s="23"/>
      <c r="M8" s="24" t="str">
        <f t="shared" si="2"/>
        <v>#DIV/0!</v>
      </c>
    </row>
    <row r="9" ht="20.25" customHeight="1">
      <c r="F9" s="17"/>
      <c r="G9" s="17"/>
      <c r="H9" s="17"/>
      <c r="I9" s="17"/>
      <c r="J9" s="17"/>
    </row>
    <row r="11">
      <c r="G11" s="27"/>
      <c r="H11" s="27"/>
      <c r="I11" s="28"/>
    </row>
    <row r="19">
      <c r="E19" s="20"/>
    </row>
    <row r="28">
      <c r="F28" s="17"/>
      <c r="G28" s="17"/>
      <c r="J28" s="17"/>
    </row>
    <row r="29">
      <c r="F29" s="29"/>
      <c r="G29" s="29"/>
      <c r="J29" s="29"/>
    </row>
    <row r="30">
      <c r="F30" s="17"/>
      <c r="G30" s="17"/>
      <c r="J30" s="17"/>
    </row>
    <row r="31">
      <c r="F31" s="17"/>
      <c r="G31" s="17"/>
      <c r="J31" s="17"/>
    </row>
    <row r="32">
      <c r="F32" s="17"/>
      <c r="G32" s="17"/>
      <c r="J32" s="17"/>
    </row>
    <row r="33">
      <c r="F33" s="17"/>
      <c r="G33" s="17"/>
      <c r="J33" s="17"/>
    </row>
    <row r="34">
      <c r="F34" s="17"/>
      <c r="G34" s="17"/>
      <c r="J34" s="17"/>
    </row>
    <row r="35">
      <c r="F35" s="17"/>
      <c r="G35" s="17"/>
      <c r="J35" s="17"/>
    </row>
    <row r="36">
      <c r="F36" s="17"/>
      <c r="G36" s="17"/>
      <c r="J36" s="17"/>
    </row>
    <row r="37">
      <c r="F37" s="17"/>
      <c r="G37" s="17"/>
      <c r="J37" s="17"/>
    </row>
    <row r="38">
      <c r="F38" s="17"/>
      <c r="G38" s="17"/>
      <c r="J38" s="17"/>
    </row>
    <row r="39">
      <c r="F39" s="17"/>
      <c r="G39" s="17"/>
      <c r="J39" s="17"/>
    </row>
    <row r="40">
      <c r="F40" s="17"/>
      <c r="G40" s="17"/>
      <c r="J40" s="17"/>
    </row>
    <row r="41">
      <c r="F41" s="17"/>
      <c r="G41" s="17"/>
      <c r="J41" s="17"/>
    </row>
    <row r="42">
      <c r="F42" s="17"/>
      <c r="G42" s="17"/>
      <c r="J42" s="17"/>
    </row>
    <row r="43">
      <c r="F43" s="17"/>
      <c r="G43" s="17"/>
      <c r="J43" s="17"/>
    </row>
    <row r="44">
      <c r="F44" s="17"/>
      <c r="G44" s="17"/>
      <c r="J44" s="17"/>
    </row>
    <row r="45">
      <c r="F45" s="17"/>
      <c r="G45" s="17"/>
      <c r="J45" s="17"/>
    </row>
    <row r="46">
      <c r="F46" s="17"/>
      <c r="G46" s="17"/>
      <c r="J46" s="17"/>
    </row>
    <row r="47">
      <c r="F47" s="17"/>
      <c r="G47" s="17"/>
      <c r="J47" s="17"/>
    </row>
    <row r="48">
      <c r="F48" s="17"/>
      <c r="G48" s="17"/>
      <c r="J48" s="17"/>
    </row>
    <row r="49">
      <c r="F49" s="17"/>
      <c r="G49" s="17"/>
      <c r="J49" s="17"/>
    </row>
    <row r="50">
      <c r="F50" s="17"/>
      <c r="G50" s="17"/>
      <c r="J50" s="17"/>
    </row>
    <row r="51">
      <c r="F51" s="17"/>
      <c r="G51" s="17"/>
      <c r="J51" s="17"/>
    </row>
    <row r="52">
      <c r="F52" s="17"/>
      <c r="G52" s="17"/>
      <c r="J52" s="17"/>
    </row>
    <row r="53">
      <c r="F53" s="17"/>
      <c r="G53" s="17"/>
      <c r="J53" s="17"/>
    </row>
    <row r="54">
      <c r="F54" s="17"/>
      <c r="G54" s="17"/>
      <c r="J54" s="17"/>
    </row>
    <row r="55">
      <c r="F55" s="17"/>
      <c r="G55" s="17"/>
      <c r="J55" s="17"/>
    </row>
    <row r="56">
      <c r="F56" s="17"/>
      <c r="G56" s="17"/>
      <c r="J56" s="17"/>
    </row>
    <row r="57">
      <c r="F57" s="17"/>
      <c r="G57" s="17"/>
      <c r="J57" s="17"/>
    </row>
    <row r="58">
      <c r="F58" s="17"/>
      <c r="G58" s="17"/>
      <c r="J58" s="17"/>
    </row>
    <row r="59">
      <c r="F59" s="17"/>
      <c r="G59" s="17"/>
      <c r="J59" s="17"/>
    </row>
    <row r="60">
      <c r="F60" s="17"/>
      <c r="G60" s="17"/>
      <c r="J60" s="17"/>
    </row>
    <row r="61">
      <c r="F61" s="17"/>
      <c r="G61" s="17"/>
      <c r="J61" s="17"/>
    </row>
    <row r="62">
      <c r="F62" s="17"/>
      <c r="G62" s="17"/>
      <c r="J62" s="17"/>
    </row>
    <row r="63">
      <c r="F63" s="17"/>
      <c r="G63" s="17"/>
      <c r="J63" s="17"/>
    </row>
    <row r="64">
      <c r="F64" s="17"/>
      <c r="G64" s="17"/>
      <c r="J64" s="17"/>
    </row>
    <row r="65">
      <c r="F65" s="17"/>
      <c r="G65" s="17"/>
      <c r="J65" s="17"/>
    </row>
    <row r="66">
      <c r="F66" s="17"/>
      <c r="G66" s="17"/>
      <c r="J66" s="17"/>
    </row>
    <row r="67">
      <c r="F67" s="17"/>
      <c r="G67" s="17"/>
      <c r="J67" s="17"/>
    </row>
    <row r="68">
      <c r="F68" s="17"/>
      <c r="G68" s="17"/>
      <c r="J68" s="17"/>
    </row>
    <row r="69">
      <c r="F69" s="17"/>
      <c r="G69" s="17"/>
      <c r="J69" s="17"/>
    </row>
    <row r="70">
      <c r="F70" s="17"/>
      <c r="G70" s="17"/>
      <c r="J70" s="17"/>
    </row>
    <row r="71">
      <c r="F71" s="17"/>
      <c r="G71" s="17"/>
      <c r="J71" s="17"/>
    </row>
    <row r="72">
      <c r="F72" s="17"/>
      <c r="G72" s="17"/>
      <c r="J72" s="17"/>
    </row>
    <row r="73">
      <c r="F73" s="17"/>
      <c r="G73" s="17"/>
      <c r="J73" s="17"/>
    </row>
    <row r="74">
      <c r="F74" s="17"/>
      <c r="G74" s="17"/>
      <c r="J74" s="17"/>
    </row>
    <row r="75">
      <c r="F75" s="17"/>
      <c r="G75" s="17"/>
      <c r="J75" s="17"/>
    </row>
    <row r="76">
      <c r="F76" s="17"/>
      <c r="G76" s="17"/>
      <c r="J76" s="17"/>
    </row>
    <row r="77">
      <c r="F77" s="17"/>
      <c r="G77" s="17"/>
      <c r="J77" s="17"/>
    </row>
    <row r="78">
      <c r="F78" s="17"/>
      <c r="G78" s="17"/>
      <c r="J78" s="17"/>
    </row>
    <row r="79">
      <c r="F79" s="17"/>
      <c r="G79" s="17"/>
      <c r="J79" s="17"/>
    </row>
    <row r="80">
      <c r="F80" s="17"/>
      <c r="G80" s="17"/>
      <c r="J80" s="17"/>
    </row>
    <row r="81">
      <c r="F81" s="17"/>
      <c r="G81" s="17"/>
      <c r="J81" s="17"/>
    </row>
    <row r="82">
      <c r="F82" s="17"/>
      <c r="G82" s="17"/>
      <c r="J82" s="17"/>
    </row>
    <row r="83">
      <c r="F83" s="17"/>
      <c r="G83" s="17"/>
      <c r="J83" s="17"/>
    </row>
    <row r="84">
      <c r="F84" s="17"/>
      <c r="G84" s="17"/>
      <c r="J84" s="17"/>
    </row>
    <row r="85">
      <c r="F85" s="17"/>
      <c r="G85" s="17"/>
      <c r="J85" s="17"/>
    </row>
    <row r="86">
      <c r="F86" s="17"/>
      <c r="G86" s="17"/>
      <c r="J86" s="17"/>
    </row>
    <row r="87">
      <c r="F87" s="17"/>
      <c r="G87" s="17"/>
      <c r="J87" s="17"/>
    </row>
    <row r="88">
      <c r="F88" s="17"/>
      <c r="G88" s="17"/>
      <c r="J88" s="17"/>
    </row>
    <row r="89">
      <c r="F89" s="17"/>
      <c r="G89" s="17"/>
      <c r="J89" s="17"/>
    </row>
    <row r="90">
      <c r="F90" s="17"/>
      <c r="G90" s="17"/>
      <c r="J90" s="17"/>
    </row>
    <row r="91">
      <c r="F91" s="17"/>
      <c r="G91" s="17"/>
      <c r="J91" s="17"/>
    </row>
    <row r="92">
      <c r="F92" s="17"/>
      <c r="G92" s="17"/>
      <c r="J92" s="17"/>
    </row>
    <row r="93">
      <c r="F93" s="17"/>
      <c r="G93" s="17"/>
      <c r="J93" s="17"/>
    </row>
    <row r="94">
      <c r="F94" s="17"/>
      <c r="G94" s="17"/>
      <c r="J94" s="17"/>
    </row>
    <row r="95">
      <c r="F95" s="17"/>
      <c r="G95" s="17"/>
      <c r="J95" s="17"/>
    </row>
    <row r="96">
      <c r="F96" s="17"/>
      <c r="G96" s="17"/>
      <c r="J96" s="17"/>
    </row>
    <row r="97">
      <c r="F97" s="17"/>
      <c r="G97" s="17"/>
      <c r="J97" s="17"/>
    </row>
    <row r="98">
      <c r="F98" s="17"/>
      <c r="G98" s="17"/>
      <c r="J98" s="17"/>
    </row>
    <row r="99">
      <c r="F99" s="17"/>
      <c r="G99" s="17"/>
      <c r="J99" s="17"/>
    </row>
    <row r="100">
      <c r="F100" s="17"/>
      <c r="G100" s="17"/>
      <c r="J100" s="17"/>
    </row>
    <row r="101">
      <c r="F101" s="17"/>
      <c r="G101" s="17"/>
      <c r="J101" s="17"/>
    </row>
    <row r="102">
      <c r="F102" s="17"/>
      <c r="G102" s="17"/>
      <c r="J102" s="17"/>
    </row>
    <row r="103">
      <c r="F103" s="17"/>
      <c r="G103" s="17"/>
      <c r="J103" s="17"/>
    </row>
    <row r="104">
      <c r="F104" s="17"/>
      <c r="G104" s="17"/>
      <c r="J104" s="17"/>
    </row>
    <row r="105">
      <c r="F105" s="17"/>
      <c r="G105" s="17"/>
      <c r="J105" s="17"/>
    </row>
    <row r="106">
      <c r="F106" s="17"/>
      <c r="G106" s="17"/>
      <c r="J106" s="17"/>
    </row>
    <row r="107">
      <c r="F107" s="17"/>
      <c r="G107" s="17"/>
      <c r="J107" s="17"/>
    </row>
    <row r="108">
      <c r="F108" s="17"/>
      <c r="G108" s="17"/>
      <c r="H108" s="17"/>
      <c r="I108" s="17"/>
      <c r="J108" s="17"/>
    </row>
    <row r="109">
      <c r="F109" s="17"/>
      <c r="G109" s="17"/>
      <c r="H109" s="17"/>
      <c r="I109" s="17"/>
      <c r="J109" s="17"/>
    </row>
    <row r="110">
      <c r="F110" s="17"/>
      <c r="G110" s="17"/>
      <c r="H110" s="17"/>
      <c r="I110" s="17"/>
      <c r="J110" s="17"/>
    </row>
    <row r="111">
      <c r="F111" s="17"/>
      <c r="G111" s="17"/>
      <c r="H111" s="17"/>
      <c r="I111" s="17"/>
      <c r="J111" s="17"/>
    </row>
    <row r="112">
      <c r="F112" s="17"/>
      <c r="G112" s="17"/>
      <c r="H112" s="17"/>
      <c r="I112" s="17"/>
      <c r="J112" s="17"/>
    </row>
    <row r="113">
      <c r="F113" s="17"/>
      <c r="G113" s="17"/>
      <c r="H113" s="17"/>
      <c r="I113" s="17"/>
      <c r="J113" s="17"/>
    </row>
    <row r="114">
      <c r="F114" s="17"/>
      <c r="G114" s="17"/>
      <c r="H114" s="17"/>
      <c r="I114" s="17"/>
      <c r="J114" s="17"/>
    </row>
    <row r="115">
      <c r="F115" s="17"/>
      <c r="G115" s="17"/>
      <c r="H115" s="17"/>
      <c r="I115" s="17"/>
      <c r="J115" s="17"/>
    </row>
    <row r="116">
      <c r="F116" s="17"/>
      <c r="G116" s="17"/>
      <c r="H116" s="17"/>
      <c r="I116" s="17"/>
      <c r="J116" s="17"/>
    </row>
    <row r="117">
      <c r="F117" s="17"/>
      <c r="G117" s="17"/>
      <c r="H117" s="17"/>
      <c r="I117" s="17"/>
      <c r="J117" s="17"/>
    </row>
    <row r="118">
      <c r="F118" s="17"/>
      <c r="G118" s="17"/>
      <c r="H118" s="17"/>
      <c r="I118" s="17"/>
      <c r="J118" s="17"/>
    </row>
    <row r="119">
      <c r="F119" s="17"/>
      <c r="G119" s="17"/>
      <c r="H119" s="17"/>
      <c r="I119" s="17"/>
      <c r="J119" s="17"/>
    </row>
    <row r="120">
      <c r="F120" s="17"/>
      <c r="G120" s="17"/>
      <c r="H120" s="17"/>
      <c r="I120" s="17"/>
      <c r="J120" s="17"/>
    </row>
    <row r="121">
      <c r="F121" s="17"/>
      <c r="G121" s="17"/>
      <c r="H121" s="17"/>
      <c r="I121" s="17"/>
      <c r="J121" s="17"/>
    </row>
    <row r="122">
      <c r="F122" s="17"/>
      <c r="G122" s="17"/>
      <c r="H122" s="17"/>
      <c r="I122" s="17"/>
      <c r="J122" s="17"/>
    </row>
    <row r="123">
      <c r="F123" s="17"/>
      <c r="G123" s="17"/>
      <c r="H123" s="17"/>
      <c r="I123" s="17"/>
      <c r="J123" s="17"/>
    </row>
    <row r="124">
      <c r="F124" s="17"/>
      <c r="G124" s="17"/>
      <c r="H124" s="17"/>
      <c r="I124" s="17"/>
      <c r="J124" s="17"/>
    </row>
    <row r="125">
      <c r="F125" s="17"/>
      <c r="G125" s="17"/>
      <c r="H125" s="17"/>
      <c r="I125" s="17"/>
      <c r="J125" s="17"/>
    </row>
    <row r="126">
      <c r="F126" s="17"/>
      <c r="G126" s="17"/>
      <c r="H126" s="17"/>
      <c r="I126" s="17"/>
      <c r="J126" s="17"/>
    </row>
    <row r="127">
      <c r="F127" s="17"/>
      <c r="G127" s="17"/>
      <c r="H127" s="17"/>
      <c r="I127" s="17"/>
      <c r="J127" s="17"/>
    </row>
    <row r="128">
      <c r="F128" s="17"/>
      <c r="G128" s="17"/>
      <c r="H128" s="17"/>
      <c r="I128" s="17"/>
      <c r="J128" s="17"/>
    </row>
    <row r="129">
      <c r="F129" s="17"/>
      <c r="G129" s="17"/>
      <c r="H129" s="17"/>
      <c r="I129" s="17"/>
      <c r="J129" s="17"/>
    </row>
    <row r="130">
      <c r="F130" s="17"/>
      <c r="G130" s="17"/>
      <c r="H130" s="17"/>
      <c r="I130" s="17"/>
      <c r="J130" s="17"/>
    </row>
    <row r="131">
      <c r="F131" s="17"/>
      <c r="G131" s="17"/>
      <c r="H131" s="17"/>
      <c r="I131" s="17"/>
      <c r="J131" s="17"/>
    </row>
    <row r="132">
      <c r="F132" s="17"/>
      <c r="G132" s="17"/>
      <c r="H132" s="17"/>
      <c r="I132" s="17"/>
      <c r="J132" s="17"/>
    </row>
    <row r="133">
      <c r="F133" s="17"/>
      <c r="G133" s="17"/>
      <c r="H133" s="17"/>
      <c r="I133" s="17"/>
      <c r="J133" s="17"/>
    </row>
    <row r="134">
      <c r="F134" s="17"/>
      <c r="G134" s="17"/>
      <c r="H134" s="17"/>
      <c r="I134" s="17"/>
      <c r="J134" s="17"/>
    </row>
    <row r="135">
      <c r="F135" s="17"/>
      <c r="G135" s="17"/>
      <c r="H135" s="17"/>
      <c r="I135" s="17"/>
      <c r="J135" s="17"/>
    </row>
    <row r="136">
      <c r="F136" s="17"/>
      <c r="G136" s="17"/>
      <c r="H136" s="17"/>
      <c r="I136" s="17"/>
      <c r="J136" s="17"/>
    </row>
    <row r="137">
      <c r="F137" s="17"/>
      <c r="G137" s="17"/>
      <c r="H137" s="17"/>
      <c r="I137" s="17"/>
      <c r="J137" s="17"/>
    </row>
    <row r="138">
      <c r="F138" s="17"/>
      <c r="G138" s="17"/>
      <c r="H138" s="17"/>
      <c r="I138" s="17"/>
      <c r="J138" s="17"/>
    </row>
    <row r="139">
      <c r="F139" s="17"/>
      <c r="G139" s="17"/>
      <c r="H139" s="17"/>
      <c r="I139" s="17"/>
      <c r="J139" s="17"/>
    </row>
    <row r="140">
      <c r="F140" s="17"/>
      <c r="G140" s="17"/>
      <c r="H140" s="17"/>
      <c r="I140" s="17"/>
      <c r="J140" s="17"/>
    </row>
    <row r="141">
      <c r="F141" s="17"/>
      <c r="G141" s="17"/>
      <c r="H141" s="17"/>
      <c r="I141" s="17"/>
      <c r="J141" s="17"/>
    </row>
    <row r="142">
      <c r="F142" s="17"/>
      <c r="G142" s="17"/>
      <c r="H142" s="17"/>
      <c r="I142" s="17"/>
      <c r="J142" s="17"/>
    </row>
    <row r="143">
      <c r="F143" s="17"/>
      <c r="G143" s="17"/>
      <c r="H143" s="17"/>
      <c r="I143" s="17"/>
      <c r="J143" s="17"/>
    </row>
    <row r="144">
      <c r="F144" s="17"/>
      <c r="G144" s="17"/>
      <c r="H144" s="17"/>
      <c r="I144" s="17"/>
      <c r="J144" s="17"/>
    </row>
    <row r="145">
      <c r="F145" s="17"/>
      <c r="G145" s="17"/>
      <c r="H145" s="17"/>
      <c r="I145" s="17"/>
      <c r="J145" s="17"/>
    </row>
    <row r="146">
      <c r="F146" s="17"/>
      <c r="G146" s="17"/>
      <c r="H146" s="17"/>
      <c r="I146" s="17"/>
      <c r="J146" s="17"/>
    </row>
    <row r="147">
      <c r="F147" s="17"/>
      <c r="G147" s="17"/>
      <c r="H147" s="17"/>
      <c r="I147" s="17"/>
      <c r="J147" s="17"/>
    </row>
    <row r="148">
      <c r="F148" s="17"/>
      <c r="G148" s="17"/>
      <c r="H148" s="17"/>
      <c r="I148" s="17"/>
      <c r="J148" s="17"/>
    </row>
    <row r="149">
      <c r="F149" s="17"/>
      <c r="G149" s="17"/>
      <c r="H149" s="17"/>
      <c r="I149" s="17"/>
      <c r="J149" s="17"/>
    </row>
    <row r="150">
      <c r="F150" s="17"/>
      <c r="G150" s="17"/>
      <c r="H150" s="17"/>
      <c r="I150" s="17"/>
      <c r="J150" s="17"/>
    </row>
    <row r="151">
      <c r="F151" s="17"/>
      <c r="G151" s="17"/>
      <c r="H151" s="17"/>
      <c r="I151" s="17"/>
      <c r="J151" s="17"/>
    </row>
    <row r="152">
      <c r="F152" s="17"/>
      <c r="G152" s="17"/>
      <c r="H152" s="17"/>
      <c r="I152" s="17"/>
      <c r="J152" s="17"/>
    </row>
    <row r="153">
      <c r="F153" s="17"/>
      <c r="G153" s="17"/>
      <c r="H153" s="17"/>
      <c r="I153" s="17"/>
      <c r="J153" s="17"/>
    </row>
    <row r="154">
      <c r="F154" s="17"/>
      <c r="G154" s="17"/>
      <c r="H154" s="17"/>
      <c r="I154" s="17"/>
      <c r="J154" s="17"/>
    </row>
    <row r="155">
      <c r="F155" s="17"/>
      <c r="G155" s="17"/>
      <c r="H155" s="17"/>
      <c r="I155" s="17"/>
      <c r="J155" s="17"/>
    </row>
    <row r="156">
      <c r="F156" s="17"/>
      <c r="G156" s="17"/>
      <c r="H156" s="17"/>
      <c r="I156" s="17"/>
      <c r="J156" s="17"/>
    </row>
    <row r="157">
      <c r="F157" s="17"/>
      <c r="G157" s="17"/>
      <c r="H157" s="17"/>
      <c r="I157" s="17"/>
      <c r="J157" s="17"/>
    </row>
    <row r="158">
      <c r="F158" s="17"/>
      <c r="G158" s="17"/>
      <c r="H158" s="17"/>
      <c r="I158" s="17"/>
      <c r="J158" s="17"/>
    </row>
    <row r="159">
      <c r="F159" s="17"/>
      <c r="G159" s="17"/>
      <c r="H159" s="17"/>
      <c r="I159" s="17"/>
      <c r="J159" s="17"/>
    </row>
    <row r="160">
      <c r="F160" s="17"/>
      <c r="G160" s="17"/>
      <c r="H160" s="17"/>
      <c r="I160" s="17"/>
      <c r="J160" s="17"/>
    </row>
    <row r="161">
      <c r="F161" s="17"/>
      <c r="G161" s="17"/>
      <c r="H161" s="17"/>
      <c r="I161" s="17"/>
      <c r="J161" s="17"/>
    </row>
    <row r="162">
      <c r="F162" s="17"/>
      <c r="G162" s="17"/>
      <c r="H162" s="17"/>
      <c r="I162" s="17"/>
      <c r="J162" s="17"/>
    </row>
    <row r="163">
      <c r="F163" s="17"/>
      <c r="G163" s="17"/>
      <c r="H163" s="17"/>
      <c r="I163" s="17"/>
      <c r="J163" s="17"/>
    </row>
    <row r="164">
      <c r="F164" s="17"/>
      <c r="G164" s="17"/>
      <c r="H164" s="17"/>
      <c r="I164" s="17"/>
      <c r="J164" s="17"/>
    </row>
    <row r="165">
      <c r="F165" s="17"/>
      <c r="G165" s="17"/>
      <c r="H165" s="17"/>
      <c r="I165" s="17"/>
      <c r="J165" s="17"/>
    </row>
    <row r="166">
      <c r="F166" s="17"/>
      <c r="G166" s="17"/>
      <c r="H166" s="17"/>
      <c r="I166" s="17"/>
      <c r="J166" s="17"/>
    </row>
    <row r="167">
      <c r="F167" s="17"/>
      <c r="G167" s="17"/>
      <c r="H167" s="17"/>
      <c r="I167" s="17"/>
      <c r="J167" s="17"/>
    </row>
    <row r="168">
      <c r="F168" s="17"/>
      <c r="G168" s="17"/>
      <c r="H168" s="17"/>
      <c r="I168" s="17"/>
      <c r="J168" s="17"/>
    </row>
    <row r="169">
      <c r="F169" s="17"/>
      <c r="G169" s="17"/>
      <c r="H169" s="17"/>
      <c r="I169" s="17"/>
      <c r="J169" s="17"/>
    </row>
    <row r="170">
      <c r="F170" s="17"/>
      <c r="G170" s="17"/>
      <c r="H170" s="17"/>
      <c r="I170" s="17"/>
      <c r="J170" s="17"/>
    </row>
    <row r="171">
      <c r="F171" s="17"/>
      <c r="G171" s="17"/>
      <c r="H171" s="17"/>
      <c r="I171" s="17"/>
      <c r="J171" s="17"/>
    </row>
    <row r="172">
      <c r="F172" s="17"/>
      <c r="G172" s="17"/>
      <c r="H172" s="17"/>
      <c r="I172" s="17"/>
      <c r="J172" s="17"/>
    </row>
    <row r="173">
      <c r="F173" s="17"/>
      <c r="G173" s="17"/>
      <c r="H173" s="17"/>
      <c r="I173" s="17"/>
      <c r="J173" s="17"/>
    </row>
    <row r="174">
      <c r="F174" s="17"/>
      <c r="G174" s="17"/>
      <c r="H174" s="17"/>
      <c r="I174" s="17"/>
      <c r="J174" s="17"/>
    </row>
    <row r="175">
      <c r="F175" s="17"/>
      <c r="G175" s="17"/>
      <c r="H175" s="17"/>
      <c r="I175" s="17"/>
      <c r="J175" s="17"/>
    </row>
    <row r="176">
      <c r="F176" s="17"/>
      <c r="G176" s="17"/>
      <c r="H176" s="17"/>
      <c r="I176" s="17"/>
      <c r="J176" s="17"/>
    </row>
    <row r="177">
      <c r="F177" s="17"/>
      <c r="G177" s="17"/>
      <c r="H177" s="17"/>
      <c r="I177" s="17"/>
      <c r="J177" s="17"/>
    </row>
    <row r="178">
      <c r="F178" s="17"/>
      <c r="G178" s="17"/>
      <c r="H178" s="17"/>
      <c r="I178" s="17"/>
      <c r="J178" s="17"/>
    </row>
    <row r="179">
      <c r="F179" s="17"/>
      <c r="G179" s="17"/>
      <c r="H179" s="17"/>
      <c r="I179" s="17"/>
      <c r="J179" s="17"/>
    </row>
    <row r="180">
      <c r="F180" s="17"/>
      <c r="G180" s="17"/>
      <c r="H180" s="17"/>
      <c r="I180" s="17"/>
      <c r="J180" s="17"/>
    </row>
    <row r="181">
      <c r="F181" s="17"/>
      <c r="G181" s="17"/>
      <c r="H181" s="17"/>
      <c r="I181" s="17"/>
      <c r="J181" s="17"/>
    </row>
    <row r="182">
      <c r="F182" s="17"/>
      <c r="G182" s="17"/>
      <c r="H182" s="17"/>
      <c r="I182" s="17"/>
      <c r="J182" s="17"/>
    </row>
    <row r="183">
      <c r="F183" s="17"/>
      <c r="G183" s="17"/>
      <c r="H183" s="17"/>
      <c r="I183" s="17"/>
      <c r="J183" s="17"/>
    </row>
    <row r="184">
      <c r="F184" s="17"/>
      <c r="G184" s="17"/>
      <c r="H184" s="17"/>
      <c r="I184" s="17"/>
      <c r="J184" s="17"/>
    </row>
    <row r="185">
      <c r="F185" s="17"/>
      <c r="G185" s="17"/>
      <c r="H185" s="17"/>
      <c r="I185" s="17"/>
      <c r="J185" s="17"/>
    </row>
    <row r="186">
      <c r="F186" s="17"/>
      <c r="G186" s="17"/>
      <c r="H186" s="17"/>
      <c r="I186" s="17"/>
      <c r="J186" s="17"/>
    </row>
    <row r="187">
      <c r="F187" s="17"/>
      <c r="G187" s="17"/>
      <c r="H187" s="17"/>
      <c r="I187" s="17"/>
      <c r="J187" s="17"/>
    </row>
    <row r="188">
      <c r="F188" s="17"/>
      <c r="G188" s="17"/>
      <c r="H188" s="17"/>
      <c r="I188" s="17"/>
      <c r="J188" s="17"/>
    </row>
    <row r="189">
      <c r="F189" s="17"/>
      <c r="G189" s="17"/>
      <c r="H189" s="17"/>
      <c r="I189" s="17"/>
      <c r="J189" s="17"/>
    </row>
    <row r="190">
      <c r="F190" s="17"/>
      <c r="G190" s="17"/>
      <c r="H190" s="17"/>
      <c r="I190" s="17"/>
      <c r="J190" s="17"/>
    </row>
    <row r="191">
      <c r="F191" s="17"/>
      <c r="G191" s="17"/>
      <c r="H191" s="17"/>
      <c r="I191" s="17"/>
      <c r="J191" s="17"/>
    </row>
    <row r="192">
      <c r="F192" s="17"/>
      <c r="G192" s="17"/>
      <c r="H192" s="17"/>
      <c r="I192" s="17"/>
      <c r="J192" s="17"/>
    </row>
    <row r="193">
      <c r="F193" s="17"/>
      <c r="G193" s="17"/>
      <c r="H193" s="17"/>
      <c r="I193" s="17"/>
      <c r="J193" s="17"/>
    </row>
    <row r="194">
      <c r="F194" s="17"/>
      <c r="G194" s="17"/>
      <c r="H194" s="17"/>
      <c r="I194" s="17"/>
      <c r="J194" s="17"/>
    </row>
    <row r="195">
      <c r="F195" s="17"/>
      <c r="G195" s="17"/>
      <c r="H195" s="17"/>
      <c r="I195" s="17"/>
      <c r="J195" s="17"/>
    </row>
    <row r="196">
      <c r="F196" s="17"/>
      <c r="G196" s="17"/>
      <c r="H196" s="17"/>
      <c r="I196" s="17"/>
      <c r="J196" s="17"/>
    </row>
    <row r="197">
      <c r="F197" s="17"/>
      <c r="G197" s="17"/>
      <c r="H197" s="17"/>
      <c r="I197" s="17"/>
      <c r="J197" s="17"/>
    </row>
    <row r="198">
      <c r="F198" s="17"/>
      <c r="G198" s="17"/>
      <c r="H198" s="17"/>
      <c r="I198" s="17"/>
      <c r="J198" s="17"/>
    </row>
    <row r="199">
      <c r="F199" s="17"/>
      <c r="G199" s="17"/>
      <c r="H199" s="17"/>
      <c r="I199" s="17"/>
      <c r="J199" s="17"/>
    </row>
    <row r="200">
      <c r="F200" s="17"/>
      <c r="G200" s="17"/>
      <c r="H200" s="17"/>
      <c r="I200" s="17"/>
      <c r="J200" s="17"/>
    </row>
    <row r="201">
      <c r="F201" s="17"/>
      <c r="G201" s="17"/>
      <c r="H201" s="17"/>
      <c r="I201" s="17"/>
      <c r="J201" s="17"/>
    </row>
    <row r="202">
      <c r="F202" s="17"/>
      <c r="G202" s="17"/>
      <c r="H202" s="17"/>
      <c r="I202" s="17"/>
      <c r="J202" s="17"/>
    </row>
    <row r="203">
      <c r="F203" s="17"/>
      <c r="G203" s="17"/>
      <c r="H203" s="17"/>
      <c r="I203" s="17"/>
      <c r="J203" s="17"/>
    </row>
    <row r="204">
      <c r="F204" s="17"/>
      <c r="G204" s="17"/>
      <c r="H204" s="17"/>
      <c r="I204" s="17"/>
      <c r="J204" s="17"/>
    </row>
    <row r="205">
      <c r="F205" s="17"/>
      <c r="G205" s="17"/>
      <c r="H205" s="17"/>
      <c r="I205" s="17"/>
      <c r="J205" s="17"/>
    </row>
    <row r="206">
      <c r="F206" s="17"/>
      <c r="G206" s="17"/>
      <c r="H206" s="17"/>
      <c r="I206" s="17"/>
      <c r="J206" s="17"/>
    </row>
    <row r="207">
      <c r="F207" s="17"/>
      <c r="G207" s="17"/>
      <c r="H207" s="17"/>
      <c r="I207" s="17"/>
      <c r="J207" s="17"/>
    </row>
    <row r="208">
      <c r="F208" s="17"/>
      <c r="G208" s="17"/>
      <c r="H208" s="17"/>
      <c r="I208" s="17"/>
      <c r="J208" s="17"/>
    </row>
    <row r="209">
      <c r="F209" s="17"/>
      <c r="G209" s="17"/>
      <c r="H209" s="17"/>
      <c r="I209" s="17"/>
      <c r="J209" s="17"/>
    </row>
    <row r="210">
      <c r="F210" s="17"/>
      <c r="G210" s="17"/>
      <c r="H210" s="17"/>
      <c r="I210" s="17"/>
      <c r="J210" s="17"/>
    </row>
    <row r="211">
      <c r="F211" s="17"/>
      <c r="G211" s="17"/>
      <c r="H211" s="17"/>
      <c r="I211" s="17"/>
      <c r="J211" s="17"/>
    </row>
    <row r="212">
      <c r="F212" s="17"/>
      <c r="G212" s="17"/>
      <c r="H212" s="17"/>
      <c r="I212" s="17"/>
      <c r="J212" s="17"/>
    </row>
    <row r="213">
      <c r="F213" s="17"/>
      <c r="G213" s="17"/>
      <c r="H213" s="17"/>
      <c r="I213" s="17"/>
      <c r="J213" s="17"/>
    </row>
    <row r="214">
      <c r="F214" s="17"/>
      <c r="G214" s="17"/>
      <c r="H214" s="17"/>
      <c r="I214" s="17"/>
      <c r="J214" s="17"/>
    </row>
    <row r="215">
      <c r="F215" s="17"/>
      <c r="G215" s="17"/>
      <c r="H215" s="17"/>
      <c r="I215" s="17"/>
      <c r="J215" s="17"/>
    </row>
    <row r="216">
      <c r="F216" s="17"/>
      <c r="G216" s="17"/>
      <c r="H216" s="17"/>
      <c r="I216" s="17"/>
      <c r="J216" s="17"/>
    </row>
    <row r="217">
      <c r="F217" s="17"/>
      <c r="G217" s="17"/>
      <c r="H217" s="17"/>
      <c r="I217" s="17"/>
      <c r="J217" s="17"/>
    </row>
    <row r="218">
      <c r="F218" s="17"/>
      <c r="G218" s="17"/>
      <c r="H218" s="17"/>
      <c r="I218" s="17"/>
      <c r="J218" s="17"/>
    </row>
    <row r="219">
      <c r="F219" s="17"/>
      <c r="G219" s="17"/>
      <c r="H219" s="17"/>
      <c r="I219" s="17"/>
      <c r="J219" s="17"/>
    </row>
    <row r="220">
      <c r="F220" s="17"/>
      <c r="G220" s="17"/>
      <c r="H220" s="17"/>
      <c r="I220" s="17"/>
      <c r="J220" s="17"/>
    </row>
    <row r="221">
      <c r="F221" s="17"/>
      <c r="G221" s="17"/>
      <c r="H221" s="17"/>
      <c r="I221" s="17"/>
      <c r="J221" s="17"/>
    </row>
    <row r="222">
      <c r="F222" s="17"/>
      <c r="G222" s="17"/>
      <c r="H222" s="17"/>
      <c r="I222" s="17"/>
      <c r="J222" s="17"/>
    </row>
    <row r="223">
      <c r="F223" s="17"/>
      <c r="G223" s="17"/>
      <c r="H223" s="17"/>
      <c r="I223" s="17"/>
      <c r="J223" s="17"/>
    </row>
    <row r="224">
      <c r="F224" s="17"/>
      <c r="G224" s="17"/>
      <c r="H224" s="17"/>
      <c r="I224" s="17"/>
      <c r="J224" s="17"/>
    </row>
    <row r="225">
      <c r="F225" s="17"/>
      <c r="G225" s="17"/>
      <c r="H225" s="17"/>
      <c r="I225" s="17"/>
      <c r="J225" s="17"/>
    </row>
    <row r="226">
      <c r="F226" s="17"/>
      <c r="G226" s="17"/>
      <c r="H226" s="17"/>
      <c r="I226" s="17"/>
      <c r="J226" s="17"/>
    </row>
    <row r="227">
      <c r="F227" s="17"/>
      <c r="G227" s="17"/>
      <c r="H227" s="17"/>
      <c r="I227" s="17"/>
      <c r="J227" s="17"/>
    </row>
    <row r="228">
      <c r="F228" s="17"/>
      <c r="G228" s="17"/>
      <c r="H228" s="17"/>
      <c r="I228" s="17"/>
      <c r="J228" s="17"/>
    </row>
    <row r="229">
      <c r="F229" s="17"/>
      <c r="G229" s="17"/>
      <c r="H229" s="17"/>
      <c r="I229" s="17"/>
      <c r="J229" s="17"/>
    </row>
    <row r="230">
      <c r="F230" s="17"/>
      <c r="G230" s="17"/>
      <c r="H230" s="17"/>
      <c r="I230" s="17"/>
      <c r="J230" s="17"/>
    </row>
    <row r="231">
      <c r="F231" s="17"/>
      <c r="G231" s="17"/>
      <c r="H231" s="17"/>
      <c r="I231" s="17"/>
      <c r="J231" s="17"/>
    </row>
    <row r="232">
      <c r="F232" s="17"/>
      <c r="G232" s="17"/>
      <c r="H232" s="17"/>
      <c r="I232" s="17"/>
      <c r="J232" s="17"/>
    </row>
    <row r="233">
      <c r="F233" s="17"/>
      <c r="G233" s="17"/>
      <c r="H233" s="17"/>
      <c r="I233" s="17"/>
      <c r="J233" s="17"/>
    </row>
    <row r="234">
      <c r="F234" s="17"/>
      <c r="G234" s="17"/>
      <c r="H234" s="17"/>
      <c r="I234" s="17"/>
      <c r="J234" s="17"/>
    </row>
    <row r="235">
      <c r="F235" s="17"/>
      <c r="G235" s="17"/>
      <c r="H235" s="17"/>
      <c r="I235" s="17"/>
      <c r="J235" s="17"/>
    </row>
    <row r="236">
      <c r="F236" s="17"/>
      <c r="G236" s="17"/>
      <c r="H236" s="17"/>
      <c r="I236" s="17"/>
      <c r="J236" s="17"/>
    </row>
    <row r="237">
      <c r="F237" s="17"/>
      <c r="G237" s="17"/>
      <c r="H237" s="17"/>
      <c r="I237" s="17"/>
      <c r="J237" s="17"/>
    </row>
    <row r="238">
      <c r="F238" s="17"/>
      <c r="G238" s="17"/>
      <c r="H238" s="17"/>
      <c r="I238" s="17"/>
      <c r="J238" s="17"/>
    </row>
    <row r="239">
      <c r="F239" s="17"/>
      <c r="G239" s="17"/>
      <c r="H239" s="17"/>
      <c r="I239" s="17"/>
      <c r="J239" s="17"/>
    </row>
    <row r="240">
      <c r="F240" s="17"/>
      <c r="G240" s="17"/>
      <c r="H240" s="17"/>
      <c r="I240" s="17"/>
      <c r="J240" s="17"/>
    </row>
    <row r="241">
      <c r="F241" s="17"/>
      <c r="G241" s="17"/>
      <c r="H241" s="17"/>
      <c r="I241" s="17"/>
      <c r="J241" s="17"/>
    </row>
    <row r="242">
      <c r="F242" s="17"/>
      <c r="G242" s="17"/>
      <c r="H242" s="17"/>
      <c r="I242" s="17"/>
      <c r="J242" s="17"/>
    </row>
    <row r="243">
      <c r="F243" s="17"/>
      <c r="G243" s="17"/>
      <c r="H243" s="17"/>
      <c r="I243" s="17"/>
      <c r="J243" s="17"/>
    </row>
    <row r="244">
      <c r="F244" s="17"/>
      <c r="G244" s="17"/>
      <c r="H244" s="17"/>
      <c r="I244" s="17"/>
      <c r="J244" s="17"/>
    </row>
    <row r="245">
      <c r="F245" s="17"/>
      <c r="G245" s="17"/>
      <c r="H245" s="17"/>
      <c r="I245" s="17"/>
      <c r="J245" s="17"/>
    </row>
    <row r="246">
      <c r="F246" s="17"/>
      <c r="G246" s="17"/>
      <c r="H246" s="17"/>
      <c r="I246" s="17"/>
      <c r="J246" s="17"/>
    </row>
    <row r="247">
      <c r="F247" s="17"/>
      <c r="G247" s="17"/>
      <c r="H247" s="17"/>
      <c r="I247" s="17"/>
      <c r="J247" s="17"/>
    </row>
    <row r="248">
      <c r="F248" s="17"/>
      <c r="G248" s="17"/>
      <c r="H248" s="17"/>
      <c r="I248" s="17"/>
      <c r="J248" s="17"/>
    </row>
    <row r="249">
      <c r="F249" s="17"/>
      <c r="G249" s="17"/>
      <c r="H249" s="17"/>
      <c r="I249" s="17"/>
      <c r="J249" s="17"/>
    </row>
    <row r="250">
      <c r="F250" s="17"/>
      <c r="G250" s="17"/>
      <c r="H250" s="17"/>
      <c r="I250" s="17"/>
      <c r="J250" s="17"/>
    </row>
    <row r="251">
      <c r="F251" s="17"/>
      <c r="G251" s="17"/>
      <c r="H251" s="17"/>
      <c r="I251" s="17"/>
      <c r="J251" s="17"/>
    </row>
    <row r="252">
      <c r="F252" s="17"/>
      <c r="G252" s="17"/>
      <c r="H252" s="17"/>
      <c r="I252" s="17"/>
      <c r="J252" s="17"/>
    </row>
    <row r="253">
      <c r="F253" s="17"/>
      <c r="G253" s="17"/>
      <c r="H253" s="17"/>
      <c r="I253" s="17"/>
      <c r="J253" s="17"/>
    </row>
    <row r="254">
      <c r="F254" s="17"/>
      <c r="G254" s="17"/>
      <c r="H254" s="17"/>
      <c r="I254" s="17"/>
      <c r="J254" s="17"/>
    </row>
    <row r="255">
      <c r="F255" s="17"/>
      <c r="G255" s="17"/>
      <c r="H255" s="17"/>
      <c r="I255" s="17"/>
      <c r="J255" s="17"/>
    </row>
    <row r="256">
      <c r="F256" s="17"/>
      <c r="G256" s="17"/>
      <c r="H256" s="17"/>
      <c r="I256" s="17"/>
      <c r="J256" s="17"/>
    </row>
    <row r="257">
      <c r="F257" s="17"/>
      <c r="G257" s="17"/>
      <c r="H257" s="17"/>
      <c r="I257" s="17"/>
      <c r="J257" s="17"/>
    </row>
    <row r="258">
      <c r="F258" s="17"/>
      <c r="G258" s="17"/>
      <c r="H258" s="17"/>
      <c r="I258" s="17"/>
      <c r="J258" s="17"/>
    </row>
    <row r="259">
      <c r="F259" s="17"/>
      <c r="G259" s="17"/>
      <c r="H259" s="17"/>
      <c r="I259" s="17"/>
      <c r="J259" s="17"/>
    </row>
    <row r="260">
      <c r="F260" s="17"/>
      <c r="G260" s="17"/>
      <c r="H260" s="17"/>
      <c r="I260" s="17"/>
      <c r="J260" s="17"/>
    </row>
    <row r="261">
      <c r="F261" s="17"/>
      <c r="G261" s="17"/>
      <c r="H261" s="17"/>
      <c r="I261" s="17"/>
      <c r="J261" s="17"/>
    </row>
    <row r="262">
      <c r="F262" s="17"/>
      <c r="G262" s="17"/>
      <c r="H262" s="17"/>
      <c r="I262" s="17"/>
      <c r="J262" s="17"/>
    </row>
    <row r="263">
      <c r="F263" s="17"/>
      <c r="G263" s="17"/>
      <c r="H263" s="17"/>
      <c r="I263" s="17"/>
      <c r="J263" s="17"/>
    </row>
    <row r="264">
      <c r="F264" s="17"/>
      <c r="G264" s="17"/>
      <c r="H264" s="17"/>
      <c r="I264" s="17"/>
      <c r="J264" s="17"/>
    </row>
    <row r="265">
      <c r="F265" s="17"/>
      <c r="G265" s="17"/>
      <c r="H265" s="17"/>
      <c r="I265" s="17"/>
      <c r="J265" s="17"/>
    </row>
    <row r="266">
      <c r="F266" s="17"/>
      <c r="G266" s="17"/>
      <c r="H266" s="17"/>
      <c r="I266" s="17"/>
      <c r="J266" s="17"/>
    </row>
    <row r="267">
      <c r="F267" s="17"/>
      <c r="G267" s="17"/>
      <c r="H267" s="17"/>
      <c r="I267" s="17"/>
      <c r="J267" s="17"/>
    </row>
    <row r="268">
      <c r="F268" s="17"/>
      <c r="G268" s="17"/>
      <c r="H268" s="17"/>
      <c r="I268" s="17"/>
      <c r="J268" s="17"/>
    </row>
    <row r="269">
      <c r="F269" s="17"/>
      <c r="G269" s="17"/>
      <c r="H269" s="17"/>
      <c r="I269" s="17"/>
      <c r="J269" s="17"/>
    </row>
    <row r="270">
      <c r="F270" s="17"/>
      <c r="G270" s="17"/>
      <c r="H270" s="17"/>
      <c r="I270" s="17"/>
      <c r="J270" s="17"/>
    </row>
    <row r="271">
      <c r="F271" s="17"/>
      <c r="G271" s="17"/>
      <c r="H271" s="17"/>
      <c r="I271" s="17"/>
      <c r="J271" s="17"/>
    </row>
    <row r="272">
      <c r="F272" s="17"/>
      <c r="G272" s="17"/>
      <c r="H272" s="17"/>
      <c r="I272" s="17"/>
      <c r="J272" s="17"/>
    </row>
    <row r="273">
      <c r="F273" s="17"/>
      <c r="G273" s="17"/>
      <c r="H273" s="17"/>
      <c r="I273" s="17"/>
      <c r="J273" s="17"/>
    </row>
    <row r="274">
      <c r="F274" s="17"/>
      <c r="G274" s="17"/>
      <c r="H274" s="17"/>
      <c r="I274" s="17"/>
      <c r="J274" s="17"/>
    </row>
    <row r="275">
      <c r="F275" s="17"/>
      <c r="G275" s="17"/>
      <c r="H275" s="17"/>
      <c r="I275" s="17"/>
      <c r="J275" s="17"/>
    </row>
    <row r="276">
      <c r="F276" s="17"/>
      <c r="G276" s="17"/>
      <c r="H276" s="17"/>
      <c r="I276" s="17"/>
      <c r="J276" s="17"/>
    </row>
    <row r="277">
      <c r="F277" s="17"/>
      <c r="G277" s="17"/>
      <c r="H277" s="17"/>
      <c r="I277" s="17"/>
      <c r="J277" s="17"/>
    </row>
    <row r="278">
      <c r="F278" s="17"/>
      <c r="G278" s="17"/>
      <c r="H278" s="17"/>
      <c r="I278" s="17"/>
      <c r="J278" s="17"/>
    </row>
    <row r="279">
      <c r="F279" s="17"/>
      <c r="G279" s="17"/>
      <c r="H279" s="17"/>
      <c r="I279" s="17"/>
      <c r="J279" s="17"/>
    </row>
    <row r="280">
      <c r="F280" s="17"/>
      <c r="G280" s="17"/>
      <c r="H280" s="17"/>
      <c r="I280" s="17"/>
      <c r="J280" s="17"/>
    </row>
    <row r="281">
      <c r="F281" s="17"/>
      <c r="G281" s="17"/>
      <c r="H281" s="17"/>
      <c r="I281" s="17"/>
      <c r="J281" s="17"/>
    </row>
    <row r="282">
      <c r="F282" s="17"/>
      <c r="G282" s="17"/>
      <c r="H282" s="17"/>
      <c r="I282" s="17"/>
      <c r="J282" s="17"/>
    </row>
    <row r="283">
      <c r="F283" s="17"/>
      <c r="G283" s="17"/>
      <c r="H283" s="17"/>
      <c r="I283" s="17"/>
      <c r="J283" s="17"/>
    </row>
    <row r="284">
      <c r="F284" s="17"/>
      <c r="G284" s="17"/>
      <c r="H284" s="17"/>
      <c r="I284" s="17"/>
      <c r="J284" s="17"/>
    </row>
    <row r="285">
      <c r="F285" s="17"/>
      <c r="G285" s="17"/>
      <c r="H285" s="17"/>
      <c r="I285" s="17"/>
      <c r="J285" s="17"/>
    </row>
    <row r="286">
      <c r="F286" s="17"/>
      <c r="G286" s="17"/>
      <c r="H286" s="17"/>
      <c r="I286" s="17"/>
      <c r="J286" s="17"/>
    </row>
    <row r="287">
      <c r="F287" s="17"/>
      <c r="G287" s="17"/>
      <c r="H287" s="17"/>
      <c r="I287" s="17"/>
      <c r="J287" s="17"/>
    </row>
    <row r="288">
      <c r="F288" s="17"/>
      <c r="G288" s="17"/>
      <c r="H288" s="17"/>
      <c r="I288" s="17"/>
      <c r="J288" s="17"/>
    </row>
    <row r="289">
      <c r="F289" s="17"/>
      <c r="G289" s="17"/>
      <c r="H289" s="17"/>
      <c r="I289" s="17"/>
      <c r="J289" s="17"/>
    </row>
    <row r="290">
      <c r="F290" s="17"/>
      <c r="G290" s="17"/>
      <c r="H290" s="17"/>
      <c r="I290" s="17"/>
      <c r="J290" s="17"/>
    </row>
    <row r="291">
      <c r="F291" s="17"/>
      <c r="G291" s="17"/>
      <c r="H291" s="17"/>
      <c r="I291" s="17"/>
      <c r="J291" s="17"/>
    </row>
    <row r="292">
      <c r="F292" s="17"/>
      <c r="G292" s="17"/>
      <c r="H292" s="17"/>
      <c r="I292" s="17"/>
      <c r="J292" s="17"/>
    </row>
    <row r="293">
      <c r="F293" s="17"/>
      <c r="G293" s="17"/>
      <c r="H293" s="17"/>
      <c r="I293" s="17"/>
      <c r="J293" s="17"/>
    </row>
    <row r="294">
      <c r="F294" s="17"/>
      <c r="G294" s="17"/>
      <c r="H294" s="17"/>
      <c r="I294" s="17"/>
      <c r="J294" s="17"/>
    </row>
    <row r="295">
      <c r="F295" s="17"/>
      <c r="G295" s="17"/>
      <c r="H295" s="17"/>
      <c r="I295" s="17"/>
      <c r="J295" s="17"/>
    </row>
    <row r="296">
      <c r="F296" s="17"/>
      <c r="G296" s="17"/>
      <c r="H296" s="17"/>
      <c r="I296" s="17"/>
      <c r="J296" s="17"/>
    </row>
    <row r="297">
      <c r="F297" s="17"/>
      <c r="G297" s="17"/>
      <c r="H297" s="17"/>
      <c r="I297" s="17"/>
      <c r="J297" s="17"/>
    </row>
    <row r="298">
      <c r="F298" s="17"/>
      <c r="G298" s="17"/>
      <c r="H298" s="17"/>
      <c r="I298" s="17"/>
      <c r="J298" s="17"/>
    </row>
    <row r="299">
      <c r="F299" s="17"/>
      <c r="G299" s="17"/>
      <c r="H299" s="17"/>
      <c r="I299" s="17"/>
      <c r="J299" s="17"/>
    </row>
    <row r="300">
      <c r="F300" s="17"/>
      <c r="G300" s="17"/>
      <c r="H300" s="17"/>
      <c r="I300" s="17"/>
      <c r="J300" s="17"/>
    </row>
    <row r="301">
      <c r="F301" s="17"/>
      <c r="G301" s="17"/>
      <c r="H301" s="17"/>
      <c r="I301" s="17"/>
      <c r="J301" s="17"/>
    </row>
    <row r="302">
      <c r="F302" s="17"/>
      <c r="G302" s="17"/>
      <c r="H302" s="17"/>
      <c r="I302" s="17"/>
      <c r="J302" s="17"/>
    </row>
    <row r="303">
      <c r="F303" s="17"/>
      <c r="G303" s="17"/>
      <c r="H303" s="17"/>
      <c r="I303" s="17"/>
      <c r="J303" s="17"/>
    </row>
    <row r="304">
      <c r="F304" s="17"/>
      <c r="G304" s="17"/>
      <c r="H304" s="17"/>
      <c r="I304" s="17"/>
      <c r="J304" s="17"/>
    </row>
    <row r="305">
      <c r="F305" s="17"/>
      <c r="G305" s="17"/>
      <c r="H305" s="17"/>
      <c r="I305" s="17"/>
      <c r="J305" s="17"/>
    </row>
    <row r="306">
      <c r="F306" s="17"/>
      <c r="G306" s="17"/>
      <c r="H306" s="17"/>
      <c r="I306" s="17"/>
      <c r="J306" s="17"/>
    </row>
    <row r="307">
      <c r="F307" s="17"/>
      <c r="G307" s="17"/>
      <c r="H307" s="17"/>
      <c r="I307" s="17"/>
      <c r="J307" s="17"/>
    </row>
    <row r="308">
      <c r="F308" s="17"/>
      <c r="G308" s="17"/>
      <c r="H308" s="17"/>
      <c r="I308" s="17"/>
      <c r="J308" s="17"/>
    </row>
    <row r="309">
      <c r="F309" s="17"/>
      <c r="G309" s="17"/>
      <c r="H309" s="17"/>
      <c r="I309" s="17"/>
      <c r="J309" s="17"/>
    </row>
    <row r="310">
      <c r="F310" s="17"/>
      <c r="G310" s="17"/>
      <c r="H310" s="17"/>
      <c r="I310" s="17"/>
      <c r="J310" s="17"/>
    </row>
    <row r="311">
      <c r="F311" s="17"/>
      <c r="G311" s="17"/>
      <c r="H311" s="17"/>
      <c r="I311" s="17"/>
      <c r="J311" s="17"/>
    </row>
    <row r="312">
      <c r="F312" s="17"/>
      <c r="G312" s="17"/>
      <c r="H312" s="17"/>
      <c r="I312" s="17"/>
      <c r="J312" s="17"/>
    </row>
    <row r="313">
      <c r="F313" s="17"/>
      <c r="G313" s="17"/>
      <c r="H313" s="17"/>
      <c r="I313" s="17"/>
      <c r="J313" s="17"/>
    </row>
    <row r="314">
      <c r="F314" s="17"/>
      <c r="G314" s="17"/>
      <c r="H314" s="17"/>
      <c r="I314" s="17"/>
      <c r="J314" s="17"/>
    </row>
    <row r="315">
      <c r="F315" s="17"/>
      <c r="G315" s="17"/>
      <c r="H315" s="17"/>
      <c r="I315" s="17"/>
      <c r="J315" s="17"/>
    </row>
    <row r="316">
      <c r="F316" s="17"/>
      <c r="G316" s="17"/>
      <c r="H316" s="17"/>
      <c r="I316" s="17"/>
      <c r="J316" s="17"/>
    </row>
    <row r="317">
      <c r="F317" s="17"/>
      <c r="G317" s="17"/>
      <c r="H317" s="17"/>
      <c r="I317" s="17"/>
      <c r="J317" s="17"/>
    </row>
    <row r="318">
      <c r="F318" s="17"/>
      <c r="G318" s="17"/>
      <c r="H318" s="17"/>
      <c r="I318" s="17"/>
      <c r="J318" s="17"/>
    </row>
    <row r="319">
      <c r="F319" s="17"/>
      <c r="G319" s="17"/>
      <c r="H319" s="17"/>
      <c r="I319" s="17"/>
      <c r="J319" s="17"/>
    </row>
    <row r="320">
      <c r="F320" s="17"/>
      <c r="G320" s="17"/>
      <c r="H320" s="17"/>
      <c r="I320" s="17"/>
      <c r="J320" s="17"/>
    </row>
    <row r="321">
      <c r="F321" s="17"/>
      <c r="G321" s="17"/>
      <c r="H321" s="17"/>
      <c r="I321" s="17"/>
      <c r="J321" s="17"/>
    </row>
    <row r="322">
      <c r="F322" s="17"/>
      <c r="G322" s="17"/>
      <c r="H322" s="17"/>
      <c r="I322" s="17"/>
      <c r="J322" s="17"/>
    </row>
    <row r="323">
      <c r="F323" s="17"/>
      <c r="G323" s="17"/>
      <c r="H323" s="17"/>
      <c r="I323" s="17"/>
      <c r="J323" s="17"/>
    </row>
    <row r="324">
      <c r="F324" s="17"/>
      <c r="G324" s="17"/>
      <c r="H324" s="17"/>
      <c r="I324" s="17"/>
      <c r="J324" s="17"/>
    </row>
    <row r="325">
      <c r="F325" s="17"/>
      <c r="G325" s="17"/>
      <c r="H325" s="17"/>
      <c r="I325" s="17"/>
      <c r="J325" s="17"/>
    </row>
    <row r="326">
      <c r="F326" s="17"/>
      <c r="G326" s="17"/>
      <c r="H326" s="17"/>
      <c r="I326" s="17"/>
      <c r="J326" s="17"/>
    </row>
    <row r="327">
      <c r="F327" s="17"/>
      <c r="G327" s="17"/>
      <c r="H327" s="17"/>
      <c r="I327" s="17"/>
      <c r="J327" s="17"/>
    </row>
    <row r="328">
      <c r="F328" s="17"/>
      <c r="G328" s="17"/>
      <c r="H328" s="17"/>
      <c r="I328" s="17"/>
      <c r="J328" s="17"/>
    </row>
    <row r="329">
      <c r="F329" s="17"/>
      <c r="G329" s="17"/>
      <c r="H329" s="17"/>
      <c r="I329" s="17"/>
      <c r="J329" s="17"/>
    </row>
    <row r="330">
      <c r="F330" s="17"/>
      <c r="G330" s="17"/>
      <c r="H330" s="17"/>
      <c r="I330" s="17"/>
      <c r="J330" s="17"/>
    </row>
    <row r="331">
      <c r="F331" s="17"/>
      <c r="G331" s="17"/>
      <c r="H331" s="17"/>
      <c r="I331" s="17"/>
      <c r="J331" s="17"/>
    </row>
    <row r="332">
      <c r="F332" s="17"/>
      <c r="G332" s="17"/>
      <c r="H332" s="17"/>
      <c r="I332" s="17"/>
      <c r="J332" s="17"/>
    </row>
    <row r="333">
      <c r="F333" s="17"/>
      <c r="G333" s="17"/>
      <c r="H333" s="17"/>
      <c r="I333" s="17"/>
      <c r="J333" s="17"/>
    </row>
    <row r="334">
      <c r="F334" s="17"/>
      <c r="G334" s="17"/>
      <c r="H334" s="17"/>
      <c r="I334" s="17"/>
      <c r="J334" s="17"/>
    </row>
    <row r="335">
      <c r="F335" s="17"/>
      <c r="G335" s="17"/>
      <c r="H335" s="17"/>
      <c r="I335" s="17"/>
      <c r="J335" s="17"/>
    </row>
    <row r="336">
      <c r="F336" s="17"/>
      <c r="G336" s="17"/>
      <c r="H336" s="17"/>
      <c r="I336" s="17"/>
      <c r="J336" s="17"/>
    </row>
    <row r="337">
      <c r="F337" s="17"/>
      <c r="G337" s="17"/>
      <c r="H337" s="17"/>
      <c r="I337" s="17"/>
      <c r="J337" s="17"/>
    </row>
    <row r="338">
      <c r="F338" s="17"/>
      <c r="G338" s="17"/>
      <c r="H338" s="17"/>
      <c r="I338" s="17"/>
      <c r="J338" s="17"/>
    </row>
    <row r="339">
      <c r="F339" s="17"/>
      <c r="G339" s="17"/>
      <c r="H339" s="17"/>
      <c r="I339" s="17"/>
      <c r="J339" s="17"/>
    </row>
    <row r="340">
      <c r="F340" s="17"/>
      <c r="G340" s="17"/>
      <c r="H340" s="17"/>
      <c r="I340" s="17"/>
      <c r="J340" s="17"/>
    </row>
    <row r="341">
      <c r="F341" s="17"/>
      <c r="G341" s="17"/>
      <c r="H341" s="17"/>
      <c r="I341" s="17"/>
      <c r="J341" s="17"/>
    </row>
    <row r="342">
      <c r="F342" s="17"/>
      <c r="G342" s="17"/>
      <c r="H342" s="17"/>
      <c r="I342" s="17"/>
      <c r="J342" s="17"/>
    </row>
    <row r="343">
      <c r="F343" s="17"/>
      <c r="G343" s="17"/>
      <c r="H343" s="17"/>
      <c r="I343" s="17"/>
      <c r="J343" s="17"/>
    </row>
    <row r="344">
      <c r="F344" s="17"/>
      <c r="G344" s="17"/>
      <c r="H344" s="17"/>
      <c r="I344" s="17"/>
      <c r="J344" s="17"/>
    </row>
    <row r="345">
      <c r="F345" s="17"/>
      <c r="G345" s="17"/>
      <c r="H345" s="17"/>
      <c r="I345" s="17"/>
      <c r="J345" s="17"/>
    </row>
    <row r="346">
      <c r="F346" s="17"/>
      <c r="G346" s="17"/>
      <c r="H346" s="17"/>
      <c r="I346" s="17"/>
      <c r="J346" s="17"/>
    </row>
    <row r="347">
      <c r="F347" s="17"/>
      <c r="G347" s="17"/>
      <c r="H347" s="17"/>
      <c r="I347" s="17"/>
      <c r="J347" s="17"/>
    </row>
    <row r="348">
      <c r="F348" s="17"/>
      <c r="G348" s="17"/>
      <c r="H348" s="17"/>
      <c r="I348" s="17"/>
      <c r="J348" s="17"/>
    </row>
    <row r="349">
      <c r="F349" s="17"/>
      <c r="G349" s="17"/>
      <c r="H349" s="17"/>
      <c r="I349" s="17"/>
      <c r="J349" s="17"/>
    </row>
    <row r="350">
      <c r="F350" s="17"/>
      <c r="G350" s="17"/>
      <c r="H350" s="17"/>
      <c r="I350" s="17"/>
      <c r="J350" s="17"/>
    </row>
    <row r="351">
      <c r="F351" s="17"/>
      <c r="G351" s="17"/>
      <c r="H351" s="17"/>
      <c r="I351" s="17"/>
      <c r="J351" s="17"/>
    </row>
    <row r="352">
      <c r="F352" s="17"/>
      <c r="G352" s="17"/>
      <c r="H352" s="17"/>
      <c r="I352" s="17"/>
      <c r="J352" s="17"/>
    </row>
    <row r="353">
      <c r="F353" s="17"/>
      <c r="G353" s="17"/>
      <c r="H353" s="17"/>
      <c r="I353" s="17"/>
      <c r="J353" s="17"/>
    </row>
    <row r="354">
      <c r="F354" s="17"/>
      <c r="G354" s="17"/>
      <c r="H354" s="17"/>
      <c r="I354" s="17"/>
      <c r="J354" s="17"/>
    </row>
    <row r="355">
      <c r="F355" s="17"/>
      <c r="G355" s="17"/>
      <c r="H355" s="17"/>
      <c r="I355" s="17"/>
      <c r="J355" s="17"/>
    </row>
    <row r="356">
      <c r="F356" s="17"/>
      <c r="G356" s="17"/>
      <c r="H356" s="17"/>
      <c r="I356" s="17"/>
      <c r="J356" s="17"/>
    </row>
    <row r="357">
      <c r="F357" s="17"/>
      <c r="G357" s="17"/>
      <c r="H357" s="17"/>
      <c r="I357" s="17"/>
      <c r="J357" s="17"/>
    </row>
    <row r="358">
      <c r="F358" s="17"/>
      <c r="G358" s="17"/>
      <c r="H358" s="17"/>
      <c r="I358" s="17"/>
      <c r="J358" s="17"/>
    </row>
    <row r="359">
      <c r="F359" s="17"/>
      <c r="G359" s="17"/>
      <c r="H359" s="17"/>
      <c r="I359" s="17"/>
      <c r="J359" s="17"/>
    </row>
    <row r="360">
      <c r="F360" s="17"/>
      <c r="G360" s="17"/>
      <c r="H360" s="17"/>
      <c r="I360" s="17"/>
      <c r="J360" s="17"/>
    </row>
    <row r="361">
      <c r="F361" s="17"/>
      <c r="G361" s="17"/>
      <c r="H361" s="17"/>
      <c r="I361" s="17"/>
      <c r="J361" s="17"/>
    </row>
    <row r="362">
      <c r="F362" s="17"/>
      <c r="G362" s="17"/>
      <c r="H362" s="17"/>
      <c r="I362" s="17"/>
      <c r="J362" s="17"/>
    </row>
    <row r="363">
      <c r="F363" s="17"/>
      <c r="G363" s="17"/>
      <c r="H363" s="17"/>
      <c r="I363" s="17"/>
      <c r="J363" s="17"/>
    </row>
    <row r="364">
      <c r="F364" s="17"/>
      <c r="G364" s="17"/>
      <c r="H364" s="17"/>
      <c r="I364" s="17"/>
      <c r="J364" s="17"/>
    </row>
    <row r="365">
      <c r="F365" s="17"/>
      <c r="G365" s="17"/>
      <c r="H365" s="17"/>
      <c r="I365" s="17"/>
      <c r="J365" s="17"/>
    </row>
    <row r="366">
      <c r="F366" s="17"/>
      <c r="G366" s="17"/>
      <c r="H366" s="17"/>
      <c r="I366" s="17"/>
      <c r="J366" s="17"/>
    </row>
    <row r="367">
      <c r="F367" s="17"/>
      <c r="G367" s="17"/>
      <c r="H367" s="17"/>
      <c r="I367" s="17"/>
      <c r="J367" s="17"/>
    </row>
    <row r="368">
      <c r="F368" s="17"/>
      <c r="G368" s="17"/>
      <c r="H368" s="17"/>
      <c r="I368" s="17"/>
      <c r="J368" s="17"/>
    </row>
    <row r="369">
      <c r="F369" s="17"/>
      <c r="G369" s="17"/>
      <c r="H369" s="17"/>
      <c r="I369" s="17"/>
      <c r="J369" s="17"/>
    </row>
    <row r="370">
      <c r="F370" s="17"/>
      <c r="G370" s="17"/>
      <c r="H370" s="17"/>
      <c r="I370" s="17"/>
      <c r="J370" s="17"/>
    </row>
    <row r="371">
      <c r="F371" s="17"/>
      <c r="G371" s="17"/>
      <c r="H371" s="17"/>
      <c r="I371" s="17"/>
      <c r="J371" s="17"/>
    </row>
    <row r="372">
      <c r="F372" s="17"/>
      <c r="G372" s="17"/>
      <c r="H372" s="17"/>
      <c r="I372" s="17"/>
      <c r="J372" s="17"/>
    </row>
    <row r="373">
      <c r="F373" s="17"/>
      <c r="G373" s="17"/>
      <c r="H373" s="17"/>
      <c r="I373" s="17"/>
      <c r="J373" s="17"/>
    </row>
    <row r="374">
      <c r="F374" s="17"/>
      <c r="G374" s="17"/>
      <c r="H374" s="17"/>
      <c r="I374" s="17"/>
      <c r="J374" s="17"/>
    </row>
    <row r="375">
      <c r="F375" s="17"/>
      <c r="G375" s="17"/>
      <c r="H375" s="17"/>
      <c r="I375" s="17"/>
      <c r="J375" s="17"/>
    </row>
    <row r="376">
      <c r="F376" s="17"/>
      <c r="G376" s="17"/>
      <c r="H376" s="17"/>
      <c r="I376" s="17"/>
      <c r="J376" s="17"/>
    </row>
    <row r="377">
      <c r="F377" s="17"/>
      <c r="G377" s="17"/>
      <c r="H377" s="17"/>
      <c r="I377" s="17"/>
      <c r="J377" s="17"/>
    </row>
    <row r="378">
      <c r="F378" s="17"/>
      <c r="G378" s="17"/>
      <c r="H378" s="17"/>
      <c r="I378" s="17"/>
      <c r="J378" s="17"/>
    </row>
    <row r="379">
      <c r="F379" s="17"/>
      <c r="G379" s="17"/>
      <c r="H379" s="17"/>
      <c r="I379" s="17"/>
      <c r="J379" s="17"/>
    </row>
    <row r="380">
      <c r="F380" s="17"/>
      <c r="G380" s="17"/>
      <c r="H380" s="17"/>
      <c r="I380" s="17"/>
      <c r="J380" s="17"/>
    </row>
    <row r="381">
      <c r="F381" s="17"/>
      <c r="G381" s="17"/>
      <c r="H381" s="17"/>
      <c r="I381" s="17"/>
      <c r="J381" s="17"/>
    </row>
    <row r="382">
      <c r="F382" s="17"/>
      <c r="G382" s="17"/>
      <c r="H382" s="17"/>
      <c r="I382" s="17"/>
      <c r="J382" s="17"/>
    </row>
    <row r="383">
      <c r="F383" s="17"/>
      <c r="G383" s="17"/>
      <c r="H383" s="17"/>
      <c r="I383" s="17"/>
      <c r="J383" s="17"/>
    </row>
    <row r="384">
      <c r="F384" s="17"/>
      <c r="G384" s="17"/>
      <c r="H384" s="17"/>
      <c r="I384" s="17"/>
      <c r="J384" s="17"/>
    </row>
    <row r="385">
      <c r="F385" s="17"/>
      <c r="G385" s="17"/>
      <c r="H385" s="17"/>
      <c r="I385" s="17"/>
      <c r="J385" s="17"/>
    </row>
    <row r="386">
      <c r="F386" s="17"/>
      <c r="G386" s="17"/>
      <c r="H386" s="17"/>
      <c r="I386" s="17"/>
      <c r="J386" s="17"/>
    </row>
    <row r="387">
      <c r="F387" s="17"/>
      <c r="G387" s="17"/>
      <c r="H387" s="17"/>
      <c r="I387" s="17"/>
      <c r="J387" s="17"/>
    </row>
    <row r="388">
      <c r="F388" s="17"/>
      <c r="G388" s="17"/>
      <c r="H388" s="17"/>
      <c r="I388" s="17"/>
      <c r="J388" s="17"/>
    </row>
    <row r="389">
      <c r="F389" s="17"/>
      <c r="G389" s="17"/>
      <c r="H389" s="17"/>
      <c r="I389" s="17"/>
      <c r="J389" s="17"/>
    </row>
    <row r="390">
      <c r="F390" s="17"/>
      <c r="G390" s="17"/>
      <c r="H390" s="17"/>
      <c r="I390" s="17"/>
      <c r="J390" s="17"/>
    </row>
    <row r="391">
      <c r="F391" s="17"/>
      <c r="G391" s="17"/>
      <c r="H391" s="17"/>
      <c r="I391" s="17"/>
      <c r="J391" s="17"/>
    </row>
    <row r="392">
      <c r="F392" s="17"/>
      <c r="G392" s="17"/>
      <c r="H392" s="17"/>
      <c r="I392" s="17"/>
      <c r="J392" s="17"/>
    </row>
    <row r="393">
      <c r="F393" s="17"/>
      <c r="G393" s="17"/>
      <c r="H393" s="17"/>
      <c r="I393" s="17"/>
      <c r="J393" s="17"/>
    </row>
    <row r="394">
      <c r="F394" s="17"/>
      <c r="G394" s="17"/>
      <c r="H394" s="17"/>
      <c r="I394" s="17"/>
      <c r="J394" s="17"/>
    </row>
    <row r="395">
      <c r="F395" s="17"/>
      <c r="G395" s="17"/>
      <c r="H395" s="17"/>
      <c r="I395" s="17"/>
      <c r="J395" s="17"/>
    </row>
    <row r="396">
      <c r="F396" s="17"/>
      <c r="G396" s="17"/>
      <c r="H396" s="17"/>
      <c r="I396" s="17"/>
      <c r="J396" s="17"/>
    </row>
    <row r="397">
      <c r="F397" s="17"/>
      <c r="G397" s="17"/>
      <c r="H397" s="17"/>
      <c r="I397" s="17"/>
      <c r="J397" s="17"/>
    </row>
    <row r="398">
      <c r="F398" s="17"/>
      <c r="G398" s="17"/>
      <c r="H398" s="17"/>
      <c r="I398" s="17"/>
      <c r="J398" s="17"/>
    </row>
    <row r="399">
      <c r="F399" s="17"/>
      <c r="G399" s="17"/>
      <c r="H399" s="17"/>
      <c r="I399" s="17"/>
      <c r="J399" s="17"/>
    </row>
    <row r="400">
      <c r="F400" s="17"/>
      <c r="G400" s="17"/>
      <c r="H400" s="17"/>
      <c r="I400" s="17"/>
      <c r="J400" s="17"/>
    </row>
    <row r="401">
      <c r="F401" s="17"/>
      <c r="G401" s="17"/>
      <c r="H401" s="17"/>
      <c r="I401" s="17"/>
      <c r="J401" s="17"/>
    </row>
    <row r="402">
      <c r="F402" s="17"/>
      <c r="G402" s="17"/>
      <c r="H402" s="17"/>
      <c r="I402" s="17"/>
      <c r="J402" s="17"/>
    </row>
    <row r="403">
      <c r="F403" s="17"/>
      <c r="G403" s="17"/>
      <c r="H403" s="17"/>
      <c r="I403" s="17"/>
      <c r="J403" s="17"/>
    </row>
    <row r="404">
      <c r="F404" s="17"/>
      <c r="G404" s="17"/>
      <c r="H404" s="17"/>
      <c r="I404" s="17"/>
      <c r="J404" s="17"/>
    </row>
    <row r="405">
      <c r="F405" s="17"/>
      <c r="G405" s="17"/>
      <c r="H405" s="17"/>
      <c r="I405" s="17"/>
      <c r="J405" s="17"/>
    </row>
    <row r="406">
      <c r="F406" s="17"/>
      <c r="G406" s="17"/>
      <c r="H406" s="17"/>
      <c r="I406" s="17"/>
      <c r="J406" s="17"/>
    </row>
    <row r="407">
      <c r="F407" s="17"/>
      <c r="G407" s="17"/>
      <c r="H407" s="17"/>
      <c r="I407" s="17"/>
      <c r="J407" s="17"/>
    </row>
    <row r="408">
      <c r="F408" s="17"/>
      <c r="G408" s="17"/>
      <c r="H408" s="17"/>
      <c r="I408" s="17"/>
      <c r="J408" s="17"/>
    </row>
    <row r="409">
      <c r="F409" s="17"/>
      <c r="G409" s="17"/>
      <c r="H409" s="17"/>
      <c r="I409" s="17"/>
      <c r="J409" s="17"/>
    </row>
    <row r="410">
      <c r="F410" s="17"/>
      <c r="G410" s="17"/>
      <c r="H410" s="17"/>
      <c r="I410" s="17"/>
      <c r="J410" s="17"/>
    </row>
    <row r="411">
      <c r="F411" s="17"/>
      <c r="G411" s="17"/>
      <c r="H411" s="17"/>
      <c r="I411" s="17"/>
      <c r="J411" s="17"/>
    </row>
    <row r="412">
      <c r="F412" s="17"/>
      <c r="G412" s="17"/>
      <c r="H412" s="17"/>
      <c r="I412" s="17"/>
      <c r="J412" s="17"/>
    </row>
    <row r="413">
      <c r="F413" s="17"/>
      <c r="G413" s="17"/>
      <c r="H413" s="17"/>
      <c r="I413" s="17"/>
      <c r="J413" s="17"/>
    </row>
    <row r="414">
      <c r="F414" s="17"/>
      <c r="G414" s="17"/>
      <c r="H414" s="17"/>
      <c r="I414" s="17"/>
      <c r="J414" s="17"/>
    </row>
    <row r="415">
      <c r="F415" s="17"/>
      <c r="G415" s="17"/>
      <c r="H415" s="17"/>
      <c r="I415" s="17"/>
      <c r="J415" s="17"/>
    </row>
    <row r="416">
      <c r="F416" s="17"/>
      <c r="G416" s="17"/>
      <c r="H416" s="17"/>
      <c r="I416" s="17"/>
      <c r="J416" s="17"/>
    </row>
    <row r="417">
      <c r="F417" s="17"/>
      <c r="G417" s="17"/>
      <c r="H417" s="17"/>
      <c r="I417" s="17"/>
      <c r="J417" s="17"/>
    </row>
    <row r="418">
      <c r="F418" s="17"/>
      <c r="G418" s="17"/>
      <c r="H418" s="17"/>
      <c r="I418" s="17"/>
      <c r="J418" s="17"/>
    </row>
    <row r="419">
      <c r="F419" s="17"/>
      <c r="G419" s="17"/>
      <c r="H419" s="17"/>
      <c r="I419" s="17"/>
      <c r="J419" s="17"/>
    </row>
    <row r="420">
      <c r="F420" s="17"/>
      <c r="G420" s="17"/>
      <c r="H420" s="17"/>
      <c r="I420" s="17"/>
      <c r="J420" s="17"/>
    </row>
    <row r="421">
      <c r="F421" s="17"/>
      <c r="G421" s="17"/>
      <c r="H421" s="17"/>
      <c r="I421" s="17"/>
      <c r="J421" s="17"/>
    </row>
    <row r="422">
      <c r="F422" s="17"/>
      <c r="G422" s="17"/>
      <c r="H422" s="17"/>
      <c r="I422" s="17"/>
      <c r="J422" s="17"/>
    </row>
    <row r="423">
      <c r="F423" s="17"/>
      <c r="G423" s="17"/>
      <c r="H423" s="17"/>
      <c r="I423" s="17"/>
      <c r="J423" s="17"/>
    </row>
    <row r="424">
      <c r="F424" s="17"/>
      <c r="G424" s="17"/>
      <c r="H424" s="17"/>
      <c r="I424" s="17"/>
      <c r="J424" s="17"/>
    </row>
    <row r="425">
      <c r="F425" s="17"/>
      <c r="G425" s="17"/>
      <c r="H425" s="17"/>
      <c r="I425" s="17"/>
      <c r="J425" s="17"/>
    </row>
    <row r="426">
      <c r="F426" s="17"/>
      <c r="G426" s="17"/>
      <c r="H426" s="17"/>
      <c r="I426" s="17"/>
      <c r="J426" s="17"/>
    </row>
    <row r="427">
      <c r="F427" s="17"/>
      <c r="G427" s="17"/>
      <c r="H427" s="17"/>
      <c r="I427" s="17"/>
      <c r="J427" s="17"/>
    </row>
    <row r="428">
      <c r="F428" s="17"/>
      <c r="G428" s="17"/>
      <c r="H428" s="17"/>
      <c r="I428" s="17"/>
      <c r="J428" s="17"/>
    </row>
    <row r="429">
      <c r="F429" s="17"/>
      <c r="G429" s="17"/>
      <c r="H429" s="17"/>
      <c r="I429" s="17"/>
      <c r="J429" s="17"/>
    </row>
    <row r="430">
      <c r="F430" s="17"/>
      <c r="G430" s="17"/>
      <c r="H430" s="17"/>
      <c r="I430" s="17"/>
      <c r="J430" s="17"/>
    </row>
    <row r="431">
      <c r="F431" s="17"/>
      <c r="G431" s="17"/>
      <c r="H431" s="17"/>
      <c r="I431" s="17"/>
      <c r="J431" s="17"/>
    </row>
    <row r="432">
      <c r="F432" s="17"/>
      <c r="G432" s="17"/>
      <c r="H432" s="17"/>
      <c r="I432" s="17"/>
      <c r="J432" s="17"/>
    </row>
    <row r="433">
      <c r="F433" s="17"/>
      <c r="G433" s="17"/>
      <c r="H433" s="17"/>
      <c r="I433" s="17"/>
      <c r="J433" s="17"/>
    </row>
    <row r="434">
      <c r="F434" s="17"/>
      <c r="G434" s="17"/>
      <c r="H434" s="17"/>
      <c r="I434" s="17"/>
      <c r="J434" s="17"/>
    </row>
    <row r="435">
      <c r="F435" s="17"/>
      <c r="G435" s="17"/>
      <c r="H435" s="17"/>
      <c r="I435" s="17"/>
      <c r="J435" s="17"/>
    </row>
    <row r="436">
      <c r="F436" s="17"/>
      <c r="G436" s="17"/>
      <c r="H436" s="17"/>
      <c r="I436" s="17"/>
      <c r="J436" s="17"/>
    </row>
    <row r="437">
      <c r="F437" s="17"/>
      <c r="G437" s="17"/>
      <c r="H437" s="17"/>
      <c r="I437" s="17"/>
      <c r="J437" s="17"/>
    </row>
    <row r="438">
      <c r="F438" s="17"/>
      <c r="G438" s="17"/>
      <c r="H438" s="17"/>
      <c r="I438" s="17"/>
      <c r="J438" s="17"/>
    </row>
    <row r="439">
      <c r="F439" s="17"/>
      <c r="G439" s="17"/>
      <c r="H439" s="17"/>
      <c r="I439" s="17"/>
      <c r="J439" s="17"/>
    </row>
    <row r="440">
      <c r="F440" s="17"/>
      <c r="G440" s="17"/>
      <c r="H440" s="17"/>
      <c r="I440" s="17"/>
      <c r="J440" s="17"/>
    </row>
    <row r="441">
      <c r="F441" s="17"/>
      <c r="G441" s="17"/>
      <c r="H441" s="17"/>
      <c r="I441" s="17"/>
      <c r="J441" s="17"/>
    </row>
    <row r="442">
      <c r="F442" s="17"/>
      <c r="G442" s="17"/>
      <c r="H442" s="17"/>
      <c r="I442" s="17"/>
      <c r="J442" s="17"/>
    </row>
    <row r="443">
      <c r="F443" s="17"/>
      <c r="G443" s="17"/>
      <c r="H443" s="17"/>
      <c r="I443" s="17"/>
      <c r="J443" s="17"/>
    </row>
    <row r="444">
      <c r="F444" s="17"/>
      <c r="G444" s="17"/>
      <c r="H444" s="17"/>
      <c r="I444" s="17"/>
      <c r="J444" s="17"/>
    </row>
    <row r="445">
      <c r="F445" s="17"/>
      <c r="G445" s="17"/>
      <c r="H445" s="17"/>
      <c r="I445" s="17"/>
      <c r="J445" s="17"/>
    </row>
    <row r="446">
      <c r="F446" s="17"/>
      <c r="G446" s="17"/>
      <c r="H446" s="17"/>
      <c r="I446" s="17"/>
      <c r="J446" s="17"/>
    </row>
    <row r="447">
      <c r="F447" s="17"/>
      <c r="G447" s="17"/>
      <c r="H447" s="17"/>
      <c r="I447" s="17"/>
      <c r="J447" s="17"/>
    </row>
    <row r="448">
      <c r="F448" s="17"/>
      <c r="G448" s="17"/>
      <c r="H448" s="17"/>
      <c r="I448" s="17"/>
      <c r="J448" s="17"/>
    </row>
    <row r="449">
      <c r="F449" s="17"/>
      <c r="G449" s="17"/>
      <c r="H449" s="17"/>
      <c r="I449" s="17"/>
      <c r="J449" s="17"/>
    </row>
    <row r="450">
      <c r="F450" s="17"/>
      <c r="G450" s="17"/>
      <c r="H450" s="17"/>
      <c r="I450" s="17"/>
      <c r="J450" s="17"/>
    </row>
    <row r="451">
      <c r="F451" s="17"/>
      <c r="G451" s="17"/>
      <c r="H451" s="17"/>
      <c r="I451" s="17"/>
      <c r="J451" s="17"/>
    </row>
    <row r="452">
      <c r="F452" s="17"/>
      <c r="G452" s="17"/>
      <c r="H452" s="17"/>
      <c r="I452" s="17"/>
      <c r="J452" s="17"/>
    </row>
    <row r="453">
      <c r="F453" s="17"/>
      <c r="G453" s="17"/>
      <c r="H453" s="17"/>
      <c r="I453" s="17"/>
      <c r="J453" s="17"/>
    </row>
    <row r="454">
      <c r="F454" s="17"/>
      <c r="G454" s="17"/>
      <c r="H454" s="17"/>
      <c r="I454" s="17"/>
      <c r="J454" s="17"/>
    </row>
    <row r="455">
      <c r="F455" s="17"/>
      <c r="G455" s="17"/>
      <c r="H455" s="17"/>
      <c r="I455" s="17"/>
      <c r="J455" s="17"/>
    </row>
    <row r="456">
      <c r="F456" s="17"/>
      <c r="G456" s="17"/>
      <c r="H456" s="17"/>
      <c r="I456" s="17"/>
      <c r="J456" s="17"/>
    </row>
    <row r="457">
      <c r="F457" s="17"/>
      <c r="G457" s="17"/>
      <c r="H457" s="17"/>
      <c r="I457" s="17"/>
      <c r="J457" s="17"/>
    </row>
    <row r="458">
      <c r="F458" s="17"/>
      <c r="G458" s="17"/>
      <c r="H458" s="17"/>
      <c r="I458" s="17"/>
      <c r="J458" s="17"/>
    </row>
    <row r="459">
      <c r="F459" s="17"/>
      <c r="G459" s="17"/>
      <c r="H459" s="17"/>
      <c r="I459" s="17"/>
      <c r="J459" s="17"/>
    </row>
    <row r="460">
      <c r="F460" s="17"/>
      <c r="G460" s="17"/>
      <c r="H460" s="17"/>
      <c r="I460" s="17"/>
      <c r="J460" s="17"/>
    </row>
    <row r="461">
      <c r="F461" s="17"/>
      <c r="G461" s="17"/>
      <c r="H461" s="17"/>
      <c r="I461" s="17"/>
      <c r="J461" s="17"/>
    </row>
    <row r="462">
      <c r="F462" s="17"/>
      <c r="G462" s="17"/>
      <c r="H462" s="17"/>
      <c r="I462" s="17"/>
      <c r="J462" s="17"/>
    </row>
    <row r="463">
      <c r="F463" s="17"/>
      <c r="G463" s="17"/>
      <c r="H463" s="17"/>
      <c r="I463" s="17"/>
      <c r="J463" s="17"/>
    </row>
    <row r="464">
      <c r="F464" s="17"/>
      <c r="G464" s="17"/>
      <c r="H464" s="17"/>
      <c r="I464" s="17"/>
      <c r="J464" s="17"/>
    </row>
    <row r="465">
      <c r="F465" s="17"/>
      <c r="G465" s="17"/>
      <c r="H465" s="17"/>
      <c r="I465" s="17"/>
      <c r="J465" s="17"/>
    </row>
    <row r="466">
      <c r="F466" s="17"/>
      <c r="G466" s="17"/>
      <c r="H466" s="17"/>
      <c r="I466" s="17"/>
      <c r="J466" s="17"/>
    </row>
    <row r="467">
      <c r="F467" s="17"/>
      <c r="G467" s="17"/>
      <c r="H467" s="17"/>
      <c r="I467" s="17"/>
      <c r="J467" s="17"/>
    </row>
    <row r="468">
      <c r="F468" s="17"/>
      <c r="G468" s="17"/>
      <c r="H468" s="17"/>
      <c r="I468" s="17"/>
      <c r="J468" s="17"/>
    </row>
    <row r="469">
      <c r="F469" s="17"/>
      <c r="G469" s="17"/>
      <c r="H469" s="17"/>
      <c r="I469" s="17"/>
      <c r="J469" s="17"/>
    </row>
    <row r="470">
      <c r="F470" s="17"/>
      <c r="G470" s="17"/>
      <c r="H470" s="17"/>
      <c r="I470" s="17"/>
      <c r="J470" s="17"/>
    </row>
    <row r="471">
      <c r="F471" s="17"/>
      <c r="G471" s="17"/>
      <c r="H471" s="17"/>
      <c r="I471" s="17"/>
      <c r="J471" s="17"/>
    </row>
    <row r="472">
      <c r="F472" s="17"/>
      <c r="G472" s="17"/>
      <c r="H472" s="17"/>
      <c r="I472" s="17"/>
      <c r="J472" s="17"/>
    </row>
    <row r="473">
      <c r="F473" s="17"/>
      <c r="G473" s="17"/>
      <c r="H473" s="17"/>
      <c r="I473" s="17"/>
      <c r="J473" s="17"/>
    </row>
    <row r="474">
      <c r="F474" s="17"/>
      <c r="G474" s="17"/>
      <c r="H474" s="17"/>
      <c r="I474" s="17"/>
      <c r="J474" s="17"/>
    </row>
    <row r="475">
      <c r="F475" s="17"/>
      <c r="G475" s="17"/>
      <c r="H475" s="17"/>
      <c r="I475" s="17"/>
      <c r="J475" s="17"/>
    </row>
    <row r="476">
      <c r="F476" s="17"/>
      <c r="G476" s="17"/>
      <c r="H476" s="17"/>
      <c r="I476" s="17"/>
      <c r="J476" s="17"/>
    </row>
    <row r="477">
      <c r="F477" s="17"/>
      <c r="G477" s="17"/>
      <c r="H477" s="17"/>
      <c r="I477" s="17"/>
      <c r="J477" s="17"/>
    </row>
    <row r="478">
      <c r="F478" s="17"/>
      <c r="G478" s="17"/>
      <c r="H478" s="17"/>
      <c r="I478" s="17"/>
      <c r="J478" s="17"/>
    </row>
    <row r="479">
      <c r="F479" s="17"/>
      <c r="G479" s="17"/>
      <c r="H479" s="17"/>
      <c r="I479" s="17"/>
      <c r="J479" s="17"/>
    </row>
    <row r="480">
      <c r="F480" s="17"/>
      <c r="G480" s="17"/>
      <c r="H480" s="17"/>
      <c r="I480" s="17"/>
      <c r="J480" s="17"/>
    </row>
    <row r="481">
      <c r="F481" s="17"/>
      <c r="G481" s="17"/>
      <c r="H481" s="17"/>
      <c r="I481" s="17"/>
      <c r="J481" s="17"/>
    </row>
    <row r="482">
      <c r="F482" s="17"/>
      <c r="G482" s="17"/>
      <c r="H482" s="17"/>
      <c r="I482" s="17"/>
      <c r="J482" s="17"/>
    </row>
    <row r="483">
      <c r="F483" s="17"/>
      <c r="G483" s="17"/>
      <c r="H483" s="17"/>
      <c r="I483" s="17"/>
      <c r="J483" s="17"/>
    </row>
    <row r="484">
      <c r="F484" s="17"/>
      <c r="G484" s="17"/>
      <c r="H484" s="17"/>
      <c r="I484" s="17"/>
      <c r="J484" s="17"/>
    </row>
    <row r="485">
      <c r="F485" s="17"/>
      <c r="G485" s="17"/>
      <c r="H485" s="17"/>
      <c r="I485" s="17"/>
      <c r="J485" s="17"/>
    </row>
    <row r="486">
      <c r="F486" s="17"/>
      <c r="G486" s="17"/>
      <c r="H486" s="17"/>
      <c r="I486" s="17"/>
      <c r="J486" s="17"/>
    </row>
    <row r="487">
      <c r="F487" s="17"/>
      <c r="G487" s="17"/>
      <c r="H487" s="17"/>
      <c r="I487" s="17"/>
      <c r="J487" s="17"/>
    </row>
    <row r="488">
      <c r="F488" s="17"/>
      <c r="G488" s="17"/>
      <c r="H488" s="17"/>
      <c r="I488" s="17"/>
      <c r="J488" s="17"/>
    </row>
    <row r="489">
      <c r="F489" s="17"/>
      <c r="G489" s="17"/>
      <c r="H489" s="17"/>
      <c r="I489" s="17"/>
      <c r="J489" s="17"/>
    </row>
    <row r="490">
      <c r="F490" s="17"/>
      <c r="G490" s="17"/>
      <c r="H490" s="17"/>
      <c r="I490" s="17"/>
      <c r="J490" s="17"/>
    </row>
    <row r="491">
      <c r="F491" s="17"/>
      <c r="G491" s="17"/>
      <c r="H491" s="17"/>
      <c r="I491" s="17"/>
      <c r="J491" s="17"/>
    </row>
    <row r="492">
      <c r="F492" s="17"/>
      <c r="G492" s="17"/>
      <c r="H492" s="17"/>
      <c r="I492" s="17"/>
      <c r="J492" s="17"/>
    </row>
    <row r="493">
      <c r="F493" s="17"/>
      <c r="G493" s="17"/>
      <c r="H493" s="17"/>
      <c r="I493" s="17"/>
      <c r="J493" s="17"/>
    </row>
    <row r="494">
      <c r="F494" s="17"/>
      <c r="G494" s="17"/>
      <c r="H494" s="17"/>
      <c r="I494" s="17"/>
      <c r="J494" s="17"/>
    </row>
    <row r="495">
      <c r="F495" s="17"/>
      <c r="G495" s="17"/>
      <c r="H495" s="17"/>
      <c r="I495" s="17"/>
      <c r="J495" s="17"/>
    </row>
    <row r="496">
      <c r="F496" s="17"/>
      <c r="G496" s="17"/>
      <c r="H496" s="17"/>
      <c r="I496" s="17"/>
      <c r="J496" s="17"/>
    </row>
    <row r="497">
      <c r="F497" s="17"/>
      <c r="G497" s="17"/>
      <c r="H497" s="17"/>
      <c r="I497" s="17"/>
      <c r="J497" s="17"/>
    </row>
    <row r="498">
      <c r="F498" s="17"/>
      <c r="G498" s="17"/>
      <c r="H498" s="17"/>
      <c r="I498" s="17"/>
      <c r="J498" s="17"/>
    </row>
    <row r="499">
      <c r="F499" s="17"/>
      <c r="G499" s="17"/>
      <c r="H499" s="17"/>
      <c r="I499" s="17"/>
      <c r="J499" s="17"/>
    </row>
    <row r="500">
      <c r="F500" s="17"/>
      <c r="G500" s="17"/>
      <c r="H500" s="17"/>
      <c r="I500" s="17"/>
      <c r="J500" s="17"/>
    </row>
    <row r="501">
      <c r="F501" s="17"/>
      <c r="G501" s="17"/>
      <c r="H501" s="17"/>
      <c r="I501" s="17"/>
      <c r="J501" s="17"/>
    </row>
    <row r="502">
      <c r="F502" s="17"/>
      <c r="G502" s="17"/>
      <c r="H502" s="17"/>
      <c r="I502" s="17"/>
      <c r="J502" s="17"/>
    </row>
    <row r="503">
      <c r="F503" s="17"/>
      <c r="G503" s="17"/>
      <c r="H503" s="17"/>
      <c r="I503" s="17"/>
      <c r="J503" s="17"/>
    </row>
    <row r="504">
      <c r="F504" s="17"/>
      <c r="G504" s="17"/>
      <c r="H504" s="17"/>
      <c r="I504" s="17"/>
      <c r="J504" s="17"/>
    </row>
    <row r="505">
      <c r="F505" s="17"/>
      <c r="G505" s="17"/>
      <c r="H505" s="17"/>
      <c r="I505" s="17"/>
      <c r="J505" s="17"/>
    </row>
    <row r="506">
      <c r="F506" s="17"/>
      <c r="G506" s="17"/>
      <c r="H506" s="17"/>
      <c r="I506" s="17"/>
      <c r="J506" s="17"/>
    </row>
    <row r="507">
      <c r="F507" s="17"/>
      <c r="G507" s="17"/>
      <c r="H507" s="17"/>
      <c r="I507" s="17"/>
      <c r="J507" s="17"/>
    </row>
    <row r="508">
      <c r="F508" s="17"/>
      <c r="G508" s="17"/>
      <c r="H508" s="17"/>
      <c r="I508" s="17"/>
      <c r="J508" s="17"/>
    </row>
    <row r="509">
      <c r="F509" s="17"/>
      <c r="G509" s="17"/>
      <c r="H509" s="17"/>
      <c r="I509" s="17"/>
      <c r="J509" s="17"/>
    </row>
    <row r="510">
      <c r="F510" s="17"/>
      <c r="G510" s="17"/>
      <c r="H510" s="17"/>
      <c r="I510" s="17"/>
      <c r="J510" s="17"/>
    </row>
    <row r="511">
      <c r="F511" s="17"/>
      <c r="G511" s="17"/>
      <c r="H511" s="17"/>
      <c r="I511" s="17"/>
      <c r="J511" s="17"/>
    </row>
    <row r="512">
      <c r="F512" s="17"/>
      <c r="G512" s="17"/>
      <c r="H512" s="17"/>
      <c r="I512" s="17"/>
      <c r="J512" s="17"/>
    </row>
    <row r="513">
      <c r="F513" s="17"/>
      <c r="G513" s="17"/>
      <c r="H513" s="17"/>
      <c r="I513" s="17"/>
      <c r="J513" s="17"/>
    </row>
    <row r="514">
      <c r="F514" s="17"/>
      <c r="G514" s="17"/>
      <c r="H514" s="17"/>
      <c r="I514" s="17"/>
      <c r="J514" s="17"/>
    </row>
    <row r="515">
      <c r="F515" s="17"/>
      <c r="G515" s="17"/>
      <c r="H515" s="17"/>
      <c r="I515" s="17"/>
      <c r="J515" s="17"/>
    </row>
    <row r="516">
      <c r="F516" s="17"/>
      <c r="G516" s="17"/>
      <c r="H516" s="17"/>
      <c r="I516" s="17"/>
      <c r="J516" s="17"/>
    </row>
    <row r="517">
      <c r="F517" s="17"/>
      <c r="G517" s="17"/>
      <c r="H517" s="17"/>
      <c r="I517" s="17"/>
      <c r="J517" s="17"/>
    </row>
    <row r="518">
      <c r="F518" s="17"/>
      <c r="G518" s="17"/>
      <c r="H518" s="17"/>
      <c r="I518" s="17"/>
      <c r="J518" s="17"/>
    </row>
    <row r="519">
      <c r="F519" s="17"/>
      <c r="G519" s="17"/>
      <c r="H519" s="17"/>
      <c r="I519" s="17"/>
      <c r="J519" s="17"/>
    </row>
    <row r="520">
      <c r="F520" s="17"/>
      <c r="G520" s="17"/>
      <c r="H520" s="17"/>
      <c r="I520" s="17"/>
      <c r="J520" s="17"/>
    </row>
    <row r="521">
      <c r="F521" s="17"/>
      <c r="G521" s="17"/>
      <c r="H521" s="17"/>
      <c r="I521" s="17"/>
      <c r="J521" s="17"/>
    </row>
    <row r="522">
      <c r="F522" s="17"/>
      <c r="G522" s="17"/>
      <c r="H522" s="17"/>
      <c r="I522" s="17"/>
      <c r="J522" s="17"/>
    </row>
    <row r="523">
      <c r="F523" s="17"/>
      <c r="G523" s="17"/>
      <c r="H523" s="17"/>
      <c r="I523" s="17"/>
      <c r="J523" s="17"/>
    </row>
    <row r="524">
      <c r="F524" s="17"/>
      <c r="G524" s="17"/>
      <c r="H524" s="17"/>
      <c r="I524" s="17"/>
      <c r="J524" s="17"/>
    </row>
    <row r="525">
      <c r="F525" s="17"/>
      <c r="G525" s="17"/>
      <c r="H525" s="17"/>
      <c r="I525" s="17"/>
      <c r="J525" s="17"/>
    </row>
    <row r="526">
      <c r="F526" s="17"/>
      <c r="G526" s="17"/>
      <c r="H526" s="17"/>
      <c r="I526" s="17"/>
      <c r="J526" s="17"/>
    </row>
    <row r="527">
      <c r="F527" s="17"/>
      <c r="G527" s="17"/>
      <c r="H527" s="17"/>
      <c r="I527" s="17"/>
      <c r="J527" s="17"/>
    </row>
    <row r="528">
      <c r="F528" s="17"/>
      <c r="G528" s="17"/>
      <c r="H528" s="17"/>
      <c r="I528" s="17"/>
      <c r="J528" s="17"/>
    </row>
    <row r="529">
      <c r="F529" s="17"/>
      <c r="G529" s="17"/>
      <c r="H529" s="17"/>
      <c r="I529" s="17"/>
      <c r="J529" s="17"/>
    </row>
    <row r="530">
      <c r="F530" s="17"/>
      <c r="G530" s="17"/>
      <c r="H530" s="17"/>
      <c r="I530" s="17"/>
      <c r="J530" s="17"/>
    </row>
    <row r="531">
      <c r="F531" s="17"/>
      <c r="G531" s="17"/>
      <c r="H531" s="17"/>
      <c r="I531" s="17"/>
      <c r="J531" s="17"/>
    </row>
    <row r="532">
      <c r="F532" s="17"/>
      <c r="G532" s="17"/>
      <c r="H532" s="17"/>
      <c r="I532" s="17"/>
      <c r="J532" s="17"/>
    </row>
    <row r="533">
      <c r="F533" s="17"/>
      <c r="G533" s="17"/>
      <c r="H533" s="17"/>
      <c r="I533" s="17"/>
      <c r="J533" s="17"/>
    </row>
    <row r="534">
      <c r="F534" s="17"/>
      <c r="G534" s="17"/>
      <c r="H534" s="17"/>
      <c r="I534" s="17"/>
      <c r="J534" s="17"/>
    </row>
    <row r="535">
      <c r="F535" s="17"/>
      <c r="G535" s="17"/>
      <c r="H535" s="17"/>
      <c r="I535" s="17"/>
      <c r="J535" s="17"/>
    </row>
    <row r="536">
      <c r="F536" s="17"/>
      <c r="G536" s="17"/>
      <c r="H536" s="17"/>
      <c r="I536" s="17"/>
      <c r="J536" s="17"/>
    </row>
    <row r="537">
      <c r="F537" s="17"/>
      <c r="G537" s="17"/>
      <c r="H537" s="17"/>
      <c r="I537" s="17"/>
      <c r="J537" s="17"/>
    </row>
    <row r="538">
      <c r="F538" s="17"/>
      <c r="G538" s="17"/>
      <c r="H538" s="17"/>
      <c r="I538" s="17"/>
      <c r="J538" s="17"/>
    </row>
    <row r="539">
      <c r="F539" s="17"/>
      <c r="G539" s="17"/>
      <c r="H539" s="17"/>
      <c r="I539" s="17"/>
      <c r="J539" s="17"/>
    </row>
    <row r="540">
      <c r="F540" s="17"/>
      <c r="G540" s="17"/>
      <c r="H540" s="17"/>
      <c r="I540" s="17"/>
      <c r="J540" s="17"/>
    </row>
    <row r="541">
      <c r="F541" s="17"/>
      <c r="G541" s="17"/>
      <c r="H541" s="17"/>
      <c r="I541" s="17"/>
      <c r="J541" s="17"/>
    </row>
    <row r="542">
      <c r="F542" s="17"/>
      <c r="G542" s="17"/>
      <c r="H542" s="17"/>
      <c r="I542" s="17"/>
      <c r="J542" s="17"/>
    </row>
    <row r="543">
      <c r="F543" s="17"/>
      <c r="G543" s="17"/>
      <c r="H543" s="17"/>
      <c r="I543" s="17"/>
      <c r="J543" s="17"/>
    </row>
    <row r="544">
      <c r="F544" s="17"/>
      <c r="G544" s="17"/>
      <c r="H544" s="17"/>
      <c r="I544" s="17"/>
      <c r="J544" s="17"/>
    </row>
    <row r="545">
      <c r="F545" s="17"/>
      <c r="G545" s="17"/>
      <c r="H545" s="17"/>
      <c r="I545" s="17"/>
      <c r="J545" s="17"/>
    </row>
    <row r="546">
      <c r="F546" s="17"/>
      <c r="G546" s="17"/>
      <c r="H546" s="17"/>
      <c r="I546" s="17"/>
      <c r="J546" s="17"/>
    </row>
    <row r="547">
      <c r="F547" s="17"/>
      <c r="G547" s="17"/>
      <c r="H547" s="17"/>
      <c r="I547" s="17"/>
      <c r="J547" s="17"/>
    </row>
    <row r="548">
      <c r="F548" s="17"/>
      <c r="G548" s="17"/>
      <c r="H548" s="17"/>
      <c r="I548" s="17"/>
      <c r="J548" s="17"/>
    </row>
    <row r="549">
      <c r="F549" s="17"/>
      <c r="G549" s="17"/>
      <c r="H549" s="17"/>
      <c r="I549" s="17"/>
      <c r="J549" s="17"/>
    </row>
    <row r="550">
      <c r="F550" s="17"/>
      <c r="G550" s="17"/>
      <c r="H550" s="17"/>
      <c r="I550" s="17"/>
      <c r="J550" s="17"/>
    </row>
    <row r="551">
      <c r="F551" s="17"/>
      <c r="G551" s="17"/>
      <c r="H551" s="17"/>
      <c r="I551" s="17"/>
      <c r="J551" s="17"/>
    </row>
    <row r="552">
      <c r="F552" s="17"/>
      <c r="G552" s="17"/>
      <c r="H552" s="17"/>
      <c r="I552" s="17"/>
      <c r="J552" s="17"/>
    </row>
    <row r="553">
      <c r="F553" s="17"/>
      <c r="G553" s="17"/>
      <c r="H553" s="17"/>
      <c r="I553" s="17"/>
      <c r="J553" s="17"/>
    </row>
    <row r="554">
      <c r="F554" s="17"/>
      <c r="G554" s="17"/>
      <c r="H554" s="17"/>
      <c r="I554" s="17"/>
      <c r="J554" s="17"/>
    </row>
    <row r="555">
      <c r="F555" s="17"/>
      <c r="G555" s="17"/>
      <c r="H555" s="17"/>
      <c r="I555" s="17"/>
      <c r="J555" s="17"/>
    </row>
    <row r="556">
      <c r="F556" s="17"/>
      <c r="G556" s="17"/>
      <c r="H556" s="17"/>
      <c r="I556" s="17"/>
      <c r="J556" s="17"/>
    </row>
    <row r="557">
      <c r="F557" s="17"/>
      <c r="G557" s="17"/>
      <c r="H557" s="17"/>
      <c r="I557" s="17"/>
      <c r="J557" s="17"/>
    </row>
    <row r="558">
      <c r="F558" s="17"/>
      <c r="G558" s="17"/>
      <c r="H558" s="17"/>
      <c r="I558" s="17"/>
      <c r="J558" s="17"/>
    </row>
    <row r="559">
      <c r="F559" s="17"/>
      <c r="G559" s="17"/>
      <c r="H559" s="17"/>
      <c r="I559" s="17"/>
      <c r="J559" s="17"/>
    </row>
    <row r="560">
      <c r="F560" s="17"/>
      <c r="G560" s="17"/>
      <c r="H560" s="17"/>
      <c r="I560" s="17"/>
      <c r="J560" s="17"/>
    </row>
    <row r="561">
      <c r="F561" s="17"/>
      <c r="G561" s="17"/>
      <c r="H561" s="17"/>
      <c r="I561" s="17"/>
      <c r="J561" s="17"/>
    </row>
    <row r="562">
      <c r="F562" s="17"/>
      <c r="G562" s="17"/>
      <c r="H562" s="17"/>
      <c r="I562" s="17"/>
      <c r="J562" s="17"/>
    </row>
    <row r="563">
      <c r="F563" s="17"/>
      <c r="G563" s="17"/>
      <c r="H563" s="17"/>
      <c r="I563" s="17"/>
      <c r="J563" s="17"/>
    </row>
    <row r="564">
      <c r="F564" s="17"/>
      <c r="G564" s="17"/>
      <c r="H564" s="17"/>
      <c r="I564" s="17"/>
      <c r="J564" s="17"/>
    </row>
    <row r="565">
      <c r="F565" s="17"/>
      <c r="G565" s="17"/>
      <c r="H565" s="17"/>
      <c r="I565" s="17"/>
      <c r="J565" s="17"/>
    </row>
    <row r="566">
      <c r="F566" s="17"/>
      <c r="G566" s="17"/>
      <c r="H566" s="17"/>
      <c r="I566" s="17"/>
      <c r="J566" s="17"/>
    </row>
    <row r="567">
      <c r="F567" s="17"/>
      <c r="G567" s="17"/>
      <c r="H567" s="17"/>
      <c r="I567" s="17"/>
      <c r="J567" s="17"/>
    </row>
    <row r="568">
      <c r="F568" s="17"/>
      <c r="G568" s="17"/>
      <c r="H568" s="17"/>
      <c r="I568" s="17"/>
      <c r="J568" s="17"/>
    </row>
    <row r="569">
      <c r="F569" s="17"/>
      <c r="G569" s="17"/>
      <c r="H569" s="17"/>
      <c r="I569" s="17"/>
      <c r="J569" s="17"/>
    </row>
    <row r="570">
      <c r="F570" s="17"/>
      <c r="G570" s="17"/>
      <c r="H570" s="17"/>
      <c r="I570" s="17"/>
      <c r="J570" s="17"/>
    </row>
    <row r="571">
      <c r="F571" s="17"/>
      <c r="G571" s="17"/>
      <c r="H571" s="17"/>
      <c r="I571" s="17"/>
      <c r="J571" s="17"/>
    </row>
    <row r="572">
      <c r="F572" s="17"/>
      <c r="G572" s="17"/>
      <c r="H572" s="17"/>
      <c r="I572" s="17"/>
      <c r="J572" s="17"/>
    </row>
    <row r="573">
      <c r="F573" s="17"/>
      <c r="G573" s="17"/>
      <c r="H573" s="17"/>
      <c r="I573" s="17"/>
      <c r="J573" s="17"/>
    </row>
    <row r="574">
      <c r="F574" s="17"/>
      <c r="G574" s="17"/>
      <c r="H574" s="17"/>
      <c r="I574" s="17"/>
      <c r="J574" s="17"/>
    </row>
    <row r="575">
      <c r="F575" s="17"/>
      <c r="G575" s="17"/>
      <c r="H575" s="17"/>
      <c r="I575" s="17"/>
      <c r="J575" s="17"/>
    </row>
    <row r="576">
      <c r="F576" s="17"/>
      <c r="G576" s="17"/>
      <c r="H576" s="17"/>
      <c r="I576" s="17"/>
      <c r="J576" s="17"/>
    </row>
    <row r="577">
      <c r="F577" s="17"/>
      <c r="G577" s="17"/>
      <c r="H577" s="17"/>
      <c r="I577" s="17"/>
      <c r="J577" s="17"/>
    </row>
    <row r="578">
      <c r="F578" s="17"/>
      <c r="G578" s="17"/>
      <c r="H578" s="17"/>
      <c r="I578" s="17"/>
      <c r="J578" s="17"/>
    </row>
    <row r="579">
      <c r="F579" s="17"/>
      <c r="G579" s="17"/>
      <c r="H579" s="17"/>
      <c r="I579" s="17"/>
      <c r="J579" s="17"/>
    </row>
    <row r="580">
      <c r="F580" s="17"/>
      <c r="G580" s="17"/>
      <c r="H580" s="17"/>
      <c r="I580" s="17"/>
      <c r="J580" s="17"/>
    </row>
    <row r="581">
      <c r="F581" s="17"/>
      <c r="G581" s="17"/>
      <c r="H581" s="17"/>
      <c r="I581" s="17"/>
      <c r="J581" s="17"/>
    </row>
    <row r="582">
      <c r="F582" s="17"/>
      <c r="G582" s="17"/>
      <c r="H582" s="17"/>
      <c r="I582" s="17"/>
      <c r="J582" s="17"/>
    </row>
    <row r="583">
      <c r="F583" s="17"/>
      <c r="G583" s="17"/>
      <c r="H583" s="17"/>
      <c r="I583" s="17"/>
      <c r="J583" s="17"/>
    </row>
    <row r="584">
      <c r="F584" s="17"/>
      <c r="G584" s="17"/>
      <c r="H584" s="17"/>
      <c r="I584" s="17"/>
      <c r="J584" s="17"/>
    </row>
    <row r="585">
      <c r="F585" s="17"/>
      <c r="G585" s="17"/>
      <c r="H585" s="17"/>
      <c r="I585" s="17"/>
      <c r="J585" s="17"/>
    </row>
    <row r="586">
      <c r="F586" s="17"/>
      <c r="G586" s="17"/>
      <c r="H586" s="17"/>
      <c r="I586" s="17"/>
      <c r="J586" s="17"/>
    </row>
    <row r="587">
      <c r="F587" s="17"/>
      <c r="G587" s="17"/>
      <c r="H587" s="17"/>
      <c r="I587" s="17"/>
      <c r="J587" s="17"/>
    </row>
    <row r="588">
      <c r="F588" s="17"/>
      <c r="G588" s="17"/>
      <c r="H588" s="17"/>
      <c r="I588" s="17"/>
      <c r="J588" s="17"/>
    </row>
    <row r="589">
      <c r="F589" s="17"/>
      <c r="G589" s="17"/>
      <c r="H589" s="17"/>
      <c r="I589" s="17"/>
      <c r="J589" s="17"/>
    </row>
    <row r="590">
      <c r="F590" s="17"/>
      <c r="G590" s="17"/>
      <c r="H590" s="17"/>
      <c r="I590" s="17"/>
      <c r="J590" s="17"/>
    </row>
    <row r="591">
      <c r="F591" s="17"/>
      <c r="G591" s="17"/>
      <c r="H591" s="17"/>
      <c r="I591" s="17"/>
      <c r="J591" s="17"/>
    </row>
    <row r="592">
      <c r="F592" s="17"/>
      <c r="G592" s="17"/>
      <c r="H592" s="17"/>
      <c r="I592" s="17"/>
      <c r="J592" s="17"/>
    </row>
    <row r="593">
      <c r="F593" s="17"/>
      <c r="G593" s="17"/>
      <c r="H593" s="17"/>
      <c r="I593" s="17"/>
      <c r="J593" s="17"/>
    </row>
    <row r="594">
      <c r="F594" s="17"/>
      <c r="G594" s="17"/>
      <c r="H594" s="17"/>
      <c r="I594" s="17"/>
      <c r="J594" s="17"/>
    </row>
    <row r="595">
      <c r="F595" s="17"/>
      <c r="G595" s="17"/>
      <c r="H595" s="17"/>
      <c r="I595" s="17"/>
      <c r="J595" s="17"/>
    </row>
    <row r="596">
      <c r="F596" s="17"/>
      <c r="G596" s="17"/>
      <c r="H596" s="17"/>
      <c r="I596" s="17"/>
      <c r="J596" s="17"/>
    </row>
    <row r="597">
      <c r="F597" s="17"/>
      <c r="G597" s="17"/>
      <c r="H597" s="17"/>
      <c r="I597" s="17"/>
      <c r="J597" s="17"/>
    </row>
    <row r="598">
      <c r="F598" s="17"/>
      <c r="G598" s="17"/>
      <c r="H598" s="17"/>
      <c r="I598" s="17"/>
      <c r="J598" s="17"/>
    </row>
    <row r="599">
      <c r="F599" s="17"/>
      <c r="G599" s="17"/>
      <c r="H599" s="17"/>
      <c r="I599" s="17"/>
      <c r="J599" s="17"/>
    </row>
    <row r="600">
      <c r="F600" s="17"/>
      <c r="G600" s="17"/>
      <c r="H600" s="17"/>
      <c r="I600" s="17"/>
      <c r="J600" s="17"/>
    </row>
    <row r="601">
      <c r="F601" s="17"/>
      <c r="G601" s="17"/>
      <c r="H601" s="17"/>
      <c r="I601" s="17"/>
      <c r="J601" s="17"/>
    </row>
    <row r="602">
      <c r="F602" s="17"/>
      <c r="G602" s="17"/>
      <c r="H602" s="17"/>
      <c r="I602" s="17"/>
      <c r="J602" s="17"/>
    </row>
    <row r="603">
      <c r="F603" s="17"/>
      <c r="G603" s="17"/>
      <c r="H603" s="17"/>
      <c r="I603" s="17"/>
      <c r="J603" s="17"/>
    </row>
    <row r="604">
      <c r="F604" s="17"/>
      <c r="G604" s="17"/>
      <c r="H604" s="17"/>
      <c r="I604" s="17"/>
      <c r="J604" s="17"/>
    </row>
    <row r="605">
      <c r="F605" s="17"/>
      <c r="G605" s="17"/>
      <c r="H605" s="17"/>
      <c r="I605" s="17"/>
      <c r="J605" s="17"/>
    </row>
    <row r="606">
      <c r="F606" s="17"/>
      <c r="G606" s="17"/>
      <c r="H606" s="17"/>
      <c r="I606" s="17"/>
      <c r="J606" s="17"/>
    </row>
    <row r="607">
      <c r="F607" s="17"/>
      <c r="G607" s="17"/>
      <c r="H607" s="17"/>
      <c r="I607" s="17"/>
      <c r="J607" s="17"/>
    </row>
    <row r="608">
      <c r="F608" s="17"/>
      <c r="G608" s="17"/>
      <c r="H608" s="17"/>
      <c r="I608" s="17"/>
      <c r="J608" s="17"/>
    </row>
    <row r="609">
      <c r="F609" s="17"/>
      <c r="G609" s="17"/>
      <c r="H609" s="17"/>
      <c r="I609" s="17"/>
      <c r="J609" s="17"/>
    </row>
    <row r="610">
      <c r="F610" s="17"/>
      <c r="G610" s="17"/>
      <c r="H610" s="17"/>
      <c r="I610" s="17"/>
      <c r="J610" s="17"/>
    </row>
    <row r="611">
      <c r="F611" s="17"/>
      <c r="G611" s="17"/>
      <c r="H611" s="17"/>
      <c r="I611" s="17"/>
      <c r="J611" s="17"/>
    </row>
    <row r="612">
      <c r="F612" s="17"/>
      <c r="G612" s="17"/>
      <c r="H612" s="17"/>
      <c r="I612" s="17"/>
      <c r="J612" s="17"/>
    </row>
    <row r="613">
      <c r="F613" s="17"/>
      <c r="G613" s="17"/>
      <c r="H613" s="17"/>
      <c r="I613" s="17"/>
      <c r="J613" s="17"/>
    </row>
    <row r="614">
      <c r="F614" s="17"/>
      <c r="G614" s="17"/>
      <c r="H614" s="17"/>
      <c r="I614" s="17"/>
      <c r="J614" s="17"/>
    </row>
    <row r="615">
      <c r="F615" s="17"/>
      <c r="G615" s="17"/>
      <c r="H615" s="17"/>
      <c r="I615" s="17"/>
      <c r="J615" s="17"/>
    </row>
    <row r="616">
      <c r="F616" s="17"/>
      <c r="G616" s="17"/>
      <c r="H616" s="17"/>
      <c r="I616" s="17"/>
      <c r="J616" s="17"/>
    </row>
    <row r="617">
      <c r="F617" s="17"/>
      <c r="G617" s="17"/>
      <c r="H617" s="17"/>
      <c r="I617" s="17"/>
      <c r="J617" s="17"/>
    </row>
    <row r="618">
      <c r="F618" s="17"/>
      <c r="G618" s="17"/>
      <c r="H618" s="17"/>
      <c r="I618" s="17"/>
      <c r="J618" s="17"/>
    </row>
    <row r="619">
      <c r="F619" s="17"/>
      <c r="G619" s="17"/>
      <c r="H619" s="17"/>
      <c r="I619" s="17"/>
      <c r="J619" s="17"/>
    </row>
    <row r="620">
      <c r="F620" s="17"/>
      <c r="G620" s="17"/>
      <c r="H620" s="17"/>
      <c r="I620" s="17"/>
      <c r="J620" s="17"/>
    </row>
    <row r="621">
      <c r="F621" s="17"/>
      <c r="G621" s="17"/>
      <c r="H621" s="17"/>
      <c r="I621" s="17"/>
      <c r="J621" s="17"/>
    </row>
    <row r="622">
      <c r="F622" s="17"/>
      <c r="G622" s="17"/>
      <c r="H622" s="17"/>
      <c r="I622" s="17"/>
      <c r="J622" s="17"/>
    </row>
    <row r="623">
      <c r="F623" s="17"/>
      <c r="G623" s="17"/>
      <c r="H623" s="17"/>
      <c r="I623" s="17"/>
      <c r="J623" s="17"/>
    </row>
    <row r="624">
      <c r="F624" s="17"/>
      <c r="G624" s="17"/>
      <c r="H624" s="17"/>
      <c r="I624" s="17"/>
      <c r="J624" s="17"/>
    </row>
    <row r="625">
      <c r="F625" s="17"/>
      <c r="G625" s="17"/>
      <c r="H625" s="17"/>
      <c r="I625" s="17"/>
      <c r="J625" s="17"/>
    </row>
    <row r="626">
      <c r="F626" s="17"/>
      <c r="G626" s="17"/>
      <c r="H626" s="17"/>
      <c r="I626" s="17"/>
      <c r="J626" s="17"/>
    </row>
    <row r="627">
      <c r="F627" s="17"/>
      <c r="G627" s="17"/>
      <c r="H627" s="17"/>
      <c r="I627" s="17"/>
      <c r="J627" s="17"/>
    </row>
    <row r="628">
      <c r="F628" s="17"/>
      <c r="G628" s="17"/>
      <c r="H628" s="17"/>
      <c r="I628" s="17"/>
      <c r="J628" s="17"/>
    </row>
    <row r="629">
      <c r="F629" s="17"/>
      <c r="G629" s="17"/>
      <c r="H629" s="17"/>
      <c r="I629" s="17"/>
      <c r="J629" s="17"/>
    </row>
    <row r="630">
      <c r="F630" s="17"/>
      <c r="G630" s="17"/>
      <c r="H630" s="17"/>
      <c r="I630" s="17"/>
      <c r="J630" s="17"/>
    </row>
    <row r="631">
      <c r="F631" s="17"/>
      <c r="G631" s="17"/>
      <c r="H631" s="17"/>
      <c r="I631" s="17"/>
      <c r="J631" s="17"/>
    </row>
    <row r="632">
      <c r="F632" s="17"/>
      <c r="G632" s="17"/>
      <c r="H632" s="17"/>
      <c r="I632" s="17"/>
      <c r="J632" s="17"/>
    </row>
    <row r="633">
      <c r="F633" s="17"/>
      <c r="G633" s="17"/>
      <c r="H633" s="17"/>
      <c r="I633" s="17"/>
      <c r="J633" s="17"/>
    </row>
    <row r="634">
      <c r="F634" s="17"/>
      <c r="G634" s="17"/>
      <c r="H634" s="17"/>
      <c r="I634" s="17"/>
      <c r="J634" s="17"/>
    </row>
    <row r="635">
      <c r="F635" s="17"/>
      <c r="G635" s="17"/>
      <c r="H635" s="17"/>
      <c r="I635" s="17"/>
      <c r="J635" s="17"/>
    </row>
    <row r="636">
      <c r="F636" s="17"/>
      <c r="G636" s="17"/>
      <c r="H636" s="17"/>
      <c r="I636" s="17"/>
      <c r="J636" s="17"/>
    </row>
    <row r="637">
      <c r="F637" s="17"/>
      <c r="G637" s="17"/>
      <c r="H637" s="17"/>
      <c r="I637" s="17"/>
      <c r="J637" s="17"/>
    </row>
    <row r="638">
      <c r="F638" s="17"/>
      <c r="G638" s="17"/>
      <c r="H638" s="17"/>
      <c r="I638" s="17"/>
      <c r="J638" s="17"/>
    </row>
    <row r="639">
      <c r="F639" s="17"/>
      <c r="G639" s="17"/>
      <c r="H639" s="17"/>
      <c r="I639" s="17"/>
      <c r="J639" s="17"/>
    </row>
    <row r="640">
      <c r="F640" s="17"/>
      <c r="G640" s="17"/>
      <c r="H640" s="17"/>
      <c r="I640" s="17"/>
      <c r="J640" s="17"/>
    </row>
    <row r="641">
      <c r="F641" s="17"/>
      <c r="G641" s="17"/>
      <c r="H641" s="17"/>
      <c r="I641" s="17"/>
      <c r="J641" s="17"/>
    </row>
    <row r="642">
      <c r="F642" s="17"/>
      <c r="G642" s="17"/>
      <c r="H642" s="17"/>
      <c r="I642" s="17"/>
      <c r="J642" s="17"/>
    </row>
    <row r="643">
      <c r="F643" s="17"/>
      <c r="G643" s="17"/>
      <c r="H643" s="17"/>
      <c r="I643" s="17"/>
      <c r="J643" s="17"/>
    </row>
    <row r="644">
      <c r="F644" s="17"/>
      <c r="G644" s="17"/>
      <c r="H644" s="17"/>
      <c r="I644" s="17"/>
      <c r="J644" s="17"/>
    </row>
    <row r="645">
      <c r="F645" s="17"/>
      <c r="G645" s="17"/>
      <c r="H645" s="17"/>
      <c r="I645" s="17"/>
      <c r="J645" s="17"/>
    </row>
    <row r="646">
      <c r="F646" s="17"/>
      <c r="G646" s="17"/>
      <c r="H646" s="17"/>
      <c r="I646" s="17"/>
      <c r="J646" s="17"/>
    </row>
    <row r="647">
      <c r="F647" s="17"/>
      <c r="G647" s="17"/>
      <c r="H647" s="17"/>
      <c r="I647" s="17"/>
      <c r="J647" s="17"/>
    </row>
    <row r="648">
      <c r="F648" s="17"/>
      <c r="G648" s="17"/>
      <c r="H648" s="17"/>
      <c r="I648" s="17"/>
      <c r="J648" s="17"/>
    </row>
    <row r="649">
      <c r="F649" s="17"/>
      <c r="G649" s="17"/>
      <c r="H649" s="17"/>
      <c r="I649" s="17"/>
      <c r="J649" s="17"/>
    </row>
    <row r="650">
      <c r="F650" s="17"/>
      <c r="G650" s="17"/>
      <c r="H650" s="17"/>
      <c r="I650" s="17"/>
      <c r="J650" s="17"/>
    </row>
    <row r="651">
      <c r="F651" s="17"/>
      <c r="G651" s="17"/>
      <c r="H651" s="17"/>
      <c r="I651" s="17"/>
      <c r="J651" s="17"/>
    </row>
    <row r="652">
      <c r="F652" s="17"/>
      <c r="G652" s="17"/>
      <c r="H652" s="17"/>
      <c r="I652" s="17"/>
      <c r="J652" s="17"/>
    </row>
    <row r="653">
      <c r="F653" s="17"/>
      <c r="G653" s="17"/>
      <c r="H653" s="17"/>
      <c r="I653" s="17"/>
      <c r="J653" s="17"/>
    </row>
    <row r="654">
      <c r="F654" s="17"/>
      <c r="G654" s="17"/>
      <c r="H654" s="17"/>
      <c r="I654" s="17"/>
      <c r="J654" s="17"/>
    </row>
    <row r="655">
      <c r="F655" s="17"/>
      <c r="G655" s="17"/>
      <c r="H655" s="17"/>
      <c r="I655" s="17"/>
      <c r="J655" s="17"/>
    </row>
    <row r="656">
      <c r="F656" s="17"/>
      <c r="G656" s="17"/>
      <c r="H656" s="17"/>
      <c r="I656" s="17"/>
      <c r="J656" s="17"/>
    </row>
    <row r="657">
      <c r="F657" s="17"/>
      <c r="G657" s="17"/>
      <c r="H657" s="17"/>
      <c r="I657" s="17"/>
      <c r="J657" s="17"/>
    </row>
    <row r="658">
      <c r="F658" s="17"/>
      <c r="G658" s="17"/>
      <c r="H658" s="17"/>
      <c r="I658" s="17"/>
      <c r="J658" s="17"/>
    </row>
    <row r="659">
      <c r="F659" s="17"/>
      <c r="G659" s="17"/>
      <c r="H659" s="17"/>
      <c r="I659" s="17"/>
      <c r="J659" s="17"/>
    </row>
    <row r="660">
      <c r="F660" s="17"/>
      <c r="G660" s="17"/>
      <c r="H660" s="17"/>
      <c r="I660" s="17"/>
      <c r="J660" s="17"/>
    </row>
    <row r="661">
      <c r="F661" s="17"/>
      <c r="G661" s="17"/>
      <c r="H661" s="17"/>
      <c r="I661" s="17"/>
      <c r="J661" s="17"/>
    </row>
    <row r="662">
      <c r="F662" s="17"/>
      <c r="G662" s="17"/>
      <c r="H662" s="17"/>
      <c r="I662" s="17"/>
      <c r="J662" s="17"/>
    </row>
    <row r="663">
      <c r="F663" s="17"/>
      <c r="G663" s="17"/>
      <c r="H663" s="17"/>
      <c r="I663" s="17"/>
      <c r="J663" s="17"/>
    </row>
    <row r="664">
      <c r="F664" s="17"/>
      <c r="G664" s="17"/>
      <c r="H664" s="17"/>
      <c r="I664" s="17"/>
      <c r="J664" s="17"/>
    </row>
    <row r="665">
      <c r="F665" s="17"/>
      <c r="G665" s="17"/>
      <c r="H665" s="17"/>
      <c r="I665" s="17"/>
      <c r="J665" s="17"/>
    </row>
    <row r="666">
      <c r="F666" s="17"/>
      <c r="G666" s="17"/>
      <c r="H666" s="17"/>
      <c r="I666" s="17"/>
      <c r="J666" s="17"/>
    </row>
    <row r="667">
      <c r="F667" s="17"/>
      <c r="G667" s="17"/>
      <c r="H667" s="17"/>
      <c r="I667" s="17"/>
      <c r="J667" s="17"/>
    </row>
    <row r="668">
      <c r="F668" s="17"/>
      <c r="G668" s="17"/>
      <c r="H668" s="17"/>
      <c r="I668" s="17"/>
      <c r="J668" s="17"/>
    </row>
    <row r="669">
      <c r="F669" s="17"/>
      <c r="G669" s="17"/>
      <c r="H669" s="17"/>
      <c r="I669" s="17"/>
      <c r="J669" s="17"/>
    </row>
    <row r="670">
      <c r="F670" s="17"/>
      <c r="G670" s="17"/>
      <c r="H670" s="17"/>
      <c r="I670" s="17"/>
      <c r="J670" s="17"/>
    </row>
    <row r="671">
      <c r="F671" s="17"/>
      <c r="G671" s="17"/>
      <c r="H671" s="17"/>
      <c r="I671" s="17"/>
      <c r="J671" s="17"/>
    </row>
    <row r="672">
      <c r="F672" s="17"/>
      <c r="G672" s="17"/>
      <c r="H672" s="17"/>
      <c r="I672" s="17"/>
      <c r="J672" s="17"/>
    </row>
    <row r="673">
      <c r="F673" s="17"/>
      <c r="G673" s="17"/>
      <c r="H673" s="17"/>
      <c r="I673" s="17"/>
      <c r="J673" s="17"/>
    </row>
    <row r="674">
      <c r="F674" s="17"/>
      <c r="G674" s="17"/>
      <c r="H674" s="17"/>
      <c r="I674" s="17"/>
      <c r="J674" s="17"/>
    </row>
    <row r="675">
      <c r="F675" s="17"/>
      <c r="G675" s="17"/>
      <c r="H675" s="17"/>
      <c r="I675" s="17"/>
      <c r="J675" s="17"/>
    </row>
    <row r="676">
      <c r="F676" s="17"/>
      <c r="G676" s="17"/>
      <c r="H676" s="17"/>
      <c r="I676" s="17"/>
      <c r="J676" s="17"/>
    </row>
    <row r="677">
      <c r="F677" s="17"/>
      <c r="G677" s="17"/>
      <c r="H677" s="17"/>
      <c r="I677" s="17"/>
      <c r="J677" s="17"/>
    </row>
    <row r="678">
      <c r="F678" s="17"/>
      <c r="G678" s="17"/>
      <c r="H678" s="17"/>
      <c r="I678" s="17"/>
      <c r="J678" s="17"/>
    </row>
    <row r="679">
      <c r="F679" s="17"/>
      <c r="G679" s="17"/>
      <c r="H679" s="17"/>
      <c r="I679" s="17"/>
      <c r="J679" s="17"/>
    </row>
    <row r="680">
      <c r="F680" s="17"/>
      <c r="G680" s="17"/>
      <c r="H680" s="17"/>
      <c r="I680" s="17"/>
      <c r="J680" s="17"/>
    </row>
    <row r="681">
      <c r="F681" s="17"/>
      <c r="G681" s="17"/>
      <c r="H681" s="17"/>
      <c r="I681" s="17"/>
      <c r="J681" s="17"/>
    </row>
    <row r="682">
      <c r="F682" s="17"/>
      <c r="G682" s="17"/>
      <c r="H682" s="17"/>
      <c r="I682" s="17"/>
      <c r="J682" s="17"/>
    </row>
    <row r="683">
      <c r="F683" s="17"/>
      <c r="G683" s="17"/>
      <c r="H683" s="17"/>
      <c r="I683" s="17"/>
      <c r="J683" s="17"/>
    </row>
    <row r="684">
      <c r="F684" s="17"/>
      <c r="G684" s="17"/>
      <c r="H684" s="17"/>
      <c r="I684" s="17"/>
      <c r="J684" s="17"/>
    </row>
    <row r="685">
      <c r="F685" s="17"/>
      <c r="G685" s="17"/>
      <c r="H685" s="17"/>
      <c r="I685" s="17"/>
      <c r="J685" s="17"/>
    </row>
    <row r="686">
      <c r="F686" s="17"/>
      <c r="G686" s="17"/>
      <c r="H686" s="17"/>
      <c r="I686" s="17"/>
      <c r="J686" s="17"/>
    </row>
    <row r="687">
      <c r="F687" s="17"/>
      <c r="G687" s="17"/>
      <c r="H687" s="17"/>
      <c r="I687" s="17"/>
      <c r="J687" s="17"/>
    </row>
    <row r="688">
      <c r="F688" s="17"/>
      <c r="G688" s="17"/>
      <c r="H688" s="17"/>
      <c r="I688" s="17"/>
      <c r="J688" s="17"/>
    </row>
    <row r="689">
      <c r="F689" s="17"/>
      <c r="G689" s="17"/>
      <c r="H689" s="17"/>
      <c r="I689" s="17"/>
      <c r="J689" s="17"/>
    </row>
    <row r="690">
      <c r="F690" s="17"/>
      <c r="G690" s="17"/>
      <c r="H690" s="17"/>
      <c r="I690" s="17"/>
      <c r="J690" s="17"/>
    </row>
    <row r="691">
      <c r="F691" s="17"/>
      <c r="G691" s="17"/>
      <c r="H691" s="17"/>
      <c r="I691" s="17"/>
      <c r="J691" s="17"/>
    </row>
    <row r="692">
      <c r="F692" s="17"/>
      <c r="G692" s="17"/>
      <c r="H692" s="17"/>
      <c r="I692" s="17"/>
      <c r="J692" s="17"/>
    </row>
    <row r="693">
      <c r="F693" s="17"/>
      <c r="G693" s="17"/>
      <c r="H693" s="17"/>
      <c r="I693" s="17"/>
      <c r="J693" s="17"/>
    </row>
    <row r="694">
      <c r="F694" s="17"/>
      <c r="G694" s="17"/>
      <c r="H694" s="17"/>
      <c r="I694" s="17"/>
      <c r="J694" s="17"/>
    </row>
    <row r="695">
      <c r="F695" s="17"/>
      <c r="G695" s="17"/>
      <c r="H695" s="17"/>
      <c r="I695" s="17"/>
      <c r="J695" s="17"/>
    </row>
    <row r="696">
      <c r="F696" s="17"/>
      <c r="G696" s="17"/>
      <c r="H696" s="17"/>
      <c r="I696" s="17"/>
      <c r="J696" s="17"/>
    </row>
    <row r="697">
      <c r="F697" s="17"/>
      <c r="G697" s="17"/>
      <c r="H697" s="17"/>
      <c r="I697" s="17"/>
      <c r="J697" s="17"/>
    </row>
    <row r="698">
      <c r="F698" s="17"/>
      <c r="G698" s="17"/>
      <c r="H698" s="17"/>
      <c r="I698" s="17"/>
      <c r="J698" s="17"/>
    </row>
    <row r="699">
      <c r="F699" s="17"/>
      <c r="G699" s="17"/>
      <c r="H699" s="17"/>
      <c r="I699" s="17"/>
      <c r="J699" s="17"/>
    </row>
    <row r="700">
      <c r="F700" s="17"/>
      <c r="G700" s="17"/>
      <c r="H700" s="17"/>
      <c r="I700" s="17"/>
      <c r="J700" s="17"/>
    </row>
    <row r="701">
      <c r="F701" s="17"/>
      <c r="G701" s="17"/>
      <c r="H701" s="17"/>
      <c r="I701" s="17"/>
      <c r="J701" s="17"/>
    </row>
    <row r="702">
      <c r="F702" s="17"/>
      <c r="G702" s="17"/>
      <c r="H702" s="17"/>
      <c r="I702" s="17"/>
      <c r="J702" s="17"/>
    </row>
    <row r="703">
      <c r="F703" s="17"/>
      <c r="G703" s="17"/>
      <c r="H703" s="17"/>
      <c r="I703" s="17"/>
      <c r="J703" s="17"/>
    </row>
    <row r="704">
      <c r="F704" s="17"/>
      <c r="G704" s="17"/>
      <c r="H704" s="17"/>
      <c r="I704" s="17"/>
      <c r="J704" s="17"/>
    </row>
    <row r="705">
      <c r="F705" s="17"/>
      <c r="G705" s="17"/>
      <c r="H705" s="17"/>
      <c r="I705" s="17"/>
      <c r="J705" s="17"/>
    </row>
    <row r="706">
      <c r="F706" s="17"/>
      <c r="G706" s="17"/>
      <c r="H706" s="17"/>
      <c r="I706" s="17"/>
      <c r="J706" s="17"/>
    </row>
    <row r="707">
      <c r="F707" s="17"/>
      <c r="G707" s="17"/>
      <c r="H707" s="17"/>
      <c r="I707" s="17"/>
      <c r="J707" s="17"/>
    </row>
    <row r="708">
      <c r="F708" s="17"/>
      <c r="G708" s="17"/>
      <c r="H708" s="17"/>
      <c r="I708" s="17"/>
      <c r="J708" s="17"/>
    </row>
    <row r="709">
      <c r="F709" s="17"/>
      <c r="G709" s="17"/>
      <c r="H709" s="17"/>
      <c r="I709" s="17"/>
      <c r="J709" s="17"/>
    </row>
    <row r="710">
      <c r="F710" s="17"/>
      <c r="G710" s="17"/>
      <c r="H710" s="17"/>
      <c r="I710" s="17"/>
      <c r="J710" s="17"/>
    </row>
    <row r="711">
      <c r="F711" s="17"/>
      <c r="G711" s="17"/>
      <c r="H711" s="17"/>
      <c r="I711" s="17"/>
      <c r="J711" s="17"/>
    </row>
    <row r="712">
      <c r="F712" s="17"/>
      <c r="G712" s="17"/>
      <c r="H712" s="17"/>
      <c r="I712" s="17"/>
      <c r="J712" s="17"/>
    </row>
    <row r="713">
      <c r="F713" s="17"/>
      <c r="G713" s="17"/>
      <c r="H713" s="17"/>
      <c r="I713" s="17"/>
      <c r="J713" s="17"/>
    </row>
    <row r="714">
      <c r="F714" s="17"/>
      <c r="G714" s="17"/>
      <c r="H714" s="17"/>
      <c r="I714" s="17"/>
      <c r="J714" s="17"/>
    </row>
    <row r="715">
      <c r="F715" s="17"/>
      <c r="G715" s="17"/>
      <c r="H715" s="17"/>
      <c r="I715" s="17"/>
      <c r="J715" s="17"/>
    </row>
    <row r="716">
      <c r="F716" s="17"/>
      <c r="G716" s="17"/>
      <c r="H716" s="17"/>
      <c r="I716" s="17"/>
      <c r="J716" s="17"/>
    </row>
    <row r="717">
      <c r="F717" s="17"/>
      <c r="G717" s="17"/>
      <c r="H717" s="17"/>
      <c r="I717" s="17"/>
      <c r="J717" s="17"/>
    </row>
    <row r="718">
      <c r="F718" s="17"/>
      <c r="G718" s="17"/>
      <c r="H718" s="17"/>
      <c r="I718" s="17"/>
      <c r="J718" s="17"/>
    </row>
    <row r="719">
      <c r="F719" s="17"/>
      <c r="G719" s="17"/>
      <c r="H719" s="17"/>
      <c r="I719" s="17"/>
      <c r="J719" s="17"/>
    </row>
    <row r="720">
      <c r="F720" s="17"/>
      <c r="G720" s="17"/>
      <c r="H720" s="17"/>
      <c r="I720" s="17"/>
      <c r="J720" s="17"/>
    </row>
    <row r="721">
      <c r="F721" s="17"/>
      <c r="G721" s="17"/>
      <c r="H721" s="17"/>
      <c r="I721" s="17"/>
      <c r="J721" s="17"/>
    </row>
    <row r="722">
      <c r="F722" s="17"/>
      <c r="G722" s="17"/>
      <c r="H722" s="17"/>
      <c r="I722" s="17"/>
      <c r="J722" s="17"/>
    </row>
    <row r="723">
      <c r="F723" s="17"/>
      <c r="G723" s="17"/>
      <c r="H723" s="17"/>
      <c r="I723" s="17"/>
      <c r="J723" s="17"/>
    </row>
    <row r="724">
      <c r="F724" s="17"/>
      <c r="G724" s="17"/>
      <c r="H724" s="17"/>
      <c r="I724" s="17"/>
      <c r="J724" s="17"/>
    </row>
    <row r="725">
      <c r="F725" s="17"/>
      <c r="G725" s="17"/>
      <c r="H725" s="17"/>
      <c r="I725" s="17"/>
      <c r="J725" s="17"/>
    </row>
    <row r="726">
      <c r="F726" s="17"/>
      <c r="G726" s="17"/>
      <c r="H726" s="17"/>
      <c r="I726" s="17"/>
      <c r="J726" s="17"/>
    </row>
    <row r="727">
      <c r="F727" s="17"/>
      <c r="G727" s="17"/>
      <c r="H727" s="17"/>
      <c r="I727" s="17"/>
      <c r="J727" s="17"/>
    </row>
    <row r="728">
      <c r="F728" s="17"/>
      <c r="G728" s="17"/>
      <c r="H728" s="17"/>
      <c r="I728" s="17"/>
      <c r="J728" s="17"/>
    </row>
    <row r="729">
      <c r="F729" s="17"/>
      <c r="G729" s="17"/>
      <c r="H729" s="17"/>
      <c r="I729" s="17"/>
      <c r="J729" s="17"/>
    </row>
    <row r="730">
      <c r="F730" s="17"/>
      <c r="G730" s="17"/>
      <c r="H730" s="17"/>
      <c r="I730" s="17"/>
      <c r="J730" s="17"/>
    </row>
    <row r="731">
      <c r="F731" s="17"/>
      <c r="G731" s="17"/>
      <c r="H731" s="17"/>
      <c r="I731" s="17"/>
      <c r="J731" s="17"/>
    </row>
    <row r="732">
      <c r="F732" s="17"/>
      <c r="G732" s="17"/>
      <c r="H732" s="17"/>
      <c r="I732" s="17"/>
      <c r="J732" s="17"/>
    </row>
    <row r="733">
      <c r="F733" s="17"/>
      <c r="G733" s="17"/>
      <c r="H733" s="17"/>
      <c r="I733" s="17"/>
      <c r="J733" s="17"/>
    </row>
    <row r="734">
      <c r="F734" s="17"/>
      <c r="G734" s="17"/>
      <c r="H734" s="17"/>
      <c r="I734" s="17"/>
      <c r="J734" s="17"/>
    </row>
    <row r="735">
      <c r="F735" s="17"/>
      <c r="G735" s="17"/>
      <c r="H735" s="17"/>
      <c r="I735" s="17"/>
      <c r="J735" s="17"/>
    </row>
    <row r="736">
      <c r="F736" s="17"/>
      <c r="G736" s="17"/>
      <c r="H736" s="17"/>
      <c r="I736" s="17"/>
      <c r="J736" s="17"/>
    </row>
    <row r="737">
      <c r="F737" s="17"/>
      <c r="G737" s="17"/>
      <c r="H737" s="17"/>
      <c r="I737" s="17"/>
      <c r="J737" s="17"/>
    </row>
    <row r="738">
      <c r="F738" s="17"/>
      <c r="G738" s="17"/>
      <c r="H738" s="17"/>
      <c r="I738" s="17"/>
      <c r="J738" s="17"/>
    </row>
    <row r="739">
      <c r="F739" s="17"/>
      <c r="G739" s="17"/>
      <c r="H739" s="17"/>
      <c r="I739" s="17"/>
      <c r="J739" s="17"/>
    </row>
    <row r="740">
      <c r="F740" s="17"/>
      <c r="G740" s="17"/>
      <c r="H740" s="17"/>
      <c r="I740" s="17"/>
      <c r="J740" s="17"/>
    </row>
    <row r="741">
      <c r="F741" s="17"/>
      <c r="G741" s="17"/>
      <c r="H741" s="17"/>
      <c r="I741" s="17"/>
      <c r="J741" s="17"/>
    </row>
    <row r="742">
      <c r="F742" s="17"/>
      <c r="G742" s="17"/>
      <c r="H742" s="17"/>
      <c r="I742" s="17"/>
      <c r="J742" s="17"/>
    </row>
    <row r="743">
      <c r="F743" s="17"/>
      <c r="G743" s="17"/>
      <c r="H743" s="17"/>
      <c r="I743" s="17"/>
      <c r="J743" s="17"/>
    </row>
    <row r="744">
      <c r="F744" s="17"/>
      <c r="G744" s="17"/>
      <c r="H744" s="17"/>
      <c r="I744" s="17"/>
      <c r="J744" s="17"/>
    </row>
    <row r="745">
      <c r="F745" s="17"/>
      <c r="G745" s="17"/>
      <c r="H745" s="17"/>
      <c r="I745" s="17"/>
      <c r="J745" s="17"/>
    </row>
    <row r="746">
      <c r="F746" s="17"/>
      <c r="G746" s="17"/>
      <c r="H746" s="17"/>
      <c r="I746" s="17"/>
      <c r="J746" s="17"/>
    </row>
    <row r="747">
      <c r="F747" s="17"/>
      <c r="G747" s="17"/>
      <c r="H747" s="17"/>
      <c r="I747" s="17"/>
      <c r="J747" s="17"/>
    </row>
    <row r="748">
      <c r="F748" s="17"/>
      <c r="G748" s="17"/>
      <c r="H748" s="17"/>
      <c r="I748" s="17"/>
      <c r="J748" s="17"/>
    </row>
    <row r="749">
      <c r="F749" s="17"/>
      <c r="G749" s="17"/>
      <c r="H749" s="17"/>
      <c r="I749" s="17"/>
      <c r="J749" s="17"/>
    </row>
    <row r="750">
      <c r="F750" s="17"/>
      <c r="G750" s="17"/>
      <c r="H750" s="17"/>
      <c r="I750" s="17"/>
      <c r="J750" s="17"/>
    </row>
    <row r="751">
      <c r="F751" s="17"/>
      <c r="G751" s="17"/>
      <c r="H751" s="17"/>
      <c r="I751" s="17"/>
      <c r="J751" s="17"/>
    </row>
    <row r="752">
      <c r="F752" s="17"/>
      <c r="G752" s="17"/>
      <c r="H752" s="17"/>
      <c r="I752" s="17"/>
      <c r="J752" s="17"/>
    </row>
    <row r="753">
      <c r="F753" s="17"/>
      <c r="G753" s="17"/>
      <c r="H753" s="17"/>
      <c r="I753" s="17"/>
      <c r="J753" s="17"/>
    </row>
    <row r="754">
      <c r="F754" s="17"/>
      <c r="G754" s="17"/>
      <c r="H754" s="17"/>
      <c r="I754" s="17"/>
      <c r="J754" s="17"/>
    </row>
    <row r="755">
      <c r="F755" s="17"/>
      <c r="G755" s="17"/>
      <c r="H755" s="17"/>
      <c r="I755" s="17"/>
      <c r="J755" s="17"/>
    </row>
    <row r="756">
      <c r="F756" s="17"/>
      <c r="G756" s="17"/>
      <c r="H756" s="17"/>
      <c r="I756" s="17"/>
      <c r="J756" s="17"/>
    </row>
    <row r="757">
      <c r="F757" s="17"/>
      <c r="G757" s="17"/>
      <c r="H757" s="17"/>
      <c r="I757" s="17"/>
      <c r="J757" s="17"/>
    </row>
    <row r="758">
      <c r="F758" s="17"/>
      <c r="G758" s="17"/>
      <c r="H758" s="17"/>
      <c r="I758" s="17"/>
      <c r="J758" s="17"/>
    </row>
    <row r="759">
      <c r="F759" s="17"/>
      <c r="G759" s="17"/>
      <c r="H759" s="17"/>
      <c r="I759" s="17"/>
      <c r="J759" s="17"/>
    </row>
    <row r="760">
      <c r="F760" s="17"/>
      <c r="G760" s="17"/>
      <c r="H760" s="17"/>
      <c r="I760" s="17"/>
      <c r="J760" s="17"/>
    </row>
    <row r="761">
      <c r="F761" s="17"/>
      <c r="G761" s="17"/>
      <c r="H761" s="17"/>
      <c r="I761" s="17"/>
      <c r="J761" s="17"/>
    </row>
    <row r="762">
      <c r="F762" s="17"/>
      <c r="G762" s="17"/>
      <c r="H762" s="17"/>
      <c r="I762" s="17"/>
      <c r="J762" s="17"/>
    </row>
    <row r="763">
      <c r="F763" s="17"/>
      <c r="G763" s="17"/>
      <c r="H763" s="17"/>
      <c r="I763" s="17"/>
      <c r="J763" s="17"/>
    </row>
    <row r="764">
      <c r="F764" s="17"/>
      <c r="G764" s="17"/>
      <c r="H764" s="17"/>
      <c r="I764" s="17"/>
      <c r="J764" s="17"/>
    </row>
    <row r="765">
      <c r="F765" s="17"/>
      <c r="G765" s="17"/>
      <c r="H765" s="17"/>
      <c r="I765" s="17"/>
      <c r="J765" s="17"/>
    </row>
    <row r="766">
      <c r="F766" s="17"/>
      <c r="G766" s="17"/>
      <c r="H766" s="17"/>
      <c r="I766" s="17"/>
      <c r="J766" s="17"/>
    </row>
    <row r="767">
      <c r="F767" s="17"/>
      <c r="G767" s="17"/>
      <c r="H767" s="17"/>
      <c r="I767" s="17"/>
      <c r="J767" s="17"/>
    </row>
    <row r="768">
      <c r="F768" s="17"/>
      <c r="G768" s="17"/>
      <c r="H768" s="17"/>
      <c r="I768" s="17"/>
      <c r="J768" s="17"/>
    </row>
    <row r="769">
      <c r="F769" s="17"/>
      <c r="G769" s="17"/>
      <c r="H769" s="17"/>
      <c r="I769" s="17"/>
      <c r="J769" s="17"/>
    </row>
    <row r="770">
      <c r="F770" s="17"/>
      <c r="G770" s="17"/>
      <c r="H770" s="17"/>
      <c r="I770" s="17"/>
      <c r="J770" s="17"/>
    </row>
    <row r="771">
      <c r="F771" s="17"/>
      <c r="G771" s="17"/>
      <c r="H771" s="17"/>
      <c r="I771" s="17"/>
      <c r="J771" s="17"/>
    </row>
    <row r="772">
      <c r="F772" s="17"/>
      <c r="G772" s="17"/>
      <c r="H772" s="17"/>
      <c r="I772" s="17"/>
      <c r="J772" s="17"/>
    </row>
    <row r="773">
      <c r="F773" s="17"/>
      <c r="G773" s="17"/>
      <c r="H773" s="17"/>
      <c r="I773" s="17"/>
      <c r="J773" s="17"/>
    </row>
    <row r="774">
      <c r="F774" s="17"/>
      <c r="G774" s="17"/>
      <c r="H774" s="17"/>
      <c r="I774" s="17"/>
      <c r="J774" s="17"/>
    </row>
    <row r="775">
      <c r="F775" s="17"/>
      <c r="G775" s="17"/>
      <c r="H775" s="17"/>
      <c r="I775" s="17"/>
      <c r="J775" s="17"/>
    </row>
    <row r="776">
      <c r="F776" s="17"/>
      <c r="G776" s="17"/>
      <c r="H776" s="17"/>
      <c r="I776" s="17"/>
      <c r="J776" s="17"/>
    </row>
    <row r="777">
      <c r="F777" s="17"/>
      <c r="G777" s="17"/>
      <c r="H777" s="17"/>
      <c r="I777" s="17"/>
      <c r="J777" s="17"/>
    </row>
    <row r="778">
      <c r="F778" s="17"/>
      <c r="G778" s="17"/>
      <c r="H778" s="17"/>
      <c r="I778" s="17"/>
      <c r="J778" s="17"/>
    </row>
    <row r="779">
      <c r="F779" s="17"/>
      <c r="G779" s="17"/>
      <c r="H779" s="17"/>
      <c r="I779" s="17"/>
      <c r="J779" s="17"/>
    </row>
    <row r="780">
      <c r="F780" s="17"/>
      <c r="G780" s="17"/>
      <c r="H780" s="17"/>
      <c r="I780" s="17"/>
      <c r="J780" s="17"/>
    </row>
    <row r="781">
      <c r="F781" s="17"/>
      <c r="G781" s="17"/>
      <c r="H781" s="17"/>
      <c r="I781" s="17"/>
      <c r="J781" s="17"/>
    </row>
    <row r="782">
      <c r="F782" s="17"/>
      <c r="G782" s="17"/>
      <c r="H782" s="17"/>
      <c r="I782" s="17"/>
      <c r="J782" s="17"/>
    </row>
    <row r="783">
      <c r="F783" s="17"/>
      <c r="G783" s="17"/>
      <c r="H783" s="17"/>
      <c r="I783" s="17"/>
      <c r="J783" s="17"/>
    </row>
    <row r="784">
      <c r="F784" s="17"/>
      <c r="G784" s="17"/>
      <c r="H784" s="17"/>
      <c r="I784" s="17"/>
      <c r="J784" s="17"/>
    </row>
    <row r="785">
      <c r="F785" s="17"/>
      <c r="G785" s="17"/>
      <c r="H785" s="17"/>
      <c r="I785" s="17"/>
      <c r="J785" s="17"/>
    </row>
    <row r="786">
      <c r="F786" s="17"/>
      <c r="G786" s="17"/>
      <c r="H786" s="17"/>
      <c r="I786" s="17"/>
      <c r="J786" s="17"/>
    </row>
    <row r="787">
      <c r="F787" s="17"/>
      <c r="G787" s="17"/>
      <c r="H787" s="17"/>
      <c r="I787" s="17"/>
      <c r="J787" s="17"/>
    </row>
    <row r="788">
      <c r="F788" s="17"/>
      <c r="G788" s="17"/>
      <c r="H788" s="17"/>
      <c r="I788" s="17"/>
      <c r="J788" s="17"/>
    </row>
    <row r="789">
      <c r="F789" s="17"/>
      <c r="G789" s="17"/>
      <c r="H789" s="17"/>
      <c r="I789" s="17"/>
      <c r="J789" s="17"/>
    </row>
    <row r="790">
      <c r="F790" s="17"/>
      <c r="G790" s="17"/>
      <c r="H790" s="17"/>
      <c r="I790" s="17"/>
      <c r="J790" s="17"/>
    </row>
    <row r="791">
      <c r="F791" s="17"/>
      <c r="G791" s="17"/>
      <c r="H791" s="17"/>
      <c r="I791" s="17"/>
      <c r="J791" s="17"/>
    </row>
    <row r="792">
      <c r="F792" s="17"/>
      <c r="G792" s="17"/>
      <c r="H792" s="17"/>
      <c r="I792" s="17"/>
      <c r="J792" s="17"/>
    </row>
    <row r="793">
      <c r="F793" s="17"/>
      <c r="G793" s="17"/>
      <c r="H793" s="17"/>
      <c r="I793" s="17"/>
      <c r="J793" s="17"/>
    </row>
    <row r="794">
      <c r="F794" s="17"/>
      <c r="G794" s="17"/>
      <c r="H794" s="17"/>
      <c r="I794" s="17"/>
      <c r="J794" s="17"/>
    </row>
    <row r="795">
      <c r="F795" s="17"/>
      <c r="G795" s="17"/>
      <c r="H795" s="17"/>
      <c r="I795" s="17"/>
      <c r="J795" s="17"/>
    </row>
    <row r="796">
      <c r="F796" s="17"/>
      <c r="G796" s="17"/>
      <c r="H796" s="17"/>
      <c r="I796" s="17"/>
      <c r="J796" s="17"/>
    </row>
    <row r="797">
      <c r="F797" s="17"/>
      <c r="G797" s="17"/>
      <c r="H797" s="17"/>
      <c r="I797" s="17"/>
      <c r="J797" s="17"/>
    </row>
    <row r="798">
      <c r="F798" s="17"/>
      <c r="G798" s="17"/>
      <c r="H798" s="17"/>
      <c r="I798" s="17"/>
      <c r="J798" s="17"/>
    </row>
    <row r="799">
      <c r="F799" s="17"/>
      <c r="G799" s="17"/>
      <c r="H799" s="17"/>
      <c r="I799" s="17"/>
      <c r="J799" s="17"/>
    </row>
    <row r="800">
      <c r="F800" s="17"/>
      <c r="G800" s="17"/>
      <c r="H800" s="17"/>
      <c r="I800" s="17"/>
      <c r="J800" s="17"/>
    </row>
    <row r="801">
      <c r="F801" s="17"/>
      <c r="G801" s="17"/>
      <c r="H801" s="17"/>
      <c r="I801" s="17"/>
      <c r="J801" s="17"/>
    </row>
    <row r="802">
      <c r="F802" s="17"/>
      <c r="G802" s="17"/>
      <c r="H802" s="17"/>
      <c r="I802" s="17"/>
      <c r="J802" s="17"/>
    </row>
    <row r="803">
      <c r="F803" s="17"/>
      <c r="G803" s="17"/>
      <c r="H803" s="17"/>
      <c r="I803" s="17"/>
      <c r="J803" s="17"/>
    </row>
    <row r="804">
      <c r="F804" s="17"/>
      <c r="G804" s="17"/>
      <c r="H804" s="17"/>
      <c r="I804" s="17"/>
      <c r="J804" s="17"/>
    </row>
    <row r="805">
      <c r="F805" s="17"/>
      <c r="G805" s="17"/>
      <c r="H805" s="17"/>
      <c r="I805" s="17"/>
      <c r="J805" s="17"/>
    </row>
    <row r="806">
      <c r="F806" s="17"/>
      <c r="G806" s="17"/>
      <c r="H806" s="17"/>
      <c r="I806" s="17"/>
      <c r="J806" s="17"/>
    </row>
    <row r="807">
      <c r="F807" s="17"/>
      <c r="G807" s="17"/>
      <c r="H807" s="17"/>
      <c r="I807" s="17"/>
      <c r="J807" s="17"/>
    </row>
    <row r="808">
      <c r="F808" s="17"/>
      <c r="G808" s="17"/>
      <c r="H808" s="17"/>
      <c r="I808" s="17"/>
      <c r="J808" s="17"/>
    </row>
    <row r="809">
      <c r="F809" s="17"/>
      <c r="G809" s="17"/>
      <c r="H809" s="17"/>
      <c r="I809" s="17"/>
      <c r="J809" s="17"/>
    </row>
    <row r="810">
      <c r="F810" s="17"/>
      <c r="G810" s="17"/>
      <c r="H810" s="17"/>
      <c r="I810" s="17"/>
      <c r="J810" s="17"/>
    </row>
    <row r="811">
      <c r="F811" s="17"/>
      <c r="G811" s="17"/>
      <c r="H811" s="17"/>
      <c r="I811" s="17"/>
      <c r="J811" s="17"/>
    </row>
    <row r="812">
      <c r="F812" s="17"/>
      <c r="G812" s="17"/>
      <c r="H812" s="17"/>
      <c r="I812" s="17"/>
      <c r="J812" s="17"/>
    </row>
    <row r="813">
      <c r="F813" s="17"/>
      <c r="G813" s="17"/>
      <c r="H813" s="17"/>
      <c r="I813" s="17"/>
      <c r="J813" s="17"/>
    </row>
    <row r="814">
      <c r="F814" s="17"/>
      <c r="G814" s="17"/>
      <c r="H814" s="17"/>
      <c r="I814" s="17"/>
      <c r="J814" s="17"/>
    </row>
    <row r="815">
      <c r="F815" s="17"/>
      <c r="G815" s="17"/>
      <c r="H815" s="17"/>
      <c r="I815" s="17"/>
      <c r="J815" s="17"/>
    </row>
    <row r="816">
      <c r="F816" s="17"/>
      <c r="G816" s="17"/>
      <c r="H816" s="17"/>
      <c r="I816" s="17"/>
      <c r="J816" s="17"/>
    </row>
    <row r="817">
      <c r="F817" s="17"/>
      <c r="G817" s="17"/>
      <c r="H817" s="17"/>
      <c r="I817" s="17"/>
      <c r="J817" s="17"/>
    </row>
    <row r="818">
      <c r="F818" s="17"/>
      <c r="G818" s="17"/>
      <c r="H818" s="17"/>
      <c r="I818" s="17"/>
      <c r="J818" s="17"/>
    </row>
    <row r="819">
      <c r="F819" s="17"/>
      <c r="G819" s="17"/>
      <c r="H819" s="17"/>
      <c r="I819" s="17"/>
      <c r="J819" s="17"/>
    </row>
    <row r="820">
      <c r="F820" s="17"/>
      <c r="G820" s="17"/>
      <c r="H820" s="17"/>
      <c r="I820" s="17"/>
      <c r="J820" s="17"/>
    </row>
    <row r="821">
      <c r="F821" s="17"/>
      <c r="G821" s="17"/>
      <c r="H821" s="17"/>
      <c r="I821" s="17"/>
      <c r="J821" s="17"/>
    </row>
    <row r="822">
      <c r="F822" s="17"/>
      <c r="G822" s="17"/>
      <c r="H822" s="17"/>
      <c r="I822" s="17"/>
      <c r="J822" s="17"/>
    </row>
    <row r="823">
      <c r="F823" s="17"/>
      <c r="G823" s="17"/>
      <c r="H823" s="17"/>
      <c r="I823" s="17"/>
      <c r="J823" s="17"/>
    </row>
    <row r="824">
      <c r="F824" s="17"/>
      <c r="G824" s="17"/>
      <c r="H824" s="17"/>
      <c r="I824" s="17"/>
      <c r="J824" s="17"/>
    </row>
    <row r="825">
      <c r="F825" s="17"/>
      <c r="G825" s="17"/>
      <c r="H825" s="17"/>
      <c r="I825" s="17"/>
      <c r="J825" s="17"/>
    </row>
    <row r="826">
      <c r="F826" s="17"/>
      <c r="G826" s="17"/>
      <c r="H826" s="17"/>
      <c r="I826" s="17"/>
      <c r="J826" s="17"/>
    </row>
    <row r="827">
      <c r="F827" s="17"/>
      <c r="G827" s="17"/>
      <c r="H827" s="17"/>
      <c r="I827" s="17"/>
      <c r="J827" s="17"/>
    </row>
    <row r="828">
      <c r="F828" s="17"/>
      <c r="G828" s="17"/>
      <c r="H828" s="17"/>
      <c r="I828" s="17"/>
      <c r="J828" s="17"/>
    </row>
    <row r="829">
      <c r="F829" s="17"/>
      <c r="G829" s="17"/>
      <c r="H829" s="17"/>
      <c r="I829" s="17"/>
      <c r="J829" s="17"/>
    </row>
    <row r="830">
      <c r="F830" s="17"/>
      <c r="G830" s="17"/>
      <c r="H830" s="17"/>
      <c r="I830" s="17"/>
      <c r="J830" s="17"/>
    </row>
    <row r="831">
      <c r="F831" s="17"/>
      <c r="G831" s="17"/>
      <c r="H831" s="17"/>
      <c r="I831" s="17"/>
      <c r="J831" s="17"/>
    </row>
    <row r="832">
      <c r="F832" s="17"/>
      <c r="G832" s="17"/>
      <c r="H832" s="17"/>
      <c r="I832" s="17"/>
      <c r="J832" s="17"/>
    </row>
    <row r="833">
      <c r="F833" s="17"/>
      <c r="G833" s="17"/>
      <c r="H833" s="17"/>
      <c r="I833" s="17"/>
      <c r="J833" s="17"/>
    </row>
    <row r="834">
      <c r="F834" s="17"/>
      <c r="G834" s="17"/>
      <c r="H834" s="17"/>
      <c r="I834" s="17"/>
      <c r="J834" s="17"/>
    </row>
    <row r="835">
      <c r="F835" s="17"/>
      <c r="G835" s="17"/>
      <c r="H835" s="17"/>
      <c r="I835" s="17"/>
      <c r="J835" s="17"/>
    </row>
    <row r="836">
      <c r="F836" s="17"/>
      <c r="G836" s="17"/>
      <c r="H836" s="17"/>
      <c r="I836" s="17"/>
      <c r="J836" s="17"/>
    </row>
    <row r="837">
      <c r="F837" s="17"/>
      <c r="G837" s="17"/>
      <c r="H837" s="17"/>
      <c r="I837" s="17"/>
      <c r="J837" s="17"/>
    </row>
    <row r="838">
      <c r="F838" s="17"/>
      <c r="G838" s="17"/>
      <c r="H838" s="17"/>
      <c r="I838" s="17"/>
      <c r="J838" s="17"/>
    </row>
    <row r="839">
      <c r="F839" s="17"/>
      <c r="G839" s="17"/>
      <c r="H839" s="17"/>
      <c r="I839" s="17"/>
      <c r="J839" s="17"/>
    </row>
    <row r="840">
      <c r="F840" s="17"/>
      <c r="G840" s="17"/>
      <c r="H840" s="17"/>
      <c r="I840" s="17"/>
      <c r="J840" s="17"/>
    </row>
    <row r="841">
      <c r="F841" s="17"/>
      <c r="G841" s="17"/>
      <c r="H841" s="17"/>
      <c r="I841" s="17"/>
      <c r="J841" s="17"/>
    </row>
    <row r="842">
      <c r="F842" s="17"/>
      <c r="G842" s="17"/>
      <c r="H842" s="17"/>
      <c r="I842" s="17"/>
      <c r="J842" s="17"/>
    </row>
    <row r="843">
      <c r="F843" s="17"/>
      <c r="G843" s="17"/>
      <c r="H843" s="17"/>
      <c r="I843" s="17"/>
      <c r="J843" s="17"/>
    </row>
    <row r="844">
      <c r="F844" s="17"/>
      <c r="G844" s="17"/>
      <c r="H844" s="17"/>
      <c r="I844" s="17"/>
      <c r="J844" s="17"/>
    </row>
    <row r="845">
      <c r="F845" s="17"/>
      <c r="G845" s="17"/>
      <c r="H845" s="17"/>
      <c r="I845" s="17"/>
      <c r="J845" s="17"/>
    </row>
    <row r="846">
      <c r="F846" s="17"/>
      <c r="G846" s="17"/>
      <c r="H846" s="17"/>
      <c r="I846" s="17"/>
      <c r="J846" s="17"/>
    </row>
    <row r="847">
      <c r="F847" s="17"/>
      <c r="G847" s="17"/>
      <c r="H847" s="17"/>
      <c r="I847" s="17"/>
      <c r="J847" s="17"/>
    </row>
    <row r="848">
      <c r="F848" s="17"/>
      <c r="G848" s="17"/>
      <c r="H848" s="17"/>
      <c r="I848" s="17"/>
      <c r="J848" s="17"/>
    </row>
    <row r="849">
      <c r="F849" s="17"/>
      <c r="G849" s="17"/>
      <c r="H849" s="17"/>
      <c r="I849" s="17"/>
      <c r="J849" s="17"/>
    </row>
  </sheetData>
  <autoFilter ref="$A$1:$M$8"/>
  <conditionalFormatting sqref="J4:J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conditionalFormatting sqref="G4:I8">
    <cfRule type="colorScale" priority="3">
      <colorScale>
        <cfvo type="min"/>
        <cfvo type="max"/>
        <color rgb="FFFFFFFF"/>
        <color rgb="FFFFD666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0"/>
      <c r="G1" s="30"/>
      <c r="H1" s="30"/>
      <c r="I1" s="30"/>
      <c r="J1" s="30"/>
      <c r="K1" s="30"/>
      <c r="L1" s="30"/>
      <c r="M1" s="31"/>
      <c r="N1" s="30"/>
      <c r="O1" s="31"/>
      <c r="P1" s="31"/>
      <c r="Q1" s="32"/>
    </row>
    <row r="2">
      <c r="A2" s="33">
        <v>48.0</v>
      </c>
      <c r="B2" s="34" t="s">
        <v>16</v>
      </c>
      <c r="C2" s="35">
        <v>45679.0</v>
      </c>
      <c r="D2" s="20">
        <v>395.0</v>
      </c>
      <c r="E2" s="20" t="s">
        <v>14</v>
      </c>
      <c r="F2" s="20">
        <v>57.9999999999999</v>
      </c>
      <c r="G2" s="36"/>
      <c r="H2" s="36"/>
      <c r="I2" s="36"/>
      <c r="J2" s="36"/>
      <c r="K2" s="36">
        <v>2.0</v>
      </c>
      <c r="L2" s="36">
        <v>153.7</v>
      </c>
      <c r="M2" s="37">
        <v>3507.81</v>
      </c>
      <c r="N2" s="20">
        <v>30.0</v>
      </c>
      <c r="O2" s="36"/>
      <c r="P2" s="36">
        <v>22.82244632400781</v>
      </c>
      <c r="Q2" s="34">
        <v>9.0</v>
      </c>
    </row>
    <row r="3">
      <c r="A3" s="20">
        <v>55.0</v>
      </c>
      <c r="B3" s="34" t="s">
        <v>18</v>
      </c>
      <c r="C3" s="35">
        <v>45679.0</v>
      </c>
      <c r="D3" s="20">
        <v>724.0</v>
      </c>
      <c r="E3" s="20" t="s">
        <v>14</v>
      </c>
      <c r="F3" s="36">
        <v>61.0</v>
      </c>
      <c r="G3" s="36"/>
      <c r="H3" s="36"/>
      <c r="I3" s="36"/>
      <c r="J3" s="36"/>
      <c r="K3" s="36">
        <v>7.0</v>
      </c>
      <c r="L3" s="36">
        <v>174.21</v>
      </c>
      <c r="M3" s="36">
        <v>1825.8099999999997</v>
      </c>
      <c r="N3" s="36">
        <v>30.0</v>
      </c>
      <c r="O3" s="36"/>
      <c r="P3" s="36">
        <v>10.480512025716088</v>
      </c>
      <c r="Q3" s="34">
        <v>9.0</v>
      </c>
    </row>
    <row r="4">
      <c r="A4" s="20">
        <v>59.0</v>
      </c>
      <c r="B4" s="20" t="s">
        <v>19</v>
      </c>
      <c r="C4" s="35">
        <v>45680.0</v>
      </c>
      <c r="D4" s="20">
        <v>1051.0</v>
      </c>
      <c r="E4" s="20" t="s">
        <v>14</v>
      </c>
      <c r="F4" s="36">
        <v>62.0</v>
      </c>
      <c r="G4" s="36"/>
      <c r="H4" s="36"/>
      <c r="I4" s="36"/>
      <c r="J4" s="36"/>
      <c r="K4" s="36">
        <v>3.0</v>
      </c>
      <c r="L4" s="36">
        <v>171.72</v>
      </c>
      <c r="M4" s="38">
        <v>5053.5599999999995</v>
      </c>
      <c r="N4" s="36">
        <v>25.0</v>
      </c>
      <c r="O4" s="36"/>
      <c r="P4" s="36">
        <v>29.429070580013974</v>
      </c>
      <c r="Q4" s="34">
        <v>7.5</v>
      </c>
    </row>
    <row r="5">
      <c r="A5" s="16">
        <v>77.0</v>
      </c>
      <c r="B5" s="16" t="s">
        <v>20</v>
      </c>
      <c r="C5" s="10">
        <v>45677.0</v>
      </c>
      <c r="D5" s="12">
        <v>931.0</v>
      </c>
      <c r="E5" s="12" t="s">
        <v>14</v>
      </c>
      <c r="F5" s="20">
        <v>60.0</v>
      </c>
      <c r="G5" s="20"/>
      <c r="H5" s="20"/>
      <c r="I5" s="20"/>
      <c r="J5" s="20"/>
      <c r="K5" s="20">
        <v>11.0</v>
      </c>
      <c r="L5" s="20">
        <v>190.1</v>
      </c>
      <c r="M5" s="39">
        <f>2.59+
1339.47+
236.53
</f>
        <v>1578.59</v>
      </c>
      <c r="N5" s="20">
        <v>40.0</v>
      </c>
      <c r="O5" s="36"/>
      <c r="P5" s="36">
        <f t="shared" ref="P5:P6" si="1">M5/L5</f>
        <v>8.303997896</v>
      </c>
    </row>
    <row r="6">
      <c r="A6" s="16">
        <v>148.0</v>
      </c>
      <c r="B6" s="16" t="s">
        <v>21</v>
      </c>
      <c r="C6" s="10">
        <v>45677.0</v>
      </c>
      <c r="D6" s="12">
        <v>112.0</v>
      </c>
      <c r="E6" s="12" t="s">
        <v>14</v>
      </c>
      <c r="L6" s="40">
        <v>127.26</v>
      </c>
      <c r="M6" s="41">
        <f>1920.79+
729.18+
-17.44
</f>
        <v>2632.53</v>
      </c>
      <c r="N6" s="20">
        <v>40.0</v>
      </c>
      <c r="O6" s="36"/>
      <c r="P6" s="36">
        <f t="shared" si="1"/>
        <v>20.68623291</v>
      </c>
    </row>
    <row r="7">
      <c r="M7" s="42"/>
      <c r="O7" s="42"/>
      <c r="P7" s="42"/>
    </row>
    <row r="8">
      <c r="F8" s="43"/>
      <c r="G8" s="43"/>
      <c r="H8" s="43"/>
      <c r="I8" s="43"/>
      <c r="J8" s="43"/>
      <c r="K8" s="43"/>
      <c r="L8" s="43"/>
      <c r="M8" s="36"/>
      <c r="N8" s="43"/>
      <c r="O8" s="36"/>
      <c r="P8" s="36"/>
    </row>
    <row r="9">
      <c r="F9" s="43"/>
      <c r="G9" s="43"/>
      <c r="H9" s="43"/>
      <c r="I9" s="43"/>
      <c r="J9" s="43"/>
      <c r="K9" s="43"/>
      <c r="L9" s="43"/>
      <c r="M9" s="36"/>
      <c r="N9" s="43"/>
      <c r="O9" s="36"/>
      <c r="P9" s="36"/>
    </row>
    <row r="10">
      <c r="F10" s="43"/>
      <c r="G10" s="43"/>
      <c r="H10" s="43"/>
      <c r="I10" s="43"/>
      <c r="J10" s="43"/>
      <c r="K10" s="43"/>
      <c r="L10" s="43"/>
      <c r="M10" s="36"/>
      <c r="N10" s="43"/>
      <c r="O10" s="36"/>
      <c r="P10" s="36"/>
    </row>
    <row r="11">
      <c r="E11" s="44" t="s">
        <v>22</v>
      </c>
      <c r="L11" s="20" t="s">
        <v>23</v>
      </c>
      <c r="M11" s="37" t="s">
        <v>24</v>
      </c>
      <c r="N11" s="45" t="s">
        <v>25</v>
      </c>
      <c r="O11" s="42"/>
      <c r="P11" s="42"/>
    </row>
    <row r="12">
      <c r="E12" s="44" t="s">
        <v>26</v>
      </c>
      <c r="L12" s="20" t="s">
        <v>27</v>
      </c>
      <c r="M12" s="37" t="s">
        <v>28</v>
      </c>
      <c r="N12" s="45" t="s">
        <v>29</v>
      </c>
      <c r="O12" s="42"/>
      <c r="P12" s="42"/>
    </row>
    <row r="13">
      <c r="M13" s="42"/>
      <c r="O13" s="42"/>
      <c r="P13" s="42"/>
    </row>
    <row r="14">
      <c r="F14" s="43"/>
      <c r="G14" s="43"/>
      <c r="H14" s="43"/>
      <c r="I14" s="43"/>
      <c r="J14" s="43"/>
      <c r="K14" s="43"/>
      <c r="L14" s="43"/>
      <c r="M14" s="36"/>
      <c r="N14" s="43"/>
      <c r="O14" s="36"/>
      <c r="P14" s="36"/>
    </row>
    <row r="15">
      <c r="F15" s="43"/>
      <c r="G15" s="43"/>
      <c r="H15" s="43"/>
      <c r="I15" s="43"/>
      <c r="J15" s="43"/>
      <c r="K15" s="43"/>
      <c r="L15" s="43"/>
      <c r="M15" s="36"/>
      <c r="N15" s="43"/>
      <c r="O15" s="36"/>
      <c r="P15" s="36"/>
    </row>
    <row r="16">
      <c r="A16" s="46">
        <v>48.0</v>
      </c>
      <c r="B16" s="47" t="s">
        <v>16</v>
      </c>
      <c r="C16" s="35">
        <v>45679.0</v>
      </c>
      <c r="D16" s="48">
        <v>1363.0</v>
      </c>
      <c r="E16" s="20" t="s">
        <v>14</v>
      </c>
      <c r="F16" s="20">
        <v>57.5213675213675</v>
      </c>
      <c r="G16" s="36"/>
      <c r="H16" s="36"/>
      <c r="I16" s="36"/>
      <c r="J16" s="36"/>
      <c r="K16" s="36">
        <v>5.99999999999999</v>
      </c>
      <c r="L16" s="36">
        <v>127.72</v>
      </c>
      <c r="M16" s="36">
        <v>958.71</v>
      </c>
      <c r="N16" s="20">
        <v>40.0</v>
      </c>
      <c r="O16" s="36"/>
      <c r="P16" s="36">
        <v>7.50634199812089</v>
      </c>
      <c r="Q16" s="34">
        <v>12.0</v>
      </c>
    </row>
    <row r="17">
      <c r="A17" s="20">
        <v>55.0</v>
      </c>
      <c r="B17" s="34" t="s">
        <v>18</v>
      </c>
      <c r="C17" s="35">
        <v>45679.0</v>
      </c>
      <c r="D17" s="20">
        <v>724.0</v>
      </c>
      <c r="E17" s="20" t="s">
        <v>14</v>
      </c>
      <c r="F17" s="36">
        <v>57.7626974489822</v>
      </c>
      <c r="G17" s="36"/>
      <c r="H17" s="36"/>
      <c r="I17" s="36"/>
      <c r="J17" s="36"/>
      <c r="K17" s="36">
        <v>7.0</v>
      </c>
      <c r="L17" s="36">
        <v>174.21</v>
      </c>
      <c r="M17" s="36">
        <v>1825.8099999999997</v>
      </c>
      <c r="N17" s="36">
        <v>30.0</v>
      </c>
      <c r="O17" s="36"/>
      <c r="P17" s="36">
        <v>10.480512025716088</v>
      </c>
      <c r="Q17" s="34">
        <v>9.0</v>
      </c>
    </row>
    <row r="18">
      <c r="A18" s="20">
        <v>59.0</v>
      </c>
      <c r="B18" s="20" t="s">
        <v>19</v>
      </c>
      <c r="C18" s="35">
        <v>45680.0</v>
      </c>
      <c r="D18" s="20">
        <v>935.0</v>
      </c>
      <c r="E18" s="20" t="s">
        <v>14</v>
      </c>
      <c r="F18" s="36">
        <v>61.8147668934429</v>
      </c>
      <c r="G18" s="36"/>
      <c r="H18" s="36"/>
      <c r="I18" s="36"/>
      <c r="J18" s="36"/>
      <c r="K18" s="36">
        <v>5.0</v>
      </c>
      <c r="L18" s="36">
        <v>149.66</v>
      </c>
      <c r="M18" s="36">
        <v>8422.4</v>
      </c>
      <c r="N18" s="36"/>
      <c r="O18" s="36"/>
      <c r="P18" s="36">
        <v>56.27689429373246</v>
      </c>
      <c r="Q18" s="34">
        <v>0.0</v>
      </c>
    </row>
    <row r="19">
      <c r="A19" s="48">
        <v>77.0</v>
      </c>
      <c r="B19" s="48" t="s">
        <v>20</v>
      </c>
      <c r="C19" s="35">
        <v>45677.0</v>
      </c>
      <c r="D19" s="48">
        <v>47.0</v>
      </c>
      <c r="E19" s="20" t="s">
        <v>14</v>
      </c>
      <c r="F19" s="36">
        <v>60.7563651137594</v>
      </c>
      <c r="G19" s="36"/>
      <c r="H19" s="36"/>
      <c r="I19" s="36"/>
      <c r="J19" s="36"/>
      <c r="K19" s="36">
        <v>12.0</v>
      </c>
      <c r="L19" s="36">
        <v>152.96</v>
      </c>
      <c r="M19" s="36">
        <v>2356.64</v>
      </c>
      <c r="N19" s="20">
        <v>60.0</v>
      </c>
      <c r="O19" s="36"/>
      <c r="P19" s="36">
        <v>15.406903765690375</v>
      </c>
      <c r="Q19" s="34">
        <v>18.0</v>
      </c>
    </row>
    <row r="20">
      <c r="A20" s="20">
        <v>148.0</v>
      </c>
      <c r="B20" s="20" t="s">
        <v>21</v>
      </c>
      <c r="C20" s="35">
        <v>45677.0</v>
      </c>
      <c r="D20" s="20">
        <v>1475.0</v>
      </c>
      <c r="E20" s="20" t="s">
        <v>14</v>
      </c>
      <c r="F20" s="36">
        <v>56.4173196363555</v>
      </c>
      <c r="G20" s="36"/>
      <c r="H20" s="36"/>
      <c r="I20" s="36"/>
      <c r="J20" s="36"/>
      <c r="K20" s="36">
        <v>6.99999999999999</v>
      </c>
      <c r="L20" s="36">
        <v>101.46</v>
      </c>
      <c r="M20" s="36">
        <v>795.72</v>
      </c>
      <c r="N20" s="20">
        <v>30.0</v>
      </c>
      <c r="O20" s="36"/>
      <c r="P20" s="36">
        <v>7.842696629213484</v>
      </c>
      <c r="Q20" s="34">
        <v>9.0</v>
      </c>
    </row>
    <row r="21">
      <c r="M21" s="42"/>
      <c r="O21" s="42"/>
      <c r="P21" s="42"/>
    </row>
    <row r="24">
      <c r="C24" s="30" t="s">
        <v>30</v>
      </c>
    </row>
    <row r="25">
      <c r="C25" s="40" t="s">
        <v>31</v>
      </c>
    </row>
    <row r="26">
      <c r="C26" s="49" t="s">
        <v>32</v>
      </c>
    </row>
    <row r="27">
      <c r="C27" s="50" t="s">
        <v>33</v>
      </c>
    </row>
    <row r="28">
      <c r="C28" s="48" t="s">
        <v>34</v>
      </c>
    </row>
    <row r="30">
      <c r="C30" s="51" t="s">
        <v>35</v>
      </c>
    </row>
    <row r="31">
      <c r="C31" s="30" t="s">
        <v>36</v>
      </c>
      <c r="L31" s="30" t="s">
        <v>29</v>
      </c>
      <c r="Q31" s="30" t="s">
        <v>37</v>
      </c>
      <c r="Z31" s="30" t="s">
        <v>28</v>
      </c>
      <c r="AH31" s="30" t="s">
        <v>38</v>
      </c>
    </row>
    <row r="32">
      <c r="C32" s="52">
        <v>1243.0</v>
      </c>
      <c r="D32" s="30">
        <v>52.0</v>
      </c>
      <c r="E32" s="30">
        <v>1146.0</v>
      </c>
      <c r="F32" s="30">
        <v>860.0</v>
      </c>
      <c r="G32" s="20">
        <v>1444.0</v>
      </c>
      <c r="H32" s="20">
        <v>1257.0</v>
      </c>
      <c r="I32" s="20">
        <v>408.0</v>
      </c>
      <c r="J32" s="20">
        <v>1146.0</v>
      </c>
      <c r="L32" s="53">
        <v>1494.0</v>
      </c>
      <c r="M32" s="54">
        <v>1339.0</v>
      </c>
      <c r="N32" s="54">
        <v>1338.0</v>
      </c>
      <c r="O32" s="20">
        <v>1359.0</v>
      </c>
      <c r="Q32" s="52">
        <v>916.0</v>
      </c>
      <c r="R32" s="30">
        <v>176.0</v>
      </c>
      <c r="S32" s="55">
        <v>364.0</v>
      </c>
      <c r="T32" s="30">
        <v>734.0</v>
      </c>
      <c r="U32" s="30">
        <v>807.0</v>
      </c>
      <c r="V32" s="30">
        <v>806.0</v>
      </c>
      <c r="W32" s="20">
        <v>1375.0</v>
      </c>
      <c r="X32" s="48">
        <v>808.0</v>
      </c>
      <c r="Z32" s="40">
        <v>565.0</v>
      </c>
      <c r="AA32" s="20">
        <v>44.0</v>
      </c>
      <c r="AB32" s="20">
        <v>56.0</v>
      </c>
      <c r="AC32" s="49">
        <v>728.0</v>
      </c>
      <c r="AD32" s="20">
        <v>795.0</v>
      </c>
      <c r="AE32" s="20">
        <v>59.0</v>
      </c>
      <c r="AF32" s="50">
        <v>1447.0</v>
      </c>
      <c r="AH32" s="52">
        <v>38.0</v>
      </c>
      <c r="AI32" s="30">
        <v>217.0</v>
      </c>
      <c r="AJ32" s="30">
        <v>229.0</v>
      </c>
      <c r="AK32" s="30">
        <v>245.0</v>
      </c>
      <c r="AL32" s="30">
        <v>930.0</v>
      </c>
      <c r="AM32" s="49">
        <v>447.0</v>
      </c>
      <c r="AN32" s="20">
        <v>561.0</v>
      </c>
      <c r="AO32" s="20">
        <v>44.0</v>
      </c>
      <c r="AP32" s="48">
        <v>194.0</v>
      </c>
    </row>
    <row r="33">
      <c r="C33" s="56">
        <f t="shared" ref="C33:J33" si="2">SUM(C34:C47)</f>
        <v>2.25</v>
      </c>
      <c r="D33" s="34">
        <f t="shared" si="2"/>
        <v>-12.37</v>
      </c>
      <c r="E33" s="34">
        <f t="shared" si="2"/>
        <v>-24.21</v>
      </c>
      <c r="F33" s="34">
        <f t="shared" si="2"/>
        <v>11.79</v>
      </c>
      <c r="G33" s="34">
        <f t="shared" si="2"/>
        <v>-15.52</v>
      </c>
      <c r="H33" s="34">
        <f t="shared" si="2"/>
        <v>-8.53</v>
      </c>
      <c r="I33" s="34">
        <f t="shared" si="2"/>
        <v>-4.23</v>
      </c>
      <c r="J33" s="34">
        <f t="shared" si="2"/>
        <v>-24.21</v>
      </c>
      <c r="L33" s="56">
        <f>SUM(L34:L51)</f>
        <v>-1.5</v>
      </c>
      <c r="M33" s="34">
        <f t="shared" ref="M33:O33" si="3">SUM(M34:M47)</f>
        <v>24.31</v>
      </c>
      <c r="N33" s="34">
        <f t="shared" si="3"/>
        <v>31.5</v>
      </c>
      <c r="O33" s="34">
        <f t="shared" si="3"/>
        <v>-5.84</v>
      </c>
      <c r="Q33" s="56">
        <f>SUM(Q34:Q51)</f>
        <v>-7.31</v>
      </c>
      <c r="R33" s="34">
        <f t="shared" ref="R33:W33" si="4">SUM(R34:R47)</f>
        <v>-20.51</v>
      </c>
      <c r="S33" s="57">
        <f t="shared" si="4"/>
        <v>-10.26</v>
      </c>
      <c r="T33" s="34">
        <f t="shared" si="4"/>
        <v>7.35</v>
      </c>
      <c r="U33" s="34">
        <f t="shared" si="4"/>
        <v>17.63</v>
      </c>
      <c r="V33" s="34">
        <f t="shared" si="4"/>
        <v>4.01</v>
      </c>
      <c r="W33" s="34">
        <f t="shared" si="4"/>
        <v>-18.07</v>
      </c>
      <c r="X33" s="47"/>
      <c r="Z33" s="34">
        <f t="shared" ref="Z33:AF33" si="5">SUM(Z34:Z101)</f>
        <v>-14.05</v>
      </c>
      <c r="AA33" s="34">
        <f t="shared" si="5"/>
        <v>18.35</v>
      </c>
      <c r="AB33" s="34">
        <f t="shared" si="5"/>
        <v>17.99</v>
      </c>
      <c r="AC33" s="57">
        <f t="shared" si="5"/>
        <v>13.54</v>
      </c>
      <c r="AD33" s="34">
        <f t="shared" si="5"/>
        <v>-12.75</v>
      </c>
      <c r="AE33" s="34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4">
        <f t="shared" si="6"/>
        <v>-23.73</v>
      </c>
      <c r="AJ33" s="34">
        <f t="shared" si="6"/>
        <v>-49.24</v>
      </c>
      <c r="AK33" s="34">
        <f t="shared" si="6"/>
        <v>-59.85</v>
      </c>
      <c r="AL33" s="34">
        <f t="shared" si="6"/>
        <v>16.48</v>
      </c>
      <c r="AM33" s="57">
        <f t="shared" si="6"/>
        <v>1.43</v>
      </c>
      <c r="AN33" s="34">
        <f t="shared" si="6"/>
        <v>-17.53</v>
      </c>
      <c r="AO33" s="58">
        <f t="shared" si="6"/>
        <v>-19.7</v>
      </c>
    </row>
    <row r="34">
      <c r="C34" s="40">
        <v>5.02</v>
      </c>
      <c r="D34" s="20">
        <v>-4.03</v>
      </c>
      <c r="E34" s="20">
        <v>-4.1</v>
      </c>
      <c r="F34" s="20">
        <v>5.45</v>
      </c>
      <c r="G34" s="20">
        <v>4.25</v>
      </c>
      <c r="H34" s="20">
        <v>5.13</v>
      </c>
      <c r="I34" s="20">
        <v>5.13</v>
      </c>
      <c r="J34" s="20">
        <v>-4.1</v>
      </c>
      <c r="L34" s="40">
        <v>-4.2</v>
      </c>
      <c r="M34" s="20">
        <v>-5.95</v>
      </c>
      <c r="N34" s="20">
        <v>-4.77</v>
      </c>
      <c r="Q34" s="40">
        <v>-4.13</v>
      </c>
      <c r="R34" s="20">
        <v>-4.63</v>
      </c>
      <c r="S34" s="49">
        <v>-4.23</v>
      </c>
      <c r="T34" s="20">
        <v>-3.89</v>
      </c>
      <c r="U34" s="20">
        <v>-3.73</v>
      </c>
      <c r="V34" s="20">
        <v>-4.14</v>
      </c>
      <c r="W34" s="20">
        <v>-4.94</v>
      </c>
      <c r="X34" s="47"/>
      <c r="Z34" s="40">
        <v>1.43</v>
      </c>
      <c r="AA34" s="20">
        <v>1.9</v>
      </c>
      <c r="AB34" s="20">
        <v>1.9</v>
      </c>
      <c r="AC34" s="49">
        <v>1.94</v>
      </c>
      <c r="AD34" s="20">
        <v>1.93</v>
      </c>
      <c r="AE34" s="20">
        <v>1.88</v>
      </c>
      <c r="AF34" s="50">
        <v>1.5</v>
      </c>
      <c r="AH34" s="40">
        <v>14.41</v>
      </c>
      <c r="AI34" s="20">
        <v>-6.68</v>
      </c>
      <c r="AJ34" s="20">
        <v>-6.12</v>
      </c>
      <c r="AK34" s="20">
        <v>-5.47</v>
      </c>
      <c r="AL34" s="20">
        <v>-3.91</v>
      </c>
      <c r="AM34" s="49">
        <v>4.85</v>
      </c>
      <c r="AN34" s="20">
        <v>-6.38</v>
      </c>
      <c r="AO34" s="20">
        <v>-6.99</v>
      </c>
    </row>
    <row r="35">
      <c r="C35" s="40">
        <v>-6.5</v>
      </c>
      <c r="D35" s="20">
        <v>-6.7</v>
      </c>
      <c r="E35" s="20">
        <v>-7.34</v>
      </c>
      <c r="F35" s="20">
        <v>-6.92</v>
      </c>
      <c r="G35" s="20">
        <v>-4.1</v>
      </c>
      <c r="H35" s="20">
        <v>-6.16</v>
      </c>
      <c r="I35" s="20">
        <v>-6.38</v>
      </c>
      <c r="J35" s="20">
        <v>-7.34</v>
      </c>
      <c r="L35" s="40">
        <v>8.48</v>
      </c>
      <c r="M35" s="20">
        <v>-3.97</v>
      </c>
      <c r="N35" s="20">
        <v>-4.28</v>
      </c>
      <c r="Q35" s="40">
        <v>-3.67</v>
      </c>
      <c r="R35" s="20">
        <v>-3.81</v>
      </c>
      <c r="S35" s="49">
        <v>-3.51</v>
      </c>
      <c r="T35" s="20">
        <v>-4.64</v>
      </c>
      <c r="U35" s="20">
        <v>-4.0</v>
      </c>
      <c r="V35" s="20">
        <v>-4.94</v>
      </c>
      <c r="W35" s="20">
        <v>-4.28</v>
      </c>
      <c r="X35" s="47"/>
      <c r="Z35" s="40">
        <v>-4.37</v>
      </c>
      <c r="AA35" s="20">
        <v>-3.89</v>
      </c>
      <c r="AB35" s="20">
        <v>-4.13</v>
      </c>
      <c r="AC35" s="49">
        <v>2.84</v>
      </c>
      <c r="AD35" s="20">
        <v>-4.48</v>
      </c>
      <c r="AE35" s="20">
        <v>-4.76</v>
      </c>
      <c r="AF35" s="50">
        <v>-4.74</v>
      </c>
      <c r="AH35" s="40">
        <v>3.22</v>
      </c>
      <c r="AI35" s="20">
        <v>2.86</v>
      </c>
      <c r="AJ35" s="20">
        <v>-4.16</v>
      </c>
      <c r="AK35" s="20">
        <v>-4.35</v>
      </c>
      <c r="AL35" s="20">
        <v>3.8</v>
      </c>
      <c r="AM35" s="49">
        <v>-7.2</v>
      </c>
      <c r="AN35" s="20">
        <v>-7.06</v>
      </c>
      <c r="AO35" s="20">
        <v>-6.43</v>
      </c>
    </row>
    <row r="36">
      <c r="C36" s="40">
        <v>-5.0</v>
      </c>
      <c r="D36" s="20">
        <v>-4.67</v>
      </c>
      <c r="E36" s="20">
        <v>-4.61</v>
      </c>
      <c r="F36" s="20">
        <v>-4.73</v>
      </c>
      <c r="G36" s="20">
        <v>-4.07</v>
      </c>
      <c r="H36" s="20">
        <v>-4.46</v>
      </c>
      <c r="I36" s="20">
        <v>-4.36</v>
      </c>
      <c r="J36" s="20">
        <v>-4.61</v>
      </c>
      <c r="L36" s="40">
        <v>-3.96</v>
      </c>
      <c r="M36" s="20">
        <v>-4.58</v>
      </c>
      <c r="N36" s="20">
        <v>-4.4</v>
      </c>
      <c r="Q36" s="40">
        <v>5.18</v>
      </c>
      <c r="R36" s="20">
        <v>4.74</v>
      </c>
      <c r="S36" s="49">
        <v>4.49</v>
      </c>
      <c r="T36" s="20">
        <v>5.46</v>
      </c>
      <c r="U36" s="20">
        <v>4.72</v>
      </c>
      <c r="V36" s="20">
        <v>5.93</v>
      </c>
      <c r="W36" s="20">
        <v>5.81</v>
      </c>
      <c r="X36" s="47"/>
      <c r="Z36" s="40">
        <v>5.91</v>
      </c>
      <c r="AA36" s="20">
        <v>8.73</v>
      </c>
      <c r="AB36" s="20">
        <v>6.9</v>
      </c>
      <c r="AC36" s="49">
        <v>5.87</v>
      </c>
      <c r="AD36" s="20">
        <v>6.2</v>
      </c>
      <c r="AE36" s="20">
        <v>5.88</v>
      </c>
      <c r="AF36" s="50">
        <v>10.11</v>
      </c>
      <c r="AH36" s="40">
        <v>-4.23</v>
      </c>
      <c r="AI36" s="20">
        <v>4.55</v>
      </c>
      <c r="AJ36" s="20">
        <v>-4.34</v>
      </c>
      <c r="AK36" s="20">
        <v>3.98</v>
      </c>
      <c r="AL36" s="20">
        <v>3.97</v>
      </c>
      <c r="AM36" s="49">
        <v>2.68</v>
      </c>
      <c r="AN36" s="20">
        <v>-5.26</v>
      </c>
      <c r="AO36" s="20">
        <v>-6.72</v>
      </c>
    </row>
    <row r="37">
      <c r="C37" s="40">
        <v>-5.74</v>
      </c>
      <c r="D37" s="20">
        <v>-5.1</v>
      </c>
      <c r="E37" s="20">
        <v>-6.56</v>
      </c>
      <c r="F37" s="20">
        <v>-7.33</v>
      </c>
      <c r="G37" s="20">
        <v>-3.92</v>
      </c>
      <c r="H37" s="20">
        <v>-5.48</v>
      </c>
      <c r="I37" s="20">
        <v>-6.06</v>
      </c>
      <c r="J37" s="20">
        <v>-6.56</v>
      </c>
      <c r="L37" s="40">
        <v>3.05</v>
      </c>
      <c r="M37" s="20">
        <v>3.72</v>
      </c>
      <c r="N37" s="20">
        <v>3.79</v>
      </c>
      <c r="Q37" s="40">
        <v>3.5</v>
      </c>
      <c r="R37" s="20">
        <v>3.67</v>
      </c>
      <c r="S37" s="49">
        <v>3.26</v>
      </c>
      <c r="T37" s="20">
        <v>3.77</v>
      </c>
      <c r="U37" s="20">
        <v>3.35</v>
      </c>
      <c r="V37" s="20">
        <v>3.61</v>
      </c>
      <c r="W37" s="20">
        <v>3.67</v>
      </c>
      <c r="X37" s="47"/>
      <c r="Z37" s="40">
        <v>-4.19</v>
      </c>
      <c r="AA37" s="20">
        <v>-5.45</v>
      </c>
      <c r="AB37" s="20">
        <v>-4.89</v>
      </c>
      <c r="AC37" s="49">
        <v>6.75</v>
      </c>
      <c r="AD37" s="20">
        <v>-3.99</v>
      </c>
      <c r="AE37" s="20">
        <v>-3.56</v>
      </c>
      <c r="AF37" s="50">
        <v>-5.75</v>
      </c>
      <c r="AH37" s="40">
        <v>5.93</v>
      </c>
      <c r="AI37" s="20">
        <v>-5.54</v>
      </c>
      <c r="AJ37" s="20">
        <v>-5.06</v>
      </c>
      <c r="AK37" s="20">
        <v>-5.72</v>
      </c>
      <c r="AL37" s="20">
        <v>5.92</v>
      </c>
      <c r="AM37" s="49">
        <v>-4.57</v>
      </c>
      <c r="AN37" s="20">
        <v>-4.66</v>
      </c>
      <c r="AO37" s="20">
        <v>-4.28</v>
      </c>
    </row>
    <row r="38">
      <c r="C38" s="40">
        <v>-3.53</v>
      </c>
      <c r="D38" s="20">
        <v>-5.53</v>
      </c>
      <c r="E38" s="20">
        <v>-4.42</v>
      </c>
      <c r="F38" s="20">
        <v>-4.36</v>
      </c>
      <c r="G38" s="20">
        <v>-3.55</v>
      </c>
      <c r="H38" s="20">
        <v>-3.67</v>
      </c>
      <c r="I38" s="20">
        <v>-4.36</v>
      </c>
      <c r="J38" s="20">
        <v>-4.42</v>
      </c>
      <c r="L38" s="40">
        <v>3.23</v>
      </c>
      <c r="M38" s="20">
        <v>4.02</v>
      </c>
      <c r="N38" s="20">
        <v>4.04</v>
      </c>
      <c r="Q38" s="40">
        <v>-5.17</v>
      </c>
      <c r="R38" s="20">
        <v>-5.11</v>
      </c>
      <c r="S38" s="49">
        <v>-4.67</v>
      </c>
      <c r="T38" s="20">
        <v>-5.46</v>
      </c>
      <c r="U38" s="20">
        <v>-4.61</v>
      </c>
      <c r="V38" s="20">
        <v>-6.09</v>
      </c>
      <c r="W38" s="20">
        <v>-4.06</v>
      </c>
      <c r="X38" s="47"/>
      <c r="Z38" s="40">
        <v>-5.4</v>
      </c>
      <c r="AA38" s="20">
        <v>-4.57</v>
      </c>
      <c r="AB38" s="20">
        <v>12.62</v>
      </c>
      <c r="AC38" s="49">
        <v>-5.27</v>
      </c>
      <c r="AD38" s="20">
        <v>-4.65</v>
      </c>
      <c r="AE38" s="20">
        <v>-4.74</v>
      </c>
      <c r="AF38" s="50">
        <v>10.93</v>
      </c>
      <c r="AH38" s="40">
        <v>-4.97</v>
      </c>
      <c r="AI38" s="20">
        <v>-4.29</v>
      </c>
      <c r="AJ38" s="20">
        <v>-4.91</v>
      </c>
      <c r="AK38" s="20">
        <v>-4.51</v>
      </c>
      <c r="AL38" s="20">
        <v>-5.38</v>
      </c>
      <c r="AM38" s="49">
        <v>5.67</v>
      </c>
      <c r="AN38" s="20">
        <v>5.83</v>
      </c>
      <c r="AO38" s="20">
        <v>4.72</v>
      </c>
    </row>
    <row r="39">
      <c r="C39" s="40">
        <v>2.94</v>
      </c>
      <c r="D39" s="20">
        <v>4.1</v>
      </c>
      <c r="E39" s="20">
        <v>3.28</v>
      </c>
      <c r="F39" s="20">
        <v>3.1</v>
      </c>
      <c r="G39" s="20">
        <v>2.95</v>
      </c>
      <c r="H39" s="20">
        <v>2.94</v>
      </c>
      <c r="I39" s="20">
        <v>3.04</v>
      </c>
      <c r="J39" s="20">
        <v>3.28</v>
      </c>
      <c r="L39" s="40">
        <v>-5.06</v>
      </c>
      <c r="M39" s="20">
        <v>-5.52</v>
      </c>
      <c r="N39" s="20">
        <v>-4.97</v>
      </c>
      <c r="Q39" s="40">
        <v>0.78</v>
      </c>
      <c r="R39" s="20">
        <v>0.65</v>
      </c>
      <c r="S39" s="49">
        <v>0.63</v>
      </c>
      <c r="T39" s="20">
        <v>0.59</v>
      </c>
      <c r="U39" s="20">
        <v>0.49</v>
      </c>
      <c r="V39" s="20">
        <v>0.68</v>
      </c>
      <c r="W39" s="20">
        <v>0.72</v>
      </c>
      <c r="X39" s="47"/>
      <c r="Z39" s="40">
        <v>0.88</v>
      </c>
      <c r="AA39" s="20">
        <v>0.99</v>
      </c>
      <c r="AB39" s="20">
        <v>1.05</v>
      </c>
      <c r="AC39" s="49">
        <v>1.01</v>
      </c>
      <c r="AD39" s="20">
        <v>1.1</v>
      </c>
      <c r="AE39" s="20">
        <v>1.1</v>
      </c>
      <c r="AF39" s="50">
        <v>1.26</v>
      </c>
      <c r="AH39" s="40">
        <v>1.62</v>
      </c>
      <c r="AI39" s="20">
        <v>1.68</v>
      </c>
      <c r="AJ39" s="20">
        <v>1.99</v>
      </c>
      <c r="AK39" s="20">
        <v>1.61</v>
      </c>
      <c r="AL39" s="20">
        <v>-5.49</v>
      </c>
      <c r="AM39" s="57"/>
    </row>
    <row r="40">
      <c r="C40" s="40">
        <v>3.54</v>
      </c>
      <c r="D40" s="20">
        <v>-4.79</v>
      </c>
      <c r="E40" s="20">
        <v>-4.01</v>
      </c>
      <c r="F40" s="20">
        <v>3.51</v>
      </c>
      <c r="G40" s="20">
        <v>3.67</v>
      </c>
      <c r="H40" s="20">
        <v>3.51</v>
      </c>
      <c r="I40" s="20">
        <v>-3.97</v>
      </c>
      <c r="J40" s="20">
        <v>-4.01</v>
      </c>
      <c r="L40" s="40">
        <v>9.71</v>
      </c>
      <c r="M40" s="20">
        <v>9.2</v>
      </c>
      <c r="N40" s="20">
        <v>10.68</v>
      </c>
      <c r="O40" s="59">
        <v>-3.99</v>
      </c>
      <c r="Q40" s="40">
        <v>-4.39</v>
      </c>
      <c r="R40" s="20">
        <v>-3.73</v>
      </c>
      <c r="S40" s="49">
        <v>-3.39</v>
      </c>
      <c r="T40" s="20">
        <v>10.35</v>
      </c>
      <c r="U40" s="20">
        <v>10.49</v>
      </c>
      <c r="V40" s="20">
        <v>11.22</v>
      </c>
      <c r="W40" s="20">
        <v>-5.09</v>
      </c>
      <c r="X40" s="47"/>
      <c r="Z40" s="40">
        <v>-5.16</v>
      </c>
      <c r="AA40" s="20">
        <v>-5.86</v>
      </c>
      <c r="AB40" s="20">
        <v>-6.14</v>
      </c>
      <c r="AC40" s="49">
        <v>-4.26</v>
      </c>
      <c r="AD40" s="20">
        <v>-4.39</v>
      </c>
      <c r="AE40" s="20">
        <v>-4.49</v>
      </c>
      <c r="AF40" s="50">
        <v>-7.84</v>
      </c>
      <c r="AH40" s="40">
        <v>-3.82</v>
      </c>
      <c r="AI40" s="20">
        <v>-4.56</v>
      </c>
      <c r="AJ40" s="20">
        <v>-4.58</v>
      </c>
      <c r="AK40" s="20">
        <v>-4.1</v>
      </c>
      <c r="AL40" s="20">
        <v>5.23</v>
      </c>
      <c r="AM40" s="57"/>
    </row>
    <row r="41">
      <c r="C41" s="40">
        <v>1.93</v>
      </c>
      <c r="D41" s="20">
        <v>1.56</v>
      </c>
      <c r="E41" s="20">
        <v>2.13</v>
      </c>
      <c r="F41" s="20">
        <v>2.12</v>
      </c>
      <c r="G41" s="20">
        <v>1.48</v>
      </c>
      <c r="H41" s="20">
        <v>1.79</v>
      </c>
      <c r="I41" s="20">
        <v>1.89</v>
      </c>
      <c r="J41" s="20">
        <v>2.13</v>
      </c>
      <c r="L41" s="40">
        <v>4.38</v>
      </c>
      <c r="M41" s="20">
        <v>5.3</v>
      </c>
      <c r="N41" s="20">
        <v>5.59</v>
      </c>
      <c r="O41" s="59">
        <v>-6.03</v>
      </c>
      <c r="Q41" s="40">
        <v>-3.63</v>
      </c>
      <c r="R41" s="20">
        <v>-3.58</v>
      </c>
      <c r="S41" s="49">
        <v>-3.52</v>
      </c>
      <c r="T41" s="20">
        <v>-3.79</v>
      </c>
      <c r="U41" s="20">
        <v>9.56</v>
      </c>
      <c r="V41" s="20">
        <v>-3.82</v>
      </c>
      <c r="W41" s="20">
        <v>10.73</v>
      </c>
      <c r="X41" s="47"/>
      <c r="Z41" s="40">
        <v>-4.28</v>
      </c>
      <c r="AA41" s="20">
        <v>-5.2</v>
      </c>
      <c r="AB41" s="20">
        <v>-6.18</v>
      </c>
      <c r="AC41" s="49">
        <v>-3.99</v>
      </c>
      <c r="AD41" s="20">
        <v>-4.22</v>
      </c>
      <c r="AE41" s="20">
        <v>-5.61</v>
      </c>
      <c r="AF41" s="50">
        <v>-6.46</v>
      </c>
      <c r="AH41" s="40">
        <v>1.72</v>
      </c>
      <c r="AI41" s="20">
        <v>1.78</v>
      </c>
      <c r="AJ41" s="20">
        <v>1.91</v>
      </c>
      <c r="AK41" s="20">
        <v>-3.61</v>
      </c>
      <c r="AL41" s="20">
        <v>2.05</v>
      </c>
      <c r="AM41" s="57"/>
    </row>
    <row r="42">
      <c r="C42" s="40">
        <v>-3.39</v>
      </c>
      <c r="D42" s="20">
        <v>-4.03</v>
      </c>
      <c r="E42" s="20">
        <v>-5.23</v>
      </c>
      <c r="F42" s="20">
        <v>8.14</v>
      </c>
      <c r="G42" s="20">
        <v>-3.5</v>
      </c>
      <c r="H42" s="20">
        <v>-3.55</v>
      </c>
      <c r="I42" s="20">
        <v>9.42</v>
      </c>
      <c r="J42" s="20">
        <v>-5.23</v>
      </c>
      <c r="L42" s="40">
        <v>-5.33</v>
      </c>
      <c r="M42" s="20">
        <v>-6.77</v>
      </c>
      <c r="N42" s="20">
        <v>-6.57</v>
      </c>
      <c r="O42" s="59">
        <v>4.88</v>
      </c>
      <c r="Q42" s="40">
        <v>3.14</v>
      </c>
      <c r="R42" s="20">
        <v>2.57</v>
      </c>
      <c r="S42" s="49">
        <v>2.55</v>
      </c>
      <c r="T42" s="20">
        <v>2.59</v>
      </c>
      <c r="U42" s="20">
        <v>2.52</v>
      </c>
      <c r="V42" s="20">
        <v>3.38</v>
      </c>
      <c r="W42" s="20">
        <v>3.08</v>
      </c>
      <c r="X42" s="47"/>
      <c r="Z42" s="40">
        <v>-4.84</v>
      </c>
      <c r="AA42" s="20">
        <v>-7.4</v>
      </c>
      <c r="AB42" s="20">
        <v>-5.63</v>
      </c>
      <c r="AC42" s="49">
        <v>-5.25</v>
      </c>
      <c r="AD42" s="20">
        <v>-6.18</v>
      </c>
      <c r="AE42" s="20">
        <v>13.69</v>
      </c>
      <c r="AF42" s="50">
        <v>17.74</v>
      </c>
      <c r="AH42" s="40">
        <v>5.2</v>
      </c>
      <c r="AI42" s="20">
        <v>-4.43</v>
      </c>
      <c r="AJ42" s="20">
        <v>-4.42</v>
      </c>
      <c r="AK42" s="20">
        <v>-4.75</v>
      </c>
      <c r="AL42" s="20">
        <v>10.16</v>
      </c>
      <c r="AM42" s="57"/>
    </row>
    <row r="43">
      <c r="C43" s="40">
        <v>8.05</v>
      </c>
      <c r="D43" s="20">
        <v>11.24</v>
      </c>
      <c r="E43" s="20">
        <v>10.59</v>
      </c>
      <c r="F43" s="20">
        <v>7.92</v>
      </c>
      <c r="G43" s="20">
        <v>-3.75</v>
      </c>
      <c r="H43" s="20">
        <v>-3.7</v>
      </c>
      <c r="I43" s="20">
        <v>-3.75</v>
      </c>
      <c r="J43" s="20">
        <v>10.59</v>
      </c>
      <c r="L43" s="40">
        <v>1.83</v>
      </c>
      <c r="M43" s="20">
        <v>2.39</v>
      </c>
      <c r="N43" s="20">
        <v>2.23</v>
      </c>
      <c r="O43" s="59">
        <v>2.25</v>
      </c>
      <c r="Q43" s="40">
        <v>-3.73</v>
      </c>
      <c r="R43" s="20">
        <v>-3.69</v>
      </c>
      <c r="S43" s="49">
        <v>5.02</v>
      </c>
      <c r="T43" s="20">
        <v>5.06</v>
      </c>
      <c r="U43" s="20">
        <v>5.18</v>
      </c>
      <c r="V43" s="20">
        <v>5.2</v>
      </c>
      <c r="W43" s="20">
        <v>-4.69</v>
      </c>
      <c r="X43" s="47"/>
      <c r="Z43" s="40">
        <v>0.67</v>
      </c>
      <c r="AA43" s="20">
        <v>0.68</v>
      </c>
      <c r="AB43" s="20">
        <v>0.74</v>
      </c>
      <c r="AC43" s="49">
        <v>0.83</v>
      </c>
      <c r="AD43" s="20">
        <v>0.78</v>
      </c>
      <c r="AE43" s="20">
        <v>0.79</v>
      </c>
      <c r="AF43" s="50">
        <v>0.98</v>
      </c>
      <c r="AH43" s="40">
        <v>3.92</v>
      </c>
      <c r="AI43" s="20">
        <v>-5.33</v>
      </c>
      <c r="AJ43" s="20">
        <v>-4.9</v>
      </c>
      <c r="AK43" s="20">
        <v>-4.45</v>
      </c>
      <c r="AL43" s="20">
        <v>4.9</v>
      </c>
      <c r="AM43" s="57"/>
    </row>
    <row r="44">
      <c r="C44" s="40">
        <v>-3.52</v>
      </c>
      <c r="D44" s="20">
        <v>6.64</v>
      </c>
      <c r="E44" s="20">
        <v>-4.38</v>
      </c>
      <c r="F44" s="20">
        <v>6.48</v>
      </c>
      <c r="G44" s="20">
        <v>-3.57</v>
      </c>
      <c r="H44" s="20">
        <v>-3.64</v>
      </c>
      <c r="I44" s="20">
        <v>-3.58</v>
      </c>
      <c r="J44" s="20">
        <v>-4.38</v>
      </c>
      <c r="L44" s="40">
        <v>-4.78</v>
      </c>
      <c r="M44" s="20">
        <v>8.16</v>
      </c>
      <c r="N44" s="20">
        <v>8.84</v>
      </c>
      <c r="O44" s="59">
        <v>-3.65</v>
      </c>
      <c r="Q44" s="40">
        <v>5.26</v>
      </c>
      <c r="R44" s="20">
        <v>5.76</v>
      </c>
      <c r="S44" s="49">
        <v>5.61</v>
      </c>
      <c r="T44" s="20">
        <v>-4.0</v>
      </c>
      <c r="U44" s="20">
        <v>5.58</v>
      </c>
      <c r="V44" s="20">
        <v>6.28</v>
      </c>
      <c r="W44" s="20">
        <v>-4.41</v>
      </c>
      <c r="X44" s="47"/>
      <c r="Z44" s="40">
        <v>-4.35</v>
      </c>
      <c r="AA44" s="20">
        <v>-4.02</v>
      </c>
      <c r="AB44" s="20">
        <v>-5.39</v>
      </c>
      <c r="AC44" s="49">
        <v>-3.74</v>
      </c>
      <c r="AD44" s="20">
        <v>-4.05</v>
      </c>
      <c r="AE44" s="20">
        <v>-5.4</v>
      </c>
      <c r="AF44" s="50">
        <v>-6.54</v>
      </c>
      <c r="AH44" s="40">
        <v>1.71</v>
      </c>
      <c r="AI44" s="20">
        <v>1.65</v>
      </c>
      <c r="AJ44" s="20">
        <v>1.81</v>
      </c>
      <c r="AK44" s="20">
        <v>-4.44</v>
      </c>
      <c r="AL44" s="20">
        <v>1.53</v>
      </c>
      <c r="AM44" s="57"/>
    </row>
    <row r="45">
      <c r="C45" s="40">
        <v>-4.68</v>
      </c>
      <c r="D45" s="20">
        <v>-4.29</v>
      </c>
      <c r="E45" s="20">
        <v>-4.98</v>
      </c>
      <c r="F45" s="20">
        <v>-4.86</v>
      </c>
      <c r="G45" s="20">
        <v>-3.69</v>
      </c>
      <c r="H45" s="20">
        <v>-4.39</v>
      </c>
      <c r="I45" s="20">
        <v>-4.84</v>
      </c>
      <c r="J45" s="20">
        <v>-4.98</v>
      </c>
      <c r="L45" s="40">
        <v>2.03</v>
      </c>
      <c r="M45" s="20">
        <v>2.19</v>
      </c>
      <c r="N45" s="20">
        <v>2.39</v>
      </c>
      <c r="O45" s="59">
        <v>2.19</v>
      </c>
      <c r="Q45" s="40">
        <v>-4.19</v>
      </c>
      <c r="R45" s="20">
        <v>-3.73</v>
      </c>
      <c r="S45" s="49">
        <v>-3.54</v>
      </c>
      <c r="T45" s="20">
        <v>-3.7</v>
      </c>
      <c r="U45" s="20">
        <v>-3.48</v>
      </c>
      <c r="V45" s="20">
        <v>-3.58</v>
      </c>
      <c r="W45" s="20">
        <v>-4.24</v>
      </c>
      <c r="X45" s="47"/>
      <c r="Z45" s="40">
        <v>5.55</v>
      </c>
      <c r="AA45" s="20">
        <v>10.43</v>
      </c>
      <c r="AB45" s="20">
        <v>7.75</v>
      </c>
      <c r="AC45" s="49">
        <v>4.94</v>
      </c>
      <c r="AD45" s="20">
        <v>5.57</v>
      </c>
      <c r="AE45" s="20">
        <v>5.31</v>
      </c>
      <c r="AF45" s="50">
        <v>8.27</v>
      </c>
      <c r="AH45" s="40">
        <v>-8.72</v>
      </c>
      <c r="AI45" s="20">
        <v>-6.08</v>
      </c>
      <c r="AJ45" s="20">
        <v>-5.49</v>
      </c>
      <c r="AK45" s="20">
        <v>-5.37</v>
      </c>
      <c r="AL45" s="20">
        <v>-7.48</v>
      </c>
      <c r="AM45" s="57"/>
    </row>
    <row r="46">
      <c r="C46" s="40">
        <v>6.43</v>
      </c>
      <c r="D46" s="20">
        <v>7.51</v>
      </c>
      <c r="E46" s="20">
        <v>9.05</v>
      </c>
      <c r="F46" s="20">
        <v>6.82</v>
      </c>
      <c r="G46" s="20">
        <v>5.66</v>
      </c>
      <c r="H46" s="20">
        <v>6.39</v>
      </c>
      <c r="I46" s="20">
        <v>6.17</v>
      </c>
      <c r="J46" s="20">
        <v>9.05</v>
      </c>
      <c r="L46" s="40">
        <v>-4.25</v>
      </c>
      <c r="M46" s="20">
        <v>-4.77</v>
      </c>
      <c r="N46" s="20">
        <v>-4.88</v>
      </c>
      <c r="O46" s="59">
        <v>-3.81</v>
      </c>
      <c r="Q46" s="40">
        <v>-4.98</v>
      </c>
      <c r="R46" s="20">
        <v>-4.27</v>
      </c>
      <c r="S46" s="49">
        <v>-3.98</v>
      </c>
      <c r="T46" s="20">
        <v>10.26</v>
      </c>
      <c r="U46" s="20">
        <v>-3.65</v>
      </c>
      <c r="V46" s="20">
        <v>-3.67</v>
      </c>
      <c r="W46" s="20">
        <v>-6.0</v>
      </c>
      <c r="X46" s="47"/>
      <c r="Z46" s="40">
        <v>2.51</v>
      </c>
      <c r="AA46" s="20">
        <v>3.07</v>
      </c>
      <c r="AB46" s="20">
        <v>2.94</v>
      </c>
      <c r="AC46" s="49">
        <v>2.51</v>
      </c>
      <c r="AD46" s="20">
        <v>2.6</v>
      </c>
      <c r="AE46" s="20">
        <v>2.71</v>
      </c>
      <c r="AF46" s="50">
        <v>2.4</v>
      </c>
      <c r="AH46" s="40">
        <v>-7.43</v>
      </c>
      <c r="AI46" s="20">
        <v>-5.53</v>
      </c>
      <c r="AJ46" s="20">
        <v>-4.65</v>
      </c>
      <c r="AK46" s="20">
        <v>-4.36</v>
      </c>
      <c r="AL46" s="20">
        <v>-6.82</v>
      </c>
      <c r="AM46" s="57"/>
    </row>
    <row r="47">
      <c r="C47" s="40">
        <v>6.7</v>
      </c>
      <c r="D47" s="20">
        <v>-4.28</v>
      </c>
      <c r="E47" s="20">
        <v>-3.63</v>
      </c>
      <c r="F47" s="20">
        <v>-3.55</v>
      </c>
      <c r="G47" s="20">
        <v>-3.38</v>
      </c>
      <c r="H47" s="20">
        <v>6.76</v>
      </c>
      <c r="I47" s="20">
        <v>7.42</v>
      </c>
      <c r="J47" s="20">
        <v>-3.63</v>
      </c>
      <c r="L47" s="40">
        <v>-5.54</v>
      </c>
      <c r="M47" s="20">
        <v>20.89</v>
      </c>
      <c r="N47" s="20">
        <v>23.81</v>
      </c>
      <c r="O47" s="59">
        <v>2.32</v>
      </c>
      <c r="Q47" s="40">
        <v>8.72</v>
      </c>
      <c r="R47" s="20">
        <v>-5.35</v>
      </c>
      <c r="S47" s="49">
        <v>-4.98</v>
      </c>
      <c r="T47" s="20">
        <v>-5.25</v>
      </c>
      <c r="U47" s="20">
        <v>-4.79</v>
      </c>
      <c r="V47" s="20">
        <v>-6.05</v>
      </c>
      <c r="W47" s="20">
        <v>-4.37</v>
      </c>
      <c r="X47" s="47"/>
      <c r="Z47" s="40">
        <v>-5.06</v>
      </c>
      <c r="AA47" s="20">
        <v>3.14</v>
      </c>
      <c r="AB47" s="20">
        <v>2.66</v>
      </c>
      <c r="AC47" s="49">
        <v>2.75</v>
      </c>
      <c r="AD47" s="20">
        <v>-4.8</v>
      </c>
      <c r="AE47" s="20">
        <v>-4.34</v>
      </c>
      <c r="AF47" s="50">
        <v>-5.32</v>
      </c>
      <c r="AH47" s="40">
        <v>-6.49</v>
      </c>
      <c r="AI47" s="20">
        <v>15.46</v>
      </c>
      <c r="AJ47" s="20">
        <v>-5.25</v>
      </c>
      <c r="AK47" s="20">
        <v>-5.19</v>
      </c>
      <c r="AL47" s="20">
        <v>-4.18</v>
      </c>
      <c r="AM47" s="57"/>
    </row>
    <row r="48">
      <c r="C48" s="57"/>
      <c r="D48" s="58"/>
      <c r="L48" s="40">
        <v>-4.89</v>
      </c>
      <c r="M48" s="20">
        <v>7.94</v>
      </c>
      <c r="N48" s="20">
        <v>-4.65</v>
      </c>
      <c r="O48" s="59">
        <v>-5.39</v>
      </c>
      <c r="Q48" s="58"/>
      <c r="X48" s="47"/>
      <c r="Z48" s="40">
        <v>3.18</v>
      </c>
      <c r="AA48" s="20">
        <v>4.2</v>
      </c>
      <c r="AB48" s="20">
        <v>-4.34</v>
      </c>
      <c r="AC48" s="49">
        <v>3.35</v>
      </c>
      <c r="AD48" s="20">
        <v>3.22</v>
      </c>
      <c r="AE48" s="20">
        <v>-3.97</v>
      </c>
      <c r="AF48" s="50">
        <v>-6.72</v>
      </c>
      <c r="AH48" s="40">
        <v>-3.96</v>
      </c>
      <c r="AI48" s="20">
        <v>-5.19</v>
      </c>
      <c r="AJ48" s="20">
        <v>-4.44</v>
      </c>
      <c r="AK48" s="20">
        <v>-4.54</v>
      </c>
      <c r="AL48" s="20">
        <v>8.14</v>
      </c>
      <c r="AM48" s="57"/>
    </row>
    <row r="49">
      <c r="C49" s="47"/>
      <c r="L49" s="40">
        <v>-6.86</v>
      </c>
      <c r="M49" s="20">
        <v>-7.74</v>
      </c>
      <c r="N49" s="20">
        <v>-8.66</v>
      </c>
      <c r="O49" s="59">
        <v>-4.23</v>
      </c>
      <c r="Z49" s="40">
        <v>-6.98</v>
      </c>
      <c r="AA49" s="20">
        <v>-8.47</v>
      </c>
      <c r="AB49" s="20">
        <v>-8.71</v>
      </c>
      <c r="AC49" s="49">
        <v>-6.48</v>
      </c>
      <c r="AD49" s="20">
        <v>-7.42</v>
      </c>
      <c r="AE49" s="20">
        <v>-6.5</v>
      </c>
      <c r="AF49" s="50">
        <v>-7.74</v>
      </c>
      <c r="AH49" s="40">
        <v>5.89</v>
      </c>
      <c r="AI49" s="20">
        <v>-4.08</v>
      </c>
      <c r="AJ49" s="20">
        <v>3.37</v>
      </c>
      <c r="AK49" s="20">
        <v>-4.58</v>
      </c>
      <c r="AL49" s="20">
        <v>4.04</v>
      </c>
      <c r="AM49" s="57"/>
    </row>
    <row r="50">
      <c r="L50" s="40">
        <v>15.18</v>
      </c>
      <c r="M50" s="20">
        <v>17.39</v>
      </c>
      <c r="N50" s="20">
        <v>16.71</v>
      </c>
      <c r="O50" s="60">
        <v>-6.63</v>
      </c>
      <c r="Z50" s="20">
        <v>4.94</v>
      </c>
      <c r="AA50" s="20">
        <v>5.45</v>
      </c>
      <c r="AB50" s="20">
        <v>5.13</v>
      </c>
      <c r="AC50" s="49">
        <v>4.29</v>
      </c>
      <c r="AD50" s="20">
        <v>4.33</v>
      </c>
      <c r="AE50" s="20">
        <v>5.64</v>
      </c>
      <c r="AF50" s="50">
        <v>6.05</v>
      </c>
      <c r="AH50" s="58"/>
    </row>
    <row r="51">
      <c r="L51" s="40">
        <v>-4.52</v>
      </c>
      <c r="M51" s="20">
        <v>11.12</v>
      </c>
      <c r="N51" s="20">
        <v>-4.81</v>
      </c>
      <c r="O51" s="60">
        <v>-5.07</v>
      </c>
      <c r="Z51" s="20">
        <v>4.18</v>
      </c>
      <c r="AA51" s="20">
        <v>4.9</v>
      </c>
      <c r="AB51" s="20">
        <v>4.89</v>
      </c>
      <c r="AC51" s="49">
        <v>4.65</v>
      </c>
      <c r="AD51" s="20">
        <v>4.06</v>
      </c>
      <c r="AE51" s="20">
        <v>4.44</v>
      </c>
      <c r="AF51" s="50">
        <v>6.06</v>
      </c>
    </row>
    <row r="52">
      <c r="L52" s="57"/>
      <c r="Z52" s="20">
        <v>1.67</v>
      </c>
      <c r="AA52" s="20">
        <v>2.2</v>
      </c>
      <c r="AB52" s="20">
        <v>2.38</v>
      </c>
      <c r="AC52" s="49">
        <v>-4.88</v>
      </c>
      <c r="AD52" s="20">
        <v>-5.65</v>
      </c>
      <c r="AE52" s="20">
        <v>2.29</v>
      </c>
      <c r="AF52" s="50">
        <v>2.88</v>
      </c>
    </row>
    <row r="53">
      <c r="L53" s="58"/>
      <c r="Z53" s="20">
        <v>2.88</v>
      </c>
      <c r="AA53" s="20">
        <v>3.9</v>
      </c>
      <c r="AB53" s="20">
        <v>3.37</v>
      </c>
      <c r="AC53" s="49">
        <v>2.21</v>
      </c>
      <c r="AD53" s="20">
        <v>3.0</v>
      </c>
      <c r="AE53" s="20">
        <v>2.63</v>
      </c>
      <c r="AF53" s="50">
        <v>-5.58</v>
      </c>
    </row>
    <row r="54">
      <c r="L54" s="47"/>
      <c r="Z54" s="20">
        <v>6.48</v>
      </c>
      <c r="AA54" s="20">
        <v>7.85</v>
      </c>
      <c r="AB54" s="20">
        <v>5.91</v>
      </c>
      <c r="AC54" s="49">
        <v>4.41</v>
      </c>
      <c r="AD54" s="20">
        <v>5.68</v>
      </c>
      <c r="AE54" s="20">
        <v>6.21</v>
      </c>
      <c r="AF54" s="50">
        <v>8.75</v>
      </c>
    </row>
    <row r="55">
      <c r="C55" s="30"/>
      <c r="Z55" s="20">
        <v>-5.24</v>
      </c>
      <c r="AA55" s="20">
        <v>-4.54</v>
      </c>
      <c r="AB55" s="20">
        <v>-5.26</v>
      </c>
      <c r="AC55" s="49">
        <v>2.62</v>
      </c>
      <c r="AD55" s="20">
        <v>3.06</v>
      </c>
      <c r="AE55" s="20">
        <v>-4.85</v>
      </c>
      <c r="AF55" s="50">
        <v>-6.63</v>
      </c>
    </row>
    <row r="56">
      <c r="Z56" s="20">
        <v>-4.67</v>
      </c>
      <c r="AA56" s="20">
        <v>7.95</v>
      </c>
      <c r="AB56" s="20">
        <v>8.17</v>
      </c>
      <c r="AC56" s="49">
        <v>-3.5</v>
      </c>
      <c r="AD56" s="20">
        <v>-4.39</v>
      </c>
      <c r="AE56" s="20">
        <v>-4.36</v>
      </c>
      <c r="AF56" s="50">
        <v>8.84</v>
      </c>
    </row>
    <row r="57">
      <c r="Z57" s="20">
        <v>-4.31</v>
      </c>
      <c r="AA57" s="20">
        <v>-4.53</v>
      </c>
      <c r="AB57" s="20">
        <v>-4.57</v>
      </c>
      <c r="AC57" s="49">
        <v>-4.16</v>
      </c>
      <c r="AD57" s="20">
        <v>-4.5</v>
      </c>
      <c r="AE57" s="20">
        <v>-3.73</v>
      </c>
      <c r="AF57" s="50">
        <v>-6.24</v>
      </c>
    </row>
    <row r="58">
      <c r="Z58" s="20">
        <v>4.52</v>
      </c>
      <c r="AA58" s="20">
        <v>6.89</v>
      </c>
      <c r="AB58" s="20">
        <v>6.82</v>
      </c>
      <c r="AC58" s="49">
        <v>4.1</v>
      </c>
      <c r="AD58" s="20">
        <v>4.44</v>
      </c>
      <c r="AE58" s="20">
        <v>5.74</v>
      </c>
      <c r="AF58" s="50">
        <v>5.97</v>
      </c>
    </row>
    <row r="59">
      <c r="AC59" s="47"/>
    </row>
    <row r="63">
      <c r="C63" s="30" t="s">
        <v>39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31</v>
      </c>
      <c r="I65" s="4" t="s">
        <v>40</v>
      </c>
      <c r="J65" s="4" t="s">
        <v>41</v>
      </c>
      <c r="K65" s="61" t="s">
        <v>42</v>
      </c>
      <c r="L65" s="4" t="s">
        <v>43</v>
      </c>
      <c r="M65" s="62" t="s">
        <v>44</v>
      </c>
      <c r="N65" s="63" t="s">
        <v>45</v>
      </c>
    </row>
    <row r="66">
      <c r="C66" s="8">
        <v>6.0</v>
      </c>
      <c r="D66" s="9" t="s">
        <v>13</v>
      </c>
      <c r="E66" s="64"/>
      <c r="F66" s="65"/>
      <c r="G66" s="65"/>
      <c r="H66" s="17"/>
      <c r="I66" s="17"/>
      <c r="J66" s="17"/>
      <c r="K66" s="66"/>
      <c r="L66" s="17"/>
      <c r="M66" s="66"/>
      <c r="N66" s="17"/>
    </row>
    <row r="67">
      <c r="C67" s="16">
        <v>167.0</v>
      </c>
      <c r="D67" s="16" t="s">
        <v>15</v>
      </c>
      <c r="E67" s="10">
        <v>45570.0</v>
      </c>
      <c r="F67" s="10"/>
      <c r="G67" s="10"/>
      <c r="H67" s="17"/>
      <c r="I67" s="17"/>
      <c r="J67" s="17"/>
      <c r="K67" s="66"/>
      <c r="L67" s="17"/>
      <c r="M67" s="66"/>
      <c r="N67" s="21"/>
    </row>
    <row r="68">
      <c r="C68" s="18">
        <v>48.0</v>
      </c>
      <c r="D68" s="19" t="s">
        <v>16</v>
      </c>
      <c r="E68" s="10">
        <v>45679.0</v>
      </c>
      <c r="F68" s="12">
        <v>395.0</v>
      </c>
      <c r="G68" s="12" t="s">
        <v>14</v>
      </c>
      <c r="H68" s="21">
        <v>57.2457163045398</v>
      </c>
      <c r="I68" s="13">
        <v>1.99999999999998</v>
      </c>
      <c r="J68" s="13">
        <v>153.7</v>
      </c>
      <c r="K68" s="13">
        <f>-40.5+
2413.68+
163.23
</f>
        <v>2536.41</v>
      </c>
      <c r="L68" s="21">
        <v>30.0</v>
      </c>
      <c r="M68" s="13">
        <f t="shared" ref="M68:M72" si="7">K68/J68</f>
        <v>16.50234223</v>
      </c>
      <c r="N68" s="17">
        <f>L68*'Data preparation'!$C$2</f>
        <v>3</v>
      </c>
    </row>
    <row r="69">
      <c r="C69" s="16">
        <v>55.0</v>
      </c>
      <c r="D69" s="19" t="s">
        <v>18</v>
      </c>
      <c r="E69" s="10">
        <v>45679.0</v>
      </c>
      <c r="F69" s="12">
        <v>724.0</v>
      </c>
      <c r="G69" s="12" t="s">
        <v>14</v>
      </c>
      <c r="H69" s="13">
        <v>57.7626974489822</v>
      </c>
      <c r="I69" s="13">
        <v>7.0</v>
      </c>
      <c r="J69" s="13">
        <v>174.21</v>
      </c>
      <c r="K69" s="13">
        <f>1150.93+
478.33+
122.61
</f>
        <v>1751.87</v>
      </c>
      <c r="L69" s="13">
        <f>60/2</f>
        <v>30</v>
      </c>
      <c r="M69" s="13">
        <f t="shared" si="7"/>
        <v>10.05608174</v>
      </c>
      <c r="N69" s="17">
        <f>L69*'Data preparation'!$C$2</f>
        <v>3</v>
      </c>
    </row>
    <row r="70">
      <c r="C70" s="16">
        <v>59.0</v>
      </c>
      <c r="D70" s="16" t="s">
        <v>19</v>
      </c>
      <c r="E70" s="10">
        <v>45680.0</v>
      </c>
      <c r="F70" s="12">
        <v>935.0</v>
      </c>
      <c r="G70" s="12" t="s">
        <v>14</v>
      </c>
      <c r="H70" s="13">
        <v>61.8147668934429</v>
      </c>
      <c r="I70" s="13">
        <v>5.0</v>
      </c>
      <c r="J70" s="13">
        <v>149.66</v>
      </c>
      <c r="K70" s="13">
        <f>729.17+
5039.3+
-26.81
</f>
        <v>5741.66</v>
      </c>
      <c r="L70" s="13">
        <f>50/2</f>
        <v>25</v>
      </c>
      <c r="M70" s="13">
        <f t="shared" si="7"/>
        <v>38.3646933</v>
      </c>
      <c r="N70" s="17">
        <f>L70*'Data preparation'!$C$2</f>
        <v>2.5</v>
      </c>
    </row>
    <row r="71">
      <c r="C71" s="16">
        <v>77.0</v>
      </c>
      <c r="D71" s="16" t="s">
        <v>20</v>
      </c>
      <c r="E71" s="10">
        <v>45677.0</v>
      </c>
      <c r="F71" s="12">
        <v>931.0</v>
      </c>
      <c r="G71" s="12" t="s">
        <v>14</v>
      </c>
      <c r="H71" s="13">
        <v>59.8048011309572</v>
      </c>
      <c r="I71" s="13">
        <v>11.0</v>
      </c>
      <c r="J71" s="13">
        <v>190.1</v>
      </c>
      <c r="K71" s="13">
        <f>-0.29+
1243.98+
236.53
</f>
        <v>1480.22</v>
      </c>
      <c r="L71" s="21">
        <v>40.0</v>
      </c>
      <c r="M71" s="13">
        <f t="shared" si="7"/>
        <v>7.786533403</v>
      </c>
      <c r="N71" s="17">
        <f>L71*'Data preparation'!$C$2</f>
        <v>4</v>
      </c>
    </row>
    <row r="72">
      <c r="C72" s="16">
        <v>148.0</v>
      </c>
      <c r="D72" s="16" t="s">
        <v>21</v>
      </c>
      <c r="E72" s="10">
        <v>45677.0</v>
      </c>
      <c r="F72" s="12">
        <v>112.0</v>
      </c>
      <c r="G72" s="12" t="s">
        <v>14</v>
      </c>
      <c r="H72" s="13">
        <v>56.318574213311</v>
      </c>
      <c r="I72" s="13">
        <v>8.0</v>
      </c>
      <c r="J72" s="13">
        <v>127.26</v>
      </c>
      <c r="K72" s="13">
        <f>1613.45+
584.93+
-27.72
</f>
        <v>2170.66</v>
      </c>
      <c r="L72" s="21">
        <v>40.0</v>
      </c>
      <c r="M72" s="13">
        <f t="shared" si="7"/>
        <v>17.0568914</v>
      </c>
      <c r="N72" s="17">
        <f>L72*'Data preparation'!$C$2</f>
        <v>4</v>
      </c>
    </row>
    <row r="76">
      <c r="C76" s="30" t="s">
        <v>46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31</v>
      </c>
      <c r="I77" s="4" t="s">
        <v>40</v>
      </c>
      <c r="J77" s="4" t="s">
        <v>41</v>
      </c>
      <c r="K77" s="61" t="s">
        <v>42</v>
      </c>
      <c r="L77" s="4" t="s">
        <v>47</v>
      </c>
      <c r="M77" s="4" t="s">
        <v>48</v>
      </c>
      <c r="N77" s="4" t="s">
        <v>49</v>
      </c>
      <c r="O77" s="4"/>
      <c r="P77" s="4" t="s">
        <v>50</v>
      </c>
      <c r="Q77" s="62" t="s">
        <v>44</v>
      </c>
      <c r="R77" s="63" t="s">
        <v>45</v>
      </c>
    </row>
    <row r="78">
      <c r="C78" s="8">
        <v>6.0</v>
      </c>
      <c r="D78" s="9" t="s">
        <v>13</v>
      </c>
      <c r="E78" s="64"/>
      <c r="F78" s="65"/>
      <c r="G78" s="65"/>
      <c r="H78" s="17"/>
      <c r="I78" s="17"/>
      <c r="J78" s="17"/>
      <c r="K78" s="66"/>
      <c r="L78" s="17"/>
      <c r="M78" s="17"/>
      <c r="N78" s="17"/>
      <c r="O78" s="17"/>
      <c r="P78" s="17"/>
      <c r="Q78" s="66"/>
      <c r="R78" s="17"/>
    </row>
    <row r="79">
      <c r="C79" s="16">
        <v>167.0</v>
      </c>
      <c r="D79" s="16" t="s">
        <v>15</v>
      </c>
      <c r="E79" s="10">
        <v>45570.0</v>
      </c>
      <c r="F79" s="10"/>
      <c r="G79" s="10"/>
      <c r="H79" s="17"/>
      <c r="I79" s="17"/>
      <c r="J79" s="17"/>
      <c r="K79" s="66"/>
      <c r="L79" s="17"/>
      <c r="M79" s="17"/>
      <c r="N79" s="17"/>
      <c r="O79" s="17"/>
      <c r="P79" s="17"/>
      <c r="Q79" s="66"/>
      <c r="R79" s="21"/>
    </row>
    <row r="80">
      <c r="C80" s="18">
        <v>48.0</v>
      </c>
      <c r="D80" s="19" t="s">
        <v>16</v>
      </c>
      <c r="E80" s="10">
        <v>45679.0</v>
      </c>
      <c r="F80" s="12">
        <v>395.0</v>
      </c>
      <c r="G80" s="12" t="s">
        <v>14</v>
      </c>
      <c r="H80" s="21">
        <v>57.2457163045398</v>
      </c>
      <c r="I80" s="13">
        <v>1.99999999999998</v>
      </c>
      <c r="J80" s="13">
        <v>153.7</v>
      </c>
      <c r="K80" s="13">
        <f>-2+
8641.42+
76.54
</f>
        <v>8715.96</v>
      </c>
      <c r="L80" s="21">
        <v>5.0</v>
      </c>
      <c r="M80" s="21">
        <v>60.0</v>
      </c>
      <c r="N80" s="21">
        <v>30.0</v>
      </c>
      <c r="O80" s="21"/>
      <c r="P80" s="21">
        <f t="shared" ref="P80:P84" si="8">AVERAGE(L80:N80)</f>
        <v>31.66666667</v>
      </c>
      <c r="Q80" s="13">
        <f t="shared" ref="Q80:Q84" si="9">K80/J80</f>
        <v>56.70761223</v>
      </c>
      <c r="R80" s="66">
        <f>P80*'Data preparation'!$C$2</f>
        <v>3.166666667</v>
      </c>
    </row>
    <row r="81">
      <c r="C81" s="16">
        <v>55.0</v>
      </c>
      <c r="D81" s="19" t="s">
        <v>18</v>
      </c>
      <c r="E81" s="10">
        <v>45679.0</v>
      </c>
      <c r="F81" s="12">
        <v>724.0</v>
      </c>
      <c r="G81" s="12" t="s">
        <v>14</v>
      </c>
      <c r="H81" s="13">
        <v>57.7626974489822</v>
      </c>
      <c r="I81" s="13">
        <v>7.0</v>
      </c>
      <c r="J81" s="13">
        <v>174.21</v>
      </c>
      <c r="K81" s="13">
        <f>2560.91+
473.91+
196
</f>
        <v>3230.82</v>
      </c>
      <c r="L81" s="13">
        <v>90.0</v>
      </c>
      <c r="M81" s="13">
        <v>50.0</v>
      </c>
      <c r="N81" s="13">
        <v>40.0</v>
      </c>
      <c r="O81" s="21"/>
      <c r="P81" s="13">
        <f t="shared" si="8"/>
        <v>60</v>
      </c>
      <c r="Q81" s="13">
        <f t="shared" si="9"/>
        <v>18.54554848</v>
      </c>
      <c r="R81" s="67">
        <f>P81*'Data preparation'!$C$2/2</f>
        <v>3</v>
      </c>
    </row>
    <row r="82">
      <c r="C82" s="16">
        <v>59.0</v>
      </c>
      <c r="D82" s="16" t="s">
        <v>19</v>
      </c>
      <c r="E82" s="10">
        <v>45680.0</v>
      </c>
      <c r="F82" s="12">
        <v>935.0</v>
      </c>
      <c r="G82" s="12" t="s">
        <v>14</v>
      </c>
      <c r="H82" s="13">
        <v>61.8147668934429</v>
      </c>
      <c r="I82" s="13">
        <v>5.0</v>
      </c>
      <c r="J82" s="13">
        <v>149.66</v>
      </c>
      <c r="K82" s="13">
        <f>899.02+
15191.45+
-2.4
</f>
        <v>16088.07</v>
      </c>
      <c r="L82" s="13">
        <v>80.0</v>
      </c>
      <c r="M82" s="13">
        <v>90.0</v>
      </c>
      <c r="N82" s="13">
        <v>5.0</v>
      </c>
      <c r="O82" s="21"/>
      <c r="P82" s="13">
        <f t="shared" si="8"/>
        <v>58.33333333</v>
      </c>
      <c r="Q82" s="13">
        <f t="shared" si="9"/>
        <v>107.4974609</v>
      </c>
      <c r="R82" s="67">
        <f>P82*'Data preparation'!$C$2/2</f>
        <v>2.916666667</v>
      </c>
    </row>
    <row r="83">
      <c r="C83" s="16">
        <v>77.0</v>
      </c>
      <c r="D83" s="16" t="s">
        <v>20</v>
      </c>
      <c r="E83" s="10">
        <v>45677.0</v>
      </c>
      <c r="F83" s="12">
        <v>931.0</v>
      </c>
      <c r="G83" s="12" t="s">
        <v>14</v>
      </c>
      <c r="H83" s="13">
        <v>59.8048011309572</v>
      </c>
      <c r="I83" s="13">
        <v>11.0</v>
      </c>
      <c r="J83" s="13">
        <v>190.1</v>
      </c>
      <c r="K83" s="13">
        <f>11.94+
1356.27+
240.96
</f>
        <v>1609.17</v>
      </c>
      <c r="L83" s="21">
        <v>10.0</v>
      </c>
      <c r="M83" s="21">
        <v>40.0</v>
      </c>
      <c r="N83" s="21">
        <v>50.0</v>
      </c>
      <c r="O83" s="21"/>
      <c r="P83" s="21">
        <f t="shared" si="8"/>
        <v>33.33333333</v>
      </c>
      <c r="Q83" s="13">
        <f t="shared" si="9"/>
        <v>8.4648606</v>
      </c>
      <c r="R83" s="66">
        <f>P83*'Data preparation'!$C$2</f>
        <v>3.333333333</v>
      </c>
    </row>
    <row r="84">
      <c r="C84" s="16">
        <v>148.0</v>
      </c>
      <c r="D84" s="16" t="s">
        <v>21</v>
      </c>
      <c r="E84" s="10">
        <v>45677.0</v>
      </c>
      <c r="F84" s="12">
        <v>112.0</v>
      </c>
      <c r="G84" s="12" t="s">
        <v>14</v>
      </c>
      <c r="H84" s="13">
        <v>56.318574213311</v>
      </c>
      <c r="I84" s="13">
        <v>8.0</v>
      </c>
      <c r="J84" s="13">
        <v>127.26</v>
      </c>
      <c r="K84" s="13">
        <f>1485.08+
1015.76+
21.03
</f>
        <v>2521.87</v>
      </c>
      <c r="L84" s="21">
        <v>70.0</v>
      </c>
      <c r="M84" s="21">
        <v>70.0</v>
      </c>
      <c r="N84" s="21">
        <v>10.0</v>
      </c>
      <c r="O84" s="21"/>
      <c r="P84" s="21">
        <f t="shared" si="8"/>
        <v>50</v>
      </c>
      <c r="Q84" s="13">
        <f t="shared" si="9"/>
        <v>19.81667452</v>
      </c>
      <c r="R84" s="66">
        <f>P84*'Data preparation'!$C$2</f>
        <v>5</v>
      </c>
    </row>
    <row r="94">
      <c r="C94" s="20" t="s">
        <v>51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32</v>
      </c>
      <c r="I96" s="4" t="s">
        <v>52</v>
      </c>
      <c r="J96" s="4" t="s">
        <v>31</v>
      </c>
      <c r="K96" s="61" t="s">
        <v>53</v>
      </c>
      <c r="L96" s="61" t="s">
        <v>54</v>
      </c>
      <c r="M96" s="61" t="s">
        <v>55</v>
      </c>
      <c r="N96" s="4" t="s">
        <v>41</v>
      </c>
      <c r="O96" s="61" t="s">
        <v>42</v>
      </c>
      <c r="P96" s="62" t="s">
        <v>44</v>
      </c>
      <c r="Q96" s="4" t="s">
        <v>47</v>
      </c>
      <c r="R96" s="4" t="s">
        <v>48</v>
      </c>
      <c r="S96" s="4" t="s">
        <v>49</v>
      </c>
      <c r="T96" s="4" t="s">
        <v>50</v>
      </c>
      <c r="U96" s="63" t="s">
        <v>45</v>
      </c>
    </row>
    <row r="97">
      <c r="C97" s="8">
        <v>6.0</v>
      </c>
      <c r="D97" s="9" t="s">
        <v>13</v>
      </c>
      <c r="E97" s="64"/>
      <c r="F97" s="65"/>
      <c r="G97" s="65"/>
      <c r="H97" s="17"/>
      <c r="I97" s="17"/>
      <c r="J97" s="17"/>
      <c r="K97" s="66"/>
      <c r="L97" s="66"/>
      <c r="M97" s="66"/>
      <c r="N97" s="17"/>
      <c r="O97" s="66"/>
      <c r="P97" s="66"/>
      <c r="Q97" s="17"/>
      <c r="R97" s="17"/>
      <c r="S97" s="17"/>
      <c r="T97" s="17"/>
      <c r="U97" s="17"/>
    </row>
    <row r="98">
      <c r="C98" s="16">
        <v>167.0</v>
      </c>
      <c r="D98" s="16" t="s">
        <v>15</v>
      </c>
      <c r="E98" s="10">
        <v>45570.0</v>
      </c>
      <c r="F98" s="10"/>
      <c r="G98" s="10"/>
      <c r="H98" s="17"/>
      <c r="I98" s="17"/>
      <c r="J98" s="17"/>
      <c r="K98" s="66"/>
      <c r="L98" s="66"/>
      <c r="M98" s="66"/>
      <c r="N98" s="17"/>
      <c r="O98" s="66"/>
      <c r="P98" s="66"/>
      <c r="Q98" s="17"/>
      <c r="R98" s="17"/>
      <c r="S98" s="17"/>
      <c r="T98" s="17"/>
      <c r="U98" s="21"/>
    </row>
    <row r="99">
      <c r="C99" s="18">
        <v>48.0</v>
      </c>
      <c r="D99" s="19" t="s">
        <v>16</v>
      </c>
      <c r="E99" s="10">
        <v>45679.0</v>
      </c>
      <c r="F99" s="12">
        <v>395.0</v>
      </c>
      <c r="G99" s="12" t="s">
        <v>14</v>
      </c>
      <c r="H99" s="13">
        <v>57.9999999999999</v>
      </c>
      <c r="I99" s="13">
        <v>57.1154487821154</v>
      </c>
      <c r="J99" s="13">
        <v>57.2457163045398</v>
      </c>
      <c r="K99" s="13">
        <v>-0.02</v>
      </c>
      <c r="L99" s="13">
        <v>99.14</v>
      </c>
      <c r="M99" s="13">
        <v>0.88</v>
      </c>
      <c r="N99" s="13">
        <v>153.704876815795</v>
      </c>
      <c r="O99" s="13">
        <v>8715.95604136256</v>
      </c>
      <c r="P99" s="13">
        <v>55.7057872328151</v>
      </c>
      <c r="Q99" s="21">
        <v>5.0</v>
      </c>
      <c r="R99" s="21">
        <v>60.0</v>
      </c>
      <c r="S99" s="21">
        <v>30.0</v>
      </c>
      <c r="T99" s="13">
        <f t="shared" ref="T99:T103" si="10">AVERAGE(Q99:S99)</f>
        <v>31.66666667</v>
      </c>
      <c r="U99" s="66">
        <f>T99*'Data preparation'!$C$2</f>
        <v>3.166666667</v>
      </c>
    </row>
    <row r="100">
      <c r="C100" s="68">
        <v>55.0</v>
      </c>
      <c r="D100" s="69" t="s">
        <v>18</v>
      </c>
      <c r="E100" s="10">
        <v>45679.0</v>
      </c>
      <c r="F100" s="12">
        <v>724.0</v>
      </c>
      <c r="G100" s="12" t="s">
        <v>14</v>
      </c>
      <c r="H100" s="13">
        <v>61.0</v>
      </c>
      <c r="I100" s="13">
        <v>58.04</v>
      </c>
      <c r="J100" s="13">
        <v>57.76</v>
      </c>
      <c r="K100" s="13">
        <v>79.27</v>
      </c>
      <c r="L100" s="13">
        <v>14.67</v>
      </c>
      <c r="M100" s="13">
        <v>6.07</v>
      </c>
      <c r="N100" s="13">
        <v>174.2</v>
      </c>
      <c r="O100" s="13">
        <v>3230.82</v>
      </c>
      <c r="P100" s="13">
        <v>17.55</v>
      </c>
      <c r="Q100" s="13">
        <v>90.0</v>
      </c>
      <c r="R100" s="13">
        <v>50.0</v>
      </c>
      <c r="S100" s="13">
        <v>40.0</v>
      </c>
      <c r="T100" s="13">
        <f t="shared" si="10"/>
        <v>60</v>
      </c>
      <c r="U100" s="67">
        <f>T100*'Data preparation'!$C$2/2</f>
        <v>3</v>
      </c>
    </row>
    <row r="101">
      <c r="C101" s="68">
        <v>59.0</v>
      </c>
      <c r="D101" s="68" t="s">
        <v>19</v>
      </c>
      <c r="E101" s="10">
        <v>45680.0</v>
      </c>
      <c r="F101" s="12">
        <v>935.0</v>
      </c>
      <c r="G101" s="12" t="s">
        <v>14</v>
      </c>
      <c r="H101" s="13">
        <v>64.0</v>
      </c>
      <c r="I101" s="13">
        <v>61.76</v>
      </c>
      <c r="J101" s="13">
        <v>61.81</v>
      </c>
      <c r="K101" s="13">
        <v>5.59</v>
      </c>
      <c r="L101" s="13">
        <v>94.43</v>
      </c>
      <c r="M101" s="13">
        <v>-0.01</v>
      </c>
      <c r="N101" s="13">
        <v>149.67</v>
      </c>
      <c r="O101" s="13">
        <v>16088.07</v>
      </c>
      <c r="P101" s="13">
        <v>106.49</v>
      </c>
      <c r="Q101" s="13">
        <v>80.0</v>
      </c>
      <c r="R101" s="13">
        <v>90.0</v>
      </c>
      <c r="S101" s="13">
        <v>5.0</v>
      </c>
      <c r="T101" s="13">
        <f t="shared" si="10"/>
        <v>58.33333333</v>
      </c>
      <c r="U101" s="67">
        <f>T101*'Data preparation'!$C$2/2</f>
        <v>2.916666667</v>
      </c>
    </row>
    <row r="102">
      <c r="C102" s="68">
        <v>77.0</v>
      </c>
      <c r="D102" s="68" t="s">
        <v>20</v>
      </c>
      <c r="E102" s="10">
        <v>45677.0</v>
      </c>
      <c r="F102" s="12">
        <v>1623.0</v>
      </c>
      <c r="G102" s="12" t="s">
        <v>14</v>
      </c>
      <c r="H102" s="13">
        <v>60.0</v>
      </c>
      <c r="I102" s="13">
        <v>59.89</v>
      </c>
      <c r="J102" s="13">
        <v>58.66</v>
      </c>
      <c r="K102" s="13">
        <v>-0.06</v>
      </c>
      <c r="L102" s="13">
        <v>92.71</v>
      </c>
      <c r="M102" s="13">
        <v>7.34</v>
      </c>
      <c r="N102" s="13">
        <v>130.83</v>
      </c>
      <c r="O102" s="13">
        <v>5977.86</v>
      </c>
      <c r="P102" s="13">
        <v>44.69</v>
      </c>
      <c r="Q102" s="21">
        <v>5.0</v>
      </c>
      <c r="R102" s="21">
        <v>80.0</v>
      </c>
      <c r="S102" s="21">
        <v>50.0</v>
      </c>
      <c r="T102" s="21">
        <f t="shared" si="10"/>
        <v>45</v>
      </c>
      <c r="U102" s="66">
        <f>T102*'Data preparation'!$C$2</f>
        <v>4.5</v>
      </c>
    </row>
    <row r="103">
      <c r="C103" s="68">
        <v>148.0</v>
      </c>
      <c r="D103" s="68" t="s">
        <v>21</v>
      </c>
      <c r="E103" s="10">
        <v>45677.0</v>
      </c>
      <c r="F103" s="12">
        <v>814.0</v>
      </c>
      <c r="G103" s="12" t="s">
        <v>14</v>
      </c>
      <c r="H103" s="13">
        <v>56.0</v>
      </c>
      <c r="I103" s="13">
        <v>52.0</v>
      </c>
      <c r="J103" s="13">
        <v>51.98</v>
      </c>
      <c r="K103" s="13">
        <v>99.43</v>
      </c>
      <c r="L103" s="13">
        <v>0.64</v>
      </c>
      <c r="M103" s="13">
        <v>-0.07</v>
      </c>
      <c r="N103" s="13">
        <v>96.01</v>
      </c>
      <c r="O103" s="13">
        <v>7974.28</v>
      </c>
      <c r="P103" s="13">
        <v>82.06</v>
      </c>
      <c r="Q103" s="21">
        <v>90.0</v>
      </c>
      <c r="R103" s="21">
        <v>15.0</v>
      </c>
      <c r="S103" s="21">
        <v>5.0</v>
      </c>
      <c r="T103" s="21">
        <f t="shared" si="10"/>
        <v>36.66666667</v>
      </c>
      <c r="U103" s="66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0" t="s">
        <v>56</v>
      </c>
      <c r="B1" s="71"/>
      <c r="C1" s="71"/>
      <c r="D1" s="72"/>
      <c r="E1" s="72"/>
      <c r="F1" s="71"/>
      <c r="G1" s="73"/>
      <c r="H1" s="73"/>
      <c r="I1" s="73"/>
      <c r="J1" s="71"/>
      <c r="K1" s="71"/>
      <c r="L1" s="71"/>
      <c r="M1" s="74"/>
      <c r="N1" s="73"/>
      <c r="O1" s="73"/>
      <c r="P1" s="73"/>
      <c r="U1" s="32"/>
      <c r="V1" s="30"/>
    </row>
    <row r="2">
      <c r="A2" s="75"/>
      <c r="B2" s="76" t="s">
        <v>57</v>
      </c>
      <c r="C2" s="76" t="s">
        <v>58</v>
      </c>
      <c r="D2" s="77" t="s">
        <v>59</v>
      </c>
      <c r="E2" s="77" t="s">
        <v>60</v>
      </c>
      <c r="F2" s="76" t="s">
        <v>61</v>
      </c>
      <c r="G2" s="78" t="s">
        <v>62</v>
      </c>
      <c r="H2" s="78" t="s">
        <v>63</v>
      </c>
      <c r="I2" s="78" t="s">
        <v>64</v>
      </c>
      <c r="J2" s="76"/>
      <c r="K2" s="76" t="s">
        <v>65</v>
      </c>
      <c r="L2" s="76" t="s">
        <v>66</v>
      </c>
      <c r="M2" s="79" t="s">
        <v>67</v>
      </c>
      <c r="N2" s="78" t="s">
        <v>68</v>
      </c>
      <c r="O2" s="78" t="s">
        <v>69</v>
      </c>
      <c r="P2" s="78" t="s">
        <v>70</v>
      </c>
      <c r="U2" s="32"/>
      <c r="V2" s="30"/>
    </row>
    <row r="3">
      <c r="A3" s="80" t="s">
        <v>38</v>
      </c>
      <c r="B3" s="16">
        <v>343.0</v>
      </c>
      <c r="C3" s="16">
        <v>343.0</v>
      </c>
      <c r="D3" s="16">
        <v>343.0</v>
      </c>
      <c r="E3" s="16">
        <v>343.0</v>
      </c>
      <c r="F3" s="81">
        <v>395.0</v>
      </c>
      <c r="G3" s="81">
        <v>395.0</v>
      </c>
      <c r="H3" s="81">
        <v>395.0</v>
      </c>
      <c r="I3" s="81">
        <v>395.0</v>
      </c>
      <c r="J3" s="81"/>
      <c r="K3" s="81">
        <v>395.0</v>
      </c>
      <c r="L3" s="81">
        <v>395.0</v>
      </c>
      <c r="M3" s="81">
        <v>395.0</v>
      </c>
      <c r="N3" s="16">
        <v>343.0</v>
      </c>
      <c r="O3" s="16">
        <v>343.0</v>
      </c>
      <c r="P3" s="16">
        <v>343.0</v>
      </c>
    </row>
    <row r="4">
      <c r="A4" s="80" t="s">
        <v>37</v>
      </c>
      <c r="B4" s="16">
        <v>1127.0</v>
      </c>
      <c r="C4" s="81">
        <v>724.0</v>
      </c>
      <c r="D4" s="81">
        <v>724.0</v>
      </c>
      <c r="E4" s="81">
        <v>724.0</v>
      </c>
      <c r="F4" s="81">
        <v>724.0</v>
      </c>
      <c r="G4" s="81">
        <v>724.0</v>
      </c>
      <c r="H4" s="81">
        <v>724.0</v>
      </c>
      <c r="I4" s="81">
        <v>724.0</v>
      </c>
      <c r="J4" s="81"/>
      <c r="K4" s="81">
        <v>724.0</v>
      </c>
      <c r="L4" s="81">
        <v>724.0</v>
      </c>
      <c r="M4" s="81">
        <v>724.0</v>
      </c>
      <c r="N4" s="81">
        <v>724.0</v>
      </c>
      <c r="O4" s="81">
        <v>724.0</v>
      </c>
      <c r="P4" s="81">
        <v>724.0</v>
      </c>
      <c r="Q4" s="36"/>
      <c r="R4" s="36"/>
      <c r="S4" s="36"/>
    </row>
    <row r="5">
      <c r="A5" s="80" t="s">
        <v>28</v>
      </c>
      <c r="B5" s="81">
        <v>1051.0</v>
      </c>
      <c r="C5" s="81">
        <v>1051.0</v>
      </c>
      <c r="D5" s="81">
        <v>1051.0</v>
      </c>
      <c r="E5" s="81">
        <v>1051.0</v>
      </c>
      <c r="F5" s="81">
        <v>1051.0</v>
      </c>
      <c r="G5" s="81">
        <v>1051.0</v>
      </c>
      <c r="H5" s="81">
        <v>1051.0</v>
      </c>
      <c r="I5" s="81">
        <v>1051.0</v>
      </c>
      <c r="J5" s="81"/>
      <c r="K5" s="81">
        <v>1051.0</v>
      </c>
      <c r="L5" s="81">
        <v>1051.0</v>
      </c>
      <c r="M5" s="81">
        <v>1051.0</v>
      </c>
      <c r="N5" s="81">
        <v>1051.0</v>
      </c>
      <c r="O5" s="81">
        <v>1051.0</v>
      </c>
      <c r="P5" s="81">
        <v>1051.0</v>
      </c>
      <c r="Q5" s="36"/>
      <c r="R5" s="36"/>
      <c r="S5" s="36"/>
    </row>
    <row r="6">
      <c r="A6" s="80" t="s">
        <v>29</v>
      </c>
      <c r="B6" s="16">
        <v>622.0</v>
      </c>
      <c r="C6" s="16">
        <v>622.0</v>
      </c>
      <c r="D6" s="16">
        <v>47.0</v>
      </c>
      <c r="E6" s="16">
        <v>47.0</v>
      </c>
      <c r="F6" s="16">
        <v>19.0</v>
      </c>
      <c r="G6" s="16">
        <v>19.0</v>
      </c>
      <c r="H6" s="81">
        <v>1623.0</v>
      </c>
      <c r="I6" s="81">
        <v>1623.0</v>
      </c>
      <c r="J6" s="81"/>
      <c r="K6" s="81">
        <v>1623.0</v>
      </c>
      <c r="L6" s="81">
        <v>1623.0</v>
      </c>
      <c r="M6" s="81">
        <v>1623.0</v>
      </c>
      <c r="N6" s="16">
        <v>47.0</v>
      </c>
      <c r="O6" s="16">
        <v>47.0</v>
      </c>
      <c r="P6" s="16">
        <v>47.0</v>
      </c>
    </row>
    <row r="7">
      <c r="A7" s="80" t="s">
        <v>25</v>
      </c>
      <c r="B7" s="16">
        <v>1447.0</v>
      </c>
      <c r="C7" s="16">
        <v>1606.0</v>
      </c>
      <c r="D7" s="16">
        <v>1447.0</v>
      </c>
      <c r="E7" s="16">
        <v>1545.0</v>
      </c>
      <c r="F7" s="16">
        <v>1051.0</v>
      </c>
      <c r="G7" s="16">
        <v>1051.0</v>
      </c>
      <c r="H7" s="81">
        <v>112.0</v>
      </c>
      <c r="I7" s="81">
        <v>112.0</v>
      </c>
      <c r="J7" s="81"/>
      <c r="K7" s="81">
        <v>112.0</v>
      </c>
      <c r="L7" s="81">
        <v>112.0</v>
      </c>
      <c r="M7" s="81">
        <v>112.0</v>
      </c>
      <c r="N7" s="16">
        <v>1606.0</v>
      </c>
      <c r="O7" s="82">
        <v>1243.0</v>
      </c>
      <c r="P7" s="16">
        <v>1606.0</v>
      </c>
    </row>
    <row r="8">
      <c r="O8" s="42"/>
    </row>
    <row r="9">
      <c r="O9" s="36"/>
      <c r="P9" s="43"/>
      <c r="Q9" s="43"/>
      <c r="R9" s="43"/>
      <c r="S9" s="43"/>
      <c r="V9" s="43"/>
    </row>
    <row r="10">
      <c r="A10" s="43"/>
      <c r="E10" s="20" t="s">
        <v>71</v>
      </c>
      <c r="O10" s="36"/>
      <c r="P10" s="43"/>
      <c r="Q10" s="43"/>
      <c r="R10" s="43"/>
      <c r="S10" s="83"/>
      <c r="T10" s="84"/>
    </row>
    <row r="11">
      <c r="A11" s="32"/>
      <c r="E11" s="19" t="s">
        <v>16</v>
      </c>
      <c r="F11" s="12">
        <v>343.0</v>
      </c>
      <c r="O11" s="36"/>
      <c r="P11" s="32"/>
      <c r="Q11" s="32"/>
      <c r="R11" s="32"/>
      <c r="S11" s="32"/>
      <c r="T11" s="32"/>
      <c r="V11" s="32"/>
      <c r="W11" s="32"/>
    </row>
    <row r="12">
      <c r="A12" s="85"/>
      <c r="E12" s="19" t="s">
        <v>18</v>
      </c>
      <c r="F12" s="12">
        <v>724.0</v>
      </c>
      <c r="O12" s="42"/>
      <c r="P12" s="85"/>
      <c r="Q12" s="85"/>
      <c r="S12" s="85"/>
      <c r="T12" s="85"/>
      <c r="V12" s="85"/>
      <c r="W12" s="85"/>
    </row>
    <row r="13">
      <c r="A13" s="85"/>
      <c r="E13" s="16" t="s">
        <v>19</v>
      </c>
      <c r="F13" s="12">
        <v>1051.0</v>
      </c>
      <c r="O13" s="42"/>
      <c r="P13" s="85"/>
      <c r="Q13" s="85"/>
      <c r="S13" s="85"/>
      <c r="T13" s="85"/>
      <c r="V13" s="85"/>
      <c r="W13" s="85"/>
    </row>
    <row r="14">
      <c r="A14" s="85"/>
      <c r="E14" s="16" t="s">
        <v>20</v>
      </c>
      <c r="F14" s="12">
        <v>47.0</v>
      </c>
      <c r="N14" s="42"/>
      <c r="O14" s="42"/>
      <c r="P14" s="85"/>
      <c r="Q14" s="85"/>
      <c r="S14" s="85"/>
      <c r="T14" s="85"/>
      <c r="V14" s="85"/>
      <c r="W14" s="85"/>
    </row>
    <row r="15">
      <c r="A15" s="43"/>
      <c r="B15" s="85"/>
      <c r="C15" s="85"/>
      <c r="D15" s="85"/>
      <c r="E15" s="16" t="s">
        <v>21</v>
      </c>
      <c r="F15" s="12">
        <v>1447.0</v>
      </c>
      <c r="G15" s="85"/>
      <c r="H15" s="85"/>
      <c r="I15" s="85"/>
      <c r="J15" s="85"/>
      <c r="K15" s="85"/>
      <c r="N15" s="85"/>
      <c r="O15" s="36"/>
      <c r="P15" s="43"/>
      <c r="Q15" s="43"/>
      <c r="R15" s="43"/>
      <c r="S15" s="85"/>
      <c r="T15" s="85"/>
      <c r="V15" s="85"/>
      <c r="W15" s="85"/>
    </row>
    <row r="16">
      <c r="A16" s="43"/>
      <c r="B16" s="85"/>
      <c r="C16" s="85"/>
      <c r="D16" s="85"/>
      <c r="E16" s="85"/>
      <c r="F16" s="85"/>
      <c r="G16" s="85"/>
      <c r="H16" s="85"/>
      <c r="I16" s="85"/>
      <c r="J16" s="85"/>
      <c r="K16" s="85"/>
      <c r="O16" s="36"/>
      <c r="P16" s="43"/>
      <c r="Q16" s="43"/>
      <c r="R16" s="43"/>
      <c r="S16" s="85"/>
      <c r="T16" s="85"/>
      <c r="V16" s="85"/>
    </row>
    <row r="17">
      <c r="O17" s="36"/>
      <c r="P17" s="85"/>
      <c r="Q17" s="85"/>
      <c r="S17" s="85"/>
      <c r="T17" s="85"/>
    </row>
    <row r="18">
      <c r="A18" s="36"/>
      <c r="E18" s="20" t="s">
        <v>72</v>
      </c>
      <c r="O18" s="36"/>
      <c r="P18" s="36"/>
      <c r="Q18" s="36"/>
      <c r="R18" s="36"/>
      <c r="S18" s="85"/>
      <c r="T18" s="85"/>
      <c r="W18" s="85"/>
    </row>
    <row r="19">
      <c r="A19" s="36"/>
      <c r="E19" s="19" t="s">
        <v>16</v>
      </c>
      <c r="F19" s="12">
        <v>663.0</v>
      </c>
      <c r="O19" s="36"/>
      <c r="P19" s="36"/>
      <c r="Q19" s="36"/>
      <c r="R19" s="36"/>
      <c r="S19" s="85"/>
      <c r="T19" s="85"/>
    </row>
    <row r="20">
      <c r="E20" s="19" t="s">
        <v>18</v>
      </c>
      <c r="F20" s="12">
        <v>654.0</v>
      </c>
      <c r="O20" s="36"/>
      <c r="Q20" s="85"/>
      <c r="S20" s="85"/>
      <c r="T20" s="85"/>
    </row>
    <row r="21">
      <c r="E21" s="16" t="s">
        <v>19</v>
      </c>
      <c r="F21" s="12">
        <v>1051.0</v>
      </c>
      <c r="O21" s="36"/>
      <c r="P21" s="85"/>
      <c r="T21" s="85"/>
    </row>
    <row r="22">
      <c r="E22" s="16" t="s">
        <v>20</v>
      </c>
      <c r="F22" s="12">
        <v>622.0</v>
      </c>
      <c r="M22" s="43"/>
      <c r="O22" s="42"/>
      <c r="P22" s="85"/>
      <c r="T22" s="85"/>
    </row>
    <row r="23">
      <c r="E23" s="16" t="s">
        <v>21</v>
      </c>
      <c r="F23" s="12">
        <v>1545.0</v>
      </c>
      <c r="M23" s="43"/>
      <c r="O23" s="42"/>
      <c r="T23" s="85"/>
    </row>
    <row r="24">
      <c r="M24" s="43"/>
      <c r="O24" s="42"/>
      <c r="Q24" s="85"/>
      <c r="T24" s="85"/>
    </row>
    <row r="25">
      <c r="O25" s="42"/>
    </row>
    <row r="26">
      <c r="O26" s="42"/>
      <c r="T26" s="85"/>
    </row>
    <row r="27">
      <c r="N27" s="42"/>
      <c r="O27" s="42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86" t="s">
        <v>62</v>
      </c>
      <c r="I32" s="4" t="s">
        <v>47</v>
      </c>
      <c r="J32" s="4" t="s">
        <v>48</v>
      </c>
      <c r="K32" s="4" t="s">
        <v>49</v>
      </c>
      <c r="L32" s="87" t="s">
        <v>50</v>
      </c>
      <c r="M32" s="87" t="s">
        <v>45</v>
      </c>
      <c r="N32" s="61" t="s">
        <v>64</v>
      </c>
      <c r="O32" s="88" t="s">
        <v>44</v>
      </c>
    </row>
    <row r="33">
      <c r="C33" s="8">
        <v>6.0</v>
      </c>
      <c r="D33" s="9" t="s">
        <v>13</v>
      </c>
      <c r="E33" s="10">
        <v>45685.0</v>
      </c>
      <c r="F33" s="11">
        <v>616.0</v>
      </c>
      <c r="G33" s="12" t="s">
        <v>14</v>
      </c>
      <c r="H33" s="89">
        <f>5.8410821479406*100</f>
        <v>584.1082148</v>
      </c>
      <c r="I33" s="21">
        <v>70.0</v>
      </c>
      <c r="J33" s="21">
        <v>45.0</v>
      </c>
      <c r="K33" s="21">
        <v>10.0</v>
      </c>
      <c r="L33" s="90"/>
      <c r="M33" s="90"/>
      <c r="N33" s="13">
        <v>31833.0939389723</v>
      </c>
      <c r="O33" s="91">
        <f>N33/H33</f>
        <v>54.49862394</v>
      </c>
    </row>
    <row r="34">
      <c r="C34" s="16">
        <v>167.0</v>
      </c>
      <c r="D34" s="16" t="s">
        <v>15</v>
      </c>
      <c r="E34" s="10"/>
      <c r="F34" s="10"/>
      <c r="G34" s="10"/>
      <c r="H34" s="92"/>
      <c r="I34" s="17"/>
      <c r="J34" s="17"/>
      <c r="K34" s="17"/>
      <c r="L34" s="90"/>
      <c r="M34" s="93"/>
      <c r="N34" s="66"/>
      <c r="O34" s="94"/>
    </row>
    <row r="35">
      <c r="C35" s="95">
        <v>48.0</v>
      </c>
      <c r="D35" s="69" t="s">
        <v>16</v>
      </c>
      <c r="E35" s="10">
        <v>45679.0</v>
      </c>
      <c r="F35" s="12">
        <v>343.0</v>
      </c>
      <c r="G35" s="12" t="s">
        <v>14</v>
      </c>
      <c r="H35" s="89">
        <f>1.95083127981317*100</f>
        <v>195.083128</v>
      </c>
      <c r="I35" s="21">
        <v>10.0</v>
      </c>
      <c r="J35" s="21">
        <v>25.0</v>
      </c>
      <c r="K35" s="21">
        <v>25.0</v>
      </c>
      <c r="L35" s="91">
        <f t="shared" ref="L35:L39" si="1">AVERAGE(I35:K35)</f>
        <v>20</v>
      </c>
      <c r="M35" s="94">
        <f>L35*'Data preparation'!$C$2</f>
        <v>2</v>
      </c>
      <c r="N35" s="13">
        <v>2031.72738744972</v>
      </c>
      <c r="O35" s="91">
        <f t="shared" ref="O35:O39" si="2">N35/H35</f>
        <v>10.41467506</v>
      </c>
    </row>
    <row r="36">
      <c r="C36" s="68">
        <v>55.0</v>
      </c>
      <c r="D36" s="69" t="s">
        <v>18</v>
      </c>
      <c r="E36" s="10">
        <v>45679.0</v>
      </c>
      <c r="F36" s="12">
        <v>724.0</v>
      </c>
      <c r="G36" s="12" t="s">
        <v>14</v>
      </c>
      <c r="H36" s="89">
        <f>3.44623889518345*100</f>
        <v>344.6238895</v>
      </c>
      <c r="I36" s="13">
        <v>70.0</v>
      </c>
      <c r="J36" s="13">
        <v>45.0</v>
      </c>
      <c r="K36" s="13">
        <v>45.0</v>
      </c>
      <c r="L36" s="91">
        <f t="shared" si="1"/>
        <v>53.33333333</v>
      </c>
      <c r="M36" s="94">
        <f>L36*'Data preparation'!$C$2</f>
        <v>5.333333333</v>
      </c>
      <c r="N36" s="13">
        <v>7144.81139954358</v>
      </c>
      <c r="O36" s="91">
        <f t="shared" si="2"/>
        <v>20.73219999</v>
      </c>
    </row>
    <row r="37">
      <c r="C37" s="68">
        <v>59.0</v>
      </c>
      <c r="D37" s="68" t="s">
        <v>19</v>
      </c>
      <c r="E37" s="10">
        <v>45680.0</v>
      </c>
      <c r="F37" s="12">
        <v>1051.0</v>
      </c>
      <c r="G37" s="12" t="s">
        <v>14</v>
      </c>
      <c r="H37" s="89">
        <f>5.03501136998037*100</f>
        <v>503.501137</v>
      </c>
      <c r="I37" s="13">
        <v>70.0</v>
      </c>
      <c r="J37" s="13">
        <v>70.0</v>
      </c>
      <c r="K37" s="13">
        <v>10.0</v>
      </c>
      <c r="L37" s="91">
        <f t="shared" si="1"/>
        <v>50</v>
      </c>
      <c r="M37" s="94">
        <f>L37*'Data preparation'!$C$2</f>
        <v>5</v>
      </c>
      <c r="N37" s="96">
        <v>73522.0120009396</v>
      </c>
      <c r="O37" s="91">
        <f t="shared" si="2"/>
        <v>146.0215412</v>
      </c>
    </row>
    <row r="38">
      <c r="C38" s="68">
        <v>77.0</v>
      </c>
      <c r="D38" s="68" t="s">
        <v>20</v>
      </c>
      <c r="E38" s="10">
        <v>45677.0</v>
      </c>
      <c r="F38" s="12">
        <v>281.0</v>
      </c>
      <c r="G38" s="12" t="s">
        <v>14</v>
      </c>
      <c r="H38" s="89">
        <f>2.76792853614368*100</f>
        <v>276.7928536</v>
      </c>
      <c r="I38" s="21">
        <v>10.0</v>
      </c>
      <c r="J38" s="21">
        <v>70.0</v>
      </c>
      <c r="K38" s="21">
        <v>70.0</v>
      </c>
      <c r="L38" s="93">
        <f t="shared" si="1"/>
        <v>50</v>
      </c>
      <c r="M38" s="94">
        <f>L38*'Data preparation'!$C$2</f>
        <v>5</v>
      </c>
      <c r="N38" s="13">
        <v>13938.355259875</v>
      </c>
      <c r="O38" s="91">
        <f t="shared" si="2"/>
        <v>50.3566298</v>
      </c>
    </row>
    <row r="39">
      <c r="C39" s="68">
        <v>148.0</v>
      </c>
      <c r="D39" s="68" t="s">
        <v>21</v>
      </c>
      <c r="E39" s="10">
        <v>45677.0</v>
      </c>
      <c r="F39" s="12">
        <v>1051.0</v>
      </c>
      <c r="G39" s="12" t="s">
        <v>14</v>
      </c>
      <c r="H39" s="89">
        <f>4.33116583093229*100</f>
        <v>433.1165831</v>
      </c>
      <c r="I39" s="21">
        <v>45.0</v>
      </c>
      <c r="J39" s="21">
        <v>10.0</v>
      </c>
      <c r="K39" s="21">
        <v>25.0</v>
      </c>
      <c r="L39" s="91">
        <f t="shared" si="1"/>
        <v>26.66666667</v>
      </c>
      <c r="M39" s="94">
        <f>L39*'Data preparation'!$C$2</f>
        <v>2.666666667</v>
      </c>
      <c r="N39" s="13">
        <v>5748.94662953238</v>
      </c>
      <c r="O39" s="91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0">
        <v>1681.0</v>
      </c>
      <c r="B2" s="20">
        <v>0.07</v>
      </c>
      <c r="C2" s="20"/>
      <c r="D2" s="20">
        <v>0.74</v>
      </c>
      <c r="G2" s="20">
        <v>1681.0</v>
      </c>
      <c r="H2" s="20"/>
      <c r="I2" s="20"/>
      <c r="J2" s="20"/>
      <c r="K2" s="20">
        <v>0.13</v>
      </c>
      <c r="L2" s="20">
        <v>0.78</v>
      </c>
    </row>
    <row r="3">
      <c r="A3" s="20">
        <v>683.0</v>
      </c>
      <c r="B3" s="45">
        <v>0.12</v>
      </c>
      <c r="C3" s="20"/>
      <c r="D3" s="20">
        <v>0.93</v>
      </c>
      <c r="G3" s="20">
        <v>683.0</v>
      </c>
      <c r="H3" s="20"/>
      <c r="I3" s="20"/>
      <c r="J3" s="20"/>
      <c r="K3" s="20">
        <v>0.13</v>
      </c>
      <c r="L3" s="20">
        <v>0.91</v>
      </c>
    </row>
    <row r="4">
      <c r="A4" s="20">
        <v>354.0</v>
      </c>
      <c r="B4" s="20">
        <v>0.01</v>
      </c>
      <c r="C4" s="20"/>
      <c r="D4" s="20">
        <v>0.76</v>
      </c>
      <c r="G4" s="20">
        <v>354.0</v>
      </c>
      <c r="H4" s="20"/>
      <c r="I4" s="20"/>
      <c r="J4" s="20"/>
      <c r="K4" s="20">
        <v>0.09</v>
      </c>
      <c r="L4" s="20">
        <v>0.85</v>
      </c>
    </row>
    <row r="5">
      <c r="A5" s="20">
        <v>1023.0</v>
      </c>
      <c r="B5" s="45">
        <v>0.24</v>
      </c>
      <c r="C5" s="20"/>
      <c r="D5" s="20">
        <v>0.94</v>
      </c>
      <c r="G5" s="20">
        <v>1023.0</v>
      </c>
      <c r="H5" s="20"/>
      <c r="I5" s="20"/>
      <c r="J5" s="20"/>
      <c r="K5" s="20">
        <v>0.22</v>
      </c>
      <c r="L5" s="20">
        <v>0.91</v>
      </c>
    </row>
    <row r="6">
      <c r="A6" s="20">
        <v>508.0</v>
      </c>
      <c r="B6" s="45">
        <v>0.38</v>
      </c>
      <c r="C6" s="20"/>
      <c r="D6" s="20">
        <v>1.0</v>
      </c>
      <c r="G6" s="20">
        <v>508.0</v>
      </c>
      <c r="H6" s="20"/>
      <c r="I6" s="20"/>
      <c r="J6" s="20"/>
      <c r="K6" s="20">
        <v>0.45</v>
      </c>
      <c r="L6" s="20">
        <v>1.0</v>
      </c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</row>
    <row r="9">
      <c r="B9" s="20" t="s">
        <v>73</v>
      </c>
      <c r="C9" s="20" t="s">
        <v>74</v>
      </c>
      <c r="D9" s="20" t="s">
        <v>75</v>
      </c>
    </row>
    <row r="10">
      <c r="A10" s="20">
        <v>1681.0</v>
      </c>
      <c r="B10" s="20">
        <v>410.0</v>
      </c>
      <c r="C10" s="20">
        <v>342.0</v>
      </c>
      <c r="D10" s="97">
        <f t="shared" ref="D10:D14" si="1">(C10-B10)/B10</f>
        <v>-0.1658536585</v>
      </c>
      <c r="F10" s="20" t="s">
        <v>76</v>
      </c>
    </row>
    <row r="11">
      <c r="A11" s="20">
        <v>683.0</v>
      </c>
      <c r="B11" s="20">
        <v>440.0</v>
      </c>
      <c r="C11" s="20">
        <v>374.0</v>
      </c>
      <c r="D11" s="97">
        <f t="shared" si="1"/>
        <v>-0.15</v>
      </c>
      <c r="F11" s="20" t="s">
        <v>77</v>
      </c>
    </row>
    <row r="12">
      <c r="A12" s="20">
        <v>354.0</v>
      </c>
      <c r="B12" s="20">
        <v>585.0</v>
      </c>
      <c r="C12" s="20">
        <v>447.0</v>
      </c>
      <c r="D12" s="97">
        <f t="shared" si="1"/>
        <v>-0.2358974359</v>
      </c>
    </row>
    <row r="13">
      <c r="A13" s="20">
        <v>1023.0</v>
      </c>
      <c r="D13" s="97" t="str">
        <f t="shared" si="1"/>
        <v>#DIV/0!</v>
      </c>
    </row>
    <row r="14">
      <c r="A14" s="20">
        <v>508.0</v>
      </c>
      <c r="D14" s="97" t="str">
        <f t="shared" si="1"/>
        <v>#DIV/0!</v>
      </c>
    </row>
    <row r="16">
      <c r="H16" s="20" t="s">
        <v>78</v>
      </c>
    </row>
    <row r="17">
      <c r="G17" s="98"/>
      <c r="H17" s="30" t="s">
        <v>79</v>
      </c>
      <c r="I17" s="30" t="s">
        <v>80</v>
      </c>
    </row>
    <row r="18">
      <c r="A18" s="20">
        <v>332.0</v>
      </c>
      <c r="B18" s="20">
        <v>0.05</v>
      </c>
      <c r="C18" s="20">
        <v>0.85</v>
      </c>
      <c r="G18" s="99" t="s">
        <v>38</v>
      </c>
      <c r="H18" s="20">
        <v>332.0</v>
      </c>
      <c r="I18" s="100" t="s">
        <v>81</v>
      </c>
    </row>
    <row r="19">
      <c r="A19" s="20">
        <v>518.0</v>
      </c>
      <c r="B19" s="20">
        <v>0.01</v>
      </c>
      <c r="C19" s="20">
        <v>0.81</v>
      </c>
      <c r="G19" s="99" t="s">
        <v>37</v>
      </c>
      <c r="H19" s="20" t="s">
        <v>82</v>
      </c>
      <c r="I19" s="20" t="s">
        <v>83</v>
      </c>
    </row>
    <row r="20">
      <c r="A20" s="20">
        <v>1082.0</v>
      </c>
      <c r="B20" s="20">
        <v>0.04</v>
      </c>
      <c r="C20" s="20">
        <v>0.89</v>
      </c>
      <c r="G20" s="99" t="s">
        <v>28</v>
      </c>
      <c r="H20" s="20">
        <v>411.0</v>
      </c>
      <c r="I20" s="20" t="s">
        <v>84</v>
      </c>
    </row>
    <row r="21">
      <c r="G21" s="99" t="s">
        <v>29</v>
      </c>
      <c r="H21" s="20" t="s">
        <v>85</v>
      </c>
      <c r="I21" s="20" t="s">
        <v>86</v>
      </c>
    </row>
    <row r="22">
      <c r="G22" s="99" t="s">
        <v>25</v>
      </c>
      <c r="H22" s="20" t="s">
        <v>87</v>
      </c>
      <c r="I22" s="20" t="s">
        <v>88</v>
      </c>
    </row>
    <row r="24">
      <c r="B24" s="9"/>
      <c r="I24" s="20" t="s">
        <v>89</v>
      </c>
    </row>
    <row r="25">
      <c r="B25" s="2" t="s">
        <v>1</v>
      </c>
      <c r="I25" s="20" t="s">
        <v>90</v>
      </c>
    </row>
    <row r="26">
      <c r="B26" s="19" t="s">
        <v>16</v>
      </c>
      <c r="C26" s="20">
        <v>332.0</v>
      </c>
      <c r="M26" s="42"/>
      <c r="N26" s="42"/>
    </row>
    <row r="27">
      <c r="B27" s="19" t="s">
        <v>18</v>
      </c>
      <c r="C27" s="20">
        <v>1288.0</v>
      </c>
      <c r="M27" s="42"/>
      <c r="N27" s="42"/>
    </row>
    <row r="28">
      <c r="B28" s="16" t="s">
        <v>19</v>
      </c>
      <c r="C28" s="20">
        <v>411.0</v>
      </c>
      <c r="M28" s="42"/>
      <c r="N28" s="42"/>
    </row>
    <row r="29">
      <c r="B29" s="16" t="s">
        <v>20</v>
      </c>
      <c r="C29" s="20">
        <v>1015.0</v>
      </c>
      <c r="M29" s="42"/>
      <c r="N29" s="42"/>
    </row>
    <row r="30">
      <c r="B30" s="16" t="s">
        <v>21</v>
      </c>
      <c r="C30" s="20">
        <v>530.0</v>
      </c>
      <c r="I30" s="30" t="s">
        <v>91</v>
      </c>
      <c r="M30" s="42"/>
      <c r="N30" s="42"/>
    </row>
    <row r="31">
      <c r="I31" s="30" t="s">
        <v>92</v>
      </c>
      <c r="M31" s="42"/>
      <c r="N31" s="42"/>
    </row>
    <row r="32">
      <c r="I32" s="20" t="s">
        <v>93</v>
      </c>
      <c r="M32" s="42"/>
      <c r="N32" s="42"/>
    </row>
    <row r="33">
      <c r="I33" s="20" t="s">
        <v>94</v>
      </c>
      <c r="M33" s="42"/>
      <c r="N33" s="42"/>
    </row>
    <row r="34">
      <c r="M34" s="42"/>
      <c r="N34" s="42"/>
    </row>
    <row r="35">
      <c r="I35" s="20" t="s">
        <v>95</v>
      </c>
      <c r="M35" s="42"/>
      <c r="N35" s="42"/>
    </row>
    <row r="36">
      <c r="M36" s="42"/>
      <c r="N36" s="42"/>
    </row>
    <row r="37">
      <c r="M37" s="42"/>
      <c r="N37" s="42"/>
    </row>
    <row r="38">
      <c r="M38" s="42"/>
      <c r="N38" s="42"/>
    </row>
    <row r="39">
      <c r="I39" s="30" t="s">
        <v>96</v>
      </c>
      <c r="M39" s="42"/>
      <c r="N39" s="42"/>
    </row>
    <row r="40">
      <c r="I40" s="20" t="s">
        <v>97</v>
      </c>
      <c r="M40" s="42"/>
      <c r="N40" s="42"/>
    </row>
    <row r="41">
      <c r="I41" s="20" t="s">
        <v>98</v>
      </c>
      <c r="M41" s="42"/>
      <c r="N41" s="42"/>
    </row>
    <row r="42">
      <c r="I42" s="51" t="s">
        <v>99</v>
      </c>
      <c r="M42" s="42"/>
      <c r="N42" s="42"/>
    </row>
    <row r="43">
      <c r="M43" s="42"/>
      <c r="N43" s="42"/>
    </row>
    <row r="44">
      <c r="I44" s="30" t="s">
        <v>100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101</v>
      </c>
    </row>
    <row r="3">
      <c r="C3" s="20" t="s">
        <v>102</v>
      </c>
      <c r="D3" s="20" t="s">
        <v>103</v>
      </c>
      <c r="H3" s="20" t="s">
        <v>104</v>
      </c>
      <c r="K3" s="42"/>
      <c r="L3" s="42"/>
    </row>
    <row r="4">
      <c r="B4" s="20" t="s">
        <v>38</v>
      </c>
      <c r="C4" s="30" t="s">
        <v>105</v>
      </c>
      <c r="D4" s="30" t="s">
        <v>105</v>
      </c>
      <c r="H4" s="20" t="s">
        <v>106</v>
      </c>
      <c r="I4" s="101"/>
      <c r="J4" s="101"/>
      <c r="K4" s="42"/>
      <c r="L4" s="42"/>
    </row>
    <row r="5">
      <c r="B5" s="30" t="s">
        <v>107</v>
      </c>
      <c r="C5" s="32">
        <f t="shared" ref="C5:D5" si="1">SUM(C6:C18)</f>
        <v>23.59</v>
      </c>
      <c r="D5" s="32">
        <f t="shared" si="1"/>
        <v>33.21</v>
      </c>
      <c r="E5" s="97">
        <f>(D5-C5)/C5</f>
        <v>0.4077999152</v>
      </c>
      <c r="F5" s="20" t="s">
        <v>108</v>
      </c>
    </row>
    <row r="6">
      <c r="C6" s="20">
        <v>2.99</v>
      </c>
      <c r="D6" s="20">
        <v>4.4</v>
      </c>
    </row>
    <row r="7">
      <c r="C7" s="20">
        <v>3.75</v>
      </c>
      <c r="D7" s="20">
        <v>3.06</v>
      </c>
      <c r="H7" s="20" t="s">
        <v>109</v>
      </c>
    </row>
    <row r="8">
      <c r="C8" s="20">
        <v>3.6</v>
      </c>
      <c r="D8" s="20">
        <v>2.27</v>
      </c>
    </row>
    <row r="9">
      <c r="C9" s="20">
        <v>1.86</v>
      </c>
      <c r="D9" s="20">
        <v>2.3</v>
      </c>
      <c r="H9" s="20" t="s">
        <v>110</v>
      </c>
    </row>
    <row r="10">
      <c r="C10" s="20">
        <v>1.49</v>
      </c>
      <c r="D10" s="20">
        <v>1.89</v>
      </c>
    </row>
    <row r="11">
      <c r="C11" s="20">
        <v>0.3</v>
      </c>
      <c r="D11" s="20">
        <v>4.18</v>
      </c>
      <c r="H11" s="20" t="s">
        <v>111</v>
      </c>
    </row>
    <row r="12">
      <c r="C12" s="20">
        <v>1.11</v>
      </c>
      <c r="D12" s="20">
        <v>3.1</v>
      </c>
    </row>
    <row r="13">
      <c r="C13" s="20">
        <v>2.12</v>
      </c>
      <c r="D13" s="20">
        <v>2.35</v>
      </c>
      <c r="H13" s="20" t="s">
        <v>112</v>
      </c>
    </row>
    <row r="14">
      <c r="C14" s="20">
        <v>2.27</v>
      </c>
      <c r="D14" s="20">
        <v>1.89</v>
      </c>
    </row>
    <row r="15">
      <c r="C15" s="20">
        <v>1.29</v>
      </c>
      <c r="D15" s="20">
        <v>1.84</v>
      </c>
    </row>
    <row r="16">
      <c r="C16" s="20">
        <v>0.73</v>
      </c>
      <c r="D16" s="20">
        <v>1.37</v>
      </c>
      <c r="H16" s="20" t="s">
        <v>113</v>
      </c>
    </row>
    <row r="17">
      <c r="C17" s="20">
        <v>1.01</v>
      </c>
      <c r="D17" s="20">
        <v>2.3</v>
      </c>
    </row>
    <row r="18">
      <c r="C18" s="20">
        <v>1.07</v>
      </c>
      <c r="D18" s="20">
        <v>2.26</v>
      </c>
    </row>
    <row r="20">
      <c r="B20" s="30" t="s">
        <v>37</v>
      </c>
      <c r="C20" s="30" t="s">
        <v>102</v>
      </c>
      <c r="D20" s="30" t="s">
        <v>103</v>
      </c>
    </row>
    <row r="21">
      <c r="B21" s="30" t="s">
        <v>107</v>
      </c>
      <c r="C21" s="32">
        <f t="shared" ref="C21:D21" si="2">sum(C22:C34)</f>
        <v>17.92</v>
      </c>
      <c r="D21" s="32">
        <f t="shared" si="2"/>
        <v>25.11</v>
      </c>
      <c r="E21" s="97">
        <f>(D21-C21)/C21</f>
        <v>0.4012276786</v>
      </c>
      <c r="F21" s="20" t="s">
        <v>108</v>
      </c>
    </row>
    <row r="22">
      <c r="C22" s="20">
        <v>1.97</v>
      </c>
      <c r="D22" s="20">
        <v>3.42</v>
      </c>
    </row>
    <row r="23">
      <c r="C23" s="20">
        <v>1.37</v>
      </c>
      <c r="D23" s="20">
        <v>2.97</v>
      </c>
    </row>
    <row r="24">
      <c r="C24" s="20">
        <v>0.9</v>
      </c>
      <c r="D24" s="20">
        <v>1.97</v>
      </c>
    </row>
    <row r="25">
      <c r="C25" s="20">
        <v>1.11</v>
      </c>
      <c r="D25" s="20">
        <v>1.29</v>
      </c>
    </row>
    <row r="26">
      <c r="C26" s="20">
        <v>1.42</v>
      </c>
      <c r="D26" s="20">
        <v>1.68</v>
      </c>
    </row>
    <row r="27">
      <c r="C27" s="20">
        <v>1.63</v>
      </c>
      <c r="D27" s="20">
        <v>1.37</v>
      </c>
    </row>
    <row r="28">
      <c r="C28" s="20">
        <v>2.46</v>
      </c>
      <c r="D28" s="20">
        <v>2.09</v>
      </c>
    </row>
    <row r="29">
      <c r="C29" s="20">
        <v>2.77</v>
      </c>
      <c r="D29" s="20">
        <v>1.34</v>
      </c>
    </row>
    <row r="30">
      <c r="C30" s="20">
        <v>1.67</v>
      </c>
      <c r="D30" s="20">
        <v>3.31</v>
      </c>
    </row>
    <row r="31">
      <c r="C31" s="20">
        <v>0.3</v>
      </c>
      <c r="D31" s="20">
        <v>1.58</v>
      </c>
    </row>
    <row r="32">
      <c r="C32" s="20">
        <v>1.63</v>
      </c>
      <c r="D32" s="20">
        <v>0.92</v>
      </c>
    </row>
    <row r="33">
      <c r="C33" s="20">
        <v>0.09</v>
      </c>
      <c r="D33" s="20">
        <v>0.91</v>
      </c>
    </row>
    <row r="34">
      <c r="C34" s="20">
        <v>0.6</v>
      </c>
      <c r="D34" s="20">
        <v>2.26</v>
      </c>
    </row>
    <row r="37">
      <c r="B37" s="30" t="s">
        <v>28</v>
      </c>
      <c r="C37" s="30" t="s">
        <v>102</v>
      </c>
      <c r="D37" s="30" t="s">
        <v>103</v>
      </c>
    </row>
    <row r="38">
      <c r="B38" s="30" t="s">
        <v>107</v>
      </c>
      <c r="C38" s="32">
        <f t="shared" ref="C38:D38" si="3">sum(C39:C51)</f>
        <v>41.51</v>
      </c>
      <c r="D38" s="32">
        <f t="shared" si="3"/>
        <v>42.82</v>
      </c>
      <c r="E38" s="97">
        <f>(D38-C38)/C38</f>
        <v>0.03155866056</v>
      </c>
      <c r="F38" s="20" t="s">
        <v>114</v>
      </c>
    </row>
    <row r="39">
      <c r="C39" s="20">
        <v>1.76</v>
      </c>
      <c r="D39" s="20">
        <v>3.01</v>
      </c>
    </row>
    <row r="40">
      <c r="C40" s="20">
        <v>5.05</v>
      </c>
      <c r="D40" s="20">
        <v>5.05</v>
      </c>
    </row>
    <row r="41">
      <c r="C41" s="20">
        <v>3.96</v>
      </c>
      <c r="D41" s="20">
        <v>3.16</v>
      </c>
    </row>
    <row r="42">
      <c r="C42" s="20">
        <v>3.42</v>
      </c>
      <c r="D42" s="20">
        <v>2.13</v>
      </c>
    </row>
    <row r="43">
      <c r="C43" s="20">
        <v>4.29</v>
      </c>
      <c r="D43" s="20">
        <v>3.96</v>
      </c>
    </row>
    <row r="44">
      <c r="C44" s="20">
        <v>4.28</v>
      </c>
      <c r="D44" s="20">
        <v>2.16</v>
      </c>
    </row>
    <row r="45">
      <c r="C45" s="20">
        <v>3.14</v>
      </c>
      <c r="D45" s="20">
        <v>1.69</v>
      </c>
    </row>
    <row r="46">
      <c r="C46" s="20">
        <v>4.19</v>
      </c>
      <c r="D46" s="20">
        <v>4.28</v>
      </c>
    </row>
    <row r="47">
      <c r="C47" s="20">
        <v>3.32</v>
      </c>
      <c r="D47" s="20">
        <v>3.98</v>
      </c>
    </row>
    <row r="48">
      <c r="C48" s="20">
        <v>0.93</v>
      </c>
      <c r="D48" s="20">
        <v>4.76</v>
      </c>
    </row>
    <row r="49">
      <c r="C49" s="20">
        <v>4.38</v>
      </c>
      <c r="D49" s="20">
        <v>2.07</v>
      </c>
      <c r="K49" s="42"/>
      <c r="L49" s="42"/>
    </row>
    <row r="50">
      <c r="C50" s="20">
        <v>2.21</v>
      </c>
      <c r="D50" s="20">
        <v>3.14</v>
      </c>
      <c r="K50" s="42"/>
      <c r="L50" s="42"/>
    </row>
    <row r="51">
      <c r="C51" s="20">
        <v>0.58</v>
      </c>
      <c r="D51" s="20">
        <v>3.43</v>
      </c>
      <c r="K51" s="42"/>
      <c r="L51" s="42"/>
    </row>
    <row r="52">
      <c r="K52" s="42"/>
      <c r="L52" s="42"/>
    </row>
    <row r="53">
      <c r="K53" s="42"/>
      <c r="L53" s="42"/>
    </row>
    <row r="54">
      <c r="B54" s="30" t="s">
        <v>29</v>
      </c>
      <c r="C54" s="30" t="s">
        <v>102</v>
      </c>
      <c r="D54" s="30" t="s">
        <v>103</v>
      </c>
      <c r="K54" s="42"/>
      <c r="L54" s="42"/>
    </row>
    <row r="55">
      <c r="B55" s="30" t="s">
        <v>107</v>
      </c>
      <c r="C55" s="32">
        <f>sum(C56:C69)</f>
        <v>26.14</v>
      </c>
      <c r="D55" s="32">
        <f>sum(D56:D68)</f>
        <v>26.29</v>
      </c>
      <c r="E55" s="97">
        <f>(D55-C55)/C55</f>
        <v>0.005738332058</v>
      </c>
      <c r="F55" s="20" t="s">
        <v>114</v>
      </c>
      <c r="K55" s="42"/>
      <c r="L55" s="42"/>
    </row>
    <row r="56">
      <c r="C56" s="20">
        <v>1.37</v>
      </c>
      <c r="D56" s="20">
        <v>4.62</v>
      </c>
      <c r="K56" s="42"/>
      <c r="L56" s="42"/>
    </row>
    <row r="57">
      <c r="C57" s="20">
        <v>2.53</v>
      </c>
      <c r="D57" s="20">
        <v>1.75</v>
      </c>
      <c r="K57" s="42"/>
      <c r="L57" s="42"/>
    </row>
    <row r="58">
      <c r="C58" s="20">
        <v>2.5</v>
      </c>
      <c r="D58" s="20">
        <v>2.53</v>
      </c>
      <c r="K58" s="42"/>
      <c r="L58" s="42"/>
    </row>
    <row r="59">
      <c r="C59" s="20">
        <v>4.62</v>
      </c>
      <c r="D59" s="20">
        <v>2.5</v>
      </c>
      <c r="K59" s="42"/>
      <c r="L59" s="42"/>
    </row>
    <row r="60">
      <c r="C60" s="20">
        <v>1.51</v>
      </c>
      <c r="D60" s="20">
        <v>1.85</v>
      </c>
      <c r="K60" s="42"/>
      <c r="L60" s="42"/>
    </row>
    <row r="61">
      <c r="C61" s="20">
        <v>2.54</v>
      </c>
      <c r="D61" s="20">
        <v>1.51</v>
      </c>
      <c r="K61" s="42"/>
      <c r="L61" s="42"/>
    </row>
    <row r="62">
      <c r="C62" s="20">
        <v>1.9</v>
      </c>
      <c r="D62" s="20">
        <v>1.09</v>
      </c>
      <c r="K62" s="42"/>
      <c r="L62" s="42"/>
    </row>
    <row r="63">
      <c r="C63" s="20">
        <v>1.79</v>
      </c>
      <c r="D63" s="20">
        <v>1.39</v>
      </c>
      <c r="K63" s="42"/>
      <c r="L63" s="42"/>
    </row>
    <row r="64">
      <c r="C64" s="20">
        <v>1.95</v>
      </c>
      <c r="D64" s="20">
        <v>1.17</v>
      </c>
      <c r="K64" s="42"/>
      <c r="L64" s="42"/>
    </row>
    <row r="65">
      <c r="C65" s="20">
        <v>0.87</v>
      </c>
      <c r="D65" s="20">
        <v>1.9</v>
      </c>
      <c r="K65" s="42"/>
      <c r="L65" s="42"/>
    </row>
    <row r="66">
      <c r="C66" s="20">
        <v>1.46</v>
      </c>
      <c r="D66" s="20">
        <v>1.02</v>
      </c>
      <c r="K66" s="42"/>
      <c r="L66" s="42"/>
    </row>
    <row r="67">
      <c r="C67" s="20">
        <v>0.59</v>
      </c>
      <c r="D67" s="20">
        <v>2.42</v>
      </c>
      <c r="K67" s="42"/>
      <c r="L67" s="42"/>
    </row>
    <row r="68">
      <c r="C68" s="20">
        <v>0.6</v>
      </c>
      <c r="D68" s="20">
        <v>2.54</v>
      </c>
      <c r="K68" s="42"/>
      <c r="L68" s="42"/>
    </row>
    <row r="69">
      <c r="C69" s="20">
        <v>1.91</v>
      </c>
      <c r="D69" s="20">
        <v>1.46</v>
      </c>
      <c r="K69" s="42"/>
      <c r="L69" s="42"/>
    </row>
    <row r="70">
      <c r="K70" s="42"/>
      <c r="L70" s="42"/>
    </row>
    <row r="71">
      <c r="B71" s="30" t="s">
        <v>25</v>
      </c>
      <c r="C71" s="30" t="s">
        <v>102</v>
      </c>
      <c r="D71" s="30" t="s">
        <v>103</v>
      </c>
      <c r="K71" s="42"/>
      <c r="L71" s="42"/>
    </row>
    <row r="72">
      <c r="B72" s="30" t="s">
        <v>107</v>
      </c>
      <c r="C72" s="32">
        <f>sum(C73:C86)</f>
        <v>15.74</v>
      </c>
      <c r="D72" s="32">
        <f>sum(D73:D85)</f>
        <v>21.91</v>
      </c>
      <c r="E72" s="97">
        <f>(D72-C72)/C72</f>
        <v>0.3919949174</v>
      </c>
      <c r="F72" s="20" t="s">
        <v>108</v>
      </c>
      <c r="K72" s="42"/>
      <c r="L72" s="42"/>
    </row>
    <row r="73">
      <c r="C73" s="20">
        <v>1.39</v>
      </c>
      <c r="D73" s="20">
        <v>2.51</v>
      </c>
      <c r="K73" s="42"/>
      <c r="L73" s="42"/>
    </row>
    <row r="74">
      <c r="C74" s="20">
        <v>0.61</v>
      </c>
      <c r="D74" s="20">
        <v>1.39</v>
      </c>
      <c r="K74" s="42"/>
      <c r="L74" s="42"/>
    </row>
    <row r="75">
      <c r="C75" s="20">
        <v>1.58</v>
      </c>
      <c r="D75" s="20">
        <v>1.4</v>
      </c>
      <c r="K75" s="42"/>
      <c r="L75" s="42"/>
    </row>
    <row r="76">
      <c r="C76" s="20">
        <v>0.56</v>
      </c>
      <c r="D76" s="20">
        <v>3.85</v>
      </c>
      <c r="K76" s="42"/>
      <c r="L76" s="42"/>
    </row>
    <row r="77">
      <c r="C77" s="20">
        <v>0.74</v>
      </c>
      <c r="D77" s="20">
        <v>0.74</v>
      </c>
      <c r="K77" s="42"/>
      <c r="L77" s="42"/>
    </row>
    <row r="78">
      <c r="C78" s="20">
        <v>0.99</v>
      </c>
      <c r="D78" s="20">
        <v>0.99</v>
      </c>
      <c r="K78" s="42"/>
      <c r="L78" s="42"/>
    </row>
    <row r="79">
      <c r="C79" s="20">
        <v>3.84</v>
      </c>
      <c r="D79" s="20">
        <v>3.84</v>
      </c>
      <c r="K79" s="42"/>
      <c r="L79" s="42"/>
    </row>
    <row r="80">
      <c r="C80" s="20">
        <v>1.58</v>
      </c>
      <c r="D80" s="20">
        <v>1.58</v>
      </c>
      <c r="K80" s="42"/>
      <c r="L80" s="42"/>
    </row>
    <row r="81">
      <c r="C81" s="20">
        <v>0.88</v>
      </c>
      <c r="D81" s="20">
        <v>2.37</v>
      </c>
      <c r="K81" s="42"/>
      <c r="L81" s="42"/>
    </row>
    <row r="82">
      <c r="C82" s="20">
        <v>0.99</v>
      </c>
      <c r="D82" s="20">
        <v>0.56</v>
      </c>
      <c r="K82" s="42"/>
      <c r="L82" s="42"/>
    </row>
    <row r="83">
      <c r="C83" s="20">
        <v>1.13</v>
      </c>
      <c r="D83" s="20">
        <v>0.61</v>
      </c>
      <c r="K83" s="42"/>
      <c r="L83" s="42"/>
    </row>
    <row r="84">
      <c r="C84" s="20">
        <v>0.91</v>
      </c>
      <c r="D84" s="20">
        <v>1.22</v>
      </c>
      <c r="K84" s="42"/>
      <c r="L84" s="42"/>
    </row>
    <row r="85">
      <c r="C85" s="20">
        <v>0.54</v>
      </c>
      <c r="D85" s="20">
        <v>0.85</v>
      </c>
      <c r="K85" s="42"/>
      <c r="L85" s="42"/>
    </row>
    <row r="86">
      <c r="K86" s="42"/>
      <c r="L86" s="42"/>
    </row>
    <row r="87">
      <c r="K87" s="42"/>
      <c r="L87" s="42"/>
    </row>
    <row r="88">
      <c r="K88" s="42"/>
      <c r="L88" s="42"/>
    </row>
    <row r="89">
      <c r="K89" s="42"/>
      <c r="L89" s="42"/>
    </row>
    <row r="90">
      <c r="K90" s="42"/>
      <c r="L90" s="42"/>
    </row>
    <row r="91">
      <c r="K91" s="42"/>
      <c r="L91" s="42"/>
    </row>
    <row r="92">
      <c r="K92" s="42"/>
      <c r="L92" s="42"/>
    </row>
    <row r="93">
      <c r="K93" s="42"/>
      <c r="L93" s="42"/>
    </row>
    <row r="94">
      <c r="K94" s="42"/>
      <c r="L94" s="42"/>
    </row>
    <row r="95">
      <c r="K95" s="42"/>
      <c r="L95" s="42"/>
    </row>
    <row r="96">
      <c r="J96" s="21"/>
      <c r="K96" s="42"/>
      <c r="L96" s="42"/>
    </row>
    <row r="97">
      <c r="J97" s="21"/>
      <c r="K97" s="42"/>
      <c r="L97" s="4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1"/>
      <c r="B1" s="102"/>
      <c r="C1" s="21"/>
      <c r="L1" s="103"/>
    </row>
    <row r="2">
      <c r="A2" s="21"/>
      <c r="B2" s="102" t="s">
        <v>115</v>
      </c>
      <c r="C2" s="21">
        <v>0.1</v>
      </c>
      <c r="L2" s="103"/>
    </row>
    <row r="3">
      <c r="A3" s="21"/>
      <c r="B3" s="102" t="s">
        <v>116</v>
      </c>
      <c r="C3" s="17" t="str">
        <f>AVERAGE(#REF!)</f>
        <v>#REF!</v>
      </c>
      <c r="L3" s="103"/>
      <c r="P3" s="103"/>
    </row>
    <row r="4">
      <c r="A4" s="21"/>
      <c r="B4" s="103"/>
      <c r="L4" s="103"/>
      <c r="P4" s="103"/>
      <c r="AE4" s="20" t="s">
        <v>117</v>
      </c>
      <c r="AF4" s="104">
        <f>CORREL(AE6:AE10000,AF6:AF10000)</f>
        <v>0.4113182759</v>
      </c>
    </row>
    <row r="5">
      <c r="A5" s="21"/>
      <c r="B5" s="103" t="s">
        <v>118</v>
      </c>
      <c r="L5" s="103" t="s">
        <v>119</v>
      </c>
      <c r="P5" s="103" t="s">
        <v>120</v>
      </c>
      <c r="AE5" s="20" t="s">
        <v>121</v>
      </c>
      <c r="AF5" s="20" t="s">
        <v>122</v>
      </c>
    </row>
    <row r="6">
      <c r="A6" s="21"/>
      <c r="B6" s="20" t="s">
        <v>123</v>
      </c>
      <c r="F6" s="20" t="s">
        <v>124</v>
      </c>
      <c r="K6" s="30"/>
      <c r="L6" s="30" t="s">
        <v>125</v>
      </c>
      <c r="N6" s="30" t="s">
        <v>126</v>
      </c>
      <c r="P6" s="30" t="s">
        <v>127</v>
      </c>
      <c r="R6" s="30" t="s">
        <v>128</v>
      </c>
      <c r="V6" s="30" t="s">
        <v>129</v>
      </c>
      <c r="AA6" s="20" t="s">
        <v>130</v>
      </c>
      <c r="AB6" s="20" t="s">
        <v>131</v>
      </c>
      <c r="AE6" s="20">
        <v>519.2</v>
      </c>
      <c r="AF6" s="20">
        <v>-50.86</v>
      </c>
    </row>
    <row r="7">
      <c r="A7" s="21"/>
      <c r="K7" s="105"/>
      <c r="L7" s="28" t="str">
        <f>AVERAGE(L10:L19)</f>
        <v>#VALUE!</v>
      </c>
      <c r="N7" s="34" t="str">
        <f>SUM(N10:N29)/SUM(M10:M19)</f>
        <v>#VALUE!</v>
      </c>
      <c r="P7" s="106">
        <v>1.0</v>
      </c>
      <c r="R7" s="20">
        <v>1.0</v>
      </c>
      <c r="S7" s="34">
        <f t="shared" ref="S7:S9" si="1">COUNTIF($P$7:$P1775,R7)</f>
        <v>51</v>
      </c>
      <c r="T7" s="97">
        <f t="shared" ref="T7:T9" si="2">S7/$S$10</f>
        <v>0.4636363636</v>
      </c>
      <c r="V7" s="34">
        <v>33.0</v>
      </c>
      <c r="W7" s="97">
        <f t="shared" ref="W7:W9" si="3">(S7-V7)/V7</f>
        <v>0.5454545455</v>
      </c>
      <c r="AA7" s="20" t="s">
        <v>132</v>
      </c>
      <c r="AB7" s="34">
        <f t="shared" ref="AB7:AB16" si="4">LEFT(REPLACE(AA7,1,1,""),FIND(",", AA7)-2)/1</f>
        <v>81</v>
      </c>
      <c r="AE7" s="20">
        <v>415.94</v>
      </c>
      <c r="AF7" s="20">
        <v>-60.55</v>
      </c>
    </row>
    <row r="8">
      <c r="A8" s="21"/>
      <c r="B8" s="107" t="s">
        <v>133</v>
      </c>
      <c r="C8" s="108" t="str">
        <f t="shared" ref="C8:C17" si="5">REPLACE(B8,FIND(".",B8),1,",")*1</f>
        <v>#VALUE!</v>
      </c>
      <c r="F8" s="40" t="s">
        <v>134</v>
      </c>
      <c r="G8" s="108" t="str">
        <f t="shared" ref="G8:G27" si="6">REPLACE(F8,FIND(".",F8),1,",")*1</f>
        <v>#VALUE!</v>
      </c>
      <c r="I8" s="20">
        <v>30.0</v>
      </c>
      <c r="J8" s="20">
        <v>50.0</v>
      </c>
      <c r="K8" s="21"/>
      <c r="P8" s="106">
        <v>2.0</v>
      </c>
      <c r="R8" s="20">
        <v>0.0</v>
      </c>
      <c r="S8" s="34">
        <f t="shared" si="1"/>
        <v>29</v>
      </c>
      <c r="T8" s="97">
        <f t="shared" si="2"/>
        <v>0.2636363636</v>
      </c>
      <c r="V8" s="34">
        <v>19.0</v>
      </c>
      <c r="W8" s="97">
        <f t="shared" si="3"/>
        <v>0.5263157895</v>
      </c>
      <c r="AA8" s="20" t="s">
        <v>135</v>
      </c>
      <c r="AB8" s="34">
        <f t="shared" si="4"/>
        <v>54</v>
      </c>
      <c r="AE8" s="20">
        <v>396.62</v>
      </c>
      <c r="AF8" s="20">
        <v>77.53</v>
      </c>
    </row>
    <row r="9">
      <c r="A9" s="21"/>
      <c r="B9" s="107" t="s">
        <v>136</v>
      </c>
      <c r="C9" s="108" t="str">
        <f t="shared" si="5"/>
        <v>#VALUE!</v>
      </c>
      <c r="F9" s="40" t="s">
        <v>137</v>
      </c>
      <c r="G9" s="108" t="str">
        <f t="shared" si="6"/>
        <v>#VALUE!</v>
      </c>
      <c r="I9" s="20">
        <v>30.0</v>
      </c>
      <c r="J9" s="20">
        <v>50.0</v>
      </c>
      <c r="K9" s="21"/>
      <c r="L9" s="105" t="s">
        <v>138</v>
      </c>
      <c r="M9" s="105" t="s">
        <v>139</v>
      </c>
      <c r="N9" s="30" t="s">
        <v>140</v>
      </c>
      <c r="P9" s="106">
        <v>1.0</v>
      </c>
      <c r="R9" s="20">
        <v>2.0</v>
      </c>
      <c r="S9" s="34">
        <f t="shared" si="1"/>
        <v>30</v>
      </c>
      <c r="T9" s="97">
        <f t="shared" si="2"/>
        <v>0.2727272727</v>
      </c>
      <c r="V9" s="34">
        <v>24.0</v>
      </c>
      <c r="W9" s="97">
        <f t="shared" si="3"/>
        <v>0.25</v>
      </c>
      <c r="AA9" s="20" t="s">
        <v>141</v>
      </c>
      <c r="AB9" s="34">
        <f t="shared" si="4"/>
        <v>81</v>
      </c>
      <c r="AE9" s="20">
        <v>386.95</v>
      </c>
      <c r="AF9" s="20">
        <v>196.62</v>
      </c>
    </row>
    <row r="10">
      <c r="A10" s="21"/>
      <c r="B10" s="109" t="s">
        <v>142</v>
      </c>
      <c r="C10" s="108" t="str">
        <f t="shared" si="5"/>
        <v>#VALUE!</v>
      </c>
      <c r="F10" s="40" t="s">
        <v>143</v>
      </c>
      <c r="G10" s="108" t="str">
        <f t="shared" si="6"/>
        <v>#VALUE!</v>
      </c>
      <c r="I10" s="20">
        <v>20.0</v>
      </c>
      <c r="J10" s="20">
        <v>40.0</v>
      </c>
      <c r="K10" s="21"/>
      <c r="L10" s="110" t="str">
        <f t="shared" ref="L10:L19" si="7">C8</f>
        <v>#VALUE!</v>
      </c>
      <c r="M10" s="21">
        <f t="shared" ref="M10:M18" si="8">M11*2</f>
        <v>512</v>
      </c>
      <c r="N10" s="34" t="str">
        <f t="shared" ref="N10:N19" si="9">M10*L10</f>
        <v>#VALUE!</v>
      </c>
      <c r="P10" s="106">
        <v>0.0</v>
      </c>
      <c r="S10" s="34">
        <f>SUM(S7:S9)</f>
        <v>110</v>
      </c>
      <c r="V10" s="34">
        <f>SUM(V7:V9)</f>
        <v>76</v>
      </c>
      <c r="AA10" s="20" t="s">
        <v>144</v>
      </c>
      <c r="AB10" s="34">
        <f t="shared" si="4"/>
        <v>54</v>
      </c>
      <c r="AE10" s="20">
        <v>325.02</v>
      </c>
      <c r="AF10" s="20">
        <v>159.3</v>
      </c>
    </row>
    <row r="11">
      <c r="B11" s="107" t="s">
        <v>145</v>
      </c>
      <c r="C11" s="108" t="str">
        <f t="shared" si="5"/>
        <v>#VALUE!</v>
      </c>
      <c r="F11" s="40" t="s">
        <v>146</v>
      </c>
      <c r="G11" s="108" t="str">
        <f t="shared" si="6"/>
        <v>#VALUE!</v>
      </c>
      <c r="I11" s="20">
        <v>20.0</v>
      </c>
      <c r="J11" s="20">
        <v>40.0</v>
      </c>
      <c r="K11" s="21"/>
      <c r="L11" s="110" t="str">
        <f t="shared" si="7"/>
        <v>#VALUE!</v>
      </c>
      <c r="M11" s="21">
        <f t="shared" si="8"/>
        <v>256</v>
      </c>
      <c r="N11" s="34" t="str">
        <f t="shared" si="9"/>
        <v>#VALUE!</v>
      </c>
      <c r="P11" s="106">
        <v>2.0</v>
      </c>
      <c r="AA11" s="20" t="s">
        <v>147</v>
      </c>
      <c r="AB11" s="34">
        <f t="shared" si="4"/>
        <v>54</v>
      </c>
      <c r="AE11" s="20">
        <v>311.0</v>
      </c>
      <c r="AF11" s="20">
        <v>139.56</v>
      </c>
    </row>
    <row r="12">
      <c r="B12" s="109" t="s">
        <v>148</v>
      </c>
      <c r="C12" s="108" t="str">
        <f t="shared" si="5"/>
        <v>#VALUE!</v>
      </c>
      <c r="F12" s="40" t="s">
        <v>149</v>
      </c>
      <c r="G12" s="108" t="str">
        <f t="shared" si="6"/>
        <v>#VALUE!</v>
      </c>
      <c r="I12" s="20">
        <v>20.0</v>
      </c>
      <c r="J12" s="20">
        <v>40.0</v>
      </c>
      <c r="K12" s="21"/>
      <c r="L12" s="110" t="str">
        <f t="shared" si="7"/>
        <v>#VALUE!</v>
      </c>
      <c r="M12" s="21">
        <f t="shared" si="8"/>
        <v>128</v>
      </c>
      <c r="N12" s="34" t="str">
        <f t="shared" si="9"/>
        <v>#VALUE!</v>
      </c>
      <c r="P12" s="106">
        <v>1.0</v>
      </c>
      <c r="AA12" s="20" t="s">
        <v>144</v>
      </c>
      <c r="AB12" s="34">
        <f t="shared" si="4"/>
        <v>54</v>
      </c>
      <c r="AE12" s="20">
        <v>298.88</v>
      </c>
      <c r="AF12" s="20">
        <v>9.97</v>
      </c>
    </row>
    <row r="13">
      <c r="B13" s="107" t="s">
        <v>150</v>
      </c>
      <c r="C13" s="108" t="str">
        <f t="shared" si="5"/>
        <v>#VALUE!</v>
      </c>
      <c r="F13" s="40" t="s">
        <v>151</v>
      </c>
      <c r="G13" s="108" t="str">
        <f t="shared" si="6"/>
        <v>#VALUE!</v>
      </c>
      <c r="I13" s="20">
        <v>20.0</v>
      </c>
      <c r="J13" s="20">
        <v>40.0</v>
      </c>
      <c r="L13" s="110" t="str">
        <f t="shared" si="7"/>
        <v>#VALUE!</v>
      </c>
      <c r="M13" s="21">
        <f t="shared" si="8"/>
        <v>64</v>
      </c>
      <c r="N13" s="34" t="str">
        <f t="shared" si="9"/>
        <v>#VALUE!</v>
      </c>
      <c r="P13" s="106">
        <v>1.0</v>
      </c>
      <c r="Q13" s="32"/>
      <c r="R13" s="75"/>
      <c r="S13" s="80" t="s">
        <v>152</v>
      </c>
      <c r="T13" s="80" t="s">
        <v>153</v>
      </c>
      <c r="U13" s="80" t="s">
        <v>154</v>
      </c>
      <c r="AA13" s="20" t="s">
        <v>155</v>
      </c>
      <c r="AB13" s="34">
        <f t="shared" si="4"/>
        <v>81</v>
      </c>
      <c r="AE13" s="20">
        <v>278.86</v>
      </c>
      <c r="AF13" s="20">
        <v>-2.22</v>
      </c>
    </row>
    <row r="14">
      <c r="B14" s="107" t="s">
        <v>156</v>
      </c>
      <c r="C14" s="108" t="str">
        <f t="shared" si="5"/>
        <v>#VALUE!</v>
      </c>
      <c r="F14" s="40" t="s">
        <v>157</v>
      </c>
      <c r="G14" s="108" t="str">
        <f t="shared" si="6"/>
        <v>#VALUE!</v>
      </c>
      <c r="I14" s="20">
        <v>20.0</v>
      </c>
      <c r="J14" s="20">
        <v>40.0</v>
      </c>
      <c r="L14" s="110" t="str">
        <f t="shared" si="7"/>
        <v>#VALUE!</v>
      </c>
      <c r="M14" s="21">
        <f t="shared" si="8"/>
        <v>32</v>
      </c>
      <c r="N14" s="34" t="str">
        <f t="shared" si="9"/>
        <v>#VALUE!</v>
      </c>
      <c r="P14" s="106">
        <v>1.0</v>
      </c>
      <c r="R14" s="80">
        <v>1.0</v>
      </c>
      <c r="S14" s="75">
        <v>18.0</v>
      </c>
      <c r="T14" s="75">
        <v>21.0</v>
      </c>
      <c r="U14" s="75">
        <v>11.0</v>
      </c>
      <c r="AA14" s="20" t="s">
        <v>158</v>
      </c>
      <c r="AB14" s="34">
        <f t="shared" si="4"/>
        <v>81</v>
      </c>
      <c r="AE14" s="20">
        <v>248.07</v>
      </c>
      <c r="AF14" s="20">
        <v>-78.26</v>
      </c>
    </row>
    <row r="15">
      <c r="B15" s="107" t="s">
        <v>159</v>
      </c>
      <c r="C15" s="108" t="str">
        <f t="shared" si="5"/>
        <v>#VALUE!</v>
      </c>
      <c r="F15" s="40" t="s">
        <v>160</v>
      </c>
      <c r="G15" s="108" t="str">
        <f t="shared" si="6"/>
        <v>#VALUE!</v>
      </c>
      <c r="I15" s="20">
        <v>20.0</v>
      </c>
      <c r="J15" s="20">
        <v>40.0</v>
      </c>
      <c r="L15" s="110" t="str">
        <f t="shared" si="7"/>
        <v>#VALUE!</v>
      </c>
      <c r="M15" s="21">
        <f t="shared" si="8"/>
        <v>16</v>
      </c>
      <c r="N15" s="34" t="str">
        <f t="shared" si="9"/>
        <v>#VALUE!</v>
      </c>
      <c r="P15" s="106">
        <v>1.0</v>
      </c>
      <c r="R15" s="80">
        <v>0.0</v>
      </c>
      <c r="S15" s="75">
        <v>8.0</v>
      </c>
      <c r="T15" s="75">
        <v>0.0</v>
      </c>
      <c r="U15" s="75">
        <v>13.0</v>
      </c>
      <c r="AA15" s="20" t="s">
        <v>161</v>
      </c>
      <c r="AB15" s="34">
        <f t="shared" si="4"/>
        <v>54</v>
      </c>
      <c r="AE15" s="20">
        <v>247.8</v>
      </c>
      <c r="AF15" s="20">
        <v>-49.83</v>
      </c>
    </row>
    <row r="16">
      <c r="B16" s="107" t="s">
        <v>162</v>
      </c>
      <c r="C16" s="108" t="str">
        <f t="shared" si="5"/>
        <v>#VALUE!</v>
      </c>
      <c r="F16" s="40" t="s">
        <v>163</v>
      </c>
      <c r="G16" s="108" t="str">
        <f t="shared" si="6"/>
        <v>#VALUE!</v>
      </c>
      <c r="I16" s="20">
        <v>20.0</v>
      </c>
      <c r="J16" s="20">
        <v>40.0</v>
      </c>
      <c r="L16" s="110" t="str">
        <f t="shared" si="7"/>
        <v>#VALUE!</v>
      </c>
      <c r="M16" s="21">
        <f t="shared" si="8"/>
        <v>8</v>
      </c>
      <c r="N16" s="34" t="str">
        <f t="shared" si="9"/>
        <v>#VALUE!</v>
      </c>
      <c r="P16" s="106">
        <v>0.0</v>
      </c>
      <c r="R16" s="80">
        <v>2.0</v>
      </c>
      <c r="S16" s="75">
        <v>10.0</v>
      </c>
      <c r="T16" s="75">
        <v>15.0</v>
      </c>
      <c r="U16" s="75">
        <v>12.0</v>
      </c>
      <c r="AA16" s="20" t="s">
        <v>164</v>
      </c>
      <c r="AB16" s="34">
        <f t="shared" si="4"/>
        <v>81</v>
      </c>
      <c r="AE16" s="20">
        <v>245.03</v>
      </c>
      <c r="AF16" s="20">
        <v>213.08</v>
      </c>
    </row>
    <row r="17">
      <c r="B17" s="107" t="s">
        <v>165</v>
      </c>
      <c r="C17" s="108" t="str">
        <f t="shared" si="5"/>
        <v>#VALUE!</v>
      </c>
      <c r="F17" s="40" t="s">
        <v>166</v>
      </c>
      <c r="G17" s="108" t="str">
        <f t="shared" si="6"/>
        <v>#VALUE!</v>
      </c>
      <c r="I17" s="20">
        <v>20.0</v>
      </c>
      <c r="J17" s="20">
        <v>40.0</v>
      </c>
      <c r="L17" s="110" t="str">
        <f t="shared" si="7"/>
        <v>#VALUE!</v>
      </c>
      <c r="M17" s="21">
        <f t="shared" si="8"/>
        <v>4</v>
      </c>
      <c r="N17" s="34" t="str">
        <f t="shared" si="9"/>
        <v>#VALUE!</v>
      </c>
      <c r="P17" s="106">
        <v>1.0</v>
      </c>
      <c r="R17" s="80" t="s">
        <v>167</v>
      </c>
      <c r="S17" s="111">
        <f t="shared" ref="S17:U17" si="10">SUM(S14:S16)</f>
        <v>36</v>
      </c>
      <c r="T17" s="75">
        <f t="shared" si="10"/>
        <v>36</v>
      </c>
      <c r="U17" s="75">
        <f t="shared" si="10"/>
        <v>36</v>
      </c>
      <c r="AE17" s="20">
        <v>215.88</v>
      </c>
      <c r="AF17" s="20">
        <v>45.87</v>
      </c>
    </row>
    <row r="18">
      <c r="F18" s="40" t="s">
        <v>168</v>
      </c>
      <c r="G18" s="108" t="str">
        <f t="shared" si="6"/>
        <v>#VALUE!</v>
      </c>
      <c r="I18" s="20">
        <v>10.0</v>
      </c>
      <c r="L18" s="110" t="str">
        <f t="shared" si="7"/>
        <v>#VALUE!</v>
      </c>
      <c r="M18" s="21">
        <f t="shared" si="8"/>
        <v>2</v>
      </c>
      <c r="N18" s="34" t="str">
        <f t="shared" si="9"/>
        <v>#VALUE!</v>
      </c>
      <c r="P18" s="106">
        <v>1.0</v>
      </c>
      <c r="R18" s="17"/>
      <c r="S18" s="17"/>
      <c r="T18" s="17"/>
      <c r="U18" s="17"/>
      <c r="AE18" s="20">
        <v>189.05</v>
      </c>
      <c r="AF18" s="20">
        <v>51.45</v>
      </c>
    </row>
    <row r="19">
      <c r="B19" s="30" t="s">
        <v>169</v>
      </c>
      <c r="C19" s="34" t="str">
        <f>AVERAGE(C8:C17)</f>
        <v>#VALUE!</v>
      </c>
      <c r="F19" s="40" t="s">
        <v>170</v>
      </c>
      <c r="G19" s="108" t="str">
        <f t="shared" si="6"/>
        <v>#VALUE!</v>
      </c>
      <c r="I19" s="20">
        <v>10.0</v>
      </c>
      <c r="L19" s="110" t="str">
        <f t="shared" si="7"/>
        <v>#VALUE!</v>
      </c>
      <c r="M19" s="21">
        <v>1.0</v>
      </c>
      <c r="N19" s="34" t="str">
        <f t="shared" si="9"/>
        <v>#VALUE!</v>
      </c>
      <c r="P19" s="106">
        <v>1.0</v>
      </c>
      <c r="R19" s="17"/>
      <c r="S19" s="17"/>
      <c r="T19" s="17"/>
      <c r="U19" s="17"/>
      <c r="AA19" s="20" t="s">
        <v>171</v>
      </c>
      <c r="AB19" s="34">
        <f>AVERAGE(AB7:AB16)</f>
        <v>67.5</v>
      </c>
      <c r="AE19" s="20">
        <v>161.12</v>
      </c>
      <c r="AF19" s="20">
        <v>125.27</v>
      </c>
    </row>
    <row r="20">
      <c r="F20" s="40" t="s">
        <v>172</v>
      </c>
      <c r="G20" s="108" t="str">
        <f t="shared" si="6"/>
        <v>#VALUE!</v>
      </c>
      <c r="I20" s="20">
        <v>10.0</v>
      </c>
      <c r="P20" s="106">
        <v>1.0</v>
      </c>
      <c r="R20" s="17"/>
      <c r="S20" s="17"/>
      <c r="T20" s="17"/>
      <c r="U20" s="17"/>
      <c r="AE20" s="20">
        <v>147.56</v>
      </c>
      <c r="AF20" s="20">
        <v>-64.93</v>
      </c>
    </row>
    <row r="21">
      <c r="F21" s="40" t="s">
        <v>173</v>
      </c>
      <c r="G21" s="108" t="str">
        <f t="shared" si="6"/>
        <v>#VALUE!</v>
      </c>
      <c r="I21" s="20">
        <v>10.0</v>
      </c>
      <c r="P21" s="106">
        <v>1.0</v>
      </c>
      <c r="R21" s="75"/>
      <c r="S21" s="80" t="s">
        <v>152</v>
      </c>
      <c r="T21" s="80" t="s">
        <v>153</v>
      </c>
      <c r="U21" s="80" t="s">
        <v>154</v>
      </c>
      <c r="AE21" s="20">
        <v>146.62</v>
      </c>
      <c r="AF21" s="20">
        <v>74.55</v>
      </c>
    </row>
    <row r="22">
      <c r="C22" s="108"/>
      <c r="F22" s="40" t="s">
        <v>174</v>
      </c>
      <c r="G22" s="108" t="str">
        <f t="shared" si="6"/>
        <v>#VALUE!</v>
      </c>
      <c r="I22" s="20">
        <v>10.0</v>
      </c>
      <c r="P22" s="106">
        <v>0.0</v>
      </c>
      <c r="R22" s="80">
        <v>1.0</v>
      </c>
      <c r="S22" s="112">
        <f t="shared" ref="S22:U22" si="11">S14/S$17</f>
        <v>0.5</v>
      </c>
      <c r="T22" s="112">
        <f t="shared" si="11"/>
        <v>0.5833333333</v>
      </c>
      <c r="U22" s="112">
        <f t="shared" si="11"/>
        <v>0.3055555556</v>
      </c>
      <c r="AE22" s="20">
        <v>143.08</v>
      </c>
      <c r="AF22" s="20">
        <v>57.92</v>
      </c>
    </row>
    <row r="23">
      <c r="C23" s="108"/>
      <c r="F23" s="113">
        <v>45356.0</v>
      </c>
      <c r="G23" s="108" t="str">
        <f t="shared" si="6"/>
        <v>#VALUE!</v>
      </c>
      <c r="I23" s="20">
        <v>10.0</v>
      </c>
      <c r="P23" s="106">
        <v>1.0</v>
      </c>
      <c r="R23" s="80">
        <v>0.0</v>
      </c>
      <c r="S23" s="112">
        <f t="shared" ref="S23:U23" si="12">S15/S$17</f>
        <v>0.2222222222</v>
      </c>
      <c r="T23" s="112">
        <f t="shared" si="12"/>
        <v>0</v>
      </c>
      <c r="U23" s="112">
        <f t="shared" si="12"/>
        <v>0.3611111111</v>
      </c>
      <c r="AE23" s="20">
        <v>135.11</v>
      </c>
      <c r="AF23" s="20">
        <v>-1.76</v>
      </c>
    </row>
    <row r="24">
      <c r="F24" s="40" t="s">
        <v>175</v>
      </c>
      <c r="G24" s="108" t="str">
        <f t="shared" si="6"/>
        <v>#VALUE!</v>
      </c>
      <c r="I24" s="20">
        <v>10.0</v>
      </c>
      <c r="P24" s="106">
        <v>1.0</v>
      </c>
      <c r="R24" s="80">
        <v>2.0</v>
      </c>
      <c r="S24" s="112">
        <f t="shared" ref="S24:U24" si="13">S16/S$17</f>
        <v>0.2777777778</v>
      </c>
      <c r="T24" s="112">
        <f t="shared" si="13"/>
        <v>0.4166666667</v>
      </c>
      <c r="U24" s="112">
        <f t="shared" si="13"/>
        <v>0.3333333333</v>
      </c>
      <c r="AE24" s="20">
        <v>132.91</v>
      </c>
      <c r="AF24" s="20">
        <v>294.68</v>
      </c>
    </row>
    <row r="25">
      <c r="F25" s="40" t="s">
        <v>176</v>
      </c>
      <c r="G25" s="108" t="str">
        <f t="shared" si="6"/>
        <v>#VALUE!</v>
      </c>
      <c r="I25" s="20">
        <v>10.0</v>
      </c>
      <c r="P25" s="106">
        <v>1.0</v>
      </c>
      <c r="R25" s="80" t="s">
        <v>167</v>
      </c>
      <c r="S25" s="111">
        <f t="shared" ref="S25:U25" si="14">SUM(S22:S24)</f>
        <v>1</v>
      </c>
      <c r="T25" s="112">
        <f t="shared" si="14"/>
        <v>1</v>
      </c>
      <c r="U25" s="112">
        <f t="shared" si="14"/>
        <v>1</v>
      </c>
      <c r="AE25" s="20">
        <v>127.74</v>
      </c>
      <c r="AF25" s="20">
        <v>332.05</v>
      </c>
    </row>
    <row r="26">
      <c r="F26" s="40" t="s">
        <v>177</v>
      </c>
      <c r="G26" s="108" t="str">
        <f t="shared" si="6"/>
        <v>#VALUE!</v>
      </c>
      <c r="I26" s="20">
        <v>10.0</v>
      </c>
      <c r="P26" s="106">
        <v>1.0</v>
      </c>
      <c r="AE26" s="20">
        <v>124.15</v>
      </c>
      <c r="AF26" s="20">
        <v>249.31</v>
      </c>
    </row>
    <row r="27">
      <c r="F27" s="113">
        <v>45542.0</v>
      </c>
      <c r="G27" s="108" t="str">
        <f t="shared" si="6"/>
        <v>#VALUE!</v>
      </c>
      <c r="I27" s="20">
        <v>10.0</v>
      </c>
      <c r="P27" s="106">
        <v>1.0</v>
      </c>
      <c r="AE27" s="20">
        <v>111.37</v>
      </c>
      <c r="AF27" s="20">
        <v>140.53</v>
      </c>
    </row>
    <row r="28">
      <c r="P28" s="106">
        <v>1.0</v>
      </c>
      <c r="AA28" s="20" t="s">
        <v>178</v>
      </c>
      <c r="AB28" s="20" t="s">
        <v>179</v>
      </c>
      <c r="AC28" s="20" t="s">
        <v>179</v>
      </c>
      <c r="AE28" s="20">
        <v>106.73</v>
      </c>
      <c r="AF28" s="20">
        <v>-68.34</v>
      </c>
    </row>
    <row r="29">
      <c r="F29" s="30" t="s">
        <v>169</v>
      </c>
      <c r="G29" s="34" t="str">
        <f>AVERAGE(G8:G27)</f>
        <v>#VALUE!</v>
      </c>
      <c r="H29" s="30"/>
      <c r="I29" s="28">
        <f>AVERAGE(I8:I27)</f>
        <v>16</v>
      </c>
      <c r="J29" s="28">
        <f>AVERAGE(J8:J17)</f>
        <v>42</v>
      </c>
      <c r="P29" s="106">
        <v>0.0</v>
      </c>
      <c r="AA29" s="43">
        <v>1051.0</v>
      </c>
      <c r="AB29" s="20">
        <v>207.56</v>
      </c>
      <c r="AC29" s="34">
        <f t="shared" ref="AC29:AC43" si="15">VLOOKUP(AA29,$AA$48:$AB$62,2,0)</f>
        <v>263.81</v>
      </c>
      <c r="AD29" s="97">
        <f t="shared" ref="AD29:AD43" si="16">(AC29-AB29)/AB29</f>
        <v>0.2710059742</v>
      </c>
      <c r="AE29" s="20">
        <v>101.39</v>
      </c>
      <c r="AF29" s="20">
        <v>207.24</v>
      </c>
    </row>
    <row r="30">
      <c r="P30" s="106">
        <v>0.0</v>
      </c>
      <c r="AA30" s="20">
        <v>112.0</v>
      </c>
      <c r="AB30" s="20">
        <v>185.35</v>
      </c>
      <c r="AC30" s="34">
        <f t="shared" si="15"/>
        <v>130.76</v>
      </c>
      <c r="AD30" s="97">
        <f t="shared" si="16"/>
        <v>-0.2945238738</v>
      </c>
      <c r="AE30" s="20">
        <v>95.51</v>
      </c>
      <c r="AF30" s="20">
        <v>214.38</v>
      </c>
    </row>
    <row r="31">
      <c r="P31" s="106">
        <v>2.0</v>
      </c>
      <c r="S31" s="20" t="s">
        <v>180</v>
      </c>
      <c r="T31" s="20" t="s">
        <v>181</v>
      </c>
      <c r="U31" s="20" t="s">
        <v>182</v>
      </c>
      <c r="V31" s="20" t="s">
        <v>183</v>
      </c>
      <c r="AA31" s="20">
        <v>752.0</v>
      </c>
      <c r="AB31" s="20">
        <v>121.6</v>
      </c>
      <c r="AC31" s="34">
        <f t="shared" si="15"/>
        <v>78.68</v>
      </c>
      <c r="AD31" s="97">
        <f t="shared" si="16"/>
        <v>-0.3529605263</v>
      </c>
      <c r="AE31" s="20">
        <v>93.4</v>
      </c>
      <c r="AF31" s="20">
        <v>111.66</v>
      </c>
    </row>
    <row r="32">
      <c r="B32" s="48" t="s">
        <v>184</v>
      </c>
      <c r="G32" s="108"/>
      <c r="P32" s="106">
        <v>0.0</v>
      </c>
      <c r="S32" s="20">
        <v>40.0</v>
      </c>
      <c r="T32" s="20">
        <v>50.0</v>
      </c>
      <c r="AA32" s="43">
        <v>1475.0</v>
      </c>
      <c r="AB32" s="20">
        <v>120.82</v>
      </c>
      <c r="AC32" s="34">
        <f t="shared" si="15"/>
        <v>83.5</v>
      </c>
      <c r="AD32" s="97">
        <f t="shared" si="16"/>
        <v>-0.3088892567</v>
      </c>
      <c r="AE32" s="20">
        <v>90.38</v>
      </c>
      <c r="AF32" s="20">
        <v>-64.77</v>
      </c>
    </row>
    <row r="33">
      <c r="B33" s="114" t="s">
        <v>185</v>
      </c>
      <c r="G33" s="115"/>
      <c r="P33" s="106">
        <v>1.0</v>
      </c>
      <c r="S33" s="20">
        <v>80.0</v>
      </c>
      <c r="T33" s="20">
        <v>90.0</v>
      </c>
      <c r="AA33" s="43">
        <v>1545.0</v>
      </c>
      <c r="AB33" s="20">
        <v>111.42</v>
      </c>
      <c r="AC33" s="34">
        <f t="shared" si="15"/>
        <v>101.16</v>
      </c>
      <c r="AD33" s="97">
        <f t="shared" si="16"/>
        <v>-0.09208400646</v>
      </c>
      <c r="AE33" s="20">
        <v>86.8</v>
      </c>
      <c r="AF33" s="20">
        <v>86.2</v>
      </c>
    </row>
    <row r="34">
      <c r="P34" s="106">
        <v>0.0</v>
      </c>
      <c r="AA34" s="20">
        <v>814.0</v>
      </c>
      <c r="AB34" s="20">
        <v>104.32</v>
      </c>
      <c r="AC34" s="34">
        <f t="shared" si="15"/>
        <v>60.31</v>
      </c>
      <c r="AD34" s="97">
        <f t="shared" si="16"/>
        <v>-0.421875</v>
      </c>
      <c r="AE34" s="20">
        <v>84.15</v>
      </c>
      <c r="AF34" s="20">
        <v>5.62</v>
      </c>
    </row>
    <row r="35">
      <c r="H35" s="30" t="s">
        <v>186</v>
      </c>
      <c r="P35" s="106">
        <v>1.0</v>
      </c>
      <c r="AA35" s="43">
        <v>1426.0</v>
      </c>
      <c r="AB35" s="20">
        <v>101.23</v>
      </c>
      <c r="AC35" s="34">
        <f t="shared" si="15"/>
        <v>68.02</v>
      </c>
      <c r="AD35" s="97">
        <f t="shared" si="16"/>
        <v>-0.3280648029</v>
      </c>
      <c r="AE35" s="20">
        <v>83.01</v>
      </c>
      <c r="AF35" s="20">
        <v>43.27</v>
      </c>
    </row>
    <row r="36">
      <c r="G36" s="30" t="s">
        <v>38</v>
      </c>
      <c r="H36" s="116">
        <v>4.555000000000001</v>
      </c>
      <c r="P36" s="106">
        <v>1.0</v>
      </c>
      <c r="AA36" s="43">
        <v>1447.0</v>
      </c>
      <c r="AB36" s="20">
        <v>97.89</v>
      </c>
      <c r="AC36" s="34">
        <f t="shared" si="15"/>
        <v>138.76</v>
      </c>
      <c r="AD36" s="97">
        <f t="shared" si="16"/>
        <v>0.4175094494</v>
      </c>
      <c r="AE36" s="20">
        <v>80.91</v>
      </c>
      <c r="AF36" s="20">
        <v>128.36</v>
      </c>
    </row>
    <row r="37">
      <c r="A37" s="32"/>
      <c r="B37" s="32"/>
      <c r="D37" s="117">
        <f>AVERAGE(D39:D1775)</f>
        <v>3.179607843</v>
      </c>
      <c r="G37" s="30" t="s">
        <v>37</v>
      </c>
      <c r="H37" s="116">
        <v>7.555294117647058</v>
      </c>
      <c r="P37" s="106">
        <v>1.0</v>
      </c>
      <c r="AA37" s="20">
        <v>136.0</v>
      </c>
      <c r="AB37" s="20">
        <v>87.93</v>
      </c>
      <c r="AC37" s="34">
        <f t="shared" si="15"/>
        <v>58.8</v>
      </c>
      <c r="AD37" s="97">
        <f t="shared" si="16"/>
        <v>-0.3312862504</v>
      </c>
      <c r="AE37" s="20">
        <v>80.19</v>
      </c>
      <c r="AF37" s="20">
        <v>-56.27</v>
      </c>
    </row>
    <row r="38">
      <c r="G38" s="30" t="s">
        <v>28</v>
      </c>
      <c r="H38" s="118">
        <v>2.21</v>
      </c>
      <c r="P38" s="106">
        <v>2.0</v>
      </c>
      <c r="AA38" s="43">
        <v>1526.0</v>
      </c>
      <c r="AB38" s="20">
        <v>85.82</v>
      </c>
      <c r="AC38" s="34">
        <f t="shared" si="15"/>
        <v>53.3</v>
      </c>
      <c r="AD38" s="97">
        <f t="shared" si="16"/>
        <v>-0.3789326497</v>
      </c>
      <c r="AE38" s="20">
        <v>79.61</v>
      </c>
      <c r="AF38" s="20">
        <v>-61.31</v>
      </c>
    </row>
    <row r="39">
      <c r="D39" s="119">
        <v>1.52</v>
      </c>
      <c r="G39" s="30" t="s">
        <v>29</v>
      </c>
      <c r="H39" s="116">
        <v>9.938235294117648</v>
      </c>
      <c r="P39" s="106">
        <v>1.0</v>
      </c>
      <c r="AA39" s="20">
        <v>952.0</v>
      </c>
      <c r="AB39" s="20">
        <v>78.09</v>
      </c>
      <c r="AC39" s="34">
        <f t="shared" si="15"/>
        <v>73.76</v>
      </c>
      <c r="AD39" s="97">
        <f t="shared" si="16"/>
        <v>-0.05544884108</v>
      </c>
      <c r="AE39" s="20">
        <v>78.89</v>
      </c>
      <c r="AF39" s="20">
        <v>-18.54</v>
      </c>
    </row>
    <row r="40">
      <c r="D40" s="85">
        <v>1.51</v>
      </c>
      <c r="G40" s="30" t="s">
        <v>25</v>
      </c>
      <c r="H40" s="116">
        <v>3.3411111111111107</v>
      </c>
      <c r="P40" s="106">
        <v>2.0</v>
      </c>
      <c r="AA40" s="43">
        <v>1606.0</v>
      </c>
      <c r="AB40" s="20">
        <v>77.21</v>
      </c>
      <c r="AC40" s="34">
        <f t="shared" si="15"/>
        <v>75.05</v>
      </c>
      <c r="AD40" s="97">
        <f t="shared" si="16"/>
        <v>-0.02797565082</v>
      </c>
      <c r="AE40" s="20">
        <v>78.73</v>
      </c>
      <c r="AF40" s="20">
        <v>134.76</v>
      </c>
    </row>
    <row r="41">
      <c r="D41" s="85">
        <v>1.78</v>
      </c>
      <c r="P41" s="106">
        <v>0.0</v>
      </c>
      <c r="AA41" s="43">
        <v>1164.0</v>
      </c>
      <c r="AB41" s="20">
        <v>76.05</v>
      </c>
      <c r="AC41" s="34">
        <f t="shared" si="15"/>
        <v>26.27</v>
      </c>
      <c r="AD41" s="97">
        <f t="shared" si="16"/>
        <v>-0.6545693623</v>
      </c>
      <c r="AE41" s="20">
        <v>78.25</v>
      </c>
      <c r="AF41" s="20">
        <v>-66.82</v>
      </c>
    </row>
    <row r="42">
      <c r="D42" s="85">
        <v>1.56</v>
      </c>
      <c r="P42" s="106">
        <v>2.0</v>
      </c>
      <c r="AA42" s="43">
        <v>1448.0</v>
      </c>
      <c r="AB42" s="20">
        <v>71.77</v>
      </c>
      <c r="AC42" s="34">
        <f t="shared" si="15"/>
        <v>39.69</v>
      </c>
      <c r="AD42" s="97">
        <f t="shared" si="16"/>
        <v>-0.4469834193</v>
      </c>
      <c r="AE42" s="20">
        <v>76.75</v>
      </c>
      <c r="AF42" s="20">
        <v>-3.93</v>
      </c>
    </row>
    <row r="43">
      <c r="C43" s="120"/>
      <c r="D43" s="85">
        <v>1.67</v>
      </c>
      <c r="P43" s="106">
        <v>1.0</v>
      </c>
      <c r="AA43" s="43">
        <v>1614.0</v>
      </c>
      <c r="AB43" s="20">
        <v>68.01</v>
      </c>
      <c r="AC43" s="34">
        <f t="shared" si="15"/>
        <v>67.42</v>
      </c>
      <c r="AD43" s="97">
        <f t="shared" si="16"/>
        <v>-0.008675194824</v>
      </c>
      <c r="AE43" s="20">
        <v>72.53</v>
      </c>
      <c r="AF43" s="20">
        <v>-12.29</v>
      </c>
    </row>
    <row r="44">
      <c r="C44" s="120"/>
      <c r="D44" s="85">
        <v>1.8</v>
      </c>
      <c r="P44" s="106">
        <v>2.0</v>
      </c>
      <c r="AB44" s="34">
        <f t="shared" ref="AB44:AD44" si="17">AVERAGE(AB29:AB43)</f>
        <v>106.338</v>
      </c>
      <c r="AC44" s="34">
        <f t="shared" si="17"/>
        <v>87.95266667</v>
      </c>
      <c r="AD44" s="97">
        <f t="shared" si="17"/>
        <v>-0.2009168941</v>
      </c>
      <c r="AE44" s="20">
        <v>70.47</v>
      </c>
      <c r="AF44" s="20">
        <v>373.65</v>
      </c>
    </row>
    <row r="45">
      <c r="C45" s="120"/>
      <c r="D45" s="85">
        <v>1.13</v>
      </c>
      <c r="P45" s="106">
        <v>1.0</v>
      </c>
      <c r="AE45" s="20">
        <v>69.71</v>
      </c>
      <c r="AF45" s="20">
        <v>-64.4</v>
      </c>
    </row>
    <row r="46" ht="15.0" customHeight="1">
      <c r="C46" s="120"/>
      <c r="D46" s="85">
        <v>1.14</v>
      </c>
      <c r="G46" s="121" t="s">
        <v>187</v>
      </c>
      <c r="H46" s="121" t="s">
        <v>188</v>
      </c>
      <c r="P46" s="106">
        <v>0.0</v>
      </c>
      <c r="AE46" s="20">
        <v>69.63</v>
      </c>
      <c r="AF46" s="20">
        <v>-60.86</v>
      </c>
    </row>
    <row r="47">
      <c r="C47" s="120"/>
      <c r="D47" s="85">
        <v>1.55</v>
      </c>
      <c r="G47" s="122" t="s">
        <v>38</v>
      </c>
      <c r="H47" s="123">
        <v>0.376453591155815</v>
      </c>
      <c r="P47" s="106">
        <v>2.0</v>
      </c>
      <c r="AA47" s="20" t="s">
        <v>3</v>
      </c>
      <c r="AB47" s="20" t="s">
        <v>179</v>
      </c>
      <c r="AE47" s="20">
        <v>67.98</v>
      </c>
      <c r="AF47" s="20">
        <v>104.85</v>
      </c>
    </row>
    <row r="48">
      <c r="C48" s="120"/>
      <c r="D48" s="85">
        <v>2.04</v>
      </c>
      <c r="G48" s="122" t="s">
        <v>37</v>
      </c>
      <c r="H48" s="123">
        <v>0.36678739680281</v>
      </c>
      <c r="J48" s="20" t="s">
        <v>189</v>
      </c>
      <c r="K48" s="97">
        <f>AVERAGE(H47:H51)</f>
        <v>0.326199044</v>
      </c>
      <c r="P48" s="106">
        <v>2.0</v>
      </c>
      <c r="AA48" s="20">
        <v>136.0</v>
      </c>
      <c r="AB48" s="20">
        <v>58.8</v>
      </c>
      <c r="AE48" s="20">
        <v>65.59</v>
      </c>
      <c r="AF48" s="20">
        <v>-43.48</v>
      </c>
    </row>
    <row r="49">
      <c r="C49" s="120"/>
      <c r="D49" s="85">
        <v>2.41</v>
      </c>
      <c r="G49" s="122" t="s">
        <v>28</v>
      </c>
      <c r="H49" s="123">
        <v>0.142870351877935</v>
      </c>
      <c r="J49" s="20" t="s">
        <v>190</v>
      </c>
      <c r="K49" s="97">
        <f>MEDIAN(H47:H51)</f>
        <v>0.3667873968</v>
      </c>
      <c r="P49" s="106">
        <v>1.0</v>
      </c>
      <c r="AA49" s="43">
        <v>1051.0</v>
      </c>
      <c r="AB49" s="20">
        <v>263.81</v>
      </c>
      <c r="AE49" s="20">
        <v>63.74</v>
      </c>
      <c r="AF49" s="20">
        <v>-13.96</v>
      </c>
    </row>
    <row r="50">
      <c r="C50" s="120"/>
      <c r="D50" s="85">
        <v>2.21</v>
      </c>
      <c r="G50" s="122" t="s">
        <v>29</v>
      </c>
      <c r="H50" s="123">
        <v>0.497437843674554</v>
      </c>
      <c r="J50" s="20" t="s">
        <v>191</v>
      </c>
      <c r="K50" s="97">
        <f>PERCENTILE(H47:H51,0.25)</f>
        <v>0.2474460363</v>
      </c>
      <c r="P50" s="106">
        <v>1.0</v>
      </c>
      <c r="AA50" s="20">
        <v>112.0</v>
      </c>
      <c r="AB50" s="20">
        <v>130.76</v>
      </c>
      <c r="AE50" s="20">
        <v>61.0</v>
      </c>
      <c r="AF50" s="20">
        <v>-77.71</v>
      </c>
    </row>
    <row r="51">
      <c r="C51" s="120"/>
      <c r="D51" s="85">
        <v>2.97</v>
      </c>
      <c r="G51" s="122" t="s">
        <v>25</v>
      </c>
      <c r="H51" s="123">
        <v>0.247446036291655</v>
      </c>
      <c r="J51" s="20" t="s">
        <v>192</v>
      </c>
      <c r="K51" s="97">
        <f>PERCENTILE(H47:H51,0.75)</f>
        <v>0.3764535912</v>
      </c>
      <c r="P51" s="106">
        <v>2.0</v>
      </c>
      <c r="AA51" s="43">
        <v>1545.0</v>
      </c>
      <c r="AB51" s="20">
        <v>101.16</v>
      </c>
      <c r="AE51" s="20">
        <v>59.79</v>
      </c>
      <c r="AF51" s="20">
        <v>-9.07</v>
      </c>
    </row>
    <row r="52">
      <c r="C52" s="120"/>
      <c r="D52" s="85">
        <v>2.76</v>
      </c>
      <c r="P52" s="106">
        <v>0.0</v>
      </c>
      <c r="AA52" s="43">
        <v>1447.0</v>
      </c>
      <c r="AB52" s="20">
        <v>138.76</v>
      </c>
      <c r="AE52" s="20">
        <v>59.39</v>
      </c>
      <c r="AF52" s="20">
        <v>-33.86</v>
      </c>
    </row>
    <row r="53">
      <c r="C53" s="120"/>
      <c r="D53" s="85">
        <v>1.15</v>
      </c>
      <c r="P53" s="106">
        <v>0.0</v>
      </c>
      <c r="AA53" s="43">
        <v>1426.0</v>
      </c>
      <c r="AB53" s="20">
        <v>68.02</v>
      </c>
      <c r="AE53" s="20">
        <v>58.59</v>
      </c>
      <c r="AF53" s="20">
        <v>-74.83</v>
      </c>
    </row>
    <row r="54">
      <c r="C54" s="120"/>
      <c r="D54" s="85">
        <v>1.11</v>
      </c>
      <c r="P54" s="106">
        <v>2.0</v>
      </c>
      <c r="AA54" s="43">
        <v>1475.0</v>
      </c>
      <c r="AB54" s="20">
        <v>83.5</v>
      </c>
      <c r="AE54" s="20">
        <v>49.75</v>
      </c>
      <c r="AF54" s="20">
        <v>149.15</v>
      </c>
    </row>
    <row r="55">
      <c r="C55" s="120"/>
      <c r="D55" s="85">
        <v>10.14</v>
      </c>
      <c r="P55" s="106">
        <v>0.0</v>
      </c>
      <c r="AA55" s="43">
        <v>1606.0</v>
      </c>
      <c r="AB55" s="20">
        <v>75.05</v>
      </c>
      <c r="AE55" s="20">
        <v>48.97</v>
      </c>
      <c r="AF55" s="20">
        <v>25.8</v>
      </c>
    </row>
    <row r="56">
      <c r="C56" s="120"/>
      <c r="D56" s="85">
        <v>9.85</v>
      </c>
      <c r="P56" s="106">
        <v>0.0</v>
      </c>
      <c r="AA56" s="43">
        <v>1614.0</v>
      </c>
      <c r="AB56" s="20">
        <v>67.42</v>
      </c>
      <c r="AE56" s="20">
        <v>48.13</v>
      </c>
      <c r="AF56" s="20">
        <v>108.9</v>
      </c>
    </row>
    <row r="57">
      <c r="C57" s="120"/>
      <c r="D57" s="85">
        <v>7.03</v>
      </c>
      <c r="P57" s="106">
        <v>2.0</v>
      </c>
      <c r="AA57" s="20">
        <v>814.0</v>
      </c>
      <c r="AB57" s="20">
        <v>60.31</v>
      </c>
      <c r="AE57" s="20">
        <v>47.34</v>
      </c>
      <c r="AF57" s="20">
        <v>135.05</v>
      </c>
    </row>
    <row r="58">
      <c r="C58" s="120"/>
      <c r="D58" s="85">
        <v>1.25</v>
      </c>
      <c r="G58" s="124" t="s">
        <v>193</v>
      </c>
      <c r="H58" s="125"/>
      <c r="P58" s="106">
        <v>1.0</v>
      </c>
      <c r="AA58" s="20">
        <v>752.0</v>
      </c>
      <c r="AB58" s="20">
        <v>78.68</v>
      </c>
      <c r="AE58" s="20">
        <v>47.21</v>
      </c>
      <c r="AF58" s="20">
        <v>125.02</v>
      </c>
    </row>
    <row r="59">
      <c r="C59" s="120"/>
      <c r="D59" s="85">
        <v>1.56</v>
      </c>
      <c r="G59" s="125"/>
      <c r="H59" s="126" t="s">
        <v>194</v>
      </c>
      <c r="P59" s="106">
        <v>0.0</v>
      </c>
      <c r="AA59" s="20">
        <v>952.0</v>
      </c>
      <c r="AB59" s="20">
        <v>73.76</v>
      </c>
      <c r="AE59" s="20">
        <v>45.51</v>
      </c>
      <c r="AF59" s="20">
        <v>1.46</v>
      </c>
    </row>
    <row r="60">
      <c r="C60" s="120"/>
      <c r="D60" s="85">
        <v>2.58</v>
      </c>
      <c r="G60" s="125"/>
      <c r="H60" s="126" t="s">
        <v>195</v>
      </c>
      <c r="P60" s="106">
        <v>2.0</v>
      </c>
      <c r="AA60" s="43">
        <v>1526.0</v>
      </c>
      <c r="AB60" s="20">
        <v>53.3</v>
      </c>
      <c r="AE60" s="20">
        <v>44.74</v>
      </c>
      <c r="AF60" s="20">
        <v>91.29</v>
      </c>
    </row>
    <row r="61">
      <c r="C61" s="120"/>
      <c r="D61" s="85">
        <v>2.45</v>
      </c>
      <c r="G61" s="125"/>
      <c r="H61" s="126" t="s">
        <v>196</v>
      </c>
      <c r="P61" s="106">
        <v>2.0</v>
      </c>
      <c r="AA61" s="43">
        <v>1448.0</v>
      </c>
      <c r="AB61" s="20">
        <v>39.69</v>
      </c>
      <c r="AE61" s="20">
        <v>44.45</v>
      </c>
      <c r="AF61" s="20">
        <v>-32.75</v>
      </c>
    </row>
    <row r="62">
      <c r="C62" s="120"/>
      <c r="D62" s="85">
        <v>1.23</v>
      </c>
      <c r="G62" s="125"/>
      <c r="H62" s="126" t="s">
        <v>197</v>
      </c>
      <c r="P62" s="106">
        <v>1.0</v>
      </c>
      <c r="AA62" s="43">
        <v>1164.0</v>
      </c>
      <c r="AB62" s="20">
        <v>26.27</v>
      </c>
      <c r="AE62" s="20">
        <v>43.57</v>
      </c>
      <c r="AF62" s="20">
        <v>-43.4</v>
      </c>
    </row>
    <row r="63">
      <c r="C63" s="120"/>
      <c r="D63" s="85">
        <v>1.38</v>
      </c>
      <c r="G63" s="125"/>
      <c r="H63" s="126" t="s">
        <v>198</v>
      </c>
      <c r="P63" s="106">
        <v>0.0</v>
      </c>
      <c r="AE63" s="20">
        <v>43.45</v>
      </c>
      <c r="AF63" s="20">
        <v>-44.18</v>
      </c>
    </row>
    <row r="64">
      <c r="C64" s="120"/>
      <c r="D64" s="85">
        <v>16.26</v>
      </c>
      <c r="P64" s="106">
        <v>1.0</v>
      </c>
      <c r="AE64" s="20">
        <v>43.36</v>
      </c>
      <c r="AF64" s="20">
        <v>-27.6</v>
      </c>
    </row>
    <row r="65">
      <c r="C65" s="120"/>
      <c r="D65" s="85">
        <v>11.22</v>
      </c>
      <c r="P65" s="106">
        <v>2.0</v>
      </c>
      <c r="AE65" s="20">
        <v>42.74</v>
      </c>
      <c r="AF65" s="20">
        <v>-59.18</v>
      </c>
    </row>
    <row r="66">
      <c r="C66" s="120"/>
      <c r="D66" s="85">
        <v>10.55</v>
      </c>
      <c r="P66" s="106">
        <v>0.0</v>
      </c>
      <c r="AE66" s="20">
        <v>42.18</v>
      </c>
      <c r="AF66" s="20">
        <v>-37.16</v>
      </c>
    </row>
    <row r="67">
      <c r="C67" s="120"/>
      <c r="D67" s="85">
        <v>11.99</v>
      </c>
      <c r="P67" s="106">
        <v>0.0</v>
      </c>
      <c r="AE67" s="20">
        <v>40.68</v>
      </c>
      <c r="AF67" s="20">
        <v>223.42</v>
      </c>
    </row>
    <row r="68">
      <c r="C68" s="120"/>
      <c r="D68" s="85">
        <v>1.77</v>
      </c>
      <c r="P68" s="106">
        <v>1.0</v>
      </c>
      <c r="AE68" s="20">
        <v>39.22</v>
      </c>
      <c r="AF68" s="20">
        <v>-20.09</v>
      </c>
    </row>
    <row r="69">
      <c r="C69" s="120"/>
      <c r="D69" s="85">
        <v>1.49</v>
      </c>
      <c r="P69" s="106">
        <v>2.0</v>
      </c>
      <c r="AE69" s="20">
        <v>38.29</v>
      </c>
      <c r="AF69" s="20">
        <v>-64.28</v>
      </c>
    </row>
    <row r="70">
      <c r="C70" s="120"/>
      <c r="D70" s="85">
        <v>1.24</v>
      </c>
      <c r="P70" s="106">
        <v>1.0</v>
      </c>
      <c r="AE70" s="20">
        <v>37.04</v>
      </c>
      <c r="AF70" s="20">
        <v>-46.65</v>
      </c>
    </row>
    <row r="71">
      <c r="C71" s="120"/>
      <c r="D71" s="85">
        <v>1.69</v>
      </c>
      <c r="F71" s="127"/>
      <c r="P71" s="106">
        <v>1.0</v>
      </c>
      <c r="AE71" s="20">
        <v>35.75</v>
      </c>
      <c r="AF71" s="20">
        <v>19.5</v>
      </c>
    </row>
    <row r="72">
      <c r="C72" s="120"/>
      <c r="D72" s="85">
        <v>1.84</v>
      </c>
      <c r="P72" s="106">
        <v>0.0</v>
      </c>
      <c r="AE72" s="20">
        <v>34.32</v>
      </c>
      <c r="AF72" s="20">
        <v>-73.73</v>
      </c>
    </row>
    <row r="73">
      <c r="C73" s="120"/>
      <c r="D73" s="85">
        <v>1.24</v>
      </c>
      <c r="P73" s="106">
        <v>1.0</v>
      </c>
      <c r="AE73" s="20">
        <v>34.22</v>
      </c>
      <c r="AF73" s="20">
        <v>-18.66</v>
      </c>
    </row>
    <row r="74">
      <c r="C74" s="120"/>
      <c r="D74" s="85">
        <v>1.8</v>
      </c>
      <c r="P74" s="106">
        <v>0.0</v>
      </c>
      <c r="AE74" s="20">
        <v>33.52</v>
      </c>
      <c r="AF74" s="20">
        <v>-40.62</v>
      </c>
    </row>
    <row r="75">
      <c r="C75" s="120"/>
      <c r="D75" s="85">
        <v>10.04</v>
      </c>
      <c r="P75" s="106">
        <v>1.0</v>
      </c>
      <c r="AE75" s="20">
        <v>33.35</v>
      </c>
      <c r="AF75" s="20">
        <v>-47.6</v>
      </c>
    </row>
    <row r="76">
      <c r="C76" s="120"/>
      <c r="D76" s="85">
        <v>2.19</v>
      </c>
      <c r="P76" s="106">
        <v>0.0</v>
      </c>
      <c r="AE76" s="20">
        <v>32.76</v>
      </c>
      <c r="AF76" s="20">
        <v>-24.49</v>
      </c>
    </row>
    <row r="77">
      <c r="C77" s="120"/>
      <c r="D77" s="85">
        <v>1.49</v>
      </c>
      <c r="P77" s="106">
        <v>0.0</v>
      </c>
      <c r="AE77" s="20">
        <v>31.4</v>
      </c>
      <c r="AF77" s="20">
        <v>-35.28</v>
      </c>
    </row>
    <row r="78">
      <c r="C78" s="120"/>
      <c r="D78" s="85">
        <v>0.0</v>
      </c>
      <c r="P78" s="106">
        <v>1.0</v>
      </c>
      <c r="AE78" s="20">
        <v>30.17</v>
      </c>
      <c r="AF78" s="20">
        <v>-70.08</v>
      </c>
    </row>
    <row r="79">
      <c r="C79" s="120"/>
      <c r="D79" s="85">
        <v>0.0</v>
      </c>
      <c r="P79" s="106">
        <v>2.0</v>
      </c>
      <c r="AE79" s="20">
        <v>29.4</v>
      </c>
      <c r="AF79" s="20">
        <v>-10.36</v>
      </c>
    </row>
    <row r="80">
      <c r="C80" s="120"/>
      <c r="D80" s="85">
        <v>0.0</v>
      </c>
      <c r="P80" s="106">
        <v>1.0</v>
      </c>
      <c r="AE80" s="20">
        <v>28.21</v>
      </c>
      <c r="AF80" s="20">
        <v>-31.91</v>
      </c>
    </row>
    <row r="81">
      <c r="C81" s="120"/>
      <c r="D81" s="85">
        <v>0.0</v>
      </c>
      <c r="P81" s="106">
        <v>2.0</v>
      </c>
      <c r="AE81" s="20">
        <v>26.36</v>
      </c>
      <c r="AF81" s="20">
        <v>-55.82</v>
      </c>
    </row>
    <row r="82">
      <c r="C82" s="120"/>
      <c r="D82" s="85">
        <v>0.0</v>
      </c>
      <c r="P82" s="106">
        <v>1.0</v>
      </c>
      <c r="AE82" s="20">
        <v>25.78</v>
      </c>
      <c r="AF82" s="20">
        <v>9.54</v>
      </c>
    </row>
    <row r="83">
      <c r="C83" s="120"/>
      <c r="D83" s="85">
        <v>0.0</v>
      </c>
      <c r="P83" s="106">
        <v>0.0</v>
      </c>
      <c r="AE83" s="20">
        <v>23.92</v>
      </c>
      <c r="AF83" s="20">
        <v>40.59</v>
      </c>
    </row>
    <row r="84">
      <c r="C84" s="120"/>
      <c r="D84" s="85">
        <v>0.0</v>
      </c>
      <c r="P84" s="106">
        <v>1.0</v>
      </c>
      <c r="AE84" s="20">
        <v>22.79</v>
      </c>
      <c r="AF84" s="20">
        <v>-71.84</v>
      </c>
    </row>
    <row r="85">
      <c r="C85" s="120"/>
      <c r="D85" s="85">
        <v>6.44</v>
      </c>
      <c r="P85" s="106">
        <v>0.0</v>
      </c>
      <c r="AE85" s="20">
        <v>21.0</v>
      </c>
      <c r="AF85" s="20">
        <v>-59.22</v>
      </c>
    </row>
    <row r="86">
      <c r="C86" s="120"/>
      <c r="D86" s="85">
        <v>5.84</v>
      </c>
      <c r="P86" s="106">
        <v>0.0</v>
      </c>
      <c r="AE86" s="20">
        <v>20.94</v>
      </c>
      <c r="AF86" s="20">
        <v>-71.78</v>
      </c>
    </row>
    <row r="87">
      <c r="C87" s="120"/>
      <c r="D87" s="85">
        <v>2.91</v>
      </c>
      <c r="P87" s="106">
        <v>1.0</v>
      </c>
      <c r="AE87" s="20">
        <v>20.55</v>
      </c>
      <c r="AF87" s="20">
        <v>-77.85</v>
      </c>
    </row>
    <row r="88">
      <c r="C88" s="120"/>
      <c r="D88" s="85">
        <v>3.36</v>
      </c>
      <c r="P88" s="106">
        <v>2.0</v>
      </c>
      <c r="AE88" s="20">
        <v>17.74</v>
      </c>
      <c r="AF88" s="20">
        <v>13.18</v>
      </c>
    </row>
    <row r="89">
      <c r="C89" s="120"/>
      <c r="D89" s="85">
        <v>3.02</v>
      </c>
      <c r="P89" s="106">
        <v>2.0</v>
      </c>
      <c r="AE89" s="20">
        <v>17.33</v>
      </c>
      <c r="AF89" s="20">
        <v>16.81</v>
      </c>
    </row>
    <row r="90">
      <c r="C90" s="120"/>
      <c r="D90" s="85"/>
      <c r="P90" s="106">
        <v>1.0</v>
      </c>
      <c r="AE90" s="20">
        <v>16.85</v>
      </c>
      <c r="AF90" s="20">
        <v>-50.81</v>
      </c>
    </row>
    <row r="91">
      <c r="C91" s="120"/>
      <c r="D91" s="85"/>
      <c r="P91" s="106">
        <v>1.0</v>
      </c>
      <c r="AE91" s="20">
        <v>16.11</v>
      </c>
      <c r="AF91" s="20">
        <v>-52.86</v>
      </c>
    </row>
    <row r="92">
      <c r="C92" s="120"/>
      <c r="D92" s="85"/>
      <c r="P92" s="106">
        <v>2.0</v>
      </c>
      <c r="AE92" s="20">
        <v>16.08</v>
      </c>
      <c r="AF92" s="20">
        <v>80.01</v>
      </c>
    </row>
    <row r="93">
      <c r="C93" s="120"/>
      <c r="D93" s="85"/>
      <c r="P93" s="106">
        <v>0.0</v>
      </c>
      <c r="AE93" s="20">
        <v>15.84</v>
      </c>
      <c r="AF93" s="20">
        <v>-77.3</v>
      </c>
    </row>
    <row r="94">
      <c r="C94" s="120"/>
      <c r="D94" s="85"/>
      <c r="P94" s="106">
        <v>0.0</v>
      </c>
      <c r="AE94" s="20">
        <v>14.26</v>
      </c>
      <c r="AF94" s="20">
        <v>40.11</v>
      </c>
    </row>
    <row r="95">
      <c r="C95" s="120"/>
      <c r="D95" s="85"/>
      <c r="P95" s="106">
        <v>1.0</v>
      </c>
      <c r="AE95" s="20">
        <v>14.03</v>
      </c>
      <c r="AF95" s="20">
        <v>-4.79</v>
      </c>
    </row>
    <row r="96">
      <c r="C96" s="120"/>
      <c r="D96" s="85"/>
      <c r="P96" s="106">
        <v>2.0</v>
      </c>
      <c r="AE96" s="20">
        <v>12.81</v>
      </c>
      <c r="AF96" s="20">
        <v>18.57</v>
      </c>
    </row>
    <row r="97">
      <c r="C97" s="120"/>
      <c r="D97" s="85"/>
      <c r="P97" s="106">
        <v>0.0</v>
      </c>
      <c r="AE97" s="20">
        <v>12.67</v>
      </c>
      <c r="AF97" s="20">
        <v>-30.26</v>
      </c>
    </row>
    <row r="98">
      <c r="C98" s="120"/>
      <c r="D98" s="85"/>
      <c r="P98" s="106">
        <v>2.0</v>
      </c>
      <c r="AE98" s="20">
        <v>12.56</v>
      </c>
      <c r="AF98" s="20">
        <v>-41.83</v>
      </c>
    </row>
    <row r="99">
      <c r="C99" s="120"/>
      <c r="D99" s="85"/>
      <c r="P99" s="106">
        <v>2.0</v>
      </c>
      <c r="AE99" s="20">
        <v>12.05</v>
      </c>
      <c r="AF99" s="20">
        <v>-26.54</v>
      </c>
    </row>
    <row r="100">
      <c r="C100" s="120"/>
      <c r="D100" s="85"/>
      <c r="P100" s="106">
        <v>2.0</v>
      </c>
      <c r="AE100" s="20">
        <v>11.89</v>
      </c>
      <c r="AF100" s="20">
        <v>165.95</v>
      </c>
    </row>
    <row r="101">
      <c r="C101" s="120"/>
      <c r="D101" s="85"/>
      <c r="P101" s="106">
        <v>2.0</v>
      </c>
      <c r="AE101" s="20">
        <v>11.24</v>
      </c>
      <c r="AF101" s="20">
        <v>-30.28</v>
      </c>
    </row>
    <row r="102">
      <c r="C102" s="120"/>
      <c r="D102" s="85"/>
      <c r="P102" s="106">
        <v>2.0</v>
      </c>
      <c r="AE102" s="20">
        <v>10.65</v>
      </c>
      <c r="AF102" s="20">
        <v>-65.29</v>
      </c>
    </row>
    <row r="103">
      <c r="C103" s="120"/>
      <c r="D103" s="85"/>
      <c r="P103" s="106">
        <v>1.0</v>
      </c>
      <c r="AE103" s="20">
        <v>10.35</v>
      </c>
      <c r="AF103" s="20">
        <v>70.73</v>
      </c>
    </row>
    <row r="104">
      <c r="C104" s="120"/>
      <c r="D104" s="85"/>
      <c r="N104" s="128"/>
      <c r="P104" s="106">
        <v>0.0</v>
      </c>
      <c r="AE104" s="20">
        <v>10.0</v>
      </c>
      <c r="AF104" s="20">
        <v>220.63</v>
      </c>
    </row>
    <row r="105">
      <c r="C105" s="120"/>
      <c r="D105" s="85"/>
      <c r="N105" s="17"/>
      <c r="P105" s="106">
        <v>1.0</v>
      </c>
      <c r="AE105" s="20">
        <v>9.99</v>
      </c>
      <c r="AF105" s="20">
        <v>-12.98</v>
      </c>
    </row>
    <row r="106">
      <c r="C106" s="120"/>
      <c r="D106" s="85"/>
      <c r="N106" s="17"/>
      <c r="P106" s="106">
        <v>1.0</v>
      </c>
      <c r="AE106" s="20">
        <v>9.06</v>
      </c>
      <c r="AF106" s="20">
        <v>-12.6</v>
      </c>
    </row>
    <row r="107">
      <c r="C107" s="120"/>
      <c r="D107" s="85"/>
      <c r="N107" s="17"/>
      <c r="P107" s="106">
        <v>2.0</v>
      </c>
      <c r="AE107" s="20">
        <v>8.33</v>
      </c>
      <c r="AF107" s="20">
        <v>13.05</v>
      </c>
    </row>
    <row r="108">
      <c r="C108" s="120"/>
      <c r="D108" s="85"/>
      <c r="N108" s="17"/>
      <c r="P108" s="106">
        <v>1.0</v>
      </c>
      <c r="AE108" s="20">
        <v>6.24</v>
      </c>
      <c r="AF108" s="20">
        <v>-65.22</v>
      </c>
    </row>
    <row r="109">
      <c r="C109" s="120"/>
      <c r="D109" s="85"/>
      <c r="N109" s="17"/>
      <c r="P109" s="106">
        <v>2.0</v>
      </c>
      <c r="AE109" s="20">
        <v>6.02</v>
      </c>
      <c r="AF109" s="20">
        <v>-78.32</v>
      </c>
    </row>
    <row r="110">
      <c r="C110" s="120"/>
      <c r="D110" s="85"/>
      <c r="N110" s="17"/>
      <c r="P110" s="106">
        <v>1.0</v>
      </c>
      <c r="AE110" s="20">
        <v>5.63</v>
      </c>
      <c r="AF110" s="20">
        <v>-27.58</v>
      </c>
    </row>
    <row r="111">
      <c r="C111" s="120"/>
      <c r="D111" s="85"/>
      <c r="N111" s="17"/>
      <c r="P111" s="106">
        <v>2.0</v>
      </c>
      <c r="AE111" s="20">
        <v>5.1</v>
      </c>
      <c r="AF111" s="20">
        <v>57.46</v>
      </c>
    </row>
    <row r="112">
      <c r="C112" s="120"/>
      <c r="D112" s="85"/>
      <c r="P112" s="106">
        <v>1.0</v>
      </c>
      <c r="AE112" s="20">
        <v>4.34</v>
      </c>
      <c r="AF112" s="20">
        <v>-29.66</v>
      </c>
    </row>
    <row r="113">
      <c r="C113" s="120"/>
      <c r="D113" s="85"/>
      <c r="P113" s="106">
        <v>0.0</v>
      </c>
      <c r="AE113" s="20">
        <v>3.56</v>
      </c>
      <c r="AF113" s="20">
        <v>-31.38</v>
      </c>
    </row>
    <row r="114">
      <c r="C114" s="120"/>
      <c r="D114" s="85"/>
      <c r="P114" s="106">
        <v>1.0</v>
      </c>
      <c r="AE114" s="20">
        <v>3.15</v>
      </c>
      <c r="AF114" s="20">
        <v>21.65</v>
      </c>
    </row>
    <row r="115">
      <c r="C115" s="120"/>
      <c r="D115" s="85"/>
      <c r="P115" s="106">
        <v>1.0</v>
      </c>
      <c r="AE115" s="20">
        <v>3.11</v>
      </c>
      <c r="AF115" s="20">
        <v>-34.68</v>
      </c>
    </row>
    <row r="116">
      <c r="C116" s="120"/>
      <c r="D116" s="85"/>
      <c r="P116" s="106">
        <v>1.0</v>
      </c>
      <c r="AE116" s="20">
        <v>1.32</v>
      </c>
      <c r="AF116" s="20">
        <v>25.47</v>
      </c>
    </row>
    <row r="117">
      <c r="C117" s="120"/>
      <c r="D117" s="85"/>
      <c r="P117" s="129"/>
      <c r="AE117" s="20">
        <v>0.88</v>
      </c>
      <c r="AF117" s="20">
        <v>-52.33</v>
      </c>
    </row>
    <row r="118">
      <c r="C118" s="120"/>
      <c r="D118" s="85"/>
      <c r="P118" s="129"/>
      <c r="AE118" s="20">
        <v>0.4</v>
      </c>
      <c r="AF118" s="20">
        <v>-16.42</v>
      </c>
    </row>
    <row r="119">
      <c r="C119" s="120"/>
      <c r="D119" s="85"/>
      <c r="P119" s="129"/>
      <c r="AE119" s="20">
        <v>0.22</v>
      </c>
      <c r="AF119" s="20">
        <v>22.39</v>
      </c>
    </row>
    <row r="120">
      <c r="C120" s="120"/>
      <c r="D120" s="85"/>
      <c r="P120" s="129"/>
      <c r="AE120" s="20">
        <v>0.13</v>
      </c>
      <c r="AF120" s="20">
        <v>-16.88</v>
      </c>
    </row>
    <row r="121">
      <c r="C121" s="120"/>
      <c r="D121" s="85"/>
      <c r="P121" s="129"/>
      <c r="AE121" s="20">
        <v>-0.43</v>
      </c>
      <c r="AF121" s="20">
        <v>48.74</v>
      </c>
    </row>
    <row r="122">
      <c r="C122" s="120"/>
      <c r="D122" s="85"/>
      <c r="P122" s="129"/>
      <c r="AE122" s="20">
        <v>-0.45</v>
      </c>
      <c r="AF122" s="20">
        <v>4.32</v>
      </c>
    </row>
    <row r="123">
      <c r="C123" s="120"/>
      <c r="D123" s="85"/>
      <c r="P123" s="129"/>
      <c r="AE123" s="20">
        <v>-1.63</v>
      </c>
      <c r="AF123" s="20">
        <v>-35.85</v>
      </c>
    </row>
    <row r="124">
      <c r="C124" s="120"/>
      <c r="D124" s="85"/>
      <c r="P124" s="129"/>
      <c r="AE124" s="20">
        <v>-1.73</v>
      </c>
      <c r="AF124" s="20">
        <v>-38.06</v>
      </c>
    </row>
    <row r="125">
      <c r="C125" s="120"/>
      <c r="D125" s="85"/>
      <c r="P125" s="129"/>
      <c r="AE125" s="20">
        <v>-2.37</v>
      </c>
      <c r="AF125" s="20">
        <v>-50.44</v>
      </c>
    </row>
    <row r="126">
      <c r="C126" s="120"/>
      <c r="D126" s="85"/>
      <c r="P126" s="129"/>
      <c r="AE126" s="20">
        <v>-3.35</v>
      </c>
      <c r="AF126" s="20">
        <v>-36.07</v>
      </c>
    </row>
    <row r="127">
      <c r="C127" s="120"/>
      <c r="D127" s="85"/>
      <c r="P127" s="129"/>
      <c r="AE127" s="20">
        <v>-4.4</v>
      </c>
      <c r="AF127" s="20">
        <v>-53.6</v>
      </c>
    </row>
    <row r="128">
      <c r="C128" s="120"/>
      <c r="D128" s="85"/>
      <c r="P128" s="129"/>
      <c r="AE128" s="20">
        <v>-4.49</v>
      </c>
      <c r="AF128" s="20">
        <v>-9.17</v>
      </c>
    </row>
    <row r="129">
      <c r="C129" s="120"/>
      <c r="D129" s="85"/>
      <c r="P129" s="129"/>
      <c r="AE129" s="20">
        <v>-4.55</v>
      </c>
      <c r="AF129" s="20">
        <v>-72.49</v>
      </c>
    </row>
    <row r="130">
      <c r="C130" s="120"/>
      <c r="D130" s="85"/>
      <c r="P130" s="129"/>
      <c r="AE130" s="20">
        <v>-4.8</v>
      </c>
      <c r="AF130" s="20">
        <v>-63.2</v>
      </c>
    </row>
    <row r="131">
      <c r="C131" s="120"/>
      <c r="D131" s="85"/>
      <c r="P131" s="129"/>
      <c r="AE131" s="20">
        <v>-5.33</v>
      </c>
      <c r="AF131" s="20">
        <v>-64.97</v>
      </c>
    </row>
    <row r="132">
      <c r="C132" s="120"/>
      <c r="D132" s="85"/>
      <c r="P132" s="129"/>
      <c r="AE132" s="20">
        <v>-5.45</v>
      </c>
      <c r="AF132" s="20">
        <v>-37.11</v>
      </c>
    </row>
    <row r="133">
      <c r="C133" s="120"/>
      <c r="D133" s="85"/>
      <c r="P133" s="129"/>
      <c r="AE133" s="20">
        <v>-5.64</v>
      </c>
      <c r="AF133" s="20">
        <v>-77.37</v>
      </c>
    </row>
    <row r="134">
      <c r="C134" s="120"/>
      <c r="D134" s="85"/>
      <c r="P134" s="129"/>
      <c r="AE134" s="20">
        <v>-6.39</v>
      </c>
      <c r="AF134" s="20">
        <v>-37.53</v>
      </c>
    </row>
    <row r="135">
      <c r="C135" s="120"/>
      <c r="D135" s="85"/>
      <c r="P135" s="129"/>
      <c r="AE135" s="20">
        <v>-6.39</v>
      </c>
      <c r="AF135" s="20">
        <v>-42.67</v>
      </c>
    </row>
    <row r="136">
      <c r="C136" s="120"/>
      <c r="D136" s="85"/>
      <c r="P136" s="129"/>
      <c r="AE136" s="20">
        <v>-6.49</v>
      </c>
      <c r="AF136" s="20">
        <v>-77.65</v>
      </c>
    </row>
    <row r="137">
      <c r="C137" s="120"/>
      <c r="D137" s="85"/>
      <c r="P137" s="129"/>
      <c r="AE137" s="20">
        <v>-7.0</v>
      </c>
      <c r="AF137" s="20">
        <v>246.78</v>
      </c>
    </row>
    <row r="138">
      <c r="C138" s="120"/>
      <c r="D138" s="85"/>
      <c r="P138" s="129"/>
      <c r="AE138" s="20">
        <v>-7.1</v>
      </c>
      <c r="AF138" s="20">
        <v>-58.91</v>
      </c>
    </row>
    <row r="139">
      <c r="C139" s="120"/>
      <c r="D139" s="85"/>
      <c r="P139" s="129"/>
      <c r="AE139" s="20">
        <v>-7.87</v>
      </c>
      <c r="AF139" s="20">
        <v>14.6</v>
      </c>
    </row>
    <row r="140">
      <c r="C140" s="120"/>
      <c r="D140" s="85"/>
      <c r="H140" s="20">
        <v>49.0</v>
      </c>
      <c r="J140" s="20">
        <v>0.51</v>
      </c>
      <c r="K140" s="20">
        <v>46.0</v>
      </c>
      <c r="P140" s="129"/>
      <c r="AE140" s="20">
        <v>-8.38</v>
      </c>
      <c r="AF140" s="20">
        <v>47.86</v>
      </c>
    </row>
    <row r="141">
      <c r="C141" s="120"/>
      <c r="D141" s="85"/>
      <c r="H141" s="20">
        <v>43.0</v>
      </c>
      <c r="J141" s="20">
        <v>0.55</v>
      </c>
      <c r="K141" s="20">
        <v>43.0</v>
      </c>
      <c r="P141" s="129"/>
      <c r="AE141" s="20">
        <v>-8.52</v>
      </c>
      <c r="AF141" s="20">
        <v>-34.49</v>
      </c>
    </row>
    <row r="142">
      <c r="C142" s="120"/>
      <c r="D142" s="85"/>
      <c r="H142" s="20">
        <v>42.0</v>
      </c>
      <c r="J142" s="20">
        <v>0.46</v>
      </c>
      <c r="K142" s="20">
        <v>42.0</v>
      </c>
      <c r="P142" s="129"/>
      <c r="AE142" s="20">
        <v>-8.91</v>
      </c>
      <c r="AF142" s="20">
        <v>-31.97</v>
      </c>
    </row>
    <row r="143">
      <c r="C143" s="120"/>
      <c r="D143" s="85"/>
      <c r="H143" s="20">
        <v>45.0</v>
      </c>
      <c r="J143" s="20">
        <v>0.45</v>
      </c>
      <c r="K143" s="20">
        <v>49.0</v>
      </c>
      <c r="P143" s="129"/>
      <c r="AE143" s="20">
        <v>-9.25</v>
      </c>
      <c r="AF143" s="20">
        <v>-1.25</v>
      </c>
    </row>
    <row r="144">
      <c r="C144" s="120"/>
      <c r="D144" s="85"/>
      <c r="H144" s="20">
        <v>44.0</v>
      </c>
      <c r="J144" s="20">
        <v>0.5</v>
      </c>
      <c r="K144" s="20">
        <v>45.0</v>
      </c>
      <c r="P144" s="129"/>
      <c r="AE144" s="20">
        <v>-9.49</v>
      </c>
      <c r="AF144" s="20">
        <v>140.19</v>
      </c>
    </row>
    <row r="145">
      <c r="C145" s="120"/>
      <c r="D145" s="85"/>
      <c r="H145" s="20">
        <v>42.0</v>
      </c>
      <c r="J145" s="20">
        <v>0.51</v>
      </c>
      <c r="K145" s="20">
        <v>43.0</v>
      </c>
      <c r="P145" s="129"/>
      <c r="AE145" s="20">
        <v>-10.38</v>
      </c>
      <c r="AF145" s="20">
        <v>-70.08</v>
      </c>
    </row>
    <row r="146">
      <c r="C146" s="120"/>
      <c r="D146" s="85"/>
      <c r="H146" s="20">
        <v>46.0</v>
      </c>
      <c r="J146" s="20">
        <v>0.53</v>
      </c>
      <c r="K146" s="20">
        <v>44.0</v>
      </c>
      <c r="P146" s="129"/>
      <c r="AE146" s="20">
        <v>-11.11</v>
      </c>
      <c r="AF146" s="20">
        <v>-29.17</v>
      </c>
    </row>
    <row r="147">
      <c r="C147" s="120"/>
      <c r="D147" s="85"/>
      <c r="H147" s="20">
        <v>48.0</v>
      </c>
      <c r="J147" s="20">
        <v>0.45</v>
      </c>
      <c r="K147" s="20">
        <v>51.0</v>
      </c>
      <c r="P147" s="129"/>
      <c r="AE147" s="20">
        <v>-11.31</v>
      </c>
      <c r="AF147" s="20">
        <v>-1.59</v>
      </c>
    </row>
    <row r="148">
      <c r="C148" s="120"/>
      <c r="D148" s="85"/>
      <c r="H148" s="20">
        <v>47.0</v>
      </c>
      <c r="J148" s="20">
        <v>0.48</v>
      </c>
      <c r="K148" s="20">
        <v>42.0</v>
      </c>
      <c r="P148" s="129"/>
      <c r="AE148" s="20">
        <v>-11.41</v>
      </c>
      <c r="AF148" s="20">
        <v>-48.72</v>
      </c>
    </row>
    <row r="149">
      <c r="C149" s="120"/>
      <c r="D149" s="85"/>
      <c r="H149" s="20">
        <v>48.0</v>
      </c>
      <c r="J149" s="20">
        <v>0.53</v>
      </c>
      <c r="K149" s="20">
        <v>47.0</v>
      </c>
      <c r="P149" s="129"/>
      <c r="AE149" s="20">
        <v>-11.67</v>
      </c>
      <c r="AF149" s="20">
        <v>-27.82</v>
      </c>
    </row>
    <row r="150">
      <c r="C150" s="120"/>
      <c r="D150" s="85"/>
      <c r="H150" s="20">
        <v>47.0</v>
      </c>
      <c r="J150" s="20">
        <v>0.47</v>
      </c>
      <c r="K150" s="20">
        <v>45.0</v>
      </c>
      <c r="P150" s="129"/>
      <c r="AE150" s="20">
        <v>-11.86</v>
      </c>
      <c r="AF150" s="20">
        <v>-28.76</v>
      </c>
    </row>
    <row r="151">
      <c r="C151" s="120"/>
      <c r="D151" s="85"/>
      <c r="H151" s="20">
        <v>49.0</v>
      </c>
      <c r="J151" s="20">
        <v>0.52</v>
      </c>
      <c r="K151" s="20">
        <v>47.0</v>
      </c>
      <c r="P151" s="129"/>
      <c r="AE151" s="20">
        <v>-12.07</v>
      </c>
      <c r="AF151" s="20">
        <v>-67.17</v>
      </c>
    </row>
    <row r="152">
      <c r="C152" s="120"/>
      <c r="D152" s="85"/>
      <c r="H152" s="20">
        <v>42.0</v>
      </c>
      <c r="J152" s="20">
        <v>0.46</v>
      </c>
      <c r="K152" s="20">
        <v>46.0</v>
      </c>
      <c r="P152" s="129"/>
      <c r="AE152" s="20">
        <v>-12.12</v>
      </c>
      <c r="AF152" s="20">
        <v>-27.06</v>
      </c>
    </row>
    <row r="153">
      <c r="C153" s="120"/>
      <c r="D153" s="85"/>
      <c r="H153" s="20">
        <v>48.0</v>
      </c>
      <c r="J153" s="20">
        <v>0.46</v>
      </c>
      <c r="K153" s="20">
        <v>47.0</v>
      </c>
      <c r="P153" s="129"/>
      <c r="AE153" s="20">
        <v>-12.47</v>
      </c>
      <c r="AF153" s="20">
        <v>-27.93</v>
      </c>
    </row>
    <row r="154">
      <c r="C154" s="120"/>
      <c r="D154" s="85"/>
      <c r="H154" s="20">
        <v>48.0</v>
      </c>
      <c r="J154" s="20">
        <v>0.5</v>
      </c>
      <c r="K154" s="20">
        <v>48.0</v>
      </c>
      <c r="P154" s="129"/>
      <c r="AE154" s="20">
        <v>-12.47</v>
      </c>
      <c r="AF154" s="20">
        <v>-67.04</v>
      </c>
    </row>
    <row r="155">
      <c r="C155" s="120"/>
      <c r="D155" s="85"/>
      <c r="H155" s="20">
        <v>42.0</v>
      </c>
      <c r="J155" s="20">
        <v>0.5</v>
      </c>
      <c r="K155" s="20">
        <v>48.0</v>
      </c>
      <c r="P155" s="129"/>
      <c r="AE155" s="20">
        <v>-12.85</v>
      </c>
      <c r="AF155" s="20">
        <v>187.78</v>
      </c>
    </row>
    <row r="156">
      <c r="C156" s="120"/>
      <c r="D156" s="85"/>
      <c r="H156" s="20">
        <v>46.0</v>
      </c>
      <c r="J156" s="20">
        <v>0.52</v>
      </c>
      <c r="K156" s="20">
        <v>46.0</v>
      </c>
      <c r="P156" s="129"/>
      <c r="AE156" s="20">
        <v>-13.35</v>
      </c>
      <c r="AF156" s="20">
        <v>75.39</v>
      </c>
    </row>
    <row r="157">
      <c r="C157" s="120"/>
      <c r="D157" s="85"/>
      <c r="H157" s="20">
        <v>43.0</v>
      </c>
      <c r="J157" s="20">
        <v>0.51</v>
      </c>
      <c r="K157" s="20">
        <v>49.0</v>
      </c>
      <c r="P157" s="129"/>
      <c r="AE157" s="20">
        <v>-13.4</v>
      </c>
      <c r="AF157" s="20">
        <v>-29.88</v>
      </c>
    </row>
    <row r="158">
      <c r="C158" s="120"/>
      <c r="D158" s="85"/>
      <c r="H158" s="20">
        <v>46.0</v>
      </c>
      <c r="J158" s="20">
        <v>0.53</v>
      </c>
      <c r="K158" s="20">
        <v>45.0</v>
      </c>
      <c r="P158" s="129"/>
      <c r="AE158" s="20">
        <v>-13.47</v>
      </c>
      <c r="AF158" s="20">
        <v>-31.06</v>
      </c>
    </row>
    <row r="159">
      <c r="C159" s="120"/>
      <c r="D159" s="85"/>
      <c r="H159" s="20">
        <v>44.0</v>
      </c>
      <c r="J159" s="20">
        <v>0.45</v>
      </c>
      <c r="K159" s="20">
        <v>48.0</v>
      </c>
      <c r="P159" s="129"/>
      <c r="AE159" s="20">
        <v>-13.47</v>
      </c>
      <c r="AF159" s="20">
        <v>-66.25</v>
      </c>
    </row>
    <row r="160">
      <c r="C160" s="120"/>
      <c r="D160" s="85"/>
      <c r="H160" s="20">
        <v>47.0</v>
      </c>
      <c r="J160" s="20">
        <v>0.52</v>
      </c>
      <c r="K160" s="20">
        <v>47.0</v>
      </c>
      <c r="P160" s="129"/>
      <c r="AE160" s="20">
        <v>-13.49</v>
      </c>
      <c r="AF160" s="20">
        <v>-20.78</v>
      </c>
    </row>
    <row r="161">
      <c r="C161" s="120"/>
      <c r="D161" s="85"/>
      <c r="H161" s="20">
        <v>50.0</v>
      </c>
      <c r="J161" s="20">
        <v>0.5</v>
      </c>
      <c r="K161" s="20">
        <v>47.0</v>
      </c>
      <c r="P161" s="129"/>
      <c r="AE161" s="20">
        <v>-13.6</v>
      </c>
      <c r="AF161" s="20">
        <v>-53.46</v>
      </c>
    </row>
    <row r="162">
      <c r="C162" s="120"/>
      <c r="D162" s="85"/>
      <c r="H162" s="20">
        <v>47.0</v>
      </c>
      <c r="J162" s="20">
        <v>0.52</v>
      </c>
      <c r="K162" s="20">
        <v>45.0</v>
      </c>
      <c r="P162" s="129"/>
      <c r="AE162" s="20">
        <v>-13.93</v>
      </c>
      <c r="AF162" s="20">
        <v>-14.25</v>
      </c>
    </row>
    <row r="163">
      <c r="C163" s="120"/>
      <c r="D163" s="85"/>
      <c r="H163" s="20">
        <v>46.0</v>
      </c>
      <c r="J163" s="20">
        <v>0.49</v>
      </c>
      <c r="K163" s="20">
        <v>44.0</v>
      </c>
      <c r="P163" s="129"/>
      <c r="AE163" s="20">
        <v>-14.03</v>
      </c>
      <c r="AF163" s="20">
        <v>-33.64</v>
      </c>
    </row>
    <row r="164">
      <c r="C164" s="120"/>
      <c r="D164" s="85"/>
      <c r="H164" s="20">
        <v>47.0</v>
      </c>
      <c r="J164" s="20">
        <v>0.52</v>
      </c>
      <c r="K164" s="20">
        <v>49.0</v>
      </c>
      <c r="P164" s="129"/>
      <c r="AE164" s="20">
        <v>-14.39</v>
      </c>
      <c r="AF164" s="20">
        <v>-73.99</v>
      </c>
    </row>
    <row r="165">
      <c r="C165" s="120"/>
      <c r="D165" s="85"/>
      <c r="H165" s="20">
        <v>44.0</v>
      </c>
      <c r="J165" s="20">
        <v>0.49</v>
      </c>
      <c r="K165" s="20">
        <v>45.0</v>
      </c>
      <c r="P165" s="129"/>
      <c r="AE165" s="20">
        <v>-14.41</v>
      </c>
      <c r="AF165" s="20">
        <v>-32.81</v>
      </c>
    </row>
    <row r="166">
      <c r="C166" s="120"/>
      <c r="D166" s="85"/>
      <c r="H166" s="20">
        <v>45.0</v>
      </c>
      <c r="J166" s="20">
        <v>0.51</v>
      </c>
      <c r="K166" s="20">
        <v>40.0</v>
      </c>
      <c r="P166" s="129"/>
      <c r="AE166" s="20">
        <v>-14.49</v>
      </c>
      <c r="AF166" s="20">
        <v>-38.55</v>
      </c>
    </row>
    <row r="167">
      <c r="C167" s="120"/>
      <c r="D167" s="85"/>
      <c r="H167" s="20">
        <v>39.0</v>
      </c>
      <c r="J167" s="20">
        <v>0.49</v>
      </c>
      <c r="K167" s="20">
        <v>44.0</v>
      </c>
      <c r="P167" s="129"/>
      <c r="AE167" s="20">
        <v>-14.53</v>
      </c>
      <c r="AF167" s="20">
        <v>-31.62</v>
      </c>
    </row>
    <row r="168">
      <c r="C168" s="120"/>
      <c r="D168" s="85"/>
      <c r="H168" s="20">
        <v>44.0</v>
      </c>
      <c r="J168" s="20">
        <v>0.5</v>
      </c>
      <c r="K168" s="20">
        <v>46.0</v>
      </c>
      <c r="P168" s="129"/>
      <c r="AE168" s="20">
        <v>-14.56</v>
      </c>
      <c r="AF168" s="20">
        <v>-47.41</v>
      </c>
    </row>
    <row r="169">
      <c r="C169" s="120"/>
      <c r="D169" s="85"/>
      <c r="H169" s="20">
        <v>46.0</v>
      </c>
      <c r="J169" s="20">
        <v>0.5</v>
      </c>
      <c r="K169" s="20">
        <v>44.0</v>
      </c>
      <c r="P169" s="129"/>
      <c r="AE169" s="20">
        <v>-14.86</v>
      </c>
      <c r="AF169" s="20">
        <v>-28.24</v>
      </c>
    </row>
    <row r="170">
      <c r="C170" s="120"/>
      <c r="D170" s="85"/>
      <c r="H170" s="20">
        <v>48.0</v>
      </c>
      <c r="J170" s="20">
        <v>0.5</v>
      </c>
      <c r="K170" s="20">
        <v>41.0</v>
      </c>
      <c r="P170" s="129"/>
      <c r="AE170" s="20">
        <v>-15.69</v>
      </c>
      <c r="AF170" s="20">
        <v>-36.03</v>
      </c>
    </row>
    <row r="171">
      <c r="C171" s="120"/>
      <c r="D171" s="85"/>
      <c r="H171" s="20">
        <v>45.0</v>
      </c>
      <c r="J171" s="20">
        <v>0.44</v>
      </c>
      <c r="K171" s="20">
        <v>50.0</v>
      </c>
      <c r="P171" s="129"/>
      <c r="AE171" s="20">
        <v>-16.02</v>
      </c>
      <c r="AF171" s="20">
        <v>-28.25</v>
      </c>
    </row>
    <row r="172">
      <c r="C172" s="120"/>
      <c r="D172" s="85"/>
      <c r="H172" s="20">
        <v>51.0</v>
      </c>
      <c r="J172" s="20">
        <v>0.49</v>
      </c>
      <c r="K172" s="20">
        <v>45.0</v>
      </c>
      <c r="P172" s="129"/>
      <c r="AE172" s="20">
        <v>-16.22</v>
      </c>
      <c r="AF172" s="20">
        <v>-31.3</v>
      </c>
    </row>
    <row r="173">
      <c r="C173" s="120"/>
      <c r="D173" s="85"/>
      <c r="H173" s="20">
        <v>46.0</v>
      </c>
      <c r="J173" s="20">
        <v>0.49</v>
      </c>
      <c r="K173" s="20">
        <v>47.0</v>
      </c>
      <c r="P173" s="129"/>
      <c r="AE173" s="20">
        <v>-16.72</v>
      </c>
      <c r="AF173" s="20">
        <v>100.69</v>
      </c>
    </row>
    <row r="174">
      <c r="C174" s="120"/>
      <c r="D174" s="85"/>
      <c r="H174" s="20">
        <v>46.0</v>
      </c>
      <c r="J174" s="20">
        <v>0.51</v>
      </c>
      <c r="K174" s="20">
        <v>45.0</v>
      </c>
      <c r="P174" s="129"/>
      <c r="AE174" s="20">
        <v>-16.94</v>
      </c>
      <c r="AF174" s="20">
        <v>-79.41</v>
      </c>
    </row>
    <row r="175">
      <c r="C175" s="120"/>
      <c r="D175" s="85"/>
      <c r="H175" s="20">
        <v>45.0</v>
      </c>
      <c r="J175" s="20">
        <v>0.48</v>
      </c>
      <c r="K175" s="20">
        <v>52.0</v>
      </c>
      <c r="P175" s="129"/>
      <c r="AE175" s="20">
        <v>-17.03</v>
      </c>
      <c r="AF175" s="20">
        <v>-54.77</v>
      </c>
    </row>
    <row r="176">
      <c r="C176" s="120"/>
      <c r="D176" s="85"/>
      <c r="H176" s="20">
        <v>44.0</v>
      </c>
      <c r="J176" s="20">
        <v>0.53</v>
      </c>
      <c r="K176" s="20">
        <v>44.0</v>
      </c>
      <c r="P176" s="129"/>
      <c r="AE176" s="20">
        <v>-17.79</v>
      </c>
      <c r="AF176" s="20">
        <v>-38.31</v>
      </c>
    </row>
    <row r="177">
      <c r="C177" s="120"/>
      <c r="D177" s="85"/>
      <c r="H177" s="20">
        <v>44.0</v>
      </c>
      <c r="J177" s="20">
        <v>0.48</v>
      </c>
      <c r="K177" s="20">
        <v>49.0</v>
      </c>
      <c r="P177" s="129"/>
      <c r="AE177" s="20">
        <v>-18.03</v>
      </c>
      <c r="AF177" s="20">
        <v>-31.74</v>
      </c>
    </row>
    <row r="178">
      <c r="C178" s="120"/>
      <c r="D178" s="85"/>
      <c r="H178" s="20">
        <v>46.0</v>
      </c>
      <c r="J178" s="20">
        <v>0.46</v>
      </c>
      <c r="K178" s="20">
        <v>45.0</v>
      </c>
      <c r="P178" s="129"/>
      <c r="AE178" s="20">
        <v>-18.15</v>
      </c>
      <c r="AF178" s="20">
        <v>-73.36</v>
      </c>
    </row>
    <row r="179">
      <c r="C179" s="120"/>
      <c r="D179" s="85"/>
      <c r="H179" s="20">
        <v>45.0</v>
      </c>
      <c r="J179" s="20">
        <v>0.49</v>
      </c>
      <c r="K179" s="20">
        <v>57.0</v>
      </c>
      <c r="P179" s="129"/>
      <c r="AE179" s="20">
        <v>-18.52</v>
      </c>
      <c r="AF179" s="20">
        <v>-31.9</v>
      </c>
    </row>
    <row r="180">
      <c r="C180" s="120"/>
      <c r="D180" s="85"/>
      <c r="H180" s="20">
        <v>46.0</v>
      </c>
      <c r="J180" s="20">
        <v>0.51</v>
      </c>
      <c r="K180" s="20">
        <v>49.0</v>
      </c>
      <c r="P180" s="129"/>
      <c r="AE180" s="20">
        <v>-19.3</v>
      </c>
      <c r="AF180" s="20">
        <v>-69.23</v>
      </c>
    </row>
    <row r="181">
      <c r="C181" s="120"/>
      <c r="D181" s="85"/>
      <c r="H181" s="20">
        <v>47.0</v>
      </c>
      <c r="J181" s="20">
        <v>0.51</v>
      </c>
      <c r="K181" s="20">
        <v>44.0</v>
      </c>
      <c r="P181" s="129"/>
      <c r="AE181" s="20">
        <v>-19.51</v>
      </c>
      <c r="AF181" s="20">
        <v>33.3</v>
      </c>
    </row>
    <row r="182">
      <c r="C182" s="120"/>
      <c r="D182" s="85"/>
      <c r="H182" s="20">
        <v>49.0</v>
      </c>
      <c r="J182" s="20">
        <v>0.51</v>
      </c>
      <c r="K182" s="20">
        <v>51.0</v>
      </c>
      <c r="P182" s="129"/>
      <c r="AE182" s="20">
        <v>-19.51</v>
      </c>
      <c r="AF182" s="20">
        <v>-44.45</v>
      </c>
    </row>
    <row r="183">
      <c r="C183" s="120"/>
      <c r="D183" s="85"/>
      <c r="H183" s="20">
        <v>49.0</v>
      </c>
      <c r="J183" s="20">
        <v>0.45</v>
      </c>
      <c r="K183" s="20">
        <v>52.0</v>
      </c>
      <c r="P183" s="129"/>
      <c r="AE183" s="20">
        <v>-19.53</v>
      </c>
      <c r="AF183" s="20">
        <v>-50.26</v>
      </c>
    </row>
    <row r="184">
      <c r="C184" s="120"/>
      <c r="D184" s="85"/>
      <c r="H184" s="20">
        <v>39.0</v>
      </c>
      <c r="J184" s="20">
        <v>0.59</v>
      </c>
      <c r="K184" s="20">
        <v>43.0</v>
      </c>
      <c r="P184" s="129"/>
      <c r="AE184" s="20">
        <v>-20.26</v>
      </c>
      <c r="AF184" s="20">
        <v>-33.98</v>
      </c>
    </row>
    <row r="185">
      <c r="C185" s="120"/>
      <c r="D185" s="85"/>
      <c r="H185" s="20">
        <v>54.0</v>
      </c>
      <c r="J185" s="20">
        <v>0.54</v>
      </c>
      <c r="K185" s="20">
        <v>39.0</v>
      </c>
      <c r="P185" s="129"/>
      <c r="AE185" s="20">
        <v>-20.26</v>
      </c>
      <c r="AF185" s="20">
        <v>-33.8</v>
      </c>
    </row>
    <row r="186">
      <c r="C186" s="120"/>
      <c r="D186" s="85"/>
      <c r="H186" s="20">
        <v>43.0</v>
      </c>
      <c r="J186" s="20">
        <v>0.5</v>
      </c>
      <c r="K186" s="20">
        <v>46.0</v>
      </c>
      <c r="P186" s="129"/>
      <c r="AE186" s="20">
        <v>-20.74</v>
      </c>
      <c r="AF186" s="20">
        <v>-33.12</v>
      </c>
    </row>
    <row r="187">
      <c r="C187" s="120"/>
      <c r="D187" s="85"/>
      <c r="H187" s="20">
        <v>50.0</v>
      </c>
      <c r="J187" s="20">
        <v>0.44</v>
      </c>
      <c r="K187" s="20">
        <v>44.0</v>
      </c>
      <c r="P187" s="129"/>
      <c r="AE187" s="20">
        <v>-20.95</v>
      </c>
      <c r="AF187" s="20">
        <v>9.02</v>
      </c>
    </row>
    <row r="188">
      <c r="C188" s="120"/>
      <c r="D188" s="85"/>
      <c r="H188" s="20">
        <v>43.0</v>
      </c>
      <c r="J188" s="20">
        <v>0.54</v>
      </c>
      <c r="K188" s="20">
        <v>52.0</v>
      </c>
      <c r="P188" s="129"/>
      <c r="AE188" s="20">
        <v>-21.09</v>
      </c>
      <c r="AF188" s="20">
        <v>-36.21</v>
      </c>
    </row>
    <row r="189">
      <c r="C189" s="120"/>
      <c r="D189" s="85"/>
      <c r="H189" s="20">
        <v>51.0</v>
      </c>
      <c r="J189" s="20">
        <v>0.59</v>
      </c>
      <c r="K189" s="20">
        <v>48.0</v>
      </c>
      <c r="P189" s="129"/>
      <c r="AE189" s="20">
        <v>-21.24</v>
      </c>
      <c r="AF189" s="20">
        <v>118.97</v>
      </c>
    </row>
    <row r="190">
      <c r="C190" s="120"/>
      <c r="D190" s="85"/>
      <c r="H190" s="20">
        <v>45.0</v>
      </c>
      <c r="J190" s="20">
        <v>0.53</v>
      </c>
      <c r="K190" s="20">
        <v>43.0</v>
      </c>
      <c r="P190" s="129"/>
      <c r="AE190" s="20">
        <v>-21.76</v>
      </c>
      <c r="AF190" s="20">
        <v>-36.93</v>
      </c>
    </row>
    <row r="191">
      <c r="C191" s="120"/>
      <c r="D191" s="85"/>
      <c r="H191" s="20">
        <v>45.0</v>
      </c>
      <c r="J191" s="20">
        <v>0.49</v>
      </c>
      <c r="K191" s="20">
        <v>47.0</v>
      </c>
      <c r="P191" s="129"/>
      <c r="AE191" s="20">
        <v>-21.78</v>
      </c>
      <c r="AF191" s="20">
        <v>-34.85</v>
      </c>
    </row>
    <row r="192">
      <c r="C192" s="120"/>
      <c r="D192" s="85"/>
      <c r="H192" s="20">
        <v>54.0</v>
      </c>
      <c r="J192" s="20">
        <v>0.51</v>
      </c>
      <c r="K192" s="20">
        <v>40.0</v>
      </c>
      <c r="P192" s="129"/>
      <c r="AE192" s="20">
        <v>-22.46</v>
      </c>
      <c r="AF192" s="20">
        <v>-70.94</v>
      </c>
    </row>
    <row r="193">
      <c r="C193" s="120"/>
      <c r="D193" s="85"/>
      <c r="H193" s="20">
        <v>43.0</v>
      </c>
      <c r="J193" s="20">
        <v>0.55</v>
      </c>
      <c r="K193" s="20">
        <v>47.0</v>
      </c>
      <c r="P193" s="129"/>
      <c r="AE193" s="20">
        <v>-22.65</v>
      </c>
      <c r="AF193" s="20">
        <v>-59.76</v>
      </c>
    </row>
    <row r="194">
      <c r="C194" s="120"/>
      <c r="D194" s="85"/>
      <c r="H194" s="20">
        <v>48.0</v>
      </c>
      <c r="J194" s="20">
        <v>0.63</v>
      </c>
      <c r="K194" s="20">
        <v>45.0</v>
      </c>
      <c r="P194" s="129"/>
      <c r="AE194" s="20">
        <v>-22.93</v>
      </c>
      <c r="AF194" s="20">
        <v>-39.33</v>
      </c>
    </row>
    <row r="195">
      <c r="C195" s="120"/>
      <c r="D195" s="85"/>
      <c r="H195" s="20">
        <v>47.0</v>
      </c>
      <c r="J195" s="20">
        <v>0.49</v>
      </c>
      <c r="K195" s="20">
        <v>49.0</v>
      </c>
      <c r="P195" s="129"/>
      <c r="AE195" s="20">
        <v>-23.25</v>
      </c>
      <c r="AF195" s="20">
        <v>-19.86</v>
      </c>
    </row>
    <row r="196">
      <c r="C196" s="120"/>
      <c r="D196" s="85"/>
      <c r="H196" s="20">
        <v>48.0</v>
      </c>
      <c r="J196" s="20">
        <v>0.48</v>
      </c>
      <c r="K196" s="20">
        <v>45.0</v>
      </c>
      <c r="P196" s="129"/>
      <c r="AE196" s="20">
        <v>-23.75</v>
      </c>
      <c r="AF196" s="20">
        <v>-41.16</v>
      </c>
    </row>
    <row r="197">
      <c r="C197" s="120"/>
      <c r="D197" s="85"/>
      <c r="H197" s="20">
        <v>49.0</v>
      </c>
      <c r="J197" s="20">
        <v>0.52</v>
      </c>
      <c r="K197" s="20">
        <v>43.0</v>
      </c>
      <c r="P197" s="129"/>
      <c r="AE197" s="20">
        <v>-23.95</v>
      </c>
      <c r="AF197" s="20">
        <v>-37.06</v>
      </c>
    </row>
    <row r="198">
      <c r="C198" s="120"/>
      <c r="D198" s="85"/>
      <c r="H198" s="20">
        <v>50.0</v>
      </c>
      <c r="J198" s="20">
        <v>0.46</v>
      </c>
      <c r="K198" s="20">
        <v>47.0</v>
      </c>
      <c r="P198" s="129"/>
      <c r="AE198" s="20">
        <v>-24.19</v>
      </c>
      <c r="AF198" s="20">
        <v>-37.9</v>
      </c>
    </row>
    <row r="199">
      <c r="C199" s="120"/>
      <c r="D199" s="85"/>
      <c r="H199" s="20">
        <v>54.0</v>
      </c>
      <c r="J199" s="20">
        <v>0.62</v>
      </c>
      <c r="K199" s="20">
        <v>41.0</v>
      </c>
      <c r="P199" s="129"/>
      <c r="AE199" s="20">
        <v>-24.27</v>
      </c>
      <c r="AF199" s="20">
        <v>23.26</v>
      </c>
    </row>
    <row r="200">
      <c r="C200" s="120"/>
      <c r="D200" s="85"/>
      <c r="H200" s="20">
        <v>41.0</v>
      </c>
      <c r="J200" s="20">
        <v>0.59</v>
      </c>
      <c r="K200" s="20">
        <v>42.0</v>
      </c>
      <c r="P200" s="129"/>
      <c r="AE200" s="20">
        <v>-24.47</v>
      </c>
      <c r="AF200" s="20">
        <v>-37.85</v>
      </c>
    </row>
    <row r="201">
      <c r="C201" s="120"/>
      <c r="D201" s="85"/>
      <c r="H201" s="20">
        <v>45.0</v>
      </c>
      <c r="J201" s="20">
        <v>0.54</v>
      </c>
      <c r="K201" s="20">
        <v>40.0</v>
      </c>
      <c r="P201" s="129"/>
      <c r="AE201" s="20">
        <v>-24.58</v>
      </c>
      <c r="AF201" s="20">
        <v>-68.88</v>
      </c>
    </row>
    <row r="202">
      <c r="C202" s="120"/>
      <c r="D202" s="85"/>
      <c r="H202" s="20">
        <v>46.0</v>
      </c>
      <c r="J202" s="20">
        <v>0.49</v>
      </c>
      <c r="K202" s="20">
        <v>45.0</v>
      </c>
      <c r="P202" s="129"/>
      <c r="AE202" s="20">
        <v>-25.05</v>
      </c>
      <c r="AF202" s="20">
        <v>-33.69</v>
      </c>
    </row>
    <row r="203">
      <c r="C203" s="120"/>
      <c r="D203" s="85"/>
      <c r="H203" s="20">
        <v>48.0</v>
      </c>
      <c r="J203" s="20">
        <v>0.55</v>
      </c>
      <c r="K203" s="20">
        <v>47.0</v>
      </c>
      <c r="P203" s="129"/>
      <c r="AE203" s="20">
        <v>-25.2</v>
      </c>
      <c r="AF203" s="20">
        <v>-10.56</v>
      </c>
    </row>
    <row r="204">
      <c r="C204" s="120"/>
      <c r="D204" s="85"/>
      <c r="H204" s="20">
        <v>49.0</v>
      </c>
      <c r="J204" s="20">
        <v>0.46</v>
      </c>
      <c r="K204" s="20">
        <v>50.0</v>
      </c>
      <c r="P204" s="129"/>
      <c r="AE204" s="20">
        <v>-25.23</v>
      </c>
      <c r="AF204" s="20">
        <v>-46.63</v>
      </c>
    </row>
    <row r="205">
      <c r="C205" s="120"/>
      <c r="D205" s="85"/>
      <c r="H205" s="20">
        <v>45.0</v>
      </c>
      <c r="J205" s="20">
        <v>0.5</v>
      </c>
      <c r="K205" s="20">
        <v>41.0</v>
      </c>
      <c r="P205" s="129"/>
      <c r="AE205" s="20">
        <v>-25.61</v>
      </c>
      <c r="AF205" s="20">
        <v>17.61</v>
      </c>
    </row>
    <row r="206">
      <c r="C206" s="120"/>
      <c r="D206" s="85"/>
      <c r="H206" s="20">
        <v>40.0</v>
      </c>
      <c r="J206" s="20">
        <v>0.54</v>
      </c>
      <c r="K206" s="20">
        <v>38.0</v>
      </c>
      <c r="P206" s="129"/>
      <c r="AE206" s="20">
        <v>-25.64</v>
      </c>
      <c r="AF206" s="20">
        <v>-45.07</v>
      </c>
    </row>
    <row r="207">
      <c r="C207" s="120"/>
      <c r="D207" s="85"/>
      <c r="H207" s="20">
        <v>46.0</v>
      </c>
      <c r="J207" s="20">
        <v>0.47</v>
      </c>
      <c r="K207" s="20">
        <v>38.0</v>
      </c>
      <c r="P207" s="129"/>
      <c r="AE207" s="20">
        <v>-25.92</v>
      </c>
      <c r="AF207" s="20">
        <v>64.32</v>
      </c>
    </row>
    <row r="208">
      <c r="C208" s="120"/>
      <c r="D208" s="85"/>
      <c r="H208" s="20">
        <v>40.0</v>
      </c>
      <c r="J208" s="20">
        <v>0.44</v>
      </c>
      <c r="K208" s="20">
        <v>45.0</v>
      </c>
      <c r="P208" s="129"/>
      <c r="AE208" s="20">
        <v>-26.16</v>
      </c>
      <c r="AF208" s="20">
        <v>-6.72</v>
      </c>
    </row>
    <row r="209">
      <c r="C209" s="120"/>
      <c r="D209" s="85"/>
      <c r="H209" s="20">
        <v>41.0</v>
      </c>
      <c r="J209" s="20">
        <v>0.44</v>
      </c>
      <c r="K209" s="20">
        <v>41.0</v>
      </c>
      <c r="P209" s="129"/>
      <c r="AE209" s="20">
        <v>-26.2</v>
      </c>
      <c r="AF209" s="20">
        <v>-38.56</v>
      </c>
    </row>
    <row r="210">
      <c r="C210" s="120"/>
      <c r="D210" s="85"/>
      <c r="H210" s="20">
        <v>43.0</v>
      </c>
      <c r="J210" s="20">
        <v>0.48</v>
      </c>
      <c r="K210" s="20">
        <v>49.0</v>
      </c>
      <c r="P210" s="129"/>
      <c r="AE210" s="20">
        <v>-26.52</v>
      </c>
      <c r="AF210" s="20">
        <v>-70.17</v>
      </c>
    </row>
    <row r="211">
      <c r="C211" s="120"/>
      <c r="D211" s="85"/>
      <c r="H211" s="20">
        <v>41.0</v>
      </c>
      <c r="J211" s="20">
        <v>0.57</v>
      </c>
      <c r="K211" s="20">
        <v>39.0</v>
      </c>
      <c r="P211" s="129"/>
      <c r="AE211" s="20">
        <v>-26.58</v>
      </c>
      <c r="AF211" s="20">
        <v>-35.45</v>
      </c>
    </row>
    <row r="212">
      <c r="C212" s="120"/>
      <c r="D212" s="85"/>
      <c r="H212" s="20">
        <v>45.0</v>
      </c>
      <c r="J212" s="20">
        <v>0.54</v>
      </c>
      <c r="K212" s="20">
        <v>46.0</v>
      </c>
      <c r="P212" s="129"/>
      <c r="AE212" s="20">
        <v>-26.69</v>
      </c>
      <c r="AF212" s="20">
        <v>-38.39</v>
      </c>
    </row>
    <row r="213">
      <c r="C213" s="120"/>
      <c r="D213" s="85"/>
      <c r="H213" s="20">
        <v>43.0</v>
      </c>
      <c r="J213" s="20">
        <v>0.56</v>
      </c>
      <c r="K213" s="20">
        <v>44.0</v>
      </c>
      <c r="P213" s="130"/>
      <c r="AE213" s="20">
        <v>-26.72</v>
      </c>
      <c r="AF213" s="20">
        <v>-51.72</v>
      </c>
    </row>
    <row r="214">
      <c r="C214" s="120"/>
      <c r="D214" s="85"/>
      <c r="H214" s="20">
        <v>47.0</v>
      </c>
      <c r="J214" s="20">
        <v>0.52</v>
      </c>
      <c r="K214" s="20">
        <v>51.0</v>
      </c>
      <c r="P214" s="130"/>
      <c r="AE214" s="20">
        <v>-27.56</v>
      </c>
      <c r="AF214" s="20">
        <v>-27.09</v>
      </c>
    </row>
    <row r="215">
      <c r="C215" s="120"/>
      <c r="D215" s="85"/>
      <c r="H215" s="20">
        <v>44.0</v>
      </c>
      <c r="J215" s="20">
        <v>0.49</v>
      </c>
      <c r="K215" s="20">
        <v>50.0</v>
      </c>
      <c r="P215" s="130"/>
      <c r="AE215" s="20">
        <v>-27.62</v>
      </c>
      <c r="AF215" s="20">
        <v>-42.02</v>
      </c>
    </row>
    <row r="216">
      <c r="C216" s="120"/>
      <c r="D216" s="85"/>
      <c r="H216" s="20">
        <v>44.0</v>
      </c>
      <c r="J216" s="20">
        <v>0.56</v>
      </c>
      <c r="K216" s="20">
        <v>45.0</v>
      </c>
      <c r="P216" s="130"/>
      <c r="AE216" s="20">
        <v>-27.92</v>
      </c>
      <c r="AF216" s="20">
        <v>2.15</v>
      </c>
    </row>
    <row r="217">
      <c r="C217" s="120"/>
      <c r="D217" s="85"/>
      <c r="H217" s="20">
        <v>42.0</v>
      </c>
      <c r="J217" s="20">
        <v>0.51</v>
      </c>
      <c r="K217" s="20">
        <v>46.0</v>
      </c>
      <c r="P217" s="130"/>
      <c r="AE217" s="20">
        <v>-27.95</v>
      </c>
      <c r="AF217" s="20">
        <v>-31.54</v>
      </c>
    </row>
    <row r="218">
      <c r="C218" s="120"/>
      <c r="D218" s="85"/>
      <c r="H218" s="20">
        <v>49.0</v>
      </c>
      <c r="J218" s="20">
        <v>0.51</v>
      </c>
      <c r="K218" s="20">
        <v>46.0</v>
      </c>
      <c r="P218" s="130"/>
      <c r="AE218" s="20">
        <v>-28.16</v>
      </c>
      <c r="AF218" s="20">
        <v>-40.49</v>
      </c>
    </row>
    <row r="219">
      <c r="C219" s="120"/>
      <c r="D219" s="85"/>
      <c r="H219" s="20">
        <v>47.0</v>
      </c>
      <c r="J219" s="20">
        <v>0.52</v>
      </c>
      <c r="K219" s="20">
        <v>41.0</v>
      </c>
      <c r="P219" s="130"/>
      <c r="AE219" s="20">
        <v>-28.34</v>
      </c>
      <c r="AF219" s="20">
        <v>-88.95</v>
      </c>
    </row>
    <row r="220">
      <c r="C220" s="120"/>
      <c r="D220" s="85"/>
      <c r="H220" s="20">
        <v>45.0</v>
      </c>
      <c r="J220" s="20">
        <v>0.53</v>
      </c>
      <c r="K220" s="20">
        <v>42.0</v>
      </c>
      <c r="P220" s="130"/>
      <c r="AE220" s="20">
        <v>-28.4</v>
      </c>
      <c r="AF220" s="20">
        <v>18.22</v>
      </c>
    </row>
    <row r="221">
      <c r="C221" s="120"/>
      <c r="D221" s="85"/>
      <c r="H221" s="20">
        <v>42.0</v>
      </c>
      <c r="J221" s="20">
        <v>0.52</v>
      </c>
      <c r="K221" s="20">
        <v>42.0</v>
      </c>
      <c r="P221" s="130"/>
      <c r="AE221" s="20">
        <v>-28.71</v>
      </c>
      <c r="AF221" s="20">
        <v>-52.2</v>
      </c>
    </row>
    <row r="222">
      <c r="C222" s="120"/>
      <c r="H222" s="20">
        <v>39.0</v>
      </c>
      <c r="J222" s="20">
        <v>0.49</v>
      </c>
      <c r="K222" s="20">
        <v>39.0</v>
      </c>
      <c r="P222" s="130"/>
      <c r="AE222" s="20">
        <v>-28.81</v>
      </c>
      <c r="AF222" s="20">
        <v>-37.85</v>
      </c>
    </row>
    <row r="223">
      <c r="C223" s="120"/>
      <c r="H223" s="20">
        <v>43.0</v>
      </c>
      <c r="J223" s="20">
        <v>0.5</v>
      </c>
      <c r="K223" s="20">
        <v>50.0</v>
      </c>
      <c r="P223" s="130"/>
      <c r="AE223" s="20">
        <v>-28.99</v>
      </c>
      <c r="AF223" s="20">
        <v>53.7</v>
      </c>
    </row>
    <row r="224">
      <c r="C224" s="120"/>
      <c r="H224" s="20">
        <v>49.0</v>
      </c>
      <c r="J224" s="20">
        <v>0.47</v>
      </c>
      <c r="K224" s="20">
        <v>48.0</v>
      </c>
      <c r="P224" s="130"/>
      <c r="AE224" s="20">
        <v>-29.99</v>
      </c>
      <c r="AF224" s="20">
        <v>-81.61</v>
      </c>
    </row>
    <row r="225">
      <c r="C225" s="120"/>
      <c r="H225" s="20">
        <v>41.0</v>
      </c>
      <c r="J225" s="20">
        <v>0.52</v>
      </c>
      <c r="K225" s="20">
        <v>40.0</v>
      </c>
      <c r="P225" s="130"/>
      <c r="AE225" s="20">
        <v>-30.24</v>
      </c>
      <c r="AF225" s="20">
        <v>-27.85</v>
      </c>
    </row>
    <row r="226">
      <c r="C226" s="120"/>
      <c r="H226" s="20">
        <v>43.0</v>
      </c>
      <c r="J226" s="20">
        <v>0.48</v>
      </c>
      <c r="K226" s="20">
        <v>43.0</v>
      </c>
      <c r="P226" s="130"/>
      <c r="AE226" s="20">
        <v>-30.39</v>
      </c>
      <c r="AF226" s="20">
        <v>-40.27</v>
      </c>
    </row>
    <row r="227">
      <c r="C227" s="120"/>
      <c r="H227" s="20">
        <v>44.0</v>
      </c>
      <c r="J227" s="20">
        <v>0.47</v>
      </c>
      <c r="K227" s="20">
        <v>47.0</v>
      </c>
      <c r="P227" s="130"/>
      <c r="AE227" s="20">
        <v>-30.43</v>
      </c>
      <c r="AF227" s="20">
        <v>-66.2</v>
      </c>
    </row>
    <row r="228">
      <c r="C228" s="120"/>
      <c r="H228" s="20">
        <v>45.0</v>
      </c>
      <c r="J228" s="20">
        <v>0.54</v>
      </c>
      <c r="K228" s="20">
        <v>41.0</v>
      </c>
      <c r="P228" s="130"/>
      <c r="AE228" s="20">
        <v>-30.64</v>
      </c>
      <c r="AF228" s="20">
        <v>-40.41</v>
      </c>
    </row>
    <row r="229">
      <c r="C229" s="120"/>
      <c r="H229" s="20">
        <v>44.0</v>
      </c>
      <c r="J229" s="20">
        <v>0.51</v>
      </c>
      <c r="K229" s="20">
        <v>42.0</v>
      </c>
      <c r="P229" s="130"/>
      <c r="AE229" s="20">
        <v>-30.82</v>
      </c>
      <c r="AF229" s="20">
        <v>-62.68</v>
      </c>
    </row>
    <row r="230">
      <c r="C230" s="120"/>
      <c r="H230" s="20">
        <v>44.0</v>
      </c>
      <c r="J230" s="20">
        <v>0.48</v>
      </c>
      <c r="K230" s="20">
        <v>41.0</v>
      </c>
      <c r="P230" s="130"/>
      <c r="AE230" s="20">
        <v>-31.31</v>
      </c>
      <c r="AF230" s="20">
        <v>-68.54</v>
      </c>
    </row>
    <row r="231">
      <c r="C231" s="120"/>
      <c r="H231" s="20">
        <v>43.0</v>
      </c>
      <c r="J231" s="20">
        <v>0.52</v>
      </c>
      <c r="K231" s="20">
        <v>43.0</v>
      </c>
      <c r="P231" s="130"/>
      <c r="AE231" s="20">
        <v>-31.46</v>
      </c>
      <c r="AF231" s="20">
        <v>-58.69</v>
      </c>
    </row>
    <row r="232">
      <c r="C232" s="120"/>
      <c r="H232" s="20">
        <v>44.0</v>
      </c>
      <c r="J232" s="20">
        <v>0.53</v>
      </c>
      <c r="K232" s="20">
        <v>41.0</v>
      </c>
      <c r="P232" s="130"/>
      <c r="AE232" s="20">
        <v>-31.87</v>
      </c>
      <c r="AF232" s="20">
        <v>-40.22</v>
      </c>
    </row>
    <row r="233">
      <c r="C233" s="120"/>
      <c r="H233" s="20">
        <v>44.0</v>
      </c>
      <c r="J233" s="20">
        <v>0.52</v>
      </c>
      <c r="K233" s="20">
        <v>39.0</v>
      </c>
      <c r="P233" s="130"/>
      <c r="AE233" s="20">
        <v>-32.0</v>
      </c>
      <c r="AF233" s="20">
        <v>-29.14</v>
      </c>
    </row>
    <row r="234">
      <c r="C234" s="120"/>
      <c r="H234" s="20">
        <v>45.0</v>
      </c>
      <c r="J234" s="20">
        <v>0.5</v>
      </c>
      <c r="K234" s="20">
        <v>45.0</v>
      </c>
      <c r="P234" s="130"/>
      <c r="AE234" s="20">
        <v>-32.12</v>
      </c>
      <c r="AF234" s="20">
        <v>96.73</v>
      </c>
    </row>
    <row r="235">
      <c r="C235" s="120"/>
      <c r="H235" s="20">
        <v>43.0</v>
      </c>
      <c r="J235" s="20">
        <v>0.53</v>
      </c>
      <c r="K235" s="20">
        <v>40.0</v>
      </c>
      <c r="P235" s="130"/>
      <c r="AE235" s="20">
        <v>-32.22</v>
      </c>
      <c r="AF235" s="20">
        <v>-42.92</v>
      </c>
    </row>
    <row r="236">
      <c r="C236" s="120"/>
      <c r="H236" s="20">
        <v>41.0</v>
      </c>
      <c r="J236" s="20">
        <v>0.56</v>
      </c>
      <c r="K236" s="20">
        <v>43.0</v>
      </c>
      <c r="P236" s="130"/>
      <c r="AE236" s="20">
        <v>-32.24</v>
      </c>
      <c r="AF236" s="20">
        <v>-48.67</v>
      </c>
    </row>
    <row r="237">
      <c r="C237" s="120"/>
      <c r="H237" s="20">
        <v>46.0</v>
      </c>
      <c r="J237" s="20">
        <v>0.51</v>
      </c>
      <c r="K237" s="20">
        <v>45.0</v>
      </c>
      <c r="P237" s="130"/>
      <c r="AE237" s="20">
        <v>-32.36</v>
      </c>
      <c r="AF237" s="20">
        <v>-28.84</v>
      </c>
    </row>
    <row r="238">
      <c r="C238" s="120"/>
      <c r="H238" s="20">
        <v>46.0</v>
      </c>
      <c r="J238" s="20">
        <v>0.53</v>
      </c>
      <c r="K238" s="20">
        <v>46.0</v>
      </c>
      <c r="P238" s="130"/>
      <c r="AE238" s="20">
        <v>-33.07</v>
      </c>
      <c r="AF238" s="20">
        <v>-44.62</v>
      </c>
    </row>
    <row r="239">
      <c r="C239" s="120"/>
      <c r="H239" s="20">
        <v>51.0</v>
      </c>
      <c r="J239" s="20">
        <v>0.53</v>
      </c>
      <c r="K239" s="20">
        <v>41.0</v>
      </c>
      <c r="P239" s="130"/>
      <c r="AE239" s="20">
        <v>-33.1</v>
      </c>
      <c r="AF239" s="20">
        <v>-57.46</v>
      </c>
    </row>
    <row r="240">
      <c r="C240" s="120"/>
      <c r="H240" s="20">
        <v>49.0</v>
      </c>
      <c r="J240" s="20">
        <v>0.57</v>
      </c>
      <c r="K240" s="20">
        <v>37.0</v>
      </c>
      <c r="P240" s="130"/>
      <c r="AE240" s="20">
        <v>-33.32</v>
      </c>
      <c r="AF240" s="20">
        <v>-15.2</v>
      </c>
    </row>
    <row r="241">
      <c r="C241" s="120"/>
      <c r="H241" s="20">
        <v>40.0</v>
      </c>
      <c r="J241" s="20">
        <v>0.52</v>
      </c>
      <c r="K241" s="20">
        <v>46.0</v>
      </c>
      <c r="P241" s="130"/>
      <c r="AE241" s="20">
        <v>-33.48</v>
      </c>
      <c r="AF241" s="20">
        <v>21.71</v>
      </c>
    </row>
    <row r="242">
      <c r="C242" s="120"/>
      <c r="H242" s="20">
        <v>49.0</v>
      </c>
      <c r="J242" s="20">
        <v>0.48</v>
      </c>
      <c r="K242" s="20">
        <v>47.0</v>
      </c>
      <c r="P242" s="130"/>
      <c r="AE242" s="20">
        <v>-33.84</v>
      </c>
      <c r="AF242" s="20">
        <v>-39.37</v>
      </c>
    </row>
    <row r="243">
      <c r="C243" s="120"/>
      <c r="H243" s="20">
        <v>44.0</v>
      </c>
      <c r="J243" s="20">
        <v>0.51</v>
      </c>
      <c r="K243" s="20">
        <v>41.0</v>
      </c>
      <c r="P243" s="130"/>
      <c r="AE243" s="20">
        <v>-33.87</v>
      </c>
      <c r="AF243" s="20">
        <v>-46.12</v>
      </c>
    </row>
    <row r="244">
      <c r="C244" s="120"/>
      <c r="H244" s="20">
        <v>45.0</v>
      </c>
      <c r="J244" s="20">
        <v>0.52</v>
      </c>
      <c r="K244" s="20">
        <v>45.0</v>
      </c>
      <c r="P244" s="130"/>
      <c r="AE244" s="20">
        <v>-33.99</v>
      </c>
      <c r="AF244" s="20">
        <v>-41.49</v>
      </c>
    </row>
    <row r="245">
      <c r="C245" s="120"/>
      <c r="H245" s="20">
        <v>46.0</v>
      </c>
      <c r="J245" s="20">
        <v>0.48</v>
      </c>
      <c r="K245" s="20">
        <v>45.0</v>
      </c>
      <c r="P245" s="130"/>
      <c r="AE245" s="20">
        <v>-34.04</v>
      </c>
      <c r="AF245" s="20">
        <v>-27.54</v>
      </c>
    </row>
    <row r="246">
      <c r="C246" s="120"/>
      <c r="H246" s="20">
        <v>44.0</v>
      </c>
      <c r="J246" s="20">
        <v>0.46</v>
      </c>
      <c r="K246" s="20">
        <v>47.0</v>
      </c>
      <c r="P246" s="130"/>
      <c r="AE246" s="20">
        <v>-34.08</v>
      </c>
      <c r="AF246" s="20">
        <v>-49.63</v>
      </c>
    </row>
    <row r="247">
      <c r="C247" s="120"/>
      <c r="H247" s="20">
        <v>50.0</v>
      </c>
      <c r="J247" s="20">
        <v>0.53</v>
      </c>
      <c r="K247" s="20">
        <v>46.0</v>
      </c>
      <c r="P247" s="130"/>
      <c r="AE247" s="20">
        <v>-34.11</v>
      </c>
      <c r="AF247" s="20">
        <v>-41.77</v>
      </c>
    </row>
    <row r="248">
      <c r="C248" s="120"/>
      <c r="H248" s="20">
        <v>44.0</v>
      </c>
      <c r="J248" s="20">
        <v>0.55</v>
      </c>
      <c r="K248" s="20">
        <v>42.0</v>
      </c>
      <c r="P248" s="130"/>
      <c r="AE248" s="20">
        <v>-34.13</v>
      </c>
      <c r="AF248" s="20">
        <v>-57.55</v>
      </c>
    </row>
    <row r="249">
      <c r="C249" s="120"/>
      <c r="H249" s="20">
        <v>37.0</v>
      </c>
      <c r="J249" s="20">
        <v>0.47</v>
      </c>
      <c r="K249" s="20">
        <v>47.0</v>
      </c>
      <c r="P249" s="130"/>
      <c r="AE249" s="20">
        <v>-34.24</v>
      </c>
      <c r="AF249" s="20">
        <v>-25.42</v>
      </c>
    </row>
    <row r="250">
      <c r="C250" s="120"/>
      <c r="H250" s="20">
        <v>46.0</v>
      </c>
      <c r="J250" s="20">
        <v>0.54</v>
      </c>
      <c r="K250" s="20">
        <v>46.0</v>
      </c>
      <c r="P250" s="130"/>
      <c r="AE250" s="20">
        <v>-34.36</v>
      </c>
      <c r="AF250" s="20">
        <v>-46.07</v>
      </c>
    </row>
    <row r="251">
      <c r="C251" s="120"/>
      <c r="H251" s="20">
        <v>46.0</v>
      </c>
      <c r="J251" s="20">
        <v>0.52</v>
      </c>
      <c r="K251" s="20">
        <v>48.0</v>
      </c>
      <c r="P251" s="130"/>
      <c r="AE251" s="20">
        <v>-34.44</v>
      </c>
      <c r="AF251" s="20">
        <v>-25.77</v>
      </c>
    </row>
    <row r="252">
      <c r="C252" s="120"/>
      <c r="H252" s="20">
        <v>45.0</v>
      </c>
      <c r="J252" s="20">
        <v>0.5</v>
      </c>
      <c r="K252" s="20">
        <v>38.0</v>
      </c>
      <c r="P252" s="130"/>
      <c r="AE252" s="20">
        <v>-34.56</v>
      </c>
      <c r="AF252" s="20">
        <v>-74.29</v>
      </c>
    </row>
    <row r="253">
      <c r="C253" s="120"/>
      <c r="H253" s="20">
        <v>38.0</v>
      </c>
      <c r="J253" s="20">
        <v>0.47</v>
      </c>
      <c r="K253" s="20">
        <v>53.0</v>
      </c>
      <c r="P253" s="130"/>
      <c r="AE253" s="20">
        <v>-34.76</v>
      </c>
      <c r="AF253" s="20">
        <v>-49.51</v>
      </c>
    </row>
    <row r="254">
      <c r="C254" s="120"/>
      <c r="H254" s="20">
        <v>44.0</v>
      </c>
      <c r="J254" s="20">
        <v>0.47</v>
      </c>
      <c r="K254" s="20">
        <v>42.0</v>
      </c>
      <c r="P254" s="130"/>
      <c r="AE254" s="20">
        <v>-34.78</v>
      </c>
      <c r="AF254" s="20">
        <v>-45.46</v>
      </c>
    </row>
    <row r="255">
      <c r="C255" s="120"/>
      <c r="H255" s="20">
        <v>47.0</v>
      </c>
      <c r="J255" s="20">
        <v>0.55</v>
      </c>
      <c r="K255" s="20">
        <v>49.0</v>
      </c>
      <c r="P255" s="130"/>
      <c r="AE255" s="20">
        <v>-34.92</v>
      </c>
      <c r="AF255" s="20">
        <v>-30.33</v>
      </c>
    </row>
    <row r="256">
      <c r="C256" s="120"/>
      <c r="H256" s="20">
        <v>45.0</v>
      </c>
      <c r="J256" s="20">
        <v>0.53</v>
      </c>
      <c r="K256" s="20">
        <v>42.0</v>
      </c>
      <c r="P256" s="130"/>
      <c r="AE256" s="20">
        <v>-35.41</v>
      </c>
      <c r="AF256" s="20">
        <v>-47.91</v>
      </c>
    </row>
    <row r="257">
      <c r="C257" s="120"/>
      <c r="H257" s="20">
        <v>38.0</v>
      </c>
      <c r="J257" s="20">
        <v>0.46</v>
      </c>
      <c r="K257" s="20">
        <v>45.0</v>
      </c>
      <c r="P257" s="130"/>
      <c r="AE257" s="20">
        <v>-35.68</v>
      </c>
      <c r="AF257" s="20">
        <v>-46.96</v>
      </c>
    </row>
    <row r="258">
      <c r="C258" s="120"/>
      <c r="H258" s="20">
        <v>44.0</v>
      </c>
      <c r="J258" s="20">
        <v>0.48</v>
      </c>
      <c r="K258" s="20">
        <v>44.0</v>
      </c>
      <c r="P258" s="130"/>
      <c r="AE258" s="20">
        <v>-36.1</v>
      </c>
      <c r="AF258" s="20">
        <v>-46.53</v>
      </c>
    </row>
    <row r="259">
      <c r="C259" s="120"/>
      <c r="H259" s="20">
        <v>41.0</v>
      </c>
      <c r="J259" s="20">
        <v>0.51</v>
      </c>
      <c r="K259" s="20">
        <v>45.0</v>
      </c>
      <c r="P259" s="130"/>
      <c r="AE259" s="20">
        <v>-36.43</v>
      </c>
      <c r="AF259" s="20">
        <v>-16.83</v>
      </c>
    </row>
    <row r="260">
      <c r="C260" s="120"/>
      <c r="H260" s="20">
        <v>44.0</v>
      </c>
      <c r="J260" s="20">
        <v>0.54</v>
      </c>
      <c r="K260" s="20">
        <v>42.0</v>
      </c>
      <c r="P260" s="130"/>
      <c r="AE260" s="20">
        <v>-37.34</v>
      </c>
      <c r="AF260" s="20">
        <v>-12.62</v>
      </c>
    </row>
    <row r="261">
      <c r="C261" s="120"/>
      <c r="H261" s="20">
        <v>45.0</v>
      </c>
      <c r="J261" s="20">
        <v>0.54</v>
      </c>
      <c r="K261" s="20">
        <v>49.0</v>
      </c>
      <c r="P261" s="130"/>
      <c r="AE261" s="20">
        <v>-37.37</v>
      </c>
      <c r="AF261" s="20">
        <v>-51.2</v>
      </c>
    </row>
    <row r="262">
      <c r="C262" s="120"/>
      <c r="H262" s="20">
        <v>44.0</v>
      </c>
      <c r="J262" s="20">
        <v>0.57</v>
      </c>
      <c r="K262" s="20">
        <v>44.0</v>
      </c>
      <c r="P262" s="130"/>
      <c r="AE262" s="20">
        <v>-37.86</v>
      </c>
      <c r="AF262" s="20">
        <v>-46.51</v>
      </c>
    </row>
    <row r="263">
      <c r="C263" s="120"/>
      <c r="H263" s="20">
        <v>53.0</v>
      </c>
      <c r="J263" s="20">
        <v>0.57</v>
      </c>
      <c r="K263" s="20">
        <v>50.0</v>
      </c>
      <c r="P263" s="130"/>
      <c r="AE263" s="20">
        <v>-38.13</v>
      </c>
      <c r="AF263" s="20">
        <v>-54.95</v>
      </c>
    </row>
    <row r="264">
      <c r="C264" s="120"/>
      <c r="H264" s="20">
        <v>45.0</v>
      </c>
      <c r="J264" s="20">
        <v>0.5</v>
      </c>
      <c r="K264" s="20">
        <v>39.0</v>
      </c>
      <c r="P264" s="130"/>
      <c r="AE264" s="20">
        <v>-38.56</v>
      </c>
      <c r="AF264" s="20">
        <v>25.89</v>
      </c>
    </row>
    <row r="265">
      <c r="C265" s="120"/>
      <c r="H265" s="20">
        <v>38.0</v>
      </c>
      <c r="J265" s="20">
        <v>0.45</v>
      </c>
      <c r="K265" s="20">
        <v>46.0</v>
      </c>
      <c r="P265" s="130"/>
      <c r="AE265" s="20">
        <v>-38.76</v>
      </c>
      <c r="AF265" s="20">
        <v>-31.88</v>
      </c>
    </row>
    <row r="266">
      <c r="C266" s="120"/>
      <c r="H266" s="20">
        <v>48.0</v>
      </c>
      <c r="J266" s="20">
        <v>0.52</v>
      </c>
      <c r="K266" s="20">
        <v>44.0</v>
      </c>
      <c r="P266" s="130"/>
      <c r="AE266" s="20">
        <v>-39.24</v>
      </c>
      <c r="AF266" s="20">
        <v>-42.85</v>
      </c>
    </row>
    <row r="267">
      <c r="C267" s="120"/>
      <c r="H267" s="20">
        <v>47.0</v>
      </c>
      <c r="J267" s="20">
        <v>0.55</v>
      </c>
      <c r="K267" s="20">
        <v>49.0</v>
      </c>
      <c r="P267" s="130"/>
      <c r="AE267" s="20">
        <v>-39.42</v>
      </c>
      <c r="AF267" s="20">
        <v>-37.05</v>
      </c>
    </row>
    <row r="268">
      <c r="C268" s="120"/>
      <c r="H268" s="20">
        <v>49.0</v>
      </c>
      <c r="J268" s="20">
        <v>0.53</v>
      </c>
      <c r="K268" s="20">
        <v>37.0</v>
      </c>
      <c r="P268" s="130"/>
      <c r="AE268" s="20">
        <v>-39.75</v>
      </c>
      <c r="AF268" s="20">
        <v>-49.85</v>
      </c>
    </row>
    <row r="269">
      <c r="C269" s="120"/>
      <c r="H269" s="20">
        <v>41.0</v>
      </c>
      <c r="J269" s="20">
        <v>0.51</v>
      </c>
      <c r="K269" s="20">
        <v>45.0</v>
      </c>
      <c r="P269" s="130"/>
      <c r="AE269" s="20">
        <v>-39.8</v>
      </c>
      <c r="AF269" s="20">
        <v>-28.85</v>
      </c>
    </row>
    <row r="270">
      <c r="C270" s="120"/>
      <c r="H270" s="20">
        <v>50.0</v>
      </c>
      <c r="J270" s="20">
        <v>0.52</v>
      </c>
      <c r="K270" s="20">
        <v>46.0</v>
      </c>
      <c r="P270" s="130"/>
      <c r="AE270" s="20">
        <v>-40.01</v>
      </c>
      <c r="AF270" s="20">
        <v>-32.23</v>
      </c>
    </row>
    <row r="271">
      <c r="C271" s="120"/>
      <c r="H271" s="20">
        <v>52.0</v>
      </c>
      <c r="J271" s="20">
        <v>0.53</v>
      </c>
      <c r="K271" s="20">
        <v>43.0</v>
      </c>
      <c r="P271" s="130"/>
      <c r="AE271" s="20">
        <v>-41.59</v>
      </c>
      <c r="AF271" s="20">
        <v>-35.17</v>
      </c>
    </row>
    <row r="272">
      <c r="C272" s="120"/>
      <c r="H272" s="20">
        <v>45.0</v>
      </c>
      <c r="J272" s="20">
        <v>0.54</v>
      </c>
      <c r="K272" s="20">
        <v>40.0</v>
      </c>
      <c r="P272" s="130"/>
      <c r="AE272" s="20">
        <v>-41.89</v>
      </c>
      <c r="AF272" s="20">
        <v>-85.39</v>
      </c>
    </row>
    <row r="273">
      <c r="C273" s="120"/>
      <c r="H273" s="20">
        <v>37.0</v>
      </c>
      <c r="J273" s="20">
        <v>0.49</v>
      </c>
      <c r="K273" s="20">
        <v>39.0</v>
      </c>
      <c r="P273" s="130"/>
      <c r="AE273" s="20">
        <v>-42.74</v>
      </c>
      <c r="AF273" s="20">
        <v>-52.11</v>
      </c>
    </row>
    <row r="274">
      <c r="C274" s="120"/>
      <c r="H274" s="20">
        <v>43.0</v>
      </c>
      <c r="J274" s="20">
        <v>0.49</v>
      </c>
      <c r="K274" s="20">
        <v>43.0</v>
      </c>
      <c r="P274" s="130"/>
      <c r="AE274" s="20">
        <v>-42.9</v>
      </c>
      <c r="AF274" s="20">
        <v>116.14</v>
      </c>
    </row>
    <row r="275">
      <c r="C275" s="120"/>
      <c r="H275" s="20">
        <v>38.0</v>
      </c>
      <c r="J275" s="20">
        <v>0.48</v>
      </c>
      <c r="K275" s="20">
        <v>42.0</v>
      </c>
      <c r="P275" s="130"/>
      <c r="AE275" s="20">
        <v>-43.06</v>
      </c>
      <c r="AF275" s="20">
        <v>-31.93</v>
      </c>
    </row>
    <row r="276">
      <c r="C276" s="120"/>
      <c r="H276" s="20">
        <v>42.0</v>
      </c>
      <c r="J276" s="20">
        <v>0.49</v>
      </c>
      <c r="K276" s="20">
        <v>46.0</v>
      </c>
      <c r="P276" s="130"/>
      <c r="AE276" s="20">
        <v>-43.26</v>
      </c>
      <c r="AF276" s="20">
        <v>-80.51</v>
      </c>
    </row>
    <row r="277">
      <c r="C277" s="120"/>
      <c r="H277" s="20">
        <v>42.0</v>
      </c>
      <c r="J277" s="20">
        <v>0.54</v>
      </c>
      <c r="K277" s="20">
        <v>45.0</v>
      </c>
      <c r="P277" s="130"/>
      <c r="AE277" s="20">
        <v>-43.35</v>
      </c>
      <c r="AF277" s="20">
        <v>-38.38</v>
      </c>
    </row>
    <row r="278">
      <c r="C278" s="120"/>
      <c r="H278" s="20">
        <v>43.0</v>
      </c>
      <c r="J278" s="20">
        <v>0.51</v>
      </c>
      <c r="K278" s="20">
        <v>42.0</v>
      </c>
      <c r="P278" s="130"/>
      <c r="AE278" s="20">
        <v>-43.44</v>
      </c>
      <c r="AF278" s="20">
        <v>-15.49</v>
      </c>
    </row>
    <row r="279">
      <c r="C279" s="120"/>
      <c r="H279" s="20">
        <v>44.0</v>
      </c>
      <c r="J279" s="20">
        <v>0.53</v>
      </c>
      <c r="K279" s="20">
        <v>46.0</v>
      </c>
      <c r="P279" s="130"/>
      <c r="AE279" s="20">
        <v>-43.81</v>
      </c>
      <c r="AF279" s="20">
        <v>-9.14</v>
      </c>
    </row>
    <row r="280">
      <c r="C280" s="120"/>
      <c r="H280" s="20">
        <v>43.0</v>
      </c>
      <c r="J280" s="20">
        <v>0.5</v>
      </c>
      <c r="K280" s="20">
        <v>41.0</v>
      </c>
      <c r="P280" s="130"/>
      <c r="AE280" s="20">
        <v>-44.65</v>
      </c>
      <c r="AF280" s="20">
        <v>-53.36</v>
      </c>
    </row>
    <row r="281">
      <c r="C281" s="120"/>
      <c r="H281" s="20">
        <v>40.0</v>
      </c>
      <c r="J281" s="20">
        <v>0.51</v>
      </c>
      <c r="K281" s="20">
        <v>42.0</v>
      </c>
      <c r="P281" s="130"/>
      <c r="AE281" s="20">
        <v>-45.04</v>
      </c>
      <c r="AF281" s="20">
        <v>-22.49</v>
      </c>
    </row>
    <row r="282">
      <c r="C282" s="120"/>
      <c r="H282" s="20">
        <v>40.0</v>
      </c>
      <c r="J282" s="20">
        <v>0.5</v>
      </c>
      <c r="K282" s="20">
        <v>48.0</v>
      </c>
      <c r="P282" s="130"/>
      <c r="AE282" s="20">
        <v>-45.14</v>
      </c>
      <c r="AF282" s="20">
        <v>-54.23</v>
      </c>
    </row>
    <row r="283">
      <c r="C283" s="120"/>
      <c r="H283" s="20">
        <v>46.0</v>
      </c>
      <c r="J283" s="20">
        <v>0.51</v>
      </c>
      <c r="K283" s="20">
        <v>48.0</v>
      </c>
      <c r="P283" s="130"/>
      <c r="AE283" s="20">
        <v>-45.32</v>
      </c>
      <c r="AF283" s="20">
        <v>-80.61</v>
      </c>
    </row>
    <row r="284">
      <c r="C284" s="120"/>
      <c r="H284" s="20">
        <v>48.0</v>
      </c>
      <c r="J284" s="20">
        <v>0.48</v>
      </c>
      <c r="K284" s="20">
        <v>46.0</v>
      </c>
      <c r="P284" s="130"/>
      <c r="AE284" s="20">
        <v>-45.46</v>
      </c>
      <c r="AF284" s="20">
        <v>-41.73</v>
      </c>
    </row>
    <row r="285">
      <c r="C285" s="120"/>
      <c r="H285" s="20">
        <v>48.0</v>
      </c>
      <c r="J285" s="20">
        <v>0.52</v>
      </c>
      <c r="K285" s="20">
        <v>44.0</v>
      </c>
      <c r="P285" s="130"/>
      <c r="AE285" s="20">
        <v>-45.5</v>
      </c>
      <c r="AF285" s="20">
        <v>-63.04</v>
      </c>
    </row>
    <row r="286">
      <c r="C286" s="120"/>
      <c r="H286" s="20">
        <v>41.0</v>
      </c>
      <c r="J286" s="20">
        <v>0.54</v>
      </c>
      <c r="K286" s="20">
        <v>46.0</v>
      </c>
      <c r="P286" s="130"/>
      <c r="AE286" s="20">
        <v>-45.76</v>
      </c>
      <c r="AF286" s="20">
        <v>-58.04</v>
      </c>
    </row>
    <row r="287">
      <c r="C287" s="120"/>
      <c r="H287" s="20">
        <v>45.0</v>
      </c>
      <c r="J287" s="20">
        <v>0.47</v>
      </c>
      <c r="K287" s="20">
        <v>41.0</v>
      </c>
      <c r="P287" s="130"/>
      <c r="AE287" s="20">
        <v>-46.0</v>
      </c>
      <c r="AF287" s="20">
        <v>-53.56</v>
      </c>
    </row>
    <row r="288">
      <c r="C288" s="120"/>
      <c r="H288" s="20">
        <v>47.0</v>
      </c>
      <c r="J288" s="20">
        <v>0.54</v>
      </c>
      <c r="K288" s="20">
        <v>45.0</v>
      </c>
      <c r="P288" s="130"/>
      <c r="AE288" s="20">
        <v>-46.3</v>
      </c>
      <c r="AF288" s="20">
        <v>8.8</v>
      </c>
    </row>
    <row r="289">
      <c r="C289" s="120"/>
      <c r="H289" s="20">
        <v>42.0</v>
      </c>
      <c r="J289" s="20">
        <v>0.52</v>
      </c>
      <c r="K289" s="20">
        <v>42.0</v>
      </c>
      <c r="P289" s="130"/>
      <c r="AE289" s="20">
        <v>-46.43</v>
      </c>
      <c r="AF289" s="20">
        <v>-50.29</v>
      </c>
    </row>
    <row r="290">
      <c r="C290" s="120"/>
      <c r="H290" s="20">
        <v>48.0</v>
      </c>
      <c r="J290" s="20">
        <v>0.5</v>
      </c>
      <c r="K290" s="20">
        <v>44.0</v>
      </c>
      <c r="P290" s="130"/>
      <c r="AE290" s="20">
        <v>-46.45</v>
      </c>
      <c r="AF290" s="20">
        <v>-79.5</v>
      </c>
    </row>
    <row r="291">
      <c r="C291" s="120"/>
      <c r="H291" s="20">
        <v>42.0</v>
      </c>
      <c r="J291" s="20">
        <v>0.47</v>
      </c>
      <c r="K291" s="20">
        <v>44.0</v>
      </c>
      <c r="P291" s="130"/>
      <c r="AE291" s="20">
        <v>-46.49</v>
      </c>
      <c r="AF291" s="20">
        <v>-59.45</v>
      </c>
    </row>
    <row r="292">
      <c r="C292" s="120"/>
      <c r="H292" s="20">
        <v>45.0</v>
      </c>
      <c r="J292" s="20">
        <v>0.49</v>
      </c>
      <c r="K292" s="20">
        <v>43.0</v>
      </c>
      <c r="P292" s="130"/>
      <c r="AE292" s="20">
        <v>-46.6</v>
      </c>
      <c r="AF292" s="20">
        <v>-93.96</v>
      </c>
    </row>
    <row r="293">
      <c r="C293" s="120"/>
      <c r="H293" s="20">
        <v>46.0</v>
      </c>
      <c r="J293" s="20">
        <v>0.49</v>
      </c>
      <c r="K293" s="20">
        <v>41.0</v>
      </c>
      <c r="P293" s="130"/>
      <c r="AE293" s="20">
        <v>-47.32</v>
      </c>
      <c r="AF293" s="20">
        <v>132.4</v>
      </c>
    </row>
    <row r="294">
      <c r="C294" s="120"/>
      <c r="H294" s="20">
        <v>47.0</v>
      </c>
      <c r="J294" s="20">
        <v>0.54</v>
      </c>
      <c r="K294" s="20">
        <v>40.0</v>
      </c>
      <c r="P294" s="130"/>
      <c r="AE294" s="20">
        <v>-47.49</v>
      </c>
      <c r="AF294" s="20">
        <v>-57.05</v>
      </c>
    </row>
    <row r="295">
      <c r="C295" s="120"/>
      <c r="H295" s="20">
        <v>46.0</v>
      </c>
      <c r="J295" s="20">
        <v>0.52</v>
      </c>
      <c r="K295" s="20">
        <v>46.0</v>
      </c>
      <c r="P295" s="130"/>
      <c r="AE295" s="20">
        <v>-47.55</v>
      </c>
      <c r="AF295" s="20">
        <v>-87.72</v>
      </c>
    </row>
    <row r="296">
      <c r="C296" s="120"/>
      <c r="H296" s="20">
        <v>47.0</v>
      </c>
      <c r="J296" s="20">
        <v>0.56</v>
      </c>
      <c r="K296" s="20">
        <v>45.0</v>
      </c>
      <c r="P296" s="130"/>
      <c r="AE296" s="20">
        <v>-47.75</v>
      </c>
      <c r="AF296" s="20">
        <v>-59.17</v>
      </c>
    </row>
    <row r="297">
      <c r="C297" s="120"/>
      <c r="H297" s="20">
        <v>49.0</v>
      </c>
      <c r="J297" s="20">
        <v>0.48</v>
      </c>
      <c r="K297" s="20">
        <v>46.0</v>
      </c>
      <c r="P297" s="130"/>
      <c r="AE297" s="20">
        <v>-47.98</v>
      </c>
      <c r="AF297" s="20">
        <v>-82.36</v>
      </c>
    </row>
    <row r="298">
      <c r="C298" s="120"/>
      <c r="H298" s="20">
        <v>45.0</v>
      </c>
      <c r="J298" s="20">
        <v>0.5</v>
      </c>
      <c r="K298" s="20">
        <v>46.0</v>
      </c>
      <c r="P298" s="130"/>
      <c r="AE298" s="20">
        <v>-48.06</v>
      </c>
      <c r="AF298" s="20">
        <v>-58.04</v>
      </c>
    </row>
    <row r="299">
      <c r="C299" s="120"/>
      <c r="H299" s="20">
        <v>47.0</v>
      </c>
      <c r="J299" s="20">
        <v>0.5</v>
      </c>
      <c r="K299" s="20">
        <v>44.0</v>
      </c>
      <c r="P299" s="130"/>
      <c r="AE299" s="20">
        <v>-48.14</v>
      </c>
      <c r="AF299" s="20">
        <v>67.08</v>
      </c>
    </row>
    <row r="300">
      <c r="C300" s="120"/>
      <c r="H300" s="20">
        <v>42.0</v>
      </c>
      <c r="J300" s="20">
        <v>0.5</v>
      </c>
      <c r="K300" s="20">
        <v>43.0</v>
      </c>
      <c r="P300" s="130"/>
      <c r="AE300" s="20">
        <v>-48.2</v>
      </c>
      <c r="AF300" s="20">
        <v>-18.42</v>
      </c>
    </row>
    <row r="301">
      <c r="C301" s="120"/>
      <c r="H301" s="20">
        <v>45.0</v>
      </c>
      <c r="J301" s="20">
        <v>0.48</v>
      </c>
      <c r="K301" s="20">
        <v>42.0</v>
      </c>
      <c r="P301" s="130"/>
      <c r="AE301" s="20">
        <v>-48.25</v>
      </c>
      <c r="AF301" s="20">
        <v>-35.34</v>
      </c>
    </row>
    <row r="302">
      <c r="C302" s="120"/>
      <c r="H302" s="20">
        <v>42.0</v>
      </c>
      <c r="J302" s="20">
        <v>0.48</v>
      </c>
      <c r="K302" s="20">
        <v>42.0</v>
      </c>
      <c r="P302" s="130"/>
      <c r="AE302" s="20">
        <v>-48.5</v>
      </c>
      <c r="AF302" s="20">
        <v>-19.81</v>
      </c>
    </row>
    <row r="303">
      <c r="C303" s="120"/>
      <c r="H303" s="20">
        <v>42.0</v>
      </c>
      <c r="J303" s="20">
        <v>0.53</v>
      </c>
      <c r="K303" s="20">
        <v>45.0</v>
      </c>
      <c r="P303" s="130"/>
      <c r="AE303" s="20">
        <v>-48.57</v>
      </c>
      <c r="AF303" s="20">
        <v>-64.2</v>
      </c>
    </row>
    <row r="304">
      <c r="C304" s="120"/>
      <c r="H304" s="20">
        <v>40.0</v>
      </c>
      <c r="J304" s="20">
        <v>0.51</v>
      </c>
      <c r="K304" s="20">
        <v>43.0</v>
      </c>
      <c r="P304" s="130"/>
      <c r="AE304" s="20">
        <v>-49.19</v>
      </c>
      <c r="AF304" s="20">
        <v>-50.36</v>
      </c>
    </row>
    <row r="305">
      <c r="C305" s="120"/>
      <c r="H305" s="20">
        <v>48.0</v>
      </c>
      <c r="J305" s="20">
        <v>0.49</v>
      </c>
      <c r="K305" s="20">
        <v>51.0</v>
      </c>
      <c r="P305" s="130"/>
      <c r="AE305" s="20">
        <v>-49.85</v>
      </c>
      <c r="AF305" s="20">
        <v>-58.58</v>
      </c>
    </row>
    <row r="306">
      <c r="C306" s="120"/>
      <c r="H306" s="20">
        <v>45.0</v>
      </c>
      <c r="J306" s="20">
        <v>0.51</v>
      </c>
      <c r="K306" s="20">
        <v>41.0</v>
      </c>
      <c r="P306" s="130"/>
      <c r="AE306" s="20">
        <v>-50.19</v>
      </c>
      <c r="AF306" s="20">
        <v>-69.6</v>
      </c>
    </row>
    <row r="307">
      <c r="C307" s="120"/>
      <c r="H307" s="20">
        <v>37.0</v>
      </c>
      <c r="J307" s="20">
        <v>0.5</v>
      </c>
      <c r="K307" s="20">
        <v>50.0</v>
      </c>
      <c r="P307" s="130"/>
      <c r="AE307" s="20">
        <v>-50.39</v>
      </c>
      <c r="AF307" s="20">
        <v>-35.21</v>
      </c>
    </row>
    <row r="308">
      <c r="C308" s="120"/>
      <c r="H308" s="20">
        <v>47.0</v>
      </c>
      <c r="J308" s="20">
        <v>0.51</v>
      </c>
      <c r="K308" s="20">
        <v>41.0</v>
      </c>
      <c r="P308" s="130"/>
      <c r="AE308" s="20">
        <v>-50.46</v>
      </c>
      <c r="AF308" s="20">
        <v>-45.24</v>
      </c>
    </row>
    <row r="309">
      <c r="C309" s="120"/>
      <c r="H309" s="20">
        <v>46.0</v>
      </c>
      <c r="J309" s="20">
        <v>0.52</v>
      </c>
      <c r="K309" s="20">
        <v>44.0</v>
      </c>
      <c r="P309" s="130"/>
      <c r="AE309" s="20">
        <v>-50.5</v>
      </c>
      <c r="AF309" s="20">
        <v>-30.0</v>
      </c>
    </row>
    <row r="310">
      <c r="C310" s="120"/>
      <c r="H310" s="20">
        <v>41.0</v>
      </c>
      <c r="J310" s="20">
        <v>0.46</v>
      </c>
      <c r="K310" s="20">
        <v>46.0</v>
      </c>
      <c r="P310" s="130"/>
      <c r="AE310" s="20">
        <v>-50.71</v>
      </c>
      <c r="AF310" s="20">
        <v>-32.85</v>
      </c>
    </row>
    <row r="311">
      <c r="C311" s="120"/>
      <c r="H311" s="20">
        <v>46.0</v>
      </c>
      <c r="J311" s="20">
        <v>0.46</v>
      </c>
      <c r="K311" s="20">
        <v>41.0</v>
      </c>
      <c r="P311" s="130"/>
      <c r="AE311" s="20">
        <v>-51.41</v>
      </c>
      <c r="AF311" s="20">
        <v>-72.97</v>
      </c>
    </row>
    <row r="312">
      <c r="C312" s="120"/>
      <c r="H312" s="20">
        <v>49.0</v>
      </c>
      <c r="J312" s="20">
        <v>0.48</v>
      </c>
      <c r="K312" s="20">
        <v>39.0</v>
      </c>
      <c r="P312" s="130"/>
      <c r="AE312" s="20">
        <v>-52.32</v>
      </c>
      <c r="AF312" s="20">
        <v>-66.69</v>
      </c>
    </row>
    <row r="313">
      <c r="C313" s="120"/>
      <c r="H313" s="20">
        <v>46.0</v>
      </c>
      <c r="J313" s="20">
        <v>0.43</v>
      </c>
      <c r="K313" s="20">
        <v>49.0</v>
      </c>
      <c r="P313" s="130"/>
      <c r="AE313" s="20">
        <v>-52.67</v>
      </c>
      <c r="AF313" s="20">
        <v>-78.32</v>
      </c>
    </row>
    <row r="314">
      <c r="C314" s="120"/>
      <c r="H314" s="20">
        <v>45.0</v>
      </c>
      <c r="J314" s="20">
        <v>0.52</v>
      </c>
      <c r="K314" s="20">
        <v>48.0</v>
      </c>
      <c r="P314" s="130"/>
      <c r="AE314" s="20">
        <v>-52.98</v>
      </c>
      <c r="AF314" s="20">
        <v>-45.63</v>
      </c>
    </row>
    <row r="315">
      <c r="C315" s="120"/>
      <c r="H315" s="20">
        <v>43.0</v>
      </c>
      <c r="J315" s="20">
        <v>0.42</v>
      </c>
      <c r="K315" s="20">
        <v>43.0</v>
      </c>
      <c r="P315" s="130"/>
      <c r="AE315" s="20">
        <v>-52.99</v>
      </c>
      <c r="AF315" s="20">
        <v>-44.34</v>
      </c>
    </row>
    <row r="316">
      <c r="C316" s="120"/>
      <c r="H316" s="20">
        <v>43.0</v>
      </c>
      <c r="J316" s="20">
        <v>0.48</v>
      </c>
      <c r="K316" s="20">
        <v>40.0</v>
      </c>
      <c r="P316" s="130"/>
      <c r="AE316" s="20">
        <v>-53.75</v>
      </c>
      <c r="AF316" s="20">
        <v>-62.38</v>
      </c>
    </row>
    <row r="317">
      <c r="C317" s="120"/>
      <c r="H317" s="20">
        <v>47.0</v>
      </c>
      <c r="J317" s="20">
        <v>0.47</v>
      </c>
      <c r="K317" s="20">
        <v>43.0</v>
      </c>
      <c r="P317" s="130"/>
      <c r="AE317" s="20">
        <v>-54.0</v>
      </c>
      <c r="AF317" s="20">
        <v>-31.7</v>
      </c>
    </row>
    <row r="318">
      <c r="C318" s="120"/>
      <c r="H318" s="20">
        <v>45.0</v>
      </c>
      <c r="J318" s="20">
        <v>0.48</v>
      </c>
      <c r="K318" s="20">
        <v>41.0</v>
      </c>
      <c r="P318" s="130"/>
      <c r="AE318" s="20">
        <v>-54.4</v>
      </c>
      <c r="AF318" s="20">
        <v>4.76</v>
      </c>
    </row>
    <row r="319">
      <c r="C319" s="120"/>
      <c r="H319" s="20">
        <v>50.0</v>
      </c>
      <c r="J319" s="20">
        <v>0.48</v>
      </c>
      <c r="K319" s="20">
        <v>44.0</v>
      </c>
      <c r="P319" s="130"/>
      <c r="AE319" s="20">
        <v>-54.58</v>
      </c>
      <c r="AF319" s="20">
        <v>-73.6</v>
      </c>
    </row>
    <row r="320">
      <c r="C320" s="120"/>
      <c r="H320" s="20">
        <v>43.0</v>
      </c>
      <c r="J320" s="20">
        <v>0.52</v>
      </c>
      <c r="K320" s="20">
        <v>45.0</v>
      </c>
      <c r="P320" s="130"/>
      <c r="AE320" s="20">
        <v>-54.61</v>
      </c>
      <c r="AF320" s="20">
        <v>-44.06</v>
      </c>
    </row>
    <row r="321">
      <c r="C321" s="120"/>
      <c r="H321" s="20">
        <v>48.0</v>
      </c>
      <c r="J321" s="20">
        <v>0.5</v>
      </c>
      <c r="K321" s="20">
        <v>42.0</v>
      </c>
      <c r="P321" s="130"/>
      <c r="AE321" s="20">
        <v>-54.9</v>
      </c>
      <c r="AF321" s="20">
        <v>-51.12</v>
      </c>
    </row>
    <row r="322">
      <c r="C322" s="120"/>
      <c r="H322" s="20">
        <v>46.0</v>
      </c>
      <c r="J322" s="20">
        <v>0.47</v>
      </c>
      <c r="K322" s="20">
        <v>47.0</v>
      </c>
      <c r="P322" s="130"/>
      <c r="AE322" s="20">
        <v>-55.28</v>
      </c>
      <c r="AF322" s="20">
        <v>-40.79</v>
      </c>
    </row>
    <row r="323">
      <c r="C323" s="120"/>
      <c r="H323" s="20">
        <v>43.0</v>
      </c>
      <c r="J323" s="20">
        <v>0.44</v>
      </c>
      <c r="K323" s="20">
        <v>47.0</v>
      </c>
      <c r="P323" s="130"/>
      <c r="AE323" s="20">
        <v>-55.64</v>
      </c>
      <c r="AF323" s="20">
        <v>-88.06</v>
      </c>
    </row>
    <row r="324">
      <c r="C324" s="120"/>
      <c r="H324" s="20">
        <v>45.0</v>
      </c>
      <c r="J324" s="20">
        <v>0.54</v>
      </c>
      <c r="K324" s="20">
        <v>42.0</v>
      </c>
      <c r="P324" s="130"/>
      <c r="AE324" s="20">
        <v>-56.41</v>
      </c>
      <c r="AF324" s="20">
        <v>-57.86</v>
      </c>
    </row>
    <row r="325">
      <c r="C325" s="120"/>
      <c r="H325" s="20">
        <v>45.0</v>
      </c>
      <c r="J325" s="20">
        <v>0.51</v>
      </c>
      <c r="K325" s="20">
        <v>41.0</v>
      </c>
      <c r="P325" s="130"/>
      <c r="AE325" s="20">
        <v>-56.58</v>
      </c>
      <c r="AF325" s="20">
        <v>-22.65</v>
      </c>
    </row>
    <row r="326">
      <c r="C326" s="120"/>
      <c r="H326" s="20">
        <v>45.0</v>
      </c>
      <c r="J326" s="20">
        <v>0.51</v>
      </c>
      <c r="K326" s="20">
        <v>41.0</v>
      </c>
      <c r="P326" s="130"/>
      <c r="AE326" s="20">
        <v>-56.69</v>
      </c>
      <c r="AF326" s="20">
        <v>-61.53</v>
      </c>
    </row>
    <row r="327">
      <c r="C327" s="120"/>
      <c r="H327" s="20">
        <v>43.0</v>
      </c>
      <c r="J327" s="20">
        <v>0.51</v>
      </c>
      <c r="K327" s="20">
        <v>45.0</v>
      </c>
      <c r="P327" s="130"/>
      <c r="AE327" s="20">
        <v>-57.05</v>
      </c>
      <c r="AF327" s="20">
        <v>9.91</v>
      </c>
    </row>
    <row r="328">
      <c r="C328" s="120"/>
      <c r="H328" s="20">
        <v>43.0</v>
      </c>
      <c r="J328" s="20">
        <v>0.51</v>
      </c>
      <c r="K328" s="20">
        <v>41.0</v>
      </c>
      <c r="P328" s="130"/>
      <c r="AE328" s="20">
        <v>-57.29</v>
      </c>
      <c r="AF328" s="20">
        <v>106.16</v>
      </c>
    </row>
    <row r="329">
      <c r="C329" s="120"/>
      <c r="H329" s="20">
        <v>45.0</v>
      </c>
      <c r="J329" s="20">
        <v>0.51</v>
      </c>
      <c r="K329" s="20">
        <v>46.0</v>
      </c>
      <c r="P329" s="130"/>
      <c r="AE329" s="20">
        <v>-57.43</v>
      </c>
      <c r="AF329" s="20">
        <v>-77.85</v>
      </c>
    </row>
    <row r="330">
      <c r="C330" s="120"/>
      <c r="H330" s="20">
        <v>48.0</v>
      </c>
      <c r="J330" s="20">
        <v>0.48</v>
      </c>
      <c r="K330" s="20">
        <v>44.0</v>
      </c>
      <c r="P330" s="130"/>
      <c r="AE330" s="20">
        <v>-57.74</v>
      </c>
      <c r="AF330" s="20">
        <v>-78.06</v>
      </c>
    </row>
    <row r="331">
      <c r="C331" s="120"/>
      <c r="H331" s="20">
        <v>45.0</v>
      </c>
      <c r="J331" s="20">
        <v>0.45</v>
      </c>
      <c r="K331" s="20">
        <v>47.0</v>
      </c>
      <c r="P331" s="130"/>
      <c r="AE331" s="20">
        <v>-57.8</v>
      </c>
      <c r="AF331" s="20">
        <v>-77.11</v>
      </c>
    </row>
    <row r="332">
      <c r="C332" s="120"/>
      <c r="H332" s="20">
        <v>44.0</v>
      </c>
      <c r="J332" s="20">
        <v>0.51</v>
      </c>
      <c r="K332" s="20">
        <v>42.0</v>
      </c>
      <c r="P332" s="130"/>
      <c r="AE332" s="20">
        <v>-58.03</v>
      </c>
      <c r="AF332" s="20">
        <v>-49.83</v>
      </c>
    </row>
    <row r="333">
      <c r="C333" s="120"/>
      <c r="H333" s="20">
        <v>44.0</v>
      </c>
      <c r="J333" s="20">
        <v>0.48</v>
      </c>
      <c r="K333" s="20">
        <v>47.0</v>
      </c>
      <c r="P333" s="130"/>
      <c r="AE333" s="20">
        <v>-58.25</v>
      </c>
      <c r="AF333" s="20">
        <v>-69.57</v>
      </c>
    </row>
    <row r="334">
      <c r="C334" s="120"/>
      <c r="H334" s="20">
        <v>49.0</v>
      </c>
      <c r="J334" s="20">
        <v>0.52</v>
      </c>
      <c r="K334" s="20">
        <v>42.0</v>
      </c>
      <c r="P334" s="130"/>
      <c r="AE334" s="20">
        <v>-58.45</v>
      </c>
      <c r="AF334" s="20">
        <v>-74.4</v>
      </c>
    </row>
    <row r="335">
      <c r="C335" s="120"/>
      <c r="H335" s="20">
        <v>46.0</v>
      </c>
      <c r="J335" s="20">
        <v>0.42</v>
      </c>
      <c r="K335" s="20">
        <v>47.0</v>
      </c>
      <c r="P335" s="130"/>
      <c r="AE335" s="20">
        <v>-58.7</v>
      </c>
      <c r="AF335" s="20">
        <v>-73.87</v>
      </c>
    </row>
    <row r="336">
      <c r="C336" s="120"/>
      <c r="H336" s="20">
        <v>47.0</v>
      </c>
      <c r="J336" s="20">
        <v>0.5</v>
      </c>
      <c r="K336" s="20">
        <v>39.0</v>
      </c>
      <c r="P336" s="130"/>
      <c r="AE336" s="20">
        <v>-59.1</v>
      </c>
      <c r="AF336" s="20">
        <v>-70.61</v>
      </c>
    </row>
    <row r="337">
      <c r="C337" s="120"/>
      <c r="H337" s="20">
        <v>44.0</v>
      </c>
      <c r="J337" s="20">
        <v>0.48</v>
      </c>
      <c r="K337" s="20">
        <v>46.0</v>
      </c>
      <c r="P337" s="130"/>
      <c r="AE337" s="20">
        <v>-60.56</v>
      </c>
      <c r="AF337" s="20">
        <v>-95.17</v>
      </c>
    </row>
    <row r="338">
      <c r="C338" s="120"/>
      <c r="H338" s="20">
        <v>44.0</v>
      </c>
      <c r="J338" s="20">
        <v>0.47</v>
      </c>
      <c r="K338" s="20">
        <v>43.0</v>
      </c>
      <c r="P338" s="130"/>
      <c r="AE338" s="20">
        <v>-60.78</v>
      </c>
      <c r="AF338" s="20">
        <v>-50.92</v>
      </c>
    </row>
    <row r="339">
      <c r="C339" s="120"/>
      <c r="H339" s="20">
        <v>47.0</v>
      </c>
      <c r="J339" s="20">
        <v>0.56</v>
      </c>
      <c r="K339" s="20">
        <v>46.0</v>
      </c>
      <c r="P339" s="130"/>
      <c r="AE339" s="20">
        <v>-61.12</v>
      </c>
      <c r="AF339" s="20">
        <v>-72.89</v>
      </c>
    </row>
    <row r="340">
      <c r="C340" s="120"/>
      <c r="H340" s="20">
        <v>47.0</v>
      </c>
      <c r="J340" s="20">
        <v>0.5</v>
      </c>
      <c r="K340" s="20">
        <v>41.0</v>
      </c>
      <c r="P340" s="130"/>
      <c r="AE340" s="20">
        <v>-61.16</v>
      </c>
      <c r="AF340" s="20">
        <v>-26.6</v>
      </c>
    </row>
    <row r="341">
      <c r="C341" s="120"/>
      <c r="H341" s="20">
        <v>43.0</v>
      </c>
      <c r="J341" s="20">
        <v>0.47</v>
      </c>
      <c r="K341" s="20">
        <v>45.0</v>
      </c>
      <c r="P341" s="130"/>
      <c r="AE341" s="20">
        <v>-61.68</v>
      </c>
      <c r="AF341" s="20">
        <v>-48.24</v>
      </c>
    </row>
    <row r="342">
      <c r="C342" s="120"/>
      <c r="H342" s="20">
        <v>40.0</v>
      </c>
      <c r="J342" s="20">
        <v>0.51</v>
      </c>
      <c r="K342" s="20">
        <v>45.0</v>
      </c>
      <c r="P342" s="130"/>
      <c r="AE342" s="20">
        <v>-61.7</v>
      </c>
      <c r="AF342" s="20">
        <v>-76.37</v>
      </c>
    </row>
    <row r="343">
      <c r="C343" s="120"/>
      <c r="H343" s="20">
        <v>40.0</v>
      </c>
      <c r="J343" s="20">
        <v>0.5</v>
      </c>
      <c r="K343" s="20">
        <v>48.0</v>
      </c>
      <c r="P343" s="130"/>
      <c r="AE343" s="20">
        <v>-64.73</v>
      </c>
      <c r="AF343" s="20">
        <v>-36.44</v>
      </c>
    </row>
    <row r="344">
      <c r="C344" s="120"/>
      <c r="H344" s="20">
        <v>50.0</v>
      </c>
      <c r="J344" s="20">
        <v>0.52</v>
      </c>
      <c r="K344" s="20">
        <v>44.0</v>
      </c>
      <c r="P344" s="130"/>
      <c r="AE344" s="20">
        <v>-64.95</v>
      </c>
      <c r="AF344" s="20">
        <v>-90.67</v>
      </c>
    </row>
    <row r="345">
      <c r="C345" s="120"/>
      <c r="H345" s="20">
        <v>42.0</v>
      </c>
      <c r="J345" s="20">
        <v>0.42</v>
      </c>
      <c r="K345" s="20">
        <v>44.0</v>
      </c>
      <c r="P345" s="130"/>
      <c r="AE345" s="20">
        <v>-65.45</v>
      </c>
      <c r="AF345" s="20">
        <v>-56.42</v>
      </c>
    </row>
    <row r="346">
      <c r="C346" s="120"/>
      <c r="H346" s="20">
        <v>48.0</v>
      </c>
      <c r="J346" s="20">
        <v>0.42</v>
      </c>
      <c r="K346" s="20">
        <v>45.0</v>
      </c>
      <c r="P346" s="130"/>
      <c r="AE346" s="20">
        <v>-66.19</v>
      </c>
      <c r="AF346" s="20">
        <v>-61.17</v>
      </c>
    </row>
    <row r="347">
      <c r="C347" s="120"/>
      <c r="H347" s="20">
        <v>48.0</v>
      </c>
      <c r="J347" s="20">
        <v>0.5</v>
      </c>
      <c r="K347" s="20">
        <v>43.0</v>
      </c>
      <c r="P347" s="130"/>
      <c r="AE347" s="20">
        <v>-66.74</v>
      </c>
      <c r="AF347" s="20">
        <v>11.35</v>
      </c>
    </row>
    <row r="348">
      <c r="C348" s="120"/>
      <c r="H348" s="20">
        <v>45.0</v>
      </c>
      <c r="J348" s="20">
        <v>0.39</v>
      </c>
      <c r="K348" s="20">
        <v>46.0</v>
      </c>
      <c r="P348" s="130"/>
      <c r="AE348" s="20">
        <v>-67.75</v>
      </c>
      <c r="AF348" s="20">
        <v>-29.75</v>
      </c>
    </row>
    <row r="349">
      <c r="C349" s="120"/>
      <c r="H349" s="20">
        <v>44.0</v>
      </c>
      <c r="J349" s="20">
        <v>0.44</v>
      </c>
      <c r="K349" s="20">
        <v>45.0</v>
      </c>
      <c r="P349" s="130"/>
      <c r="AE349" s="20">
        <v>-67.96</v>
      </c>
      <c r="AF349" s="20">
        <v>-29.69</v>
      </c>
    </row>
    <row r="350">
      <c r="C350" s="120"/>
      <c r="H350" s="20">
        <v>45.0</v>
      </c>
      <c r="J350" s="20">
        <v>0.43</v>
      </c>
      <c r="K350" s="20">
        <v>45.0</v>
      </c>
      <c r="P350" s="130"/>
      <c r="AE350" s="20">
        <v>-68.07</v>
      </c>
      <c r="AF350" s="20">
        <v>-96.63</v>
      </c>
    </row>
    <row r="351">
      <c r="C351" s="120"/>
      <c r="H351" s="20">
        <v>44.0</v>
      </c>
      <c r="J351" s="20">
        <v>0.47</v>
      </c>
      <c r="K351" s="20">
        <v>43.0</v>
      </c>
      <c r="P351" s="130"/>
      <c r="AE351" s="20">
        <v>-69.13</v>
      </c>
      <c r="AF351" s="20">
        <v>-82.96</v>
      </c>
    </row>
    <row r="352">
      <c r="C352" s="120"/>
      <c r="H352" s="20">
        <v>47.0</v>
      </c>
      <c r="J352" s="20">
        <v>0.46</v>
      </c>
      <c r="K352" s="20">
        <v>41.0</v>
      </c>
      <c r="P352" s="130"/>
      <c r="AE352" s="20">
        <v>-69.18</v>
      </c>
      <c r="AF352" s="20">
        <v>-82.71</v>
      </c>
    </row>
    <row r="353">
      <c r="C353" s="120"/>
      <c r="H353" s="20">
        <v>44.0</v>
      </c>
      <c r="J353" s="20">
        <v>0.41</v>
      </c>
      <c r="K353" s="20">
        <v>46.0</v>
      </c>
      <c r="P353" s="130"/>
      <c r="AE353" s="20">
        <v>-70.56</v>
      </c>
      <c r="AF353" s="20">
        <v>-62.62</v>
      </c>
    </row>
    <row r="354">
      <c r="C354" s="120"/>
      <c r="H354" s="20">
        <v>44.0</v>
      </c>
      <c r="J354" s="20">
        <v>0.47</v>
      </c>
      <c r="K354" s="20">
        <v>44.0</v>
      </c>
      <c r="P354" s="130"/>
      <c r="AE354" s="20">
        <v>-71.22</v>
      </c>
      <c r="AF354" s="20">
        <v>-48.5</v>
      </c>
    </row>
    <row r="355">
      <c r="C355" s="120"/>
      <c r="H355" s="20">
        <v>46.0</v>
      </c>
      <c r="J355" s="20">
        <v>0.43</v>
      </c>
      <c r="K355" s="20">
        <v>46.0</v>
      </c>
      <c r="P355" s="130"/>
      <c r="AE355" s="20">
        <v>-71.66</v>
      </c>
      <c r="AF355" s="20">
        <v>-34.2</v>
      </c>
    </row>
    <row r="356">
      <c r="C356" s="120"/>
      <c r="H356" s="20">
        <v>46.0</v>
      </c>
      <c r="J356" s="20">
        <v>0.42</v>
      </c>
      <c r="K356" s="20">
        <v>41.0</v>
      </c>
      <c r="P356" s="130"/>
      <c r="AE356" s="20">
        <v>-72.25</v>
      </c>
      <c r="AF356" s="20">
        <v>-73.98</v>
      </c>
    </row>
    <row r="357">
      <c r="C357" s="120"/>
      <c r="H357" s="20">
        <v>43.0</v>
      </c>
      <c r="J357" s="20">
        <v>0.44</v>
      </c>
      <c r="K357" s="20">
        <v>47.0</v>
      </c>
      <c r="P357" s="130"/>
      <c r="AE357" s="20">
        <v>-72.81</v>
      </c>
      <c r="AF357" s="20">
        <v>-51.19</v>
      </c>
    </row>
    <row r="358">
      <c r="C358" s="120"/>
      <c r="H358" s="20">
        <v>41.0</v>
      </c>
      <c r="J358" s="20">
        <v>0.53</v>
      </c>
      <c r="K358" s="20">
        <v>46.0</v>
      </c>
      <c r="P358" s="130"/>
      <c r="AE358" s="20">
        <v>-73.11</v>
      </c>
      <c r="AF358" s="20">
        <v>-61.21</v>
      </c>
    </row>
    <row r="359">
      <c r="C359" s="120"/>
      <c r="H359" s="20">
        <v>48.0</v>
      </c>
      <c r="J359" s="20">
        <v>0.41</v>
      </c>
      <c r="K359" s="20">
        <v>46.0</v>
      </c>
      <c r="P359" s="130"/>
      <c r="AE359" s="20">
        <v>-73.74</v>
      </c>
      <c r="AF359" s="20">
        <v>-75.29</v>
      </c>
    </row>
    <row r="360">
      <c r="C360" s="120"/>
      <c r="H360" s="20">
        <v>43.0</v>
      </c>
      <c r="J360" s="20">
        <v>0.47</v>
      </c>
      <c r="K360" s="20">
        <v>45.0</v>
      </c>
      <c r="P360" s="130"/>
      <c r="AE360" s="20">
        <v>-76.59</v>
      </c>
      <c r="AF360" s="20">
        <v>-69.34</v>
      </c>
    </row>
    <row r="361">
      <c r="C361" s="120"/>
      <c r="H361" s="20">
        <v>45.0</v>
      </c>
      <c r="J361" s="20">
        <v>0.41</v>
      </c>
      <c r="K361" s="20">
        <v>43.0</v>
      </c>
      <c r="P361" s="130"/>
      <c r="AE361" s="20">
        <v>-77.16</v>
      </c>
      <c r="AF361" s="20">
        <v>-48.89</v>
      </c>
    </row>
    <row r="362">
      <c r="C362" s="120"/>
      <c r="H362" s="20">
        <v>46.0</v>
      </c>
      <c r="J362" s="20">
        <v>0.43</v>
      </c>
      <c r="K362" s="20">
        <v>46.0</v>
      </c>
      <c r="P362" s="130"/>
      <c r="AE362" s="20">
        <v>-77.51</v>
      </c>
      <c r="AF362" s="20">
        <v>-33.52</v>
      </c>
    </row>
    <row r="363">
      <c r="C363" s="120"/>
      <c r="H363" s="20">
        <v>49.0</v>
      </c>
      <c r="J363" s="20">
        <v>0.48</v>
      </c>
      <c r="K363" s="20">
        <v>40.0</v>
      </c>
      <c r="P363" s="130"/>
      <c r="AE363" s="20">
        <v>-77.6</v>
      </c>
      <c r="AF363" s="20">
        <v>-45.33</v>
      </c>
    </row>
    <row r="364">
      <c r="C364" s="120"/>
      <c r="H364" s="20">
        <v>47.0</v>
      </c>
      <c r="J364" s="20">
        <v>0.49</v>
      </c>
      <c r="K364" s="20">
        <v>42.0</v>
      </c>
      <c r="P364" s="130"/>
      <c r="AE364" s="20">
        <v>-78.26</v>
      </c>
      <c r="AF364" s="20">
        <v>-93.6</v>
      </c>
    </row>
    <row r="365">
      <c r="C365" s="120"/>
      <c r="H365" s="20">
        <v>43.0</v>
      </c>
      <c r="J365" s="20">
        <v>0.48</v>
      </c>
      <c r="K365" s="20">
        <v>45.0</v>
      </c>
      <c r="P365" s="130"/>
      <c r="AE365" s="20">
        <v>-78.67</v>
      </c>
      <c r="AF365" s="20">
        <v>-48.63</v>
      </c>
    </row>
    <row r="366">
      <c r="C366" s="120"/>
      <c r="H366" s="20">
        <v>44.0</v>
      </c>
      <c r="J366" s="20">
        <v>0.46</v>
      </c>
      <c r="K366" s="20">
        <v>42.0</v>
      </c>
      <c r="P366" s="130"/>
      <c r="AE366" s="20">
        <v>-78.73</v>
      </c>
      <c r="AF366" s="20">
        <v>-74.2</v>
      </c>
    </row>
    <row r="367">
      <c r="C367" s="120"/>
      <c r="H367" s="20">
        <v>43.0</v>
      </c>
      <c r="J367" s="20">
        <v>0.46</v>
      </c>
      <c r="K367" s="20">
        <v>41.0</v>
      </c>
      <c r="P367" s="130"/>
      <c r="AE367" s="20">
        <v>-80.15</v>
      </c>
      <c r="AF367" s="20">
        <v>-83.62</v>
      </c>
    </row>
    <row r="368">
      <c r="C368" s="120"/>
      <c r="H368" s="20">
        <v>47.0</v>
      </c>
      <c r="J368" s="20">
        <v>0.46</v>
      </c>
      <c r="K368" s="20">
        <v>41.0</v>
      </c>
      <c r="P368" s="130"/>
      <c r="AE368" s="20">
        <v>-81.78</v>
      </c>
      <c r="AF368" s="20">
        <v>-41.35</v>
      </c>
    </row>
    <row r="369">
      <c r="C369" s="120"/>
      <c r="H369" s="20">
        <v>45.0</v>
      </c>
      <c r="J369" s="20">
        <v>0.46</v>
      </c>
      <c r="K369" s="20">
        <v>43.0</v>
      </c>
      <c r="P369" s="130"/>
      <c r="AE369" s="20">
        <v>-81.82</v>
      </c>
      <c r="AF369" s="20">
        <v>-66.67</v>
      </c>
    </row>
    <row r="370">
      <c r="C370" s="120"/>
      <c r="H370" s="20">
        <v>45.0</v>
      </c>
      <c r="J370" s="20">
        <v>0.45</v>
      </c>
      <c r="K370" s="20">
        <v>45.0</v>
      </c>
      <c r="P370" s="130"/>
      <c r="AE370" s="20">
        <v>-83.2</v>
      </c>
      <c r="AF370" s="20">
        <v>-70.52</v>
      </c>
    </row>
    <row r="371">
      <c r="C371" s="120"/>
      <c r="H371" s="20">
        <v>48.0</v>
      </c>
      <c r="J371" s="20">
        <v>0.5</v>
      </c>
      <c r="K371" s="20">
        <v>47.0</v>
      </c>
      <c r="P371" s="130"/>
      <c r="AE371" s="20">
        <v>-85.76</v>
      </c>
      <c r="AF371" s="20">
        <v>-30.34</v>
      </c>
    </row>
    <row r="372">
      <c r="C372" s="120"/>
      <c r="H372" s="20">
        <v>45.0</v>
      </c>
      <c r="J372" s="20">
        <v>0.5</v>
      </c>
      <c r="K372" s="20">
        <v>39.0</v>
      </c>
      <c r="P372" s="130"/>
      <c r="AE372" s="20">
        <v>-86.13</v>
      </c>
      <c r="AF372" s="20">
        <v>-86.46</v>
      </c>
    </row>
    <row r="373">
      <c r="C373" s="120"/>
      <c r="H373" s="20">
        <v>50.0</v>
      </c>
      <c r="J373" s="20">
        <v>0.45</v>
      </c>
      <c r="K373" s="20">
        <v>42.0</v>
      </c>
      <c r="P373" s="130"/>
      <c r="AE373" s="20">
        <v>-89.52</v>
      </c>
      <c r="AF373" s="20">
        <v>-64.9</v>
      </c>
    </row>
    <row r="374">
      <c r="C374" s="120"/>
      <c r="H374" s="20">
        <v>45.0</v>
      </c>
      <c r="J374" s="20">
        <v>0.45</v>
      </c>
      <c r="K374" s="20">
        <v>41.0</v>
      </c>
      <c r="P374" s="130"/>
      <c r="AE374" s="20">
        <v>-89.64</v>
      </c>
      <c r="AF374" s="20">
        <v>-85.44</v>
      </c>
    </row>
    <row r="375">
      <c r="C375" s="120"/>
      <c r="H375" s="20">
        <v>44.0</v>
      </c>
      <c r="J375" s="20">
        <v>0.42</v>
      </c>
      <c r="K375" s="20">
        <v>39.0</v>
      </c>
      <c r="P375" s="130"/>
      <c r="AE375" s="20">
        <v>-91.46</v>
      </c>
      <c r="AF375" s="20">
        <v>-88.67</v>
      </c>
    </row>
    <row r="376">
      <c r="C376" s="120"/>
      <c r="H376" s="20">
        <v>43.0</v>
      </c>
      <c r="J376" s="20">
        <v>0.45</v>
      </c>
      <c r="K376" s="20">
        <v>42.0</v>
      </c>
      <c r="P376" s="130"/>
      <c r="AE376" s="20">
        <v>-92.32</v>
      </c>
      <c r="AF376" s="20">
        <v>-88.03</v>
      </c>
    </row>
    <row r="377">
      <c r="C377" s="120"/>
      <c r="H377" s="20">
        <v>44.0</v>
      </c>
      <c r="J377" s="20">
        <v>0.44</v>
      </c>
      <c r="K377" s="20">
        <v>40.0</v>
      </c>
      <c r="P377" s="130"/>
      <c r="AE377" s="20">
        <v>-93.64</v>
      </c>
      <c r="AF377" s="20">
        <v>-77.77</v>
      </c>
    </row>
    <row r="378">
      <c r="C378" s="120"/>
      <c r="H378" s="20">
        <v>43.0</v>
      </c>
      <c r="J378" s="20">
        <v>0.48</v>
      </c>
      <c r="K378" s="20">
        <v>43.0</v>
      </c>
      <c r="P378" s="130"/>
    </row>
    <row r="379">
      <c r="C379" s="120"/>
      <c r="H379" s="20">
        <v>47.0</v>
      </c>
      <c r="J379" s="20">
        <v>0.48</v>
      </c>
      <c r="K379" s="20">
        <v>42.0</v>
      </c>
      <c r="P379" s="130"/>
    </row>
    <row r="380">
      <c r="C380" s="120"/>
      <c r="H380" s="20">
        <v>45.0</v>
      </c>
      <c r="J380" s="20">
        <v>0.53</v>
      </c>
      <c r="K380" s="20">
        <v>40.0</v>
      </c>
      <c r="P380" s="130"/>
    </row>
    <row r="381">
      <c r="C381" s="120"/>
      <c r="H381" s="20">
        <v>45.0</v>
      </c>
      <c r="J381" s="20">
        <v>0.44</v>
      </c>
      <c r="K381" s="20">
        <v>44.0</v>
      </c>
      <c r="P381" s="130"/>
    </row>
    <row r="382">
      <c r="C382" s="120"/>
      <c r="H382" s="20">
        <v>52.0</v>
      </c>
      <c r="J382" s="20">
        <v>0.49</v>
      </c>
      <c r="K382" s="20">
        <v>45.0</v>
      </c>
      <c r="P382" s="130"/>
    </row>
    <row r="383">
      <c r="C383" s="120"/>
      <c r="H383" s="20">
        <v>46.0</v>
      </c>
      <c r="J383" s="20">
        <v>0.49</v>
      </c>
      <c r="K383" s="20">
        <v>46.0</v>
      </c>
      <c r="P383" s="130"/>
    </row>
    <row r="384">
      <c r="C384" s="120"/>
      <c r="H384" s="20">
        <v>42.0</v>
      </c>
      <c r="J384" s="20">
        <v>0.48</v>
      </c>
      <c r="K384" s="20">
        <v>44.0</v>
      </c>
      <c r="P384" s="130"/>
    </row>
    <row r="385">
      <c r="C385" s="120"/>
      <c r="H385" s="20">
        <v>48.0</v>
      </c>
      <c r="J385" s="20">
        <v>0.44</v>
      </c>
      <c r="K385" s="20">
        <v>46.0</v>
      </c>
      <c r="P385" s="130"/>
    </row>
    <row r="386">
      <c r="C386" s="120"/>
      <c r="H386" s="20">
        <v>44.0</v>
      </c>
      <c r="J386" s="20">
        <v>0.47</v>
      </c>
      <c r="K386" s="20">
        <v>48.0</v>
      </c>
      <c r="P386" s="130"/>
    </row>
    <row r="387">
      <c r="C387" s="120"/>
      <c r="H387" s="20">
        <v>43.0</v>
      </c>
      <c r="J387" s="20">
        <v>0.44</v>
      </c>
      <c r="K387" s="20">
        <v>42.0</v>
      </c>
      <c r="P387" s="130"/>
    </row>
    <row r="388">
      <c r="C388" s="120"/>
      <c r="H388" s="20">
        <v>46.0</v>
      </c>
      <c r="J388" s="20">
        <v>0.5</v>
      </c>
      <c r="K388" s="20">
        <v>43.0</v>
      </c>
      <c r="P388" s="130"/>
    </row>
    <row r="389">
      <c r="C389" s="120"/>
      <c r="H389" s="20">
        <v>47.0</v>
      </c>
      <c r="J389" s="20">
        <v>0.47</v>
      </c>
      <c r="K389" s="20">
        <v>47.0</v>
      </c>
      <c r="P389" s="130"/>
    </row>
    <row r="390">
      <c r="C390" s="120"/>
      <c r="H390" s="20">
        <v>49.0</v>
      </c>
      <c r="J390" s="20">
        <v>0.44</v>
      </c>
      <c r="K390" s="20">
        <v>47.0</v>
      </c>
      <c r="P390" s="130"/>
    </row>
    <row r="391">
      <c r="C391" s="120"/>
      <c r="H391" s="20">
        <v>44.0</v>
      </c>
      <c r="J391" s="20">
        <v>0.43</v>
      </c>
      <c r="K391" s="20">
        <v>46.0</v>
      </c>
      <c r="P391" s="130"/>
    </row>
    <row r="392">
      <c r="C392" s="120"/>
      <c r="H392" s="20">
        <v>46.0</v>
      </c>
      <c r="J392" s="20">
        <v>0.44</v>
      </c>
      <c r="K392" s="20">
        <v>45.0</v>
      </c>
      <c r="P392" s="130"/>
    </row>
    <row r="393">
      <c r="C393" s="120"/>
      <c r="H393" s="20">
        <v>45.0</v>
      </c>
      <c r="J393" s="20">
        <v>0.47</v>
      </c>
      <c r="K393" s="20">
        <v>46.0</v>
      </c>
      <c r="P393" s="130"/>
    </row>
    <row r="394">
      <c r="C394" s="120"/>
      <c r="H394" s="20">
        <v>49.0</v>
      </c>
      <c r="J394" s="20">
        <v>0.49</v>
      </c>
      <c r="K394" s="20">
        <v>49.0</v>
      </c>
      <c r="P394" s="130"/>
    </row>
    <row r="395">
      <c r="C395" s="120"/>
      <c r="H395" s="20">
        <v>49.0</v>
      </c>
      <c r="J395" s="20">
        <v>0.49</v>
      </c>
      <c r="K395" s="20">
        <v>42.0</v>
      </c>
      <c r="P395" s="130"/>
    </row>
    <row r="396">
      <c r="C396" s="120"/>
      <c r="H396" s="20">
        <v>50.0</v>
      </c>
      <c r="J396" s="20">
        <v>0.51</v>
      </c>
      <c r="K396" s="20">
        <v>44.0</v>
      </c>
      <c r="P396" s="130"/>
    </row>
    <row r="397">
      <c r="C397" s="120"/>
      <c r="H397" s="20">
        <v>43.0</v>
      </c>
      <c r="J397" s="20">
        <v>0.44</v>
      </c>
      <c r="K397" s="20">
        <v>51.0</v>
      </c>
      <c r="P397" s="130"/>
    </row>
    <row r="398">
      <c r="C398" s="120"/>
      <c r="H398" s="20">
        <v>46.0</v>
      </c>
      <c r="J398" s="20">
        <v>0.45</v>
      </c>
      <c r="K398" s="20">
        <v>51.0</v>
      </c>
      <c r="P398" s="130"/>
    </row>
    <row r="399">
      <c r="C399" s="120"/>
      <c r="H399" s="20">
        <v>49.0</v>
      </c>
      <c r="J399" s="20">
        <v>0.47</v>
      </c>
      <c r="K399" s="20">
        <v>45.0</v>
      </c>
      <c r="P399" s="130"/>
    </row>
    <row r="400">
      <c r="C400" s="120"/>
      <c r="H400" s="20">
        <v>47.0</v>
      </c>
      <c r="J400" s="20">
        <v>0.51</v>
      </c>
      <c r="K400" s="20">
        <v>50.0</v>
      </c>
      <c r="P400" s="130"/>
    </row>
    <row r="401">
      <c r="C401" s="120"/>
      <c r="H401" s="20">
        <v>45.0</v>
      </c>
      <c r="J401" s="20">
        <v>0.47</v>
      </c>
      <c r="K401" s="20">
        <v>47.0</v>
      </c>
      <c r="P401" s="130"/>
    </row>
    <row r="402">
      <c r="C402" s="120"/>
      <c r="H402" s="20">
        <v>52.0</v>
      </c>
      <c r="J402" s="20">
        <v>0.49</v>
      </c>
      <c r="K402" s="20">
        <v>50.0</v>
      </c>
      <c r="P402" s="130"/>
    </row>
    <row r="403">
      <c r="C403" s="120"/>
      <c r="H403" s="20">
        <v>47.0</v>
      </c>
      <c r="J403" s="20">
        <v>0.48</v>
      </c>
      <c r="K403" s="20">
        <v>44.0</v>
      </c>
      <c r="P403" s="130"/>
    </row>
    <row r="404">
      <c r="C404" s="120"/>
      <c r="H404" s="20">
        <v>44.0</v>
      </c>
      <c r="J404" s="20">
        <v>0.45</v>
      </c>
      <c r="K404" s="20">
        <v>38.0</v>
      </c>
      <c r="P404" s="130"/>
    </row>
    <row r="405">
      <c r="C405" s="120"/>
      <c r="H405" s="20">
        <v>49.0</v>
      </c>
      <c r="J405" s="20">
        <v>0.48</v>
      </c>
      <c r="K405" s="20">
        <v>49.0</v>
      </c>
      <c r="P405" s="130"/>
    </row>
    <row r="406">
      <c r="C406" s="120"/>
      <c r="H406" s="20">
        <v>47.0</v>
      </c>
      <c r="J406" s="20">
        <v>0.47</v>
      </c>
      <c r="K406" s="20">
        <v>53.0</v>
      </c>
      <c r="P406" s="130"/>
    </row>
    <row r="407">
      <c r="C407" s="120"/>
      <c r="H407" s="20">
        <v>47.0</v>
      </c>
      <c r="J407" s="20">
        <v>0.46</v>
      </c>
      <c r="K407" s="20">
        <v>45.0</v>
      </c>
      <c r="P407" s="130"/>
    </row>
    <row r="408">
      <c r="C408" s="120"/>
      <c r="H408" s="20">
        <v>48.0</v>
      </c>
      <c r="J408" s="20">
        <v>0.5</v>
      </c>
      <c r="K408" s="20">
        <v>38.0</v>
      </c>
      <c r="P408" s="130"/>
    </row>
    <row r="409">
      <c r="C409" s="120"/>
      <c r="H409" s="20">
        <v>46.0</v>
      </c>
      <c r="J409" s="20">
        <v>0.49</v>
      </c>
      <c r="K409" s="20">
        <v>49.0</v>
      </c>
      <c r="P409" s="130"/>
    </row>
    <row r="410">
      <c r="C410" s="120"/>
      <c r="H410" s="20">
        <v>49.0</v>
      </c>
      <c r="J410" s="20">
        <v>0.47</v>
      </c>
      <c r="K410" s="20">
        <v>47.0</v>
      </c>
      <c r="P410" s="130"/>
    </row>
    <row r="411">
      <c r="C411" s="120"/>
      <c r="H411" s="20">
        <v>51.0</v>
      </c>
      <c r="J411" s="20">
        <v>0.49</v>
      </c>
      <c r="K411" s="20">
        <v>46.0</v>
      </c>
      <c r="P411" s="130"/>
    </row>
    <row r="412">
      <c r="C412" s="120"/>
      <c r="H412" s="20">
        <v>47.0</v>
      </c>
      <c r="J412" s="20">
        <v>0.47</v>
      </c>
      <c r="K412" s="20">
        <v>40.0</v>
      </c>
      <c r="P412" s="130"/>
    </row>
    <row r="413">
      <c r="C413" s="120"/>
      <c r="H413" s="20">
        <v>46.0</v>
      </c>
      <c r="J413" s="20">
        <v>0.45</v>
      </c>
      <c r="K413" s="20">
        <v>48.0</v>
      </c>
      <c r="P413" s="130"/>
    </row>
    <row r="414">
      <c r="C414" s="120"/>
      <c r="H414" s="20">
        <v>51.0</v>
      </c>
      <c r="J414" s="20">
        <v>0.47</v>
      </c>
      <c r="K414" s="20">
        <v>48.0</v>
      </c>
      <c r="P414" s="130"/>
    </row>
    <row r="415">
      <c r="C415" s="120"/>
      <c r="H415" s="20">
        <v>49.0</v>
      </c>
      <c r="J415" s="20">
        <v>0.45</v>
      </c>
      <c r="K415" s="20">
        <v>45.0</v>
      </c>
      <c r="P415" s="130"/>
    </row>
    <row r="416">
      <c r="C416" s="120"/>
      <c r="H416" s="20">
        <v>49.0</v>
      </c>
      <c r="J416" s="20">
        <v>0.47</v>
      </c>
      <c r="K416" s="20">
        <v>40.0</v>
      </c>
      <c r="P416" s="130"/>
    </row>
    <row r="417">
      <c r="C417" s="120"/>
      <c r="H417" s="20">
        <v>44.0</v>
      </c>
      <c r="J417" s="20">
        <v>0.46</v>
      </c>
      <c r="K417" s="20">
        <v>42.0</v>
      </c>
      <c r="P417" s="130"/>
    </row>
    <row r="418">
      <c r="C418" s="120"/>
      <c r="H418" s="20">
        <v>42.0</v>
      </c>
      <c r="J418" s="20">
        <v>0.47</v>
      </c>
      <c r="K418" s="20">
        <v>37.0</v>
      </c>
      <c r="P418" s="130"/>
    </row>
    <row r="419">
      <c r="C419" s="120"/>
      <c r="H419" s="20">
        <v>41.0</v>
      </c>
      <c r="J419" s="20">
        <v>0.47</v>
      </c>
      <c r="K419" s="20">
        <v>37.0</v>
      </c>
      <c r="P419" s="130"/>
    </row>
    <row r="420">
      <c r="C420" s="120"/>
      <c r="H420" s="20">
        <v>40.0</v>
      </c>
      <c r="J420" s="20">
        <v>0.51</v>
      </c>
      <c r="K420" s="20">
        <v>42.0</v>
      </c>
      <c r="P420" s="130"/>
    </row>
    <row r="421">
      <c r="C421" s="120"/>
      <c r="H421" s="20">
        <v>40.0</v>
      </c>
      <c r="J421" s="20">
        <v>0.46</v>
      </c>
      <c r="K421" s="20">
        <v>37.0</v>
      </c>
      <c r="P421" s="130"/>
    </row>
    <row r="422">
      <c r="C422" s="120"/>
      <c r="H422" s="20">
        <v>41.0</v>
      </c>
      <c r="J422" s="20">
        <v>0.48</v>
      </c>
      <c r="K422" s="20">
        <v>41.0</v>
      </c>
      <c r="P422" s="130"/>
    </row>
    <row r="423">
      <c r="C423" s="120"/>
      <c r="H423" s="20">
        <v>42.0</v>
      </c>
      <c r="J423" s="20">
        <v>0.47</v>
      </c>
      <c r="K423" s="20">
        <v>36.0</v>
      </c>
      <c r="P423" s="130"/>
    </row>
    <row r="424">
      <c r="C424" s="120"/>
      <c r="H424" s="20">
        <v>37.0</v>
      </c>
      <c r="J424" s="20">
        <v>0.46</v>
      </c>
      <c r="K424" s="20">
        <v>39.0</v>
      </c>
      <c r="P424" s="130"/>
    </row>
    <row r="425">
      <c r="C425" s="120"/>
      <c r="H425" s="20">
        <v>41.0</v>
      </c>
      <c r="J425" s="20">
        <v>0.47</v>
      </c>
      <c r="K425" s="20">
        <v>44.0</v>
      </c>
      <c r="P425" s="130"/>
    </row>
    <row r="426">
      <c r="C426" s="120"/>
      <c r="H426" s="20">
        <v>49.0</v>
      </c>
      <c r="J426" s="20">
        <v>0.46</v>
      </c>
      <c r="K426" s="20">
        <v>41.0</v>
      </c>
      <c r="P426" s="130"/>
    </row>
    <row r="427">
      <c r="C427" s="120"/>
      <c r="H427" s="20">
        <v>43.0</v>
      </c>
      <c r="J427" s="20">
        <v>0.48</v>
      </c>
      <c r="K427" s="20">
        <v>42.0</v>
      </c>
      <c r="P427" s="130"/>
    </row>
    <row r="428">
      <c r="C428" s="120"/>
      <c r="H428" s="20">
        <v>46.0</v>
      </c>
      <c r="J428" s="20">
        <v>0.45</v>
      </c>
      <c r="K428" s="20">
        <v>47.0</v>
      </c>
      <c r="P428" s="130"/>
    </row>
    <row r="429">
      <c r="C429" s="120"/>
      <c r="H429" s="20">
        <v>45.0</v>
      </c>
      <c r="J429" s="20">
        <v>0.48</v>
      </c>
      <c r="K429" s="20">
        <v>41.0</v>
      </c>
      <c r="P429" s="130"/>
    </row>
    <row r="430">
      <c r="C430" s="120"/>
      <c r="H430" s="20">
        <v>48.0</v>
      </c>
      <c r="J430" s="20">
        <v>0.47</v>
      </c>
      <c r="K430" s="20">
        <v>41.0</v>
      </c>
      <c r="P430" s="130"/>
    </row>
    <row r="431">
      <c r="C431" s="120"/>
      <c r="H431" s="20">
        <v>44.0</v>
      </c>
      <c r="J431" s="20">
        <v>0.47</v>
      </c>
      <c r="K431" s="20">
        <v>38.0</v>
      </c>
      <c r="P431" s="130"/>
    </row>
    <row r="432">
      <c r="C432" s="120"/>
      <c r="H432" s="20">
        <v>42.0</v>
      </c>
      <c r="J432" s="20">
        <v>0.46</v>
      </c>
      <c r="K432" s="20">
        <v>39.0</v>
      </c>
      <c r="P432" s="130"/>
    </row>
    <row r="433">
      <c r="C433" s="120"/>
      <c r="H433" s="20">
        <v>44.0</v>
      </c>
      <c r="J433" s="20">
        <v>0.48</v>
      </c>
      <c r="K433" s="20">
        <v>43.0</v>
      </c>
      <c r="P433" s="130"/>
    </row>
    <row r="434">
      <c r="C434" s="120"/>
      <c r="H434" s="20">
        <v>41.0</v>
      </c>
      <c r="J434" s="20">
        <v>0.48</v>
      </c>
      <c r="K434" s="20">
        <v>44.0</v>
      </c>
      <c r="P434" s="130"/>
    </row>
    <row r="435">
      <c r="C435" s="120"/>
      <c r="H435" s="20">
        <v>43.0</v>
      </c>
      <c r="J435" s="20">
        <v>0.45</v>
      </c>
      <c r="K435" s="20">
        <v>39.0</v>
      </c>
      <c r="P435" s="130"/>
    </row>
    <row r="436">
      <c r="C436" s="120"/>
      <c r="H436" s="20">
        <v>41.0</v>
      </c>
      <c r="J436" s="20">
        <v>0.45</v>
      </c>
      <c r="K436" s="20">
        <v>40.0</v>
      </c>
      <c r="P436" s="130"/>
    </row>
    <row r="437">
      <c r="C437" s="120"/>
      <c r="H437" s="20">
        <v>41.0</v>
      </c>
      <c r="J437" s="20">
        <v>0.44</v>
      </c>
      <c r="K437" s="20">
        <v>44.0</v>
      </c>
      <c r="P437" s="130"/>
    </row>
    <row r="438">
      <c r="C438" s="120"/>
      <c r="H438" s="20">
        <v>48.0</v>
      </c>
      <c r="J438" s="20">
        <v>0.46</v>
      </c>
      <c r="K438" s="20">
        <v>45.0</v>
      </c>
      <c r="P438" s="130"/>
    </row>
    <row r="439">
      <c r="C439" s="120"/>
      <c r="H439" s="20">
        <v>52.0</v>
      </c>
      <c r="J439" s="20">
        <v>0.5</v>
      </c>
      <c r="K439" s="20">
        <v>45.0</v>
      </c>
      <c r="P439" s="130"/>
    </row>
    <row r="440">
      <c r="C440" s="120"/>
      <c r="H440" s="20">
        <v>47.0</v>
      </c>
      <c r="J440" s="20">
        <v>0.46</v>
      </c>
      <c r="K440" s="20">
        <v>47.0</v>
      </c>
      <c r="P440" s="130"/>
    </row>
    <row r="441">
      <c r="C441" s="120"/>
      <c r="H441" s="20">
        <v>40.0</v>
      </c>
      <c r="J441" s="20">
        <v>0.46</v>
      </c>
      <c r="K441" s="20">
        <v>42.0</v>
      </c>
      <c r="P441" s="130"/>
    </row>
    <row r="442">
      <c r="C442" s="120"/>
      <c r="H442" s="20">
        <v>43.0</v>
      </c>
      <c r="J442" s="20">
        <v>0.47</v>
      </c>
      <c r="K442" s="20">
        <v>42.0</v>
      </c>
      <c r="P442" s="130"/>
    </row>
    <row r="443">
      <c r="C443" s="120"/>
      <c r="H443" s="20">
        <v>38.0</v>
      </c>
      <c r="J443" s="20">
        <v>0.48</v>
      </c>
      <c r="K443" s="20">
        <v>40.0</v>
      </c>
      <c r="P443" s="130"/>
    </row>
    <row r="444">
      <c r="C444" s="120"/>
      <c r="H444" s="20">
        <v>42.0</v>
      </c>
      <c r="J444" s="20">
        <v>0.46</v>
      </c>
      <c r="K444" s="20">
        <v>37.0</v>
      </c>
      <c r="P444" s="130"/>
    </row>
    <row r="445">
      <c r="C445" s="120"/>
      <c r="H445" s="20">
        <v>44.0</v>
      </c>
      <c r="J445" s="20">
        <v>0.5</v>
      </c>
      <c r="K445" s="20">
        <v>44.0</v>
      </c>
      <c r="P445" s="130"/>
    </row>
    <row r="446">
      <c r="C446" s="120"/>
      <c r="H446" s="20">
        <v>44.0</v>
      </c>
      <c r="J446" s="20">
        <v>0.48</v>
      </c>
      <c r="K446" s="20">
        <v>44.0</v>
      </c>
      <c r="P446" s="130"/>
    </row>
    <row r="447">
      <c r="C447" s="120"/>
      <c r="H447" s="20">
        <v>43.0</v>
      </c>
      <c r="J447" s="20">
        <v>0.46</v>
      </c>
      <c r="K447" s="20">
        <v>37.0</v>
      </c>
      <c r="P447" s="130"/>
    </row>
    <row r="448">
      <c r="C448" s="120"/>
      <c r="H448" s="20">
        <v>42.0</v>
      </c>
      <c r="J448" s="20">
        <v>0.47</v>
      </c>
      <c r="K448" s="20">
        <v>39.0</v>
      </c>
      <c r="P448" s="130"/>
    </row>
    <row r="449">
      <c r="C449" s="120"/>
      <c r="H449" s="20">
        <v>41.0</v>
      </c>
      <c r="J449" s="20">
        <v>0.48</v>
      </c>
      <c r="K449" s="20">
        <v>44.0</v>
      </c>
      <c r="P449" s="130"/>
    </row>
    <row r="450">
      <c r="C450" s="120"/>
      <c r="H450" s="20">
        <v>51.0</v>
      </c>
      <c r="J450" s="20">
        <v>0.5</v>
      </c>
      <c r="K450" s="20">
        <v>46.0</v>
      </c>
      <c r="P450" s="130"/>
    </row>
    <row r="451">
      <c r="C451" s="120"/>
      <c r="H451" s="20">
        <v>51.0</v>
      </c>
      <c r="J451" s="20">
        <v>0.49</v>
      </c>
      <c r="K451" s="20">
        <v>44.0</v>
      </c>
      <c r="P451" s="130"/>
    </row>
    <row r="452">
      <c r="C452" s="120"/>
      <c r="H452" s="20">
        <v>49.0</v>
      </c>
      <c r="J452" s="20">
        <v>0.47</v>
      </c>
      <c r="K452" s="20">
        <v>46.0</v>
      </c>
      <c r="P452" s="130"/>
    </row>
    <row r="453">
      <c r="C453" s="120"/>
      <c r="H453" s="20">
        <v>44.0</v>
      </c>
      <c r="J453" s="20">
        <v>0.53</v>
      </c>
      <c r="K453" s="20">
        <v>40.0</v>
      </c>
      <c r="P453" s="130"/>
    </row>
    <row r="454">
      <c r="C454" s="120"/>
      <c r="H454" s="20">
        <v>46.0</v>
      </c>
      <c r="J454" s="20">
        <v>0.53</v>
      </c>
      <c r="K454" s="20">
        <v>52.0</v>
      </c>
      <c r="P454" s="130"/>
    </row>
    <row r="455">
      <c r="C455" s="120"/>
      <c r="H455" s="20">
        <v>45.0</v>
      </c>
      <c r="J455" s="20">
        <v>0.54</v>
      </c>
      <c r="K455" s="20">
        <v>40.0</v>
      </c>
      <c r="P455" s="130"/>
    </row>
    <row r="456">
      <c r="C456" s="120"/>
      <c r="H456" s="20">
        <v>46.0</v>
      </c>
      <c r="J456" s="20">
        <v>0.52</v>
      </c>
      <c r="K456" s="20">
        <v>41.0</v>
      </c>
      <c r="P456" s="130"/>
    </row>
    <row r="457">
      <c r="C457" s="120"/>
      <c r="H457" s="20">
        <v>44.0</v>
      </c>
      <c r="J457" s="20">
        <v>0.5</v>
      </c>
      <c r="K457" s="20">
        <v>41.0</v>
      </c>
      <c r="P457" s="130"/>
    </row>
    <row r="458">
      <c r="C458" s="120"/>
      <c r="H458" s="20">
        <v>46.0</v>
      </c>
      <c r="J458" s="20">
        <v>0.52</v>
      </c>
      <c r="K458" s="20">
        <v>37.0</v>
      </c>
      <c r="P458" s="130"/>
    </row>
    <row r="459">
      <c r="C459" s="120"/>
      <c r="H459" s="20">
        <v>45.0</v>
      </c>
      <c r="J459" s="20">
        <v>0.52</v>
      </c>
      <c r="K459" s="20">
        <v>41.0</v>
      </c>
      <c r="P459" s="130"/>
    </row>
    <row r="460">
      <c r="C460" s="120"/>
      <c r="H460" s="20">
        <v>44.0</v>
      </c>
      <c r="J460" s="20">
        <v>0.59</v>
      </c>
      <c r="K460" s="20">
        <v>40.0</v>
      </c>
      <c r="P460" s="130"/>
    </row>
    <row r="461">
      <c r="C461" s="120"/>
      <c r="H461" s="20">
        <v>53.0</v>
      </c>
      <c r="J461" s="20">
        <v>0.53</v>
      </c>
      <c r="K461" s="20">
        <v>45.0</v>
      </c>
      <c r="P461" s="130"/>
    </row>
    <row r="462">
      <c r="C462" s="120"/>
      <c r="H462" s="20">
        <v>48.0</v>
      </c>
      <c r="J462" s="20">
        <v>0.32</v>
      </c>
      <c r="K462" s="20">
        <v>48.0</v>
      </c>
      <c r="P462" s="130"/>
    </row>
    <row r="463">
      <c r="C463" s="120"/>
      <c r="H463" s="20">
        <v>39.0</v>
      </c>
      <c r="J463" s="20">
        <v>0.43</v>
      </c>
      <c r="K463" s="20">
        <v>41.0</v>
      </c>
      <c r="P463" s="130"/>
    </row>
    <row r="464">
      <c r="C464" s="120"/>
      <c r="H464" s="20">
        <v>56.0</v>
      </c>
      <c r="J464" s="20">
        <v>0.5</v>
      </c>
      <c r="K464" s="20">
        <v>41.0</v>
      </c>
      <c r="P464" s="130"/>
    </row>
    <row r="465">
      <c r="C465" s="120"/>
      <c r="H465" s="20">
        <v>38.0</v>
      </c>
      <c r="J465" s="20">
        <v>0.45</v>
      </c>
      <c r="K465" s="20">
        <v>39.0</v>
      </c>
      <c r="P465" s="130"/>
    </row>
    <row r="466">
      <c r="C466" s="120"/>
      <c r="H466" s="20">
        <v>44.0</v>
      </c>
      <c r="J466" s="20">
        <v>0.53</v>
      </c>
      <c r="K466" s="20">
        <v>41.0</v>
      </c>
      <c r="P466" s="130"/>
    </row>
    <row r="467">
      <c r="C467" s="120"/>
      <c r="H467" s="20">
        <v>46.0</v>
      </c>
      <c r="J467" s="20">
        <v>0.57</v>
      </c>
      <c r="K467" s="20">
        <v>39.0</v>
      </c>
      <c r="P467" s="130"/>
    </row>
    <row r="468">
      <c r="C468" s="120"/>
      <c r="H468" s="20">
        <v>42.0</v>
      </c>
      <c r="J468" s="20">
        <v>0.58</v>
      </c>
      <c r="K468" s="20">
        <v>43.0</v>
      </c>
      <c r="P468" s="130"/>
    </row>
    <row r="469">
      <c r="C469" s="120"/>
      <c r="H469" s="20">
        <v>43.0</v>
      </c>
      <c r="J469" s="20">
        <v>0.49</v>
      </c>
      <c r="K469" s="20">
        <v>41.0</v>
      </c>
      <c r="P469" s="130"/>
    </row>
    <row r="470">
      <c r="C470" s="120"/>
      <c r="H470" s="20">
        <v>47.0</v>
      </c>
      <c r="J470" s="20">
        <v>0.58</v>
      </c>
      <c r="K470" s="20">
        <v>38.0</v>
      </c>
      <c r="P470" s="130"/>
    </row>
    <row r="471">
      <c r="C471" s="120"/>
      <c r="H471" s="20">
        <v>51.0</v>
      </c>
      <c r="J471" s="20">
        <v>0.54</v>
      </c>
      <c r="K471" s="20">
        <v>41.0</v>
      </c>
      <c r="P471" s="130"/>
    </row>
    <row r="472">
      <c r="C472" s="120"/>
      <c r="H472" s="20">
        <v>46.0</v>
      </c>
      <c r="J472" s="20">
        <v>0.48</v>
      </c>
      <c r="K472" s="20">
        <v>47.0</v>
      </c>
      <c r="P472" s="130"/>
    </row>
    <row r="473">
      <c r="C473" s="120"/>
      <c r="H473" s="20">
        <v>40.0</v>
      </c>
      <c r="J473" s="20">
        <v>0.5</v>
      </c>
      <c r="K473" s="20">
        <v>40.0</v>
      </c>
      <c r="P473" s="130"/>
    </row>
    <row r="474">
      <c r="C474" s="120"/>
      <c r="H474" s="20">
        <v>49.0</v>
      </c>
      <c r="J474" s="20">
        <v>0.48</v>
      </c>
      <c r="K474" s="20">
        <v>52.0</v>
      </c>
      <c r="P474" s="130"/>
    </row>
    <row r="475">
      <c r="C475" s="120"/>
      <c r="H475" s="20">
        <v>49.0</v>
      </c>
      <c r="J475" s="20">
        <v>0.51</v>
      </c>
      <c r="K475" s="20">
        <v>42.0</v>
      </c>
      <c r="P475" s="130"/>
    </row>
    <row r="476">
      <c r="C476" s="120"/>
      <c r="H476" s="20">
        <v>41.0</v>
      </c>
      <c r="J476" s="20">
        <v>0.58</v>
      </c>
      <c r="K476" s="20">
        <v>42.0</v>
      </c>
      <c r="P476" s="130"/>
    </row>
    <row r="477">
      <c r="C477" s="120"/>
      <c r="H477" s="20">
        <v>43.0</v>
      </c>
      <c r="J477" s="20">
        <v>0.57</v>
      </c>
      <c r="K477" s="20">
        <v>39.0</v>
      </c>
      <c r="P477" s="130"/>
    </row>
    <row r="478">
      <c r="C478" s="120"/>
      <c r="H478" s="20">
        <v>45.0</v>
      </c>
      <c r="J478" s="20">
        <v>0.54</v>
      </c>
      <c r="K478" s="20">
        <v>39.0</v>
      </c>
      <c r="P478" s="130"/>
    </row>
    <row r="479">
      <c r="C479" s="120"/>
      <c r="H479" s="20">
        <v>44.0</v>
      </c>
      <c r="J479" s="20">
        <v>0.48</v>
      </c>
      <c r="K479" s="20">
        <v>37.0</v>
      </c>
      <c r="P479" s="130"/>
    </row>
    <row r="480">
      <c r="C480" s="120"/>
      <c r="H480" s="20">
        <v>44.0</v>
      </c>
      <c r="J480" s="20">
        <v>0.47</v>
      </c>
      <c r="K480" s="20">
        <v>40.0</v>
      </c>
      <c r="P480" s="130"/>
    </row>
    <row r="481">
      <c r="C481" s="120"/>
      <c r="H481" s="20">
        <v>45.0</v>
      </c>
      <c r="J481" s="20">
        <v>0.54</v>
      </c>
      <c r="K481" s="20">
        <v>40.0</v>
      </c>
      <c r="P481" s="130"/>
    </row>
    <row r="482">
      <c r="C482" s="120"/>
      <c r="H482" s="20">
        <v>47.0</v>
      </c>
      <c r="J482" s="20">
        <v>0.53</v>
      </c>
      <c r="K482" s="20">
        <v>42.0</v>
      </c>
      <c r="P482" s="130"/>
    </row>
    <row r="483">
      <c r="C483" s="120"/>
      <c r="H483" s="20">
        <v>42.0</v>
      </c>
      <c r="J483" s="20">
        <v>0.56</v>
      </c>
      <c r="K483" s="20">
        <v>50.0</v>
      </c>
      <c r="P483" s="130"/>
    </row>
    <row r="484">
      <c r="C484" s="120"/>
      <c r="H484" s="20">
        <v>47.0</v>
      </c>
      <c r="J484" s="20">
        <v>0.57</v>
      </c>
      <c r="K484" s="20">
        <v>49.0</v>
      </c>
      <c r="P484" s="130"/>
    </row>
    <row r="485">
      <c r="C485" s="120"/>
      <c r="H485" s="20">
        <v>41.0</v>
      </c>
      <c r="J485" s="20">
        <v>0.54</v>
      </c>
      <c r="K485" s="20">
        <v>46.0</v>
      </c>
      <c r="P485" s="130"/>
    </row>
    <row r="486">
      <c r="C486" s="120"/>
      <c r="H486" s="20">
        <v>44.0</v>
      </c>
      <c r="J486" s="20">
        <v>0.48</v>
      </c>
      <c r="K486" s="20">
        <v>48.0</v>
      </c>
      <c r="P486" s="130"/>
    </row>
    <row r="487">
      <c r="C487" s="120"/>
      <c r="H487" s="20">
        <v>45.0</v>
      </c>
      <c r="J487" s="20">
        <v>0.44</v>
      </c>
      <c r="K487" s="20">
        <v>53.0</v>
      </c>
      <c r="P487" s="130"/>
    </row>
    <row r="488">
      <c r="C488" s="120"/>
      <c r="H488" s="20">
        <v>47.0</v>
      </c>
      <c r="J488" s="20">
        <v>0.48</v>
      </c>
      <c r="K488" s="20">
        <v>45.0</v>
      </c>
      <c r="P488" s="130"/>
    </row>
    <row r="489">
      <c r="C489" s="120"/>
      <c r="H489" s="20">
        <v>46.0</v>
      </c>
      <c r="J489" s="20">
        <v>0.49</v>
      </c>
      <c r="K489" s="20">
        <v>43.0</v>
      </c>
      <c r="P489" s="130"/>
    </row>
    <row r="490">
      <c r="C490" s="120"/>
      <c r="H490" s="20">
        <v>52.0</v>
      </c>
      <c r="J490" s="20">
        <v>0.61</v>
      </c>
      <c r="K490" s="20">
        <v>43.0</v>
      </c>
      <c r="P490" s="130"/>
    </row>
    <row r="491">
      <c r="C491" s="120"/>
      <c r="H491" s="20">
        <v>41.0</v>
      </c>
      <c r="J491" s="20">
        <v>0.55</v>
      </c>
      <c r="K491" s="20">
        <v>45.0</v>
      </c>
      <c r="P491" s="130"/>
    </row>
    <row r="492">
      <c r="C492" s="120"/>
      <c r="H492" s="20">
        <v>44.0</v>
      </c>
      <c r="J492" s="20">
        <v>0.54</v>
      </c>
      <c r="K492" s="20">
        <v>35.0</v>
      </c>
      <c r="P492" s="130"/>
    </row>
    <row r="493">
      <c r="C493" s="120"/>
      <c r="H493" s="20">
        <v>49.0</v>
      </c>
      <c r="J493" s="20">
        <v>0.48</v>
      </c>
      <c r="K493" s="20">
        <v>46.0</v>
      </c>
      <c r="P493" s="130"/>
    </row>
    <row r="494">
      <c r="C494" s="120"/>
      <c r="H494" s="20">
        <v>43.0</v>
      </c>
      <c r="J494" s="20">
        <v>0.49</v>
      </c>
      <c r="K494" s="20">
        <v>41.0</v>
      </c>
      <c r="P494" s="130"/>
    </row>
    <row r="495">
      <c r="C495" s="120"/>
      <c r="H495" s="20">
        <v>46.0</v>
      </c>
      <c r="J495" s="20">
        <v>0.6</v>
      </c>
      <c r="K495" s="20">
        <v>44.0</v>
      </c>
      <c r="P495" s="130"/>
    </row>
    <row r="496">
      <c r="C496" s="120"/>
      <c r="H496" s="20">
        <v>50.0</v>
      </c>
      <c r="J496" s="20">
        <v>0.56</v>
      </c>
      <c r="K496" s="20">
        <v>43.0</v>
      </c>
      <c r="P496" s="130"/>
    </row>
    <row r="497">
      <c r="C497" s="120"/>
      <c r="H497" s="20">
        <v>49.0</v>
      </c>
      <c r="J497" s="20">
        <v>0.47</v>
      </c>
      <c r="K497" s="20">
        <v>43.0</v>
      </c>
      <c r="P497" s="130"/>
    </row>
    <row r="498">
      <c r="C498" s="120"/>
      <c r="H498" s="20">
        <v>45.0</v>
      </c>
      <c r="J498" s="20">
        <v>0.53</v>
      </c>
      <c r="K498" s="20">
        <v>43.0</v>
      </c>
      <c r="P498" s="130"/>
    </row>
    <row r="499">
      <c r="C499" s="120"/>
      <c r="H499" s="20">
        <v>43.0</v>
      </c>
      <c r="J499" s="20">
        <v>0.54</v>
      </c>
      <c r="K499" s="20">
        <v>44.0</v>
      </c>
      <c r="P499" s="130"/>
    </row>
    <row r="500">
      <c r="C500" s="120"/>
      <c r="H500" s="20">
        <v>45.0</v>
      </c>
      <c r="J500" s="20">
        <v>0.46</v>
      </c>
      <c r="K500" s="20">
        <v>46.0</v>
      </c>
      <c r="P500" s="130"/>
    </row>
    <row r="501">
      <c r="C501" s="120"/>
      <c r="H501" s="20">
        <v>46.0</v>
      </c>
      <c r="J501" s="20">
        <v>0.54</v>
      </c>
      <c r="K501" s="20">
        <v>41.0</v>
      </c>
      <c r="P501" s="130"/>
    </row>
    <row r="502">
      <c r="C502" s="120"/>
      <c r="H502" s="20">
        <v>37.0</v>
      </c>
      <c r="J502" s="20">
        <v>0.46</v>
      </c>
      <c r="K502" s="20">
        <v>48.0</v>
      </c>
      <c r="P502" s="130"/>
    </row>
    <row r="503">
      <c r="C503" s="120"/>
      <c r="H503" s="20">
        <v>43.0</v>
      </c>
      <c r="J503" s="20">
        <v>0.57</v>
      </c>
      <c r="K503" s="20">
        <v>46.0</v>
      </c>
      <c r="P503" s="130"/>
    </row>
    <row r="504">
      <c r="C504" s="120"/>
      <c r="H504" s="20">
        <v>49.0</v>
      </c>
      <c r="J504" s="20">
        <v>0.55</v>
      </c>
      <c r="K504" s="20">
        <v>42.0</v>
      </c>
      <c r="P504" s="130"/>
    </row>
    <row r="505">
      <c r="C505" s="120"/>
      <c r="H505" s="20">
        <v>43.0</v>
      </c>
      <c r="J505" s="20">
        <v>0.53</v>
      </c>
      <c r="K505" s="20">
        <v>44.0</v>
      </c>
      <c r="P505" s="130"/>
    </row>
    <row r="506">
      <c r="C506" s="120"/>
      <c r="H506" s="20">
        <v>47.0</v>
      </c>
      <c r="J506" s="20">
        <v>0.5</v>
      </c>
      <c r="K506" s="20">
        <v>43.0</v>
      </c>
      <c r="P506" s="130"/>
    </row>
    <row r="507">
      <c r="C507" s="120"/>
      <c r="H507" s="20">
        <v>41.0</v>
      </c>
      <c r="J507" s="20">
        <v>0.53</v>
      </c>
      <c r="K507" s="20">
        <v>42.0</v>
      </c>
      <c r="P507" s="130"/>
    </row>
    <row r="508">
      <c r="C508" s="120"/>
      <c r="H508" s="20">
        <v>42.0</v>
      </c>
      <c r="J508" s="20">
        <v>0.49</v>
      </c>
      <c r="K508" s="20">
        <v>39.0</v>
      </c>
      <c r="P508" s="130"/>
    </row>
    <row r="509">
      <c r="C509" s="120"/>
      <c r="H509" s="20">
        <v>49.0</v>
      </c>
      <c r="J509" s="20">
        <v>0.44</v>
      </c>
      <c r="K509" s="20">
        <v>42.0</v>
      </c>
      <c r="P509" s="130"/>
    </row>
    <row r="510">
      <c r="C510" s="120"/>
      <c r="H510" s="20">
        <v>47.0</v>
      </c>
      <c r="J510" s="20">
        <v>0.47</v>
      </c>
      <c r="K510" s="20">
        <v>48.0</v>
      </c>
      <c r="P510" s="130"/>
    </row>
    <row r="511">
      <c r="C511" s="120"/>
      <c r="H511" s="20">
        <v>44.0</v>
      </c>
      <c r="J511" s="20">
        <v>0.6</v>
      </c>
      <c r="K511" s="20">
        <v>44.0</v>
      </c>
      <c r="P511" s="130"/>
    </row>
    <row r="512">
      <c r="C512" s="120"/>
      <c r="H512" s="20">
        <v>54.0</v>
      </c>
      <c r="J512" s="20">
        <v>0.53</v>
      </c>
      <c r="K512" s="20">
        <v>40.0</v>
      </c>
      <c r="P512" s="130"/>
    </row>
    <row r="513">
      <c r="C513" s="120"/>
      <c r="H513" s="20">
        <v>46.0</v>
      </c>
      <c r="J513" s="20">
        <v>0.52</v>
      </c>
      <c r="K513" s="20">
        <v>43.0</v>
      </c>
      <c r="P513" s="130"/>
    </row>
    <row r="514">
      <c r="C514" s="120"/>
      <c r="H514" s="20">
        <v>47.0</v>
      </c>
      <c r="J514" s="20">
        <v>0.41</v>
      </c>
      <c r="K514" s="20">
        <v>45.0</v>
      </c>
      <c r="P514" s="130"/>
    </row>
    <row r="515">
      <c r="C515" s="120"/>
      <c r="H515" s="20">
        <v>48.0</v>
      </c>
      <c r="J515" s="20">
        <v>0.47</v>
      </c>
      <c r="K515" s="20">
        <v>40.0</v>
      </c>
      <c r="P515" s="130"/>
    </row>
    <row r="516">
      <c r="C516" s="120"/>
      <c r="H516" s="20">
        <v>48.0</v>
      </c>
      <c r="J516" s="20">
        <v>0.5</v>
      </c>
      <c r="K516" s="20">
        <v>43.0</v>
      </c>
      <c r="P516" s="130"/>
    </row>
    <row r="517">
      <c r="C517" s="120"/>
      <c r="H517" s="20">
        <v>49.0</v>
      </c>
      <c r="J517" s="20">
        <v>0.51</v>
      </c>
      <c r="K517" s="20">
        <v>47.0</v>
      </c>
      <c r="P517" s="130"/>
    </row>
    <row r="518">
      <c r="C518" s="120"/>
      <c r="H518" s="20">
        <v>46.0</v>
      </c>
      <c r="J518" s="20">
        <v>0.5</v>
      </c>
      <c r="K518" s="20">
        <v>47.0</v>
      </c>
      <c r="P518" s="130"/>
    </row>
    <row r="519">
      <c r="C519" s="120"/>
      <c r="H519" s="20">
        <v>41.0</v>
      </c>
      <c r="J519" s="20">
        <v>0.47</v>
      </c>
      <c r="K519" s="20">
        <v>46.0</v>
      </c>
      <c r="P519" s="130"/>
    </row>
    <row r="520">
      <c r="C520" s="120"/>
      <c r="H520" s="20">
        <v>44.0</v>
      </c>
      <c r="J520" s="20">
        <v>0.52</v>
      </c>
      <c r="K520" s="20">
        <v>39.0</v>
      </c>
      <c r="P520" s="130"/>
    </row>
    <row r="521">
      <c r="C521" s="120"/>
      <c r="H521" s="20">
        <v>39.0</v>
      </c>
      <c r="J521" s="20">
        <v>0.53</v>
      </c>
      <c r="K521" s="20">
        <v>48.0</v>
      </c>
      <c r="P521" s="130"/>
    </row>
    <row r="522">
      <c r="C522" s="120"/>
      <c r="H522" s="20">
        <v>41.0</v>
      </c>
      <c r="J522" s="20">
        <v>0.52</v>
      </c>
      <c r="K522" s="20">
        <v>50.0</v>
      </c>
      <c r="P522" s="130"/>
    </row>
    <row r="523">
      <c r="C523" s="120"/>
      <c r="H523" s="20">
        <v>45.0</v>
      </c>
      <c r="J523" s="20">
        <v>0.48</v>
      </c>
      <c r="K523" s="20">
        <v>48.0</v>
      </c>
      <c r="P523" s="130"/>
    </row>
    <row r="524">
      <c r="C524" s="120"/>
      <c r="H524" s="20">
        <v>41.0</v>
      </c>
      <c r="J524" s="20">
        <v>0.51</v>
      </c>
      <c r="K524" s="20">
        <v>37.0</v>
      </c>
      <c r="P524" s="130"/>
    </row>
    <row r="525">
      <c r="C525" s="120"/>
      <c r="H525" s="20">
        <v>41.0</v>
      </c>
      <c r="J525" s="20">
        <v>0.53</v>
      </c>
      <c r="K525" s="20">
        <v>39.0</v>
      </c>
      <c r="P525" s="130"/>
    </row>
    <row r="526">
      <c r="C526" s="120"/>
      <c r="H526" s="20">
        <v>46.0</v>
      </c>
      <c r="J526" s="20">
        <v>0.53</v>
      </c>
      <c r="K526" s="20">
        <v>43.0</v>
      </c>
      <c r="P526" s="130"/>
    </row>
    <row r="527">
      <c r="C527" s="120"/>
      <c r="H527" s="20">
        <v>46.0</v>
      </c>
      <c r="J527" s="20">
        <v>0.53</v>
      </c>
      <c r="K527" s="20">
        <v>45.0</v>
      </c>
      <c r="P527" s="130"/>
    </row>
    <row r="528">
      <c r="C528" s="120"/>
      <c r="H528" s="20">
        <v>43.0</v>
      </c>
      <c r="J528" s="20">
        <v>0.47</v>
      </c>
      <c r="K528" s="20">
        <v>41.0</v>
      </c>
      <c r="P528" s="130"/>
    </row>
    <row r="529">
      <c r="C529" s="120"/>
      <c r="H529" s="20">
        <v>40.0</v>
      </c>
      <c r="J529" s="20">
        <v>0.49</v>
      </c>
      <c r="K529" s="20">
        <v>43.0</v>
      </c>
      <c r="P529" s="130"/>
    </row>
    <row r="530">
      <c r="C530" s="120"/>
      <c r="H530" s="20">
        <v>47.0</v>
      </c>
      <c r="J530" s="20">
        <v>0.54</v>
      </c>
      <c r="K530" s="20">
        <v>48.0</v>
      </c>
      <c r="P530" s="130"/>
    </row>
    <row r="531">
      <c r="C531" s="120"/>
      <c r="H531" s="20">
        <v>48.0</v>
      </c>
      <c r="J531" s="20">
        <v>0.52</v>
      </c>
      <c r="K531" s="20">
        <v>43.0</v>
      </c>
      <c r="P531" s="130"/>
    </row>
    <row r="532">
      <c r="C532" s="120"/>
      <c r="H532" s="20">
        <v>41.0</v>
      </c>
      <c r="J532" s="20">
        <v>0.51</v>
      </c>
      <c r="K532" s="20">
        <v>43.0</v>
      </c>
      <c r="P532" s="130"/>
    </row>
    <row r="533">
      <c r="C533" s="120"/>
      <c r="H533" s="20">
        <v>46.0</v>
      </c>
      <c r="J533" s="20">
        <v>0.48</v>
      </c>
      <c r="K533" s="20">
        <v>48.0</v>
      </c>
      <c r="P533" s="130"/>
    </row>
    <row r="534">
      <c r="C534" s="120"/>
      <c r="H534" s="20">
        <v>44.0</v>
      </c>
      <c r="J534" s="20">
        <v>0.53</v>
      </c>
      <c r="K534" s="20">
        <v>48.0</v>
      </c>
      <c r="P534" s="130"/>
    </row>
    <row r="535">
      <c r="C535" s="120"/>
      <c r="H535" s="20">
        <v>43.0</v>
      </c>
      <c r="J535" s="20">
        <v>0.55</v>
      </c>
      <c r="K535" s="20">
        <v>42.0</v>
      </c>
      <c r="P535" s="130"/>
    </row>
    <row r="536">
      <c r="C536" s="120"/>
      <c r="H536" s="20">
        <v>48.0</v>
      </c>
      <c r="J536" s="20">
        <v>0.5</v>
      </c>
      <c r="K536" s="20">
        <v>41.0</v>
      </c>
      <c r="P536" s="130"/>
    </row>
    <row r="537">
      <c r="C537" s="120"/>
      <c r="H537" s="20">
        <v>44.0</v>
      </c>
      <c r="J537" s="20">
        <v>0.47</v>
      </c>
      <c r="K537" s="20">
        <v>45.0</v>
      </c>
      <c r="P537" s="130"/>
    </row>
    <row r="538">
      <c r="C538" s="120"/>
      <c r="H538" s="20">
        <v>43.0</v>
      </c>
      <c r="J538" s="20">
        <v>0.53</v>
      </c>
      <c r="K538" s="20">
        <v>43.0</v>
      </c>
      <c r="P538" s="130"/>
    </row>
    <row r="539">
      <c r="C539" s="120"/>
      <c r="H539" s="20">
        <v>45.0</v>
      </c>
      <c r="J539" s="20">
        <v>0.52</v>
      </c>
      <c r="K539" s="20">
        <v>45.0</v>
      </c>
      <c r="P539" s="130"/>
    </row>
    <row r="540">
      <c r="C540" s="120"/>
      <c r="H540" s="20">
        <v>50.0</v>
      </c>
      <c r="J540" s="20">
        <v>0.54</v>
      </c>
      <c r="K540" s="20">
        <v>44.0</v>
      </c>
      <c r="P540" s="130"/>
    </row>
    <row r="541">
      <c r="C541" s="120"/>
      <c r="H541" s="20">
        <v>46.0</v>
      </c>
      <c r="J541" s="20">
        <v>0.59</v>
      </c>
      <c r="K541" s="20">
        <v>44.0</v>
      </c>
      <c r="P541" s="130"/>
    </row>
    <row r="542">
      <c r="C542" s="120"/>
      <c r="H542" s="20">
        <v>40.0</v>
      </c>
      <c r="J542" s="20">
        <v>0.54</v>
      </c>
      <c r="K542" s="20">
        <v>41.0</v>
      </c>
      <c r="P542" s="130"/>
    </row>
    <row r="543">
      <c r="C543" s="120"/>
      <c r="H543" s="20">
        <v>41.0</v>
      </c>
      <c r="J543" s="20">
        <v>0.52</v>
      </c>
      <c r="K543" s="20">
        <v>53.0</v>
      </c>
      <c r="P543" s="130"/>
    </row>
    <row r="544">
      <c r="C544" s="120"/>
      <c r="H544" s="20">
        <v>41.0</v>
      </c>
      <c r="J544" s="20">
        <v>0.55</v>
      </c>
      <c r="K544" s="20">
        <v>40.0</v>
      </c>
      <c r="P544" s="130"/>
    </row>
    <row r="545">
      <c r="C545" s="120"/>
      <c r="H545" s="20">
        <v>46.0</v>
      </c>
      <c r="J545" s="20">
        <v>0.5</v>
      </c>
      <c r="K545" s="20">
        <v>43.0</v>
      </c>
      <c r="P545" s="130"/>
    </row>
    <row r="546">
      <c r="C546" s="120"/>
      <c r="H546" s="20">
        <v>40.0</v>
      </c>
      <c r="J546" s="20">
        <v>0.51</v>
      </c>
      <c r="K546" s="20">
        <v>41.0</v>
      </c>
      <c r="P546" s="130"/>
    </row>
    <row r="547">
      <c r="C547" s="120"/>
      <c r="H547" s="20">
        <v>46.0</v>
      </c>
      <c r="J547" s="20">
        <v>0.5</v>
      </c>
      <c r="K547" s="20">
        <v>43.0</v>
      </c>
      <c r="P547" s="130"/>
    </row>
    <row r="548">
      <c r="C548" s="120"/>
      <c r="H548" s="20">
        <v>46.0</v>
      </c>
      <c r="J548" s="20">
        <v>0.57</v>
      </c>
      <c r="K548" s="20">
        <v>42.0</v>
      </c>
      <c r="P548" s="130"/>
    </row>
    <row r="549">
      <c r="C549" s="120"/>
      <c r="H549" s="20">
        <v>48.0</v>
      </c>
      <c r="J549" s="20">
        <v>0.5</v>
      </c>
      <c r="K549" s="20">
        <v>43.0</v>
      </c>
      <c r="P549" s="130"/>
    </row>
    <row r="550">
      <c r="C550" s="120"/>
      <c r="H550" s="20">
        <v>47.0</v>
      </c>
      <c r="J550" s="20">
        <v>0.54</v>
      </c>
      <c r="K550" s="20">
        <v>39.0</v>
      </c>
      <c r="P550" s="130"/>
    </row>
    <row r="551">
      <c r="C551" s="120"/>
      <c r="H551" s="20">
        <v>43.0</v>
      </c>
      <c r="J551" s="20">
        <v>0.46</v>
      </c>
      <c r="K551" s="20">
        <v>44.0</v>
      </c>
      <c r="P551" s="130"/>
    </row>
    <row r="552">
      <c r="C552" s="120"/>
      <c r="H552" s="20">
        <v>46.0</v>
      </c>
      <c r="J552" s="20">
        <v>0.53</v>
      </c>
      <c r="K552" s="20">
        <v>42.0</v>
      </c>
      <c r="P552" s="130"/>
    </row>
    <row r="553">
      <c r="C553" s="120"/>
      <c r="H553" s="20">
        <v>47.0</v>
      </c>
      <c r="J553" s="20">
        <v>0.49</v>
      </c>
      <c r="K553" s="20">
        <v>46.0</v>
      </c>
      <c r="P553" s="130"/>
    </row>
    <row r="554">
      <c r="C554" s="120"/>
      <c r="H554" s="20">
        <v>44.0</v>
      </c>
      <c r="J554" s="20">
        <v>0.49</v>
      </c>
      <c r="K554" s="20">
        <v>43.0</v>
      </c>
      <c r="P554" s="130"/>
    </row>
    <row r="555">
      <c r="C555" s="120"/>
      <c r="H555" s="20">
        <v>48.0</v>
      </c>
      <c r="J555" s="20">
        <v>0.51</v>
      </c>
      <c r="K555" s="20">
        <v>43.0</v>
      </c>
      <c r="P555" s="130"/>
    </row>
    <row r="556">
      <c r="C556" s="120"/>
      <c r="H556" s="20">
        <v>45.0</v>
      </c>
      <c r="J556" s="20">
        <v>0.48</v>
      </c>
      <c r="K556" s="20">
        <v>39.0</v>
      </c>
      <c r="P556" s="130"/>
    </row>
    <row r="557">
      <c r="C557" s="120"/>
      <c r="H557" s="20">
        <v>43.0</v>
      </c>
      <c r="J557" s="20">
        <v>0.48</v>
      </c>
      <c r="K557" s="20">
        <v>48.0</v>
      </c>
      <c r="P557" s="130"/>
    </row>
    <row r="558">
      <c r="C558" s="120"/>
      <c r="H558" s="20">
        <v>43.0</v>
      </c>
      <c r="J558" s="20">
        <v>0.47</v>
      </c>
      <c r="K558" s="20">
        <v>41.0</v>
      </c>
      <c r="P558" s="130"/>
    </row>
    <row r="559">
      <c r="C559" s="120"/>
      <c r="H559" s="20">
        <v>43.0</v>
      </c>
      <c r="J559" s="20">
        <v>0.53</v>
      </c>
      <c r="K559" s="20">
        <v>42.0</v>
      </c>
      <c r="P559" s="130"/>
    </row>
    <row r="560">
      <c r="C560" s="120"/>
      <c r="H560" s="20">
        <v>47.0</v>
      </c>
      <c r="J560" s="20">
        <v>0.44</v>
      </c>
      <c r="K560" s="20">
        <v>43.0</v>
      </c>
      <c r="P560" s="130"/>
    </row>
    <row r="561">
      <c r="C561" s="120"/>
      <c r="H561" s="20">
        <v>47.0</v>
      </c>
      <c r="J561" s="20">
        <v>0.49</v>
      </c>
      <c r="K561" s="20">
        <v>44.0</v>
      </c>
      <c r="P561" s="130"/>
    </row>
    <row r="562">
      <c r="C562" s="120"/>
      <c r="H562" s="20">
        <v>50.0</v>
      </c>
      <c r="J562" s="20">
        <v>0.46</v>
      </c>
      <c r="K562" s="20">
        <v>49.0</v>
      </c>
      <c r="P562" s="130"/>
    </row>
    <row r="563">
      <c r="C563" s="120"/>
      <c r="H563" s="20">
        <v>47.0</v>
      </c>
      <c r="J563" s="20">
        <v>0.51</v>
      </c>
      <c r="K563" s="20">
        <v>44.0</v>
      </c>
      <c r="P563" s="130"/>
    </row>
    <row r="564">
      <c r="C564" s="120"/>
      <c r="H564" s="20">
        <v>47.0</v>
      </c>
      <c r="J564" s="20">
        <v>0.48</v>
      </c>
      <c r="K564" s="20">
        <v>44.0</v>
      </c>
      <c r="P564" s="130"/>
    </row>
    <row r="565">
      <c r="C565" s="120"/>
      <c r="H565" s="20">
        <v>48.0</v>
      </c>
      <c r="J565" s="20">
        <v>0.53</v>
      </c>
      <c r="K565" s="20">
        <v>47.0</v>
      </c>
      <c r="P565" s="130"/>
    </row>
    <row r="566">
      <c r="C566" s="120"/>
      <c r="H566" s="20">
        <v>47.0</v>
      </c>
      <c r="J566" s="20">
        <v>0.49</v>
      </c>
      <c r="K566" s="20">
        <v>45.0</v>
      </c>
      <c r="P566" s="130"/>
    </row>
    <row r="567">
      <c r="C567" s="120"/>
      <c r="H567" s="20">
        <v>44.0</v>
      </c>
      <c r="J567" s="20">
        <v>0.44</v>
      </c>
      <c r="K567" s="20">
        <v>44.0</v>
      </c>
      <c r="P567" s="130"/>
    </row>
    <row r="568">
      <c r="C568" s="120"/>
      <c r="H568" s="20">
        <v>48.0</v>
      </c>
      <c r="J568" s="20">
        <v>0.45</v>
      </c>
      <c r="K568" s="20">
        <v>41.0</v>
      </c>
      <c r="P568" s="130"/>
    </row>
    <row r="569">
      <c r="C569" s="120"/>
      <c r="H569" s="20">
        <v>40.0</v>
      </c>
      <c r="J569" s="20">
        <v>0.53</v>
      </c>
      <c r="K569" s="20">
        <v>41.0</v>
      </c>
      <c r="P569" s="130"/>
    </row>
    <row r="570">
      <c r="C570" s="120"/>
      <c r="H570" s="20">
        <v>42.0</v>
      </c>
      <c r="J570" s="20">
        <v>0.48</v>
      </c>
      <c r="K570" s="20">
        <v>54.0</v>
      </c>
      <c r="P570" s="130"/>
    </row>
    <row r="571">
      <c r="C571" s="120"/>
      <c r="H571" s="20">
        <v>50.0</v>
      </c>
      <c r="J571" s="20">
        <v>0.5</v>
      </c>
      <c r="K571" s="20">
        <v>44.0</v>
      </c>
      <c r="P571" s="130"/>
    </row>
    <row r="572">
      <c r="C572" s="120"/>
      <c r="H572" s="20">
        <v>49.0</v>
      </c>
      <c r="J572" s="20">
        <v>0.57</v>
      </c>
      <c r="K572" s="20">
        <v>41.0</v>
      </c>
      <c r="P572" s="130"/>
    </row>
    <row r="573">
      <c r="C573" s="120"/>
      <c r="H573" s="20">
        <v>49.0</v>
      </c>
      <c r="J573" s="20">
        <v>0.51</v>
      </c>
      <c r="K573" s="20">
        <v>53.0</v>
      </c>
      <c r="P573" s="130"/>
    </row>
    <row r="574">
      <c r="C574" s="120"/>
      <c r="H574" s="20">
        <v>43.0</v>
      </c>
      <c r="J574" s="20">
        <v>0.48</v>
      </c>
      <c r="K574" s="20">
        <v>45.0</v>
      </c>
      <c r="P574" s="130"/>
    </row>
    <row r="575">
      <c r="C575" s="120"/>
      <c r="H575" s="20">
        <v>47.0</v>
      </c>
      <c r="J575" s="20">
        <v>0.48</v>
      </c>
      <c r="K575" s="20">
        <v>48.0</v>
      </c>
      <c r="P575" s="130"/>
    </row>
    <row r="576">
      <c r="C576" s="120"/>
      <c r="H576" s="20">
        <v>50.0</v>
      </c>
      <c r="J576" s="20">
        <v>0.51</v>
      </c>
      <c r="K576" s="20">
        <v>44.0</v>
      </c>
      <c r="P576" s="130"/>
    </row>
    <row r="577">
      <c r="C577" s="120"/>
      <c r="H577" s="20">
        <v>46.0</v>
      </c>
      <c r="J577" s="20">
        <v>0.49</v>
      </c>
      <c r="K577" s="20">
        <v>48.0</v>
      </c>
      <c r="P577" s="130"/>
    </row>
    <row r="578">
      <c r="C578" s="120"/>
      <c r="H578" s="20">
        <v>45.0</v>
      </c>
      <c r="J578" s="20">
        <v>0.51</v>
      </c>
      <c r="K578" s="20">
        <v>41.0</v>
      </c>
      <c r="P578" s="130"/>
    </row>
    <row r="579">
      <c r="C579" s="120"/>
      <c r="H579" s="20">
        <v>45.0</v>
      </c>
      <c r="J579" s="20">
        <v>0.5</v>
      </c>
      <c r="K579" s="20">
        <v>43.0</v>
      </c>
      <c r="P579" s="130"/>
    </row>
    <row r="580">
      <c r="C580" s="120"/>
      <c r="H580" s="20">
        <v>42.0</v>
      </c>
      <c r="J580" s="20">
        <v>0.52</v>
      </c>
      <c r="K580" s="20">
        <v>41.0</v>
      </c>
      <c r="P580" s="130"/>
    </row>
    <row r="581">
      <c r="C581" s="120"/>
      <c r="H581" s="20">
        <v>46.0</v>
      </c>
      <c r="J581" s="20">
        <v>0.54</v>
      </c>
      <c r="K581" s="20">
        <v>51.0</v>
      </c>
      <c r="P581" s="130"/>
    </row>
    <row r="582">
      <c r="C582" s="120"/>
      <c r="H582" s="20">
        <v>44.0</v>
      </c>
      <c r="J582" s="20">
        <v>0.5</v>
      </c>
      <c r="K582" s="20">
        <v>44.0</v>
      </c>
      <c r="P582" s="130"/>
    </row>
    <row r="583">
      <c r="C583" s="120"/>
      <c r="H583" s="20">
        <v>50.0</v>
      </c>
      <c r="J583" s="20">
        <v>0.49</v>
      </c>
      <c r="K583" s="20">
        <v>45.0</v>
      </c>
      <c r="P583" s="130"/>
    </row>
    <row r="584">
      <c r="C584" s="120"/>
      <c r="H584" s="20">
        <v>46.0</v>
      </c>
      <c r="J584" s="20">
        <v>0.53</v>
      </c>
      <c r="K584" s="20">
        <v>47.0</v>
      </c>
      <c r="P584" s="130"/>
    </row>
    <row r="585">
      <c r="C585" s="120"/>
      <c r="H585" s="20">
        <v>48.0</v>
      </c>
      <c r="J585" s="20">
        <v>0.51</v>
      </c>
      <c r="K585" s="20">
        <v>51.0</v>
      </c>
      <c r="P585" s="130"/>
    </row>
    <row r="586">
      <c r="C586" s="120"/>
      <c r="H586" s="20">
        <v>45.0</v>
      </c>
      <c r="J586" s="20">
        <v>0.53</v>
      </c>
      <c r="K586" s="20">
        <v>47.0</v>
      </c>
      <c r="P586" s="130"/>
    </row>
    <row r="587">
      <c r="C587" s="120"/>
      <c r="H587" s="20">
        <v>49.0</v>
      </c>
      <c r="J587" s="20">
        <v>0.49</v>
      </c>
      <c r="K587" s="20">
        <v>45.0</v>
      </c>
      <c r="P587" s="130"/>
    </row>
    <row r="588">
      <c r="C588" s="120"/>
      <c r="H588" s="20">
        <v>46.0</v>
      </c>
      <c r="J588" s="20">
        <v>0.47</v>
      </c>
      <c r="K588" s="20">
        <v>42.0</v>
      </c>
      <c r="P588" s="130"/>
    </row>
    <row r="589">
      <c r="C589" s="120"/>
      <c r="H589" s="20">
        <v>48.0</v>
      </c>
      <c r="J589" s="20">
        <v>0.54</v>
      </c>
      <c r="K589" s="20">
        <v>42.0</v>
      </c>
      <c r="P589" s="130"/>
    </row>
    <row r="590">
      <c r="C590" s="120"/>
      <c r="H590" s="20">
        <v>47.0</v>
      </c>
      <c r="J590" s="20">
        <v>0.48</v>
      </c>
      <c r="K590" s="20">
        <v>43.0</v>
      </c>
      <c r="P590" s="130"/>
    </row>
    <row r="591">
      <c r="C591" s="120"/>
      <c r="H591" s="20">
        <v>48.0</v>
      </c>
      <c r="J591" s="20">
        <v>0.53</v>
      </c>
      <c r="K591" s="20">
        <v>46.0</v>
      </c>
      <c r="P591" s="130"/>
    </row>
    <row r="592">
      <c r="C592" s="120"/>
      <c r="H592" s="20">
        <v>44.0</v>
      </c>
      <c r="J592" s="20">
        <v>0.57</v>
      </c>
      <c r="K592" s="20">
        <v>38.0</v>
      </c>
      <c r="P592" s="130"/>
    </row>
    <row r="593">
      <c r="C593" s="120"/>
      <c r="H593" s="20">
        <v>46.0</v>
      </c>
      <c r="J593" s="20">
        <v>0.48</v>
      </c>
      <c r="K593" s="20">
        <v>45.0</v>
      </c>
      <c r="P593" s="130"/>
    </row>
    <row r="594">
      <c r="C594" s="120"/>
      <c r="H594" s="20">
        <v>40.0</v>
      </c>
      <c r="J594" s="20">
        <v>0.53</v>
      </c>
      <c r="K594" s="20">
        <v>46.0</v>
      </c>
      <c r="P594" s="130"/>
    </row>
    <row r="595">
      <c r="C595" s="120"/>
      <c r="H595" s="20">
        <v>47.0</v>
      </c>
      <c r="J595" s="20">
        <v>0.59</v>
      </c>
      <c r="K595" s="20">
        <v>40.0</v>
      </c>
      <c r="P595" s="130"/>
    </row>
    <row r="596">
      <c r="C596" s="120"/>
      <c r="H596" s="20">
        <v>48.0</v>
      </c>
      <c r="J596" s="20">
        <v>0.62</v>
      </c>
      <c r="K596" s="20">
        <v>41.0</v>
      </c>
      <c r="P596" s="130"/>
    </row>
    <row r="597">
      <c r="C597" s="120"/>
      <c r="H597" s="20">
        <v>47.0</v>
      </c>
      <c r="J597" s="20">
        <v>0.57</v>
      </c>
      <c r="K597" s="20">
        <v>46.0</v>
      </c>
      <c r="P597" s="130"/>
    </row>
    <row r="598">
      <c r="C598" s="120"/>
      <c r="H598" s="20">
        <v>42.0</v>
      </c>
      <c r="J598" s="20">
        <v>0.5</v>
      </c>
      <c r="K598" s="20">
        <v>51.0</v>
      </c>
      <c r="P598" s="130"/>
    </row>
    <row r="599">
      <c r="C599" s="120"/>
      <c r="H599" s="20">
        <v>43.0</v>
      </c>
      <c r="J599" s="20">
        <v>0.5</v>
      </c>
      <c r="K599" s="20">
        <v>38.0</v>
      </c>
      <c r="P599" s="130"/>
    </row>
    <row r="600">
      <c r="C600" s="120"/>
      <c r="H600" s="20">
        <v>51.0</v>
      </c>
      <c r="J600" s="20">
        <v>0.56</v>
      </c>
      <c r="K600" s="20">
        <v>44.0</v>
      </c>
      <c r="P600" s="130"/>
    </row>
    <row r="601">
      <c r="C601" s="120"/>
      <c r="H601" s="20">
        <v>44.0</v>
      </c>
      <c r="J601" s="20">
        <v>0.6</v>
      </c>
      <c r="K601" s="20">
        <v>40.0</v>
      </c>
      <c r="P601" s="130"/>
    </row>
    <row r="602">
      <c r="C602" s="120"/>
      <c r="H602" s="20">
        <v>42.0</v>
      </c>
      <c r="J602" s="20">
        <v>0.44</v>
      </c>
      <c r="K602" s="20">
        <v>42.0</v>
      </c>
      <c r="P602" s="130"/>
    </row>
    <row r="603">
      <c r="C603" s="120"/>
      <c r="H603" s="20">
        <v>41.0</v>
      </c>
      <c r="J603" s="20">
        <v>0.52</v>
      </c>
      <c r="K603" s="20">
        <v>43.0</v>
      </c>
      <c r="P603" s="130"/>
    </row>
    <row r="604">
      <c r="C604" s="120"/>
      <c r="H604" s="20">
        <v>42.0</v>
      </c>
      <c r="J604" s="20">
        <v>0.53</v>
      </c>
      <c r="K604" s="20">
        <v>42.0</v>
      </c>
      <c r="P604" s="130"/>
    </row>
    <row r="605">
      <c r="C605" s="120"/>
      <c r="H605" s="20">
        <v>45.0</v>
      </c>
      <c r="J605" s="20">
        <v>0.51</v>
      </c>
      <c r="K605" s="20">
        <v>43.0</v>
      </c>
      <c r="P605" s="130"/>
    </row>
    <row r="606">
      <c r="C606" s="120"/>
      <c r="H606" s="20">
        <v>43.0</v>
      </c>
      <c r="J606" s="20">
        <v>0.54</v>
      </c>
      <c r="K606" s="20">
        <v>42.0</v>
      </c>
      <c r="P606" s="130"/>
    </row>
    <row r="607">
      <c r="C607" s="120"/>
      <c r="H607" s="20">
        <v>47.0</v>
      </c>
      <c r="J607" s="20">
        <v>0.49</v>
      </c>
      <c r="K607" s="20">
        <v>40.0</v>
      </c>
      <c r="P607" s="130"/>
    </row>
    <row r="608">
      <c r="C608" s="120"/>
      <c r="H608" s="20">
        <v>45.0</v>
      </c>
      <c r="J608" s="20">
        <v>0.51</v>
      </c>
      <c r="K608" s="20">
        <v>42.0</v>
      </c>
      <c r="P608" s="130"/>
    </row>
    <row r="609">
      <c r="C609" s="120"/>
      <c r="H609" s="20">
        <v>43.0</v>
      </c>
      <c r="J609" s="20">
        <v>0.55</v>
      </c>
      <c r="K609" s="20">
        <v>38.0</v>
      </c>
      <c r="P609" s="130"/>
    </row>
    <row r="610">
      <c r="C610" s="120"/>
      <c r="H610" s="20">
        <v>41.0</v>
      </c>
      <c r="J610" s="20">
        <v>0.57</v>
      </c>
      <c r="K610" s="20">
        <v>42.0</v>
      </c>
      <c r="P610" s="130"/>
    </row>
    <row r="611">
      <c r="C611" s="120"/>
      <c r="H611" s="20">
        <v>49.0</v>
      </c>
      <c r="J611" s="20">
        <v>0.61</v>
      </c>
      <c r="K611" s="20">
        <v>42.0</v>
      </c>
      <c r="P611" s="130"/>
    </row>
    <row r="612">
      <c r="C612" s="120"/>
      <c r="H612" s="20">
        <v>44.0</v>
      </c>
      <c r="J612" s="20">
        <v>0.53</v>
      </c>
      <c r="K612" s="20">
        <v>43.0</v>
      </c>
      <c r="P612" s="130"/>
    </row>
    <row r="613">
      <c r="C613" s="120"/>
      <c r="H613" s="20">
        <v>43.0</v>
      </c>
      <c r="J613" s="20">
        <v>0.52</v>
      </c>
      <c r="K613" s="20">
        <v>40.0</v>
      </c>
      <c r="P613" s="130"/>
    </row>
    <row r="614">
      <c r="C614" s="120"/>
      <c r="H614" s="20">
        <v>47.0</v>
      </c>
      <c r="J614" s="20">
        <v>0.5</v>
      </c>
      <c r="K614" s="20">
        <v>43.0</v>
      </c>
      <c r="P614" s="130"/>
    </row>
    <row r="615">
      <c r="C615" s="120"/>
      <c r="H615" s="20">
        <v>38.0</v>
      </c>
      <c r="J615" s="20">
        <v>0.59</v>
      </c>
      <c r="K615" s="20">
        <v>49.0</v>
      </c>
      <c r="P615" s="130"/>
    </row>
    <row r="616">
      <c r="C616" s="120"/>
      <c r="H616" s="20">
        <v>39.0</v>
      </c>
      <c r="J616" s="20">
        <v>0.53</v>
      </c>
      <c r="K616" s="20">
        <v>41.0</v>
      </c>
      <c r="P616" s="130"/>
    </row>
    <row r="617">
      <c r="C617" s="120"/>
      <c r="H617" s="20">
        <v>44.0</v>
      </c>
      <c r="J617" s="20">
        <v>0.6</v>
      </c>
      <c r="K617" s="20">
        <v>41.0</v>
      </c>
      <c r="P617" s="130"/>
    </row>
    <row r="618">
      <c r="C618" s="120"/>
      <c r="H618" s="20">
        <v>44.0</v>
      </c>
      <c r="J618" s="20">
        <v>0.52</v>
      </c>
      <c r="K618" s="20">
        <v>42.0</v>
      </c>
      <c r="P618" s="130"/>
    </row>
    <row r="619">
      <c r="C619" s="120"/>
      <c r="H619" s="20">
        <v>40.0</v>
      </c>
      <c r="J619" s="20">
        <v>0.55</v>
      </c>
      <c r="K619" s="20">
        <v>42.0</v>
      </c>
      <c r="P619" s="130"/>
    </row>
    <row r="620">
      <c r="C620" s="120"/>
      <c r="H620" s="20">
        <v>43.0</v>
      </c>
      <c r="J620" s="20">
        <v>0.47</v>
      </c>
      <c r="K620" s="20">
        <v>48.0</v>
      </c>
      <c r="P620" s="130"/>
    </row>
    <row r="621">
      <c r="C621" s="120"/>
      <c r="H621" s="20">
        <v>45.0</v>
      </c>
      <c r="J621" s="20">
        <v>0.57</v>
      </c>
      <c r="K621" s="20">
        <v>45.0</v>
      </c>
      <c r="P621" s="130"/>
    </row>
    <row r="622">
      <c r="C622" s="120"/>
      <c r="H622" s="20">
        <v>45.0</v>
      </c>
      <c r="J622" s="20">
        <v>0.49</v>
      </c>
      <c r="K622" s="20">
        <v>44.0</v>
      </c>
      <c r="P622" s="130"/>
    </row>
    <row r="623">
      <c r="C623" s="120"/>
      <c r="H623" s="20">
        <v>45.0</v>
      </c>
      <c r="J623" s="20">
        <v>0.47</v>
      </c>
      <c r="K623" s="20">
        <v>48.0</v>
      </c>
      <c r="P623" s="130"/>
    </row>
    <row r="624">
      <c r="C624" s="120"/>
      <c r="H624" s="20">
        <v>47.0</v>
      </c>
      <c r="J624" s="20">
        <v>0.5</v>
      </c>
      <c r="K624" s="20">
        <v>39.0</v>
      </c>
      <c r="P624" s="130"/>
    </row>
    <row r="625">
      <c r="C625" s="120"/>
      <c r="H625" s="20">
        <v>46.0</v>
      </c>
      <c r="J625" s="20">
        <v>0.52</v>
      </c>
      <c r="K625" s="20">
        <v>39.0</v>
      </c>
      <c r="P625" s="130"/>
    </row>
    <row r="626">
      <c r="C626" s="120"/>
      <c r="H626" s="20">
        <v>43.0</v>
      </c>
      <c r="J626" s="20">
        <v>0.55</v>
      </c>
      <c r="K626" s="20">
        <v>42.0</v>
      </c>
      <c r="P626" s="130"/>
    </row>
    <row r="627">
      <c r="C627" s="120"/>
      <c r="H627" s="20">
        <v>48.0</v>
      </c>
      <c r="J627" s="20">
        <v>0.59</v>
      </c>
      <c r="K627" s="20">
        <v>50.0</v>
      </c>
      <c r="P627" s="130"/>
    </row>
    <row r="628">
      <c r="C628" s="120"/>
      <c r="H628" s="20">
        <v>45.0</v>
      </c>
      <c r="J628" s="20">
        <v>0.65</v>
      </c>
      <c r="K628" s="20">
        <v>51.0</v>
      </c>
      <c r="P628" s="130"/>
    </row>
    <row r="629">
      <c r="C629" s="120"/>
      <c r="H629" s="20">
        <v>45.0</v>
      </c>
      <c r="J629" s="20">
        <v>0.49</v>
      </c>
      <c r="K629" s="20">
        <v>44.0</v>
      </c>
      <c r="P629" s="130"/>
    </row>
    <row r="630">
      <c r="C630" s="120"/>
      <c r="H630" s="20">
        <v>44.0</v>
      </c>
      <c r="J630" s="20">
        <v>0.58</v>
      </c>
      <c r="K630" s="20">
        <v>48.0</v>
      </c>
      <c r="P630" s="130"/>
    </row>
    <row r="631">
      <c r="C631" s="120"/>
      <c r="H631" s="20">
        <v>44.0</v>
      </c>
      <c r="J631" s="20">
        <v>0.57</v>
      </c>
      <c r="K631" s="20">
        <v>50.0</v>
      </c>
      <c r="P631" s="130"/>
    </row>
    <row r="632">
      <c r="C632" s="120"/>
      <c r="H632" s="20">
        <v>46.0</v>
      </c>
      <c r="J632" s="20">
        <v>0.49</v>
      </c>
      <c r="K632" s="20">
        <v>46.0</v>
      </c>
      <c r="P632" s="130"/>
    </row>
    <row r="633">
      <c r="C633" s="120"/>
      <c r="H633" s="20">
        <v>45.0</v>
      </c>
      <c r="J633" s="20">
        <v>0.45</v>
      </c>
      <c r="K633" s="20">
        <v>43.0</v>
      </c>
      <c r="P633" s="130"/>
    </row>
    <row r="634">
      <c r="C634" s="120"/>
      <c r="H634" s="20">
        <v>48.0</v>
      </c>
      <c r="J634" s="20">
        <v>0.51</v>
      </c>
      <c r="K634" s="20">
        <v>43.0</v>
      </c>
      <c r="P634" s="130"/>
    </row>
    <row r="635">
      <c r="C635" s="120"/>
      <c r="H635" s="20">
        <v>41.0</v>
      </c>
      <c r="J635" s="20">
        <v>0.49</v>
      </c>
      <c r="K635" s="20">
        <v>42.0</v>
      </c>
      <c r="P635" s="130"/>
    </row>
    <row r="636">
      <c r="C636" s="120"/>
      <c r="H636" s="20">
        <v>52.0</v>
      </c>
      <c r="J636" s="20">
        <v>0.56</v>
      </c>
      <c r="K636" s="20">
        <v>40.0</v>
      </c>
      <c r="P636" s="130"/>
    </row>
    <row r="637">
      <c r="C637" s="120"/>
      <c r="H637" s="20">
        <v>46.0</v>
      </c>
      <c r="J637" s="20">
        <v>0.55</v>
      </c>
      <c r="K637" s="20">
        <v>39.0</v>
      </c>
      <c r="P637" s="130"/>
    </row>
    <row r="638">
      <c r="C638" s="120"/>
      <c r="H638" s="20">
        <v>40.0</v>
      </c>
      <c r="J638" s="20">
        <v>0.49</v>
      </c>
      <c r="K638" s="20">
        <v>47.0</v>
      </c>
      <c r="P638" s="130"/>
    </row>
    <row r="639">
      <c r="C639" s="120"/>
      <c r="H639" s="20">
        <v>46.0</v>
      </c>
      <c r="J639" s="20">
        <v>0.48</v>
      </c>
      <c r="K639" s="20">
        <v>47.0</v>
      </c>
      <c r="P639" s="130"/>
    </row>
    <row r="640">
      <c r="C640" s="120"/>
      <c r="H640" s="20">
        <v>46.0</v>
      </c>
      <c r="J640" s="20">
        <v>0.52</v>
      </c>
      <c r="K640" s="20">
        <v>42.0</v>
      </c>
      <c r="P640" s="130"/>
    </row>
    <row r="641">
      <c r="C641" s="120"/>
      <c r="H641" s="20">
        <v>41.0</v>
      </c>
      <c r="J641" s="20">
        <v>0.53</v>
      </c>
      <c r="K641" s="20">
        <v>38.0</v>
      </c>
      <c r="P641" s="130"/>
    </row>
    <row r="642">
      <c r="C642" s="120"/>
      <c r="H642" s="20">
        <v>38.0</v>
      </c>
      <c r="J642" s="20">
        <v>0.58</v>
      </c>
      <c r="K642" s="20">
        <v>54.0</v>
      </c>
      <c r="P642" s="130"/>
    </row>
    <row r="643">
      <c r="C643" s="120"/>
      <c r="H643" s="20">
        <v>43.0</v>
      </c>
      <c r="J643" s="20">
        <v>0.48</v>
      </c>
      <c r="K643" s="20">
        <v>46.0</v>
      </c>
      <c r="P643" s="130"/>
    </row>
    <row r="644">
      <c r="C644" s="120"/>
      <c r="H644" s="20">
        <v>52.0</v>
      </c>
      <c r="J644" s="20">
        <v>0.56</v>
      </c>
      <c r="K644" s="20">
        <v>37.0</v>
      </c>
      <c r="P644" s="130"/>
    </row>
    <row r="645">
      <c r="C645" s="120"/>
      <c r="H645" s="20">
        <v>41.0</v>
      </c>
      <c r="J645" s="20">
        <v>0.54</v>
      </c>
      <c r="K645" s="20">
        <v>40.0</v>
      </c>
      <c r="P645" s="130"/>
    </row>
    <row r="646">
      <c r="C646" s="120"/>
      <c r="H646" s="20">
        <v>40.0</v>
      </c>
      <c r="J646" s="20">
        <v>0.54</v>
      </c>
      <c r="K646" s="20">
        <v>42.0</v>
      </c>
      <c r="P646" s="130"/>
    </row>
    <row r="647">
      <c r="C647" s="120"/>
      <c r="H647" s="20">
        <v>46.0</v>
      </c>
      <c r="J647" s="20">
        <v>0.56</v>
      </c>
      <c r="K647" s="20">
        <v>48.0</v>
      </c>
      <c r="P647" s="130"/>
    </row>
    <row r="648">
      <c r="C648" s="120"/>
      <c r="H648" s="20">
        <v>45.0</v>
      </c>
      <c r="J648" s="20">
        <v>0.46</v>
      </c>
      <c r="K648" s="20">
        <v>46.0</v>
      </c>
      <c r="P648" s="130"/>
    </row>
    <row r="649">
      <c r="C649" s="120"/>
      <c r="H649" s="20">
        <v>44.0</v>
      </c>
      <c r="J649" s="20">
        <v>0.52</v>
      </c>
      <c r="K649" s="20">
        <v>40.0</v>
      </c>
      <c r="P649" s="130"/>
    </row>
    <row r="650">
      <c r="C650" s="120"/>
      <c r="H650" s="20">
        <v>41.0</v>
      </c>
      <c r="J650" s="20">
        <v>0.49</v>
      </c>
      <c r="K650" s="20">
        <v>47.0</v>
      </c>
      <c r="P650" s="130"/>
    </row>
    <row r="651">
      <c r="C651" s="120"/>
      <c r="H651" s="20">
        <v>43.0</v>
      </c>
      <c r="J651" s="20">
        <v>0.54</v>
      </c>
      <c r="K651" s="20">
        <v>41.0</v>
      </c>
      <c r="P651" s="130"/>
    </row>
    <row r="652">
      <c r="C652" s="120"/>
      <c r="H652" s="20">
        <v>43.0</v>
      </c>
      <c r="J652" s="20">
        <v>0.54</v>
      </c>
      <c r="K652" s="20">
        <v>48.0</v>
      </c>
      <c r="P652" s="130"/>
    </row>
    <row r="653">
      <c r="C653" s="120"/>
      <c r="H653" s="20">
        <v>54.0</v>
      </c>
      <c r="J653" s="20">
        <v>0.44</v>
      </c>
      <c r="K653" s="20">
        <v>36.0</v>
      </c>
      <c r="P653" s="130"/>
    </row>
    <row r="654">
      <c r="C654" s="120"/>
      <c r="H654" s="20">
        <v>48.0</v>
      </c>
      <c r="J654" s="20">
        <v>0.48</v>
      </c>
      <c r="K654" s="20">
        <v>43.0</v>
      </c>
      <c r="P654" s="130"/>
    </row>
    <row r="655">
      <c r="C655" s="120"/>
      <c r="H655" s="20">
        <v>43.0</v>
      </c>
      <c r="J655" s="20">
        <v>0.53</v>
      </c>
      <c r="K655" s="20">
        <v>50.0</v>
      </c>
      <c r="P655" s="130"/>
    </row>
    <row r="656">
      <c r="C656" s="120"/>
      <c r="H656" s="20">
        <v>45.0</v>
      </c>
      <c r="J656" s="20">
        <v>0.48</v>
      </c>
      <c r="K656" s="20">
        <v>47.0</v>
      </c>
      <c r="P656" s="130"/>
    </row>
    <row r="657">
      <c r="C657" s="120"/>
      <c r="H657" s="20">
        <v>44.0</v>
      </c>
      <c r="J657" s="20">
        <v>0.53</v>
      </c>
      <c r="K657" s="20">
        <v>49.0</v>
      </c>
      <c r="P657" s="130"/>
    </row>
    <row r="658">
      <c r="C658" s="120"/>
      <c r="H658" s="20">
        <v>39.0</v>
      </c>
      <c r="J658" s="20">
        <v>0.5</v>
      </c>
      <c r="K658" s="20">
        <v>44.0</v>
      </c>
      <c r="P658" s="130"/>
    </row>
    <row r="659">
      <c r="C659" s="120"/>
      <c r="H659" s="20">
        <v>51.0</v>
      </c>
      <c r="J659" s="20">
        <v>0.48</v>
      </c>
      <c r="K659" s="20">
        <v>46.0</v>
      </c>
      <c r="P659" s="130"/>
    </row>
    <row r="660">
      <c r="C660" s="120"/>
      <c r="H660" s="20">
        <v>39.0</v>
      </c>
      <c r="J660" s="20">
        <v>0.53</v>
      </c>
      <c r="K660" s="20">
        <v>42.0</v>
      </c>
      <c r="P660" s="130"/>
    </row>
    <row r="661">
      <c r="C661" s="120"/>
      <c r="H661" s="20">
        <v>45.0</v>
      </c>
      <c r="J661" s="20">
        <v>0.5</v>
      </c>
      <c r="K661" s="20">
        <v>39.0</v>
      </c>
      <c r="P661" s="130"/>
    </row>
    <row r="662">
      <c r="C662" s="120"/>
      <c r="H662" s="20">
        <v>41.0</v>
      </c>
      <c r="J662" s="20">
        <v>0.46</v>
      </c>
      <c r="K662" s="20">
        <v>46.0</v>
      </c>
      <c r="P662" s="130"/>
    </row>
    <row r="663">
      <c r="C663" s="120"/>
      <c r="H663" s="20">
        <v>45.0</v>
      </c>
      <c r="J663" s="20">
        <v>0.48</v>
      </c>
      <c r="K663" s="20">
        <v>46.0</v>
      </c>
      <c r="P663" s="130"/>
    </row>
    <row r="664">
      <c r="C664" s="120"/>
      <c r="H664" s="20">
        <v>42.0</v>
      </c>
      <c r="J664" s="20">
        <v>0.53</v>
      </c>
      <c r="K664" s="20">
        <v>47.0</v>
      </c>
      <c r="P664" s="130"/>
    </row>
    <row r="665">
      <c r="C665" s="120"/>
      <c r="H665" s="20">
        <v>48.0</v>
      </c>
      <c r="J665" s="20">
        <v>0.49</v>
      </c>
      <c r="K665" s="20">
        <v>43.0</v>
      </c>
      <c r="P665" s="130"/>
    </row>
    <row r="666">
      <c r="C666" s="120"/>
      <c r="H666" s="20">
        <v>44.0</v>
      </c>
      <c r="J666" s="20">
        <v>0.48</v>
      </c>
      <c r="K666" s="20">
        <v>42.0</v>
      </c>
      <c r="P666" s="130"/>
    </row>
    <row r="667">
      <c r="C667" s="120"/>
      <c r="H667" s="20">
        <v>46.0</v>
      </c>
      <c r="J667" s="20">
        <v>0.49</v>
      </c>
      <c r="K667" s="20">
        <v>45.0</v>
      </c>
      <c r="P667" s="130"/>
    </row>
    <row r="668">
      <c r="C668" s="120"/>
      <c r="H668" s="20">
        <v>40.0</v>
      </c>
      <c r="J668" s="20">
        <v>0.57</v>
      </c>
      <c r="K668" s="20">
        <v>49.0</v>
      </c>
      <c r="P668" s="130"/>
    </row>
    <row r="669">
      <c r="C669" s="120"/>
      <c r="H669" s="20">
        <v>51.0</v>
      </c>
      <c r="J669" s="20">
        <v>0.53</v>
      </c>
      <c r="K669" s="20">
        <v>40.0</v>
      </c>
      <c r="P669" s="130"/>
    </row>
    <row r="670">
      <c r="C670" s="120"/>
      <c r="H670" s="20">
        <v>46.0</v>
      </c>
      <c r="J670" s="20">
        <v>0.53</v>
      </c>
      <c r="K670" s="20">
        <v>42.0</v>
      </c>
      <c r="P670" s="130"/>
    </row>
    <row r="671">
      <c r="C671" s="120"/>
      <c r="H671" s="20">
        <v>47.0</v>
      </c>
      <c r="J671" s="20">
        <v>0.51</v>
      </c>
      <c r="K671" s="20">
        <v>44.0</v>
      </c>
      <c r="P671" s="130"/>
    </row>
    <row r="672">
      <c r="C672" s="120"/>
      <c r="H672" s="20">
        <v>46.0</v>
      </c>
      <c r="J672" s="20">
        <v>0.54</v>
      </c>
      <c r="K672" s="20">
        <v>45.0</v>
      </c>
      <c r="P672" s="130"/>
    </row>
    <row r="673">
      <c r="C673" s="120"/>
      <c r="H673" s="20">
        <v>42.0</v>
      </c>
      <c r="J673" s="20">
        <v>0.58</v>
      </c>
      <c r="K673" s="20">
        <v>39.0</v>
      </c>
      <c r="P673" s="130"/>
    </row>
    <row r="674">
      <c r="C674" s="120"/>
      <c r="H674" s="20">
        <v>42.0</v>
      </c>
      <c r="J674" s="20">
        <v>0.57</v>
      </c>
      <c r="K674" s="20">
        <v>44.0</v>
      </c>
      <c r="P674" s="130"/>
    </row>
    <row r="675">
      <c r="C675" s="120"/>
      <c r="H675" s="20">
        <v>39.0</v>
      </c>
      <c r="J675" s="20">
        <v>0.5</v>
      </c>
      <c r="K675" s="20">
        <v>42.0</v>
      </c>
      <c r="P675" s="130"/>
    </row>
    <row r="676">
      <c r="C676" s="120"/>
      <c r="H676" s="20">
        <v>46.0</v>
      </c>
      <c r="J676" s="20">
        <v>0.55</v>
      </c>
      <c r="K676" s="20">
        <v>42.0</v>
      </c>
      <c r="P676" s="130"/>
    </row>
    <row r="677">
      <c r="C677" s="120"/>
      <c r="H677" s="20">
        <v>45.0</v>
      </c>
      <c r="J677" s="20">
        <v>0.54</v>
      </c>
      <c r="K677" s="20">
        <v>37.0</v>
      </c>
      <c r="P677" s="130"/>
    </row>
    <row r="678">
      <c r="C678" s="120"/>
      <c r="H678" s="20">
        <v>45.0</v>
      </c>
      <c r="J678" s="20">
        <v>0.56</v>
      </c>
      <c r="K678" s="20">
        <v>50.0</v>
      </c>
      <c r="P678" s="130"/>
    </row>
    <row r="679">
      <c r="C679" s="120"/>
      <c r="H679" s="20">
        <v>51.0</v>
      </c>
      <c r="J679" s="20">
        <v>0.55</v>
      </c>
      <c r="K679" s="20">
        <v>42.0</v>
      </c>
      <c r="P679" s="130"/>
    </row>
    <row r="680">
      <c r="C680" s="120"/>
      <c r="H680" s="20">
        <v>46.0</v>
      </c>
      <c r="J680" s="20">
        <v>0.55</v>
      </c>
      <c r="K680" s="20">
        <v>41.0</v>
      </c>
      <c r="P680" s="130"/>
    </row>
    <row r="681">
      <c r="C681" s="120"/>
      <c r="H681" s="20">
        <v>45.0</v>
      </c>
      <c r="J681" s="20">
        <v>0.5</v>
      </c>
      <c r="K681" s="20">
        <v>45.0</v>
      </c>
      <c r="P681" s="130"/>
    </row>
    <row r="682">
      <c r="C682" s="120"/>
      <c r="H682" s="20">
        <v>46.0</v>
      </c>
      <c r="J682" s="20">
        <v>0.54</v>
      </c>
      <c r="K682" s="20">
        <v>42.0</v>
      </c>
      <c r="P682" s="130"/>
    </row>
    <row r="683">
      <c r="C683" s="120"/>
      <c r="H683" s="20">
        <v>44.0</v>
      </c>
      <c r="J683" s="20">
        <v>0.54</v>
      </c>
      <c r="K683" s="20">
        <v>39.0</v>
      </c>
      <c r="P683" s="130"/>
    </row>
    <row r="684">
      <c r="C684" s="120"/>
      <c r="H684" s="20">
        <v>48.0</v>
      </c>
      <c r="J684" s="20">
        <v>0.59</v>
      </c>
      <c r="K684" s="20">
        <v>45.0</v>
      </c>
      <c r="P684" s="130"/>
    </row>
    <row r="685">
      <c r="C685" s="120"/>
      <c r="H685" s="20">
        <v>40.0</v>
      </c>
      <c r="J685" s="20">
        <v>0.5</v>
      </c>
      <c r="K685" s="20">
        <v>37.0</v>
      </c>
      <c r="P685" s="130"/>
    </row>
    <row r="686">
      <c r="C686" s="120"/>
      <c r="H686" s="20">
        <v>42.0</v>
      </c>
      <c r="J686" s="20">
        <v>0.52</v>
      </c>
      <c r="K686" s="20">
        <v>52.0</v>
      </c>
      <c r="P686" s="130"/>
    </row>
    <row r="687">
      <c r="C687" s="120"/>
      <c r="H687" s="20">
        <v>46.0</v>
      </c>
      <c r="J687" s="20">
        <v>0.52</v>
      </c>
      <c r="K687" s="20">
        <v>43.0</v>
      </c>
      <c r="P687" s="130"/>
    </row>
    <row r="688">
      <c r="C688" s="120"/>
      <c r="H688" s="20">
        <v>41.0</v>
      </c>
      <c r="J688" s="20">
        <v>0.56</v>
      </c>
      <c r="K688" s="20">
        <v>42.0</v>
      </c>
      <c r="P688" s="130"/>
    </row>
    <row r="689">
      <c r="C689" s="120"/>
      <c r="H689" s="20">
        <v>44.0</v>
      </c>
      <c r="J689" s="20">
        <v>0.54</v>
      </c>
      <c r="K689" s="20">
        <v>45.0</v>
      </c>
      <c r="P689" s="130"/>
    </row>
    <row r="690">
      <c r="C690" s="120"/>
      <c r="H690" s="20">
        <v>48.0</v>
      </c>
      <c r="J690" s="20">
        <v>0.53</v>
      </c>
      <c r="K690" s="20">
        <v>45.0</v>
      </c>
      <c r="P690" s="130"/>
    </row>
    <row r="691">
      <c r="C691" s="120"/>
      <c r="H691" s="20">
        <v>48.0</v>
      </c>
      <c r="J691" s="20">
        <v>0.56</v>
      </c>
      <c r="K691" s="20">
        <v>46.0</v>
      </c>
      <c r="P691" s="130"/>
    </row>
    <row r="692">
      <c r="C692" s="120"/>
      <c r="H692" s="20">
        <v>45.0</v>
      </c>
      <c r="J692" s="20">
        <v>0.5</v>
      </c>
      <c r="K692" s="20">
        <v>40.0</v>
      </c>
      <c r="P692" s="130"/>
    </row>
    <row r="693">
      <c r="C693" s="120"/>
      <c r="H693" s="20">
        <v>42.0</v>
      </c>
      <c r="J693" s="20">
        <v>0.52</v>
      </c>
      <c r="K693" s="20">
        <v>45.0</v>
      </c>
      <c r="P693" s="130"/>
    </row>
    <row r="694">
      <c r="C694" s="120"/>
      <c r="H694" s="20">
        <v>43.0</v>
      </c>
      <c r="J694" s="20">
        <v>0.52</v>
      </c>
      <c r="K694" s="20">
        <v>35.0</v>
      </c>
      <c r="P694" s="130"/>
    </row>
    <row r="695">
      <c r="C695" s="120"/>
      <c r="H695" s="20">
        <v>46.0</v>
      </c>
      <c r="J695" s="20">
        <v>0.53</v>
      </c>
      <c r="K695" s="20">
        <v>42.0</v>
      </c>
      <c r="P695" s="130"/>
    </row>
    <row r="696">
      <c r="C696" s="120"/>
      <c r="H696" s="20">
        <v>41.0</v>
      </c>
      <c r="J696" s="20">
        <v>0.51</v>
      </c>
      <c r="K696" s="20">
        <v>43.0</v>
      </c>
      <c r="P696" s="130"/>
    </row>
    <row r="697">
      <c r="C697" s="120"/>
      <c r="H697" s="20">
        <v>41.0</v>
      </c>
      <c r="J697" s="20">
        <v>0.52</v>
      </c>
      <c r="K697" s="20">
        <v>39.0</v>
      </c>
      <c r="P697" s="130"/>
    </row>
    <row r="698">
      <c r="C698" s="120"/>
      <c r="H698" s="20">
        <v>41.0</v>
      </c>
      <c r="J698" s="20">
        <v>0.52</v>
      </c>
      <c r="K698" s="20">
        <v>48.0</v>
      </c>
      <c r="P698" s="130"/>
    </row>
    <row r="699">
      <c r="C699" s="120"/>
      <c r="H699" s="20">
        <v>39.0</v>
      </c>
      <c r="J699" s="20">
        <v>0.53</v>
      </c>
      <c r="K699" s="20">
        <v>38.0</v>
      </c>
      <c r="P699" s="130"/>
    </row>
    <row r="700">
      <c r="C700" s="120"/>
      <c r="H700" s="20">
        <v>40.0</v>
      </c>
      <c r="J700" s="20">
        <v>0.53</v>
      </c>
      <c r="K700" s="20">
        <v>50.0</v>
      </c>
      <c r="P700" s="130"/>
    </row>
    <row r="701">
      <c r="C701" s="120"/>
      <c r="H701" s="20">
        <v>50.0</v>
      </c>
      <c r="J701" s="20">
        <v>0.5</v>
      </c>
      <c r="K701" s="20">
        <v>44.0</v>
      </c>
      <c r="P701" s="130"/>
    </row>
    <row r="702">
      <c r="C702" s="120"/>
      <c r="H702" s="20">
        <v>46.0</v>
      </c>
      <c r="J702" s="20">
        <v>0.54</v>
      </c>
      <c r="K702" s="20">
        <v>43.0</v>
      </c>
      <c r="P702" s="130"/>
    </row>
    <row r="703">
      <c r="C703" s="120"/>
      <c r="H703" s="20">
        <v>47.0</v>
      </c>
      <c r="J703" s="20">
        <v>0.54</v>
      </c>
      <c r="K703" s="20">
        <v>45.0</v>
      </c>
      <c r="P703" s="130"/>
    </row>
    <row r="704">
      <c r="C704" s="120"/>
      <c r="H704" s="20">
        <v>48.0</v>
      </c>
      <c r="J704" s="20">
        <v>0.49</v>
      </c>
      <c r="K704" s="20">
        <v>45.0</v>
      </c>
      <c r="P704" s="130"/>
    </row>
    <row r="705">
      <c r="C705" s="120"/>
      <c r="H705" s="20">
        <v>44.0</v>
      </c>
      <c r="J705" s="20">
        <v>0.54</v>
      </c>
      <c r="K705" s="20">
        <v>45.0</v>
      </c>
      <c r="P705" s="130"/>
    </row>
    <row r="706">
      <c r="C706" s="120"/>
      <c r="H706" s="20">
        <v>45.0</v>
      </c>
      <c r="J706" s="20">
        <v>0.49</v>
      </c>
      <c r="K706" s="20">
        <v>37.0</v>
      </c>
      <c r="P706" s="130"/>
    </row>
    <row r="707">
      <c r="C707" s="120"/>
      <c r="H707" s="20">
        <v>45.0</v>
      </c>
      <c r="J707" s="20">
        <v>0.5</v>
      </c>
      <c r="K707" s="20">
        <v>39.0</v>
      </c>
      <c r="P707" s="130"/>
    </row>
    <row r="708">
      <c r="C708" s="120"/>
      <c r="H708" s="20">
        <v>39.0</v>
      </c>
      <c r="J708" s="20">
        <v>0.52</v>
      </c>
      <c r="K708" s="20">
        <v>41.0</v>
      </c>
      <c r="P708" s="130"/>
    </row>
    <row r="709">
      <c r="C709" s="120"/>
      <c r="H709" s="20">
        <v>41.0</v>
      </c>
      <c r="J709" s="20">
        <v>0.49</v>
      </c>
      <c r="K709" s="20">
        <v>39.0</v>
      </c>
      <c r="P709" s="130"/>
    </row>
    <row r="710">
      <c r="C710" s="120"/>
      <c r="H710" s="20">
        <v>39.0</v>
      </c>
      <c r="J710" s="20">
        <v>0.51</v>
      </c>
      <c r="K710" s="20">
        <v>42.0</v>
      </c>
      <c r="P710" s="130"/>
    </row>
    <row r="711">
      <c r="C711" s="120"/>
      <c r="H711" s="20">
        <v>43.0</v>
      </c>
      <c r="J711" s="20">
        <v>0.53</v>
      </c>
      <c r="K711" s="20">
        <v>44.0</v>
      </c>
      <c r="P711" s="130"/>
    </row>
    <row r="712">
      <c r="C712" s="120"/>
      <c r="H712" s="20">
        <v>46.0</v>
      </c>
      <c r="J712" s="20">
        <v>0.55</v>
      </c>
      <c r="K712" s="20">
        <v>46.0</v>
      </c>
      <c r="P712" s="130"/>
    </row>
    <row r="713">
      <c r="C713" s="120"/>
      <c r="H713" s="20">
        <v>41.0</v>
      </c>
      <c r="J713" s="20">
        <v>0.49</v>
      </c>
      <c r="K713" s="20">
        <v>44.0</v>
      </c>
      <c r="P713" s="130"/>
    </row>
    <row r="714">
      <c r="C714" s="120"/>
      <c r="H714" s="20">
        <v>44.0</v>
      </c>
      <c r="J714" s="20">
        <v>0.54</v>
      </c>
      <c r="K714" s="20">
        <v>43.0</v>
      </c>
      <c r="P714" s="130"/>
    </row>
    <row r="715">
      <c r="C715" s="120"/>
      <c r="H715" s="20">
        <v>51.0</v>
      </c>
      <c r="J715" s="20">
        <v>0.56</v>
      </c>
      <c r="K715" s="20">
        <v>42.0</v>
      </c>
      <c r="P715" s="130"/>
    </row>
    <row r="716">
      <c r="C716" s="120"/>
      <c r="H716" s="20">
        <v>50.0</v>
      </c>
      <c r="J716" s="20">
        <v>0.49</v>
      </c>
      <c r="K716" s="20">
        <v>45.0</v>
      </c>
      <c r="P716" s="130"/>
    </row>
    <row r="717">
      <c r="C717" s="120"/>
      <c r="H717" s="20">
        <v>48.0</v>
      </c>
      <c r="J717" s="20">
        <v>0.49</v>
      </c>
      <c r="K717" s="20">
        <v>43.0</v>
      </c>
      <c r="P717" s="130"/>
    </row>
    <row r="718">
      <c r="C718" s="120"/>
      <c r="H718" s="20">
        <v>45.0</v>
      </c>
      <c r="J718" s="20">
        <v>0.54</v>
      </c>
      <c r="K718" s="20">
        <v>41.0</v>
      </c>
      <c r="P718" s="130"/>
    </row>
    <row r="719">
      <c r="C719" s="120"/>
      <c r="H719" s="20">
        <v>45.0</v>
      </c>
      <c r="J719" s="20">
        <v>0.55</v>
      </c>
      <c r="K719" s="20">
        <v>39.0</v>
      </c>
      <c r="P719" s="130"/>
    </row>
    <row r="720">
      <c r="C720" s="120"/>
      <c r="H720" s="20">
        <v>42.0</v>
      </c>
      <c r="J720" s="20">
        <v>0.53</v>
      </c>
      <c r="K720" s="20">
        <v>40.0</v>
      </c>
      <c r="P720" s="130"/>
    </row>
    <row r="721">
      <c r="C721" s="120"/>
      <c r="H721" s="20">
        <v>40.0</v>
      </c>
      <c r="J721" s="20">
        <v>0.49</v>
      </c>
      <c r="K721" s="20">
        <v>38.0</v>
      </c>
      <c r="P721" s="130"/>
    </row>
    <row r="722">
      <c r="C722" s="120"/>
      <c r="H722" s="20">
        <v>39.0</v>
      </c>
      <c r="J722" s="20">
        <v>0.5</v>
      </c>
      <c r="K722" s="20">
        <v>41.0</v>
      </c>
      <c r="P722" s="130"/>
    </row>
    <row r="723">
      <c r="C723" s="120"/>
      <c r="H723" s="20">
        <v>39.0</v>
      </c>
      <c r="J723" s="20">
        <v>0.56</v>
      </c>
      <c r="K723" s="20">
        <v>41.0</v>
      </c>
      <c r="P723" s="130"/>
    </row>
    <row r="724">
      <c r="C724" s="120"/>
      <c r="H724" s="20">
        <v>40.0</v>
      </c>
      <c r="J724" s="20">
        <v>0.52</v>
      </c>
      <c r="K724" s="20">
        <v>42.0</v>
      </c>
      <c r="P724" s="130"/>
    </row>
    <row r="725">
      <c r="C725" s="120"/>
      <c r="H725" s="20">
        <v>48.0</v>
      </c>
      <c r="J725" s="20">
        <v>0.49</v>
      </c>
      <c r="K725" s="20">
        <v>47.0</v>
      </c>
      <c r="P725" s="130"/>
    </row>
    <row r="726">
      <c r="C726" s="120"/>
      <c r="H726" s="20">
        <v>45.0</v>
      </c>
      <c r="J726" s="20">
        <v>0.5</v>
      </c>
      <c r="K726" s="20">
        <v>43.0</v>
      </c>
      <c r="P726" s="130"/>
    </row>
    <row r="727">
      <c r="C727" s="120"/>
      <c r="H727" s="20">
        <v>48.0</v>
      </c>
      <c r="J727" s="20">
        <v>0.51</v>
      </c>
      <c r="K727" s="20">
        <v>46.0</v>
      </c>
      <c r="P727" s="130"/>
    </row>
    <row r="728">
      <c r="C728" s="120"/>
      <c r="H728" s="20">
        <v>42.0</v>
      </c>
      <c r="J728" s="20">
        <v>0.49</v>
      </c>
      <c r="K728" s="20">
        <v>44.0</v>
      </c>
      <c r="P728" s="130"/>
    </row>
    <row r="729">
      <c r="C729" s="120"/>
      <c r="H729" s="20">
        <v>48.0</v>
      </c>
      <c r="J729" s="20">
        <v>0.5</v>
      </c>
      <c r="K729" s="20">
        <v>41.0</v>
      </c>
      <c r="P729" s="130"/>
    </row>
    <row r="730">
      <c r="C730" s="120"/>
      <c r="H730" s="20">
        <v>45.0</v>
      </c>
      <c r="J730" s="20">
        <v>0.48</v>
      </c>
      <c r="K730" s="20">
        <v>45.0</v>
      </c>
      <c r="P730" s="130"/>
    </row>
    <row r="731">
      <c r="C731" s="120"/>
      <c r="H731" s="20">
        <v>47.0</v>
      </c>
      <c r="J731" s="20">
        <v>0.5</v>
      </c>
      <c r="K731" s="20">
        <v>42.0</v>
      </c>
      <c r="P731" s="130"/>
    </row>
    <row r="732">
      <c r="C732" s="120"/>
      <c r="H732" s="20">
        <v>44.0</v>
      </c>
      <c r="J732" s="20">
        <v>0.46</v>
      </c>
      <c r="K732" s="20">
        <v>40.0</v>
      </c>
      <c r="P732" s="130"/>
    </row>
    <row r="733">
      <c r="C733" s="120"/>
      <c r="H733" s="20">
        <v>47.0</v>
      </c>
      <c r="J733" s="20">
        <v>0.51</v>
      </c>
      <c r="K733" s="20">
        <v>39.0</v>
      </c>
      <c r="P733" s="130"/>
    </row>
    <row r="734">
      <c r="C734" s="120"/>
      <c r="H734" s="20">
        <v>48.0</v>
      </c>
      <c r="J734" s="20">
        <v>0.43</v>
      </c>
      <c r="K734" s="20">
        <v>44.0</v>
      </c>
      <c r="P734" s="130"/>
    </row>
    <row r="735">
      <c r="C735" s="120"/>
      <c r="H735" s="20">
        <v>45.0</v>
      </c>
      <c r="J735" s="20">
        <v>0.43</v>
      </c>
      <c r="K735" s="20">
        <v>41.0</v>
      </c>
      <c r="P735" s="130"/>
    </row>
    <row r="736">
      <c r="C736" s="120"/>
      <c r="H736" s="20">
        <v>45.0</v>
      </c>
      <c r="J736" s="20">
        <v>0.51</v>
      </c>
      <c r="K736" s="20">
        <v>47.0</v>
      </c>
      <c r="P736" s="130"/>
    </row>
    <row r="737">
      <c r="C737" s="120"/>
      <c r="H737" s="20">
        <v>47.0</v>
      </c>
      <c r="J737" s="20">
        <v>0.51</v>
      </c>
      <c r="K737" s="20">
        <v>42.0</v>
      </c>
      <c r="P737" s="130"/>
    </row>
    <row r="738">
      <c r="C738" s="120"/>
      <c r="H738" s="20">
        <v>50.0</v>
      </c>
      <c r="J738" s="20">
        <v>0.48</v>
      </c>
      <c r="K738" s="20">
        <v>40.0</v>
      </c>
      <c r="P738" s="130"/>
    </row>
    <row r="739">
      <c r="C739" s="120"/>
      <c r="H739" s="20">
        <v>43.0</v>
      </c>
      <c r="J739" s="20">
        <v>0.53</v>
      </c>
      <c r="K739" s="20">
        <v>46.0</v>
      </c>
      <c r="P739" s="130"/>
    </row>
    <row r="740">
      <c r="C740" s="120"/>
      <c r="H740" s="20">
        <v>47.0</v>
      </c>
      <c r="J740" s="20">
        <v>0.51</v>
      </c>
      <c r="K740" s="20">
        <v>48.0</v>
      </c>
      <c r="P740" s="130"/>
    </row>
    <row r="741">
      <c r="C741" s="120"/>
      <c r="H741" s="20">
        <v>50.0</v>
      </c>
      <c r="J741" s="20">
        <v>0.54</v>
      </c>
      <c r="K741" s="20">
        <v>44.0</v>
      </c>
      <c r="P741" s="130"/>
    </row>
    <row r="742">
      <c r="C742" s="120"/>
      <c r="H742" s="20">
        <v>48.0</v>
      </c>
      <c r="J742" s="20">
        <v>0.44</v>
      </c>
      <c r="K742" s="20">
        <v>44.0</v>
      </c>
      <c r="P742" s="130"/>
    </row>
    <row r="743">
      <c r="C743" s="120"/>
      <c r="H743" s="20">
        <v>46.0</v>
      </c>
      <c r="J743" s="20">
        <v>0.45</v>
      </c>
      <c r="K743" s="20">
        <v>50.0</v>
      </c>
      <c r="P743" s="130"/>
    </row>
    <row r="744">
      <c r="C744" s="120"/>
      <c r="H744" s="20">
        <v>44.0</v>
      </c>
      <c r="J744" s="20">
        <v>0.45</v>
      </c>
      <c r="K744" s="20">
        <v>39.0</v>
      </c>
      <c r="P744" s="130"/>
    </row>
    <row r="745">
      <c r="C745" s="120"/>
      <c r="H745" s="20">
        <v>44.0</v>
      </c>
      <c r="J745" s="20">
        <v>0.43</v>
      </c>
      <c r="K745" s="20">
        <v>36.0</v>
      </c>
      <c r="P745" s="130"/>
    </row>
    <row r="746">
      <c r="C746" s="120"/>
      <c r="H746" s="20">
        <v>44.0</v>
      </c>
      <c r="J746" s="20">
        <v>0.45</v>
      </c>
      <c r="K746" s="20">
        <v>46.0</v>
      </c>
      <c r="P746" s="130"/>
    </row>
    <row r="747">
      <c r="C747" s="120"/>
      <c r="H747" s="20">
        <v>46.0</v>
      </c>
      <c r="J747" s="20">
        <v>0.5</v>
      </c>
      <c r="K747" s="20">
        <v>46.0</v>
      </c>
      <c r="P747" s="130"/>
    </row>
    <row r="748">
      <c r="C748" s="120"/>
      <c r="H748" s="20">
        <v>47.0</v>
      </c>
      <c r="J748" s="20">
        <v>0.46</v>
      </c>
      <c r="K748" s="20">
        <v>42.0</v>
      </c>
      <c r="P748" s="130"/>
    </row>
    <row r="749">
      <c r="C749" s="120"/>
      <c r="H749" s="20">
        <v>47.0</v>
      </c>
      <c r="J749" s="20">
        <v>0.56</v>
      </c>
      <c r="K749" s="20">
        <v>41.0</v>
      </c>
      <c r="P749" s="130"/>
    </row>
    <row r="750">
      <c r="C750" s="120"/>
      <c r="H750" s="20">
        <v>48.0</v>
      </c>
      <c r="J750" s="20">
        <v>0.5</v>
      </c>
      <c r="K750" s="20">
        <v>44.0</v>
      </c>
      <c r="P750" s="130"/>
    </row>
    <row r="751">
      <c r="C751" s="120"/>
      <c r="H751" s="20">
        <v>49.0</v>
      </c>
      <c r="J751" s="20">
        <v>0.51</v>
      </c>
      <c r="K751" s="20">
        <v>45.0</v>
      </c>
      <c r="P751" s="130"/>
    </row>
    <row r="752">
      <c r="C752" s="120"/>
      <c r="H752" s="20">
        <v>48.0</v>
      </c>
      <c r="J752" s="20">
        <v>0.46</v>
      </c>
      <c r="K752" s="20">
        <v>40.0</v>
      </c>
      <c r="P752" s="130"/>
    </row>
    <row r="753">
      <c r="C753" s="120"/>
      <c r="H753" s="20">
        <v>50.0</v>
      </c>
      <c r="J753" s="20">
        <v>0.51</v>
      </c>
      <c r="K753" s="20">
        <v>40.0</v>
      </c>
      <c r="P753" s="130"/>
    </row>
    <row r="754">
      <c r="C754" s="120"/>
      <c r="H754" s="20">
        <v>40.0</v>
      </c>
      <c r="J754" s="20">
        <v>0.48</v>
      </c>
      <c r="K754" s="20">
        <v>43.0</v>
      </c>
      <c r="P754" s="130"/>
    </row>
    <row r="755">
      <c r="C755" s="120"/>
      <c r="H755" s="20">
        <v>47.0</v>
      </c>
      <c r="J755" s="20">
        <v>0.45</v>
      </c>
      <c r="K755" s="20">
        <v>43.0</v>
      </c>
      <c r="P755" s="130"/>
    </row>
    <row r="756">
      <c r="C756" s="120"/>
      <c r="H756" s="20">
        <v>43.0</v>
      </c>
      <c r="J756" s="20">
        <v>0.47</v>
      </c>
      <c r="K756" s="20">
        <v>49.0</v>
      </c>
      <c r="P756" s="130"/>
    </row>
    <row r="757">
      <c r="C757" s="120"/>
      <c r="H757" s="20">
        <v>48.0</v>
      </c>
      <c r="J757" s="20">
        <v>0.51</v>
      </c>
      <c r="K757" s="20">
        <v>41.0</v>
      </c>
      <c r="P757" s="130"/>
    </row>
    <row r="758">
      <c r="C758" s="120"/>
      <c r="H758" s="20">
        <v>49.0</v>
      </c>
      <c r="J758" s="20">
        <v>0.46</v>
      </c>
      <c r="K758" s="20">
        <v>42.0</v>
      </c>
      <c r="P758" s="130"/>
    </row>
    <row r="759">
      <c r="C759" s="120"/>
      <c r="H759" s="20">
        <v>45.0</v>
      </c>
      <c r="J759" s="20">
        <v>0.55</v>
      </c>
      <c r="K759" s="20">
        <v>45.0</v>
      </c>
      <c r="P759" s="130"/>
    </row>
    <row r="760">
      <c r="C760" s="120"/>
      <c r="H760" s="20">
        <v>45.0</v>
      </c>
      <c r="J760" s="20">
        <v>0.44</v>
      </c>
      <c r="K760" s="20">
        <v>39.0</v>
      </c>
      <c r="P760" s="130"/>
    </row>
    <row r="761">
      <c r="C761" s="120"/>
      <c r="H761" s="20">
        <v>51.0</v>
      </c>
      <c r="J761" s="20">
        <v>0.52</v>
      </c>
      <c r="K761" s="20">
        <v>40.0</v>
      </c>
      <c r="P761" s="130"/>
    </row>
    <row r="762">
      <c r="C762" s="120"/>
      <c r="H762" s="20">
        <v>52.0</v>
      </c>
      <c r="J762" s="20">
        <v>0.51</v>
      </c>
      <c r="K762" s="20">
        <v>45.0</v>
      </c>
      <c r="P762" s="130"/>
    </row>
    <row r="763">
      <c r="C763" s="120"/>
      <c r="H763" s="20">
        <v>39.0</v>
      </c>
      <c r="J763" s="20">
        <v>0.52</v>
      </c>
      <c r="K763" s="20">
        <v>43.0</v>
      </c>
      <c r="P763" s="130"/>
    </row>
    <row r="764">
      <c r="C764" s="120"/>
      <c r="H764" s="20">
        <v>45.0</v>
      </c>
      <c r="J764" s="20">
        <v>0.52</v>
      </c>
      <c r="K764" s="20">
        <v>44.0</v>
      </c>
      <c r="P764" s="130"/>
    </row>
    <row r="765">
      <c r="C765" s="120"/>
      <c r="H765" s="20">
        <v>44.0</v>
      </c>
      <c r="J765" s="20">
        <v>0.53</v>
      </c>
      <c r="K765" s="20">
        <v>44.0</v>
      </c>
      <c r="P765" s="130"/>
    </row>
    <row r="766">
      <c r="C766" s="120"/>
      <c r="H766" s="20">
        <v>47.0</v>
      </c>
      <c r="J766" s="20">
        <v>0.43</v>
      </c>
      <c r="K766" s="20">
        <v>42.0</v>
      </c>
      <c r="P766" s="130"/>
    </row>
    <row r="767">
      <c r="C767" s="120"/>
      <c r="H767" s="20">
        <v>46.0</v>
      </c>
      <c r="J767" s="20">
        <v>0.45</v>
      </c>
      <c r="K767" s="20">
        <v>40.0</v>
      </c>
      <c r="P767" s="130"/>
    </row>
    <row r="768">
      <c r="C768" s="120"/>
      <c r="H768" s="20">
        <v>46.0</v>
      </c>
      <c r="J768" s="20">
        <v>0.44</v>
      </c>
      <c r="K768" s="20">
        <v>43.0</v>
      </c>
      <c r="P768" s="130"/>
    </row>
    <row r="769">
      <c r="C769" s="120"/>
      <c r="H769" s="20">
        <v>46.0</v>
      </c>
      <c r="J769" s="20">
        <v>0.43</v>
      </c>
      <c r="K769" s="20">
        <v>44.0</v>
      </c>
      <c r="P769" s="130"/>
    </row>
    <row r="770">
      <c r="C770" s="120"/>
      <c r="H770" s="20">
        <v>45.0</v>
      </c>
      <c r="J770" s="20">
        <v>0.44</v>
      </c>
      <c r="K770" s="20">
        <v>40.0</v>
      </c>
      <c r="P770" s="130"/>
    </row>
    <row r="771">
      <c r="C771" s="120"/>
      <c r="H771" s="20">
        <v>40.0</v>
      </c>
      <c r="J771" s="20">
        <v>0.41</v>
      </c>
      <c r="K771" s="20">
        <v>40.0</v>
      </c>
      <c r="P771" s="130"/>
    </row>
    <row r="772">
      <c r="C772" s="120"/>
      <c r="H772" s="20">
        <v>46.0</v>
      </c>
      <c r="J772" s="20">
        <v>0.46</v>
      </c>
      <c r="K772" s="20">
        <v>44.0</v>
      </c>
      <c r="P772" s="130"/>
    </row>
    <row r="773">
      <c r="C773" s="120"/>
      <c r="H773" s="20">
        <v>42.0</v>
      </c>
      <c r="J773" s="20">
        <v>0.47</v>
      </c>
      <c r="K773" s="20">
        <v>43.0</v>
      </c>
      <c r="P773" s="130"/>
    </row>
    <row r="774">
      <c r="C774" s="120"/>
      <c r="H774" s="20">
        <v>42.0</v>
      </c>
      <c r="J774" s="20">
        <v>0.43</v>
      </c>
      <c r="K774" s="20">
        <v>51.0</v>
      </c>
      <c r="P774" s="130"/>
    </row>
    <row r="775">
      <c r="C775" s="120"/>
      <c r="H775" s="20">
        <v>40.0</v>
      </c>
      <c r="J775" s="20">
        <v>0.47</v>
      </c>
      <c r="K775" s="20">
        <v>48.0</v>
      </c>
      <c r="P775" s="130"/>
    </row>
    <row r="776">
      <c r="C776" s="120"/>
      <c r="H776" s="20">
        <v>44.0</v>
      </c>
      <c r="J776" s="20">
        <v>0.49</v>
      </c>
      <c r="K776" s="20">
        <v>43.0</v>
      </c>
      <c r="P776" s="130"/>
    </row>
    <row r="777">
      <c r="C777" s="120"/>
      <c r="H777" s="20">
        <v>42.0</v>
      </c>
      <c r="J777" s="20">
        <v>0.46</v>
      </c>
      <c r="K777" s="20">
        <v>42.0</v>
      </c>
      <c r="P777" s="130"/>
    </row>
    <row r="778">
      <c r="C778" s="120"/>
      <c r="H778" s="20">
        <v>41.0</v>
      </c>
      <c r="J778" s="20">
        <v>0.4</v>
      </c>
      <c r="K778" s="20">
        <v>42.0</v>
      </c>
      <c r="P778" s="130"/>
    </row>
    <row r="779">
      <c r="C779" s="120"/>
      <c r="H779" s="20">
        <v>43.0</v>
      </c>
      <c r="J779" s="20">
        <v>0.49</v>
      </c>
      <c r="K779" s="20">
        <v>42.0</v>
      </c>
      <c r="P779" s="130"/>
    </row>
    <row r="780">
      <c r="C780" s="120"/>
      <c r="H780" s="20">
        <v>41.0</v>
      </c>
      <c r="J780" s="20">
        <v>0.47</v>
      </c>
      <c r="K780" s="20">
        <v>44.0</v>
      </c>
      <c r="P780" s="130"/>
    </row>
    <row r="781">
      <c r="C781" s="120"/>
      <c r="H781" s="20">
        <v>42.0</v>
      </c>
      <c r="J781" s="20">
        <v>0.46</v>
      </c>
      <c r="K781" s="20">
        <v>42.0</v>
      </c>
      <c r="P781" s="130"/>
    </row>
    <row r="782">
      <c r="C782" s="120"/>
      <c r="H782" s="20">
        <v>40.0</v>
      </c>
      <c r="J782" s="20">
        <v>0.48</v>
      </c>
      <c r="K782" s="20">
        <v>45.0</v>
      </c>
      <c r="P782" s="130"/>
    </row>
    <row r="783">
      <c r="C783" s="120"/>
      <c r="H783" s="20">
        <v>39.0</v>
      </c>
      <c r="J783" s="20">
        <v>0.46</v>
      </c>
      <c r="K783" s="20">
        <v>44.0</v>
      </c>
      <c r="P783" s="130"/>
    </row>
    <row r="784">
      <c r="C784" s="120"/>
      <c r="H784" s="20">
        <v>44.0</v>
      </c>
      <c r="J784" s="20">
        <v>0.38</v>
      </c>
      <c r="K784" s="20">
        <v>42.0</v>
      </c>
      <c r="P784" s="130"/>
    </row>
    <row r="785">
      <c r="C785" s="120"/>
      <c r="H785" s="20">
        <v>46.0</v>
      </c>
      <c r="J785" s="20">
        <v>0.48</v>
      </c>
      <c r="K785" s="20">
        <v>40.0</v>
      </c>
      <c r="P785" s="130"/>
    </row>
    <row r="786">
      <c r="C786" s="120"/>
      <c r="H786" s="20">
        <v>42.0</v>
      </c>
      <c r="J786" s="20">
        <v>0.43</v>
      </c>
      <c r="K786" s="20">
        <v>42.0</v>
      </c>
      <c r="P786" s="130"/>
    </row>
    <row r="787">
      <c r="C787" s="120"/>
      <c r="H787" s="20">
        <v>44.0</v>
      </c>
      <c r="J787" s="20">
        <v>0.49</v>
      </c>
      <c r="K787" s="20">
        <v>43.0</v>
      </c>
      <c r="P787" s="130"/>
    </row>
    <row r="788">
      <c r="C788" s="120"/>
      <c r="H788" s="20">
        <v>42.0</v>
      </c>
      <c r="J788" s="20">
        <v>0.45</v>
      </c>
      <c r="K788" s="20">
        <v>44.0</v>
      </c>
      <c r="P788" s="130"/>
    </row>
    <row r="789">
      <c r="C789" s="120"/>
      <c r="H789" s="20">
        <v>42.0</v>
      </c>
      <c r="J789" s="20">
        <v>0.49</v>
      </c>
      <c r="K789" s="20">
        <v>43.0</v>
      </c>
      <c r="P789" s="130"/>
    </row>
    <row r="790">
      <c r="C790" s="120"/>
      <c r="H790" s="20">
        <v>44.0</v>
      </c>
      <c r="J790" s="20">
        <v>0.44</v>
      </c>
      <c r="K790" s="20">
        <v>42.0</v>
      </c>
      <c r="P790" s="130"/>
    </row>
    <row r="791">
      <c r="C791" s="120"/>
      <c r="H791" s="20">
        <v>42.0</v>
      </c>
      <c r="J791" s="20">
        <v>0.45</v>
      </c>
      <c r="K791" s="20">
        <v>42.0</v>
      </c>
      <c r="P791" s="130"/>
    </row>
    <row r="792">
      <c r="C792" s="120"/>
      <c r="H792" s="20">
        <v>43.0</v>
      </c>
      <c r="J792" s="20">
        <v>0.46</v>
      </c>
      <c r="K792" s="20">
        <v>40.0</v>
      </c>
      <c r="P792" s="130"/>
    </row>
    <row r="793">
      <c r="C793" s="120"/>
      <c r="H793" s="20">
        <v>41.0</v>
      </c>
      <c r="J793" s="20">
        <v>0.48</v>
      </c>
      <c r="K793" s="20">
        <v>43.0</v>
      </c>
      <c r="P793" s="130"/>
    </row>
    <row r="794">
      <c r="C794" s="120"/>
      <c r="H794" s="20">
        <v>38.0</v>
      </c>
      <c r="J794" s="20">
        <v>0.43</v>
      </c>
      <c r="K794" s="20">
        <v>46.0</v>
      </c>
      <c r="P794" s="130"/>
    </row>
    <row r="795">
      <c r="C795" s="120"/>
      <c r="H795" s="20">
        <v>41.0</v>
      </c>
      <c r="J795" s="20">
        <v>0.45</v>
      </c>
      <c r="K795" s="20">
        <v>45.0</v>
      </c>
      <c r="P795" s="130"/>
    </row>
    <row r="796">
      <c r="C796" s="120"/>
      <c r="H796" s="20">
        <v>46.0</v>
      </c>
      <c r="J796" s="20">
        <v>0.46</v>
      </c>
      <c r="K796" s="20">
        <v>45.0</v>
      </c>
      <c r="P796" s="130"/>
    </row>
    <row r="797">
      <c r="C797" s="120"/>
      <c r="H797" s="20">
        <v>49.0</v>
      </c>
      <c r="J797" s="20">
        <v>0.45</v>
      </c>
      <c r="K797" s="20">
        <v>43.0</v>
      </c>
      <c r="P797" s="130"/>
    </row>
    <row r="798">
      <c r="C798" s="120"/>
      <c r="H798" s="20">
        <v>43.0</v>
      </c>
      <c r="J798" s="20">
        <v>0.44</v>
      </c>
      <c r="K798" s="20">
        <v>49.0</v>
      </c>
      <c r="P798" s="130"/>
    </row>
    <row r="799">
      <c r="C799" s="120"/>
      <c r="H799" s="20">
        <v>44.0</v>
      </c>
      <c r="J799" s="20">
        <v>0.45</v>
      </c>
      <c r="K799" s="20">
        <v>43.0</v>
      </c>
      <c r="P799" s="130"/>
    </row>
    <row r="800">
      <c r="C800" s="120"/>
      <c r="H800" s="20">
        <v>50.0</v>
      </c>
      <c r="J800" s="20">
        <v>0.46</v>
      </c>
      <c r="K800" s="20">
        <v>39.0</v>
      </c>
      <c r="P800" s="130"/>
    </row>
    <row r="801">
      <c r="C801" s="120"/>
      <c r="H801" s="20">
        <v>47.0</v>
      </c>
      <c r="J801" s="20">
        <v>0.48</v>
      </c>
      <c r="K801" s="20">
        <v>44.0</v>
      </c>
      <c r="P801" s="130"/>
    </row>
    <row r="802">
      <c r="C802" s="120"/>
      <c r="H802" s="20">
        <v>42.0</v>
      </c>
      <c r="J802" s="20">
        <v>0.45</v>
      </c>
      <c r="K802" s="20">
        <v>41.0</v>
      </c>
      <c r="P802" s="130"/>
    </row>
    <row r="803">
      <c r="C803" s="120"/>
      <c r="H803" s="20">
        <v>48.0</v>
      </c>
      <c r="J803" s="20">
        <v>0.46</v>
      </c>
      <c r="K803" s="20">
        <v>49.0</v>
      </c>
      <c r="P803" s="130"/>
    </row>
    <row r="804">
      <c r="C804" s="120"/>
      <c r="H804" s="20">
        <v>46.0</v>
      </c>
      <c r="J804" s="20">
        <v>0.44</v>
      </c>
      <c r="K804" s="20">
        <v>44.0</v>
      </c>
      <c r="P804" s="130"/>
    </row>
    <row r="805">
      <c r="C805" s="120"/>
      <c r="H805" s="20">
        <v>47.0</v>
      </c>
      <c r="J805" s="20">
        <v>0.46</v>
      </c>
      <c r="K805" s="20">
        <v>40.0</v>
      </c>
      <c r="P805" s="130"/>
    </row>
    <row r="806">
      <c r="C806" s="120"/>
      <c r="H806" s="20">
        <v>42.0</v>
      </c>
      <c r="J806" s="20">
        <v>0.47</v>
      </c>
      <c r="K806" s="20">
        <v>47.0</v>
      </c>
      <c r="P806" s="130"/>
    </row>
    <row r="807">
      <c r="C807" s="120"/>
      <c r="H807" s="20">
        <v>42.0</v>
      </c>
      <c r="J807" s="20">
        <v>0.48</v>
      </c>
      <c r="K807" s="20">
        <v>48.0</v>
      </c>
      <c r="P807" s="130"/>
    </row>
    <row r="808">
      <c r="C808" s="120"/>
      <c r="H808" s="20">
        <v>49.0</v>
      </c>
      <c r="J808" s="20">
        <v>0.46</v>
      </c>
      <c r="K808" s="20">
        <v>47.0</v>
      </c>
      <c r="P808" s="130"/>
    </row>
    <row r="809">
      <c r="C809" s="120"/>
      <c r="H809" s="20">
        <v>50.0</v>
      </c>
      <c r="J809" s="20">
        <v>0.45</v>
      </c>
      <c r="K809" s="20">
        <v>41.0</v>
      </c>
      <c r="P809" s="130"/>
    </row>
    <row r="810">
      <c r="C810" s="120"/>
      <c r="H810" s="20">
        <v>45.0</v>
      </c>
      <c r="J810" s="20">
        <v>0.45</v>
      </c>
      <c r="K810" s="20">
        <v>42.0</v>
      </c>
      <c r="P810" s="130"/>
    </row>
    <row r="811">
      <c r="C811" s="120"/>
      <c r="H811" s="20">
        <v>40.0</v>
      </c>
      <c r="J811" s="20">
        <v>0.42</v>
      </c>
      <c r="K811" s="20">
        <v>46.0</v>
      </c>
      <c r="P811" s="130"/>
    </row>
    <row r="812">
      <c r="C812" s="120"/>
      <c r="H812" s="20">
        <v>49.0</v>
      </c>
      <c r="J812" s="20">
        <v>0.44</v>
      </c>
      <c r="K812" s="20">
        <v>48.0</v>
      </c>
      <c r="P812" s="130"/>
    </row>
    <row r="813">
      <c r="C813" s="120"/>
      <c r="H813" s="20">
        <v>49.0</v>
      </c>
      <c r="J813" s="20">
        <v>0.45</v>
      </c>
      <c r="K813" s="20">
        <v>38.0</v>
      </c>
      <c r="P813" s="130"/>
    </row>
    <row r="814">
      <c r="C814" s="120"/>
      <c r="H814" s="20">
        <v>45.0</v>
      </c>
      <c r="J814" s="20">
        <v>0.42</v>
      </c>
      <c r="K814" s="20">
        <v>47.0</v>
      </c>
      <c r="P814" s="130"/>
    </row>
    <row r="815">
      <c r="C815" s="120"/>
      <c r="H815" s="20">
        <v>46.0</v>
      </c>
      <c r="J815" s="20">
        <v>0.47</v>
      </c>
      <c r="K815" s="20">
        <v>42.0</v>
      </c>
      <c r="P815" s="130"/>
    </row>
    <row r="816">
      <c r="C816" s="120"/>
      <c r="H816" s="20">
        <v>49.0</v>
      </c>
      <c r="J816" s="20">
        <v>0.46</v>
      </c>
      <c r="K816" s="20">
        <v>40.0</v>
      </c>
      <c r="P816" s="130"/>
    </row>
    <row r="817">
      <c r="C817" s="120"/>
      <c r="H817" s="20">
        <v>49.0</v>
      </c>
      <c r="J817" s="20">
        <v>0.47</v>
      </c>
      <c r="K817" s="20">
        <v>39.0</v>
      </c>
      <c r="P817" s="130"/>
    </row>
    <row r="818">
      <c r="C818" s="120"/>
      <c r="H818" s="20">
        <v>44.0</v>
      </c>
      <c r="J818" s="20">
        <v>0.49</v>
      </c>
      <c r="K818" s="20">
        <v>47.0</v>
      </c>
      <c r="P818" s="130"/>
    </row>
    <row r="819">
      <c r="C819" s="120"/>
      <c r="H819" s="20">
        <v>46.0</v>
      </c>
      <c r="J819" s="20">
        <v>0.47</v>
      </c>
      <c r="K819" s="20">
        <v>47.0</v>
      </c>
      <c r="P819" s="130"/>
    </row>
    <row r="820">
      <c r="C820" s="120"/>
      <c r="H820" s="20">
        <v>47.0</v>
      </c>
      <c r="J820" s="20">
        <v>0.47</v>
      </c>
      <c r="K820" s="20">
        <v>44.0</v>
      </c>
      <c r="P820" s="130"/>
    </row>
    <row r="821">
      <c r="C821" s="120"/>
      <c r="H821" s="20">
        <v>51.0</v>
      </c>
      <c r="J821" s="20">
        <v>0.44</v>
      </c>
      <c r="K821" s="20">
        <v>41.0</v>
      </c>
      <c r="P821" s="130"/>
    </row>
    <row r="822">
      <c r="C822" s="120"/>
      <c r="H822" s="20">
        <v>44.0</v>
      </c>
      <c r="J822" s="20">
        <v>0.48</v>
      </c>
      <c r="K822" s="20">
        <v>50.0</v>
      </c>
      <c r="P822" s="130"/>
    </row>
    <row r="823">
      <c r="C823" s="120"/>
      <c r="H823" s="20">
        <v>41.0</v>
      </c>
      <c r="J823" s="20">
        <v>0.43</v>
      </c>
      <c r="K823" s="20">
        <v>46.0</v>
      </c>
      <c r="P823" s="130"/>
    </row>
    <row r="824">
      <c r="C824" s="120"/>
      <c r="H824" s="20">
        <v>52.0</v>
      </c>
      <c r="J824" s="20">
        <v>0.47</v>
      </c>
      <c r="K824" s="20">
        <v>47.0</v>
      </c>
      <c r="P824" s="130"/>
    </row>
    <row r="825">
      <c r="C825" s="120"/>
      <c r="H825" s="20">
        <v>48.0</v>
      </c>
      <c r="J825" s="20">
        <v>0.47</v>
      </c>
      <c r="K825" s="20">
        <v>39.0</v>
      </c>
      <c r="P825" s="130"/>
    </row>
    <row r="826">
      <c r="C826" s="120"/>
      <c r="H826" s="20">
        <v>47.0</v>
      </c>
      <c r="J826" s="20">
        <v>0.49</v>
      </c>
      <c r="K826" s="20">
        <v>47.0</v>
      </c>
      <c r="P826" s="130"/>
    </row>
    <row r="827">
      <c r="C827" s="120"/>
      <c r="H827" s="20">
        <v>45.0</v>
      </c>
      <c r="J827" s="20">
        <v>0.5</v>
      </c>
      <c r="K827" s="20">
        <v>43.0</v>
      </c>
      <c r="P827" s="130"/>
    </row>
    <row r="828">
      <c r="C828" s="120"/>
      <c r="H828" s="20">
        <v>46.0</v>
      </c>
      <c r="J828" s="20">
        <v>0.46</v>
      </c>
      <c r="K828" s="20">
        <v>46.0</v>
      </c>
      <c r="P828" s="130"/>
    </row>
    <row r="829">
      <c r="C829" s="120"/>
      <c r="H829" s="20">
        <v>46.0</v>
      </c>
      <c r="J829" s="20">
        <v>0.49</v>
      </c>
      <c r="K829" s="20">
        <v>43.0</v>
      </c>
      <c r="P829" s="130"/>
    </row>
    <row r="830">
      <c r="C830" s="120"/>
      <c r="H830" s="20">
        <v>44.0</v>
      </c>
      <c r="J830" s="20">
        <v>0.47</v>
      </c>
      <c r="K830" s="20">
        <v>51.0</v>
      </c>
      <c r="P830" s="130"/>
    </row>
    <row r="831">
      <c r="C831" s="120"/>
      <c r="H831" s="20">
        <v>45.0</v>
      </c>
      <c r="J831" s="20">
        <v>0.47</v>
      </c>
      <c r="K831" s="20">
        <v>47.0</v>
      </c>
      <c r="P831" s="130"/>
    </row>
    <row r="832">
      <c r="C832" s="120"/>
      <c r="H832" s="20">
        <v>48.0</v>
      </c>
      <c r="J832" s="20">
        <v>0.46</v>
      </c>
      <c r="K832" s="20">
        <v>42.0</v>
      </c>
      <c r="P832" s="130"/>
    </row>
    <row r="833">
      <c r="C833" s="120"/>
      <c r="H833" s="20">
        <v>49.0</v>
      </c>
      <c r="J833" s="20">
        <v>0.48</v>
      </c>
      <c r="K833" s="20">
        <v>38.0</v>
      </c>
      <c r="P833" s="130"/>
    </row>
    <row r="834">
      <c r="C834" s="120"/>
      <c r="H834" s="20">
        <v>53.0</v>
      </c>
      <c r="J834" s="20">
        <v>0.46</v>
      </c>
      <c r="K834" s="20">
        <v>47.0</v>
      </c>
      <c r="P834" s="130"/>
    </row>
    <row r="835">
      <c r="C835" s="120"/>
      <c r="H835" s="20">
        <v>41.0</v>
      </c>
      <c r="J835" s="20">
        <v>0.5</v>
      </c>
      <c r="K835" s="20">
        <v>43.0</v>
      </c>
      <c r="P835" s="130"/>
    </row>
    <row r="836">
      <c r="C836" s="120"/>
      <c r="H836" s="20">
        <v>48.0</v>
      </c>
      <c r="J836" s="20">
        <v>0.48</v>
      </c>
      <c r="K836" s="20">
        <v>47.0</v>
      </c>
      <c r="P836" s="130"/>
    </row>
    <row r="837">
      <c r="C837" s="120"/>
      <c r="H837" s="20">
        <v>47.0</v>
      </c>
      <c r="J837" s="20">
        <v>0.46</v>
      </c>
      <c r="K837" s="20">
        <v>44.0</v>
      </c>
      <c r="P837" s="130"/>
    </row>
    <row r="838">
      <c r="C838" s="120"/>
      <c r="H838" s="20">
        <v>45.0</v>
      </c>
      <c r="J838" s="20">
        <v>0.46</v>
      </c>
      <c r="K838" s="20">
        <v>43.0</v>
      </c>
      <c r="P838" s="130"/>
    </row>
    <row r="839">
      <c r="C839" s="120"/>
      <c r="H839" s="20">
        <v>42.0</v>
      </c>
      <c r="J839" s="20">
        <v>0.47</v>
      </c>
      <c r="K839" s="20">
        <v>43.0</v>
      </c>
      <c r="P839" s="130"/>
    </row>
    <row r="840">
      <c r="C840" s="120"/>
      <c r="H840" s="20">
        <v>41.0</v>
      </c>
      <c r="J840" s="20">
        <v>0.48</v>
      </c>
      <c r="K840" s="20">
        <v>40.0</v>
      </c>
      <c r="P840" s="130"/>
    </row>
    <row r="841">
      <c r="C841" s="120"/>
      <c r="H841" s="20">
        <v>40.0</v>
      </c>
      <c r="J841" s="20">
        <v>0.5</v>
      </c>
      <c r="K841" s="20">
        <v>40.0</v>
      </c>
      <c r="P841" s="130"/>
    </row>
    <row r="842">
      <c r="C842" s="120"/>
      <c r="H842" s="20">
        <v>41.0</v>
      </c>
      <c r="J842" s="20">
        <v>0.51</v>
      </c>
      <c r="K842" s="20">
        <v>44.0</v>
      </c>
      <c r="P842" s="130"/>
    </row>
    <row r="843">
      <c r="C843" s="120"/>
      <c r="H843" s="20">
        <v>44.0</v>
      </c>
      <c r="J843" s="20">
        <v>0.48</v>
      </c>
      <c r="K843" s="20">
        <v>47.0</v>
      </c>
      <c r="P843" s="130"/>
    </row>
    <row r="844">
      <c r="C844" s="120"/>
      <c r="H844" s="20">
        <v>43.0</v>
      </c>
      <c r="J844" s="20">
        <v>0.49</v>
      </c>
      <c r="K844" s="20">
        <v>40.0</v>
      </c>
      <c r="P844" s="130"/>
    </row>
    <row r="845">
      <c r="C845" s="120"/>
      <c r="H845" s="20">
        <v>42.0</v>
      </c>
      <c r="J845" s="20">
        <v>0.49</v>
      </c>
      <c r="K845" s="20">
        <v>40.0</v>
      </c>
      <c r="P845" s="130"/>
    </row>
    <row r="846">
      <c r="C846" s="120"/>
      <c r="H846" s="20">
        <v>44.0</v>
      </c>
      <c r="J846" s="20">
        <v>0.48</v>
      </c>
      <c r="K846" s="20">
        <v>45.0</v>
      </c>
      <c r="P846" s="130"/>
    </row>
    <row r="847">
      <c r="C847" s="120"/>
      <c r="H847" s="20">
        <v>41.0</v>
      </c>
      <c r="J847" s="20">
        <v>0.48</v>
      </c>
      <c r="K847" s="20">
        <v>42.0</v>
      </c>
      <c r="P847" s="130"/>
    </row>
    <row r="848">
      <c r="C848" s="120"/>
      <c r="H848" s="20">
        <v>49.0</v>
      </c>
      <c r="J848" s="20">
        <v>0.49</v>
      </c>
      <c r="K848" s="20">
        <v>43.0</v>
      </c>
      <c r="P848" s="130"/>
    </row>
    <row r="849">
      <c r="C849" s="120"/>
      <c r="H849" s="20">
        <v>45.0</v>
      </c>
      <c r="J849" s="20">
        <v>0.47</v>
      </c>
      <c r="K849" s="20">
        <v>44.0</v>
      </c>
      <c r="P849" s="130"/>
    </row>
    <row r="850">
      <c r="C850" s="120"/>
      <c r="H850" s="20">
        <v>46.0</v>
      </c>
      <c r="J850" s="20">
        <v>0.51</v>
      </c>
      <c r="K850" s="20">
        <v>44.0</v>
      </c>
      <c r="P850" s="130"/>
    </row>
    <row r="851">
      <c r="C851" s="120"/>
      <c r="H851" s="20">
        <v>43.0</v>
      </c>
      <c r="J851" s="20">
        <v>0.49</v>
      </c>
      <c r="K851" s="20">
        <v>43.0</v>
      </c>
      <c r="P851" s="130"/>
    </row>
    <row r="852">
      <c r="C852" s="120"/>
      <c r="H852" s="20">
        <v>47.0</v>
      </c>
      <c r="J852" s="20">
        <v>0.48</v>
      </c>
      <c r="K852" s="20">
        <v>41.0</v>
      </c>
      <c r="P852" s="130"/>
    </row>
    <row r="853">
      <c r="C853" s="120"/>
      <c r="H853" s="20">
        <v>44.0</v>
      </c>
      <c r="J853" s="20">
        <v>0.46</v>
      </c>
      <c r="K853" s="20">
        <v>43.0</v>
      </c>
      <c r="P853" s="130"/>
    </row>
    <row r="854">
      <c r="C854" s="120"/>
      <c r="H854" s="20">
        <v>46.0</v>
      </c>
      <c r="J854" s="20">
        <v>0.48</v>
      </c>
      <c r="K854" s="20">
        <v>43.0</v>
      </c>
      <c r="P854" s="130"/>
    </row>
    <row r="855">
      <c r="C855" s="120"/>
      <c r="H855" s="20">
        <v>41.0</v>
      </c>
      <c r="J855" s="20">
        <v>0.48</v>
      </c>
      <c r="K855" s="20">
        <v>42.0</v>
      </c>
      <c r="P855" s="130"/>
    </row>
    <row r="856">
      <c r="C856" s="120"/>
      <c r="H856" s="20">
        <v>40.0</v>
      </c>
      <c r="J856" s="20">
        <v>0.45</v>
      </c>
      <c r="K856" s="20">
        <v>41.0</v>
      </c>
      <c r="P856" s="130"/>
    </row>
    <row r="857">
      <c r="C857" s="120"/>
      <c r="H857" s="20">
        <v>47.0</v>
      </c>
      <c r="J857" s="20">
        <v>0.48</v>
      </c>
      <c r="K857" s="20">
        <v>40.0</v>
      </c>
      <c r="P857" s="130"/>
    </row>
    <row r="858">
      <c r="C858" s="120"/>
      <c r="H858" s="20">
        <v>45.0</v>
      </c>
      <c r="J858" s="20">
        <v>0.45</v>
      </c>
      <c r="K858" s="20">
        <v>44.0</v>
      </c>
      <c r="P858" s="130"/>
    </row>
    <row r="859">
      <c r="C859" s="120"/>
      <c r="H859" s="20">
        <v>38.0</v>
      </c>
      <c r="J859" s="20">
        <v>0.47</v>
      </c>
      <c r="K859" s="20">
        <v>47.0</v>
      </c>
      <c r="P859" s="130"/>
    </row>
    <row r="860">
      <c r="C860" s="120"/>
      <c r="H860" s="20">
        <v>51.0</v>
      </c>
      <c r="J860" s="20">
        <v>0.49</v>
      </c>
      <c r="K860" s="20">
        <v>43.0</v>
      </c>
      <c r="P860" s="130"/>
    </row>
    <row r="861">
      <c r="C861" s="120"/>
      <c r="H861" s="20">
        <v>48.0</v>
      </c>
      <c r="J861" s="20">
        <v>0.47</v>
      </c>
      <c r="K861" s="20">
        <v>40.0</v>
      </c>
      <c r="P861" s="130"/>
    </row>
    <row r="862">
      <c r="C862" s="120"/>
      <c r="H862" s="20">
        <v>43.0</v>
      </c>
      <c r="J862" s="20">
        <v>0.47</v>
      </c>
      <c r="K862" s="20">
        <v>42.0</v>
      </c>
      <c r="P862" s="130"/>
    </row>
    <row r="863">
      <c r="C863" s="120"/>
      <c r="H863" s="20">
        <v>45.0</v>
      </c>
      <c r="J863" s="20">
        <v>0.45</v>
      </c>
      <c r="K863" s="20">
        <v>41.0</v>
      </c>
      <c r="P863" s="130"/>
    </row>
    <row r="864">
      <c r="C864" s="120"/>
      <c r="H864" s="20">
        <v>41.0</v>
      </c>
      <c r="J864" s="20">
        <v>0.49</v>
      </c>
      <c r="K864" s="20">
        <v>40.0</v>
      </c>
      <c r="P864" s="130"/>
    </row>
    <row r="865">
      <c r="C865" s="120"/>
      <c r="H865" s="20">
        <v>44.0</v>
      </c>
      <c r="J865" s="20">
        <v>0.48</v>
      </c>
      <c r="K865" s="20">
        <v>41.0</v>
      </c>
      <c r="P865" s="130"/>
    </row>
    <row r="866">
      <c r="C866" s="120"/>
      <c r="H866" s="20">
        <v>44.0</v>
      </c>
      <c r="J866" s="20">
        <v>0.48</v>
      </c>
      <c r="K866" s="20">
        <v>44.0</v>
      </c>
      <c r="P866" s="130"/>
    </row>
    <row r="867">
      <c r="C867" s="120"/>
      <c r="H867" s="20">
        <v>41.0</v>
      </c>
      <c r="J867" s="20">
        <v>0.45</v>
      </c>
      <c r="K867" s="20">
        <v>46.0</v>
      </c>
      <c r="P867" s="130"/>
    </row>
    <row r="868">
      <c r="C868" s="120"/>
      <c r="H868" s="20">
        <v>45.0</v>
      </c>
      <c r="J868" s="20">
        <v>0.45</v>
      </c>
      <c r="K868" s="20">
        <v>43.0</v>
      </c>
      <c r="P868" s="130"/>
    </row>
    <row r="869">
      <c r="C869" s="120"/>
      <c r="H869" s="20">
        <v>48.0</v>
      </c>
      <c r="J869" s="20">
        <v>0.44</v>
      </c>
      <c r="K869" s="20">
        <v>39.0</v>
      </c>
      <c r="P869" s="130"/>
    </row>
    <row r="870">
      <c r="C870" s="120"/>
      <c r="H870" s="20">
        <v>39.0</v>
      </c>
      <c r="J870" s="20">
        <v>0.47</v>
      </c>
      <c r="K870" s="20">
        <v>50.0</v>
      </c>
      <c r="P870" s="130"/>
    </row>
    <row r="871">
      <c r="C871" s="120"/>
      <c r="H871" s="20">
        <v>38.0</v>
      </c>
      <c r="J871" s="20">
        <v>0.46</v>
      </c>
      <c r="K871" s="20">
        <v>50.0</v>
      </c>
      <c r="P871" s="130"/>
    </row>
    <row r="872">
      <c r="C872" s="120"/>
      <c r="H872" s="20">
        <v>46.0</v>
      </c>
      <c r="J872" s="20">
        <v>0.47</v>
      </c>
      <c r="K872" s="20">
        <v>45.0</v>
      </c>
      <c r="P872" s="130"/>
    </row>
    <row r="873">
      <c r="C873" s="120"/>
      <c r="H873" s="20">
        <v>50.0</v>
      </c>
      <c r="J873" s="20">
        <v>0.46</v>
      </c>
      <c r="K873" s="20">
        <v>42.0</v>
      </c>
      <c r="P873" s="130"/>
    </row>
    <row r="874">
      <c r="C874" s="120"/>
      <c r="H874" s="20">
        <v>48.0</v>
      </c>
      <c r="J874" s="20">
        <v>0.5</v>
      </c>
      <c r="K874" s="20">
        <v>47.0</v>
      </c>
      <c r="P874" s="130"/>
    </row>
    <row r="875">
      <c r="C875" s="120"/>
      <c r="H875" s="20">
        <v>50.0</v>
      </c>
      <c r="J875" s="20">
        <v>0.63</v>
      </c>
      <c r="K875" s="20">
        <v>40.0</v>
      </c>
      <c r="P875" s="130"/>
    </row>
    <row r="876">
      <c r="C876" s="120"/>
      <c r="H876" s="20">
        <v>40.0</v>
      </c>
      <c r="J876" s="20">
        <v>0.5</v>
      </c>
      <c r="K876" s="20">
        <v>44.0</v>
      </c>
      <c r="P876" s="130"/>
    </row>
    <row r="877">
      <c r="C877" s="120"/>
      <c r="H877" s="20">
        <v>45.0</v>
      </c>
      <c r="J877" s="20">
        <v>0.44</v>
      </c>
      <c r="K877" s="20">
        <v>40.0</v>
      </c>
      <c r="P877" s="130"/>
    </row>
    <row r="878">
      <c r="C878" s="120"/>
      <c r="H878" s="20">
        <v>45.0</v>
      </c>
      <c r="J878" s="20">
        <v>0.56</v>
      </c>
      <c r="K878" s="20">
        <v>43.0</v>
      </c>
      <c r="P878" s="130"/>
    </row>
    <row r="879">
      <c r="C879" s="120"/>
      <c r="H879" s="20">
        <v>43.0</v>
      </c>
      <c r="J879" s="20">
        <v>0.5</v>
      </c>
      <c r="K879" s="20">
        <v>46.0</v>
      </c>
      <c r="P879" s="130"/>
    </row>
    <row r="880">
      <c r="C880" s="120"/>
      <c r="H880" s="20">
        <v>42.0</v>
      </c>
      <c r="J880" s="20">
        <v>0.53</v>
      </c>
      <c r="K880" s="20">
        <v>48.0</v>
      </c>
      <c r="P880" s="130"/>
    </row>
    <row r="881">
      <c r="C881" s="120"/>
      <c r="H881" s="20">
        <v>48.0</v>
      </c>
      <c r="J881" s="20">
        <v>0.53</v>
      </c>
      <c r="K881" s="20">
        <v>49.0</v>
      </c>
      <c r="P881" s="130"/>
    </row>
    <row r="882">
      <c r="C882" s="120"/>
      <c r="H882" s="20">
        <v>48.0</v>
      </c>
      <c r="J882" s="20">
        <v>0.51</v>
      </c>
      <c r="K882" s="20">
        <v>47.0</v>
      </c>
      <c r="P882" s="130"/>
    </row>
    <row r="883">
      <c r="C883" s="120"/>
      <c r="H883" s="20">
        <v>46.0</v>
      </c>
      <c r="J883" s="20">
        <v>0.52</v>
      </c>
      <c r="K883" s="20">
        <v>41.0</v>
      </c>
      <c r="P883" s="130"/>
    </row>
    <row r="884">
      <c r="C884" s="120"/>
      <c r="H884" s="20">
        <v>40.0</v>
      </c>
      <c r="J884" s="20">
        <v>0.52</v>
      </c>
      <c r="K884" s="20">
        <v>40.0</v>
      </c>
      <c r="P884" s="130"/>
    </row>
    <row r="885">
      <c r="C885" s="120"/>
      <c r="H885" s="20">
        <v>40.0</v>
      </c>
      <c r="J885" s="20">
        <v>0.62</v>
      </c>
      <c r="K885" s="20">
        <v>40.0</v>
      </c>
      <c r="P885" s="130"/>
    </row>
    <row r="886">
      <c r="C886" s="120"/>
      <c r="H886" s="20">
        <v>37.0</v>
      </c>
      <c r="J886" s="20">
        <v>0.57</v>
      </c>
      <c r="K886" s="20">
        <v>41.0</v>
      </c>
      <c r="P886" s="130"/>
    </row>
    <row r="887">
      <c r="C887" s="120"/>
      <c r="H887" s="20">
        <v>42.0</v>
      </c>
      <c r="J887" s="20">
        <v>0.62</v>
      </c>
      <c r="K887" s="20">
        <v>46.0</v>
      </c>
      <c r="P887" s="130"/>
    </row>
    <row r="888">
      <c r="C888" s="120"/>
      <c r="H888" s="20">
        <v>46.0</v>
      </c>
      <c r="J888" s="20">
        <v>0.52</v>
      </c>
      <c r="K888" s="20">
        <v>46.0</v>
      </c>
      <c r="P888" s="130"/>
    </row>
    <row r="889">
      <c r="C889" s="120"/>
      <c r="H889" s="20">
        <v>46.0</v>
      </c>
      <c r="J889" s="20">
        <v>0.5</v>
      </c>
      <c r="K889" s="20">
        <v>43.0</v>
      </c>
      <c r="P889" s="130"/>
    </row>
    <row r="890">
      <c r="C890" s="120"/>
      <c r="H890" s="20">
        <v>44.0</v>
      </c>
      <c r="J890" s="20">
        <v>0.57</v>
      </c>
      <c r="K890" s="20">
        <v>46.0</v>
      </c>
      <c r="P890" s="130"/>
    </row>
    <row r="891">
      <c r="C891" s="120"/>
      <c r="H891" s="20">
        <v>38.0</v>
      </c>
      <c r="J891" s="20">
        <v>0.47</v>
      </c>
      <c r="K891" s="20">
        <v>40.0</v>
      </c>
      <c r="P891" s="130"/>
    </row>
    <row r="892">
      <c r="C892" s="120"/>
      <c r="H892" s="20">
        <v>46.0</v>
      </c>
      <c r="J892" s="20">
        <v>0.56</v>
      </c>
      <c r="K892" s="20">
        <v>44.0</v>
      </c>
      <c r="P892" s="130"/>
    </row>
    <row r="893">
      <c r="C893" s="120"/>
      <c r="H893" s="20">
        <v>49.0</v>
      </c>
      <c r="J893" s="20">
        <v>0.61</v>
      </c>
      <c r="K893" s="20">
        <v>43.0</v>
      </c>
      <c r="P893" s="130"/>
    </row>
    <row r="894">
      <c r="C894" s="120"/>
      <c r="H894" s="20">
        <v>47.0</v>
      </c>
      <c r="J894" s="20">
        <v>0.56</v>
      </c>
      <c r="K894" s="20">
        <v>47.0</v>
      </c>
      <c r="P894" s="130"/>
    </row>
    <row r="895">
      <c r="C895" s="120"/>
      <c r="H895" s="20">
        <v>50.0</v>
      </c>
      <c r="J895" s="20">
        <v>0.51</v>
      </c>
      <c r="K895" s="20">
        <v>48.0</v>
      </c>
      <c r="P895" s="130"/>
    </row>
    <row r="896">
      <c r="C896" s="120"/>
      <c r="H896" s="20">
        <v>50.0</v>
      </c>
      <c r="J896" s="20">
        <v>0.64</v>
      </c>
      <c r="K896" s="20">
        <v>46.0</v>
      </c>
      <c r="P896" s="130"/>
    </row>
    <row r="897">
      <c r="C897" s="120"/>
      <c r="H897" s="20">
        <v>45.0</v>
      </c>
      <c r="J897" s="20">
        <v>0.49</v>
      </c>
      <c r="K897" s="20">
        <v>48.0</v>
      </c>
      <c r="P897" s="130"/>
    </row>
    <row r="898">
      <c r="C898" s="120"/>
      <c r="H898" s="20">
        <v>52.0</v>
      </c>
      <c r="J898" s="20">
        <v>0.6</v>
      </c>
      <c r="K898" s="20">
        <v>41.0</v>
      </c>
      <c r="P898" s="130"/>
    </row>
    <row r="899">
      <c r="C899" s="120"/>
      <c r="H899" s="20">
        <v>50.0</v>
      </c>
      <c r="J899" s="20">
        <v>0.54</v>
      </c>
      <c r="K899" s="20">
        <v>42.0</v>
      </c>
      <c r="P899" s="130"/>
    </row>
    <row r="900">
      <c r="C900" s="120"/>
      <c r="H900" s="20">
        <v>47.0</v>
      </c>
      <c r="J900" s="20">
        <v>0.51</v>
      </c>
      <c r="K900" s="20">
        <v>38.0</v>
      </c>
      <c r="P900" s="130"/>
    </row>
    <row r="901">
      <c r="C901" s="120"/>
      <c r="H901" s="20">
        <v>43.0</v>
      </c>
      <c r="J901" s="20">
        <v>0.45</v>
      </c>
      <c r="K901" s="20">
        <v>46.0</v>
      </c>
      <c r="P901" s="130"/>
    </row>
    <row r="902">
      <c r="C902" s="120"/>
      <c r="H902" s="20">
        <v>46.0</v>
      </c>
      <c r="J902" s="20">
        <v>0.52</v>
      </c>
      <c r="K902" s="20">
        <v>41.0</v>
      </c>
      <c r="P902" s="130"/>
    </row>
    <row r="903">
      <c r="C903" s="120"/>
      <c r="H903" s="20">
        <v>49.0</v>
      </c>
      <c r="J903" s="20">
        <v>0.43</v>
      </c>
      <c r="K903" s="20">
        <v>46.0</v>
      </c>
      <c r="P903" s="130"/>
    </row>
    <row r="904">
      <c r="C904" s="120"/>
      <c r="H904" s="20">
        <v>46.0</v>
      </c>
      <c r="J904" s="20">
        <v>0.49</v>
      </c>
      <c r="K904" s="20">
        <v>44.0</v>
      </c>
      <c r="P904" s="130"/>
    </row>
    <row r="905">
      <c r="C905" s="120"/>
      <c r="H905" s="20">
        <v>44.0</v>
      </c>
      <c r="J905" s="20">
        <v>0.42</v>
      </c>
      <c r="K905" s="20">
        <v>49.0</v>
      </c>
      <c r="P905" s="130"/>
    </row>
    <row r="906">
      <c r="C906" s="120"/>
      <c r="H906" s="20">
        <v>44.0</v>
      </c>
      <c r="J906" s="20">
        <v>0.51</v>
      </c>
      <c r="K906" s="20">
        <v>49.0</v>
      </c>
      <c r="P906" s="130"/>
    </row>
    <row r="907">
      <c r="C907" s="120"/>
      <c r="H907" s="20">
        <v>40.0</v>
      </c>
      <c r="J907" s="20">
        <v>0.52</v>
      </c>
      <c r="K907" s="20">
        <v>48.0</v>
      </c>
      <c r="P907" s="130"/>
    </row>
    <row r="908">
      <c r="C908" s="120"/>
      <c r="H908" s="20">
        <v>38.0</v>
      </c>
      <c r="J908" s="20">
        <v>0.56</v>
      </c>
      <c r="K908" s="20">
        <v>48.0</v>
      </c>
      <c r="P908" s="130"/>
    </row>
    <row r="909">
      <c r="C909" s="120"/>
      <c r="H909" s="20">
        <v>42.0</v>
      </c>
      <c r="J909" s="20">
        <v>0.51</v>
      </c>
      <c r="K909" s="20">
        <v>46.0</v>
      </c>
      <c r="P909" s="130"/>
    </row>
    <row r="910">
      <c r="C910" s="120"/>
      <c r="H910" s="20">
        <v>46.0</v>
      </c>
      <c r="J910" s="20">
        <v>0.44</v>
      </c>
      <c r="K910" s="20">
        <v>46.0</v>
      </c>
      <c r="P910" s="130"/>
    </row>
    <row r="911">
      <c r="C911" s="120"/>
      <c r="H911" s="20">
        <v>43.0</v>
      </c>
      <c r="J911" s="20">
        <v>0.5</v>
      </c>
      <c r="K911" s="20">
        <v>46.0</v>
      </c>
      <c r="P911" s="130"/>
    </row>
    <row r="912">
      <c r="C912" s="120"/>
      <c r="H912" s="20">
        <v>47.0</v>
      </c>
      <c r="J912" s="20">
        <v>0.55</v>
      </c>
      <c r="K912" s="20">
        <v>45.0</v>
      </c>
      <c r="P912" s="130"/>
    </row>
    <row r="913">
      <c r="C913" s="120"/>
      <c r="H913" s="20">
        <v>47.0</v>
      </c>
      <c r="J913" s="20">
        <v>0.52</v>
      </c>
      <c r="K913" s="20">
        <v>46.0</v>
      </c>
      <c r="P913" s="130"/>
    </row>
    <row r="914">
      <c r="C914" s="120"/>
      <c r="H914" s="20">
        <v>47.0</v>
      </c>
      <c r="J914" s="20">
        <v>0.49</v>
      </c>
      <c r="K914" s="20">
        <v>43.0</v>
      </c>
      <c r="P914" s="130"/>
    </row>
    <row r="915">
      <c r="C915" s="120"/>
      <c r="H915" s="20">
        <v>38.0</v>
      </c>
      <c r="J915" s="20">
        <v>0.5</v>
      </c>
      <c r="K915" s="20">
        <v>48.0</v>
      </c>
      <c r="P915" s="130"/>
    </row>
    <row r="916">
      <c r="C916" s="120"/>
      <c r="H916" s="20">
        <v>41.0</v>
      </c>
      <c r="J916" s="20">
        <v>0.57</v>
      </c>
      <c r="K916" s="20">
        <v>42.0</v>
      </c>
      <c r="P916" s="130"/>
    </row>
    <row r="917">
      <c r="C917" s="120"/>
      <c r="H917" s="20">
        <v>44.0</v>
      </c>
      <c r="J917" s="20">
        <v>0.49</v>
      </c>
      <c r="K917" s="20">
        <v>49.0</v>
      </c>
      <c r="P917" s="130"/>
    </row>
    <row r="918">
      <c r="C918" s="120"/>
      <c r="H918" s="20">
        <v>43.0</v>
      </c>
      <c r="J918" s="20">
        <v>0.56</v>
      </c>
      <c r="K918" s="20">
        <v>42.0</v>
      </c>
      <c r="P918" s="130"/>
    </row>
    <row r="919">
      <c r="C919" s="120"/>
      <c r="H919" s="20">
        <v>45.0</v>
      </c>
      <c r="J919" s="20">
        <v>0.5</v>
      </c>
      <c r="K919" s="20">
        <v>44.0</v>
      </c>
      <c r="P919" s="130"/>
    </row>
    <row r="920">
      <c r="C920" s="120"/>
      <c r="H920" s="20">
        <v>44.0</v>
      </c>
      <c r="J920" s="20">
        <v>0.42</v>
      </c>
      <c r="K920" s="20">
        <v>48.0</v>
      </c>
      <c r="P920" s="130"/>
    </row>
    <row r="921">
      <c r="C921" s="120"/>
      <c r="H921" s="20">
        <v>44.0</v>
      </c>
      <c r="J921" s="20">
        <v>0.57</v>
      </c>
      <c r="K921" s="20">
        <v>49.0</v>
      </c>
      <c r="P921" s="130"/>
    </row>
    <row r="922">
      <c r="C922" s="120"/>
      <c r="H922" s="20">
        <v>43.0</v>
      </c>
      <c r="J922" s="20">
        <v>0.55</v>
      </c>
      <c r="K922" s="20">
        <v>38.0</v>
      </c>
      <c r="P922" s="130"/>
    </row>
    <row r="923">
      <c r="C923" s="120"/>
      <c r="H923" s="20">
        <v>41.0</v>
      </c>
      <c r="J923" s="20">
        <v>0.52</v>
      </c>
      <c r="K923" s="20">
        <v>45.0</v>
      </c>
      <c r="P923" s="130"/>
    </row>
    <row r="924">
      <c r="C924" s="120"/>
      <c r="H924" s="20">
        <v>41.0</v>
      </c>
      <c r="J924" s="20">
        <v>0.49</v>
      </c>
      <c r="K924" s="20">
        <v>53.0</v>
      </c>
      <c r="P924" s="130"/>
    </row>
    <row r="925">
      <c r="C925" s="120"/>
      <c r="H925" s="20">
        <v>45.0</v>
      </c>
      <c r="J925" s="20">
        <v>0.44</v>
      </c>
      <c r="K925" s="20">
        <v>43.0</v>
      </c>
      <c r="P925" s="130"/>
    </row>
    <row r="926">
      <c r="C926" s="120"/>
      <c r="H926" s="20">
        <v>37.0</v>
      </c>
      <c r="J926" s="20">
        <v>0.57</v>
      </c>
      <c r="K926" s="20">
        <v>39.0</v>
      </c>
      <c r="P926" s="130"/>
    </row>
    <row r="927">
      <c r="C927" s="120"/>
      <c r="H927" s="20">
        <v>45.0</v>
      </c>
      <c r="J927" s="20">
        <v>0.49</v>
      </c>
      <c r="K927" s="20">
        <v>44.0</v>
      </c>
      <c r="P927" s="130"/>
    </row>
    <row r="928">
      <c r="C928" s="120"/>
      <c r="H928" s="20">
        <v>41.0</v>
      </c>
      <c r="J928" s="20">
        <v>0.5</v>
      </c>
      <c r="K928" s="20">
        <v>48.0</v>
      </c>
      <c r="P928" s="130"/>
    </row>
    <row r="929">
      <c r="C929" s="120"/>
      <c r="H929" s="20">
        <v>42.0</v>
      </c>
      <c r="J929" s="20">
        <v>0.54</v>
      </c>
      <c r="K929" s="20">
        <v>43.0</v>
      </c>
      <c r="P929" s="130"/>
    </row>
    <row r="930">
      <c r="C930" s="120"/>
      <c r="H930" s="20">
        <v>44.0</v>
      </c>
      <c r="J930" s="20">
        <v>0.49</v>
      </c>
      <c r="K930" s="20">
        <v>43.0</v>
      </c>
      <c r="P930" s="130"/>
    </row>
    <row r="931">
      <c r="C931" s="120"/>
      <c r="H931" s="20">
        <v>45.0</v>
      </c>
      <c r="J931" s="20">
        <v>0.52</v>
      </c>
      <c r="K931" s="20">
        <v>47.0</v>
      </c>
      <c r="P931" s="130"/>
    </row>
    <row r="932">
      <c r="C932" s="120"/>
      <c r="H932" s="20">
        <v>40.0</v>
      </c>
      <c r="J932" s="20">
        <v>0.52</v>
      </c>
      <c r="K932" s="20">
        <v>41.0</v>
      </c>
      <c r="P932" s="130"/>
    </row>
    <row r="933">
      <c r="C933" s="120"/>
      <c r="H933" s="20">
        <v>42.0</v>
      </c>
      <c r="J933" s="20">
        <v>0.53</v>
      </c>
      <c r="K933" s="20">
        <v>48.0</v>
      </c>
      <c r="P933" s="130"/>
    </row>
    <row r="934">
      <c r="C934" s="120"/>
      <c r="H934" s="20">
        <v>48.0</v>
      </c>
      <c r="J934" s="20">
        <v>0.48</v>
      </c>
      <c r="K934" s="20">
        <v>45.0</v>
      </c>
      <c r="P934" s="130"/>
    </row>
    <row r="935">
      <c r="C935" s="120"/>
      <c r="H935" s="20">
        <v>48.0</v>
      </c>
      <c r="J935" s="20">
        <v>0.49</v>
      </c>
      <c r="K935" s="20">
        <v>45.0</v>
      </c>
      <c r="P935" s="130"/>
    </row>
    <row r="936">
      <c r="C936" s="120"/>
      <c r="H936" s="20">
        <v>45.0</v>
      </c>
      <c r="J936" s="20">
        <v>0.5</v>
      </c>
      <c r="K936" s="20">
        <v>41.0</v>
      </c>
      <c r="P936" s="130"/>
    </row>
    <row r="937">
      <c r="C937" s="120"/>
      <c r="H937" s="20">
        <v>42.0</v>
      </c>
      <c r="J937" s="20">
        <v>0.51</v>
      </c>
      <c r="K937" s="20">
        <v>48.0</v>
      </c>
      <c r="P937" s="130"/>
    </row>
    <row r="938">
      <c r="C938" s="120"/>
      <c r="H938" s="20">
        <v>49.0</v>
      </c>
      <c r="J938" s="20">
        <v>0.48</v>
      </c>
      <c r="K938" s="20">
        <v>43.0</v>
      </c>
      <c r="P938" s="130"/>
    </row>
    <row r="939">
      <c r="C939" s="120"/>
      <c r="H939" s="20">
        <v>45.0</v>
      </c>
      <c r="J939" s="20">
        <v>0.5</v>
      </c>
      <c r="K939" s="20">
        <v>42.0</v>
      </c>
      <c r="P939" s="130"/>
    </row>
    <row r="940">
      <c r="C940" s="120"/>
      <c r="H940" s="20">
        <v>43.0</v>
      </c>
      <c r="J940" s="20">
        <v>0.51</v>
      </c>
      <c r="K940" s="20">
        <v>41.0</v>
      </c>
      <c r="P940" s="130"/>
    </row>
    <row r="941">
      <c r="C941" s="120"/>
      <c r="H941" s="20">
        <v>44.0</v>
      </c>
      <c r="J941" s="20">
        <v>0.45</v>
      </c>
      <c r="K941" s="20">
        <v>37.0</v>
      </c>
      <c r="P941" s="130"/>
    </row>
    <row r="942">
      <c r="C942" s="120"/>
      <c r="H942" s="20">
        <v>43.0</v>
      </c>
      <c r="J942" s="20">
        <v>0.51</v>
      </c>
      <c r="K942" s="20">
        <v>37.0</v>
      </c>
      <c r="P942" s="130"/>
    </row>
    <row r="943">
      <c r="C943" s="120"/>
      <c r="H943" s="20">
        <v>44.0</v>
      </c>
      <c r="J943" s="20">
        <v>0.48</v>
      </c>
      <c r="K943" s="20">
        <v>47.0</v>
      </c>
      <c r="P943" s="130"/>
    </row>
    <row r="944">
      <c r="C944" s="120"/>
      <c r="H944" s="20">
        <v>44.0</v>
      </c>
      <c r="J944" s="20">
        <v>0.49</v>
      </c>
      <c r="K944" s="20">
        <v>45.0</v>
      </c>
      <c r="P944" s="130"/>
    </row>
    <row r="945">
      <c r="C945" s="120"/>
      <c r="H945" s="20">
        <v>46.0</v>
      </c>
      <c r="J945" s="20">
        <v>0.47</v>
      </c>
      <c r="K945" s="20">
        <v>42.0</v>
      </c>
      <c r="P945" s="130"/>
    </row>
    <row r="946">
      <c r="C946" s="120"/>
      <c r="H946" s="20">
        <v>45.0</v>
      </c>
      <c r="J946" s="20">
        <v>0.52</v>
      </c>
      <c r="K946" s="20">
        <v>45.0</v>
      </c>
      <c r="P946" s="130"/>
    </row>
    <row r="947">
      <c r="C947" s="120"/>
      <c r="H947" s="20">
        <v>48.0</v>
      </c>
      <c r="J947" s="20">
        <v>0.47</v>
      </c>
      <c r="K947" s="20">
        <v>42.0</v>
      </c>
      <c r="P947" s="130"/>
    </row>
    <row r="948">
      <c r="C948" s="120"/>
      <c r="H948" s="20">
        <v>45.0</v>
      </c>
      <c r="J948" s="20">
        <v>0.57</v>
      </c>
      <c r="K948" s="20">
        <v>43.0</v>
      </c>
      <c r="P948" s="130"/>
    </row>
    <row r="949">
      <c r="C949" s="120"/>
      <c r="H949" s="20">
        <v>41.0</v>
      </c>
      <c r="J949" s="20">
        <v>0.54</v>
      </c>
      <c r="K949" s="20">
        <v>42.0</v>
      </c>
      <c r="P949" s="130"/>
    </row>
    <row r="950">
      <c r="C950" s="120"/>
      <c r="H950" s="20">
        <v>45.0</v>
      </c>
      <c r="J950" s="20">
        <v>0.49</v>
      </c>
      <c r="K950" s="20">
        <v>40.0</v>
      </c>
      <c r="P950" s="130"/>
    </row>
    <row r="951">
      <c r="C951" s="120"/>
      <c r="H951" s="20">
        <v>39.0</v>
      </c>
      <c r="J951" s="20">
        <v>0.53</v>
      </c>
      <c r="K951" s="20">
        <v>53.0</v>
      </c>
      <c r="P951" s="130"/>
    </row>
    <row r="952">
      <c r="C952" s="120"/>
      <c r="H952" s="20">
        <v>52.0</v>
      </c>
      <c r="J952" s="20">
        <v>0.52</v>
      </c>
      <c r="K952" s="20">
        <v>40.0</v>
      </c>
      <c r="P952" s="130"/>
    </row>
    <row r="953">
      <c r="C953" s="120"/>
      <c r="H953" s="20">
        <v>55.0</v>
      </c>
      <c r="J953" s="20">
        <v>0.56</v>
      </c>
      <c r="K953" s="20">
        <v>45.0</v>
      </c>
      <c r="P953" s="130"/>
    </row>
    <row r="954">
      <c r="C954" s="120"/>
      <c r="H954" s="20">
        <v>44.0</v>
      </c>
      <c r="J954" s="20">
        <v>0.52</v>
      </c>
      <c r="K954" s="20">
        <v>46.0</v>
      </c>
      <c r="P954" s="130"/>
    </row>
    <row r="955">
      <c r="C955" s="120"/>
      <c r="H955" s="20">
        <v>45.0</v>
      </c>
      <c r="J955" s="20">
        <v>0.47</v>
      </c>
      <c r="K955" s="20">
        <v>48.0</v>
      </c>
      <c r="P955" s="130"/>
    </row>
    <row r="956">
      <c r="C956" s="120"/>
      <c r="H956" s="20">
        <v>45.0</v>
      </c>
      <c r="J956" s="20">
        <v>0.44</v>
      </c>
      <c r="K956" s="20">
        <v>46.0</v>
      </c>
      <c r="P956" s="130"/>
    </row>
    <row r="957">
      <c r="C957" s="120"/>
      <c r="H957" s="20">
        <v>47.0</v>
      </c>
      <c r="J957" s="20">
        <v>0.49</v>
      </c>
      <c r="K957" s="20">
        <v>43.0</v>
      </c>
      <c r="P957" s="130"/>
    </row>
    <row r="958">
      <c r="C958" s="120"/>
      <c r="H958" s="20">
        <v>43.0</v>
      </c>
      <c r="J958" s="20">
        <v>0.51</v>
      </c>
      <c r="K958" s="20">
        <v>43.0</v>
      </c>
      <c r="P958" s="130"/>
    </row>
    <row r="959">
      <c r="C959" s="120"/>
      <c r="H959" s="20">
        <v>45.0</v>
      </c>
      <c r="J959" s="20">
        <v>0.48</v>
      </c>
      <c r="K959" s="20">
        <v>48.0</v>
      </c>
      <c r="P959" s="130"/>
    </row>
    <row r="960">
      <c r="C960" s="120"/>
      <c r="H960" s="20">
        <v>50.0</v>
      </c>
      <c r="J960" s="20">
        <v>0.48</v>
      </c>
      <c r="K960" s="20">
        <v>51.0</v>
      </c>
      <c r="P960" s="130"/>
    </row>
    <row r="961">
      <c r="C961" s="120"/>
      <c r="H961" s="20">
        <v>44.0</v>
      </c>
      <c r="J961" s="20">
        <v>0.53</v>
      </c>
      <c r="K961" s="20">
        <v>49.0</v>
      </c>
      <c r="P961" s="130"/>
    </row>
    <row r="962">
      <c r="C962" s="120"/>
      <c r="H962" s="20">
        <v>44.0</v>
      </c>
      <c r="J962" s="20">
        <v>0.54</v>
      </c>
      <c r="K962" s="20">
        <v>42.0</v>
      </c>
      <c r="P962" s="130"/>
    </row>
    <row r="963">
      <c r="C963" s="120"/>
      <c r="H963" s="20">
        <v>42.0</v>
      </c>
      <c r="J963" s="20">
        <v>0.48</v>
      </c>
      <c r="K963" s="20">
        <v>40.0</v>
      </c>
      <c r="P963" s="130"/>
    </row>
    <row r="964">
      <c r="C964" s="120"/>
      <c r="H964" s="20">
        <v>41.0</v>
      </c>
      <c r="J964" s="20">
        <v>0.48</v>
      </c>
      <c r="K964" s="20">
        <v>45.0</v>
      </c>
      <c r="P964" s="130"/>
    </row>
    <row r="965">
      <c r="C965" s="120"/>
      <c r="H965" s="20">
        <v>49.0</v>
      </c>
      <c r="J965" s="20">
        <v>0.47</v>
      </c>
      <c r="K965" s="20">
        <v>45.0</v>
      </c>
      <c r="P965" s="130"/>
    </row>
    <row r="966">
      <c r="C966" s="120"/>
      <c r="H966" s="20">
        <v>44.0</v>
      </c>
      <c r="J966" s="20">
        <v>0.54</v>
      </c>
      <c r="K966" s="20">
        <v>42.0</v>
      </c>
      <c r="P966" s="130"/>
    </row>
    <row r="967">
      <c r="C967" s="120"/>
      <c r="H967" s="20">
        <v>44.0</v>
      </c>
      <c r="J967" s="20">
        <v>0.49</v>
      </c>
      <c r="K967" s="20">
        <v>47.0</v>
      </c>
      <c r="P967" s="130"/>
    </row>
    <row r="968">
      <c r="C968" s="120"/>
      <c r="H968" s="20">
        <v>45.0</v>
      </c>
      <c r="J968" s="20">
        <v>0.51</v>
      </c>
      <c r="K968" s="20">
        <v>53.0</v>
      </c>
      <c r="P968" s="130"/>
    </row>
    <row r="969">
      <c r="C969" s="120"/>
      <c r="H969" s="20">
        <v>47.0</v>
      </c>
      <c r="J969" s="20">
        <v>0.51</v>
      </c>
      <c r="K969" s="20">
        <v>44.0</v>
      </c>
      <c r="P969" s="130"/>
    </row>
    <row r="970">
      <c r="C970" s="120"/>
      <c r="H970" s="20">
        <v>45.0</v>
      </c>
      <c r="J970" s="20">
        <v>0.49</v>
      </c>
      <c r="K970" s="20">
        <v>48.0</v>
      </c>
      <c r="P970" s="130"/>
    </row>
    <row r="971">
      <c r="C971" s="120"/>
      <c r="H971" s="20">
        <v>43.0</v>
      </c>
      <c r="J971" s="20">
        <v>0.5</v>
      </c>
      <c r="K971" s="20">
        <v>45.0</v>
      </c>
      <c r="P971" s="130"/>
    </row>
    <row r="972">
      <c r="C972" s="120"/>
      <c r="H972" s="20">
        <v>44.0</v>
      </c>
      <c r="J972" s="20">
        <v>0.45</v>
      </c>
      <c r="K972" s="20">
        <v>47.0</v>
      </c>
      <c r="P972" s="130"/>
    </row>
    <row r="973">
      <c r="C973" s="120"/>
      <c r="H973" s="20">
        <v>43.0</v>
      </c>
      <c r="J973" s="20">
        <v>0.53</v>
      </c>
      <c r="K973" s="20">
        <v>45.0</v>
      </c>
      <c r="P973" s="130"/>
    </row>
    <row r="974">
      <c r="C974" s="120"/>
      <c r="H974" s="20">
        <v>45.0</v>
      </c>
      <c r="J974" s="20">
        <v>0.48</v>
      </c>
      <c r="K974" s="20">
        <v>41.0</v>
      </c>
      <c r="P974" s="130"/>
    </row>
    <row r="975">
      <c r="C975" s="120"/>
      <c r="H975" s="20">
        <v>43.0</v>
      </c>
      <c r="J975" s="20">
        <v>0.44</v>
      </c>
      <c r="K975" s="20">
        <v>50.0</v>
      </c>
      <c r="P975" s="130"/>
    </row>
    <row r="976">
      <c r="C976" s="120"/>
      <c r="H976" s="20">
        <v>48.0</v>
      </c>
      <c r="J976" s="20">
        <v>0.48</v>
      </c>
      <c r="K976" s="20">
        <v>49.0</v>
      </c>
      <c r="P976" s="130"/>
    </row>
    <row r="977">
      <c r="C977" s="120"/>
      <c r="H977" s="20">
        <v>46.0</v>
      </c>
      <c r="J977" s="20">
        <v>0.52</v>
      </c>
      <c r="K977" s="20">
        <v>43.0</v>
      </c>
      <c r="P977" s="130"/>
    </row>
    <row r="978">
      <c r="C978" s="120"/>
      <c r="H978" s="20">
        <v>49.0</v>
      </c>
      <c r="J978" s="20">
        <v>0.47</v>
      </c>
      <c r="K978" s="20">
        <v>40.0</v>
      </c>
      <c r="P978" s="130"/>
    </row>
    <row r="979">
      <c r="C979" s="120"/>
      <c r="H979" s="20">
        <v>47.0</v>
      </c>
      <c r="J979" s="20">
        <v>0.5</v>
      </c>
      <c r="K979" s="20">
        <v>41.0</v>
      </c>
      <c r="P979" s="130"/>
    </row>
    <row r="980">
      <c r="C980" s="120"/>
      <c r="H980" s="20">
        <v>44.0</v>
      </c>
      <c r="J980" s="20">
        <v>0.52</v>
      </c>
      <c r="K980" s="20">
        <v>41.0</v>
      </c>
      <c r="P980" s="130"/>
    </row>
    <row r="981">
      <c r="C981" s="120"/>
      <c r="H981" s="20">
        <v>48.0</v>
      </c>
      <c r="J981" s="20">
        <v>0.47</v>
      </c>
      <c r="K981" s="20">
        <v>47.0</v>
      </c>
      <c r="P981" s="130"/>
    </row>
    <row r="982">
      <c r="C982" s="120"/>
      <c r="H982" s="20">
        <v>44.0</v>
      </c>
      <c r="J982" s="20">
        <v>0.52</v>
      </c>
      <c r="K982" s="20">
        <v>45.0</v>
      </c>
      <c r="P982" s="130"/>
    </row>
    <row r="983">
      <c r="C983" s="120"/>
      <c r="H983" s="20">
        <v>45.0</v>
      </c>
      <c r="J983" s="20">
        <v>0.52</v>
      </c>
      <c r="K983" s="20">
        <v>48.0</v>
      </c>
      <c r="P983" s="130"/>
    </row>
    <row r="984">
      <c r="C984" s="120"/>
      <c r="H984" s="20">
        <v>45.0</v>
      </c>
      <c r="J984" s="20">
        <v>0.48</v>
      </c>
      <c r="K984" s="20">
        <v>43.0</v>
      </c>
      <c r="P984" s="130"/>
    </row>
    <row r="985">
      <c r="C985" s="120"/>
      <c r="H985" s="20">
        <v>42.0</v>
      </c>
      <c r="J985" s="20">
        <v>0.51</v>
      </c>
      <c r="K985" s="20">
        <v>48.0</v>
      </c>
      <c r="P985" s="130"/>
    </row>
    <row r="986">
      <c r="C986" s="120"/>
      <c r="H986" s="20">
        <v>45.0</v>
      </c>
      <c r="J986" s="20">
        <v>0.45</v>
      </c>
      <c r="K986" s="20">
        <v>45.0</v>
      </c>
      <c r="P986" s="130"/>
    </row>
    <row r="987">
      <c r="C987" s="120"/>
      <c r="H987" s="20">
        <v>40.0</v>
      </c>
      <c r="J987" s="20">
        <v>0.5</v>
      </c>
      <c r="K987" s="20">
        <v>41.0</v>
      </c>
      <c r="P987" s="130"/>
    </row>
    <row r="988">
      <c r="C988" s="120"/>
      <c r="H988" s="20">
        <v>46.0</v>
      </c>
      <c r="J988" s="20">
        <v>0.46</v>
      </c>
      <c r="K988" s="20">
        <v>45.0</v>
      </c>
      <c r="P988" s="130"/>
    </row>
    <row r="989">
      <c r="C989" s="120"/>
      <c r="H989" s="20">
        <v>48.0</v>
      </c>
      <c r="J989" s="20">
        <v>0.45</v>
      </c>
      <c r="K989" s="20">
        <v>43.0</v>
      </c>
      <c r="P989" s="130"/>
    </row>
    <row r="990">
      <c r="C990" s="120"/>
      <c r="H990" s="20">
        <v>47.0</v>
      </c>
      <c r="J990" s="20">
        <v>0.46</v>
      </c>
      <c r="K990" s="20">
        <v>43.0</v>
      </c>
      <c r="P990" s="130"/>
    </row>
    <row r="991">
      <c r="C991" s="120"/>
      <c r="H991" s="20">
        <v>48.0</v>
      </c>
      <c r="J991" s="20">
        <v>0.46</v>
      </c>
      <c r="K991" s="20">
        <v>39.0</v>
      </c>
      <c r="P991" s="130"/>
    </row>
    <row r="992">
      <c r="C992" s="120"/>
      <c r="H992" s="20">
        <v>44.0</v>
      </c>
      <c r="J992" s="20">
        <v>0.53</v>
      </c>
      <c r="K992" s="20">
        <v>41.0</v>
      </c>
      <c r="P992" s="130"/>
    </row>
    <row r="993">
      <c r="C993" s="120"/>
      <c r="H993" s="20">
        <v>43.0</v>
      </c>
      <c r="J993" s="20">
        <v>0.47</v>
      </c>
      <c r="K993" s="20">
        <v>44.0</v>
      </c>
      <c r="P993" s="130"/>
    </row>
    <row r="994">
      <c r="C994" s="120"/>
      <c r="H994" s="20">
        <v>39.0</v>
      </c>
      <c r="J994" s="20">
        <v>0.51</v>
      </c>
      <c r="K994" s="20">
        <v>44.0</v>
      </c>
      <c r="P994" s="130"/>
    </row>
    <row r="995">
      <c r="C995" s="120"/>
      <c r="H995" s="20">
        <v>39.0</v>
      </c>
      <c r="J995" s="20">
        <v>0.46</v>
      </c>
      <c r="K995" s="20">
        <v>45.0</v>
      </c>
      <c r="P995" s="130"/>
    </row>
    <row r="996">
      <c r="C996" s="120"/>
      <c r="H996" s="20">
        <v>43.0</v>
      </c>
      <c r="J996" s="20">
        <v>0.57</v>
      </c>
      <c r="K996" s="20">
        <v>42.0</v>
      </c>
      <c r="P996" s="130"/>
    </row>
    <row r="997">
      <c r="C997" s="120"/>
      <c r="H997" s="20">
        <v>42.0</v>
      </c>
      <c r="J997" s="20">
        <v>0.57</v>
      </c>
      <c r="K997" s="20">
        <v>39.0</v>
      </c>
      <c r="P997" s="130"/>
    </row>
    <row r="998">
      <c r="C998" s="120"/>
      <c r="H998" s="20">
        <v>48.0</v>
      </c>
      <c r="J998" s="20">
        <v>0.47</v>
      </c>
      <c r="K998" s="20">
        <v>46.0</v>
      </c>
      <c r="P998" s="130"/>
    </row>
    <row r="999">
      <c r="C999" s="120"/>
      <c r="H999" s="20">
        <v>43.0</v>
      </c>
      <c r="J999" s="20">
        <v>0.45</v>
      </c>
      <c r="K999" s="20">
        <v>45.0</v>
      </c>
      <c r="P999" s="130"/>
    </row>
    <row r="1000">
      <c r="C1000" s="120"/>
      <c r="H1000" s="20">
        <v>36.0</v>
      </c>
      <c r="J1000" s="20">
        <v>0.61</v>
      </c>
      <c r="K1000" s="20">
        <v>41.0</v>
      </c>
      <c r="P1000" s="130"/>
    </row>
    <row r="1001">
      <c r="C1001" s="120"/>
      <c r="H1001" s="20">
        <v>49.0</v>
      </c>
      <c r="J1001" s="20">
        <v>0.59</v>
      </c>
      <c r="K1001" s="20">
        <v>42.0</v>
      </c>
      <c r="P1001" s="130"/>
    </row>
    <row r="1002">
      <c r="C1002" s="120"/>
      <c r="H1002" s="20">
        <v>42.0</v>
      </c>
      <c r="J1002" s="20">
        <v>0.42</v>
      </c>
      <c r="K1002" s="20">
        <v>42.0</v>
      </c>
      <c r="P1002" s="130"/>
    </row>
    <row r="1003">
      <c r="C1003" s="120"/>
      <c r="H1003" s="20">
        <v>39.0</v>
      </c>
      <c r="J1003" s="20">
        <v>0.55</v>
      </c>
      <c r="K1003" s="20">
        <v>33.0</v>
      </c>
      <c r="P1003" s="130"/>
    </row>
    <row r="1004">
      <c r="C1004" s="120"/>
      <c r="H1004" s="20">
        <v>47.0</v>
      </c>
      <c r="J1004" s="20">
        <v>0.57</v>
      </c>
      <c r="K1004" s="20">
        <v>45.0</v>
      </c>
      <c r="P1004" s="130"/>
    </row>
    <row r="1005">
      <c r="C1005" s="120"/>
      <c r="H1005" s="20">
        <v>40.0</v>
      </c>
      <c r="J1005" s="20">
        <v>0.52</v>
      </c>
      <c r="K1005" s="20">
        <v>46.0</v>
      </c>
      <c r="P1005" s="130"/>
    </row>
    <row r="1006">
      <c r="C1006" s="120"/>
      <c r="H1006" s="20">
        <v>44.0</v>
      </c>
      <c r="J1006" s="20">
        <v>0.48</v>
      </c>
      <c r="K1006" s="20">
        <v>42.0</v>
      </c>
      <c r="P1006" s="130"/>
    </row>
    <row r="1007">
      <c r="C1007" s="120"/>
      <c r="H1007" s="20">
        <v>40.0</v>
      </c>
      <c r="J1007" s="20">
        <v>0.46</v>
      </c>
      <c r="K1007" s="20">
        <v>43.0</v>
      </c>
      <c r="P1007" s="130"/>
    </row>
    <row r="1008">
      <c r="C1008" s="120"/>
      <c r="H1008" s="20">
        <v>39.0</v>
      </c>
      <c r="J1008" s="20">
        <v>0.42</v>
      </c>
      <c r="K1008" s="20">
        <v>46.0</v>
      </c>
      <c r="P1008" s="130"/>
    </row>
    <row r="1009">
      <c r="C1009" s="120"/>
      <c r="H1009" s="20">
        <v>42.0</v>
      </c>
      <c r="J1009" s="20">
        <v>0.47</v>
      </c>
      <c r="K1009" s="20">
        <v>40.0</v>
      </c>
      <c r="P1009" s="130"/>
    </row>
    <row r="1010">
      <c r="C1010" s="120"/>
      <c r="H1010" s="20">
        <v>44.0</v>
      </c>
      <c r="J1010" s="20">
        <v>0.51</v>
      </c>
      <c r="K1010" s="20">
        <v>48.0</v>
      </c>
      <c r="P1010" s="130"/>
    </row>
    <row r="1011">
      <c r="C1011" s="120"/>
      <c r="H1011" s="20">
        <v>44.0</v>
      </c>
      <c r="J1011" s="20">
        <v>0.49</v>
      </c>
      <c r="K1011" s="20">
        <v>37.0</v>
      </c>
      <c r="P1011" s="130"/>
    </row>
    <row r="1012">
      <c r="C1012" s="120"/>
      <c r="H1012" s="20">
        <v>46.0</v>
      </c>
      <c r="J1012" s="20">
        <v>0.5</v>
      </c>
      <c r="K1012" s="20">
        <v>43.0</v>
      </c>
      <c r="P1012" s="130"/>
    </row>
    <row r="1013">
      <c r="C1013" s="120"/>
      <c r="H1013" s="20">
        <v>42.0</v>
      </c>
      <c r="J1013" s="20">
        <v>0.55</v>
      </c>
      <c r="K1013" s="20">
        <v>45.0</v>
      </c>
      <c r="P1013" s="130"/>
    </row>
    <row r="1014">
      <c r="C1014" s="120"/>
      <c r="H1014" s="20">
        <v>43.0</v>
      </c>
      <c r="J1014" s="20">
        <v>0.62</v>
      </c>
      <c r="K1014" s="20">
        <v>44.0</v>
      </c>
      <c r="P1014" s="130"/>
    </row>
    <row r="1015">
      <c r="C1015" s="120"/>
      <c r="H1015" s="20">
        <v>46.0</v>
      </c>
      <c r="J1015" s="20">
        <v>0.43</v>
      </c>
      <c r="K1015" s="20">
        <v>41.0</v>
      </c>
      <c r="P1015" s="130"/>
    </row>
    <row r="1016">
      <c r="C1016" s="120"/>
      <c r="H1016" s="20">
        <v>46.0</v>
      </c>
      <c r="J1016" s="20">
        <v>0.56</v>
      </c>
      <c r="K1016" s="20">
        <v>44.0</v>
      </c>
      <c r="P1016" s="130"/>
    </row>
    <row r="1017">
      <c r="C1017" s="120"/>
      <c r="H1017" s="20">
        <v>45.0</v>
      </c>
      <c r="J1017" s="20">
        <v>0.44</v>
      </c>
      <c r="K1017" s="20">
        <v>49.0</v>
      </c>
      <c r="P1017" s="130"/>
    </row>
    <row r="1018">
      <c r="C1018" s="120"/>
      <c r="H1018" s="20">
        <v>41.0</v>
      </c>
      <c r="J1018" s="20">
        <v>0.49</v>
      </c>
      <c r="K1018" s="20">
        <v>43.0</v>
      </c>
      <c r="P1018" s="130"/>
    </row>
    <row r="1019">
      <c r="C1019" s="120"/>
      <c r="H1019" s="20">
        <v>38.0</v>
      </c>
      <c r="J1019" s="20">
        <v>0.49</v>
      </c>
      <c r="K1019" s="20">
        <v>44.0</v>
      </c>
      <c r="P1019" s="130"/>
    </row>
    <row r="1020">
      <c r="C1020" s="120"/>
      <c r="H1020" s="20">
        <v>44.0</v>
      </c>
      <c r="J1020" s="20">
        <v>0.53</v>
      </c>
      <c r="K1020" s="20">
        <v>50.0</v>
      </c>
      <c r="P1020" s="130"/>
    </row>
    <row r="1021">
      <c r="C1021" s="120"/>
      <c r="H1021" s="20">
        <v>41.0</v>
      </c>
      <c r="J1021" s="20">
        <v>0.51</v>
      </c>
      <c r="K1021" s="20">
        <v>42.0</v>
      </c>
      <c r="P1021" s="130"/>
    </row>
    <row r="1022">
      <c r="C1022" s="120"/>
      <c r="H1022" s="20">
        <v>52.0</v>
      </c>
      <c r="J1022" s="20">
        <v>0.56</v>
      </c>
      <c r="K1022" s="20">
        <v>45.0</v>
      </c>
      <c r="P1022" s="130"/>
    </row>
    <row r="1023">
      <c r="C1023" s="120"/>
      <c r="H1023" s="20">
        <v>46.0</v>
      </c>
      <c r="J1023" s="20">
        <v>0.57</v>
      </c>
      <c r="K1023" s="20">
        <v>42.0</v>
      </c>
      <c r="P1023" s="130"/>
    </row>
    <row r="1024">
      <c r="C1024" s="120"/>
      <c r="H1024" s="20">
        <v>50.0</v>
      </c>
      <c r="J1024" s="20">
        <v>0.52</v>
      </c>
      <c r="K1024" s="20">
        <v>41.0</v>
      </c>
      <c r="P1024" s="130"/>
    </row>
    <row r="1025">
      <c r="C1025" s="120"/>
      <c r="H1025" s="20">
        <v>42.0</v>
      </c>
      <c r="J1025" s="20">
        <v>0.52</v>
      </c>
      <c r="K1025" s="20">
        <v>44.0</v>
      </c>
      <c r="P1025" s="130"/>
    </row>
    <row r="1026">
      <c r="C1026" s="120"/>
      <c r="H1026" s="20">
        <v>50.0</v>
      </c>
      <c r="J1026" s="20">
        <v>0.56</v>
      </c>
      <c r="K1026" s="20">
        <v>44.0</v>
      </c>
      <c r="P1026" s="130"/>
    </row>
    <row r="1027">
      <c r="C1027" s="120"/>
      <c r="H1027" s="20">
        <v>41.0</v>
      </c>
      <c r="J1027" s="20">
        <v>0.46</v>
      </c>
      <c r="K1027" s="20">
        <v>45.0</v>
      </c>
      <c r="P1027" s="130"/>
    </row>
    <row r="1028">
      <c r="C1028" s="120"/>
      <c r="H1028" s="20">
        <v>47.0</v>
      </c>
      <c r="J1028" s="20">
        <v>0.46</v>
      </c>
      <c r="K1028" s="20">
        <v>43.0</v>
      </c>
      <c r="P1028" s="130"/>
    </row>
    <row r="1029">
      <c r="C1029" s="120"/>
      <c r="H1029" s="20">
        <v>42.0</v>
      </c>
      <c r="J1029" s="20">
        <v>0.56</v>
      </c>
      <c r="K1029" s="20">
        <v>46.0</v>
      </c>
      <c r="P1029" s="130"/>
    </row>
    <row r="1030">
      <c r="C1030" s="120"/>
      <c r="H1030" s="20">
        <v>45.0</v>
      </c>
      <c r="J1030" s="20">
        <v>0.51</v>
      </c>
      <c r="K1030" s="20">
        <v>42.0</v>
      </c>
      <c r="P1030" s="130"/>
    </row>
    <row r="1031">
      <c r="C1031" s="120"/>
      <c r="H1031" s="20">
        <v>44.0</v>
      </c>
      <c r="J1031" s="20">
        <v>0.5</v>
      </c>
      <c r="K1031" s="20">
        <v>45.0</v>
      </c>
      <c r="P1031" s="130"/>
    </row>
    <row r="1032">
      <c r="C1032" s="120"/>
      <c r="H1032" s="20">
        <v>44.0</v>
      </c>
      <c r="J1032" s="20">
        <v>0.58</v>
      </c>
      <c r="K1032" s="20">
        <v>42.0</v>
      </c>
      <c r="P1032" s="130"/>
    </row>
    <row r="1033">
      <c r="C1033" s="120"/>
      <c r="H1033" s="20">
        <v>45.0</v>
      </c>
      <c r="J1033" s="20">
        <v>0.53</v>
      </c>
      <c r="K1033" s="20">
        <v>39.0</v>
      </c>
      <c r="P1033" s="130"/>
    </row>
    <row r="1034">
      <c r="C1034" s="120"/>
      <c r="H1034" s="20">
        <v>43.0</v>
      </c>
      <c r="J1034" s="20">
        <v>0.45</v>
      </c>
      <c r="K1034" s="20">
        <v>36.0</v>
      </c>
      <c r="P1034" s="130"/>
    </row>
    <row r="1035">
      <c r="C1035" s="120"/>
      <c r="H1035" s="20">
        <v>46.0</v>
      </c>
      <c r="J1035" s="20">
        <v>0.52</v>
      </c>
      <c r="K1035" s="20">
        <v>45.0</v>
      </c>
      <c r="P1035" s="130"/>
    </row>
    <row r="1036">
      <c r="C1036" s="120"/>
      <c r="H1036" s="20">
        <v>47.0</v>
      </c>
      <c r="J1036" s="20">
        <v>0.53</v>
      </c>
      <c r="K1036" s="20">
        <v>45.0</v>
      </c>
      <c r="P1036" s="130"/>
    </row>
    <row r="1037">
      <c r="C1037" s="120"/>
      <c r="H1037" s="20">
        <v>43.0</v>
      </c>
      <c r="J1037" s="20">
        <v>0.55</v>
      </c>
      <c r="K1037" s="20">
        <v>45.0</v>
      </c>
      <c r="P1037" s="130"/>
    </row>
    <row r="1038">
      <c r="C1038" s="120"/>
      <c r="H1038" s="20">
        <v>46.0</v>
      </c>
      <c r="J1038" s="20">
        <v>0.48</v>
      </c>
      <c r="K1038" s="20">
        <v>40.0</v>
      </c>
      <c r="P1038" s="130"/>
    </row>
    <row r="1039">
      <c r="C1039" s="120"/>
      <c r="H1039" s="20">
        <v>48.0</v>
      </c>
      <c r="J1039" s="20">
        <v>0.51</v>
      </c>
      <c r="K1039" s="20">
        <v>42.0</v>
      </c>
      <c r="P1039" s="130"/>
    </row>
    <row r="1040">
      <c r="C1040" s="120"/>
      <c r="H1040" s="20">
        <v>44.0</v>
      </c>
      <c r="J1040" s="20">
        <v>0.53</v>
      </c>
      <c r="K1040" s="20">
        <v>44.0</v>
      </c>
      <c r="P1040" s="130"/>
    </row>
    <row r="1041">
      <c r="C1041" s="120"/>
      <c r="H1041" s="20">
        <v>43.0</v>
      </c>
      <c r="J1041" s="20">
        <v>0.5</v>
      </c>
      <c r="K1041" s="20">
        <v>43.0</v>
      </c>
      <c r="P1041" s="130"/>
    </row>
    <row r="1042">
      <c r="C1042" s="120"/>
      <c r="H1042" s="20">
        <v>42.0</v>
      </c>
      <c r="J1042" s="20">
        <v>0.53</v>
      </c>
      <c r="K1042" s="20">
        <v>42.0</v>
      </c>
      <c r="P1042" s="130"/>
    </row>
    <row r="1043">
      <c r="C1043" s="120"/>
      <c r="H1043" s="20">
        <v>45.0</v>
      </c>
      <c r="J1043" s="20">
        <v>0.46</v>
      </c>
      <c r="K1043" s="20">
        <v>39.0</v>
      </c>
      <c r="P1043" s="130"/>
    </row>
    <row r="1044">
      <c r="C1044" s="120"/>
      <c r="H1044" s="20">
        <v>42.0</v>
      </c>
      <c r="J1044" s="20">
        <v>0.48</v>
      </c>
      <c r="K1044" s="20">
        <v>38.0</v>
      </c>
      <c r="P1044" s="130"/>
    </row>
    <row r="1045">
      <c r="C1045" s="120"/>
      <c r="H1045" s="20">
        <v>46.0</v>
      </c>
      <c r="J1045" s="20">
        <v>0.53</v>
      </c>
      <c r="K1045" s="20">
        <v>45.0</v>
      </c>
      <c r="P1045" s="130"/>
    </row>
    <row r="1046">
      <c r="C1046" s="120"/>
      <c r="H1046" s="20">
        <v>44.0</v>
      </c>
      <c r="J1046" s="20">
        <v>0.52</v>
      </c>
      <c r="K1046" s="20">
        <v>43.0</v>
      </c>
      <c r="P1046" s="130"/>
    </row>
    <row r="1047">
      <c r="C1047" s="120"/>
      <c r="H1047" s="20">
        <v>41.0</v>
      </c>
      <c r="J1047" s="20">
        <v>0.52</v>
      </c>
      <c r="K1047" s="20">
        <v>38.0</v>
      </c>
      <c r="P1047" s="130"/>
    </row>
    <row r="1048">
      <c r="C1048" s="120"/>
      <c r="H1048" s="20">
        <v>52.0</v>
      </c>
      <c r="J1048" s="20">
        <v>0.59</v>
      </c>
      <c r="K1048" s="20">
        <v>38.0</v>
      </c>
      <c r="P1048" s="130"/>
    </row>
    <row r="1049">
      <c r="C1049" s="120"/>
      <c r="H1049" s="20">
        <v>48.0</v>
      </c>
      <c r="J1049" s="20">
        <v>0.5</v>
      </c>
      <c r="K1049" s="20">
        <v>43.0</v>
      </c>
      <c r="P1049" s="130"/>
    </row>
    <row r="1050">
      <c r="C1050" s="120"/>
      <c r="H1050" s="20">
        <v>46.0</v>
      </c>
      <c r="J1050" s="20">
        <v>0.48</v>
      </c>
      <c r="K1050" s="20">
        <v>41.0</v>
      </c>
      <c r="P1050" s="130"/>
    </row>
    <row r="1051">
      <c r="C1051" s="120"/>
      <c r="H1051" s="20">
        <v>48.0</v>
      </c>
      <c r="J1051" s="20">
        <v>0.5</v>
      </c>
      <c r="K1051" s="20">
        <v>38.0</v>
      </c>
      <c r="P1051" s="130"/>
    </row>
    <row r="1052">
      <c r="C1052" s="120"/>
      <c r="H1052" s="20">
        <v>48.0</v>
      </c>
      <c r="J1052" s="20">
        <v>0.54</v>
      </c>
      <c r="K1052" s="20">
        <v>37.0</v>
      </c>
      <c r="P1052" s="130"/>
    </row>
    <row r="1053">
      <c r="C1053" s="120"/>
      <c r="H1053" s="20">
        <v>42.0</v>
      </c>
      <c r="J1053" s="20">
        <v>0.51</v>
      </c>
      <c r="K1053" s="20">
        <v>41.0</v>
      </c>
      <c r="P1053" s="130"/>
    </row>
    <row r="1054">
      <c r="C1054" s="120"/>
      <c r="H1054" s="20">
        <v>41.0</v>
      </c>
      <c r="J1054" s="20">
        <v>0.51</v>
      </c>
      <c r="K1054" s="20">
        <v>44.0</v>
      </c>
      <c r="P1054" s="130"/>
    </row>
    <row r="1055">
      <c r="C1055" s="120"/>
      <c r="H1055" s="20">
        <v>44.0</v>
      </c>
      <c r="J1055" s="20">
        <v>0.48</v>
      </c>
      <c r="K1055" s="20">
        <v>40.0</v>
      </c>
      <c r="P1055" s="130"/>
    </row>
    <row r="1056">
      <c r="C1056" s="120"/>
      <c r="H1056" s="20">
        <v>40.0</v>
      </c>
      <c r="J1056" s="20">
        <v>0.49</v>
      </c>
      <c r="K1056" s="20">
        <v>45.0</v>
      </c>
      <c r="P1056" s="130"/>
    </row>
    <row r="1057">
      <c r="C1057" s="120"/>
      <c r="H1057" s="20">
        <v>49.0</v>
      </c>
      <c r="J1057" s="20">
        <v>0.51</v>
      </c>
      <c r="K1057" s="20">
        <v>46.0</v>
      </c>
      <c r="P1057" s="130"/>
    </row>
    <row r="1058">
      <c r="C1058" s="120"/>
      <c r="H1058" s="20">
        <v>48.0</v>
      </c>
      <c r="J1058" s="20">
        <v>0.53</v>
      </c>
      <c r="K1058" s="20">
        <v>41.0</v>
      </c>
      <c r="P1058" s="130"/>
    </row>
    <row r="1059">
      <c r="C1059" s="120"/>
      <c r="H1059" s="20">
        <v>38.0</v>
      </c>
      <c r="J1059" s="20">
        <v>0.51</v>
      </c>
      <c r="K1059" s="20">
        <v>47.0</v>
      </c>
      <c r="P1059" s="130"/>
    </row>
    <row r="1060">
      <c r="C1060" s="120"/>
      <c r="H1060" s="20">
        <v>44.0</v>
      </c>
      <c r="J1060" s="20">
        <v>0.53</v>
      </c>
      <c r="K1060" s="20">
        <v>38.0</v>
      </c>
      <c r="P1060" s="130"/>
    </row>
    <row r="1061">
      <c r="C1061" s="120"/>
      <c r="H1061" s="20">
        <v>45.0</v>
      </c>
      <c r="J1061" s="20">
        <v>0.53</v>
      </c>
      <c r="K1061" s="20">
        <v>42.0</v>
      </c>
      <c r="P1061" s="130"/>
    </row>
    <row r="1062">
      <c r="C1062" s="120"/>
      <c r="H1062" s="20">
        <v>41.0</v>
      </c>
      <c r="J1062" s="20">
        <v>0.49</v>
      </c>
      <c r="K1062" s="20">
        <v>44.0</v>
      </c>
      <c r="P1062" s="130"/>
    </row>
    <row r="1063">
      <c r="C1063" s="120"/>
      <c r="H1063" s="20">
        <v>40.0</v>
      </c>
      <c r="J1063" s="20">
        <v>0.53</v>
      </c>
      <c r="K1063" s="20">
        <v>40.0</v>
      </c>
      <c r="P1063" s="130"/>
    </row>
    <row r="1064">
      <c r="C1064" s="120"/>
      <c r="H1064" s="20">
        <v>46.0</v>
      </c>
      <c r="J1064" s="20">
        <v>0.61</v>
      </c>
      <c r="K1064" s="20">
        <v>38.0</v>
      </c>
      <c r="P1064" s="130"/>
    </row>
    <row r="1065">
      <c r="C1065" s="120"/>
      <c r="H1065" s="20">
        <v>41.0</v>
      </c>
      <c r="J1065" s="20">
        <v>0.47</v>
      </c>
      <c r="K1065" s="20">
        <v>43.0</v>
      </c>
      <c r="P1065" s="130"/>
    </row>
    <row r="1066">
      <c r="C1066" s="120"/>
      <c r="H1066" s="20">
        <v>46.0</v>
      </c>
      <c r="J1066" s="20">
        <v>0.5</v>
      </c>
      <c r="K1066" s="20">
        <v>40.0</v>
      </c>
      <c r="P1066" s="130"/>
    </row>
    <row r="1067">
      <c r="C1067" s="120"/>
      <c r="H1067" s="20">
        <v>41.0</v>
      </c>
      <c r="J1067" s="20">
        <v>0.55</v>
      </c>
      <c r="K1067" s="20">
        <v>41.0</v>
      </c>
      <c r="P1067" s="130"/>
    </row>
    <row r="1068">
      <c r="C1068" s="120"/>
      <c r="H1068" s="20">
        <v>43.0</v>
      </c>
      <c r="J1068" s="20">
        <v>0.52</v>
      </c>
      <c r="K1068" s="20">
        <v>39.0</v>
      </c>
      <c r="P1068" s="130"/>
    </row>
    <row r="1069">
      <c r="C1069" s="120"/>
      <c r="H1069" s="20">
        <v>44.0</v>
      </c>
      <c r="J1069" s="20">
        <v>0.5</v>
      </c>
      <c r="K1069" s="20">
        <v>39.0</v>
      </c>
      <c r="P1069" s="130"/>
    </row>
    <row r="1070">
      <c r="C1070" s="120"/>
      <c r="H1070" s="20">
        <v>44.0</v>
      </c>
      <c r="J1070" s="20">
        <v>0.53</v>
      </c>
      <c r="K1070" s="20">
        <v>44.0</v>
      </c>
      <c r="P1070" s="130"/>
    </row>
    <row r="1071">
      <c r="C1071" s="120"/>
      <c r="H1071" s="20">
        <v>42.0</v>
      </c>
      <c r="J1071" s="20">
        <v>0.53</v>
      </c>
      <c r="K1071" s="20">
        <v>41.0</v>
      </c>
      <c r="P1071" s="130"/>
    </row>
    <row r="1072">
      <c r="C1072" s="120"/>
      <c r="H1072" s="20">
        <v>42.0</v>
      </c>
      <c r="J1072" s="20">
        <v>0.51</v>
      </c>
      <c r="K1072" s="20">
        <v>36.0</v>
      </c>
      <c r="P1072" s="130"/>
    </row>
    <row r="1073">
      <c r="C1073" s="120"/>
      <c r="H1073" s="20">
        <v>48.0</v>
      </c>
      <c r="J1073" s="20">
        <v>0.49</v>
      </c>
      <c r="K1073" s="20">
        <v>44.0</v>
      </c>
      <c r="P1073" s="130"/>
    </row>
    <row r="1074">
      <c r="C1074" s="120"/>
      <c r="H1074" s="20">
        <v>45.0</v>
      </c>
      <c r="J1074" s="20">
        <v>0.5</v>
      </c>
      <c r="K1074" s="20">
        <v>42.0</v>
      </c>
      <c r="P1074" s="130"/>
    </row>
    <row r="1075">
      <c r="C1075" s="120"/>
      <c r="H1075" s="20">
        <v>44.0</v>
      </c>
      <c r="J1075" s="20">
        <v>0.45</v>
      </c>
      <c r="K1075" s="20">
        <v>36.0</v>
      </c>
      <c r="P1075" s="130"/>
    </row>
    <row r="1076">
      <c r="C1076" s="120"/>
      <c r="H1076" s="20">
        <v>45.0</v>
      </c>
      <c r="J1076" s="20">
        <v>0.51</v>
      </c>
      <c r="K1076" s="20">
        <v>42.0</v>
      </c>
      <c r="P1076" s="130"/>
    </row>
    <row r="1077">
      <c r="C1077" s="120"/>
      <c r="H1077" s="20">
        <v>44.0</v>
      </c>
      <c r="J1077" s="20">
        <v>0.51</v>
      </c>
      <c r="K1077" s="20">
        <v>48.0</v>
      </c>
      <c r="P1077" s="130"/>
    </row>
    <row r="1078">
      <c r="C1078" s="120"/>
      <c r="H1078" s="20">
        <v>44.0</v>
      </c>
      <c r="J1078" s="20">
        <v>0.56</v>
      </c>
      <c r="K1078" s="20">
        <v>37.0</v>
      </c>
      <c r="P1078" s="130"/>
    </row>
    <row r="1079">
      <c r="C1079" s="120"/>
      <c r="H1079" s="20">
        <v>45.0</v>
      </c>
      <c r="J1079" s="20">
        <v>0.53</v>
      </c>
      <c r="K1079" s="20">
        <v>46.0</v>
      </c>
      <c r="P1079" s="130"/>
    </row>
    <row r="1080">
      <c r="C1080" s="120"/>
      <c r="H1080" s="20">
        <v>44.0</v>
      </c>
      <c r="J1080" s="20">
        <v>0.51</v>
      </c>
      <c r="K1080" s="20">
        <v>41.0</v>
      </c>
      <c r="P1080" s="130"/>
    </row>
    <row r="1081">
      <c r="C1081" s="120"/>
      <c r="H1081" s="20">
        <v>40.0</v>
      </c>
      <c r="J1081" s="20">
        <v>0.49</v>
      </c>
      <c r="K1081" s="20">
        <v>41.0</v>
      </c>
      <c r="P1081" s="130"/>
    </row>
    <row r="1082">
      <c r="C1082" s="120"/>
      <c r="H1082" s="20">
        <v>45.0</v>
      </c>
      <c r="J1082" s="20">
        <v>0.5</v>
      </c>
      <c r="K1082" s="20">
        <v>43.0</v>
      </c>
      <c r="P1082" s="130"/>
    </row>
    <row r="1083">
      <c r="C1083" s="120"/>
      <c r="H1083" s="20">
        <v>46.0</v>
      </c>
      <c r="J1083" s="20">
        <v>0.53</v>
      </c>
      <c r="K1083" s="20">
        <v>44.0</v>
      </c>
      <c r="P1083" s="130"/>
    </row>
    <row r="1084">
      <c r="C1084" s="120"/>
      <c r="H1084" s="20">
        <v>43.0</v>
      </c>
      <c r="J1084" s="20">
        <v>0.47</v>
      </c>
      <c r="K1084" s="20">
        <v>39.0</v>
      </c>
      <c r="P1084" s="130"/>
    </row>
    <row r="1085">
      <c r="C1085" s="120"/>
      <c r="H1085" s="20">
        <v>48.0</v>
      </c>
      <c r="J1085" s="20">
        <v>0.55</v>
      </c>
      <c r="K1085" s="20">
        <v>44.0</v>
      </c>
      <c r="P1085" s="130"/>
    </row>
    <row r="1086">
      <c r="C1086" s="120"/>
      <c r="H1086" s="20">
        <v>41.0</v>
      </c>
      <c r="J1086" s="20">
        <v>0.5</v>
      </c>
      <c r="K1086" s="20">
        <v>48.0</v>
      </c>
      <c r="P1086" s="130"/>
    </row>
    <row r="1087">
      <c r="C1087" s="120"/>
      <c r="H1087" s="20">
        <v>48.0</v>
      </c>
      <c r="J1087" s="20">
        <v>0.52</v>
      </c>
      <c r="K1087" s="20">
        <v>42.0</v>
      </c>
      <c r="P1087" s="130"/>
    </row>
    <row r="1088">
      <c r="C1088" s="120"/>
      <c r="H1088" s="20">
        <v>46.0</v>
      </c>
      <c r="J1088" s="20">
        <v>0.56</v>
      </c>
      <c r="K1088" s="20">
        <v>43.0</v>
      </c>
      <c r="P1088" s="130"/>
    </row>
    <row r="1089">
      <c r="C1089" s="120"/>
      <c r="H1089" s="20">
        <v>42.0</v>
      </c>
      <c r="J1089" s="20">
        <v>0.49</v>
      </c>
      <c r="K1089" s="20">
        <v>46.0</v>
      </c>
      <c r="P1089" s="130"/>
    </row>
    <row r="1090">
      <c r="C1090" s="120"/>
      <c r="H1090" s="20">
        <v>47.0</v>
      </c>
      <c r="J1090" s="20">
        <v>0.52</v>
      </c>
      <c r="K1090" s="20">
        <v>43.0</v>
      </c>
      <c r="P1090" s="130"/>
    </row>
    <row r="1091">
      <c r="C1091" s="120"/>
      <c r="H1091" s="20">
        <v>41.0</v>
      </c>
      <c r="J1091" s="20">
        <v>0.52</v>
      </c>
      <c r="K1091" s="20">
        <v>45.0</v>
      </c>
      <c r="P1091" s="130"/>
    </row>
    <row r="1092">
      <c r="C1092" s="120"/>
      <c r="H1092" s="20">
        <v>40.0</v>
      </c>
      <c r="J1092" s="20">
        <v>0.54</v>
      </c>
      <c r="K1092" s="20">
        <v>40.0</v>
      </c>
      <c r="P1092" s="130"/>
    </row>
    <row r="1093">
      <c r="C1093" s="120"/>
      <c r="H1093" s="20">
        <v>46.0</v>
      </c>
      <c r="J1093" s="20">
        <v>0.53</v>
      </c>
      <c r="K1093" s="20">
        <v>45.0</v>
      </c>
      <c r="P1093" s="130"/>
    </row>
    <row r="1094">
      <c r="C1094" s="120"/>
      <c r="H1094" s="20">
        <v>47.0</v>
      </c>
      <c r="J1094" s="20">
        <v>0.48</v>
      </c>
      <c r="K1094" s="20">
        <v>41.0</v>
      </c>
      <c r="P1094" s="130"/>
    </row>
    <row r="1095">
      <c r="C1095" s="120"/>
      <c r="H1095" s="20">
        <v>36.0</v>
      </c>
      <c r="J1095" s="20">
        <v>0.55</v>
      </c>
      <c r="K1095" s="20">
        <v>45.0</v>
      </c>
      <c r="P1095" s="130"/>
    </row>
    <row r="1096">
      <c r="C1096" s="120"/>
      <c r="H1096" s="20">
        <v>46.0</v>
      </c>
      <c r="J1096" s="20">
        <v>0.5</v>
      </c>
      <c r="K1096" s="20">
        <v>37.0</v>
      </c>
      <c r="P1096" s="130"/>
    </row>
    <row r="1097">
      <c r="C1097" s="120"/>
      <c r="H1097" s="20">
        <v>44.0</v>
      </c>
      <c r="J1097" s="20">
        <v>0.52</v>
      </c>
      <c r="K1097" s="20">
        <v>46.0</v>
      </c>
      <c r="P1097" s="130"/>
    </row>
    <row r="1098">
      <c r="C1098" s="120"/>
      <c r="H1098" s="20">
        <v>48.0</v>
      </c>
      <c r="J1098" s="20">
        <v>0.5</v>
      </c>
      <c r="K1098" s="20">
        <v>48.0</v>
      </c>
      <c r="P1098" s="130"/>
    </row>
    <row r="1099">
      <c r="C1099" s="120"/>
      <c r="H1099" s="20">
        <v>46.0</v>
      </c>
      <c r="J1099" s="20">
        <v>0.51</v>
      </c>
      <c r="K1099" s="20">
        <v>43.0</v>
      </c>
      <c r="P1099" s="130"/>
    </row>
    <row r="1100">
      <c r="C1100" s="120"/>
      <c r="H1100" s="20">
        <v>47.0</v>
      </c>
      <c r="J1100" s="20">
        <v>0.51</v>
      </c>
      <c r="K1100" s="20">
        <v>42.0</v>
      </c>
      <c r="P1100" s="130"/>
    </row>
    <row r="1101">
      <c r="C1101" s="120"/>
      <c r="H1101" s="20">
        <v>43.0</v>
      </c>
      <c r="J1101" s="20">
        <v>0.47</v>
      </c>
      <c r="K1101" s="20">
        <v>45.0</v>
      </c>
      <c r="P1101" s="130"/>
    </row>
    <row r="1102">
      <c r="C1102" s="120"/>
      <c r="H1102" s="20">
        <v>46.0</v>
      </c>
      <c r="J1102" s="20">
        <v>0.52</v>
      </c>
      <c r="K1102" s="20">
        <v>48.0</v>
      </c>
      <c r="P1102" s="130"/>
    </row>
    <row r="1103">
      <c r="C1103" s="120"/>
      <c r="H1103" s="20">
        <v>46.0</v>
      </c>
      <c r="J1103" s="20">
        <v>0.49</v>
      </c>
      <c r="K1103" s="20">
        <v>44.0</v>
      </c>
      <c r="P1103" s="130"/>
    </row>
    <row r="1104">
      <c r="C1104" s="120"/>
      <c r="H1104" s="20">
        <v>47.0</v>
      </c>
      <c r="J1104" s="20">
        <v>0.51</v>
      </c>
      <c r="K1104" s="20">
        <v>41.0</v>
      </c>
      <c r="P1104" s="130"/>
    </row>
    <row r="1105">
      <c r="C1105" s="120"/>
      <c r="H1105" s="20">
        <v>47.0</v>
      </c>
      <c r="J1105" s="20">
        <v>0.52</v>
      </c>
      <c r="K1105" s="20">
        <v>46.0</v>
      </c>
      <c r="P1105" s="130"/>
    </row>
    <row r="1106">
      <c r="C1106" s="120"/>
      <c r="H1106" s="20">
        <v>47.0</v>
      </c>
      <c r="J1106" s="20">
        <v>0.55</v>
      </c>
      <c r="K1106" s="20">
        <v>40.0</v>
      </c>
      <c r="P1106" s="130"/>
    </row>
    <row r="1107">
      <c r="C1107" s="120"/>
      <c r="H1107" s="20">
        <v>39.0</v>
      </c>
      <c r="J1107" s="20">
        <v>0.52</v>
      </c>
      <c r="K1107" s="20">
        <v>41.0</v>
      </c>
      <c r="P1107" s="130"/>
    </row>
    <row r="1108">
      <c r="C1108" s="120"/>
      <c r="H1108" s="20">
        <v>44.0</v>
      </c>
      <c r="J1108" s="20">
        <v>0.52</v>
      </c>
      <c r="K1108" s="20">
        <v>40.0</v>
      </c>
      <c r="P1108" s="130"/>
    </row>
    <row r="1109">
      <c r="C1109" s="120"/>
      <c r="H1109" s="20">
        <v>48.0</v>
      </c>
      <c r="J1109" s="20">
        <v>0.51</v>
      </c>
      <c r="K1109" s="20">
        <v>52.0</v>
      </c>
      <c r="P1109" s="130"/>
    </row>
    <row r="1110">
      <c r="C1110" s="120"/>
      <c r="H1110" s="20">
        <v>48.0</v>
      </c>
      <c r="J1110" s="20">
        <v>0.56</v>
      </c>
      <c r="K1110" s="20">
        <v>46.0</v>
      </c>
      <c r="P1110" s="130"/>
    </row>
    <row r="1111">
      <c r="C1111" s="120"/>
      <c r="H1111" s="20">
        <v>45.0</v>
      </c>
      <c r="J1111" s="20">
        <v>0.52</v>
      </c>
      <c r="K1111" s="20">
        <v>38.0</v>
      </c>
      <c r="P1111" s="130"/>
    </row>
    <row r="1112">
      <c r="C1112" s="120"/>
      <c r="H1112" s="20">
        <v>46.0</v>
      </c>
      <c r="J1112" s="20">
        <v>0.52</v>
      </c>
      <c r="K1112" s="20">
        <v>45.0</v>
      </c>
      <c r="P1112" s="130"/>
    </row>
    <row r="1113">
      <c r="C1113" s="120"/>
      <c r="H1113" s="20">
        <v>43.0</v>
      </c>
      <c r="J1113" s="20">
        <v>0.57</v>
      </c>
      <c r="K1113" s="20">
        <v>47.0</v>
      </c>
      <c r="P1113" s="130"/>
    </row>
    <row r="1114">
      <c r="C1114" s="120"/>
      <c r="H1114" s="20">
        <v>43.0</v>
      </c>
      <c r="J1114" s="20">
        <v>0.51</v>
      </c>
      <c r="K1114" s="20">
        <v>47.0</v>
      </c>
      <c r="P1114" s="130"/>
    </row>
    <row r="1115">
      <c r="C1115" s="120"/>
      <c r="H1115" s="20">
        <v>39.0</v>
      </c>
      <c r="J1115" s="20">
        <v>0.51</v>
      </c>
      <c r="K1115" s="20">
        <v>48.0</v>
      </c>
      <c r="P1115" s="130"/>
    </row>
    <row r="1116">
      <c r="C1116" s="120"/>
      <c r="H1116" s="20">
        <v>39.0</v>
      </c>
      <c r="J1116" s="20">
        <v>0.51</v>
      </c>
      <c r="K1116" s="20">
        <v>44.0</v>
      </c>
      <c r="P1116" s="130"/>
    </row>
    <row r="1117">
      <c r="C1117" s="120"/>
      <c r="H1117" s="20">
        <v>44.0</v>
      </c>
      <c r="J1117" s="20">
        <v>0.45</v>
      </c>
      <c r="K1117" s="20">
        <v>44.0</v>
      </c>
      <c r="P1117" s="130"/>
    </row>
    <row r="1118">
      <c r="C1118" s="120"/>
      <c r="H1118" s="20">
        <v>44.0</v>
      </c>
      <c r="J1118" s="20">
        <v>0.46</v>
      </c>
      <c r="K1118" s="20">
        <v>43.0</v>
      </c>
      <c r="P1118" s="130"/>
    </row>
    <row r="1119">
      <c r="C1119" s="120"/>
      <c r="H1119" s="20">
        <v>41.0</v>
      </c>
      <c r="J1119" s="20">
        <v>0.48</v>
      </c>
      <c r="K1119" s="20">
        <v>43.0</v>
      </c>
      <c r="P1119" s="130"/>
    </row>
    <row r="1120">
      <c r="C1120" s="120"/>
      <c r="H1120" s="20">
        <v>45.0</v>
      </c>
      <c r="J1120" s="20">
        <v>0.44</v>
      </c>
      <c r="K1120" s="20">
        <v>42.0</v>
      </c>
      <c r="P1120" s="130"/>
    </row>
    <row r="1121">
      <c r="C1121" s="120"/>
      <c r="H1121" s="20">
        <v>46.0</v>
      </c>
      <c r="J1121" s="20">
        <v>0.43</v>
      </c>
      <c r="K1121" s="20">
        <v>42.0</v>
      </c>
      <c r="P1121" s="130"/>
    </row>
    <row r="1122">
      <c r="C1122" s="120"/>
      <c r="H1122" s="20">
        <v>39.0</v>
      </c>
      <c r="J1122" s="20">
        <v>0.52</v>
      </c>
      <c r="K1122" s="20">
        <v>36.0</v>
      </c>
      <c r="P1122" s="130"/>
    </row>
    <row r="1123">
      <c r="C1123" s="120"/>
      <c r="H1123" s="20">
        <v>45.0</v>
      </c>
      <c r="J1123" s="20">
        <v>0.47</v>
      </c>
      <c r="K1123" s="20">
        <v>40.0</v>
      </c>
      <c r="P1123" s="130"/>
    </row>
    <row r="1124">
      <c r="C1124" s="120"/>
      <c r="H1124" s="20">
        <v>45.0</v>
      </c>
      <c r="J1124" s="20">
        <v>0.46</v>
      </c>
      <c r="K1124" s="20">
        <v>40.0</v>
      </c>
      <c r="P1124" s="130"/>
    </row>
    <row r="1125">
      <c r="C1125" s="120"/>
      <c r="H1125" s="20">
        <v>45.0</v>
      </c>
      <c r="J1125" s="20">
        <v>0.49</v>
      </c>
      <c r="K1125" s="20">
        <v>39.0</v>
      </c>
      <c r="P1125" s="130"/>
    </row>
    <row r="1126">
      <c r="C1126" s="120"/>
      <c r="H1126" s="20">
        <v>41.0</v>
      </c>
      <c r="J1126" s="20">
        <v>0.44</v>
      </c>
      <c r="K1126" s="20">
        <v>42.0</v>
      </c>
      <c r="P1126" s="130"/>
    </row>
    <row r="1127">
      <c r="C1127" s="120"/>
      <c r="H1127" s="20">
        <v>41.0</v>
      </c>
      <c r="J1127" s="20">
        <v>0.48</v>
      </c>
      <c r="K1127" s="20">
        <v>42.0</v>
      </c>
      <c r="P1127" s="130"/>
    </row>
    <row r="1128">
      <c r="C1128" s="120"/>
      <c r="H1128" s="20">
        <v>37.0</v>
      </c>
      <c r="J1128" s="20">
        <v>0.52</v>
      </c>
      <c r="K1128" s="20">
        <v>44.0</v>
      </c>
      <c r="P1128" s="130"/>
    </row>
    <row r="1129">
      <c r="C1129" s="120"/>
      <c r="H1129" s="20">
        <v>40.0</v>
      </c>
      <c r="J1129" s="20">
        <v>0.48</v>
      </c>
      <c r="K1129" s="20">
        <v>44.0</v>
      </c>
      <c r="P1129" s="130"/>
    </row>
    <row r="1130">
      <c r="C1130" s="120"/>
      <c r="H1130" s="20">
        <v>43.0</v>
      </c>
      <c r="J1130" s="20">
        <v>0.51</v>
      </c>
      <c r="K1130" s="20">
        <v>45.0</v>
      </c>
      <c r="P1130" s="130"/>
    </row>
    <row r="1131">
      <c r="C1131" s="120"/>
      <c r="H1131" s="20">
        <v>41.0</v>
      </c>
      <c r="J1131" s="20">
        <v>0.51</v>
      </c>
      <c r="K1131" s="20">
        <v>48.0</v>
      </c>
      <c r="P1131" s="130"/>
    </row>
    <row r="1132">
      <c r="C1132" s="120"/>
      <c r="H1132" s="20">
        <v>46.0</v>
      </c>
      <c r="J1132" s="20">
        <v>0.49</v>
      </c>
      <c r="K1132" s="20">
        <v>38.0</v>
      </c>
      <c r="P1132" s="130"/>
    </row>
    <row r="1133">
      <c r="C1133" s="120"/>
      <c r="H1133" s="20">
        <v>44.0</v>
      </c>
      <c r="J1133" s="20">
        <v>0.51</v>
      </c>
      <c r="K1133" s="20">
        <v>38.0</v>
      </c>
      <c r="P1133" s="130"/>
    </row>
    <row r="1134">
      <c r="C1134" s="120"/>
      <c r="H1134" s="20">
        <v>42.0</v>
      </c>
      <c r="J1134" s="20">
        <v>0.46</v>
      </c>
      <c r="K1134" s="20">
        <v>38.0</v>
      </c>
      <c r="P1134" s="130"/>
    </row>
    <row r="1135">
      <c r="C1135" s="120"/>
      <c r="H1135" s="20">
        <v>46.0</v>
      </c>
      <c r="J1135" s="20">
        <v>0.47</v>
      </c>
      <c r="K1135" s="20">
        <v>45.0</v>
      </c>
      <c r="P1135" s="130"/>
    </row>
    <row r="1136">
      <c r="C1136" s="120"/>
      <c r="H1136" s="20">
        <v>43.0</v>
      </c>
      <c r="J1136" s="20">
        <v>0.57</v>
      </c>
      <c r="K1136" s="20">
        <v>45.0</v>
      </c>
      <c r="P1136" s="130"/>
    </row>
    <row r="1137">
      <c r="C1137" s="120"/>
      <c r="H1137" s="20">
        <v>41.0</v>
      </c>
      <c r="J1137" s="20">
        <v>0.56</v>
      </c>
      <c r="K1137" s="20">
        <v>45.0</v>
      </c>
      <c r="P1137" s="130"/>
    </row>
    <row r="1138">
      <c r="C1138" s="120"/>
      <c r="H1138" s="20">
        <v>44.0</v>
      </c>
      <c r="J1138" s="20">
        <v>0.48</v>
      </c>
      <c r="K1138" s="20">
        <v>41.0</v>
      </c>
      <c r="P1138" s="130"/>
    </row>
    <row r="1139">
      <c r="C1139" s="120"/>
      <c r="H1139" s="20">
        <v>48.0</v>
      </c>
      <c r="J1139" s="20">
        <v>0.44</v>
      </c>
      <c r="K1139" s="20">
        <v>37.0</v>
      </c>
      <c r="P1139" s="130"/>
    </row>
    <row r="1140">
      <c r="C1140" s="120"/>
      <c r="H1140" s="20">
        <v>41.0</v>
      </c>
      <c r="J1140" s="20">
        <v>0.48</v>
      </c>
      <c r="K1140" s="20">
        <v>44.0</v>
      </c>
      <c r="P1140" s="130"/>
    </row>
    <row r="1141">
      <c r="C1141" s="120"/>
      <c r="H1141" s="20">
        <v>41.0</v>
      </c>
      <c r="J1141" s="20">
        <v>0.47</v>
      </c>
      <c r="K1141" s="20">
        <v>37.0</v>
      </c>
      <c r="P1141" s="130"/>
    </row>
    <row r="1142">
      <c r="C1142" s="120"/>
      <c r="H1142" s="20">
        <v>41.0</v>
      </c>
      <c r="J1142" s="20">
        <v>0.41</v>
      </c>
      <c r="K1142" s="20">
        <v>39.0</v>
      </c>
      <c r="P1142" s="130"/>
    </row>
    <row r="1143">
      <c r="C1143" s="120"/>
      <c r="H1143" s="20">
        <v>42.0</v>
      </c>
      <c r="J1143" s="20">
        <v>0.46</v>
      </c>
      <c r="K1143" s="20">
        <v>47.0</v>
      </c>
      <c r="P1143" s="130"/>
    </row>
    <row r="1144">
      <c r="C1144" s="120"/>
      <c r="H1144" s="20">
        <v>41.0</v>
      </c>
      <c r="J1144" s="20">
        <v>0.44</v>
      </c>
      <c r="K1144" s="20">
        <v>38.0</v>
      </c>
      <c r="P1144" s="130"/>
    </row>
    <row r="1145">
      <c r="C1145" s="120"/>
      <c r="H1145" s="20">
        <v>43.0</v>
      </c>
      <c r="J1145" s="20">
        <v>0.48</v>
      </c>
      <c r="K1145" s="20">
        <v>38.0</v>
      </c>
      <c r="P1145" s="130"/>
    </row>
    <row r="1146">
      <c r="C1146" s="120"/>
      <c r="H1146" s="20">
        <v>40.0</v>
      </c>
      <c r="J1146" s="20">
        <v>0.5</v>
      </c>
      <c r="K1146" s="20">
        <v>39.0</v>
      </c>
      <c r="P1146" s="130"/>
    </row>
    <row r="1147">
      <c r="C1147" s="120"/>
      <c r="H1147" s="20">
        <v>41.0</v>
      </c>
      <c r="J1147" s="20">
        <v>0.47</v>
      </c>
      <c r="K1147" s="20">
        <v>41.0</v>
      </c>
      <c r="P1147" s="130"/>
    </row>
    <row r="1148">
      <c r="C1148" s="120"/>
      <c r="H1148" s="20">
        <v>47.0</v>
      </c>
      <c r="J1148" s="20">
        <v>0.49</v>
      </c>
      <c r="K1148" s="20">
        <v>41.0</v>
      </c>
      <c r="P1148" s="130"/>
    </row>
    <row r="1149">
      <c r="C1149" s="120"/>
      <c r="H1149" s="20">
        <v>42.0</v>
      </c>
      <c r="J1149" s="20">
        <v>0.48</v>
      </c>
      <c r="K1149" s="20">
        <v>38.0</v>
      </c>
      <c r="P1149" s="130"/>
    </row>
    <row r="1150">
      <c r="C1150" s="120"/>
      <c r="H1150" s="20">
        <v>45.0</v>
      </c>
      <c r="J1150" s="20">
        <v>0.5</v>
      </c>
      <c r="K1150" s="20">
        <v>42.0</v>
      </c>
      <c r="P1150" s="130"/>
    </row>
    <row r="1151">
      <c r="C1151" s="120"/>
      <c r="H1151" s="20">
        <v>44.0</v>
      </c>
      <c r="J1151" s="20">
        <v>0.47</v>
      </c>
      <c r="K1151" s="20">
        <v>46.0</v>
      </c>
      <c r="P1151" s="130"/>
    </row>
    <row r="1152">
      <c r="C1152" s="120"/>
      <c r="H1152" s="20">
        <v>39.0</v>
      </c>
      <c r="J1152" s="20">
        <v>0.48</v>
      </c>
      <c r="K1152" s="20">
        <v>45.0</v>
      </c>
      <c r="P1152" s="130"/>
    </row>
    <row r="1153">
      <c r="C1153" s="120"/>
      <c r="H1153" s="20">
        <v>47.0</v>
      </c>
      <c r="J1153" s="20">
        <v>0.45</v>
      </c>
      <c r="K1153" s="20">
        <v>46.0</v>
      </c>
      <c r="P1153" s="130"/>
    </row>
    <row r="1154">
      <c r="C1154" s="120"/>
      <c r="H1154" s="20">
        <v>46.0</v>
      </c>
      <c r="J1154" s="20">
        <v>0.42</v>
      </c>
      <c r="K1154" s="20">
        <v>44.0</v>
      </c>
      <c r="P1154" s="130"/>
    </row>
    <row r="1155">
      <c r="C1155" s="120"/>
      <c r="H1155" s="20">
        <v>50.0</v>
      </c>
      <c r="J1155" s="20">
        <v>0.42</v>
      </c>
      <c r="K1155" s="20">
        <v>48.0</v>
      </c>
      <c r="P1155" s="130"/>
    </row>
    <row r="1156">
      <c r="C1156" s="120"/>
      <c r="H1156" s="20">
        <v>50.0</v>
      </c>
      <c r="J1156" s="20">
        <v>0.44</v>
      </c>
      <c r="K1156" s="20">
        <v>42.0</v>
      </c>
      <c r="P1156" s="130"/>
    </row>
    <row r="1157">
      <c r="C1157" s="120"/>
      <c r="H1157" s="20">
        <v>48.0</v>
      </c>
      <c r="J1157" s="20">
        <v>0.48</v>
      </c>
      <c r="K1157" s="20">
        <v>51.0</v>
      </c>
      <c r="P1157" s="130"/>
    </row>
    <row r="1158">
      <c r="C1158" s="120"/>
      <c r="H1158" s="20">
        <v>51.0</v>
      </c>
      <c r="J1158" s="20">
        <v>0.43</v>
      </c>
      <c r="K1158" s="20">
        <v>40.0</v>
      </c>
      <c r="P1158" s="130"/>
    </row>
    <row r="1159">
      <c r="C1159" s="120"/>
      <c r="H1159" s="20">
        <v>51.0</v>
      </c>
      <c r="J1159" s="20">
        <v>0.49</v>
      </c>
      <c r="K1159" s="20">
        <v>43.0</v>
      </c>
      <c r="P1159" s="130"/>
    </row>
    <row r="1160">
      <c r="C1160" s="120"/>
      <c r="H1160" s="20">
        <v>43.0</v>
      </c>
      <c r="J1160" s="20">
        <v>0.46</v>
      </c>
      <c r="K1160" s="20">
        <v>45.0</v>
      </c>
      <c r="P1160" s="130"/>
    </row>
    <row r="1161">
      <c r="C1161" s="120"/>
      <c r="H1161" s="20">
        <v>42.0</v>
      </c>
      <c r="J1161" s="20">
        <v>0.56</v>
      </c>
      <c r="K1161" s="20">
        <v>44.0</v>
      </c>
      <c r="P1161" s="130"/>
    </row>
    <row r="1162">
      <c r="C1162" s="120"/>
      <c r="H1162" s="20">
        <v>42.0</v>
      </c>
      <c r="J1162" s="20">
        <v>0.47</v>
      </c>
      <c r="K1162" s="20">
        <v>38.0</v>
      </c>
      <c r="P1162" s="130"/>
    </row>
    <row r="1163">
      <c r="C1163" s="120"/>
      <c r="H1163" s="20">
        <v>47.0</v>
      </c>
      <c r="J1163" s="20">
        <v>0.44</v>
      </c>
      <c r="K1163" s="20">
        <v>49.0</v>
      </c>
      <c r="P1163" s="130"/>
    </row>
    <row r="1164">
      <c r="C1164" s="120"/>
      <c r="H1164" s="20">
        <v>44.0</v>
      </c>
      <c r="J1164" s="20">
        <v>0.43</v>
      </c>
      <c r="K1164" s="20">
        <v>46.0</v>
      </c>
      <c r="P1164" s="130"/>
    </row>
    <row r="1165">
      <c r="C1165" s="120"/>
      <c r="H1165" s="20">
        <v>48.0</v>
      </c>
      <c r="J1165" s="20">
        <v>0.44</v>
      </c>
      <c r="K1165" s="20">
        <v>43.0</v>
      </c>
      <c r="P1165" s="130"/>
    </row>
    <row r="1166">
      <c r="C1166" s="120"/>
      <c r="H1166" s="20">
        <v>46.0</v>
      </c>
      <c r="J1166" s="20">
        <v>0.48</v>
      </c>
      <c r="K1166" s="20">
        <v>44.0</v>
      </c>
      <c r="P1166" s="130"/>
    </row>
    <row r="1167">
      <c r="C1167" s="120"/>
      <c r="H1167" s="20">
        <v>42.0</v>
      </c>
      <c r="J1167" s="20">
        <v>0.49</v>
      </c>
      <c r="K1167" s="20">
        <v>47.0</v>
      </c>
      <c r="P1167" s="130"/>
    </row>
    <row r="1168">
      <c r="C1168" s="120"/>
      <c r="H1168" s="20">
        <v>41.0</v>
      </c>
      <c r="J1168" s="20">
        <v>0.48</v>
      </c>
      <c r="K1168" s="20">
        <v>45.0</v>
      </c>
      <c r="P1168" s="130"/>
    </row>
    <row r="1169">
      <c r="C1169" s="120"/>
      <c r="H1169" s="20">
        <v>43.0</v>
      </c>
      <c r="J1169" s="20">
        <v>0.48</v>
      </c>
      <c r="K1169" s="20">
        <v>38.0</v>
      </c>
      <c r="P1169" s="130"/>
    </row>
    <row r="1170">
      <c r="C1170" s="120"/>
      <c r="H1170" s="20">
        <v>53.0</v>
      </c>
      <c r="J1170" s="20">
        <v>0.44</v>
      </c>
      <c r="K1170" s="20">
        <v>47.0</v>
      </c>
      <c r="P1170" s="130"/>
    </row>
    <row r="1171">
      <c r="C1171" s="120"/>
      <c r="H1171" s="20">
        <v>48.0</v>
      </c>
      <c r="J1171" s="20">
        <v>0.47</v>
      </c>
      <c r="K1171" s="20">
        <v>45.0</v>
      </c>
      <c r="P1171" s="130"/>
    </row>
    <row r="1172">
      <c r="C1172" s="120"/>
      <c r="H1172" s="20">
        <v>47.0</v>
      </c>
      <c r="J1172" s="20">
        <v>0.45</v>
      </c>
      <c r="K1172" s="20">
        <v>41.0</v>
      </c>
      <c r="P1172" s="130"/>
    </row>
    <row r="1173">
      <c r="C1173" s="120"/>
      <c r="H1173" s="20">
        <v>45.0</v>
      </c>
      <c r="J1173" s="20">
        <v>0.46</v>
      </c>
      <c r="K1173" s="20">
        <v>49.0</v>
      </c>
      <c r="P1173" s="130"/>
    </row>
    <row r="1174">
      <c r="C1174" s="120"/>
      <c r="H1174" s="20">
        <v>45.0</v>
      </c>
      <c r="J1174" s="20">
        <v>0.48</v>
      </c>
      <c r="K1174" s="20">
        <v>45.0</v>
      </c>
      <c r="P1174" s="130"/>
    </row>
    <row r="1175">
      <c r="C1175" s="120"/>
      <c r="H1175" s="20">
        <v>45.0</v>
      </c>
      <c r="J1175" s="20">
        <v>0.46</v>
      </c>
      <c r="K1175" s="20">
        <v>40.0</v>
      </c>
      <c r="P1175" s="130"/>
    </row>
    <row r="1176">
      <c r="C1176" s="120"/>
      <c r="H1176" s="20">
        <v>48.0</v>
      </c>
      <c r="J1176" s="20">
        <v>0.49</v>
      </c>
      <c r="K1176" s="20">
        <v>42.0</v>
      </c>
      <c r="P1176" s="130"/>
    </row>
    <row r="1177">
      <c r="C1177" s="120"/>
      <c r="H1177" s="20">
        <v>46.0</v>
      </c>
      <c r="J1177" s="20">
        <v>0.45</v>
      </c>
      <c r="K1177" s="20">
        <v>48.0</v>
      </c>
      <c r="P1177" s="130"/>
    </row>
    <row r="1178">
      <c r="C1178" s="120"/>
      <c r="H1178" s="20">
        <v>45.0</v>
      </c>
      <c r="J1178" s="20">
        <v>0.47</v>
      </c>
      <c r="K1178" s="20">
        <v>46.0</v>
      </c>
      <c r="P1178" s="130"/>
    </row>
    <row r="1179">
      <c r="C1179" s="120"/>
      <c r="H1179" s="20">
        <v>47.0</v>
      </c>
      <c r="J1179" s="20">
        <v>0.44</v>
      </c>
      <c r="K1179" s="20">
        <v>45.0</v>
      </c>
      <c r="P1179" s="130"/>
    </row>
    <row r="1180">
      <c r="C1180" s="120"/>
      <c r="H1180" s="20">
        <v>42.0</v>
      </c>
      <c r="J1180" s="20">
        <v>0.51</v>
      </c>
      <c r="K1180" s="20">
        <v>46.0</v>
      </c>
      <c r="P1180" s="130"/>
    </row>
    <row r="1181">
      <c r="C1181" s="120"/>
      <c r="H1181" s="20">
        <v>44.0</v>
      </c>
      <c r="J1181" s="20">
        <v>0.47</v>
      </c>
      <c r="K1181" s="20">
        <v>46.0</v>
      </c>
      <c r="P1181" s="130"/>
    </row>
    <row r="1182">
      <c r="C1182" s="120"/>
      <c r="H1182" s="20">
        <v>49.0</v>
      </c>
      <c r="J1182" s="20">
        <v>0.47</v>
      </c>
      <c r="K1182" s="20">
        <v>39.0</v>
      </c>
      <c r="P1182" s="130"/>
    </row>
    <row r="1183">
      <c r="C1183" s="120"/>
      <c r="H1183" s="20">
        <v>48.0</v>
      </c>
      <c r="J1183" s="20">
        <v>0.47</v>
      </c>
      <c r="K1183" s="20">
        <v>50.0</v>
      </c>
      <c r="P1183" s="130"/>
    </row>
    <row r="1184">
      <c r="C1184" s="120"/>
      <c r="H1184" s="20">
        <v>42.0</v>
      </c>
      <c r="J1184" s="20">
        <v>0.52</v>
      </c>
      <c r="K1184" s="20">
        <v>39.0</v>
      </c>
      <c r="P1184" s="130"/>
    </row>
    <row r="1185">
      <c r="C1185" s="120"/>
      <c r="H1185" s="20">
        <v>44.0</v>
      </c>
      <c r="J1185" s="20">
        <v>0.5</v>
      </c>
      <c r="K1185" s="20">
        <v>46.0</v>
      </c>
      <c r="P1185" s="130"/>
    </row>
    <row r="1186">
      <c r="C1186" s="120"/>
      <c r="H1186" s="20">
        <v>47.0</v>
      </c>
      <c r="J1186" s="20">
        <v>0.51</v>
      </c>
      <c r="K1186" s="20">
        <v>45.0</v>
      </c>
      <c r="P1186" s="130"/>
    </row>
    <row r="1187">
      <c r="C1187" s="120"/>
      <c r="H1187" s="20">
        <v>41.0</v>
      </c>
      <c r="J1187" s="20">
        <v>0.48</v>
      </c>
      <c r="K1187" s="20">
        <v>48.0</v>
      </c>
      <c r="P1187" s="130"/>
    </row>
    <row r="1188">
      <c r="C1188" s="120"/>
      <c r="H1188" s="20">
        <v>44.0</v>
      </c>
      <c r="J1188" s="20">
        <v>0.39</v>
      </c>
      <c r="K1188" s="20">
        <v>41.0</v>
      </c>
      <c r="P1188" s="130"/>
    </row>
    <row r="1189">
      <c r="C1189" s="120"/>
      <c r="H1189" s="20">
        <v>43.0</v>
      </c>
      <c r="J1189" s="20">
        <v>0.45</v>
      </c>
      <c r="K1189" s="20">
        <v>39.0</v>
      </c>
      <c r="P1189" s="130"/>
    </row>
    <row r="1190">
      <c r="C1190" s="120"/>
      <c r="H1190" s="20">
        <v>47.0</v>
      </c>
      <c r="J1190" s="20">
        <v>0.49</v>
      </c>
      <c r="K1190" s="20">
        <v>41.0</v>
      </c>
      <c r="P1190" s="130"/>
    </row>
    <row r="1191">
      <c r="C1191" s="120"/>
      <c r="H1191" s="20">
        <v>45.0</v>
      </c>
      <c r="J1191" s="20">
        <v>0.47</v>
      </c>
      <c r="K1191" s="20">
        <v>41.0</v>
      </c>
      <c r="P1191" s="130"/>
    </row>
    <row r="1192">
      <c r="C1192" s="120"/>
      <c r="H1192" s="20">
        <v>45.0</v>
      </c>
      <c r="J1192" s="20">
        <v>0.46</v>
      </c>
      <c r="K1192" s="20">
        <v>46.0</v>
      </c>
      <c r="P1192" s="130"/>
    </row>
    <row r="1193">
      <c r="C1193" s="120"/>
      <c r="H1193" s="20">
        <v>46.0</v>
      </c>
      <c r="J1193" s="20">
        <v>0.46</v>
      </c>
      <c r="K1193" s="20">
        <v>41.0</v>
      </c>
      <c r="P1193" s="130"/>
    </row>
    <row r="1194">
      <c r="C1194" s="120"/>
      <c r="H1194" s="20">
        <v>46.0</v>
      </c>
      <c r="J1194" s="20">
        <v>0.43</v>
      </c>
      <c r="K1194" s="20">
        <v>43.0</v>
      </c>
      <c r="P1194" s="130"/>
    </row>
    <row r="1195">
      <c r="C1195" s="120"/>
      <c r="H1195" s="20">
        <v>46.0</v>
      </c>
      <c r="J1195" s="20">
        <v>0.47</v>
      </c>
      <c r="K1195" s="20">
        <v>44.0</v>
      </c>
      <c r="P1195" s="130"/>
    </row>
    <row r="1196">
      <c r="C1196" s="120"/>
      <c r="H1196" s="20">
        <v>42.0</v>
      </c>
      <c r="J1196" s="20">
        <v>0.43</v>
      </c>
      <c r="K1196" s="20">
        <v>42.0</v>
      </c>
      <c r="P1196" s="130"/>
    </row>
    <row r="1197">
      <c r="C1197" s="120"/>
      <c r="H1197" s="20">
        <v>45.0</v>
      </c>
      <c r="J1197" s="20">
        <v>0.49</v>
      </c>
      <c r="K1197" s="20">
        <v>43.0</v>
      </c>
      <c r="P1197" s="130"/>
    </row>
    <row r="1198">
      <c r="C1198" s="120"/>
      <c r="H1198" s="20">
        <v>45.0</v>
      </c>
      <c r="J1198" s="20">
        <v>0.47</v>
      </c>
      <c r="K1198" s="20">
        <v>45.0</v>
      </c>
      <c r="P1198" s="130"/>
    </row>
    <row r="1199">
      <c r="C1199" s="120"/>
      <c r="H1199" s="20">
        <v>43.0</v>
      </c>
      <c r="J1199" s="20">
        <v>0.42</v>
      </c>
      <c r="K1199" s="20">
        <v>45.0</v>
      </c>
      <c r="P1199" s="130"/>
    </row>
    <row r="1200">
      <c r="C1200" s="120"/>
      <c r="H1200" s="20">
        <v>49.0</v>
      </c>
      <c r="J1200" s="20">
        <v>0.47</v>
      </c>
      <c r="K1200" s="20">
        <v>39.0</v>
      </c>
      <c r="P1200" s="130"/>
    </row>
    <row r="1201">
      <c r="C1201" s="120"/>
      <c r="H1201" s="20">
        <v>45.0</v>
      </c>
      <c r="J1201" s="20">
        <v>0.46</v>
      </c>
      <c r="K1201" s="20">
        <v>42.0</v>
      </c>
      <c r="P1201" s="130"/>
    </row>
    <row r="1202">
      <c r="C1202" s="120"/>
      <c r="H1202" s="20">
        <v>41.0</v>
      </c>
      <c r="J1202" s="20">
        <v>0.45</v>
      </c>
      <c r="K1202" s="20">
        <v>36.0</v>
      </c>
      <c r="P1202" s="130"/>
    </row>
    <row r="1203">
      <c r="C1203" s="120"/>
      <c r="H1203" s="20">
        <v>45.0</v>
      </c>
      <c r="J1203" s="20">
        <v>0.51</v>
      </c>
      <c r="K1203" s="20">
        <v>40.0</v>
      </c>
      <c r="P1203" s="130"/>
    </row>
    <row r="1204">
      <c r="C1204" s="120"/>
      <c r="H1204" s="20">
        <v>42.0</v>
      </c>
      <c r="J1204" s="20">
        <v>0.46</v>
      </c>
      <c r="K1204" s="20">
        <v>38.0</v>
      </c>
      <c r="P1204" s="130"/>
    </row>
    <row r="1205">
      <c r="C1205" s="120"/>
      <c r="H1205" s="20">
        <v>45.0</v>
      </c>
      <c r="J1205" s="20">
        <v>0.46</v>
      </c>
      <c r="K1205" s="20">
        <v>41.0</v>
      </c>
      <c r="P1205" s="130"/>
    </row>
    <row r="1206">
      <c r="C1206" s="120"/>
      <c r="H1206" s="20">
        <v>41.0</v>
      </c>
      <c r="J1206" s="20">
        <v>0.5</v>
      </c>
      <c r="K1206" s="20">
        <v>46.0</v>
      </c>
      <c r="P1206" s="130"/>
    </row>
    <row r="1207">
      <c r="C1207" s="120"/>
      <c r="H1207" s="20">
        <v>45.0</v>
      </c>
      <c r="J1207" s="20">
        <v>0.45</v>
      </c>
      <c r="K1207" s="20">
        <v>44.0</v>
      </c>
      <c r="P1207" s="130"/>
    </row>
    <row r="1208">
      <c r="C1208" s="120"/>
      <c r="H1208" s="20">
        <v>42.0</v>
      </c>
      <c r="J1208" s="20">
        <v>0.48</v>
      </c>
      <c r="K1208" s="20">
        <v>45.0</v>
      </c>
      <c r="P1208" s="130"/>
    </row>
    <row r="1209">
      <c r="C1209" s="120"/>
      <c r="H1209" s="20">
        <v>41.0</v>
      </c>
      <c r="J1209" s="20">
        <v>0.48</v>
      </c>
      <c r="K1209" s="20">
        <v>48.0</v>
      </c>
      <c r="P1209" s="130"/>
    </row>
    <row r="1210">
      <c r="C1210" s="120"/>
      <c r="H1210" s="20">
        <v>45.0</v>
      </c>
      <c r="J1210" s="20">
        <v>0.45</v>
      </c>
      <c r="K1210" s="20">
        <v>50.0</v>
      </c>
      <c r="P1210" s="130"/>
    </row>
    <row r="1211">
      <c r="C1211" s="120"/>
      <c r="H1211" s="20">
        <v>44.0</v>
      </c>
      <c r="J1211" s="20">
        <v>0.47</v>
      </c>
      <c r="K1211" s="20">
        <v>50.0</v>
      </c>
      <c r="P1211" s="130"/>
    </row>
    <row r="1212">
      <c r="C1212" s="120"/>
      <c r="H1212" s="20">
        <v>46.0</v>
      </c>
      <c r="J1212" s="20">
        <v>0.47</v>
      </c>
      <c r="K1212" s="20">
        <v>43.0</v>
      </c>
      <c r="P1212" s="130"/>
    </row>
    <row r="1213">
      <c r="C1213" s="120"/>
      <c r="H1213" s="20">
        <v>45.0</v>
      </c>
      <c r="J1213" s="20">
        <v>0.46</v>
      </c>
      <c r="K1213" s="20">
        <v>39.0</v>
      </c>
      <c r="P1213" s="130"/>
    </row>
    <row r="1214">
      <c r="C1214" s="120"/>
      <c r="H1214" s="20">
        <v>44.0</v>
      </c>
      <c r="J1214" s="20">
        <v>0.48</v>
      </c>
      <c r="K1214" s="20">
        <v>44.0</v>
      </c>
      <c r="P1214" s="130"/>
    </row>
    <row r="1215">
      <c r="C1215" s="120"/>
      <c r="H1215" s="20">
        <v>47.0</v>
      </c>
      <c r="J1215" s="20">
        <v>0.49</v>
      </c>
      <c r="K1215" s="20">
        <v>41.0</v>
      </c>
      <c r="P1215" s="130"/>
    </row>
    <row r="1216">
      <c r="C1216" s="120"/>
      <c r="H1216" s="20">
        <v>40.0</v>
      </c>
      <c r="J1216" s="20">
        <v>0.48</v>
      </c>
      <c r="K1216" s="20">
        <v>38.0</v>
      </c>
      <c r="P1216" s="130"/>
    </row>
    <row r="1217">
      <c r="C1217" s="120"/>
      <c r="H1217" s="20">
        <v>46.0</v>
      </c>
      <c r="J1217" s="20">
        <v>0.46</v>
      </c>
      <c r="K1217" s="20">
        <v>44.0</v>
      </c>
      <c r="P1217" s="130"/>
    </row>
    <row r="1218">
      <c r="C1218" s="120"/>
      <c r="H1218" s="20">
        <v>43.0</v>
      </c>
      <c r="J1218" s="20">
        <v>0.49</v>
      </c>
      <c r="K1218" s="20">
        <v>44.0</v>
      </c>
      <c r="P1218" s="130"/>
    </row>
    <row r="1219">
      <c r="C1219" s="120"/>
      <c r="H1219" s="20">
        <v>51.0</v>
      </c>
      <c r="J1219" s="20">
        <v>0.47</v>
      </c>
      <c r="K1219" s="20">
        <v>45.0</v>
      </c>
      <c r="P1219" s="130"/>
    </row>
    <row r="1220">
      <c r="C1220" s="120"/>
      <c r="H1220" s="20">
        <v>42.0</v>
      </c>
      <c r="J1220" s="20">
        <v>0.47</v>
      </c>
      <c r="K1220" s="20">
        <v>45.0</v>
      </c>
      <c r="P1220" s="130"/>
    </row>
    <row r="1221">
      <c r="C1221" s="120"/>
      <c r="H1221" s="20">
        <v>40.0</v>
      </c>
      <c r="J1221" s="20">
        <v>0.48</v>
      </c>
      <c r="K1221" s="20">
        <v>43.0</v>
      </c>
      <c r="P1221" s="130"/>
    </row>
    <row r="1222">
      <c r="C1222" s="120"/>
      <c r="H1222" s="20">
        <v>41.0</v>
      </c>
      <c r="J1222" s="20">
        <v>0.49</v>
      </c>
      <c r="K1222" s="20">
        <v>49.0</v>
      </c>
      <c r="P1222" s="130"/>
    </row>
    <row r="1223">
      <c r="C1223" s="120"/>
      <c r="H1223" s="20">
        <v>46.0</v>
      </c>
      <c r="J1223" s="20">
        <v>0.46</v>
      </c>
      <c r="K1223" s="20">
        <v>48.0</v>
      </c>
      <c r="P1223" s="130"/>
    </row>
    <row r="1224">
      <c r="C1224" s="120"/>
      <c r="H1224" s="20">
        <v>39.0</v>
      </c>
      <c r="J1224" s="20">
        <v>0.47</v>
      </c>
      <c r="K1224" s="20">
        <v>43.0</v>
      </c>
      <c r="P1224" s="130"/>
    </row>
    <row r="1225">
      <c r="C1225" s="120"/>
      <c r="H1225" s="20">
        <v>42.0</v>
      </c>
      <c r="J1225" s="20">
        <v>0.46</v>
      </c>
      <c r="K1225" s="20">
        <v>39.0</v>
      </c>
      <c r="P1225" s="130"/>
    </row>
    <row r="1226">
      <c r="C1226" s="120"/>
      <c r="H1226" s="20">
        <v>43.0</v>
      </c>
      <c r="J1226" s="20">
        <v>0.45</v>
      </c>
      <c r="K1226" s="20">
        <v>40.0</v>
      </c>
      <c r="P1226" s="130"/>
    </row>
    <row r="1227">
      <c r="C1227" s="120"/>
      <c r="H1227" s="20">
        <v>39.0</v>
      </c>
      <c r="J1227" s="20">
        <v>0.49</v>
      </c>
      <c r="K1227" s="20">
        <v>38.0</v>
      </c>
      <c r="P1227" s="130"/>
    </row>
    <row r="1228">
      <c r="C1228" s="120"/>
      <c r="H1228" s="20">
        <v>43.0</v>
      </c>
      <c r="J1228" s="20">
        <v>0.46</v>
      </c>
      <c r="K1228" s="20">
        <v>39.0</v>
      </c>
      <c r="P1228" s="130"/>
    </row>
    <row r="1229">
      <c r="C1229" s="120"/>
      <c r="H1229" s="20">
        <v>48.0</v>
      </c>
      <c r="J1229" s="20">
        <v>0.45</v>
      </c>
      <c r="K1229" s="20">
        <v>36.0</v>
      </c>
      <c r="P1229" s="130"/>
    </row>
    <row r="1230">
      <c r="C1230" s="120"/>
      <c r="H1230" s="20">
        <v>45.0</v>
      </c>
      <c r="J1230" s="20">
        <v>0.49</v>
      </c>
      <c r="K1230" s="20">
        <v>42.0</v>
      </c>
      <c r="P1230" s="130"/>
    </row>
    <row r="1231">
      <c r="C1231" s="120"/>
      <c r="H1231" s="20">
        <v>42.0</v>
      </c>
      <c r="J1231" s="20">
        <v>0.47</v>
      </c>
      <c r="K1231" s="20">
        <v>38.0</v>
      </c>
      <c r="P1231" s="130"/>
    </row>
    <row r="1232">
      <c r="C1232" s="120"/>
      <c r="H1232" s="20">
        <v>41.0</v>
      </c>
      <c r="J1232" s="20">
        <v>0.45</v>
      </c>
      <c r="K1232" s="20">
        <v>37.0</v>
      </c>
      <c r="P1232" s="130"/>
    </row>
    <row r="1233">
      <c r="C1233" s="120"/>
      <c r="H1233" s="20">
        <v>43.0</v>
      </c>
      <c r="J1233" s="20">
        <v>0.46</v>
      </c>
      <c r="K1233" s="20">
        <v>43.0</v>
      </c>
      <c r="P1233" s="130"/>
    </row>
    <row r="1234">
      <c r="C1234" s="120"/>
      <c r="H1234" s="20">
        <v>41.0</v>
      </c>
      <c r="J1234" s="20">
        <v>0.5</v>
      </c>
      <c r="K1234" s="20">
        <v>42.0</v>
      </c>
      <c r="P1234" s="130"/>
    </row>
    <row r="1235">
      <c r="C1235" s="120"/>
      <c r="H1235" s="20">
        <v>45.0</v>
      </c>
      <c r="J1235" s="20">
        <v>0.48</v>
      </c>
      <c r="K1235" s="20">
        <v>42.0</v>
      </c>
      <c r="P1235" s="130"/>
    </row>
    <row r="1236">
      <c r="C1236" s="120"/>
      <c r="H1236" s="20">
        <v>42.0</v>
      </c>
      <c r="J1236" s="20">
        <v>0.46</v>
      </c>
      <c r="K1236" s="20">
        <v>43.0</v>
      </c>
      <c r="P1236" s="130"/>
    </row>
    <row r="1237">
      <c r="C1237" s="120"/>
      <c r="H1237" s="20">
        <v>43.0</v>
      </c>
      <c r="J1237" s="20">
        <v>0.5</v>
      </c>
      <c r="K1237" s="20">
        <v>38.0</v>
      </c>
      <c r="P1237" s="130"/>
    </row>
    <row r="1238">
      <c r="C1238" s="120"/>
      <c r="H1238" s="20">
        <v>44.0</v>
      </c>
      <c r="J1238" s="20">
        <v>0.47</v>
      </c>
      <c r="K1238" s="20">
        <v>40.0</v>
      </c>
      <c r="P1238" s="130"/>
    </row>
    <row r="1239">
      <c r="C1239" s="120"/>
      <c r="H1239" s="20">
        <v>42.0</v>
      </c>
      <c r="J1239" s="20">
        <v>0.48</v>
      </c>
      <c r="K1239" s="20">
        <v>39.0</v>
      </c>
      <c r="P1239" s="130"/>
    </row>
    <row r="1240">
      <c r="C1240" s="120"/>
      <c r="H1240" s="20">
        <v>46.0</v>
      </c>
      <c r="J1240" s="20">
        <v>0.46</v>
      </c>
      <c r="K1240" s="20">
        <v>37.0</v>
      </c>
      <c r="P1240" s="130"/>
    </row>
    <row r="1241">
      <c r="C1241" s="120"/>
      <c r="H1241" s="20">
        <v>45.0</v>
      </c>
      <c r="J1241" s="20">
        <v>0.48</v>
      </c>
      <c r="K1241" s="20">
        <v>43.0</v>
      </c>
      <c r="P1241" s="130"/>
    </row>
    <row r="1242">
      <c r="C1242" s="120"/>
      <c r="H1242" s="20">
        <v>44.0</v>
      </c>
      <c r="J1242" s="20">
        <v>0.49</v>
      </c>
      <c r="K1242" s="20">
        <v>40.0</v>
      </c>
      <c r="P1242" s="130"/>
    </row>
    <row r="1243">
      <c r="C1243" s="120"/>
      <c r="H1243" s="20">
        <v>45.0</v>
      </c>
      <c r="J1243" s="20">
        <v>0.46</v>
      </c>
      <c r="K1243" s="20">
        <v>37.0</v>
      </c>
      <c r="P1243" s="130"/>
    </row>
    <row r="1244">
      <c r="C1244" s="120"/>
      <c r="H1244" s="20">
        <v>42.0</v>
      </c>
      <c r="J1244" s="20">
        <v>0.47</v>
      </c>
      <c r="K1244" s="20">
        <v>37.0</v>
      </c>
      <c r="P1244" s="130"/>
    </row>
    <row r="1245">
      <c r="C1245" s="120"/>
      <c r="H1245" s="20">
        <v>44.0</v>
      </c>
      <c r="J1245" s="20">
        <v>0.49</v>
      </c>
      <c r="K1245" s="20">
        <v>42.0</v>
      </c>
      <c r="P1245" s="130"/>
    </row>
    <row r="1246">
      <c r="C1246" s="120"/>
      <c r="H1246" s="20">
        <v>43.0</v>
      </c>
      <c r="J1246" s="20">
        <v>0.49</v>
      </c>
      <c r="K1246" s="20">
        <v>45.0</v>
      </c>
      <c r="P1246" s="130"/>
    </row>
    <row r="1247">
      <c r="C1247" s="120"/>
      <c r="H1247" s="20">
        <v>40.0</v>
      </c>
      <c r="J1247" s="20">
        <v>0.45</v>
      </c>
      <c r="K1247" s="20">
        <v>51.0</v>
      </c>
      <c r="P1247" s="130"/>
    </row>
    <row r="1248">
      <c r="C1248" s="120"/>
      <c r="H1248" s="20">
        <v>42.0</v>
      </c>
      <c r="J1248" s="20">
        <v>0.5</v>
      </c>
      <c r="K1248" s="20">
        <v>47.0</v>
      </c>
      <c r="P1248" s="130"/>
    </row>
    <row r="1249">
      <c r="C1249" s="120"/>
      <c r="H1249" s="20">
        <v>42.0</v>
      </c>
      <c r="J1249" s="20">
        <v>0.48</v>
      </c>
      <c r="K1249" s="20">
        <v>41.0</v>
      </c>
      <c r="P1249" s="130"/>
    </row>
    <row r="1250">
      <c r="C1250" s="120"/>
      <c r="H1250" s="20">
        <v>43.0</v>
      </c>
      <c r="J1250" s="20">
        <v>0.47</v>
      </c>
      <c r="K1250" s="20">
        <v>38.0</v>
      </c>
      <c r="P1250" s="130"/>
    </row>
    <row r="1251">
      <c r="C1251" s="120"/>
      <c r="H1251" s="20">
        <v>44.0</v>
      </c>
      <c r="J1251" s="20">
        <v>0.48</v>
      </c>
      <c r="K1251" s="20">
        <v>39.0</v>
      </c>
      <c r="P1251" s="130"/>
    </row>
    <row r="1252">
      <c r="C1252" s="120"/>
      <c r="H1252" s="20">
        <v>44.0</v>
      </c>
      <c r="J1252" s="20">
        <v>0.47</v>
      </c>
      <c r="K1252" s="20">
        <v>38.0</v>
      </c>
      <c r="P1252" s="130"/>
    </row>
    <row r="1253">
      <c r="C1253" s="120"/>
      <c r="H1253" s="20">
        <v>43.0</v>
      </c>
      <c r="J1253" s="20">
        <v>0.49</v>
      </c>
      <c r="K1253" s="20">
        <v>36.0</v>
      </c>
      <c r="P1253" s="130"/>
    </row>
    <row r="1254">
      <c r="C1254" s="120"/>
      <c r="H1254" s="20">
        <v>46.0</v>
      </c>
      <c r="J1254" s="20">
        <v>0.45</v>
      </c>
      <c r="K1254" s="20">
        <v>38.0</v>
      </c>
      <c r="P1254" s="130"/>
    </row>
    <row r="1255">
      <c r="C1255" s="120"/>
      <c r="H1255" s="20">
        <v>48.0</v>
      </c>
      <c r="J1255" s="20">
        <v>0.49</v>
      </c>
      <c r="K1255" s="20">
        <v>40.0</v>
      </c>
      <c r="P1255" s="130"/>
    </row>
    <row r="1256">
      <c r="C1256" s="120"/>
      <c r="H1256" s="20">
        <v>40.0</v>
      </c>
      <c r="J1256" s="20">
        <v>0.48</v>
      </c>
      <c r="K1256" s="20">
        <v>35.0</v>
      </c>
      <c r="P1256" s="130"/>
    </row>
    <row r="1257">
      <c r="C1257" s="120"/>
      <c r="H1257" s="20">
        <v>38.0</v>
      </c>
      <c r="J1257" s="20">
        <v>0.45</v>
      </c>
      <c r="K1257" s="20">
        <v>41.0</v>
      </c>
      <c r="P1257" s="130"/>
    </row>
    <row r="1258">
      <c r="C1258" s="120"/>
      <c r="H1258" s="20">
        <v>44.0</v>
      </c>
      <c r="J1258" s="20">
        <v>0.47</v>
      </c>
      <c r="K1258" s="20">
        <v>44.0</v>
      </c>
      <c r="P1258" s="130"/>
    </row>
    <row r="1259">
      <c r="C1259" s="120"/>
      <c r="H1259" s="20">
        <v>44.0</v>
      </c>
      <c r="J1259" s="20">
        <v>0.48</v>
      </c>
      <c r="K1259" s="20">
        <v>43.0</v>
      </c>
      <c r="P1259" s="130"/>
    </row>
    <row r="1260">
      <c r="C1260" s="120"/>
      <c r="H1260" s="20">
        <v>43.0</v>
      </c>
      <c r="J1260" s="20">
        <v>0.48</v>
      </c>
      <c r="K1260" s="20">
        <v>44.0</v>
      </c>
      <c r="P1260" s="130"/>
    </row>
    <row r="1261">
      <c r="C1261" s="120"/>
      <c r="H1261" s="20">
        <v>41.0</v>
      </c>
      <c r="J1261" s="20">
        <v>0.49</v>
      </c>
      <c r="K1261" s="20">
        <v>43.0</v>
      </c>
      <c r="P1261" s="130"/>
    </row>
    <row r="1262">
      <c r="C1262" s="120"/>
      <c r="H1262" s="20">
        <v>44.0</v>
      </c>
      <c r="J1262" s="20">
        <v>0.62</v>
      </c>
      <c r="K1262" s="20">
        <v>39.0</v>
      </c>
      <c r="P1262" s="130"/>
    </row>
    <row r="1263">
      <c r="C1263" s="120"/>
      <c r="H1263" s="20">
        <v>43.0</v>
      </c>
      <c r="J1263" s="20">
        <v>0.53</v>
      </c>
      <c r="K1263" s="20">
        <v>43.0</v>
      </c>
      <c r="P1263" s="130"/>
    </row>
    <row r="1264">
      <c r="C1264" s="120"/>
      <c r="H1264" s="20">
        <v>44.0</v>
      </c>
      <c r="J1264" s="20">
        <v>0.48</v>
      </c>
      <c r="K1264" s="20">
        <v>37.0</v>
      </c>
      <c r="P1264" s="130"/>
    </row>
    <row r="1265">
      <c r="C1265" s="120"/>
      <c r="H1265" s="20">
        <v>36.0</v>
      </c>
      <c r="J1265" s="20">
        <v>0.55</v>
      </c>
      <c r="K1265" s="20">
        <v>45.0</v>
      </c>
      <c r="P1265" s="130"/>
    </row>
    <row r="1266">
      <c r="C1266" s="120"/>
      <c r="H1266" s="20">
        <v>45.0</v>
      </c>
      <c r="J1266" s="20">
        <v>0.57</v>
      </c>
      <c r="K1266" s="20">
        <v>46.0</v>
      </c>
      <c r="P1266" s="130"/>
    </row>
    <row r="1267">
      <c r="C1267" s="120"/>
      <c r="H1267" s="20">
        <v>47.0</v>
      </c>
      <c r="J1267" s="20">
        <v>0.42</v>
      </c>
      <c r="K1267" s="20">
        <v>44.0</v>
      </c>
      <c r="P1267" s="130"/>
    </row>
    <row r="1268">
      <c r="C1268" s="120"/>
      <c r="H1268" s="20">
        <v>45.0</v>
      </c>
      <c r="J1268" s="20">
        <v>0.55</v>
      </c>
      <c r="K1268" s="20">
        <v>42.0</v>
      </c>
      <c r="P1268" s="130"/>
    </row>
    <row r="1269">
      <c r="C1269" s="120"/>
      <c r="H1269" s="20">
        <v>40.0</v>
      </c>
      <c r="J1269" s="20">
        <v>0.57</v>
      </c>
      <c r="K1269" s="20">
        <v>39.0</v>
      </c>
      <c r="P1269" s="130"/>
    </row>
    <row r="1270">
      <c r="C1270" s="120"/>
      <c r="H1270" s="20">
        <v>43.0</v>
      </c>
      <c r="J1270" s="20">
        <v>0.6</v>
      </c>
      <c r="K1270" s="20">
        <v>43.0</v>
      </c>
      <c r="P1270" s="130"/>
    </row>
    <row r="1271">
      <c r="C1271" s="120"/>
      <c r="H1271" s="20">
        <v>45.0</v>
      </c>
      <c r="J1271" s="20">
        <v>0.43</v>
      </c>
      <c r="K1271" s="20">
        <v>49.0</v>
      </c>
      <c r="P1271" s="130"/>
    </row>
    <row r="1272">
      <c r="C1272" s="120"/>
      <c r="H1272" s="20">
        <v>41.0</v>
      </c>
      <c r="J1272" s="20">
        <v>0.45</v>
      </c>
      <c r="K1272" s="20">
        <v>42.0</v>
      </c>
      <c r="P1272" s="130"/>
    </row>
    <row r="1273">
      <c r="C1273" s="120"/>
      <c r="H1273" s="20">
        <v>40.0</v>
      </c>
      <c r="J1273" s="20">
        <v>0.52</v>
      </c>
      <c r="K1273" s="20">
        <v>43.0</v>
      </c>
      <c r="P1273" s="130"/>
    </row>
    <row r="1274">
      <c r="C1274" s="120"/>
      <c r="H1274" s="20">
        <v>45.0</v>
      </c>
      <c r="J1274" s="20">
        <v>0.41</v>
      </c>
      <c r="K1274" s="20">
        <v>42.0</v>
      </c>
      <c r="P1274" s="130"/>
    </row>
    <row r="1275">
      <c r="C1275" s="120"/>
      <c r="H1275" s="20">
        <v>50.0</v>
      </c>
      <c r="J1275" s="20">
        <v>0.52</v>
      </c>
      <c r="K1275" s="20">
        <v>41.0</v>
      </c>
      <c r="P1275" s="130"/>
    </row>
    <row r="1276">
      <c r="C1276" s="120"/>
      <c r="H1276" s="20">
        <v>54.0</v>
      </c>
      <c r="J1276" s="20">
        <v>0.49</v>
      </c>
      <c r="K1276" s="20">
        <v>40.0</v>
      </c>
      <c r="P1276" s="130"/>
    </row>
    <row r="1277">
      <c r="C1277" s="120"/>
      <c r="H1277" s="20">
        <v>43.0</v>
      </c>
      <c r="J1277" s="20">
        <v>0.55</v>
      </c>
      <c r="K1277" s="20">
        <v>43.0</v>
      </c>
      <c r="P1277" s="130"/>
    </row>
    <row r="1278">
      <c r="C1278" s="120"/>
      <c r="H1278" s="20">
        <v>45.0</v>
      </c>
      <c r="J1278" s="20">
        <v>0.58</v>
      </c>
      <c r="K1278" s="20">
        <v>36.0</v>
      </c>
      <c r="P1278" s="130"/>
    </row>
    <row r="1279">
      <c r="C1279" s="120"/>
      <c r="H1279" s="20">
        <v>43.0</v>
      </c>
      <c r="J1279" s="20">
        <v>0.57</v>
      </c>
      <c r="K1279" s="20">
        <v>46.0</v>
      </c>
      <c r="P1279" s="130"/>
    </row>
    <row r="1280">
      <c r="C1280" s="120"/>
      <c r="H1280" s="20">
        <v>39.0</v>
      </c>
      <c r="J1280" s="20">
        <v>0.56</v>
      </c>
      <c r="K1280" s="20">
        <v>38.0</v>
      </c>
      <c r="P1280" s="130"/>
    </row>
    <row r="1281">
      <c r="C1281" s="120"/>
      <c r="H1281" s="20">
        <v>41.0</v>
      </c>
      <c r="J1281" s="20">
        <v>0.56</v>
      </c>
      <c r="K1281" s="20">
        <v>46.0</v>
      </c>
      <c r="P1281" s="130"/>
    </row>
    <row r="1282">
      <c r="C1282" s="120"/>
      <c r="H1282" s="20">
        <v>38.0</v>
      </c>
      <c r="J1282" s="20">
        <v>0.47</v>
      </c>
      <c r="K1282" s="20">
        <v>39.0</v>
      </c>
      <c r="P1282" s="130"/>
    </row>
    <row r="1283">
      <c r="C1283" s="120"/>
      <c r="H1283" s="20">
        <v>49.0</v>
      </c>
      <c r="J1283" s="20">
        <v>0.45</v>
      </c>
      <c r="K1283" s="20">
        <v>44.0</v>
      </c>
      <c r="P1283" s="130"/>
    </row>
    <row r="1284">
      <c r="C1284" s="120"/>
      <c r="H1284" s="20">
        <v>50.0</v>
      </c>
      <c r="J1284" s="20">
        <v>0.5</v>
      </c>
      <c r="K1284" s="20">
        <v>41.0</v>
      </c>
      <c r="P1284" s="130"/>
    </row>
    <row r="1285">
      <c r="C1285" s="120"/>
      <c r="H1285" s="20">
        <v>49.0</v>
      </c>
      <c r="J1285" s="20">
        <v>0.51</v>
      </c>
      <c r="K1285" s="20">
        <v>44.0</v>
      </c>
      <c r="P1285" s="130"/>
    </row>
    <row r="1286">
      <c r="C1286" s="120"/>
      <c r="H1286" s="20">
        <v>43.0</v>
      </c>
      <c r="J1286" s="20">
        <v>0.56</v>
      </c>
      <c r="K1286" s="20">
        <v>45.0</v>
      </c>
      <c r="P1286" s="130"/>
    </row>
    <row r="1287">
      <c r="C1287" s="120"/>
      <c r="H1287" s="20">
        <v>46.0</v>
      </c>
      <c r="J1287" s="20">
        <v>0.47</v>
      </c>
      <c r="K1287" s="20">
        <v>45.0</v>
      </c>
      <c r="P1287" s="130"/>
    </row>
    <row r="1288">
      <c r="C1288" s="120"/>
      <c r="H1288" s="20">
        <v>47.0</v>
      </c>
      <c r="J1288" s="20">
        <v>0.45</v>
      </c>
      <c r="K1288" s="20">
        <v>42.0</v>
      </c>
      <c r="P1288" s="130"/>
    </row>
    <row r="1289">
      <c r="C1289" s="120"/>
      <c r="H1289" s="20">
        <v>45.0</v>
      </c>
      <c r="J1289" s="20">
        <v>0.58</v>
      </c>
      <c r="K1289" s="20">
        <v>42.0</v>
      </c>
      <c r="P1289" s="130"/>
    </row>
    <row r="1290">
      <c r="C1290" s="120"/>
      <c r="H1290" s="20">
        <v>43.0</v>
      </c>
      <c r="J1290" s="20">
        <v>0.53</v>
      </c>
      <c r="K1290" s="20">
        <v>41.0</v>
      </c>
      <c r="P1290" s="130"/>
    </row>
    <row r="1291">
      <c r="C1291" s="120"/>
      <c r="H1291" s="20">
        <v>47.0</v>
      </c>
      <c r="J1291" s="20">
        <v>0.55</v>
      </c>
      <c r="K1291" s="20">
        <v>41.0</v>
      </c>
      <c r="P1291" s="130"/>
    </row>
    <row r="1292">
      <c r="C1292" s="120"/>
      <c r="H1292" s="20">
        <v>50.0</v>
      </c>
      <c r="J1292" s="20">
        <v>0.54</v>
      </c>
      <c r="K1292" s="20">
        <v>47.0</v>
      </c>
      <c r="P1292" s="130"/>
    </row>
    <row r="1293">
      <c r="C1293" s="120"/>
      <c r="H1293" s="20">
        <v>44.0</v>
      </c>
      <c r="J1293" s="20">
        <v>0.49</v>
      </c>
      <c r="K1293" s="20">
        <v>50.0</v>
      </c>
      <c r="P1293" s="130"/>
    </row>
    <row r="1294">
      <c r="C1294" s="120"/>
      <c r="H1294" s="20">
        <v>44.0</v>
      </c>
      <c r="J1294" s="20">
        <v>0.58</v>
      </c>
      <c r="K1294" s="20">
        <v>47.0</v>
      </c>
      <c r="P1294" s="130"/>
    </row>
    <row r="1295">
      <c r="C1295" s="120"/>
      <c r="H1295" s="20">
        <v>42.0</v>
      </c>
      <c r="J1295" s="20">
        <v>0.61</v>
      </c>
      <c r="K1295" s="20">
        <v>43.0</v>
      </c>
      <c r="P1295" s="130"/>
    </row>
    <row r="1296">
      <c r="C1296" s="120"/>
      <c r="H1296" s="20">
        <v>45.0</v>
      </c>
      <c r="J1296" s="20">
        <v>0.5</v>
      </c>
      <c r="K1296" s="20">
        <v>45.0</v>
      </c>
      <c r="P1296" s="130"/>
    </row>
    <row r="1297">
      <c r="C1297" s="120"/>
      <c r="H1297" s="20">
        <v>42.0</v>
      </c>
      <c r="J1297" s="20">
        <v>0.46</v>
      </c>
      <c r="K1297" s="20">
        <v>46.0</v>
      </c>
      <c r="P1297" s="130"/>
    </row>
    <row r="1298">
      <c r="C1298" s="120"/>
      <c r="H1298" s="20">
        <v>41.0</v>
      </c>
      <c r="J1298" s="20">
        <v>0.5</v>
      </c>
      <c r="K1298" s="20">
        <v>45.0</v>
      </c>
      <c r="P1298" s="130"/>
    </row>
    <row r="1299">
      <c r="C1299" s="120"/>
      <c r="H1299" s="20">
        <v>44.0</v>
      </c>
      <c r="J1299" s="20">
        <v>0.51</v>
      </c>
      <c r="K1299" s="20">
        <v>40.0</v>
      </c>
      <c r="P1299" s="130"/>
    </row>
    <row r="1300">
      <c r="C1300" s="120"/>
      <c r="H1300" s="20">
        <v>44.0</v>
      </c>
      <c r="J1300" s="20">
        <v>0.49</v>
      </c>
      <c r="K1300" s="20">
        <v>51.0</v>
      </c>
      <c r="P1300" s="130"/>
    </row>
    <row r="1301">
      <c r="C1301" s="120"/>
      <c r="H1301" s="20">
        <v>41.0</v>
      </c>
      <c r="J1301" s="20">
        <v>0.44</v>
      </c>
      <c r="K1301" s="20">
        <v>48.0</v>
      </c>
      <c r="P1301" s="130"/>
    </row>
    <row r="1302">
      <c r="C1302" s="120"/>
      <c r="H1302" s="20">
        <v>42.0</v>
      </c>
      <c r="J1302" s="20">
        <v>0.46</v>
      </c>
      <c r="K1302" s="20">
        <v>41.0</v>
      </c>
      <c r="P1302" s="130"/>
    </row>
    <row r="1303">
      <c r="C1303" s="120"/>
      <c r="H1303" s="20">
        <v>47.0</v>
      </c>
      <c r="J1303" s="20">
        <v>0.52</v>
      </c>
      <c r="K1303" s="20">
        <v>50.0</v>
      </c>
      <c r="P1303" s="130"/>
    </row>
    <row r="1304">
      <c r="C1304" s="120"/>
      <c r="H1304" s="20">
        <v>47.0</v>
      </c>
      <c r="J1304" s="20">
        <v>0.63</v>
      </c>
      <c r="K1304" s="20">
        <v>50.0</v>
      </c>
      <c r="P1304" s="130"/>
    </row>
    <row r="1305">
      <c r="C1305" s="120"/>
      <c r="H1305" s="20">
        <v>39.0</v>
      </c>
      <c r="J1305" s="20">
        <v>0.54</v>
      </c>
      <c r="K1305" s="20">
        <v>45.0</v>
      </c>
      <c r="P1305" s="130"/>
    </row>
    <row r="1306">
      <c r="C1306" s="120"/>
      <c r="H1306" s="20">
        <v>45.0</v>
      </c>
      <c r="J1306" s="20">
        <v>0.51</v>
      </c>
      <c r="K1306" s="20">
        <v>43.0</v>
      </c>
      <c r="P1306" s="130"/>
    </row>
    <row r="1307">
      <c r="C1307" s="120"/>
      <c r="H1307" s="20">
        <v>48.0</v>
      </c>
      <c r="J1307" s="20">
        <v>0.53</v>
      </c>
      <c r="K1307" s="20">
        <v>48.0</v>
      </c>
      <c r="P1307" s="130"/>
    </row>
    <row r="1308">
      <c r="C1308" s="120"/>
      <c r="H1308" s="20">
        <v>43.0</v>
      </c>
      <c r="J1308" s="20">
        <v>0.57</v>
      </c>
      <c r="K1308" s="20">
        <v>42.0</v>
      </c>
      <c r="P1308" s="130"/>
    </row>
    <row r="1309">
      <c r="C1309" s="120"/>
      <c r="H1309" s="20">
        <v>42.0</v>
      </c>
      <c r="J1309" s="20">
        <v>0.53</v>
      </c>
      <c r="K1309" s="20">
        <v>48.0</v>
      </c>
      <c r="P1309" s="130"/>
    </row>
    <row r="1310">
      <c r="C1310" s="120"/>
      <c r="H1310" s="20">
        <v>47.0</v>
      </c>
      <c r="J1310" s="20">
        <v>0.48</v>
      </c>
      <c r="K1310" s="20">
        <v>43.0</v>
      </c>
      <c r="P1310" s="130"/>
    </row>
    <row r="1311">
      <c r="C1311" s="120"/>
      <c r="H1311" s="20">
        <v>49.0</v>
      </c>
      <c r="J1311" s="20">
        <v>0.51</v>
      </c>
      <c r="K1311" s="20">
        <v>46.0</v>
      </c>
      <c r="P1311" s="130"/>
    </row>
    <row r="1312">
      <c r="C1312" s="120"/>
      <c r="H1312" s="20">
        <v>43.0</v>
      </c>
      <c r="J1312" s="20">
        <v>0.51</v>
      </c>
      <c r="K1312" s="20">
        <v>49.0</v>
      </c>
      <c r="P1312" s="130"/>
    </row>
    <row r="1313">
      <c r="C1313" s="120"/>
      <c r="H1313" s="20">
        <v>45.0</v>
      </c>
      <c r="J1313" s="20">
        <v>0.56</v>
      </c>
      <c r="K1313" s="20">
        <v>45.0</v>
      </c>
      <c r="P1313" s="130"/>
    </row>
    <row r="1314">
      <c r="C1314" s="120"/>
      <c r="H1314" s="20">
        <v>46.0</v>
      </c>
      <c r="J1314" s="20">
        <v>0.52</v>
      </c>
      <c r="K1314" s="20">
        <v>48.0</v>
      </c>
      <c r="P1314" s="130"/>
    </row>
    <row r="1315">
      <c r="C1315" s="120"/>
      <c r="H1315" s="20">
        <v>45.0</v>
      </c>
      <c r="J1315" s="20">
        <v>0.49</v>
      </c>
      <c r="K1315" s="20">
        <v>46.0</v>
      </c>
      <c r="P1315" s="130"/>
    </row>
    <row r="1316">
      <c r="C1316" s="120"/>
      <c r="H1316" s="20">
        <v>39.0</v>
      </c>
      <c r="J1316" s="20">
        <v>0.43</v>
      </c>
      <c r="K1316" s="20">
        <v>49.0</v>
      </c>
      <c r="P1316" s="130"/>
    </row>
    <row r="1317">
      <c r="C1317" s="120"/>
      <c r="H1317" s="20">
        <v>43.0</v>
      </c>
      <c r="J1317" s="20">
        <v>0.47</v>
      </c>
      <c r="K1317" s="20">
        <v>52.0</v>
      </c>
      <c r="P1317" s="130"/>
    </row>
    <row r="1318">
      <c r="C1318" s="120"/>
      <c r="H1318" s="20">
        <v>45.0</v>
      </c>
      <c r="J1318" s="20">
        <v>0.52</v>
      </c>
      <c r="K1318" s="20">
        <v>43.0</v>
      </c>
      <c r="P1318" s="130"/>
    </row>
    <row r="1319">
      <c r="C1319" s="120"/>
      <c r="H1319" s="20">
        <v>44.0</v>
      </c>
      <c r="J1319" s="20">
        <v>0.55</v>
      </c>
      <c r="K1319" s="20">
        <v>40.0</v>
      </c>
      <c r="P1319" s="130"/>
    </row>
    <row r="1320">
      <c r="C1320" s="120"/>
      <c r="H1320" s="20">
        <v>49.0</v>
      </c>
      <c r="J1320" s="20">
        <v>0.5</v>
      </c>
      <c r="K1320" s="20">
        <v>54.0</v>
      </c>
      <c r="P1320" s="130"/>
    </row>
    <row r="1321">
      <c r="C1321" s="120"/>
      <c r="H1321" s="20">
        <v>42.0</v>
      </c>
      <c r="J1321" s="20">
        <v>0.57</v>
      </c>
      <c r="K1321" s="20">
        <v>50.0</v>
      </c>
      <c r="P1321" s="130"/>
    </row>
    <row r="1322">
      <c r="C1322" s="120"/>
      <c r="H1322" s="20">
        <v>41.0</v>
      </c>
      <c r="J1322" s="20">
        <v>0.58</v>
      </c>
      <c r="K1322" s="20">
        <v>46.0</v>
      </c>
      <c r="P1322" s="130"/>
    </row>
    <row r="1323">
      <c r="C1323" s="120"/>
      <c r="H1323" s="20">
        <v>47.0</v>
      </c>
      <c r="J1323" s="20">
        <v>0.55</v>
      </c>
      <c r="K1323" s="20">
        <v>43.0</v>
      </c>
      <c r="P1323" s="130"/>
    </row>
    <row r="1324">
      <c r="C1324" s="120"/>
      <c r="H1324" s="20">
        <v>41.0</v>
      </c>
      <c r="J1324" s="20">
        <v>0.54</v>
      </c>
      <c r="K1324" s="20">
        <v>41.0</v>
      </c>
      <c r="P1324" s="130"/>
    </row>
    <row r="1325">
      <c r="C1325" s="120"/>
      <c r="H1325" s="20">
        <v>43.0</v>
      </c>
      <c r="J1325" s="20">
        <v>0.49</v>
      </c>
      <c r="K1325" s="20">
        <v>45.0</v>
      </c>
      <c r="P1325" s="130"/>
    </row>
    <row r="1326">
      <c r="C1326" s="120"/>
      <c r="H1326" s="20">
        <v>50.0</v>
      </c>
      <c r="J1326" s="20">
        <v>0.52</v>
      </c>
      <c r="K1326" s="20">
        <v>41.0</v>
      </c>
      <c r="P1326" s="130"/>
    </row>
    <row r="1327">
      <c r="C1327" s="120"/>
      <c r="H1327" s="20">
        <v>41.0</v>
      </c>
      <c r="J1327" s="20">
        <v>0.49</v>
      </c>
      <c r="K1327" s="20">
        <v>43.0</v>
      </c>
      <c r="P1327" s="130"/>
    </row>
    <row r="1328">
      <c r="C1328" s="120"/>
      <c r="H1328" s="20">
        <v>51.0</v>
      </c>
      <c r="J1328" s="20">
        <v>0.48</v>
      </c>
      <c r="K1328" s="20">
        <v>44.0</v>
      </c>
      <c r="P1328" s="130"/>
    </row>
    <row r="1329">
      <c r="C1329" s="120"/>
      <c r="H1329" s="20">
        <v>47.0</v>
      </c>
      <c r="J1329" s="20">
        <v>0.52</v>
      </c>
      <c r="K1329" s="20">
        <v>42.0</v>
      </c>
      <c r="P1329" s="130"/>
    </row>
    <row r="1330">
      <c r="C1330" s="120"/>
      <c r="H1330" s="20">
        <v>45.0</v>
      </c>
      <c r="J1330" s="20">
        <v>0.55</v>
      </c>
      <c r="K1330" s="20">
        <v>44.0</v>
      </c>
      <c r="P1330" s="130"/>
    </row>
    <row r="1331">
      <c r="C1331" s="120"/>
      <c r="H1331" s="20">
        <v>43.0</v>
      </c>
      <c r="J1331" s="20">
        <v>0.43</v>
      </c>
      <c r="K1331" s="20">
        <v>41.0</v>
      </c>
      <c r="P1331" s="130"/>
    </row>
    <row r="1332">
      <c r="C1332" s="120"/>
      <c r="H1332" s="20">
        <v>42.0</v>
      </c>
      <c r="J1332" s="20">
        <v>0.52</v>
      </c>
      <c r="K1332" s="20">
        <v>46.0</v>
      </c>
      <c r="P1332" s="130"/>
    </row>
    <row r="1333">
      <c r="C1333" s="120"/>
      <c r="H1333" s="20">
        <v>43.0</v>
      </c>
      <c r="J1333" s="20">
        <v>0.49</v>
      </c>
      <c r="K1333" s="20">
        <v>44.0</v>
      </c>
      <c r="P1333" s="130"/>
    </row>
    <row r="1334">
      <c r="C1334" s="120"/>
      <c r="H1334" s="20">
        <v>44.0</v>
      </c>
      <c r="J1334" s="20">
        <v>0.56</v>
      </c>
      <c r="K1334" s="20">
        <v>41.0</v>
      </c>
      <c r="P1334" s="130"/>
    </row>
    <row r="1335">
      <c r="C1335" s="120"/>
      <c r="H1335" s="20">
        <v>45.0</v>
      </c>
      <c r="J1335" s="20">
        <v>0.44</v>
      </c>
      <c r="K1335" s="20">
        <v>47.0</v>
      </c>
      <c r="P1335" s="130"/>
    </row>
    <row r="1336">
      <c r="C1336" s="120"/>
      <c r="H1336" s="20">
        <v>42.0</v>
      </c>
      <c r="J1336" s="20">
        <v>0.55</v>
      </c>
      <c r="K1336" s="20">
        <v>41.0</v>
      </c>
      <c r="P1336" s="130"/>
    </row>
    <row r="1337">
      <c r="C1337" s="120"/>
      <c r="H1337" s="20">
        <v>44.0</v>
      </c>
      <c r="J1337" s="20">
        <v>0.48</v>
      </c>
      <c r="K1337" s="20">
        <v>45.0</v>
      </c>
      <c r="P1337" s="130"/>
    </row>
    <row r="1338">
      <c r="C1338" s="120"/>
      <c r="H1338" s="20">
        <v>43.0</v>
      </c>
      <c r="J1338" s="20">
        <v>0.49</v>
      </c>
      <c r="K1338" s="20">
        <v>42.0</v>
      </c>
      <c r="P1338" s="130"/>
    </row>
    <row r="1339">
      <c r="C1339" s="120"/>
      <c r="H1339" s="20">
        <v>47.0</v>
      </c>
      <c r="J1339" s="20">
        <v>0.52</v>
      </c>
      <c r="K1339" s="20">
        <v>48.0</v>
      </c>
      <c r="P1339" s="130"/>
    </row>
    <row r="1340">
      <c r="C1340" s="120"/>
      <c r="H1340" s="20">
        <v>44.0</v>
      </c>
      <c r="J1340" s="20">
        <v>0.51</v>
      </c>
      <c r="K1340" s="20">
        <v>45.0</v>
      </c>
      <c r="P1340" s="130"/>
    </row>
    <row r="1341">
      <c r="C1341" s="120"/>
      <c r="H1341" s="20">
        <v>43.0</v>
      </c>
      <c r="J1341" s="20">
        <v>0.57</v>
      </c>
      <c r="K1341" s="20">
        <v>42.0</v>
      </c>
      <c r="P1341" s="130"/>
    </row>
    <row r="1342">
      <c r="C1342" s="120"/>
      <c r="H1342" s="20">
        <v>45.0</v>
      </c>
      <c r="J1342" s="20">
        <v>0.51</v>
      </c>
      <c r="K1342" s="20">
        <v>42.0</v>
      </c>
      <c r="P1342" s="130"/>
    </row>
    <row r="1343">
      <c r="C1343" s="120"/>
      <c r="H1343" s="20">
        <v>46.0</v>
      </c>
      <c r="J1343" s="20">
        <v>0.58</v>
      </c>
      <c r="K1343" s="20">
        <v>40.0</v>
      </c>
      <c r="P1343" s="130"/>
    </row>
    <row r="1344">
      <c r="C1344" s="120"/>
      <c r="H1344" s="20">
        <v>39.0</v>
      </c>
      <c r="J1344" s="20">
        <v>0.55</v>
      </c>
      <c r="K1344" s="20">
        <v>44.0</v>
      </c>
      <c r="P1344" s="130"/>
    </row>
    <row r="1345">
      <c r="C1345" s="120"/>
      <c r="H1345" s="20">
        <v>40.0</v>
      </c>
      <c r="J1345" s="20">
        <v>0.49</v>
      </c>
      <c r="K1345" s="20">
        <v>43.0</v>
      </c>
      <c r="P1345" s="130"/>
    </row>
    <row r="1346">
      <c r="C1346" s="120"/>
      <c r="H1346" s="20">
        <v>41.0</v>
      </c>
      <c r="J1346" s="20">
        <v>0.49</v>
      </c>
      <c r="K1346" s="20">
        <v>39.0</v>
      </c>
      <c r="P1346" s="130"/>
    </row>
    <row r="1347">
      <c r="C1347" s="120"/>
      <c r="H1347" s="20">
        <v>46.0</v>
      </c>
      <c r="J1347" s="20">
        <v>0.5</v>
      </c>
      <c r="K1347" s="20">
        <v>43.0</v>
      </c>
      <c r="P1347" s="130"/>
    </row>
    <row r="1348">
      <c r="C1348" s="120"/>
      <c r="H1348" s="20">
        <v>39.0</v>
      </c>
      <c r="J1348" s="20">
        <v>0.5</v>
      </c>
      <c r="K1348" s="20">
        <v>41.0</v>
      </c>
      <c r="P1348" s="130"/>
    </row>
    <row r="1349">
      <c r="C1349" s="120"/>
      <c r="H1349" s="20">
        <v>46.0</v>
      </c>
      <c r="J1349" s="20">
        <v>0.49</v>
      </c>
      <c r="K1349" s="20">
        <v>42.0</v>
      </c>
      <c r="P1349" s="130"/>
    </row>
    <row r="1350">
      <c r="C1350" s="120"/>
      <c r="H1350" s="20">
        <v>45.0</v>
      </c>
      <c r="J1350" s="20">
        <v>0.53</v>
      </c>
      <c r="K1350" s="20">
        <v>39.0</v>
      </c>
      <c r="P1350" s="130"/>
    </row>
    <row r="1351">
      <c r="C1351" s="120"/>
      <c r="H1351" s="20">
        <v>49.0</v>
      </c>
      <c r="J1351" s="20">
        <v>0.49</v>
      </c>
      <c r="K1351" s="20">
        <v>44.0</v>
      </c>
      <c r="P1351" s="130"/>
    </row>
    <row r="1352">
      <c r="C1352" s="120"/>
      <c r="H1352" s="20">
        <v>45.0</v>
      </c>
      <c r="J1352" s="20">
        <v>0.54</v>
      </c>
      <c r="K1352" s="20">
        <v>38.0</v>
      </c>
      <c r="P1352" s="130"/>
    </row>
    <row r="1353">
      <c r="C1353" s="120"/>
      <c r="H1353" s="20">
        <v>43.0</v>
      </c>
      <c r="J1353" s="20">
        <v>0.47</v>
      </c>
      <c r="K1353" s="20">
        <v>41.0</v>
      </c>
      <c r="P1353" s="130"/>
    </row>
    <row r="1354">
      <c r="C1354" s="120"/>
      <c r="H1354" s="20">
        <v>48.0</v>
      </c>
      <c r="J1354" s="20">
        <v>0.56</v>
      </c>
      <c r="K1354" s="20">
        <v>37.0</v>
      </c>
      <c r="P1354" s="130"/>
    </row>
    <row r="1355">
      <c r="C1355" s="120"/>
      <c r="H1355" s="20">
        <v>42.0</v>
      </c>
      <c r="J1355" s="20">
        <v>0.54</v>
      </c>
      <c r="K1355" s="20">
        <v>47.0</v>
      </c>
      <c r="P1355" s="130"/>
    </row>
    <row r="1356">
      <c r="C1356" s="120"/>
      <c r="H1356" s="20">
        <v>45.0</v>
      </c>
      <c r="J1356" s="20">
        <v>0.54</v>
      </c>
      <c r="K1356" s="20">
        <v>40.0</v>
      </c>
      <c r="P1356" s="130"/>
    </row>
    <row r="1357">
      <c r="C1357" s="120"/>
      <c r="H1357" s="20">
        <v>46.0</v>
      </c>
      <c r="J1357" s="20">
        <v>0.51</v>
      </c>
      <c r="K1357" s="20">
        <v>45.0</v>
      </c>
      <c r="P1357" s="130"/>
    </row>
    <row r="1358">
      <c r="C1358" s="120"/>
      <c r="H1358" s="20">
        <v>42.0</v>
      </c>
      <c r="J1358" s="20">
        <v>0.59</v>
      </c>
      <c r="K1358" s="20">
        <v>41.0</v>
      </c>
      <c r="P1358" s="130"/>
    </row>
    <row r="1359">
      <c r="C1359" s="120"/>
      <c r="H1359" s="20">
        <v>47.0</v>
      </c>
      <c r="J1359" s="20">
        <v>0.48</v>
      </c>
      <c r="K1359" s="20">
        <v>44.0</v>
      </c>
      <c r="P1359" s="130"/>
    </row>
    <row r="1360">
      <c r="C1360" s="120"/>
      <c r="H1360" s="20">
        <v>44.0</v>
      </c>
      <c r="J1360" s="20">
        <v>0.53</v>
      </c>
      <c r="K1360" s="20">
        <v>48.0</v>
      </c>
      <c r="P1360" s="130"/>
    </row>
    <row r="1361">
      <c r="C1361" s="120"/>
      <c r="H1361" s="20">
        <v>43.0</v>
      </c>
      <c r="J1361" s="20">
        <v>0.51</v>
      </c>
      <c r="K1361" s="20">
        <v>49.0</v>
      </c>
      <c r="P1361" s="130"/>
    </row>
    <row r="1362">
      <c r="C1362" s="120"/>
      <c r="H1362" s="20">
        <v>43.0</v>
      </c>
      <c r="J1362" s="20">
        <v>0.57</v>
      </c>
      <c r="K1362" s="20">
        <v>41.0</v>
      </c>
      <c r="P1362" s="130"/>
    </row>
    <row r="1363">
      <c r="C1363" s="120"/>
      <c r="H1363" s="20">
        <v>46.0</v>
      </c>
      <c r="J1363" s="20">
        <v>0.5</v>
      </c>
      <c r="K1363" s="20">
        <v>42.0</v>
      </c>
      <c r="P1363" s="130"/>
    </row>
    <row r="1364">
      <c r="C1364" s="120"/>
      <c r="H1364" s="20">
        <v>51.0</v>
      </c>
      <c r="J1364" s="20">
        <v>0.47</v>
      </c>
      <c r="K1364" s="20">
        <v>39.0</v>
      </c>
      <c r="P1364" s="130"/>
    </row>
    <row r="1365">
      <c r="C1365" s="120"/>
      <c r="H1365" s="20">
        <v>44.0</v>
      </c>
      <c r="J1365" s="20">
        <v>0.47</v>
      </c>
      <c r="K1365" s="20">
        <v>46.0</v>
      </c>
      <c r="P1365" s="130"/>
    </row>
    <row r="1366">
      <c r="C1366" s="120"/>
      <c r="H1366" s="20">
        <v>46.0</v>
      </c>
      <c r="J1366" s="20">
        <v>0.5</v>
      </c>
      <c r="K1366" s="20">
        <v>42.0</v>
      </c>
      <c r="P1366" s="130"/>
    </row>
    <row r="1367">
      <c r="C1367" s="120"/>
      <c r="H1367" s="20">
        <v>45.0</v>
      </c>
      <c r="J1367" s="20">
        <v>0.48</v>
      </c>
      <c r="K1367" s="20">
        <v>45.0</v>
      </c>
      <c r="P1367" s="130"/>
    </row>
    <row r="1368">
      <c r="C1368" s="120"/>
      <c r="H1368" s="20">
        <v>44.0</v>
      </c>
      <c r="J1368" s="20">
        <v>0.5</v>
      </c>
      <c r="K1368" s="20">
        <v>46.0</v>
      </c>
      <c r="P1368" s="130"/>
    </row>
    <row r="1369">
      <c r="C1369" s="120"/>
      <c r="H1369" s="20">
        <v>42.0</v>
      </c>
      <c r="J1369" s="20">
        <v>0.51</v>
      </c>
      <c r="K1369" s="20">
        <v>43.0</v>
      </c>
      <c r="P1369" s="130"/>
    </row>
    <row r="1370">
      <c r="C1370" s="120"/>
      <c r="H1370" s="20">
        <v>47.0</v>
      </c>
      <c r="J1370" s="20">
        <v>0.51</v>
      </c>
      <c r="K1370" s="20">
        <v>41.0</v>
      </c>
      <c r="P1370" s="130"/>
    </row>
    <row r="1371">
      <c r="C1371" s="120"/>
      <c r="H1371" s="20">
        <v>47.0</v>
      </c>
      <c r="J1371" s="20">
        <v>0.5</v>
      </c>
      <c r="K1371" s="20">
        <v>46.0</v>
      </c>
      <c r="P1371" s="130"/>
    </row>
    <row r="1372">
      <c r="C1372" s="120"/>
      <c r="H1372" s="20">
        <v>45.0</v>
      </c>
      <c r="J1372" s="20">
        <v>0.51</v>
      </c>
      <c r="K1372" s="20">
        <v>45.0</v>
      </c>
      <c r="P1372" s="130"/>
    </row>
    <row r="1373">
      <c r="C1373" s="120"/>
      <c r="H1373" s="20">
        <v>42.0</v>
      </c>
      <c r="J1373" s="20">
        <v>0.51</v>
      </c>
      <c r="K1373" s="20">
        <v>40.0</v>
      </c>
      <c r="P1373" s="130"/>
    </row>
    <row r="1374">
      <c r="C1374" s="120"/>
      <c r="H1374" s="20">
        <v>40.0</v>
      </c>
      <c r="J1374" s="20">
        <v>0.48</v>
      </c>
      <c r="K1374" s="20">
        <v>40.0</v>
      </c>
      <c r="P1374" s="130"/>
    </row>
    <row r="1375">
      <c r="C1375" s="120"/>
      <c r="H1375" s="20">
        <v>45.0</v>
      </c>
      <c r="J1375" s="20">
        <v>0.47</v>
      </c>
      <c r="K1375" s="20">
        <v>44.0</v>
      </c>
      <c r="P1375" s="130"/>
    </row>
    <row r="1376">
      <c r="C1376" s="120"/>
      <c r="H1376" s="20">
        <v>50.0</v>
      </c>
      <c r="J1376" s="20">
        <v>0.5</v>
      </c>
      <c r="K1376" s="20">
        <v>43.0</v>
      </c>
      <c r="P1376" s="130"/>
    </row>
    <row r="1377">
      <c r="C1377" s="120"/>
      <c r="H1377" s="20">
        <v>51.0</v>
      </c>
      <c r="J1377" s="20">
        <v>0.51</v>
      </c>
      <c r="K1377" s="20">
        <v>42.0</v>
      </c>
      <c r="P1377" s="130"/>
    </row>
    <row r="1378">
      <c r="C1378" s="120"/>
      <c r="H1378" s="20">
        <v>45.0</v>
      </c>
      <c r="J1378" s="20">
        <v>0.51</v>
      </c>
      <c r="K1378" s="20">
        <v>38.0</v>
      </c>
      <c r="P1378" s="130"/>
    </row>
    <row r="1379">
      <c r="C1379" s="120"/>
      <c r="H1379" s="20">
        <v>45.0</v>
      </c>
      <c r="J1379" s="20">
        <v>0.48</v>
      </c>
      <c r="K1379" s="20">
        <v>43.0</v>
      </c>
      <c r="P1379" s="130"/>
    </row>
    <row r="1380">
      <c r="C1380" s="120"/>
      <c r="H1380" s="20">
        <v>45.0</v>
      </c>
      <c r="J1380" s="20">
        <v>0.5</v>
      </c>
      <c r="K1380" s="20">
        <v>45.0</v>
      </c>
      <c r="P1380" s="130"/>
    </row>
    <row r="1381">
      <c r="C1381" s="120"/>
      <c r="H1381" s="20">
        <v>46.0</v>
      </c>
      <c r="J1381" s="20">
        <v>0.46</v>
      </c>
      <c r="K1381" s="20">
        <v>42.0</v>
      </c>
      <c r="P1381" s="130"/>
    </row>
    <row r="1382">
      <c r="C1382" s="120"/>
      <c r="H1382" s="20">
        <v>44.0</v>
      </c>
      <c r="J1382" s="20">
        <v>0.54</v>
      </c>
      <c r="K1382" s="20">
        <v>40.0</v>
      </c>
      <c r="P1382" s="130"/>
    </row>
    <row r="1383">
      <c r="C1383" s="120"/>
      <c r="H1383" s="20">
        <v>49.0</v>
      </c>
      <c r="J1383" s="20">
        <v>0.51</v>
      </c>
      <c r="K1383" s="20">
        <v>44.0</v>
      </c>
      <c r="P1383" s="130"/>
    </row>
    <row r="1384">
      <c r="C1384" s="120"/>
      <c r="H1384" s="20">
        <v>46.0</v>
      </c>
      <c r="J1384" s="20">
        <v>0.48</v>
      </c>
      <c r="K1384" s="20">
        <v>43.0</v>
      </c>
      <c r="P1384" s="130"/>
    </row>
    <row r="1385">
      <c r="C1385" s="120"/>
      <c r="H1385" s="20">
        <v>43.0</v>
      </c>
      <c r="J1385" s="20">
        <v>0.48</v>
      </c>
      <c r="K1385" s="20">
        <v>45.0</v>
      </c>
      <c r="P1385" s="130"/>
    </row>
    <row r="1386">
      <c r="C1386" s="120"/>
      <c r="H1386" s="20">
        <v>44.0</v>
      </c>
      <c r="J1386" s="20">
        <v>0.48</v>
      </c>
      <c r="K1386" s="20">
        <v>38.0</v>
      </c>
      <c r="P1386" s="130"/>
    </row>
    <row r="1387">
      <c r="C1387" s="120"/>
      <c r="H1387" s="20">
        <v>49.0</v>
      </c>
      <c r="J1387" s="20">
        <v>0.53</v>
      </c>
      <c r="K1387" s="20">
        <v>46.0</v>
      </c>
      <c r="P1387" s="130"/>
    </row>
    <row r="1388">
      <c r="C1388" s="120"/>
      <c r="H1388" s="20">
        <v>45.0</v>
      </c>
      <c r="J1388" s="20">
        <v>0.52</v>
      </c>
      <c r="K1388" s="20">
        <v>44.0</v>
      </c>
      <c r="P1388" s="130"/>
    </row>
    <row r="1389">
      <c r="C1389" s="120"/>
      <c r="H1389" s="20">
        <v>46.0</v>
      </c>
      <c r="J1389" s="20">
        <v>0.49</v>
      </c>
      <c r="K1389" s="20">
        <v>40.0</v>
      </c>
      <c r="P1389" s="130"/>
    </row>
    <row r="1390">
      <c r="C1390" s="120"/>
      <c r="H1390" s="20">
        <v>43.0</v>
      </c>
      <c r="J1390" s="20">
        <v>0.52</v>
      </c>
      <c r="K1390" s="20">
        <v>41.0</v>
      </c>
      <c r="P1390" s="130"/>
    </row>
    <row r="1391">
      <c r="C1391" s="120"/>
      <c r="H1391" s="20">
        <v>44.0</v>
      </c>
      <c r="J1391" s="20">
        <v>0.47</v>
      </c>
      <c r="K1391" s="20">
        <v>43.0</v>
      </c>
      <c r="P1391" s="130"/>
    </row>
    <row r="1392">
      <c r="C1392" s="120"/>
      <c r="H1392" s="20">
        <v>43.0</v>
      </c>
      <c r="J1392" s="20">
        <v>0.52</v>
      </c>
      <c r="K1392" s="20">
        <v>44.0</v>
      </c>
      <c r="P1392" s="130"/>
    </row>
    <row r="1393">
      <c r="C1393" s="120"/>
      <c r="H1393" s="20">
        <v>47.0</v>
      </c>
      <c r="J1393" s="20">
        <v>0.48</v>
      </c>
      <c r="K1393" s="20">
        <v>44.0</v>
      </c>
      <c r="P1393" s="130"/>
    </row>
    <row r="1394">
      <c r="C1394" s="120"/>
      <c r="H1394" s="20">
        <v>46.0</v>
      </c>
      <c r="J1394" s="20">
        <v>0.5</v>
      </c>
      <c r="K1394" s="20">
        <v>40.0</v>
      </c>
      <c r="P1394" s="130"/>
    </row>
    <row r="1395">
      <c r="C1395" s="120"/>
      <c r="H1395" s="20">
        <v>46.0</v>
      </c>
      <c r="J1395" s="20">
        <v>0.5</v>
      </c>
      <c r="K1395" s="20">
        <v>40.0</v>
      </c>
      <c r="P1395" s="130"/>
    </row>
    <row r="1396">
      <c r="C1396" s="120"/>
      <c r="H1396" s="20">
        <v>41.0</v>
      </c>
      <c r="J1396" s="20">
        <v>0.45</v>
      </c>
      <c r="K1396" s="20">
        <v>45.0</v>
      </c>
      <c r="P1396" s="130"/>
    </row>
    <row r="1397">
      <c r="C1397" s="120"/>
      <c r="H1397" s="20">
        <v>42.0</v>
      </c>
      <c r="J1397" s="20">
        <v>0.46</v>
      </c>
      <c r="K1397" s="20">
        <v>46.0</v>
      </c>
      <c r="P1397" s="130"/>
    </row>
    <row r="1398">
      <c r="C1398" s="120"/>
      <c r="H1398" s="20">
        <v>42.0</v>
      </c>
      <c r="J1398" s="20">
        <v>0.49</v>
      </c>
      <c r="K1398" s="20">
        <v>46.0</v>
      </c>
      <c r="P1398" s="130"/>
    </row>
    <row r="1399">
      <c r="C1399" s="120"/>
      <c r="H1399" s="20">
        <v>45.0</v>
      </c>
      <c r="J1399" s="20">
        <v>0.53</v>
      </c>
      <c r="K1399" s="20">
        <v>45.0</v>
      </c>
      <c r="P1399" s="130"/>
    </row>
    <row r="1400">
      <c r="C1400" s="120"/>
      <c r="H1400" s="20">
        <v>44.0</v>
      </c>
      <c r="J1400" s="20">
        <v>0.52</v>
      </c>
      <c r="K1400" s="20">
        <v>43.0</v>
      </c>
      <c r="P1400" s="130"/>
    </row>
    <row r="1401">
      <c r="C1401" s="120"/>
      <c r="H1401" s="20">
        <v>48.0</v>
      </c>
      <c r="J1401" s="20">
        <v>0.47</v>
      </c>
      <c r="K1401" s="20">
        <v>39.0</v>
      </c>
      <c r="P1401" s="130"/>
    </row>
    <row r="1402">
      <c r="C1402" s="120"/>
      <c r="H1402" s="20">
        <v>47.0</v>
      </c>
      <c r="J1402" s="20">
        <v>0.49</v>
      </c>
      <c r="K1402" s="20">
        <v>41.0</v>
      </c>
      <c r="P1402" s="130"/>
    </row>
    <row r="1403">
      <c r="C1403" s="120"/>
      <c r="H1403" s="20">
        <v>47.0</v>
      </c>
      <c r="J1403" s="20">
        <v>0.63</v>
      </c>
      <c r="K1403" s="20">
        <v>42.0</v>
      </c>
      <c r="P1403" s="130"/>
    </row>
    <row r="1404">
      <c r="C1404" s="120"/>
      <c r="H1404" s="20">
        <v>46.0</v>
      </c>
      <c r="J1404" s="20">
        <v>0.56</v>
      </c>
      <c r="K1404" s="20">
        <v>48.0</v>
      </c>
      <c r="P1404" s="130"/>
    </row>
    <row r="1405">
      <c r="C1405" s="120"/>
      <c r="H1405" s="20">
        <v>47.0</v>
      </c>
      <c r="J1405" s="20">
        <v>0.48</v>
      </c>
      <c r="K1405" s="20">
        <v>46.0</v>
      </c>
      <c r="P1405" s="130"/>
    </row>
    <row r="1406">
      <c r="C1406" s="120"/>
      <c r="H1406" s="20">
        <v>44.0</v>
      </c>
      <c r="J1406" s="20">
        <v>0.5</v>
      </c>
      <c r="K1406" s="20">
        <v>44.0</v>
      </c>
      <c r="P1406" s="130"/>
    </row>
    <row r="1407">
      <c r="C1407" s="120"/>
      <c r="H1407" s="20">
        <v>47.0</v>
      </c>
      <c r="J1407" s="20">
        <v>0.48</v>
      </c>
      <c r="K1407" s="20">
        <v>44.0</v>
      </c>
      <c r="P1407" s="130"/>
    </row>
    <row r="1408">
      <c r="C1408" s="120"/>
      <c r="H1408" s="20">
        <v>47.0</v>
      </c>
      <c r="J1408" s="20">
        <v>0.58</v>
      </c>
      <c r="K1408" s="20">
        <v>42.0</v>
      </c>
      <c r="P1408" s="130"/>
    </row>
    <row r="1409">
      <c r="C1409" s="120"/>
      <c r="H1409" s="20">
        <v>44.0</v>
      </c>
      <c r="J1409" s="20">
        <v>0.46</v>
      </c>
      <c r="K1409" s="20">
        <v>41.0</v>
      </c>
      <c r="P1409" s="130"/>
    </row>
    <row r="1410">
      <c r="C1410" s="120"/>
      <c r="H1410" s="20">
        <v>44.0</v>
      </c>
      <c r="J1410" s="20">
        <v>0.54</v>
      </c>
      <c r="K1410" s="20">
        <v>43.0</v>
      </c>
      <c r="P1410" s="130"/>
    </row>
    <row r="1411">
      <c r="C1411" s="120"/>
      <c r="H1411" s="20">
        <v>46.0</v>
      </c>
      <c r="J1411" s="20">
        <v>0.47</v>
      </c>
      <c r="K1411" s="20">
        <v>48.0</v>
      </c>
      <c r="P1411" s="130"/>
    </row>
    <row r="1412">
      <c r="C1412" s="120"/>
      <c r="H1412" s="20">
        <v>44.0</v>
      </c>
      <c r="J1412" s="20">
        <v>0.52</v>
      </c>
      <c r="K1412" s="20">
        <v>43.0</v>
      </c>
      <c r="P1412" s="130"/>
    </row>
    <row r="1413">
      <c r="C1413" s="120"/>
      <c r="H1413" s="20">
        <v>40.0</v>
      </c>
      <c r="J1413" s="20">
        <v>0.49</v>
      </c>
      <c r="K1413" s="20">
        <v>41.0</v>
      </c>
      <c r="P1413" s="130"/>
    </row>
    <row r="1414">
      <c r="C1414" s="120"/>
      <c r="H1414" s="20">
        <v>46.0</v>
      </c>
      <c r="J1414" s="20">
        <v>0.57</v>
      </c>
      <c r="K1414" s="20">
        <v>39.0</v>
      </c>
      <c r="P1414" s="130"/>
    </row>
    <row r="1415">
      <c r="C1415" s="120"/>
      <c r="H1415" s="20">
        <v>52.0</v>
      </c>
      <c r="J1415" s="20">
        <v>0.55</v>
      </c>
      <c r="K1415" s="20">
        <v>45.0</v>
      </c>
      <c r="P1415" s="130"/>
    </row>
    <row r="1416">
      <c r="C1416" s="120"/>
      <c r="H1416" s="20">
        <v>46.0</v>
      </c>
      <c r="J1416" s="20">
        <v>0.55</v>
      </c>
      <c r="K1416" s="20">
        <v>42.0</v>
      </c>
      <c r="P1416" s="130"/>
    </row>
    <row r="1417">
      <c r="C1417" s="120"/>
      <c r="H1417" s="20">
        <v>42.0</v>
      </c>
      <c r="J1417" s="20">
        <v>0.57</v>
      </c>
      <c r="K1417" s="20">
        <v>39.0</v>
      </c>
      <c r="P1417" s="130"/>
    </row>
    <row r="1418">
      <c r="C1418" s="120"/>
      <c r="H1418" s="20">
        <v>44.0</v>
      </c>
      <c r="J1418" s="20">
        <v>0.47</v>
      </c>
      <c r="K1418" s="20">
        <v>44.0</v>
      </c>
      <c r="P1418" s="130"/>
    </row>
    <row r="1419">
      <c r="C1419" s="120"/>
      <c r="H1419" s="20">
        <v>45.0</v>
      </c>
      <c r="J1419" s="20">
        <v>0.53</v>
      </c>
      <c r="K1419" s="20">
        <v>45.0</v>
      </c>
      <c r="P1419" s="130"/>
    </row>
    <row r="1420">
      <c r="C1420" s="120"/>
      <c r="H1420" s="20">
        <v>43.0</v>
      </c>
      <c r="J1420" s="20">
        <v>0.5</v>
      </c>
      <c r="K1420" s="20">
        <v>42.0</v>
      </c>
      <c r="P1420" s="130"/>
    </row>
    <row r="1421">
      <c r="C1421" s="120"/>
      <c r="H1421" s="20">
        <v>38.0</v>
      </c>
      <c r="J1421" s="20">
        <v>0.47</v>
      </c>
      <c r="K1421" s="20">
        <v>40.0</v>
      </c>
      <c r="P1421" s="130"/>
    </row>
    <row r="1422">
      <c r="C1422" s="120"/>
      <c r="H1422" s="20">
        <v>44.0</v>
      </c>
      <c r="J1422" s="20">
        <v>0.54</v>
      </c>
      <c r="K1422" s="20">
        <v>44.0</v>
      </c>
      <c r="P1422" s="130"/>
    </row>
    <row r="1423">
      <c r="C1423" s="120"/>
      <c r="H1423" s="20">
        <v>46.0</v>
      </c>
      <c r="J1423" s="20">
        <v>0.49</v>
      </c>
      <c r="K1423" s="20">
        <v>42.0</v>
      </c>
      <c r="P1423" s="130"/>
    </row>
    <row r="1424">
      <c r="C1424" s="120"/>
      <c r="H1424" s="20">
        <v>38.0</v>
      </c>
      <c r="J1424" s="20">
        <v>0.49</v>
      </c>
      <c r="K1424" s="20">
        <v>40.0</v>
      </c>
      <c r="P1424" s="130"/>
    </row>
    <row r="1425">
      <c r="C1425" s="120"/>
      <c r="H1425" s="20">
        <v>45.0</v>
      </c>
      <c r="J1425" s="20">
        <v>0.53</v>
      </c>
      <c r="K1425" s="20">
        <v>35.0</v>
      </c>
      <c r="P1425" s="130"/>
    </row>
    <row r="1426">
      <c r="C1426" s="120"/>
      <c r="H1426" s="20">
        <v>43.0</v>
      </c>
      <c r="J1426" s="20">
        <v>0.51</v>
      </c>
      <c r="K1426" s="20">
        <v>40.0</v>
      </c>
      <c r="P1426" s="130"/>
    </row>
    <row r="1427">
      <c r="C1427" s="120"/>
      <c r="H1427" s="20">
        <v>46.0</v>
      </c>
      <c r="J1427" s="20">
        <v>0.49</v>
      </c>
      <c r="K1427" s="20">
        <v>44.0</v>
      </c>
      <c r="P1427" s="130"/>
    </row>
    <row r="1428">
      <c r="C1428" s="120"/>
      <c r="H1428" s="20">
        <v>42.0</v>
      </c>
      <c r="J1428" s="20">
        <v>0.51</v>
      </c>
      <c r="K1428" s="20">
        <v>45.0</v>
      </c>
      <c r="P1428" s="130"/>
    </row>
    <row r="1429">
      <c r="C1429" s="120"/>
      <c r="H1429" s="20">
        <v>46.0</v>
      </c>
      <c r="J1429" s="20">
        <v>0.45</v>
      </c>
      <c r="K1429" s="20">
        <v>46.0</v>
      </c>
      <c r="P1429" s="130"/>
    </row>
    <row r="1430">
      <c r="C1430" s="120"/>
      <c r="H1430" s="20">
        <v>44.0</v>
      </c>
      <c r="J1430" s="20">
        <v>0.48</v>
      </c>
      <c r="K1430" s="20">
        <v>42.0</v>
      </c>
      <c r="P1430" s="130"/>
    </row>
    <row r="1431">
      <c r="C1431" s="120"/>
      <c r="H1431" s="20">
        <v>46.0</v>
      </c>
      <c r="J1431" s="20">
        <v>0.49</v>
      </c>
      <c r="K1431" s="20">
        <v>48.0</v>
      </c>
      <c r="P1431" s="130"/>
    </row>
    <row r="1432">
      <c r="C1432" s="120"/>
      <c r="H1432" s="20">
        <v>40.0</v>
      </c>
      <c r="J1432" s="20">
        <v>0.48</v>
      </c>
      <c r="K1432" s="20">
        <v>39.0</v>
      </c>
      <c r="P1432" s="130"/>
    </row>
    <row r="1433">
      <c r="C1433" s="120"/>
      <c r="H1433" s="20">
        <v>45.0</v>
      </c>
      <c r="J1433" s="20">
        <v>0.54</v>
      </c>
      <c r="K1433" s="20">
        <v>41.0</v>
      </c>
      <c r="P1433" s="130"/>
    </row>
    <row r="1434">
      <c r="C1434" s="120"/>
      <c r="H1434" s="20">
        <v>39.0</v>
      </c>
      <c r="J1434" s="20">
        <v>0.54</v>
      </c>
      <c r="K1434" s="20">
        <v>38.0</v>
      </c>
      <c r="P1434" s="130"/>
    </row>
    <row r="1435">
      <c r="C1435" s="120"/>
      <c r="H1435" s="20">
        <v>42.0</v>
      </c>
      <c r="J1435" s="20">
        <v>0.55</v>
      </c>
      <c r="K1435" s="20">
        <v>42.0</v>
      </c>
      <c r="P1435" s="130"/>
    </row>
    <row r="1436">
      <c r="C1436" s="120"/>
      <c r="H1436" s="20">
        <v>45.0</v>
      </c>
      <c r="J1436" s="20">
        <v>0.51</v>
      </c>
      <c r="K1436" s="20">
        <v>48.0</v>
      </c>
      <c r="P1436" s="130"/>
    </row>
    <row r="1437">
      <c r="C1437" s="120"/>
      <c r="H1437" s="20">
        <v>48.0</v>
      </c>
      <c r="J1437" s="20">
        <v>0.49</v>
      </c>
      <c r="K1437" s="20">
        <v>47.0</v>
      </c>
      <c r="P1437" s="130"/>
    </row>
    <row r="1438">
      <c r="C1438" s="120"/>
      <c r="H1438" s="20">
        <v>44.0</v>
      </c>
      <c r="J1438" s="20">
        <v>0.5</v>
      </c>
      <c r="K1438" s="20">
        <v>40.0</v>
      </c>
      <c r="P1438" s="130"/>
    </row>
    <row r="1439">
      <c r="C1439" s="120"/>
      <c r="H1439" s="20">
        <v>44.0</v>
      </c>
      <c r="J1439" s="20">
        <v>0.53</v>
      </c>
      <c r="K1439" s="20">
        <v>48.0</v>
      </c>
      <c r="P1439" s="130"/>
    </row>
    <row r="1440">
      <c r="C1440" s="120"/>
      <c r="H1440" s="20">
        <v>46.0</v>
      </c>
      <c r="J1440" s="20">
        <v>0.5</v>
      </c>
      <c r="K1440" s="20">
        <v>45.0</v>
      </c>
      <c r="P1440" s="130"/>
    </row>
    <row r="1441">
      <c r="C1441" s="120"/>
      <c r="H1441" s="20">
        <v>46.0</v>
      </c>
      <c r="J1441" s="20">
        <v>0.45</v>
      </c>
      <c r="K1441" s="20">
        <v>46.0</v>
      </c>
      <c r="P1441" s="130"/>
    </row>
    <row r="1442">
      <c r="C1442" s="120"/>
      <c r="H1442" s="20">
        <v>39.0</v>
      </c>
      <c r="J1442" s="20">
        <v>0.5</v>
      </c>
      <c r="K1442" s="20">
        <v>42.0</v>
      </c>
      <c r="P1442" s="130"/>
    </row>
    <row r="1443">
      <c r="C1443" s="120"/>
      <c r="H1443" s="20">
        <v>47.0</v>
      </c>
      <c r="J1443" s="20">
        <v>0.55</v>
      </c>
      <c r="K1443" s="20">
        <v>42.0</v>
      </c>
      <c r="P1443" s="130"/>
    </row>
    <row r="1444">
      <c r="C1444" s="120"/>
      <c r="H1444" s="20">
        <v>44.0</v>
      </c>
      <c r="J1444" s="20">
        <v>0.46</v>
      </c>
      <c r="K1444" s="20">
        <v>46.0</v>
      </c>
      <c r="P1444" s="130"/>
    </row>
    <row r="1445">
      <c r="C1445" s="120"/>
      <c r="H1445" s="20">
        <v>45.0</v>
      </c>
      <c r="J1445" s="20">
        <v>0.57</v>
      </c>
      <c r="K1445" s="20">
        <v>50.0</v>
      </c>
      <c r="P1445" s="130"/>
    </row>
    <row r="1446">
      <c r="C1446" s="120"/>
      <c r="H1446" s="20">
        <v>45.0</v>
      </c>
      <c r="J1446" s="20">
        <v>0.51</v>
      </c>
      <c r="K1446" s="20">
        <v>47.0</v>
      </c>
      <c r="P1446" s="130"/>
    </row>
    <row r="1447">
      <c r="C1447" s="120"/>
      <c r="H1447" s="20">
        <v>44.0</v>
      </c>
      <c r="J1447" s="20">
        <v>0.45</v>
      </c>
      <c r="K1447" s="20">
        <v>43.0</v>
      </c>
      <c r="P1447" s="130"/>
    </row>
    <row r="1448">
      <c r="C1448" s="120"/>
      <c r="H1448" s="20">
        <v>45.0</v>
      </c>
      <c r="J1448" s="20">
        <v>0.48</v>
      </c>
      <c r="K1448" s="20">
        <v>47.0</v>
      </c>
      <c r="P1448" s="130"/>
    </row>
    <row r="1449">
      <c r="C1449" s="120"/>
      <c r="H1449" s="20">
        <v>47.0</v>
      </c>
      <c r="J1449" s="20">
        <v>0.55</v>
      </c>
      <c r="K1449" s="20">
        <v>44.0</v>
      </c>
      <c r="P1449" s="130"/>
    </row>
    <row r="1450">
      <c r="C1450" s="120"/>
      <c r="H1450" s="20">
        <v>45.0</v>
      </c>
      <c r="J1450" s="20">
        <v>0.55</v>
      </c>
      <c r="K1450" s="20">
        <v>38.0</v>
      </c>
      <c r="P1450" s="130"/>
    </row>
    <row r="1451">
      <c r="C1451" s="120"/>
      <c r="H1451" s="20">
        <v>44.0</v>
      </c>
      <c r="J1451" s="20">
        <v>0.49</v>
      </c>
      <c r="K1451" s="20">
        <v>46.0</v>
      </c>
      <c r="P1451" s="130"/>
    </row>
    <row r="1452">
      <c r="C1452" s="120"/>
      <c r="H1452" s="20">
        <v>47.0</v>
      </c>
      <c r="J1452" s="20">
        <v>0.52</v>
      </c>
      <c r="K1452" s="20">
        <v>43.0</v>
      </c>
      <c r="P1452" s="130"/>
    </row>
    <row r="1453">
      <c r="C1453" s="120"/>
      <c r="H1453" s="20">
        <v>42.0</v>
      </c>
      <c r="J1453" s="20">
        <v>0.49</v>
      </c>
      <c r="K1453" s="20">
        <v>40.0</v>
      </c>
      <c r="P1453" s="130"/>
    </row>
    <row r="1454">
      <c r="C1454" s="120"/>
      <c r="H1454" s="20">
        <v>42.0</v>
      </c>
      <c r="J1454" s="20">
        <v>0.48</v>
      </c>
      <c r="K1454" s="20">
        <v>43.0</v>
      </c>
      <c r="P1454" s="130"/>
    </row>
    <row r="1455">
      <c r="C1455" s="120"/>
      <c r="H1455" s="20">
        <v>49.0</v>
      </c>
      <c r="J1455" s="20">
        <v>0.49</v>
      </c>
      <c r="K1455" s="20">
        <v>45.0</v>
      </c>
      <c r="P1455" s="130"/>
    </row>
    <row r="1456">
      <c r="C1456" s="120"/>
      <c r="H1456" s="20">
        <v>48.0</v>
      </c>
      <c r="J1456" s="20">
        <v>0.55</v>
      </c>
      <c r="K1456" s="20">
        <v>48.0</v>
      </c>
      <c r="P1456" s="130"/>
    </row>
    <row r="1457">
      <c r="C1457" s="120"/>
      <c r="H1457" s="20">
        <v>43.0</v>
      </c>
      <c r="J1457" s="20">
        <v>0.51</v>
      </c>
      <c r="K1457" s="20">
        <v>48.0</v>
      </c>
      <c r="P1457" s="130"/>
    </row>
    <row r="1458">
      <c r="C1458" s="120"/>
      <c r="H1458" s="20">
        <v>47.0</v>
      </c>
      <c r="J1458" s="20">
        <v>0.53</v>
      </c>
      <c r="K1458" s="20">
        <v>48.0</v>
      </c>
      <c r="P1458" s="130"/>
    </row>
    <row r="1459">
      <c r="C1459" s="120"/>
      <c r="H1459" s="20">
        <v>45.0</v>
      </c>
      <c r="J1459" s="20">
        <v>0.52</v>
      </c>
      <c r="K1459" s="20">
        <v>49.0</v>
      </c>
      <c r="P1459" s="130"/>
    </row>
    <row r="1460">
      <c r="C1460" s="120"/>
      <c r="H1460" s="20">
        <v>42.0</v>
      </c>
      <c r="J1460" s="20">
        <v>0.55</v>
      </c>
      <c r="K1460" s="20">
        <v>45.0</v>
      </c>
      <c r="P1460" s="130"/>
    </row>
    <row r="1461">
      <c r="C1461" s="120"/>
      <c r="H1461" s="20">
        <v>45.0</v>
      </c>
      <c r="J1461" s="20">
        <v>0.5</v>
      </c>
      <c r="K1461" s="20">
        <v>41.0</v>
      </c>
      <c r="P1461" s="130"/>
    </row>
    <row r="1462">
      <c r="C1462" s="120"/>
      <c r="H1462" s="20">
        <v>41.0</v>
      </c>
      <c r="J1462" s="20">
        <v>0.51</v>
      </c>
      <c r="K1462" s="20">
        <v>40.0</v>
      </c>
      <c r="P1462" s="130"/>
    </row>
    <row r="1463">
      <c r="C1463" s="120"/>
      <c r="H1463" s="20">
        <v>48.0</v>
      </c>
      <c r="J1463" s="20">
        <v>0.47</v>
      </c>
      <c r="K1463" s="20">
        <v>41.0</v>
      </c>
      <c r="P1463" s="130"/>
    </row>
    <row r="1464">
      <c r="C1464" s="120"/>
      <c r="H1464" s="20">
        <v>39.0</v>
      </c>
      <c r="J1464" s="20">
        <v>0.5</v>
      </c>
      <c r="K1464" s="20">
        <v>37.0</v>
      </c>
      <c r="P1464" s="130"/>
    </row>
    <row r="1465">
      <c r="C1465" s="120"/>
      <c r="H1465" s="20">
        <v>43.0</v>
      </c>
      <c r="J1465" s="20">
        <v>0.52</v>
      </c>
      <c r="K1465" s="20">
        <v>47.0</v>
      </c>
      <c r="P1465" s="130"/>
    </row>
    <row r="1466">
      <c r="C1466" s="120"/>
      <c r="H1466" s="20">
        <v>42.0</v>
      </c>
      <c r="J1466" s="20">
        <v>0.52</v>
      </c>
      <c r="K1466" s="20">
        <v>46.0</v>
      </c>
      <c r="P1466" s="130"/>
    </row>
    <row r="1467">
      <c r="C1467" s="120"/>
      <c r="H1467" s="20">
        <v>44.0</v>
      </c>
      <c r="J1467" s="20">
        <v>0.47</v>
      </c>
      <c r="K1467" s="20">
        <v>41.0</v>
      </c>
      <c r="P1467" s="130"/>
    </row>
    <row r="1468">
      <c r="C1468" s="120"/>
      <c r="H1468" s="20">
        <v>45.0</v>
      </c>
      <c r="J1468" s="20">
        <v>0.56</v>
      </c>
      <c r="K1468" s="20">
        <v>45.0</v>
      </c>
      <c r="P1468" s="130"/>
    </row>
    <row r="1469">
      <c r="C1469" s="120"/>
      <c r="H1469" s="20">
        <v>50.0</v>
      </c>
      <c r="J1469" s="20">
        <v>0.5</v>
      </c>
      <c r="K1469" s="20">
        <v>48.0</v>
      </c>
      <c r="P1469" s="130"/>
    </row>
    <row r="1470">
      <c r="C1470" s="120"/>
      <c r="H1470" s="20">
        <v>45.0</v>
      </c>
      <c r="J1470" s="20">
        <v>0.52</v>
      </c>
      <c r="K1470" s="20">
        <v>49.0</v>
      </c>
      <c r="P1470" s="130"/>
    </row>
    <row r="1471">
      <c r="C1471" s="120"/>
      <c r="H1471" s="20">
        <v>42.0</v>
      </c>
      <c r="J1471" s="20">
        <v>0.48</v>
      </c>
      <c r="K1471" s="20">
        <v>41.0</v>
      </c>
      <c r="P1471" s="130"/>
    </row>
    <row r="1472">
      <c r="C1472" s="120"/>
      <c r="H1472" s="20">
        <v>39.0</v>
      </c>
      <c r="J1472" s="20">
        <v>0.5</v>
      </c>
      <c r="K1472" s="20">
        <v>45.0</v>
      </c>
      <c r="P1472" s="130"/>
    </row>
    <row r="1473">
      <c r="C1473" s="120"/>
      <c r="H1473" s="20">
        <v>37.0</v>
      </c>
      <c r="J1473" s="20">
        <v>0.47</v>
      </c>
      <c r="K1473" s="20">
        <v>38.0</v>
      </c>
      <c r="P1473" s="130"/>
    </row>
    <row r="1474">
      <c r="C1474" s="120"/>
      <c r="H1474" s="20">
        <v>43.0</v>
      </c>
      <c r="J1474" s="20">
        <v>0.59</v>
      </c>
      <c r="K1474" s="20">
        <v>36.0</v>
      </c>
      <c r="P1474" s="130"/>
    </row>
    <row r="1475">
      <c r="C1475" s="120"/>
      <c r="H1475" s="20">
        <v>45.0</v>
      </c>
      <c r="J1475" s="20">
        <v>0.49</v>
      </c>
      <c r="K1475" s="20">
        <v>40.0</v>
      </c>
      <c r="P1475" s="130"/>
    </row>
    <row r="1476">
      <c r="C1476" s="120"/>
      <c r="H1476" s="20">
        <v>43.0</v>
      </c>
      <c r="J1476" s="20">
        <v>0.47</v>
      </c>
      <c r="K1476" s="20">
        <v>49.0</v>
      </c>
      <c r="P1476" s="130"/>
    </row>
    <row r="1477">
      <c r="C1477" s="120"/>
      <c r="H1477" s="20">
        <v>40.0</v>
      </c>
      <c r="J1477" s="20">
        <v>0.48</v>
      </c>
      <c r="K1477" s="20">
        <v>44.0</v>
      </c>
      <c r="P1477" s="130"/>
    </row>
    <row r="1478">
      <c r="C1478" s="120"/>
      <c r="H1478" s="20">
        <v>42.0</v>
      </c>
      <c r="J1478" s="20">
        <v>0.54</v>
      </c>
      <c r="K1478" s="20">
        <v>40.0</v>
      </c>
      <c r="P1478" s="130"/>
    </row>
    <row r="1479">
      <c r="C1479" s="120"/>
      <c r="H1479" s="20">
        <v>44.0</v>
      </c>
      <c r="J1479" s="20">
        <v>0.47</v>
      </c>
      <c r="K1479" s="20">
        <v>51.0</v>
      </c>
      <c r="P1479" s="130"/>
    </row>
    <row r="1480">
      <c r="C1480" s="120"/>
      <c r="H1480" s="20">
        <v>39.0</v>
      </c>
      <c r="J1480" s="20">
        <v>0.56</v>
      </c>
      <c r="K1480" s="20">
        <v>41.0</v>
      </c>
      <c r="P1480" s="130"/>
    </row>
    <row r="1481">
      <c r="C1481" s="120"/>
      <c r="H1481" s="20">
        <v>46.0</v>
      </c>
      <c r="J1481" s="20">
        <v>0.5</v>
      </c>
      <c r="K1481" s="20">
        <v>47.0</v>
      </c>
      <c r="P1481" s="130"/>
    </row>
    <row r="1482">
      <c r="C1482" s="120"/>
      <c r="H1482" s="20">
        <v>45.0</v>
      </c>
      <c r="J1482" s="20">
        <v>0.52</v>
      </c>
      <c r="K1482" s="20">
        <v>41.0</v>
      </c>
      <c r="P1482" s="130"/>
    </row>
    <row r="1483">
      <c r="C1483" s="120"/>
      <c r="H1483" s="20">
        <v>44.0</v>
      </c>
      <c r="J1483" s="20">
        <v>0.51</v>
      </c>
      <c r="K1483" s="20">
        <v>44.0</v>
      </c>
      <c r="P1483" s="130"/>
    </row>
    <row r="1484">
      <c r="C1484" s="120"/>
      <c r="H1484" s="20">
        <v>50.0</v>
      </c>
      <c r="J1484" s="20">
        <v>0.57</v>
      </c>
      <c r="K1484" s="20">
        <v>52.0</v>
      </c>
      <c r="P1484" s="130"/>
    </row>
    <row r="1485">
      <c r="C1485" s="120"/>
      <c r="H1485" s="20">
        <v>42.0</v>
      </c>
      <c r="J1485" s="20">
        <v>0.52</v>
      </c>
      <c r="K1485" s="20">
        <v>38.0</v>
      </c>
      <c r="P1485" s="130"/>
    </row>
    <row r="1486">
      <c r="C1486" s="120"/>
      <c r="H1486" s="20">
        <v>38.0</v>
      </c>
      <c r="J1486" s="20">
        <v>0.49</v>
      </c>
      <c r="K1486" s="20">
        <v>37.0</v>
      </c>
      <c r="P1486" s="130"/>
    </row>
    <row r="1487">
      <c r="C1487" s="120"/>
      <c r="H1487" s="20">
        <v>44.0</v>
      </c>
      <c r="J1487" s="20">
        <v>0.54</v>
      </c>
      <c r="K1487" s="20">
        <v>46.0</v>
      </c>
      <c r="P1487" s="130"/>
    </row>
    <row r="1488">
      <c r="C1488" s="120"/>
      <c r="H1488" s="20">
        <v>43.0</v>
      </c>
      <c r="J1488" s="20">
        <v>0.5</v>
      </c>
      <c r="K1488" s="20">
        <v>41.0</v>
      </c>
      <c r="P1488" s="130"/>
    </row>
    <row r="1489">
      <c r="C1489" s="120"/>
      <c r="H1489" s="20">
        <v>42.0</v>
      </c>
      <c r="J1489" s="20">
        <v>0.52</v>
      </c>
      <c r="K1489" s="20">
        <v>41.0</v>
      </c>
      <c r="P1489" s="130"/>
    </row>
    <row r="1490">
      <c r="C1490" s="120"/>
      <c r="H1490" s="20">
        <v>41.0</v>
      </c>
      <c r="J1490" s="20">
        <v>0.51</v>
      </c>
      <c r="K1490" s="20">
        <v>36.0</v>
      </c>
      <c r="P1490" s="130"/>
    </row>
    <row r="1491">
      <c r="C1491" s="120"/>
      <c r="H1491" s="20">
        <v>47.0</v>
      </c>
      <c r="J1491" s="20">
        <v>0.53</v>
      </c>
      <c r="K1491" s="20">
        <v>56.0</v>
      </c>
      <c r="P1491" s="130"/>
    </row>
    <row r="1492">
      <c r="C1492" s="120"/>
      <c r="H1492" s="20">
        <v>45.0</v>
      </c>
      <c r="J1492" s="20">
        <v>0.5</v>
      </c>
      <c r="K1492" s="20">
        <v>39.0</v>
      </c>
      <c r="P1492" s="130"/>
    </row>
    <row r="1493">
      <c r="C1493" s="120"/>
      <c r="H1493" s="20">
        <v>49.0</v>
      </c>
      <c r="J1493" s="20">
        <v>0.57</v>
      </c>
      <c r="K1493" s="20">
        <v>40.0</v>
      </c>
      <c r="P1493" s="130"/>
    </row>
    <row r="1494">
      <c r="C1494" s="120"/>
      <c r="H1494" s="20">
        <v>45.0</v>
      </c>
      <c r="J1494" s="20">
        <v>0.51</v>
      </c>
      <c r="K1494" s="20">
        <v>41.0</v>
      </c>
      <c r="P1494" s="130"/>
    </row>
    <row r="1495">
      <c r="C1495" s="120"/>
      <c r="H1495" s="20">
        <v>38.0</v>
      </c>
      <c r="J1495" s="20">
        <v>0.49</v>
      </c>
      <c r="K1495" s="20">
        <v>40.0</v>
      </c>
      <c r="P1495" s="130"/>
    </row>
    <row r="1496">
      <c r="C1496" s="120"/>
      <c r="H1496" s="20">
        <v>40.0</v>
      </c>
      <c r="J1496" s="20">
        <v>0.58</v>
      </c>
      <c r="K1496" s="20">
        <v>43.0</v>
      </c>
      <c r="P1496" s="130"/>
    </row>
    <row r="1497">
      <c r="C1497" s="120"/>
      <c r="H1497" s="20">
        <v>43.0</v>
      </c>
      <c r="J1497" s="20">
        <v>0.5</v>
      </c>
      <c r="K1497" s="20">
        <v>41.0</v>
      </c>
      <c r="P1497" s="130"/>
    </row>
    <row r="1498">
      <c r="C1498" s="120"/>
      <c r="H1498" s="20">
        <v>38.0</v>
      </c>
      <c r="J1498" s="20">
        <v>0.47</v>
      </c>
      <c r="K1498" s="20">
        <v>38.0</v>
      </c>
      <c r="P1498" s="130"/>
    </row>
    <row r="1499">
      <c r="C1499" s="120"/>
      <c r="H1499" s="20">
        <v>40.0</v>
      </c>
      <c r="J1499" s="20">
        <v>0.52</v>
      </c>
      <c r="K1499" s="20">
        <v>47.0</v>
      </c>
      <c r="P1499" s="130"/>
    </row>
    <row r="1500">
      <c r="C1500" s="120"/>
      <c r="H1500" s="20">
        <v>45.0</v>
      </c>
      <c r="J1500" s="20">
        <v>0.51</v>
      </c>
      <c r="K1500" s="20">
        <v>50.0</v>
      </c>
      <c r="P1500" s="130"/>
    </row>
    <row r="1501">
      <c r="C1501" s="120"/>
      <c r="H1501" s="20">
        <v>43.0</v>
      </c>
      <c r="J1501" s="20">
        <v>0.5</v>
      </c>
      <c r="K1501" s="20">
        <v>42.0</v>
      </c>
      <c r="P1501" s="130"/>
    </row>
    <row r="1502">
      <c r="C1502" s="120"/>
      <c r="H1502" s="20">
        <v>42.0</v>
      </c>
      <c r="J1502" s="20">
        <v>0.53</v>
      </c>
      <c r="K1502" s="20">
        <v>37.0</v>
      </c>
      <c r="P1502" s="130"/>
    </row>
    <row r="1503">
      <c r="C1503" s="120"/>
      <c r="H1503" s="20">
        <v>44.0</v>
      </c>
      <c r="J1503" s="20">
        <v>0.49</v>
      </c>
      <c r="K1503" s="20">
        <v>40.0</v>
      </c>
      <c r="P1503" s="130"/>
    </row>
    <row r="1504">
      <c r="C1504" s="120"/>
      <c r="H1504" s="20">
        <v>45.0</v>
      </c>
      <c r="J1504" s="20">
        <v>0.53</v>
      </c>
      <c r="K1504" s="20">
        <v>45.0</v>
      </c>
      <c r="P1504" s="130"/>
    </row>
    <row r="1505">
      <c r="C1505" s="120"/>
      <c r="H1505" s="20">
        <v>45.0</v>
      </c>
      <c r="J1505" s="20">
        <v>0.51</v>
      </c>
      <c r="K1505" s="20">
        <v>45.0</v>
      </c>
      <c r="P1505" s="130"/>
    </row>
    <row r="1506">
      <c r="C1506" s="120"/>
      <c r="H1506" s="20">
        <v>49.0</v>
      </c>
      <c r="J1506" s="20">
        <v>0.49</v>
      </c>
      <c r="K1506" s="20">
        <v>39.0</v>
      </c>
      <c r="P1506" s="130"/>
    </row>
    <row r="1507">
      <c r="C1507" s="120"/>
      <c r="H1507" s="20">
        <v>40.0</v>
      </c>
      <c r="J1507" s="20">
        <v>0.48</v>
      </c>
      <c r="K1507" s="20">
        <v>49.0</v>
      </c>
      <c r="P1507" s="130"/>
    </row>
    <row r="1508">
      <c r="C1508" s="120"/>
      <c r="H1508" s="20">
        <v>43.0</v>
      </c>
      <c r="J1508" s="20">
        <v>0.51</v>
      </c>
      <c r="K1508" s="20">
        <v>47.0</v>
      </c>
      <c r="P1508" s="130"/>
    </row>
    <row r="1509">
      <c r="C1509" s="120"/>
      <c r="H1509" s="20">
        <v>37.0</v>
      </c>
      <c r="J1509" s="20">
        <v>0.53</v>
      </c>
      <c r="K1509" s="20">
        <v>44.0</v>
      </c>
      <c r="P1509" s="130"/>
    </row>
    <row r="1510">
      <c r="C1510" s="120"/>
      <c r="H1510" s="20">
        <v>40.0</v>
      </c>
      <c r="J1510" s="20">
        <v>0.51</v>
      </c>
      <c r="K1510" s="20">
        <v>44.0</v>
      </c>
      <c r="P1510" s="130"/>
    </row>
    <row r="1511">
      <c r="C1511" s="120"/>
      <c r="H1511" s="20">
        <v>44.0</v>
      </c>
      <c r="J1511" s="20">
        <v>0.51</v>
      </c>
      <c r="K1511" s="20">
        <v>40.0</v>
      </c>
      <c r="P1511" s="130"/>
    </row>
    <row r="1512">
      <c r="C1512" s="120"/>
      <c r="H1512" s="20">
        <v>43.0</v>
      </c>
      <c r="J1512" s="20">
        <v>0.5</v>
      </c>
      <c r="K1512" s="20">
        <v>44.0</v>
      </c>
      <c r="P1512" s="130"/>
    </row>
    <row r="1513">
      <c r="C1513" s="120"/>
      <c r="H1513" s="20">
        <v>44.0</v>
      </c>
      <c r="J1513" s="20">
        <v>0.5</v>
      </c>
      <c r="K1513" s="20">
        <v>42.0</v>
      </c>
      <c r="P1513" s="130"/>
    </row>
    <row r="1514">
      <c r="C1514" s="120"/>
      <c r="H1514" s="20">
        <v>44.0</v>
      </c>
      <c r="J1514" s="20">
        <v>0.55</v>
      </c>
      <c r="K1514" s="20">
        <v>42.0</v>
      </c>
      <c r="P1514" s="130"/>
    </row>
    <row r="1515">
      <c r="C1515" s="120"/>
      <c r="H1515" s="20">
        <v>43.0</v>
      </c>
      <c r="J1515" s="20">
        <v>0.47</v>
      </c>
      <c r="K1515" s="20">
        <v>44.0</v>
      </c>
      <c r="P1515" s="130"/>
    </row>
    <row r="1516">
      <c r="C1516" s="120"/>
      <c r="H1516" s="20">
        <v>42.0</v>
      </c>
      <c r="J1516" s="20">
        <v>0.54</v>
      </c>
      <c r="K1516" s="20">
        <v>39.0</v>
      </c>
      <c r="P1516" s="130"/>
    </row>
    <row r="1517">
      <c r="C1517" s="120"/>
      <c r="H1517" s="20">
        <v>40.0</v>
      </c>
      <c r="J1517" s="20">
        <v>0.54</v>
      </c>
      <c r="K1517" s="20">
        <v>41.0</v>
      </c>
      <c r="P1517" s="130"/>
    </row>
    <row r="1518">
      <c r="C1518" s="120"/>
      <c r="H1518" s="20">
        <v>48.0</v>
      </c>
      <c r="J1518" s="20">
        <v>0.53</v>
      </c>
      <c r="K1518" s="20">
        <v>48.0</v>
      </c>
      <c r="P1518" s="130"/>
    </row>
    <row r="1519">
      <c r="C1519" s="120"/>
      <c r="H1519" s="20">
        <v>37.0</v>
      </c>
      <c r="J1519" s="20">
        <v>0.52</v>
      </c>
      <c r="K1519" s="20">
        <v>44.0</v>
      </c>
      <c r="P1519" s="130"/>
    </row>
    <row r="1520">
      <c r="C1520" s="120"/>
      <c r="H1520" s="20">
        <v>46.0</v>
      </c>
      <c r="J1520" s="20">
        <v>0.49</v>
      </c>
      <c r="K1520" s="20">
        <v>41.0</v>
      </c>
      <c r="P1520" s="130"/>
    </row>
    <row r="1521">
      <c r="C1521" s="120"/>
      <c r="H1521" s="20">
        <v>39.0</v>
      </c>
      <c r="J1521" s="20">
        <v>0.54</v>
      </c>
      <c r="K1521" s="20">
        <v>43.0</v>
      </c>
      <c r="P1521" s="130"/>
    </row>
    <row r="1522">
      <c r="C1522" s="120"/>
      <c r="H1522" s="20">
        <v>42.0</v>
      </c>
      <c r="J1522" s="20">
        <v>0.5</v>
      </c>
      <c r="K1522" s="20">
        <v>37.0</v>
      </c>
      <c r="P1522" s="130"/>
    </row>
    <row r="1523">
      <c r="C1523" s="120"/>
      <c r="H1523" s="20">
        <v>50.0</v>
      </c>
      <c r="J1523" s="20">
        <v>0.5</v>
      </c>
      <c r="K1523" s="20">
        <v>45.0</v>
      </c>
      <c r="P1523" s="130"/>
    </row>
    <row r="1524">
      <c r="C1524" s="120"/>
      <c r="H1524" s="20">
        <v>40.0</v>
      </c>
      <c r="J1524" s="20">
        <v>0.53</v>
      </c>
      <c r="K1524" s="20">
        <v>43.0</v>
      </c>
      <c r="P1524" s="130"/>
    </row>
    <row r="1525">
      <c r="C1525" s="120"/>
      <c r="H1525" s="20">
        <v>43.0</v>
      </c>
      <c r="J1525" s="20">
        <v>0.51</v>
      </c>
      <c r="K1525" s="20">
        <v>44.0</v>
      </c>
      <c r="P1525" s="130"/>
    </row>
    <row r="1526">
      <c r="C1526" s="120"/>
      <c r="H1526" s="20">
        <v>42.0</v>
      </c>
      <c r="J1526" s="20">
        <v>0.56</v>
      </c>
      <c r="K1526" s="20">
        <v>40.0</v>
      </c>
      <c r="P1526" s="130"/>
    </row>
    <row r="1527">
      <c r="C1527" s="120"/>
      <c r="H1527" s="20">
        <v>46.0</v>
      </c>
      <c r="J1527" s="20">
        <v>0.52</v>
      </c>
      <c r="K1527" s="20">
        <v>44.0</v>
      </c>
      <c r="P1527" s="130"/>
    </row>
    <row r="1528">
      <c r="C1528" s="120"/>
      <c r="H1528" s="20">
        <v>38.0</v>
      </c>
      <c r="J1528" s="20">
        <v>0.54</v>
      </c>
      <c r="K1528" s="20">
        <v>46.0</v>
      </c>
      <c r="P1528" s="130"/>
    </row>
    <row r="1529">
      <c r="C1529" s="120"/>
      <c r="H1529" s="20">
        <v>44.0</v>
      </c>
      <c r="J1529" s="20">
        <v>0.51</v>
      </c>
      <c r="K1529" s="20">
        <v>37.0</v>
      </c>
      <c r="P1529" s="130"/>
    </row>
    <row r="1530">
      <c r="C1530" s="120"/>
      <c r="H1530" s="20">
        <v>49.0</v>
      </c>
      <c r="J1530" s="20">
        <v>0.51</v>
      </c>
      <c r="K1530" s="20">
        <v>46.0</v>
      </c>
      <c r="P1530" s="130"/>
    </row>
    <row r="1531">
      <c r="C1531" s="120"/>
      <c r="H1531" s="20">
        <v>46.0</v>
      </c>
      <c r="J1531" s="20">
        <v>0.53</v>
      </c>
      <c r="K1531" s="20">
        <v>41.0</v>
      </c>
      <c r="P1531" s="130"/>
    </row>
    <row r="1532">
      <c r="C1532" s="120"/>
      <c r="H1532" s="20">
        <v>39.0</v>
      </c>
      <c r="J1532" s="20">
        <v>0.5</v>
      </c>
      <c r="K1532" s="20">
        <v>47.0</v>
      </c>
      <c r="P1532" s="130"/>
    </row>
    <row r="1533">
      <c r="C1533" s="120"/>
      <c r="H1533" s="20">
        <v>48.0</v>
      </c>
      <c r="J1533" s="20">
        <v>0.52</v>
      </c>
      <c r="K1533" s="20">
        <v>37.0</v>
      </c>
      <c r="P1533" s="130"/>
    </row>
    <row r="1534">
      <c r="C1534" s="120"/>
      <c r="H1534" s="20">
        <v>46.0</v>
      </c>
      <c r="J1534" s="20">
        <v>0.53</v>
      </c>
      <c r="K1534" s="20">
        <v>40.0</v>
      </c>
      <c r="P1534" s="130"/>
    </row>
    <row r="1535">
      <c r="C1535" s="120"/>
      <c r="H1535" s="20">
        <v>44.0</v>
      </c>
      <c r="J1535" s="20">
        <v>0.5</v>
      </c>
      <c r="K1535" s="20">
        <v>41.0</v>
      </c>
      <c r="P1535" s="130"/>
    </row>
    <row r="1536">
      <c r="C1536" s="120"/>
      <c r="H1536" s="20">
        <v>44.0</v>
      </c>
      <c r="J1536" s="20">
        <v>0.5</v>
      </c>
      <c r="K1536" s="20">
        <v>48.0</v>
      </c>
      <c r="P1536" s="130"/>
    </row>
    <row r="1537">
      <c r="C1537" s="120"/>
      <c r="H1537" s="20">
        <v>46.0</v>
      </c>
      <c r="J1537" s="20">
        <v>0.52</v>
      </c>
      <c r="K1537" s="20">
        <v>39.0</v>
      </c>
      <c r="P1537" s="130"/>
    </row>
    <row r="1538">
      <c r="C1538" s="120"/>
      <c r="H1538" s="20">
        <v>42.0</v>
      </c>
      <c r="J1538" s="20">
        <v>0.52</v>
      </c>
      <c r="K1538" s="20">
        <v>44.0</v>
      </c>
      <c r="P1538" s="130"/>
    </row>
    <row r="1539">
      <c r="C1539" s="120"/>
      <c r="H1539" s="20">
        <v>40.0</v>
      </c>
      <c r="J1539" s="20">
        <v>0.51</v>
      </c>
      <c r="K1539" s="20">
        <v>43.0</v>
      </c>
      <c r="P1539" s="130"/>
    </row>
    <row r="1540">
      <c r="C1540" s="120"/>
      <c r="H1540" s="20">
        <v>48.0</v>
      </c>
      <c r="J1540" s="20">
        <v>0.48</v>
      </c>
      <c r="K1540" s="20">
        <v>41.0</v>
      </c>
      <c r="P1540" s="130"/>
    </row>
    <row r="1541">
      <c r="C1541" s="120"/>
      <c r="H1541" s="20">
        <v>44.0</v>
      </c>
      <c r="J1541" s="20">
        <v>0.49</v>
      </c>
      <c r="K1541" s="20">
        <v>41.0</v>
      </c>
      <c r="P1541" s="130"/>
    </row>
    <row r="1542">
      <c r="C1542" s="120"/>
      <c r="H1542" s="20">
        <v>39.0</v>
      </c>
      <c r="J1542" s="20">
        <v>0.52</v>
      </c>
      <c r="K1542" s="20">
        <v>45.0</v>
      </c>
      <c r="P1542" s="130"/>
    </row>
    <row r="1543">
      <c r="C1543" s="120"/>
      <c r="H1543" s="20">
        <v>44.0</v>
      </c>
      <c r="J1543" s="20">
        <v>0.53</v>
      </c>
      <c r="K1543" s="20">
        <v>37.0</v>
      </c>
      <c r="P1543" s="130"/>
    </row>
    <row r="1544">
      <c r="C1544" s="120"/>
      <c r="H1544" s="20">
        <v>43.0</v>
      </c>
      <c r="J1544" s="20">
        <v>0.48</v>
      </c>
      <c r="K1544" s="20">
        <v>42.0</v>
      </c>
      <c r="P1544" s="130"/>
    </row>
    <row r="1545">
      <c r="C1545" s="120"/>
      <c r="H1545" s="20">
        <v>42.0</v>
      </c>
      <c r="J1545" s="20">
        <v>0.51</v>
      </c>
      <c r="K1545" s="20">
        <v>38.0</v>
      </c>
      <c r="P1545" s="130"/>
    </row>
    <row r="1546">
      <c r="C1546" s="120"/>
      <c r="H1546" s="20">
        <v>39.0</v>
      </c>
      <c r="J1546" s="20">
        <v>0.5</v>
      </c>
      <c r="K1546" s="20">
        <v>43.0</v>
      </c>
      <c r="P1546" s="130"/>
    </row>
    <row r="1547">
      <c r="C1547" s="120"/>
      <c r="H1547" s="20">
        <v>44.0</v>
      </c>
      <c r="J1547" s="20">
        <v>0.47</v>
      </c>
      <c r="K1547" s="20">
        <v>38.0</v>
      </c>
      <c r="P1547" s="130"/>
    </row>
    <row r="1548">
      <c r="C1548" s="120"/>
      <c r="H1548" s="20">
        <v>42.0</v>
      </c>
      <c r="J1548" s="20">
        <v>0.45</v>
      </c>
      <c r="K1548" s="20">
        <v>40.0</v>
      </c>
      <c r="P1548" s="130"/>
    </row>
    <row r="1549">
      <c r="C1549" s="120"/>
      <c r="H1549" s="20">
        <v>43.0</v>
      </c>
      <c r="J1549" s="20">
        <v>0.47</v>
      </c>
      <c r="K1549" s="20">
        <v>39.0</v>
      </c>
      <c r="P1549" s="130"/>
    </row>
    <row r="1550">
      <c r="C1550" s="120"/>
      <c r="H1550" s="20">
        <v>42.0</v>
      </c>
      <c r="J1550" s="20">
        <v>0.42</v>
      </c>
      <c r="K1550" s="20">
        <v>40.0</v>
      </c>
      <c r="P1550" s="130"/>
    </row>
    <row r="1551">
      <c r="C1551" s="120"/>
      <c r="H1551" s="20">
        <v>45.0</v>
      </c>
      <c r="J1551" s="20">
        <v>0.52</v>
      </c>
      <c r="K1551" s="20">
        <v>41.0</v>
      </c>
      <c r="P1551" s="130"/>
    </row>
    <row r="1552">
      <c r="C1552" s="120"/>
      <c r="H1552" s="20">
        <v>46.0</v>
      </c>
      <c r="J1552" s="20">
        <v>0.54</v>
      </c>
      <c r="K1552" s="20">
        <v>38.0</v>
      </c>
      <c r="P1552" s="130"/>
    </row>
    <row r="1553">
      <c r="C1553" s="120"/>
      <c r="H1553" s="20">
        <v>43.0</v>
      </c>
      <c r="J1553" s="20">
        <v>0.49</v>
      </c>
      <c r="K1553" s="20">
        <v>37.0</v>
      </c>
      <c r="P1553" s="130"/>
    </row>
    <row r="1554">
      <c r="C1554" s="120"/>
      <c r="H1554" s="20">
        <v>43.0</v>
      </c>
      <c r="J1554" s="20">
        <v>0.52</v>
      </c>
      <c r="K1554" s="20">
        <v>39.0</v>
      </c>
      <c r="P1554" s="130"/>
    </row>
    <row r="1555">
      <c r="C1555" s="120"/>
      <c r="H1555" s="20">
        <v>45.0</v>
      </c>
      <c r="J1555" s="20">
        <v>0.53</v>
      </c>
      <c r="K1555" s="20">
        <v>40.0</v>
      </c>
      <c r="P1555" s="130"/>
    </row>
    <row r="1556">
      <c r="C1556" s="120"/>
      <c r="H1556" s="20">
        <v>42.0</v>
      </c>
      <c r="J1556" s="20">
        <v>0.44</v>
      </c>
      <c r="K1556" s="20">
        <v>39.0</v>
      </c>
      <c r="P1556" s="130"/>
    </row>
    <row r="1557">
      <c r="C1557" s="120"/>
      <c r="H1557" s="20">
        <v>42.0</v>
      </c>
      <c r="J1557" s="20">
        <v>0.51</v>
      </c>
      <c r="K1557" s="20">
        <v>47.0</v>
      </c>
      <c r="P1557" s="130"/>
    </row>
    <row r="1558">
      <c r="C1558" s="120"/>
      <c r="H1558" s="20">
        <v>43.0</v>
      </c>
      <c r="J1558" s="20">
        <v>0.48</v>
      </c>
      <c r="K1558" s="20">
        <v>39.0</v>
      </c>
      <c r="P1558" s="130"/>
    </row>
    <row r="1559">
      <c r="C1559" s="120"/>
      <c r="H1559" s="20">
        <v>44.0</v>
      </c>
      <c r="J1559" s="20">
        <v>0.5</v>
      </c>
      <c r="K1559" s="20">
        <v>41.0</v>
      </c>
      <c r="P1559" s="130"/>
    </row>
    <row r="1560">
      <c r="C1560" s="120"/>
      <c r="H1560" s="20">
        <v>46.0</v>
      </c>
      <c r="J1560" s="20">
        <v>0.46</v>
      </c>
      <c r="K1560" s="20">
        <v>40.0</v>
      </c>
      <c r="P1560" s="130"/>
    </row>
    <row r="1561">
      <c r="C1561" s="120"/>
      <c r="H1561" s="20">
        <v>47.0</v>
      </c>
      <c r="J1561" s="20">
        <v>0.53</v>
      </c>
      <c r="K1561" s="20">
        <v>42.0</v>
      </c>
      <c r="P1561" s="130"/>
    </row>
    <row r="1562">
      <c r="C1562" s="120"/>
      <c r="H1562" s="20">
        <v>37.0</v>
      </c>
      <c r="J1562" s="20">
        <v>0.47</v>
      </c>
      <c r="K1562" s="20">
        <v>38.0</v>
      </c>
      <c r="P1562" s="130"/>
    </row>
    <row r="1563">
      <c r="C1563" s="120"/>
      <c r="H1563" s="20">
        <v>43.0</v>
      </c>
      <c r="J1563" s="20">
        <v>0.47</v>
      </c>
      <c r="K1563" s="20">
        <v>38.0</v>
      </c>
      <c r="P1563" s="130"/>
    </row>
    <row r="1564">
      <c r="C1564" s="120"/>
      <c r="H1564" s="20">
        <v>45.0</v>
      </c>
      <c r="J1564" s="20">
        <v>0.44</v>
      </c>
      <c r="K1564" s="20">
        <v>42.0</v>
      </c>
      <c r="P1564" s="130"/>
    </row>
    <row r="1565">
      <c r="C1565" s="120"/>
      <c r="H1565" s="20">
        <v>46.0</v>
      </c>
      <c r="J1565" s="20">
        <v>0.47</v>
      </c>
      <c r="K1565" s="20">
        <v>46.0</v>
      </c>
      <c r="P1565" s="130"/>
    </row>
    <row r="1566">
      <c r="C1566" s="120"/>
      <c r="H1566" s="20">
        <v>42.0</v>
      </c>
      <c r="J1566" s="20">
        <v>0.48</v>
      </c>
      <c r="K1566" s="20">
        <v>39.0</v>
      </c>
      <c r="P1566" s="130"/>
    </row>
    <row r="1567">
      <c r="C1567" s="120"/>
      <c r="H1567" s="20">
        <v>46.0</v>
      </c>
      <c r="J1567" s="20">
        <v>0.43</v>
      </c>
      <c r="K1567" s="20">
        <v>44.0</v>
      </c>
      <c r="P1567" s="130"/>
    </row>
    <row r="1568">
      <c r="C1568" s="120"/>
      <c r="H1568" s="20">
        <v>43.0</v>
      </c>
      <c r="J1568" s="20">
        <v>0.53</v>
      </c>
      <c r="K1568" s="20">
        <v>50.0</v>
      </c>
      <c r="P1568" s="130"/>
    </row>
    <row r="1569">
      <c r="C1569" s="120"/>
      <c r="H1569" s="20">
        <v>46.0</v>
      </c>
      <c r="J1569" s="20">
        <v>0.51</v>
      </c>
      <c r="K1569" s="20">
        <v>40.0</v>
      </c>
      <c r="P1569" s="130"/>
    </row>
    <row r="1570">
      <c r="C1570" s="120"/>
      <c r="H1570" s="20">
        <v>49.0</v>
      </c>
      <c r="J1570" s="20">
        <v>0.45</v>
      </c>
      <c r="K1570" s="20">
        <v>41.0</v>
      </c>
      <c r="P1570" s="130"/>
    </row>
    <row r="1571">
      <c r="C1571" s="120"/>
      <c r="H1571" s="20">
        <v>48.0</v>
      </c>
      <c r="J1571" s="20">
        <v>0.48</v>
      </c>
      <c r="K1571" s="20">
        <v>45.0</v>
      </c>
      <c r="P1571" s="130"/>
    </row>
    <row r="1572">
      <c r="C1572" s="120"/>
      <c r="H1572" s="20">
        <v>44.0</v>
      </c>
      <c r="J1572" s="20">
        <v>0.49</v>
      </c>
      <c r="K1572" s="20">
        <v>43.0</v>
      </c>
      <c r="P1572" s="130"/>
    </row>
    <row r="1573">
      <c r="C1573" s="120"/>
      <c r="H1573" s="20">
        <v>44.0</v>
      </c>
      <c r="J1573" s="20">
        <v>0.56</v>
      </c>
      <c r="K1573" s="20">
        <v>38.0</v>
      </c>
      <c r="P1573" s="130"/>
    </row>
    <row r="1574">
      <c r="C1574" s="120"/>
      <c r="H1574" s="20">
        <v>44.0</v>
      </c>
      <c r="J1574" s="20">
        <v>0.48</v>
      </c>
      <c r="K1574" s="20">
        <v>39.0</v>
      </c>
      <c r="P1574" s="130"/>
    </row>
    <row r="1575">
      <c r="C1575" s="120"/>
      <c r="H1575" s="20">
        <v>41.0</v>
      </c>
      <c r="J1575" s="20">
        <v>0.48</v>
      </c>
      <c r="K1575" s="20">
        <v>41.0</v>
      </c>
      <c r="P1575" s="130"/>
    </row>
    <row r="1576">
      <c r="C1576" s="120"/>
      <c r="H1576" s="20">
        <v>43.0</v>
      </c>
      <c r="J1576" s="20">
        <v>0.46</v>
      </c>
      <c r="K1576" s="20">
        <v>43.0</v>
      </c>
      <c r="P1576" s="130"/>
    </row>
    <row r="1577">
      <c r="C1577" s="120"/>
      <c r="H1577" s="20">
        <v>47.0</v>
      </c>
      <c r="J1577" s="20">
        <v>0.48</v>
      </c>
      <c r="K1577" s="20">
        <v>36.0</v>
      </c>
      <c r="P1577" s="130"/>
    </row>
    <row r="1578">
      <c r="C1578" s="120"/>
      <c r="H1578" s="20">
        <v>52.0</v>
      </c>
      <c r="J1578" s="20">
        <v>0.54</v>
      </c>
      <c r="K1578" s="20">
        <v>38.0</v>
      </c>
      <c r="P1578" s="130"/>
    </row>
    <row r="1579">
      <c r="C1579" s="120"/>
      <c r="H1579" s="20">
        <v>42.0</v>
      </c>
      <c r="J1579" s="20">
        <v>0.5</v>
      </c>
      <c r="K1579" s="20">
        <v>43.0</v>
      </c>
      <c r="P1579" s="130"/>
    </row>
    <row r="1580">
      <c r="C1580" s="120"/>
      <c r="H1580" s="20">
        <v>44.0</v>
      </c>
      <c r="J1580" s="20">
        <v>0.48</v>
      </c>
      <c r="K1580" s="20">
        <v>42.0</v>
      </c>
      <c r="P1580" s="130"/>
    </row>
    <row r="1581">
      <c r="C1581" s="120"/>
      <c r="H1581" s="20">
        <v>45.0</v>
      </c>
      <c r="J1581" s="20">
        <v>0.51</v>
      </c>
      <c r="K1581" s="20">
        <v>41.0</v>
      </c>
      <c r="P1581" s="130"/>
    </row>
    <row r="1582">
      <c r="C1582" s="120"/>
      <c r="H1582" s="20">
        <v>47.0</v>
      </c>
      <c r="J1582" s="20">
        <v>0.49</v>
      </c>
      <c r="K1582" s="20">
        <v>41.0</v>
      </c>
      <c r="P1582" s="130"/>
    </row>
    <row r="1583">
      <c r="C1583" s="120"/>
      <c r="H1583" s="20">
        <v>48.0</v>
      </c>
      <c r="J1583" s="20">
        <v>0.47</v>
      </c>
      <c r="K1583" s="20">
        <v>43.0</v>
      </c>
      <c r="P1583" s="130"/>
    </row>
    <row r="1584">
      <c r="C1584" s="120"/>
      <c r="H1584" s="20">
        <v>47.0</v>
      </c>
      <c r="J1584" s="20">
        <v>0.47</v>
      </c>
      <c r="K1584" s="20">
        <v>47.0</v>
      </c>
      <c r="P1584" s="130"/>
    </row>
    <row r="1585">
      <c r="C1585" s="120"/>
      <c r="H1585" s="20">
        <v>45.0</v>
      </c>
      <c r="J1585" s="20">
        <v>0.5</v>
      </c>
      <c r="K1585" s="20">
        <v>44.0</v>
      </c>
      <c r="P1585" s="130"/>
    </row>
    <row r="1586">
      <c r="C1586" s="120"/>
      <c r="H1586" s="20">
        <v>41.0</v>
      </c>
      <c r="J1586" s="20">
        <v>0.43</v>
      </c>
      <c r="K1586" s="20">
        <v>40.0</v>
      </c>
      <c r="P1586" s="130"/>
    </row>
    <row r="1587">
      <c r="C1587" s="120"/>
      <c r="H1587" s="20">
        <v>45.0</v>
      </c>
      <c r="J1587" s="20">
        <v>0.5</v>
      </c>
      <c r="K1587" s="20">
        <v>46.0</v>
      </c>
      <c r="P1587" s="130"/>
    </row>
    <row r="1588">
      <c r="C1588" s="120"/>
      <c r="H1588" s="20">
        <v>43.0</v>
      </c>
      <c r="J1588" s="20">
        <v>0.46</v>
      </c>
      <c r="K1588" s="20">
        <v>49.0</v>
      </c>
      <c r="P1588" s="130"/>
    </row>
    <row r="1589">
      <c r="C1589" s="120"/>
      <c r="H1589" s="20">
        <v>43.0</v>
      </c>
      <c r="J1589" s="20">
        <v>0.49</v>
      </c>
      <c r="K1589" s="20">
        <v>47.0</v>
      </c>
      <c r="P1589" s="130"/>
    </row>
    <row r="1590">
      <c r="C1590" s="120"/>
      <c r="H1590" s="20">
        <v>44.0</v>
      </c>
      <c r="J1590" s="20">
        <v>0.45</v>
      </c>
      <c r="K1590" s="20">
        <v>41.0</v>
      </c>
      <c r="P1590" s="130"/>
    </row>
    <row r="1591">
      <c r="C1591" s="120"/>
      <c r="H1591" s="20">
        <v>45.0</v>
      </c>
      <c r="J1591" s="20">
        <v>0.48</v>
      </c>
      <c r="K1591" s="20">
        <v>43.0</v>
      </c>
      <c r="P1591" s="130"/>
    </row>
    <row r="1592">
      <c r="C1592" s="120"/>
      <c r="H1592" s="20">
        <v>44.0</v>
      </c>
      <c r="J1592" s="20">
        <v>0.47</v>
      </c>
      <c r="K1592" s="20">
        <v>40.0</v>
      </c>
      <c r="P1592" s="130"/>
    </row>
    <row r="1593">
      <c r="C1593" s="120"/>
      <c r="H1593" s="20">
        <v>47.0</v>
      </c>
      <c r="J1593" s="20">
        <v>0.5</v>
      </c>
      <c r="K1593" s="20">
        <v>43.0</v>
      </c>
      <c r="P1593" s="130"/>
    </row>
    <row r="1594">
      <c r="C1594" s="120"/>
      <c r="H1594" s="20">
        <v>47.0</v>
      </c>
      <c r="J1594" s="20">
        <v>0.45</v>
      </c>
      <c r="K1594" s="20">
        <v>44.0</v>
      </c>
      <c r="P1594" s="130"/>
    </row>
    <row r="1595">
      <c r="C1595" s="120"/>
      <c r="H1595" s="20">
        <v>46.0</v>
      </c>
      <c r="J1595" s="20">
        <v>0.5</v>
      </c>
      <c r="K1595" s="20">
        <v>45.0</v>
      </c>
      <c r="P1595" s="130"/>
    </row>
    <row r="1596">
      <c r="C1596" s="120"/>
      <c r="H1596" s="20">
        <v>44.0</v>
      </c>
      <c r="J1596" s="20">
        <v>0.44</v>
      </c>
      <c r="K1596" s="20">
        <v>43.0</v>
      </c>
      <c r="P1596" s="130"/>
    </row>
    <row r="1597">
      <c r="C1597" s="120"/>
      <c r="H1597" s="20">
        <v>45.0</v>
      </c>
      <c r="J1597" s="20">
        <v>0.49</v>
      </c>
      <c r="K1597" s="20">
        <v>44.0</v>
      </c>
      <c r="P1597" s="130"/>
    </row>
    <row r="1598">
      <c r="C1598" s="120"/>
      <c r="H1598" s="20">
        <v>46.0</v>
      </c>
      <c r="J1598" s="20">
        <v>0.51</v>
      </c>
      <c r="K1598" s="20">
        <v>38.0</v>
      </c>
      <c r="P1598" s="130"/>
    </row>
    <row r="1599">
      <c r="C1599" s="120"/>
      <c r="H1599" s="20">
        <v>36.0</v>
      </c>
      <c r="J1599" s="20">
        <v>0.5</v>
      </c>
      <c r="K1599" s="20">
        <v>46.0</v>
      </c>
      <c r="P1599" s="130"/>
    </row>
    <row r="1600">
      <c r="C1600" s="120"/>
      <c r="H1600" s="20">
        <v>45.0</v>
      </c>
      <c r="J1600" s="20">
        <v>0.47</v>
      </c>
      <c r="K1600" s="20">
        <v>41.0</v>
      </c>
      <c r="P1600" s="130"/>
    </row>
    <row r="1601">
      <c r="C1601" s="120"/>
      <c r="H1601" s="20">
        <v>48.0</v>
      </c>
      <c r="J1601" s="20">
        <v>0.49</v>
      </c>
      <c r="K1601" s="20">
        <v>40.0</v>
      </c>
      <c r="P1601" s="130"/>
    </row>
    <row r="1602">
      <c r="C1602" s="120"/>
      <c r="H1602" s="20">
        <v>45.0</v>
      </c>
      <c r="J1602" s="20">
        <v>0.49</v>
      </c>
      <c r="K1602" s="20">
        <v>38.0</v>
      </c>
      <c r="P1602" s="130"/>
    </row>
    <row r="1603">
      <c r="C1603" s="120"/>
      <c r="H1603" s="20">
        <v>45.0</v>
      </c>
      <c r="J1603" s="20">
        <v>0.43</v>
      </c>
      <c r="K1603" s="20">
        <v>48.0</v>
      </c>
      <c r="P1603" s="130"/>
    </row>
    <row r="1604">
      <c r="C1604" s="120"/>
      <c r="H1604" s="20">
        <v>45.0</v>
      </c>
      <c r="J1604" s="20">
        <v>0.49</v>
      </c>
      <c r="K1604" s="20">
        <v>41.0</v>
      </c>
      <c r="P1604" s="130"/>
    </row>
    <row r="1605">
      <c r="C1605" s="120"/>
      <c r="H1605" s="20">
        <v>46.0</v>
      </c>
      <c r="J1605" s="20">
        <v>0.5</v>
      </c>
      <c r="K1605" s="20">
        <v>47.0</v>
      </c>
      <c r="P1605" s="130"/>
    </row>
    <row r="1606">
      <c r="C1606" s="120"/>
      <c r="H1606" s="20">
        <v>41.0</v>
      </c>
      <c r="J1606" s="20">
        <v>0.46</v>
      </c>
      <c r="K1606" s="20">
        <v>44.0</v>
      </c>
      <c r="P1606" s="130"/>
    </row>
    <row r="1607">
      <c r="C1607" s="120"/>
      <c r="H1607" s="20">
        <v>47.0</v>
      </c>
      <c r="J1607" s="20">
        <v>0.47</v>
      </c>
      <c r="K1607" s="20">
        <v>44.0</v>
      </c>
      <c r="P1607" s="130"/>
    </row>
    <row r="1608">
      <c r="C1608" s="120"/>
      <c r="H1608" s="20">
        <v>45.0</v>
      </c>
      <c r="J1608" s="20">
        <v>0.45</v>
      </c>
      <c r="K1608" s="20">
        <v>42.0</v>
      </c>
      <c r="P1608" s="130"/>
    </row>
    <row r="1609">
      <c r="C1609" s="120"/>
      <c r="H1609" s="20">
        <v>47.0</v>
      </c>
      <c r="J1609" s="20">
        <v>0.45</v>
      </c>
      <c r="K1609" s="20">
        <v>45.0</v>
      </c>
      <c r="P1609" s="130"/>
    </row>
    <row r="1610">
      <c r="C1610" s="120"/>
      <c r="H1610" s="20">
        <v>47.0</v>
      </c>
      <c r="J1610" s="20">
        <v>0.49</v>
      </c>
      <c r="K1610" s="20">
        <v>40.0</v>
      </c>
      <c r="P1610" s="130"/>
    </row>
    <row r="1611">
      <c r="C1611" s="120"/>
      <c r="H1611" s="20">
        <v>48.0</v>
      </c>
      <c r="J1611" s="20">
        <v>0.48</v>
      </c>
      <c r="K1611" s="20">
        <v>44.0</v>
      </c>
      <c r="P1611" s="130"/>
    </row>
    <row r="1612">
      <c r="C1612" s="120"/>
      <c r="H1612" s="20">
        <v>48.0</v>
      </c>
      <c r="J1612" s="20">
        <v>0.42</v>
      </c>
      <c r="K1612" s="20">
        <v>40.0</v>
      </c>
      <c r="P1612" s="130"/>
    </row>
    <row r="1613">
      <c r="C1613" s="120"/>
      <c r="H1613" s="20">
        <v>47.0</v>
      </c>
      <c r="J1613" s="20">
        <v>0.46</v>
      </c>
      <c r="K1613" s="20">
        <v>45.0</v>
      </c>
      <c r="P1613" s="130"/>
    </row>
    <row r="1614">
      <c r="C1614" s="120"/>
      <c r="H1614" s="20">
        <v>42.0</v>
      </c>
      <c r="J1614" s="20">
        <v>0.46</v>
      </c>
      <c r="K1614" s="20">
        <v>49.0</v>
      </c>
      <c r="P1614" s="130"/>
    </row>
    <row r="1615">
      <c r="C1615" s="120"/>
      <c r="H1615" s="20">
        <v>43.0</v>
      </c>
      <c r="J1615" s="20">
        <v>0.43</v>
      </c>
      <c r="K1615" s="20">
        <v>45.0</v>
      </c>
      <c r="P1615" s="130"/>
    </row>
    <row r="1616">
      <c r="C1616" s="120"/>
      <c r="H1616" s="20">
        <v>45.0</v>
      </c>
      <c r="J1616" s="20">
        <v>0.5</v>
      </c>
      <c r="K1616" s="20">
        <v>40.0</v>
      </c>
      <c r="P1616" s="130"/>
    </row>
    <row r="1617">
      <c r="C1617" s="120"/>
      <c r="H1617" s="20">
        <v>44.0</v>
      </c>
      <c r="J1617" s="20">
        <v>0.48</v>
      </c>
      <c r="K1617" s="20">
        <v>43.0</v>
      </c>
      <c r="P1617" s="130"/>
    </row>
    <row r="1618">
      <c r="C1618" s="120"/>
      <c r="H1618" s="20">
        <v>47.0</v>
      </c>
      <c r="J1618" s="20">
        <v>0.45</v>
      </c>
      <c r="K1618" s="20">
        <v>38.0</v>
      </c>
      <c r="P1618" s="130"/>
    </row>
    <row r="1619">
      <c r="C1619" s="120"/>
      <c r="H1619" s="20">
        <v>48.0</v>
      </c>
      <c r="J1619" s="20">
        <v>0.5</v>
      </c>
      <c r="K1619" s="20">
        <v>45.0</v>
      </c>
      <c r="P1619" s="130"/>
    </row>
    <row r="1620">
      <c r="C1620" s="120"/>
      <c r="H1620" s="20">
        <v>46.0</v>
      </c>
      <c r="J1620" s="20">
        <v>0.45</v>
      </c>
      <c r="K1620" s="20">
        <v>46.0</v>
      </c>
      <c r="P1620" s="130"/>
    </row>
    <row r="1621">
      <c r="C1621" s="120"/>
      <c r="H1621" s="20">
        <v>46.0</v>
      </c>
      <c r="J1621" s="20">
        <v>0.46</v>
      </c>
      <c r="K1621" s="20">
        <v>41.0</v>
      </c>
      <c r="P1621" s="130"/>
    </row>
    <row r="1622">
      <c r="C1622" s="120"/>
      <c r="H1622" s="20">
        <v>45.0</v>
      </c>
      <c r="J1622" s="20">
        <v>0.45</v>
      </c>
      <c r="K1622" s="20">
        <v>40.0</v>
      </c>
      <c r="P1622" s="130"/>
    </row>
    <row r="1623">
      <c r="C1623" s="120"/>
      <c r="H1623" s="20">
        <v>51.0</v>
      </c>
      <c r="J1623" s="20">
        <v>0.51</v>
      </c>
      <c r="K1623" s="20">
        <v>45.0</v>
      </c>
      <c r="P1623" s="130"/>
    </row>
    <row r="1624">
      <c r="C1624" s="120"/>
      <c r="H1624" s="20">
        <v>44.0</v>
      </c>
      <c r="J1624" s="20">
        <v>0.5</v>
      </c>
      <c r="K1624" s="20">
        <v>46.0</v>
      </c>
      <c r="P1624" s="130"/>
    </row>
    <row r="1625">
      <c r="C1625" s="120"/>
      <c r="H1625" s="20">
        <v>42.0</v>
      </c>
      <c r="J1625" s="20">
        <v>0.46</v>
      </c>
      <c r="K1625" s="20">
        <v>44.0</v>
      </c>
      <c r="P1625" s="130"/>
    </row>
    <row r="1626">
      <c r="C1626" s="120"/>
      <c r="H1626" s="20">
        <v>44.0</v>
      </c>
      <c r="J1626" s="20">
        <v>0.49</v>
      </c>
      <c r="K1626" s="20">
        <v>44.0</v>
      </c>
      <c r="P1626" s="130"/>
    </row>
    <row r="1627">
      <c r="C1627" s="120"/>
      <c r="H1627" s="20">
        <v>41.0</v>
      </c>
      <c r="J1627" s="20">
        <v>0.49</v>
      </c>
      <c r="K1627" s="20">
        <v>42.0</v>
      </c>
      <c r="P1627" s="130"/>
    </row>
    <row r="1628">
      <c r="C1628" s="120"/>
      <c r="H1628" s="20">
        <v>44.0</v>
      </c>
      <c r="J1628" s="20">
        <v>0.51</v>
      </c>
      <c r="K1628" s="20">
        <v>44.0</v>
      </c>
      <c r="P1628" s="130"/>
    </row>
    <row r="1629">
      <c r="C1629" s="120"/>
      <c r="H1629" s="20">
        <v>43.0</v>
      </c>
      <c r="J1629" s="20">
        <v>0.45</v>
      </c>
      <c r="K1629" s="20">
        <v>41.0</v>
      </c>
      <c r="P1629" s="130"/>
    </row>
    <row r="1630">
      <c r="C1630" s="120"/>
      <c r="H1630" s="20">
        <v>45.0</v>
      </c>
      <c r="J1630" s="20">
        <v>0.46</v>
      </c>
      <c r="K1630" s="20">
        <v>38.0</v>
      </c>
      <c r="P1630" s="130"/>
    </row>
    <row r="1631">
      <c r="C1631" s="120"/>
      <c r="H1631" s="20">
        <v>50.0</v>
      </c>
      <c r="J1631" s="20">
        <v>0.44</v>
      </c>
      <c r="K1631" s="20">
        <v>44.0</v>
      </c>
      <c r="P1631" s="130"/>
    </row>
    <row r="1632">
      <c r="C1632" s="120"/>
      <c r="H1632" s="20">
        <v>47.0</v>
      </c>
      <c r="J1632" s="20">
        <v>0.46</v>
      </c>
      <c r="K1632" s="20">
        <v>47.0</v>
      </c>
      <c r="P1632" s="130"/>
    </row>
    <row r="1633">
      <c r="C1633" s="120"/>
      <c r="H1633" s="20">
        <v>44.0</v>
      </c>
      <c r="J1633" s="20">
        <v>0.51</v>
      </c>
      <c r="K1633" s="20">
        <v>45.0</v>
      </c>
      <c r="P1633" s="130"/>
    </row>
    <row r="1634">
      <c r="C1634" s="120"/>
      <c r="H1634" s="20">
        <v>44.0</v>
      </c>
      <c r="J1634" s="20">
        <v>0.45</v>
      </c>
      <c r="K1634" s="20">
        <v>41.0</v>
      </c>
      <c r="P1634" s="130"/>
    </row>
    <row r="1635">
      <c r="C1635" s="120"/>
      <c r="H1635" s="20">
        <v>43.0</v>
      </c>
      <c r="J1635" s="20">
        <v>0.48</v>
      </c>
      <c r="K1635" s="20">
        <v>48.0</v>
      </c>
      <c r="P1635" s="130"/>
    </row>
    <row r="1636">
      <c r="C1636" s="120"/>
      <c r="H1636" s="20">
        <v>49.0</v>
      </c>
      <c r="J1636" s="20">
        <v>0.47</v>
      </c>
      <c r="K1636" s="20">
        <v>42.0</v>
      </c>
      <c r="P1636" s="130"/>
    </row>
    <row r="1637">
      <c r="C1637" s="120"/>
      <c r="H1637" s="20">
        <v>46.0</v>
      </c>
      <c r="J1637" s="20">
        <v>0.45</v>
      </c>
      <c r="K1637" s="20">
        <v>45.0</v>
      </c>
      <c r="P1637" s="130"/>
    </row>
    <row r="1638">
      <c r="C1638" s="120"/>
      <c r="H1638" s="20">
        <v>43.0</v>
      </c>
      <c r="J1638" s="20">
        <v>0.47</v>
      </c>
      <c r="K1638" s="20">
        <v>43.0</v>
      </c>
      <c r="P1638" s="130"/>
    </row>
    <row r="1639">
      <c r="C1639" s="120"/>
      <c r="H1639" s="20">
        <v>40.0</v>
      </c>
      <c r="J1639" s="20">
        <v>0.47</v>
      </c>
      <c r="K1639" s="20">
        <v>41.0</v>
      </c>
      <c r="P1639" s="130"/>
    </row>
    <row r="1640">
      <c r="C1640" s="120"/>
      <c r="H1640" s="20">
        <v>42.0</v>
      </c>
      <c r="J1640" s="20">
        <v>0.47</v>
      </c>
      <c r="K1640" s="20">
        <v>38.0</v>
      </c>
      <c r="P1640" s="130"/>
    </row>
    <row r="1641">
      <c r="C1641" s="120"/>
      <c r="H1641" s="20">
        <v>43.0</v>
      </c>
      <c r="J1641" s="20">
        <v>0.45</v>
      </c>
      <c r="K1641" s="20">
        <v>43.0</v>
      </c>
      <c r="P1641" s="130"/>
    </row>
    <row r="1642">
      <c r="C1642" s="120"/>
      <c r="H1642" s="20">
        <v>40.0</v>
      </c>
      <c r="J1642" s="20">
        <v>0.51</v>
      </c>
      <c r="K1642" s="20">
        <v>37.0</v>
      </c>
      <c r="P1642" s="130"/>
    </row>
    <row r="1643">
      <c r="C1643" s="120"/>
      <c r="H1643" s="20">
        <v>42.0</v>
      </c>
      <c r="J1643" s="20">
        <v>0.46</v>
      </c>
      <c r="K1643" s="20">
        <v>48.0</v>
      </c>
      <c r="P1643" s="130"/>
    </row>
    <row r="1644">
      <c r="C1644" s="120"/>
      <c r="H1644" s="20">
        <v>42.0</v>
      </c>
      <c r="J1644" s="20">
        <v>0.49</v>
      </c>
      <c r="K1644" s="20">
        <v>43.0</v>
      </c>
      <c r="P1644" s="130"/>
    </row>
    <row r="1645">
      <c r="C1645" s="120"/>
      <c r="H1645" s="20">
        <v>42.0</v>
      </c>
      <c r="J1645" s="20">
        <v>0.44</v>
      </c>
      <c r="K1645" s="20">
        <v>47.0</v>
      </c>
      <c r="P1645" s="130"/>
    </row>
    <row r="1646">
      <c r="C1646" s="120"/>
      <c r="H1646" s="20">
        <v>44.0</v>
      </c>
      <c r="J1646" s="20">
        <v>0.46</v>
      </c>
      <c r="K1646" s="20">
        <v>39.0</v>
      </c>
      <c r="P1646" s="130"/>
    </row>
    <row r="1647">
      <c r="C1647" s="120"/>
      <c r="H1647" s="20">
        <v>48.0</v>
      </c>
      <c r="J1647" s="20">
        <v>0.44</v>
      </c>
      <c r="K1647" s="20">
        <v>52.0</v>
      </c>
      <c r="P1647" s="130"/>
    </row>
    <row r="1648">
      <c r="C1648" s="120"/>
      <c r="H1648" s="20">
        <v>45.0</v>
      </c>
      <c r="J1648" s="20">
        <v>0.46</v>
      </c>
      <c r="K1648" s="20">
        <v>39.0</v>
      </c>
      <c r="P1648" s="130"/>
    </row>
    <row r="1649">
      <c r="C1649" s="120"/>
      <c r="H1649" s="20">
        <v>47.0</v>
      </c>
      <c r="J1649" s="20">
        <v>0.46</v>
      </c>
      <c r="K1649" s="20">
        <v>43.0</v>
      </c>
      <c r="P1649" s="130"/>
    </row>
    <row r="1650">
      <c r="C1650" s="120"/>
      <c r="H1650" s="20">
        <v>50.0</v>
      </c>
      <c r="J1650" s="20">
        <v>0.45</v>
      </c>
      <c r="K1650" s="20">
        <v>39.0</v>
      </c>
      <c r="P1650" s="130"/>
    </row>
    <row r="1651">
      <c r="C1651" s="120"/>
      <c r="H1651" s="20">
        <v>42.0</v>
      </c>
      <c r="J1651" s="20">
        <v>0.46</v>
      </c>
      <c r="K1651" s="20">
        <v>38.0</v>
      </c>
      <c r="P1651" s="130"/>
    </row>
    <row r="1652">
      <c r="C1652" s="120"/>
      <c r="H1652" s="20">
        <v>43.0</v>
      </c>
      <c r="J1652" s="20">
        <v>0.46</v>
      </c>
      <c r="K1652" s="20">
        <v>38.0</v>
      </c>
      <c r="P1652" s="130"/>
    </row>
    <row r="1653">
      <c r="C1653" s="120"/>
      <c r="H1653" s="20">
        <v>42.0</v>
      </c>
      <c r="J1653" s="20">
        <v>0.47</v>
      </c>
      <c r="K1653" s="20">
        <v>36.0</v>
      </c>
      <c r="P1653" s="130"/>
    </row>
    <row r="1654">
      <c r="C1654" s="120"/>
      <c r="H1654" s="20">
        <v>41.0</v>
      </c>
      <c r="J1654" s="20">
        <v>0.48</v>
      </c>
      <c r="K1654" s="20">
        <v>38.0</v>
      </c>
      <c r="P1654" s="130"/>
    </row>
    <row r="1655">
      <c r="C1655" s="120"/>
      <c r="H1655" s="20">
        <v>44.0</v>
      </c>
      <c r="J1655" s="20">
        <v>0.47</v>
      </c>
      <c r="K1655" s="20">
        <v>42.0</v>
      </c>
      <c r="P1655" s="130"/>
    </row>
    <row r="1656">
      <c r="C1656" s="120"/>
      <c r="H1656" s="20">
        <v>45.0</v>
      </c>
      <c r="J1656" s="20">
        <v>0.46</v>
      </c>
      <c r="K1656" s="20">
        <v>38.0</v>
      </c>
      <c r="P1656" s="130"/>
    </row>
    <row r="1657">
      <c r="C1657" s="120"/>
      <c r="H1657" s="20">
        <v>41.0</v>
      </c>
      <c r="J1657" s="20">
        <v>0.49</v>
      </c>
      <c r="K1657" s="20">
        <v>41.0</v>
      </c>
      <c r="P1657" s="130"/>
    </row>
    <row r="1658">
      <c r="C1658" s="120"/>
      <c r="H1658" s="20">
        <v>43.0</v>
      </c>
      <c r="J1658" s="20">
        <v>0.44</v>
      </c>
      <c r="K1658" s="20">
        <v>40.0</v>
      </c>
      <c r="P1658" s="130"/>
    </row>
    <row r="1659">
      <c r="C1659" s="120"/>
      <c r="H1659" s="20">
        <v>49.0</v>
      </c>
      <c r="J1659" s="20">
        <v>0.46</v>
      </c>
      <c r="K1659" s="20">
        <v>43.0</v>
      </c>
      <c r="P1659" s="130"/>
    </row>
    <row r="1660">
      <c r="C1660" s="120"/>
      <c r="H1660" s="20">
        <v>47.0</v>
      </c>
      <c r="J1660" s="20">
        <v>0.47</v>
      </c>
      <c r="K1660" s="20">
        <v>41.0</v>
      </c>
      <c r="P1660" s="130"/>
    </row>
    <row r="1661">
      <c r="C1661" s="120"/>
      <c r="H1661" s="20">
        <v>48.0</v>
      </c>
      <c r="J1661" s="20">
        <v>0.49</v>
      </c>
      <c r="K1661" s="20">
        <v>44.0</v>
      </c>
      <c r="P1661" s="130"/>
    </row>
    <row r="1662">
      <c r="C1662" s="120"/>
      <c r="H1662" s="20">
        <v>47.0</v>
      </c>
      <c r="J1662" s="20">
        <v>0.45</v>
      </c>
      <c r="K1662" s="20">
        <v>44.0</v>
      </c>
      <c r="P1662" s="130"/>
    </row>
    <row r="1663">
      <c r="C1663" s="120"/>
      <c r="H1663" s="20">
        <v>44.0</v>
      </c>
      <c r="J1663" s="20">
        <v>0.47</v>
      </c>
      <c r="K1663" s="20">
        <v>40.0</v>
      </c>
      <c r="P1663" s="130"/>
    </row>
    <row r="1664">
      <c r="C1664" s="120"/>
      <c r="H1664" s="20">
        <v>43.0</v>
      </c>
      <c r="J1664" s="20">
        <v>0.48</v>
      </c>
      <c r="K1664" s="20">
        <v>39.0</v>
      </c>
      <c r="P1664" s="130"/>
    </row>
    <row r="1665">
      <c r="C1665" s="120"/>
      <c r="H1665" s="20">
        <v>42.0</v>
      </c>
      <c r="J1665" s="20">
        <v>0.47</v>
      </c>
      <c r="K1665" s="20">
        <v>38.0</v>
      </c>
      <c r="P1665" s="130"/>
    </row>
    <row r="1666">
      <c r="C1666" s="120"/>
      <c r="H1666" s="20">
        <v>43.0</v>
      </c>
      <c r="J1666" s="20">
        <v>0.46</v>
      </c>
      <c r="K1666" s="20">
        <v>36.0</v>
      </c>
      <c r="P1666" s="130"/>
    </row>
    <row r="1667">
      <c r="C1667" s="120"/>
      <c r="H1667" s="20">
        <v>42.0</v>
      </c>
      <c r="J1667" s="20">
        <v>0.46</v>
      </c>
      <c r="K1667" s="20">
        <v>41.0</v>
      </c>
      <c r="P1667" s="130"/>
    </row>
    <row r="1668">
      <c r="C1668" s="131"/>
      <c r="H1668" s="20">
        <v>43.0</v>
      </c>
      <c r="J1668" s="20">
        <v>0.47</v>
      </c>
      <c r="K1668" s="20">
        <v>41.0</v>
      </c>
      <c r="P1668" s="130"/>
    </row>
    <row r="1669">
      <c r="C1669" s="131"/>
      <c r="H1669" s="20">
        <v>44.0</v>
      </c>
      <c r="J1669" s="20">
        <v>0.51</v>
      </c>
      <c r="K1669" s="20">
        <v>42.0</v>
      </c>
      <c r="P1669" s="130"/>
    </row>
    <row r="1670">
      <c r="C1670" s="131"/>
      <c r="H1670" s="20">
        <v>43.0</v>
      </c>
      <c r="J1670" s="20">
        <v>0.44</v>
      </c>
      <c r="K1670" s="20">
        <v>39.0</v>
      </c>
      <c r="P1670" s="130"/>
    </row>
    <row r="1671">
      <c r="C1671" s="131"/>
      <c r="H1671" s="20">
        <v>44.0</v>
      </c>
      <c r="J1671" s="20">
        <v>0.47</v>
      </c>
      <c r="K1671" s="20">
        <v>42.0</v>
      </c>
      <c r="P1671" s="130"/>
    </row>
    <row r="1672">
      <c r="C1672" s="131"/>
      <c r="H1672" s="20">
        <v>48.0</v>
      </c>
      <c r="J1672" s="20">
        <v>0.48</v>
      </c>
      <c r="K1672" s="20">
        <v>47.0</v>
      </c>
      <c r="P1672" s="130"/>
    </row>
    <row r="1673">
      <c r="C1673" s="131"/>
      <c r="H1673" s="20">
        <v>45.0</v>
      </c>
      <c r="J1673" s="20">
        <v>0.47</v>
      </c>
      <c r="K1673" s="20">
        <v>43.0</v>
      </c>
      <c r="P1673" s="130"/>
    </row>
    <row r="1674">
      <c r="C1674" s="131"/>
      <c r="H1674" s="20">
        <v>49.0</v>
      </c>
      <c r="J1674" s="20">
        <v>0.48</v>
      </c>
      <c r="K1674" s="20">
        <v>41.0</v>
      </c>
      <c r="P1674" s="130"/>
    </row>
    <row r="1675">
      <c r="C1675" s="131"/>
      <c r="J1675" s="20">
        <v>0.49</v>
      </c>
      <c r="K1675" s="20">
        <v>41.0</v>
      </c>
      <c r="P1675" s="130"/>
    </row>
    <row r="1676">
      <c r="C1676" s="131"/>
      <c r="J1676" s="20">
        <v>0.47</v>
      </c>
      <c r="K1676" s="20">
        <v>41.0</v>
      </c>
      <c r="P1676" s="130"/>
    </row>
    <row r="1677">
      <c r="C1677" s="131"/>
      <c r="J1677" s="20">
        <v>0.46</v>
      </c>
      <c r="K1677" s="20">
        <v>42.0</v>
      </c>
      <c r="P1677" s="130"/>
    </row>
    <row r="1678">
      <c r="C1678" s="131"/>
      <c r="J1678" s="20">
        <v>0.5</v>
      </c>
      <c r="K1678" s="20">
        <v>35.0</v>
      </c>
      <c r="P1678" s="130"/>
    </row>
    <row r="1679">
      <c r="C1679" s="131"/>
      <c r="J1679" s="20">
        <v>0.48</v>
      </c>
      <c r="K1679" s="20">
        <v>41.0</v>
      </c>
      <c r="P1679" s="130"/>
    </row>
    <row r="1680">
      <c r="C1680" s="131"/>
      <c r="J1680" s="20">
        <v>0.49</v>
      </c>
      <c r="K1680" s="20">
        <v>38.0</v>
      </c>
      <c r="P1680" s="130"/>
    </row>
    <row r="1681">
      <c r="C1681" s="131"/>
      <c r="J1681" s="20">
        <v>0.48</v>
      </c>
      <c r="K1681" s="20">
        <v>38.0</v>
      </c>
      <c r="P1681" s="130"/>
    </row>
    <row r="1682">
      <c r="C1682" s="131"/>
      <c r="J1682" s="20">
        <v>0.47</v>
      </c>
      <c r="K1682" s="20">
        <v>37.0</v>
      </c>
      <c r="P1682" s="130"/>
    </row>
    <row r="1683">
      <c r="C1683" s="131"/>
      <c r="J1683" s="20">
        <v>0.46</v>
      </c>
      <c r="K1683" s="20">
        <v>41.0</v>
      </c>
      <c r="P1683" s="130"/>
    </row>
    <row r="1684">
      <c r="C1684" s="131"/>
      <c r="J1684" s="20">
        <v>0.48</v>
      </c>
      <c r="K1684" s="20">
        <v>47.0</v>
      </c>
      <c r="P1684" s="130"/>
    </row>
    <row r="1685">
      <c r="C1685" s="131"/>
      <c r="J1685" s="20">
        <v>0.49</v>
      </c>
      <c r="K1685" s="20">
        <v>43.0</v>
      </c>
      <c r="P1685" s="130"/>
    </row>
    <row r="1686">
      <c r="C1686" s="131"/>
      <c r="J1686" s="20">
        <v>0.49</v>
      </c>
      <c r="K1686" s="20">
        <v>47.0</v>
      </c>
      <c r="P1686" s="130"/>
    </row>
    <row r="1687">
      <c r="C1687" s="131"/>
      <c r="P1687" s="130"/>
    </row>
    <row r="1688">
      <c r="C1688" s="131"/>
      <c r="P1688" s="130"/>
    </row>
    <row r="1689">
      <c r="C1689" s="131"/>
      <c r="P1689" s="130"/>
    </row>
    <row r="1690">
      <c r="C1690" s="131"/>
      <c r="P1690" s="130"/>
    </row>
    <row r="1691">
      <c r="C1691" s="131"/>
      <c r="P1691" s="130"/>
    </row>
    <row r="1692">
      <c r="C1692" s="131"/>
      <c r="P1692" s="130"/>
    </row>
    <row r="1693">
      <c r="C1693" s="131"/>
      <c r="P1693" s="130"/>
    </row>
    <row r="1694">
      <c r="C1694" s="131"/>
      <c r="P1694" s="130"/>
    </row>
    <row r="1695">
      <c r="C1695" s="131"/>
      <c r="P1695" s="130"/>
    </row>
    <row r="1696">
      <c r="C1696" s="131"/>
      <c r="P1696" s="130"/>
    </row>
    <row r="1697">
      <c r="C1697" s="131"/>
      <c r="P1697" s="130"/>
    </row>
    <row r="1698">
      <c r="C1698" s="131"/>
      <c r="P1698" s="130"/>
    </row>
    <row r="1699">
      <c r="C1699" s="131"/>
      <c r="P1699" s="130"/>
    </row>
    <row r="1700">
      <c r="C1700" s="131"/>
      <c r="P1700" s="130"/>
    </row>
    <row r="1701">
      <c r="C1701" s="131"/>
      <c r="P1701" s="130"/>
    </row>
    <row r="1702">
      <c r="C1702" s="131"/>
      <c r="P1702" s="130"/>
    </row>
    <row r="1703">
      <c r="C1703" s="131"/>
      <c r="P1703" s="130"/>
    </row>
    <row r="1704">
      <c r="C1704" s="131"/>
      <c r="P1704" s="130"/>
    </row>
    <row r="1705">
      <c r="C1705" s="131"/>
      <c r="P1705" s="130"/>
    </row>
    <row r="1706">
      <c r="C1706" s="131"/>
      <c r="P1706" s="130"/>
    </row>
    <row r="1707">
      <c r="C1707" s="131"/>
      <c r="P1707" s="130"/>
    </row>
    <row r="1708">
      <c r="C1708" s="131"/>
      <c r="P1708" s="130"/>
    </row>
    <row r="1709">
      <c r="C1709" s="131"/>
      <c r="P1709" s="130"/>
    </row>
    <row r="1710">
      <c r="C1710" s="131"/>
      <c r="P1710" s="130"/>
    </row>
    <row r="1711">
      <c r="C1711" s="131"/>
      <c r="P1711" s="130"/>
    </row>
    <row r="1712">
      <c r="C1712" s="131"/>
      <c r="P1712" s="130"/>
    </row>
    <row r="1713">
      <c r="C1713" s="131"/>
      <c r="P1713" s="130"/>
    </row>
    <row r="1714">
      <c r="C1714" s="131"/>
      <c r="P1714" s="130"/>
    </row>
    <row r="1715">
      <c r="C1715" s="131"/>
      <c r="P1715" s="130"/>
    </row>
    <row r="1716">
      <c r="C1716" s="131"/>
      <c r="P1716" s="130"/>
    </row>
    <row r="1717">
      <c r="C1717" s="131"/>
      <c r="P1717" s="130"/>
    </row>
    <row r="1718">
      <c r="C1718" s="131"/>
      <c r="P1718" s="130"/>
    </row>
    <row r="1719">
      <c r="C1719" s="131"/>
      <c r="P1719" s="130"/>
    </row>
    <row r="1720">
      <c r="C1720" s="131"/>
      <c r="P1720" s="130"/>
    </row>
    <row r="1721">
      <c r="C1721" s="131"/>
      <c r="P1721" s="130"/>
    </row>
    <row r="1722">
      <c r="C1722" s="131"/>
      <c r="P1722" s="130"/>
    </row>
    <row r="1723">
      <c r="C1723" s="131"/>
      <c r="P1723" s="130"/>
    </row>
    <row r="1724">
      <c r="C1724" s="131"/>
      <c r="P1724" s="130"/>
    </row>
    <row r="1725">
      <c r="C1725" s="131"/>
      <c r="P1725" s="130"/>
    </row>
    <row r="1726">
      <c r="C1726" s="131"/>
      <c r="P1726" s="130"/>
    </row>
    <row r="1727">
      <c r="C1727" s="131"/>
      <c r="P1727" s="130"/>
    </row>
    <row r="1728">
      <c r="C1728" s="131"/>
      <c r="P1728" s="130"/>
    </row>
    <row r="1729">
      <c r="C1729" s="131"/>
      <c r="P1729" s="130"/>
    </row>
    <row r="1730">
      <c r="C1730" s="131"/>
      <c r="P1730" s="130"/>
    </row>
    <row r="1731">
      <c r="C1731" s="131"/>
      <c r="P1731" s="130"/>
    </row>
    <row r="1732">
      <c r="C1732" s="131"/>
      <c r="P1732" s="130"/>
    </row>
    <row r="1733">
      <c r="C1733" s="131"/>
      <c r="P1733" s="130"/>
    </row>
    <row r="1734">
      <c r="C1734" s="131"/>
      <c r="P1734" s="130"/>
    </row>
    <row r="1735">
      <c r="C1735" s="131"/>
      <c r="P1735" s="130"/>
    </row>
    <row r="1736">
      <c r="C1736" s="131"/>
      <c r="P1736" s="130"/>
    </row>
    <row r="1737">
      <c r="C1737" s="131"/>
      <c r="P1737" s="130"/>
    </row>
    <row r="1738">
      <c r="C1738" s="131"/>
      <c r="P1738" s="130"/>
    </row>
    <row r="1739">
      <c r="C1739" s="131"/>
      <c r="P1739" s="130"/>
    </row>
    <row r="1740">
      <c r="C1740" s="131"/>
      <c r="P1740" s="130"/>
    </row>
    <row r="1741">
      <c r="C1741" s="131"/>
      <c r="P1741" s="130"/>
    </row>
    <row r="1742">
      <c r="C1742" s="131"/>
      <c r="P1742" s="130"/>
    </row>
    <row r="1743">
      <c r="C1743" s="131"/>
      <c r="P1743" s="130"/>
    </row>
    <row r="1744">
      <c r="C1744" s="131"/>
      <c r="P1744" s="130"/>
    </row>
    <row r="1745">
      <c r="C1745" s="131"/>
      <c r="P1745" s="130"/>
    </row>
    <row r="1746">
      <c r="C1746" s="131"/>
      <c r="P1746" s="130"/>
    </row>
    <row r="1747">
      <c r="C1747" s="131"/>
      <c r="P1747" s="130"/>
    </row>
    <row r="1748">
      <c r="C1748" s="131"/>
      <c r="P1748" s="130"/>
    </row>
    <row r="1749">
      <c r="C1749" s="131"/>
      <c r="P1749" s="130"/>
    </row>
    <row r="1750">
      <c r="C1750" s="131"/>
      <c r="P1750" s="130"/>
    </row>
    <row r="1751">
      <c r="C1751" s="131"/>
      <c r="P1751" s="130"/>
    </row>
    <row r="1752">
      <c r="C1752" s="131"/>
      <c r="P1752" s="130"/>
    </row>
    <row r="1753">
      <c r="C1753" s="131"/>
      <c r="P1753" s="130"/>
    </row>
    <row r="1754">
      <c r="C1754" s="131"/>
      <c r="P1754" s="130"/>
    </row>
    <row r="1755">
      <c r="C1755" s="131"/>
      <c r="P1755" s="130"/>
    </row>
    <row r="1756">
      <c r="C1756" s="131"/>
      <c r="P1756" s="130"/>
    </row>
    <row r="1757">
      <c r="C1757" s="131"/>
      <c r="P1757" s="130"/>
    </row>
    <row r="1758">
      <c r="C1758" s="131"/>
      <c r="P1758" s="130"/>
    </row>
    <row r="1759">
      <c r="C1759" s="131"/>
      <c r="P1759" s="130"/>
    </row>
    <row r="1760">
      <c r="C1760" s="131"/>
      <c r="P1760" s="130"/>
    </row>
    <row r="1761">
      <c r="C1761" s="131"/>
      <c r="P1761" s="130"/>
    </row>
    <row r="1762">
      <c r="C1762" s="131"/>
      <c r="P1762" s="130"/>
    </row>
    <row r="1763">
      <c r="C1763" s="131"/>
      <c r="P1763" s="130"/>
    </row>
    <row r="1764">
      <c r="C1764" s="131"/>
      <c r="P1764" s="130"/>
    </row>
    <row r="1765">
      <c r="C1765" s="131"/>
      <c r="P1765" s="130"/>
    </row>
    <row r="1766">
      <c r="C1766" s="131"/>
      <c r="P1766" s="130"/>
    </row>
    <row r="1767">
      <c r="C1767" s="131"/>
      <c r="P1767" s="130"/>
    </row>
    <row r="1768">
      <c r="C1768" s="131"/>
      <c r="P1768" s="130"/>
    </row>
    <row r="1769">
      <c r="C1769" s="131"/>
      <c r="P1769" s="130"/>
    </row>
    <row r="1770">
      <c r="C1770" s="131"/>
      <c r="P1770" s="130"/>
    </row>
    <row r="1771">
      <c r="C1771" s="131"/>
      <c r="P1771" s="130"/>
    </row>
    <row r="1772">
      <c r="C1772" s="131"/>
      <c r="P1772" s="130"/>
    </row>
    <row r="1773">
      <c r="C1773" s="131"/>
      <c r="P1773" s="130"/>
    </row>
    <row r="1774">
      <c r="C1774" s="131"/>
      <c r="P1774" s="130"/>
    </row>
    <row r="1775">
      <c r="C1775" s="131"/>
      <c r="P1775" s="130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32" t="s">
        <v>29</v>
      </c>
      <c r="B1" s="133">
        <v>45693.0</v>
      </c>
      <c r="C1" s="134"/>
      <c r="D1" s="134"/>
      <c r="E1" s="134"/>
      <c r="F1" s="132" t="s">
        <v>29</v>
      </c>
      <c r="G1" s="133">
        <v>45739.0</v>
      </c>
      <c r="H1" s="30"/>
      <c r="I1" s="134"/>
      <c r="J1" s="134"/>
      <c r="K1" s="132" t="s">
        <v>29</v>
      </c>
      <c r="L1" s="133">
        <v>45767.0</v>
      </c>
      <c r="M1" s="30"/>
      <c r="N1" s="30"/>
      <c r="P1" s="132" t="s">
        <v>29</v>
      </c>
      <c r="Q1" s="135">
        <v>45770.0</v>
      </c>
      <c r="R1" s="30"/>
      <c r="S1" s="30"/>
      <c r="AG1" s="136" t="s">
        <v>38</v>
      </c>
      <c r="AH1" s="133">
        <v>45739.0</v>
      </c>
      <c r="AM1" s="136" t="s">
        <v>38</v>
      </c>
      <c r="AN1" s="137">
        <v>45770.0</v>
      </c>
      <c r="AO1" s="30"/>
      <c r="AP1" s="30"/>
      <c r="AS1" s="136" t="s">
        <v>38</v>
      </c>
      <c r="AT1" s="133">
        <v>45767.0</v>
      </c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138" t="s">
        <v>37</v>
      </c>
      <c r="BF1" s="133">
        <v>45739.0</v>
      </c>
      <c r="BG1" s="30"/>
      <c r="BH1" s="30"/>
      <c r="BI1" s="30"/>
      <c r="BJ1" s="30"/>
      <c r="BK1" s="138" t="s">
        <v>37</v>
      </c>
      <c r="BL1" s="135">
        <v>45770.0</v>
      </c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139" t="s">
        <v>28</v>
      </c>
      <c r="BX1" s="133">
        <v>45739.0</v>
      </c>
      <c r="BY1" s="30"/>
      <c r="BZ1" s="139" t="s">
        <v>28</v>
      </c>
      <c r="CA1" s="133">
        <v>45770.0</v>
      </c>
      <c r="CB1" s="30"/>
      <c r="CC1" s="30"/>
      <c r="CD1" s="30"/>
      <c r="CE1" s="30"/>
      <c r="CF1" s="30"/>
      <c r="CG1" s="30"/>
      <c r="CH1" s="30"/>
      <c r="CI1" s="140" t="s">
        <v>25</v>
      </c>
      <c r="CJ1" s="133">
        <v>45739.0</v>
      </c>
      <c r="CK1" s="30"/>
      <c r="CL1" s="30"/>
      <c r="CM1" s="30"/>
      <c r="CN1" s="30"/>
      <c r="CO1" s="140" t="s">
        <v>25</v>
      </c>
      <c r="CP1" s="135">
        <v>45770.0</v>
      </c>
      <c r="CQ1" s="30"/>
      <c r="CR1" s="30"/>
      <c r="CS1" s="30" t="s">
        <v>199</v>
      </c>
      <c r="CT1" s="30"/>
      <c r="CU1" s="30" t="s">
        <v>200</v>
      </c>
      <c r="CV1" s="30"/>
      <c r="CW1" s="30"/>
      <c r="CX1" s="30"/>
      <c r="CY1" s="30"/>
      <c r="CZ1" s="30"/>
      <c r="DA1" s="30"/>
      <c r="DB1" s="30"/>
      <c r="DC1" s="30"/>
      <c r="DD1" s="30"/>
    </row>
    <row r="2">
      <c r="A2" s="30" t="s">
        <v>179</v>
      </c>
      <c r="B2" s="30" t="s">
        <v>201</v>
      </c>
      <c r="C2" s="30"/>
      <c r="D2" s="30"/>
      <c r="E2" s="30"/>
      <c r="F2" s="30" t="s">
        <v>179</v>
      </c>
      <c r="G2" s="30" t="s">
        <v>201</v>
      </c>
      <c r="I2" s="30"/>
      <c r="J2" s="30"/>
      <c r="K2" s="30" t="s">
        <v>202</v>
      </c>
      <c r="L2" s="30" t="s">
        <v>4</v>
      </c>
      <c r="M2" s="30" t="s">
        <v>179</v>
      </c>
      <c r="N2" s="30" t="s">
        <v>201</v>
      </c>
      <c r="P2" s="30" t="s">
        <v>179</v>
      </c>
      <c r="Q2" s="30" t="s">
        <v>201</v>
      </c>
      <c r="AG2" s="30" t="s">
        <v>202</v>
      </c>
      <c r="AH2" s="30" t="s">
        <v>4</v>
      </c>
      <c r="AI2" s="30" t="s">
        <v>179</v>
      </c>
      <c r="AJ2" s="30" t="s">
        <v>201</v>
      </c>
      <c r="AM2" s="30" t="s">
        <v>202</v>
      </c>
      <c r="AN2" s="30" t="s">
        <v>4</v>
      </c>
      <c r="AO2" s="30" t="s">
        <v>179</v>
      </c>
      <c r="AP2" s="30" t="s">
        <v>201</v>
      </c>
      <c r="AS2" s="30" t="s">
        <v>202</v>
      </c>
      <c r="AT2" s="30" t="s">
        <v>4</v>
      </c>
      <c r="AU2" s="30" t="s">
        <v>179</v>
      </c>
      <c r="AV2" s="30" t="s">
        <v>201</v>
      </c>
      <c r="AW2" s="30"/>
      <c r="AX2" s="30"/>
      <c r="AY2" s="30"/>
      <c r="AZ2" s="30"/>
      <c r="BA2" s="30"/>
      <c r="BB2" s="30"/>
      <c r="BC2" s="30"/>
      <c r="BD2" s="30"/>
      <c r="BE2" s="30" t="s">
        <v>202</v>
      </c>
      <c r="BF2" s="30" t="s">
        <v>4</v>
      </c>
      <c r="BG2" s="30" t="s">
        <v>179</v>
      </c>
      <c r="BH2" s="30" t="s">
        <v>201</v>
      </c>
      <c r="BI2" s="30"/>
      <c r="BJ2" s="30"/>
      <c r="BK2" s="30" t="s">
        <v>202</v>
      </c>
      <c r="BL2" s="30" t="s">
        <v>4</v>
      </c>
      <c r="BM2" s="30" t="s">
        <v>179</v>
      </c>
      <c r="BN2" s="30" t="s">
        <v>201</v>
      </c>
      <c r="BO2" s="30"/>
      <c r="BP2" s="30"/>
      <c r="BQ2" s="30"/>
      <c r="BR2" s="30"/>
      <c r="BS2" s="30"/>
      <c r="BT2" s="30"/>
      <c r="BU2" s="30"/>
      <c r="BV2" s="30"/>
      <c r="BW2" s="30" t="s">
        <v>179</v>
      </c>
      <c r="BX2" s="30" t="s">
        <v>201</v>
      </c>
      <c r="BZ2" s="30" t="s">
        <v>179</v>
      </c>
      <c r="CA2" s="30" t="s">
        <v>201</v>
      </c>
      <c r="CB2" s="30"/>
      <c r="CC2" s="30"/>
      <c r="CD2" s="30"/>
      <c r="CE2" s="30"/>
      <c r="CF2" s="30"/>
      <c r="CG2" s="30"/>
      <c r="CH2" s="30"/>
      <c r="CI2" s="30" t="s">
        <v>179</v>
      </c>
      <c r="CJ2" s="30" t="s">
        <v>201</v>
      </c>
      <c r="CO2" s="30" t="s">
        <v>179</v>
      </c>
      <c r="CP2" s="30" t="s">
        <v>201</v>
      </c>
      <c r="CS2" s="30" t="s">
        <v>179</v>
      </c>
      <c r="CT2" s="30" t="s">
        <v>201</v>
      </c>
      <c r="CU2" s="34">
        <f>PERCENTILE(CP3:CP1496,0.95)</f>
        <v>-22.4635</v>
      </c>
    </row>
    <row r="3">
      <c r="A3" s="20">
        <v>-65.87</v>
      </c>
      <c r="B3" s="20">
        <v>9.14</v>
      </c>
      <c r="D3" s="20"/>
      <c r="E3" s="20"/>
      <c r="F3" s="20">
        <v>-9.16</v>
      </c>
      <c r="G3" s="20">
        <v>-9.63</v>
      </c>
      <c r="I3" s="20"/>
      <c r="J3" s="20"/>
      <c r="K3" s="20">
        <v>1.0</v>
      </c>
      <c r="L3" s="20" t="s">
        <v>14</v>
      </c>
      <c r="M3" s="20">
        <v>-4.89</v>
      </c>
      <c r="N3" s="20">
        <v>-25.0</v>
      </c>
      <c r="P3" s="20">
        <v>21.76</v>
      </c>
      <c r="Q3" s="20">
        <v>59.92</v>
      </c>
      <c r="AG3" s="20">
        <v>1.0</v>
      </c>
      <c r="AH3" s="20" t="s">
        <v>14</v>
      </c>
      <c r="AI3" s="20">
        <v>-47.77</v>
      </c>
      <c r="AJ3" s="20">
        <v>-43.23</v>
      </c>
      <c r="AM3" s="20">
        <v>1.0</v>
      </c>
      <c r="AN3" s="20" t="s">
        <v>14</v>
      </c>
      <c r="AO3" s="20">
        <v>-15.87</v>
      </c>
      <c r="AP3" s="20">
        <v>-25.54</v>
      </c>
      <c r="AS3" s="20">
        <v>1.0</v>
      </c>
      <c r="AT3" s="20" t="s">
        <v>14</v>
      </c>
      <c r="AU3" s="20">
        <v>-20.65</v>
      </c>
      <c r="AV3" s="20">
        <v>-31.37</v>
      </c>
      <c r="BE3" s="20">
        <v>1.0</v>
      </c>
      <c r="BF3" s="20" t="s">
        <v>14</v>
      </c>
      <c r="BG3" s="20">
        <v>42.62</v>
      </c>
      <c r="BH3" s="20">
        <v>19.96</v>
      </c>
      <c r="BK3" s="20">
        <v>1.0</v>
      </c>
      <c r="BL3" s="20" t="s">
        <v>14</v>
      </c>
      <c r="BM3" s="20">
        <v>88.65</v>
      </c>
      <c r="BN3" s="20">
        <v>50.59</v>
      </c>
      <c r="BW3" s="20">
        <v>-13.54</v>
      </c>
      <c r="BX3" s="20">
        <v>-49.22</v>
      </c>
      <c r="BZ3" s="20">
        <v>27.26</v>
      </c>
      <c r="CA3" s="20">
        <v>-15.66</v>
      </c>
      <c r="CI3" s="20">
        <v>-47.5</v>
      </c>
      <c r="CJ3" s="20">
        <v>-38.92</v>
      </c>
      <c r="CO3" s="20">
        <v>-31.58</v>
      </c>
      <c r="CP3" s="20">
        <v>-44.6</v>
      </c>
      <c r="CS3" s="34">
        <f>IFERROR(__xludf.DUMMYFUNCTION("FILTER(CO3:CP1538,CP3:CP1538&gt;=CU2)"),45.15)</f>
        <v>45.15</v>
      </c>
      <c r="CT3" s="34">
        <f>IFERROR(__xludf.DUMMYFUNCTION("""COMPUTED_VALUE"""),36.44)</f>
        <v>36.44</v>
      </c>
    </row>
    <row r="4">
      <c r="A4" s="20">
        <v>26.26</v>
      </c>
      <c r="B4" s="20">
        <v>154.6</v>
      </c>
      <c r="D4" s="20"/>
      <c r="E4" s="20"/>
      <c r="F4" s="20">
        <v>10.32</v>
      </c>
      <c r="G4" s="20">
        <v>-11.24</v>
      </c>
      <c r="I4" s="20"/>
      <c r="J4" s="20"/>
      <c r="K4" s="20">
        <v>1.0</v>
      </c>
      <c r="L4" s="20" t="s">
        <v>17</v>
      </c>
      <c r="M4" s="20">
        <v>-10.69</v>
      </c>
      <c r="N4" s="20">
        <v>25.84</v>
      </c>
      <c r="P4" s="20">
        <v>41.5</v>
      </c>
      <c r="Q4" s="20">
        <v>144.1</v>
      </c>
      <c r="AG4" s="20">
        <v>2.0</v>
      </c>
      <c r="AH4" s="20" t="s">
        <v>14</v>
      </c>
      <c r="AI4" s="20">
        <v>-11.3</v>
      </c>
      <c r="AJ4" s="20">
        <v>-30.66</v>
      </c>
      <c r="AM4" s="20">
        <v>1.0</v>
      </c>
      <c r="AN4" s="20" t="s">
        <v>17</v>
      </c>
      <c r="AO4" s="20">
        <v>-12.26</v>
      </c>
      <c r="AP4" s="20">
        <v>59.4</v>
      </c>
      <c r="AS4" s="20">
        <v>1.0</v>
      </c>
      <c r="AT4" s="20" t="s">
        <v>17</v>
      </c>
      <c r="AU4" s="20">
        <v>-8.82</v>
      </c>
      <c r="AV4" s="20">
        <v>-42.86</v>
      </c>
      <c r="BE4" s="20">
        <v>2.0</v>
      </c>
      <c r="BF4" s="20" t="s">
        <v>14</v>
      </c>
      <c r="BG4" s="20">
        <v>18.11</v>
      </c>
      <c r="BH4" s="20">
        <v>-4.07</v>
      </c>
      <c r="BK4" s="20">
        <v>1.0</v>
      </c>
      <c r="BL4" s="20" t="s">
        <v>17</v>
      </c>
      <c r="BM4" s="20">
        <v>98.77</v>
      </c>
      <c r="BN4" s="20">
        <v>41.95</v>
      </c>
      <c r="BW4" s="20">
        <v>-13.98</v>
      </c>
      <c r="BX4" s="20">
        <v>-39.71</v>
      </c>
      <c r="BZ4" s="20">
        <v>-5.76</v>
      </c>
      <c r="CA4" s="20">
        <v>-25.64</v>
      </c>
      <c r="CI4" s="20">
        <v>-5.05</v>
      </c>
      <c r="CJ4" s="20">
        <v>-45.11</v>
      </c>
      <c r="CO4" s="20">
        <v>45.15</v>
      </c>
      <c r="CP4" s="20">
        <v>36.44</v>
      </c>
      <c r="CS4" s="34">
        <f>IFERROR(__xludf.DUMMYFUNCTION("""COMPUTED_VALUE"""),-43.13)</f>
        <v>-43.13</v>
      </c>
      <c r="CT4" s="34">
        <f>IFERROR(__xludf.DUMMYFUNCTION("""COMPUTED_VALUE"""),-17.06)</f>
        <v>-17.06</v>
      </c>
    </row>
    <row r="5">
      <c r="A5" s="20">
        <v>24.28</v>
      </c>
      <c r="B5" s="20">
        <v>-7.81</v>
      </c>
      <c r="D5" s="20"/>
      <c r="E5" s="20"/>
      <c r="F5" s="20">
        <v>-37.5</v>
      </c>
      <c r="G5" s="20">
        <v>-20.08</v>
      </c>
      <c r="I5" s="20"/>
      <c r="J5" s="20"/>
      <c r="K5" s="20">
        <v>2.0</v>
      </c>
      <c r="L5" s="20" t="s">
        <v>14</v>
      </c>
      <c r="M5" s="20">
        <v>-23.14</v>
      </c>
      <c r="N5" s="20">
        <v>-18.53</v>
      </c>
      <c r="P5" s="20">
        <v>44.31</v>
      </c>
      <c r="Q5" s="20">
        <v>170.44</v>
      </c>
      <c r="AG5" s="20">
        <v>3.0</v>
      </c>
      <c r="AH5" s="20" t="s">
        <v>14</v>
      </c>
      <c r="AI5" s="20">
        <v>-21.07</v>
      </c>
      <c r="AJ5" s="20">
        <v>-14.07</v>
      </c>
      <c r="AM5" s="20">
        <v>2.0</v>
      </c>
      <c r="AN5" s="20" t="s">
        <v>14</v>
      </c>
      <c r="AO5" s="20">
        <v>8.32</v>
      </c>
      <c r="AP5" s="20">
        <v>-17.81</v>
      </c>
      <c r="AS5" s="20">
        <v>2.0</v>
      </c>
      <c r="AT5" s="20" t="s">
        <v>14</v>
      </c>
      <c r="AU5" s="20">
        <v>38.29</v>
      </c>
      <c r="AV5" s="20">
        <v>-49.8</v>
      </c>
      <c r="BE5" s="20">
        <v>3.0</v>
      </c>
      <c r="BF5" s="20" t="s">
        <v>14</v>
      </c>
      <c r="BG5" s="20">
        <v>6.19</v>
      </c>
      <c r="BH5" s="20">
        <v>-2.37</v>
      </c>
      <c r="BK5" s="20">
        <v>2.0</v>
      </c>
      <c r="BL5" s="20" t="s">
        <v>14</v>
      </c>
      <c r="BM5" s="20">
        <v>60.69</v>
      </c>
      <c r="BN5" s="20">
        <v>100.34</v>
      </c>
      <c r="BW5" s="20">
        <v>-42.88</v>
      </c>
      <c r="BX5" s="20">
        <v>-26.69</v>
      </c>
      <c r="BZ5" s="20">
        <v>-60.21</v>
      </c>
      <c r="CA5" s="20">
        <v>122.73</v>
      </c>
      <c r="CI5" s="20">
        <v>-35.21</v>
      </c>
      <c r="CJ5" s="20">
        <v>-38.15</v>
      </c>
      <c r="CO5" s="20">
        <v>-35.89</v>
      </c>
      <c r="CP5" s="20">
        <v>-42.56</v>
      </c>
      <c r="CS5" s="34">
        <f>IFERROR(__xludf.DUMMYFUNCTION("""COMPUTED_VALUE"""),-19.7)</f>
        <v>-19.7</v>
      </c>
      <c r="CT5" s="34">
        <f>IFERROR(__xludf.DUMMYFUNCTION("""COMPUTED_VALUE"""),11.42)</f>
        <v>11.42</v>
      </c>
      <c r="DA5" s="20" t="s">
        <v>203</v>
      </c>
    </row>
    <row r="6">
      <c r="A6" s="20">
        <v>-5.46</v>
      </c>
      <c r="B6" s="20">
        <v>-37.27</v>
      </c>
      <c r="D6" s="20"/>
      <c r="E6" s="20"/>
      <c r="F6" s="20">
        <v>-0.21</v>
      </c>
      <c r="G6" s="20">
        <v>-57.85</v>
      </c>
      <c r="I6" s="20"/>
      <c r="J6" s="20"/>
      <c r="K6" s="20">
        <v>2.0</v>
      </c>
      <c r="L6" s="20" t="s">
        <v>17</v>
      </c>
      <c r="M6" s="20">
        <v>-65.93</v>
      </c>
      <c r="N6" s="20">
        <v>-59.69</v>
      </c>
      <c r="P6" s="20">
        <v>37.26</v>
      </c>
      <c r="Q6" s="20">
        <v>231.91</v>
      </c>
      <c r="AG6" s="20">
        <v>4.0</v>
      </c>
      <c r="AH6" s="20" t="s">
        <v>14</v>
      </c>
      <c r="AI6" s="20">
        <v>-47.76</v>
      </c>
      <c r="AJ6" s="20">
        <v>-49.28</v>
      </c>
      <c r="AM6" s="20">
        <v>2.0</v>
      </c>
      <c r="AN6" s="20" t="s">
        <v>17</v>
      </c>
      <c r="AO6" s="20">
        <v>-38.9</v>
      </c>
      <c r="AP6" s="20">
        <v>-17.52</v>
      </c>
      <c r="AS6" s="20">
        <v>2.0</v>
      </c>
      <c r="AT6" s="20" t="s">
        <v>17</v>
      </c>
      <c r="AU6" s="20">
        <v>-22.92</v>
      </c>
      <c r="AV6" s="20">
        <v>-52.21</v>
      </c>
      <c r="BE6" s="20">
        <v>4.0</v>
      </c>
      <c r="BF6" s="20" t="s">
        <v>14</v>
      </c>
      <c r="BG6" s="20">
        <v>23.04</v>
      </c>
      <c r="BH6" s="20">
        <v>16.86</v>
      </c>
      <c r="BK6" s="20">
        <v>2.0</v>
      </c>
      <c r="BL6" s="20" t="s">
        <v>17</v>
      </c>
      <c r="BM6" s="20">
        <v>108.8</v>
      </c>
      <c r="BN6" s="20">
        <v>117.43</v>
      </c>
      <c r="BW6" s="20">
        <v>-53.76</v>
      </c>
      <c r="BX6" s="20">
        <v>-24.51</v>
      </c>
      <c r="BZ6" s="20">
        <v>-44.6</v>
      </c>
      <c r="CA6" s="20">
        <v>100.57</v>
      </c>
      <c r="CI6" s="20">
        <v>-51.83</v>
      </c>
      <c r="CJ6" s="20">
        <v>-66.54</v>
      </c>
      <c r="CO6" s="20">
        <v>-43.13</v>
      </c>
      <c r="CP6" s="20">
        <v>-17.06</v>
      </c>
      <c r="CS6" s="34">
        <f>IFERROR(__xludf.DUMMYFUNCTION("""COMPUTED_VALUE"""),-30.83)</f>
        <v>-30.83</v>
      </c>
      <c r="CT6" s="34">
        <f>IFERROR(__xludf.DUMMYFUNCTION("""COMPUTED_VALUE"""),-15.38)</f>
        <v>-15.38</v>
      </c>
      <c r="DA6" s="19" t="s">
        <v>16</v>
      </c>
      <c r="DB6" s="20">
        <v>272.0</v>
      </c>
      <c r="DC6" s="20" t="s">
        <v>14</v>
      </c>
    </row>
    <row r="7">
      <c r="A7" s="20">
        <v>11.4</v>
      </c>
      <c r="B7" s="20">
        <v>14.04</v>
      </c>
      <c r="D7" s="20"/>
      <c r="E7" s="20"/>
      <c r="F7" s="20">
        <v>-11.29</v>
      </c>
      <c r="G7" s="20">
        <v>-42.08</v>
      </c>
      <c r="I7" s="20"/>
      <c r="J7" s="20"/>
      <c r="K7" s="20">
        <v>3.0</v>
      </c>
      <c r="L7" s="20" t="s">
        <v>14</v>
      </c>
      <c r="M7" s="20">
        <v>12.62</v>
      </c>
      <c r="N7" s="20">
        <v>30.31</v>
      </c>
      <c r="P7" s="20">
        <v>-8.22</v>
      </c>
      <c r="Q7" s="20">
        <v>16.96</v>
      </c>
      <c r="AG7" s="20">
        <v>5.0</v>
      </c>
      <c r="AH7" s="20" t="s">
        <v>14</v>
      </c>
      <c r="AI7" s="20">
        <v>-24.7</v>
      </c>
      <c r="AJ7" s="20">
        <v>-28.05</v>
      </c>
      <c r="AM7" s="20">
        <v>3.0</v>
      </c>
      <c r="AN7" s="20" t="s">
        <v>14</v>
      </c>
      <c r="AO7" s="20">
        <v>23.95</v>
      </c>
      <c r="AP7" s="20">
        <v>-45.01</v>
      </c>
      <c r="AS7" s="20">
        <v>3.0</v>
      </c>
      <c r="AT7" s="20" t="s">
        <v>14</v>
      </c>
      <c r="AU7" s="20">
        <v>-42.99</v>
      </c>
      <c r="AV7" s="20">
        <v>-83.45</v>
      </c>
      <c r="BE7" s="20">
        <v>5.0</v>
      </c>
      <c r="BF7" s="20" t="s">
        <v>14</v>
      </c>
      <c r="BG7" s="20">
        <v>-11.01</v>
      </c>
      <c r="BH7" s="20">
        <v>19.55</v>
      </c>
      <c r="BK7" s="20">
        <v>3.0</v>
      </c>
      <c r="BL7" s="20" t="s">
        <v>14</v>
      </c>
      <c r="BM7" s="20">
        <v>104.4</v>
      </c>
      <c r="BN7" s="20">
        <v>49.0</v>
      </c>
      <c r="BW7" s="20">
        <v>-33.2</v>
      </c>
      <c r="BX7" s="20">
        <v>-56.1</v>
      </c>
      <c r="BZ7" s="20">
        <v>-58.96</v>
      </c>
      <c r="CA7" s="20">
        <v>82.81</v>
      </c>
      <c r="CI7" s="20">
        <v>-53.06</v>
      </c>
      <c r="CJ7" s="20">
        <v>-47.99</v>
      </c>
      <c r="CO7" s="20">
        <v>45.32</v>
      </c>
      <c r="CP7" s="20">
        <v>-46.43</v>
      </c>
      <c r="CS7" s="34">
        <f>IFERROR(__xludf.DUMMYFUNCTION("""COMPUTED_VALUE"""),-30.92)</f>
        <v>-30.92</v>
      </c>
      <c r="CT7" s="34">
        <f>IFERROR(__xludf.DUMMYFUNCTION("""COMPUTED_VALUE"""),-15.41)</f>
        <v>-15.41</v>
      </c>
      <c r="DA7" s="19" t="s">
        <v>18</v>
      </c>
      <c r="DB7" s="43">
        <v>130.0</v>
      </c>
      <c r="DC7" s="20" t="s">
        <v>17</v>
      </c>
    </row>
    <row r="8">
      <c r="A8" s="20">
        <v>55.32</v>
      </c>
      <c r="B8" s="20">
        <v>72.36</v>
      </c>
      <c r="D8" s="20"/>
      <c r="E8" s="20"/>
      <c r="F8" s="20">
        <v>-20.19</v>
      </c>
      <c r="G8" s="20">
        <v>-0.7</v>
      </c>
      <c r="I8" s="20"/>
      <c r="J8" s="20"/>
      <c r="K8" s="20">
        <v>3.0</v>
      </c>
      <c r="L8" s="20" t="s">
        <v>17</v>
      </c>
      <c r="M8" s="20">
        <v>-20.67</v>
      </c>
      <c r="N8" s="20">
        <v>10.28</v>
      </c>
      <c r="P8" s="20">
        <v>23.87</v>
      </c>
      <c r="Q8" s="20">
        <v>41.15</v>
      </c>
      <c r="AG8" s="20">
        <v>6.0</v>
      </c>
      <c r="AH8" s="20" t="s">
        <v>14</v>
      </c>
      <c r="AI8" s="20">
        <v>-23.36</v>
      </c>
      <c r="AJ8" s="20">
        <v>-20.82</v>
      </c>
      <c r="AM8" s="20">
        <v>3.0</v>
      </c>
      <c r="AN8" s="20" t="s">
        <v>17</v>
      </c>
      <c r="AO8" s="20">
        <v>-48.98</v>
      </c>
      <c r="AP8" s="20">
        <v>-15.39</v>
      </c>
      <c r="AS8" s="20">
        <v>3.0</v>
      </c>
      <c r="AT8" s="20" t="s">
        <v>17</v>
      </c>
      <c r="AU8" s="20">
        <v>32.59</v>
      </c>
      <c r="AV8" s="20">
        <v>-63.26</v>
      </c>
      <c r="BE8" s="20">
        <v>6.0</v>
      </c>
      <c r="BF8" s="20" t="s">
        <v>14</v>
      </c>
      <c r="BG8" s="20">
        <v>43.0</v>
      </c>
      <c r="BH8" s="20">
        <v>69.52</v>
      </c>
      <c r="BK8" s="20">
        <v>3.0</v>
      </c>
      <c r="BL8" s="20" t="s">
        <v>17</v>
      </c>
      <c r="BM8" s="20">
        <v>236.29</v>
      </c>
      <c r="BN8" s="20">
        <v>91.01</v>
      </c>
      <c r="BW8" s="20">
        <v>-42.67</v>
      </c>
      <c r="BX8" s="20">
        <v>-4.87</v>
      </c>
      <c r="BZ8" s="20">
        <v>-67.15</v>
      </c>
      <c r="CA8" s="20">
        <v>9.06</v>
      </c>
      <c r="CI8" s="20">
        <v>-42.64</v>
      </c>
      <c r="CJ8" s="20">
        <v>-61.86</v>
      </c>
      <c r="CO8" s="20">
        <v>-24.67</v>
      </c>
      <c r="CP8" s="20">
        <v>-37.6</v>
      </c>
      <c r="CS8" s="34">
        <f>IFERROR(__xludf.DUMMYFUNCTION("""COMPUTED_VALUE"""),-42.15)</f>
        <v>-42.15</v>
      </c>
      <c r="CT8" s="34">
        <f>IFERROR(__xludf.DUMMYFUNCTION("""COMPUTED_VALUE"""),-11.09)</f>
        <v>-11.09</v>
      </c>
      <c r="DA8" s="16" t="s">
        <v>19</v>
      </c>
      <c r="DB8" s="43">
        <v>760.0</v>
      </c>
      <c r="DC8" s="20" t="s">
        <v>14</v>
      </c>
    </row>
    <row r="9">
      <c r="A9" s="20">
        <v>83.07</v>
      </c>
      <c r="B9" s="20">
        <v>16.78</v>
      </c>
      <c r="D9" s="20"/>
      <c r="E9" s="20"/>
      <c r="F9" s="20">
        <v>-9.71</v>
      </c>
      <c r="G9" s="20">
        <v>14.5</v>
      </c>
      <c r="I9" s="20"/>
      <c r="J9" s="20"/>
      <c r="K9" s="20">
        <v>4.0</v>
      </c>
      <c r="L9" s="20" t="s">
        <v>14</v>
      </c>
      <c r="M9" s="20">
        <v>-19.69</v>
      </c>
      <c r="N9" s="20">
        <v>81.74</v>
      </c>
      <c r="P9" s="20">
        <v>67.51</v>
      </c>
      <c r="Q9" s="20">
        <v>49.35</v>
      </c>
      <c r="AG9" s="20">
        <v>7.0</v>
      </c>
      <c r="AH9" s="20" t="s">
        <v>14</v>
      </c>
      <c r="AI9" s="20">
        <v>-53.08</v>
      </c>
      <c r="AJ9" s="20">
        <v>-32.27</v>
      </c>
      <c r="AM9" s="20">
        <v>4.0</v>
      </c>
      <c r="AN9" s="20" t="s">
        <v>14</v>
      </c>
      <c r="AO9" s="20">
        <v>-10.57</v>
      </c>
      <c r="AP9" s="20">
        <v>-42.24</v>
      </c>
      <c r="AS9" s="20">
        <v>4.0</v>
      </c>
      <c r="AT9" s="20" t="s">
        <v>14</v>
      </c>
      <c r="AU9" s="20">
        <v>-31.19</v>
      </c>
      <c r="AV9" s="20">
        <v>-19.0</v>
      </c>
      <c r="BE9" s="20">
        <v>7.0</v>
      </c>
      <c r="BF9" s="20" t="s">
        <v>14</v>
      </c>
      <c r="BG9" s="20">
        <v>7.1</v>
      </c>
      <c r="BH9" s="20">
        <v>8.83</v>
      </c>
      <c r="BK9" s="20">
        <v>4.0</v>
      </c>
      <c r="BL9" s="20" t="s">
        <v>14</v>
      </c>
      <c r="BM9" s="20">
        <v>267.9</v>
      </c>
      <c r="BN9" s="20">
        <v>104.77</v>
      </c>
      <c r="BW9" s="20">
        <v>-35.46</v>
      </c>
      <c r="BX9" s="20">
        <v>-36.68</v>
      </c>
      <c r="BZ9" s="20">
        <v>-51.53</v>
      </c>
      <c r="CA9" s="20">
        <v>124.24</v>
      </c>
      <c r="CI9" s="20">
        <v>-42.93</v>
      </c>
      <c r="CJ9" s="20">
        <v>-49.75</v>
      </c>
      <c r="CO9" s="20">
        <v>-20.98</v>
      </c>
      <c r="CP9" s="20">
        <v>-43.68</v>
      </c>
      <c r="CS9" s="34">
        <f>IFERROR(__xludf.DUMMYFUNCTION("""COMPUTED_VALUE"""),-23.15)</f>
        <v>-23.15</v>
      </c>
      <c r="CT9" s="34">
        <f>IFERROR(__xludf.DUMMYFUNCTION("""COMPUTED_VALUE"""),-22.34)</f>
        <v>-22.34</v>
      </c>
      <c r="DA9" s="16" t="s">
        <v>20</v>
      </c>
      <c r="DB9" s="20">
        <v>235.0</v>
      </c>
      <c r="DC9" s="20" t="s">
        <v>14</v>
      </c>
    </row>
    <row r="10">
      <c r="A10" s="20">
        <v>20.49</v>
      </c>
      <c r="B10" s="20">
        <v>-34.65</v>
      </c>
      <c r="D10" s="20"/>
      <c r="E10" s="20"/>
      <c r="F10" s="20">
        <v>23.98</v>
      </c>
      <c r="G10" s="20">
        <v>48.77</v>
      </c>
      <c r="I10" s="20"/>
      <c r="J10" s="20"/>
      <c r="K10" s="20">
        <v>4.0</v>
      </c>
      <c r="L10" s="20" t="s">
        <v>17</v>
      </c>
      <c r="M10" s="20">
        <v>-13.39</v>
      </c>
      <c r="N10" s="20">
        <v>70.31</v>
      </c>
      <c r="P10" s="20">
        <v>40.22</v>
      </c>
      <c r="Q10" s="20">
        <v>86.0</v>
      </c>
      <c r="AG10" s="20">
        <v>8.0</v>
      </c>
      <c r="AH10" s="20" t="s">
        <v>14</v>
      </c>
      <c r="AI10" s="20">
        <v>-30.22</v>
      </c>
      <c r="AJ10" s="20">
        <v>-28.06</v>
      </c>
      <c r="AM10" s="20">
        <v>4.0</v>
      </c>
      <c r="AN10" s="20" t="s">
        <v>17</v>
      </c>
      <c r="AO10" s="20">
        <v>-10.88</v>
      </c>
      <c r="AP10" s="20">
        <v>-7.72</v>
      </c>
      <c r="AS10" s="20">
        <v>4.0</v>
      </c>
      <c r="AT10" s="20" t="s">
        <v>17</v>
      </c>
      <c r="AU10" s="20">
        <v>-14.56</v>
      </c>
      <c r="AV10" s="20">
        <v>-71.25</v>
      </c>
      <c r="BE10" s="20">
        <v>8.0</v>
      </c>
      <c r="BF10" s="20" t="s">
        <v>14</v>
      </c>
      <c r="BG10" s="20">
        <v>29.21</v>
      </c>
      <c r="BH10" s="20">
        <v>29.67</v>
      </c>
      <c r="BK10" s="20">
        <v>4.0</v>
      </c>
      <c r="BL10" s="20" t="s">
        <v>17</v>
      </c>
      <c r="BM10" s="20">
        <v>288.88</v>
      </c>
      <c r="BN10" s="20">
        <v>98.49</v>
      </c>
      <c r="BW10" s="20">
        <v>-17.75</v>
      </c>
      <c r="BX10" s="20">
        <v>-13.77</v>
      </c>
      <c r="BZ10" s="20">
        <v>-58.33</v>
      </c>
      <c r="CA10" s="20">
        <v>-46.82</v>
      </c>
      <c r="CI10" s="20">
        <v>-41.38</v>
      </c>
      <c r="CJ10" s="20">
        <v>-57.15</v>
      </c>
      <c r="CO10" s="20">
        <v>-53.2</v>
      </c>
      <c r="CP10" s="20">
        <v>-45.93</v>
      </c>
      <c r="CS10" s="34">
        <f>IFERROR(__xludf.DUMMYFUNCTION("""COMPUTED_VALUE"""),-11.72)</f>
        <v>-11.72</v>
      </c>
      <c r="CT10" s="34">
        <f>IFERROR(__xludf.DUMMYFUNCTION("""COMPUTED_VALUE"""),-11.12)</f>
        <v>-11.12</v>
      </c>
      <c r="DA10" s="16" t="s">
        <v>21</v>
      </c>
      <c r="DB10" s="43">
        <v>193.0</v>
      </c>
      <c r="DC10" s="20" t="s">
        <v>14</v>
      </c>
    </row>
    <row r="11">
      <c r="A11" s="20">
        <v>-16.67</v>
      </c>
      <c r="B11" s="20">
        <v>136.28</v>
      </c>
      <c r="D11" s="20"/>
      <c r="E11" s="20"/>
      <c r="F11" s="20">
        <v>-0.33</v>
      </c>
      <c r="G11" s="20">
        <v>5.67</v>
      </c>
      <c r="I11" s="20"/>
      <c r="J11" s="20"/>
      <c r="K11" s="20">
        <v>5.0</v>
      </c>
      <c r="L11" s="20" t="s">
        <v>14</v>
      </c>
      <c r="M11" s="20">
        <v>-12.08</v>
      </c>
      <c r="N11" s="20">
        <v>-12.58</v>
      </c>
      <c r="P11" s="20">
        <v>-13.76</v>
      </c>
      <c r="Q11" s="20">
        <v>-4.48</v>
      </c>
      <c r="AG11" s="20">
        <v>9.0</v>
      </c>
      <c r="AH11" s="20" t="s">
        <v>14</v>
      </c>
      <c r="AI11" s="20">
        <v>-19.34</v>
      </c>
      <c r="AJ11" s="20">
        <v>-13.36</v>
      </c>
      <c r="AM11" s="20">
        <v>5.0</v>
      </c>
      <c r="AN11" s="20" t="s">
        <v>14</v>
      </c>
      <c r="AO11" s="20">
        <v>-25.09</v>
      </c>
      <c r="AP11" s="20">
        <v>-43.11</v>
      </c>
      <c r="AS11" s="20">
        <v>5.0</v>
      </c>
      <c r="AT11" s="20" t="s">
        <v>14</v>
      </c>
      <c r="AU11" s="20">
        <v>-44.89</v>
      </c>
      <c r="AV11" s="20">
        <v>-54.99</v>
      </c>
      <c r="BE11" s="20">
        <v>9.0</v>
      </c>
      <c r="BF11" s="20" t="s">
        <v>14</v>
      </c>
      <c r="BG11" s="20">
        <v>-19.33</v>
      </c>
      <c r="BH11" s="20">
        <v>41.37</v>
      </c>
      <c r="BK11" s="20">
        <v>5.0</v>
      </c>
      <c r="BL11" s="20" t="s">
        <v>14</v>
      </c>
      <c r="BM11" s="20">
        <v>-11.72</v>
      </c>
      <c r="BN11" s="20">
        <v>111.65</v>
      </c>
      <c r="BW11" s="20">
        <v>-63.67</v>
      </c>
      <c r="BX11" s="20">
        <v>-19.44</v>
      </c>
      <c r="BZ11" s="20">
        <v>-44.2</v>
      </c>
      <c r="CA11" s="20">
        <v>52.76</v>
      </c>
      <c r="CI11" s="20">
        <v>-50.09</v>
      </c>
      <c r="CJ11" s="20">
        <v>-64.14</v>
      </c>
      <c r="CO11" s="20">
        <v>-9.01</v>
      </c>
      <c r="CP11" s="20">
        <v>-41.94</v>
      </c>
      <c r="CS11" s="34">
        <f>IFERROR(__xludf.DUMMYFUNCTION("""COMPUTED_VALUE"""),-39.61)</f>
        <v>-39.61</v>
      </c>
      <c r="CT11" s="34">
        <f>IFERROR(__xludf.DUMMYFUNCTION("""COMPUTED_VALUE"""),9.37)</f>
        <v>9.37</v>
      </c>
    </row>
    <row r="12">
      <c r="A12" s="20">
        <v>-34.92</v>
      </c>
      <c r="B12" s="20">
        <v>13.63</v>
      </c>
      <c r="D12" s="20"/>
      <c r="E12" s="20"/>
      <c r="F12" s="20">
        <v>-47.03</v>
      </c>
      <c r="G12" s="20">
        <v>-3.62</v>
      </c>
      <c r="I12" s="20"/>
      <c r="J12" s="20"/>
      <c r="K12" s="20">
        <v>5.0</v>
      </c>
      <c r="L12" s="20" t="s">
        <v>17</v>
      </c>
      <c r="M12" s="20">
        <v>-49.85</v>
      </c>
      <c r="N12" s="20">
        <v>-10.14</v>
      </c>
      <c r="P12" s="20">
        <v>36.92</v>
      </c>
      <c r="Q12" s="20">
        <v>76.22</v>
      </c>
      <c r="AG12" s="20">
        <v>10.0</v>
      </c>
      <c r="AH12" s="20" t="s">
        <v>14</v>
      </c>
      <c r="AI12" s="20">
        <v>-25.21</v>
      </c>
      <c r="AJ12" s="20">
        <v>-3.1</v>
      </c>
      <c r="AM12" s="20">
        <v>5.0</v>
      </c>
      <c r="AN12" s="20" t="s">
        <v>17</v>
      </c>
      <c r="AO12" s="20">
        <v>77.52</v>
      </c>
      <c r="AP12" s="20">
        <v>2.66</v>
      </c>
      <c r="AS12" s="20">
        <v>5.0</v>
      </c>
      <c r="AT12" s="20" t="s">
        <v>17</v>
      </c>
      <c r="AU12" s="20">
        <v>-24.3</v>
      </c>
      <c r="AV12" s="20">
        <v>-35.6</v>
      </c>
      <c r="BE12" s="20">
        <v>10.0</v>
      </c>
      <c r="BF12" s="20" t="s">
        <v>14</v>
      </c>
      <c r="BG12" s="20">
        <v>5.33</v>
      </c>
      <c r="BH12" s="20">
        <v>14.96</v>
      </c>
      <c r="BK12" s="20">
        <v>5.0</v>
      </c>
      <c r="BL12" s="20" t="s">
        <v>17</v>
      </c>
      <c r="BM12" s="20">
        <v>119.24</v>
      </c>
      <c r="BN12" s="20">
        <v>41.11</v>
      </c>
      <c r="BW12" s="20">
        <v>-38.66</v>
      </c>
      <c r="BX12" s="20">
        <v>-29.49</v>
      </c>
      <c r="BZ12" s="20">
        <v>-38.55</v>
      </c>
      <c r="CA12" s="20">
        <v>79.32</v>
      </c>
      <c r="CI12" s="20">
        <v>-31.28</v>
      </c>
      <c r="CJ12" s="20">
        <v>-63.34</v>
      </c>
      <c r="CO12" s="20">
        <v>-19.7</v>
      </c>
      <c r="CP12" s="20">
        <v>11.42</v>
      </c>
      <c r="CS12" s="34">
        <f>IFERROR(__xludf.DUMMYFUNCTION("""COMPUTED_VALUE"""),52.65)</f>
        <v>52.65</v>
      </c>
      <c r="CT12" s="34">
        <f>IFERROR(__xludf.DUMMYFUNCTION("""COMPUTED_VALUE"""),-14.43)</f>
        <v>-14.43</v>
      </c>
    </row>
    <row r="13">
      <c r="A13" s="20">
        <v>-22.55</v>
      </c>
      <c r="B13" s="20">
        <v>41.32</v>
      </c>
      <c r="D13" s="20"/>
      <c r="E13" s="20"/>
      <c r="F13" s="20">
        <v>-48.51</v>
      </c>
      <c r="G13" s="20">
        <v>-12.85</v>
      </c>
      <c r="I13" s="20"/>
      <c r="J13" s="20"/>
      <c r="K13" s="20">
        <v>6.0</v>
      </c>
      <c r="L13" s="20" t="s">
        <v>14</v>
      </c>
      <c r="M13" s="20">
        <v>-36.6</v>
      </c>
      <c r="N13" s="20">
        <v>86.31</v>
      </c>
      <c r="P13" s="20">
        <v>-28.4</v>
      </c>
      <c r="Q13" s="20">
        <v>-19.59</v>
      </c>
      <c r="AG13" s="20">
        <v>11.0</v>
      </c>
      <c r="AH13" s="20" t="s">
        <v>14</v>
      </c>
      <c r="AI13" s="20">
        <v>10.16</v>
      </c>
      <c r="AJ13" s="20">
        <v>-4.5</v>
      </c>
      <c r="AM13" s="20">
        <v>6.0</v>
      </c>
      <c r="AN13" s="20" t="s">
        <v>14</v>
      </c>
      <c r="AO13" s="20">
        <v>-28.03</v>
      </c>
      <c r="AP13" s="20">
        <v>-29.49</v>
      </c>
      <c r="AS13" s="20">
        <v>6.0</v>
      </c>
      <c r="AT13" s="20" t="s">
        <v>14</v>
      </c>
      <c r="AU13" s="20">
        <v>-9.22</v>
      </c>
      <c r="AV13" s="20">
        <v>-64.28</v>
      </c>
      <c r="BE13" s="20">
        <v>11.0</v>
      </c>
      <c r="BF13" s="20" t="s">
        <v>14</v>
      </c>
      <c r="BG13" s="20">
        <v>35.02</v>
      </c>
      <c r="BH13" s="20">
        <v>-14.59</v>
      </c>
      <c r="BK13" s="20">
        <v>6.0</v>
      </c>
      <c r="BL13" s="20" t="s">
        <v>14</v>
      </c>
      <c r="BM13" s="20">
        <v>87.79</v>
      </c>
      <c r="BN13" s="20">
        <v>122.68</v>
      </c>
      <c r="BW13" s="20">
        <v>-42.29</v>
      </c>
      <c r="BX13" s="20">
        <v>-13.47</v>
      </c>
      <c r="BZ13" s="20">
        <v>-38.03</v>
      </c>
      <c r="CA13" s="20">
        <v>15.02</v>
      </c>
      <c r="CI13" s="20">
        <v>-52.72</v>
      </c>
      <c r="CJ13" s="20">
        <v>-55.97</v>
      </c>
      <c r="CO13" s="20">
        <v>-23.4</v>
      </c>
      <c r="CP13" s="20">
        <v>-59.05</v>
      </c>
      <c r="CS13" s="34">
        <f>IFERROR(__xludf.DUMMYFUNCTION("""COMPUTED_VALUE"""),0.82)</f>
        <v>0.82</v>
      </c>
      <c r="CT13" s="34">
        <f>IFERROR(__xludf.DUMMYFUNCTION("""COMPUTED_VALUE"""),-21.94)</f>
        <v>-21.94</v>
      </c>
    </row>
    <row r="14">
      <c r="A14" s="20">
        <v>-13.94</v>
      </c>
      <c r="B14" s="20">
        <v>65.97</v>
      </c>
      <c r="D14" s="20"/>
      <c r="E14" s="20"/>
      <c r="F14" s="20">
        <v>-39.79</v>
      </c>
      <c r="G14" s="20">
        <v>15.5</v>
      </c>
      <c r="I14" s="20"/>
      <c r="J14" s="20"/>
      <c r="K14" s="20">
        <v>6.0</v>
      </c>
      <c r="L14" s="20" t="s">
        <v>17</v>
      </c>
      <c r="M14" s="20">
        <v>3.99</v>
      </c>
      <c r="N14" s="20">
        <v>48.33</v>
      </c>
      <c r="P14" s="20">
        <v>-18.65</v>
      </c>
      <c r="Q14" s="20">
        <v>0.49</v>
      </c>
      <c r="AG14" s="20">
        <v>12.0</v>
      </c>
      <c r="AH14" s="20" t="s">
        <v>14</v>
      </c>
      <c r="AI14" s="20">
        <v>-1.03</v>
      </c>
      <c r="AJ14" s="20">
        <v>-4.69</v>
      </c>
      <c r="AM14" s="20">
        <v>6.0</v>
      </c>
      <c r="AN14" s="20" t="s">
        <v>17</v>
      </c>
      <c r="AO14" s="20">
        <v>-29.51</v>
      </c>
      <c r="AP14" s="20">
        <v>5.58</v>
      </c>
      <c r="AS14" s="20">
        <v>6.0</v>
      </c>
      <c r="AT14" s="20" t="s">
        <v>17</v>
      </c>
      <c r="AU14" s="20">
        <v>-2.93</v>
      </c>
      <c r="AV14" s="20">
        <v>0.15</v>
      </c>
      <c r="BE14" s="20">
        <v>12.0</v>
      </c>
      <c r="BF14" s="20" t="s">
        <v>14</v>
      </c>
      <c r="BG14" s="20">
        <v>29.39</v>
      </c>
      <c r="BH14" s="20">
        <v>30.59</v>
      </c>
      <c r="BK14" s="20">
        <v>6.0</v>
      </c>
      <c r="BL14" s="20" t="s">
        <v>17</v>
      </c>
      <c r="BM14" s="20">
        <v>44.0</v>
      </c>
      <c r="BN14" s="20">
        <v>60.15</v>
      </c>
      <c r="BW14" s="20">
        <v>-40.89</v>
      </c>
      <c r="BX14" s="20">
        <v>-9.29</v>
      </c>
      <c r="BZ14" s="20">
        <v>-35.79</v>
      </c>
      <c r="CA14" s="20">
        <v>99.48</v>
      </c>
      <c r="CI14" s="20">
        <v>-58.47</v>
      </c>
      <c r="CJ14" s="20">
        <v>-61.16</v>
      </c>
      <c r="CO14" s="20">
        <v>-45.05</v>
      </c>
      <c r="CP14" s="20">
        <v>-63.95</v>
      </c>
      <c r="CS14" s="34">
        <f>IFERROR(__xludf.DUMMYFUNCTION("""COMPUTED_VALUE"""),-23.59)</f>
        <v>-23.59</v>
      </c>
      <c r="CT14" s="34">
        <f>IFERROR(__xludf.DUMMYFUNCTION("""COMPUTED_VALUE"""),-13.13)</f>
        <v>-13.13</v>
      </c>
    </row>
    <row r="15">
      <c r="A15" s="20">
        <v>14.23</v>
      </c>
      <c r="B15" s="20">
        <v>10.45</v>
      </c>
      <c r="D15" s="20"/>
      <c r="E15" s="20"/>
      <c r="F15" s="20">
        <v>-24.59</v>
      </c>
      <c r="G15" s="20">
        <v>-2.34</v>
      </c>
      <c r="I15" s="20"/>
      <c r="J15" s="20"/>
      <c r="K15" s="20">
        <v>7.0</v>
      </c>
      <c r="L15" s="20" t="s">
        <v>14</v>
      </c>
      <c r="M15" s="20">
        <v>-13.35</v>
      </c>
      <c r="N15" s="20">
        <v>14.93</v>
      </c>
      <c r="P15" s="20">
        <v>-5.21</v>
      </c>
      <c r="Q15" s="20">
        <v>41.07</v>
      </c>
      <c r="AG15" s="20">
        <v>13.0</v>
      </c>
      <c r="AH15" s="20" t="s">
        <v>14</v>
      </c>
      <c r="AI15" s="20">
        <v>-29.11</v>
      </c>
      <c r="AJ15" s="20">
        <v>-22.19</v>
      </c>
      <c r="AM15" s="20">
        <v>7.0</v>
      </c>
      <c r="AN15" s="20" t="s">
        <v>14</v>
      </c>
      <c r="AO15" s="20">
        <v>-40.29</v>
      </c>
      <c r="AP15" s="20">
        <v>-54.76</v>
      </c>
      <c r="AS15" s="20">
        <v>7.0</v>
      </c>
      <c r="AT15" s="20" t="s">
        <v>14</v>
      </c>
      <c r="AU15" s="20">
        <v>-18.4</v>
      </c>
      <c r="AV15" s="20">
        <v>-29.38</v>
      </c>
      <c r="BE15" s="20">
        <v>13.0</v>
      </c>
      <c r="BF15" s="20" t="s">
        <v>14</v>
      </c>
      <c r="BG15" s="20">
        <v>92.88</v>
      </c>
      <c r="BH15" s="20">
        <v>17.01</v>
      </c>
      <c r="BK15" s="20">
        <v>7.0</v>
      </c>
      <c r="BL15" s="20" t="s">
        <v>14</v>
      </c>
      <c r="BM15" s="20">
        <v>27.61</v>
      </c>
      <c r="BN15" s="20">
        <v>153.77</v>
      </c>
      <c r="BW15" s="20">
        <v>-6.07</v>
      </c>
      <c r="BX15" s="20">
        <v>-44.89</v>
      </c>
      <c r="BZ15" s="20">
        <v>-47.55</v>
      </c>
      <c r="CA15" s="20">
        <v>110.12</v>
      </c>
      <c r="CI15" s="20">
        <v>-57.77</v>
      </c>
      <c r="CJ15" s="20">
        <v>-61.92</v>
      </c>
      <c r="CO15" s="20">
        <v>-2.96</v>
      </c>
      <c r="CP15" s="20">
        <v>-35.74</v>
      </c>
      <c r="CS15" s="34">
        <f>IFERROR(__xludf.DUMMYFUNCTION("""COMPUTED_VALUE"""),-20.04)</f>
        <v>-20.04</v>
      </c>
      <c r="CT15" s="34">
        <f>IFERROR(__xludf.DUMMYFUNCTION("""COMPUTED_VALUE"""),-21.82)</f>
        <v>-21.82</v>
      </c>
    </row>
    <row r="16">
      <c r="A16" s="20">
        <v>-11.96</v>
      </c>
      <c r="B16" s="20">
        <v>31.84</v>
      </c>
      <c r="D16" s="20"/>
      <c r="E16" s="20"/>
      <c r="F16" s="20">
        <v>-37.68</v>
      </c>
      <c r="G16" s="20">
        <v>-16.7</v>
      </c>
      <c r="I16" s="20"/>
      <c r="J16" s="20"/>
      <c r="K16" s="20">
        <v>7.0</v>
      </c>
      <c r="L16" s="20" t="s">
        <v>17</v>
      </c>
      <c r="M16" s="20">
        <v>-14.26</v>
      </c>
      <c r="N16" s="20">
        <v>-15.32</v>
      </c>
      <c r="P16" s="20">
        <v>28.41</v>
      </c>
      <c r="Q16" s="20">
        <v>77.81</v>
      </c>
      <c r="AG16" s="20">
        <v>14.0</v>
      </c>
      <c r="AH16" s="20" t="s">
        <v>14</v>
      </c>
      <c r="AI16" s="20">
        <v>-32.33</v>
      </c>
      <c r="AJ16" s="20">
        <v>-35.43</v>
      </c>
      <c r="AM16" s="20">
        <v>7.0</v>
      </c>
      <c r="AN16" s="20" t="s">
        <v>17</v>
      </c>
      <c r="AO16" s="20">
        <v>-27.96</v>
      </c>
      <c r="AP16" s="20">
        <v>35.46</v>
      </c>
      <c r="AS16" s="20">
        <v>7.0</v>
      </c>
      <c r="AT16" s="20" t="s">
        <v>17</v>
      </c>
      <c r="AU16" s="20">
        <v>-32.39</v>
      </c>
      <c r="AV16" s="20">
        <v>-31.41</v>
      </c>
      <c r="BE16" s="20">
        <v>14.0</v>
      </c>
      <c r="BF16" s="20" t="s">
        <v>14</v>
      </c>
      <c r="BG16" s="20">
        <v>-0.15</v>
      </c>
      <c r="BH16" s="20">
        <v>15.53</v>
      </c>
      <c r="BK16" s="20">
        <v>7.0</v>
      </c>
      <c r="BL16" s="20" t="s">
        <v>17</v>
      </c>
      <c r="BM16" s="20">
        <v>59.7</v>
      </c>
      <c r="BN16" s="20">
        <v>60.18</v>
      </c>
      <c r="BW16" s="20">
        <v>-46.17</v>
      </c>
      <c r="BX16" s="20">
        <v>-24.87</v>
      </c>
      <c r="BZ16" s="20">
        <v>-51.85</v>
      </c>
      <c r="CA16" s="20">
        <v>116.21</v>
      </c>
      <c r="CI16" s="20">
        <v>-52.41</v>
      </c>
      <c r="CJ16" s="20">
        <v>-68.03</v>
      </c>
      <c r="CO16" s="20">
        <v>-37.83</v>
      </c>
      <c r="CP16" s="20">
        <v>-51.31</v>
      </c>
      <c r="CS16" s="34">
        <f>IFERROR(__xludf.DUMMYFUNCTION("""COMPUTED_VALUE"""),-48.45)</f>
        <v>-48.45</v>
      </c>
      <c r="CT16" s="34">
        <f>IFERROR(__xludf.DUMMYFUNCTION("""COMPUTED_VALUE"""),-13.43)</f>
        <v>-13.43</v>
      </c>
    </row>
    <row r="17">
      <c r="A17" s="20">
        <v>2.35</v>
      </c>
      <c r="B17" s="20">
        <v>35.55</v>
      </c>
      <c r="D17" s="20"/>
      <c r="E17" s="20"/>
      <c r="F17" s="20">
        <v>-4.75</v>
      </c>
      <c r="G17" s="20">
        <v>13.88</v>
      </c>
      <c r="I17" s="20"/>
      <c r="J17" s="20"/>
      <c r="K17" s="20">
        <v>8.0</v>
      </c>
      <c r="L17" s="20" t="s">
        <v>14</v>
      </c>
      <c r="M17" s="20">
        <v>-36.85</v>
      </c>
      <c r="N17" s="20">
        <v>-18.7</v>
      </c>
      <c r="P17" s="20">
        <v>-14.29</v>
      </c>
      <c r="Q17" s="20">
        <v>46.22</v>
      </c>
      <c r="AG17" s="20">
        <v>15.0</v>
      </c>
      <c r="AH17" s="20" t="s">
        <v>14</v>
      </c>
      <c r="AI17" s="20">
        <v>-3.53</v>
      </c>
      <c r="AJ17" s="20">
        <v>-23.69</v>
      </c>
      <c r="AM17" s="20">
        <v>8.0</v>
      </c>
      <c r="AN17" s="20" t="s">
        <v>14</v>
      </c>
      <c r="AO17" s="20">
        <v>38.8</v>
      </c>
      <c r="AP17" s="20">
        <v>-45.81</v>
      </c>
      <c r="AS17" s="20">
        <v>8.0</v>
      </c>
      <c r="AT17" s="20" t="s">
        <v>14</v>
      </c>
      <c r="AU17" s="20">
        <v>-9.51</v>
      </c>
      <c r="AV17" s="20">
        <v>-49.6</v>
      </c>
      <c r="BE17" s="20">
        <v>15.0</v>
      </c>
      <c r="BF17" s="20" t="s">
        <v>14</v>
      </c>
      <c r="BG17" s="20">
        <v>6.14</v>
      </c>
      <c r="BH17" s="20">
        <v>-10.08</v>
      </c>
      <c r="BK17" s="20">
        <v>8.0</v>
      </c>
      <c r="BL17" s="20" t="s">
        <v>14</v>
      </c>
      <c r="BM17" s="20">
        <v>43.17</v>
      </c>
      <c r="BN17" s="20">
        <v>116.09</v>
      </c>
      <c r="BW17" s="20">
        <v>-38.33</v>
      </c>
      <c r="BX17" s="20">
        <v>-6.76</v>
      </c>
      <c r="BZ17" s="20">
        <v>-48.31</v>
      </c>
      <c r="CA17" s="20">
        <v>30.54</v>
      </c>
      <c r="CI17" s="20">
        <v>-39.1</v>
      </c>
      <c r="CJ17" s="20">
        <v>-63.29</v>
      </c>
      <c r="CO17" s="20">
        <v>-22.45</v>
      </c>
      <c r="CP17" s="20">
        <v>-56.12</v>
      </c>
      <c r="CS17" s="34">
        <f>IFERROR(__xludf.DUMMYFUNCTION("""COMPUTED_VALUE"""),-23.15)</f>
        <v>-23.15</v>
      </c>
      <c r="CT17" s="34">
        <f>IFERROR(__xludf.DUMMYFUNCTION("""COMPUTED_VALUE"""),-22.17)</f>
        <v>-22.17</v>
      </c>
    </row>
    <row r="18">
      <c r="A18" s="20">
        <v>-19.28</v>
      </c>
      <c r="B18" s="20">
        <v>79.97</v>
      </c>
      <c r="D18" s="20"/>
      <c r="E18" s="20"/>
      <c r="F18" s="20">
        <v>-4.97</v>
      </c>
      <c r="G18" s="20">
        <v>9.18</v>
      </c>
      <c r="I18" s="20"/>
      <c r="J18" s="20"/>
      <c r="K18" s="20">
        <v>8.0</v>
      </c>
      <c r="L18" s="20" t="s">
        <v>17</v>
      </c>
      <c r="M18" s="20">
        <v>-44.04</v>
      </c>
      <c r="N18" s="20">
        <v>14.26</v>
      </c>
      <c r="P18" s="20">
        <v>16.72</v>
      </c>
      <c r="Q18" s="20">
        <v>50.79</v>
      </c>
      <c r="AG18" s="20">
        <v>16.0</v>
      </c>
      <c r="AH18" s="20" t="s">
        <v>14</v>
      </c>
      <c r="AI18" s="20">
        <v>-17.93</v>
      </c>
      <c r="AJ18" s="20">
        <v>-14.22</v>
      </c>
      <c r="AM18" s="20">
        <v>8.0</v>
      </c>
      <c r="AN18" s="20" t="s">
        <v>17</v>
      </c>
      <c r="AO18" s="20">
        <v>107.22</v>
      </c>
      <c r="AP18" s="20">
        <v>-19.29</v>
      </c>
      <c r="AS18" s="20">
        <v>8.0</v>
      </c>
      <c r="AT18" s="20" t="s">
        <v>17</v>
      </c>
      <c r="AU18" s="20">
        <v>12.9</v>
      </c>
      <c r="AV18" s="20">
        <v>-48.17</v>
      </c>
      <c r="BE18" s="20">
        <v>16.0</v>
      </c>
      <c r="BF18" s="20" t="s">
        <v>14</v>
      </c>
      <c r="BG18" s="20">
        <v>39.35</v>
      </c>
      <c r="BH18" s="20">
        <v>16.95</v>
      </c>
      <c r="BK18" s="20">
        <v>8.0</v>
      </c>
      <c r="BL18" s="20" t="s">
        <v>17</v>
      </c>
      <c r="BM18" s="20">
        <v>-30.74</v>
      </c>
      <c r="BN18" s="20">
        <v>139.27</v>
      </c>
      <c r="BW18" s="20">
        <v>-50.06</v>
      </c>
      <c r="BX18" s="20">
        <v>-15.05</v>
      </c>
      <c r="BZ18" s="20">
        <v>-38.12</v>
      </c>
      <c r="CA18" s="20">
        <v>-36.68</v>
      </c>
      <c r="CI18" s="20">
        <v>-47.66</v>
      </c>
      <c r="CJ18" s="20">
        <v>-50.61</v>
      </c>
      <c r="CO18" s="20">
        <v>-23.6</v>
      </c>
      <c r="CP18" s="20">
        <v>-41.12</v>
      </c>
      <c r="CS18" s="34">
        <f>IFERROR(__xludf.DUMMYFUNCTION("""COMPUTED_VALUE"""),-30.13)</f>
        <v>-30.13</v>
      </c>
      <c r="CT18" s="34">
        <f>IFERROR(__xludf.DUMMYFUNCTION("""COMPUTED_VALUE"""),-13.22)</f>
        <v>-13.22</v>
      </c>
    </row>
    <row r="19">
      <c r="A19" s="20">
        <v>-38.83</v>
      </c>
      <c r="B19" s="20">
        <v>45.45</v>
      </c>
      <c r="D19" s="20"/>
      <c r="E19" s="20"/>
      <c r="F19" s="20">
        <v>-7.77</v>
      </c>
      <c r="G19" s="20">
        <v>-51.14</v>
      </c>
      <c r="I19" s="20"/>
      <c r="J19" s="20"/>
      <c r="K19" s="20">
        <v>9.0</v>
      </c>
      <c r="L19" s="20" t="s">
        <v>14</v>
      </c>
      <c r="M19" s="20">
        <v>19.93</v>
      </c>
      <c r="N19" s="20">
        <v>18.13</v>
      </c>
      <c r="P19" s="20">
        <v>45.43</v>
      </c>
      <c r="Q19" s="20">
        <v>40.2</v>
      </c>
      <c r="AG19" s="20">
        <v>17.0</v>
      </c>
      <c r="AH19" s="20" t="s">
        <v>14</v>
      </c>
      <c r="AI19" s="20">
        <v>-5.1</v>
      </c>
      <c r="AJ19" s="20">
        <v>-13.91</v>
      </c>
      <c r="AM19" s="20">
        <v>9.0</v>
      </c>
      <c r="AN19" s="20" t="s">
        <v>14</v>
      </c>
      <c r="AO19" s="20">
        <v>-19.68</v>
      </c>
      <c r="AP19" s="20">
        <v>-32.95</v>
      </c>
      <c r="AS19" s="20">
        <v>9.0</v>
      </c>
      <c r="AT19" s="20" t="s">
        <v>14</v>
      </c>
      <c r="AU19" s="20">
        <v>-1.19</v>
      </c>
      <c r="AV19" s="20">
        <v>-32.73</v>
      </c>
      <c r="BE19" s="20">
        <v>17.0</v>
      </c>
      <c r="BF19" s="20" t="s">
        <v>14</v>
      </c>
      <c r="BG19" s="20">
        <v>-19.81</v>
      </c>
      <c r="BH19" s="20">
        <v>22.07</v>
      </c>
      <c r="BK19" s="20">
        <v>9.0</v>
      </c>
      <c r="BL19" s="20" t="s">
        <v>14</v>
      </c>
      <c r="BM19" s="20">
        <v>38.66</v>
      </c>
      <c r="BN19" s="20">
        <v>66.67</v>
      </c>
      <c r="BW19" s="20">
        <v>-54.61</v>
      </c>
      <c r="BX19" s="20">
        <v>-21.6</v>
      </c>
      <c r="BZ19" s="20">
        <v>-16.74</v>
      </c>
      <c r="CA19" s="20">
        <v>36.81</v>
      </c>
      <c r="CI19" s="20">
        <v>-49.77</v>
      </c>
      <c r="CJ19" s="20">
        <v>-48.0</v>
      </c>
      <c r="CO19" s="20">
        <v>-21.73</v>
      </c>
      <c r="CP19" s="20">
        <v>-66.69</v>
      </c>
      <c r="CS19" s="34">
        <f>IFERROR(__xludf.DUMMYFUNCTION("""COMPUTED_VALUE"""),97.51)</f>
        <v>97.51</v>
      </c>
      <c r="CT19" s="34">
        <f>IFERROR(__xludf.DUMMYFUNCTION("""COMPUTED_VALUE"""),126.91)</f>
        <v>126.91</v>
      </c>
    </row>
    <row r="20">
      <c r="A20" s="20">
        <v>-54.74</v>
      </c>
      <c r="B20" s="20">
        <v>46.02</v>
      </c>
      <c r="D20" s="20"/>
      <c r="E20" s="20"/>
      <c r="F20" s="20">
        <v>-32.33</v>
      </c>
      <c r="G20" s="20">
        <v>-29.0</v>
      </c>
      <c r="I20" s="20"/>
      <c r="J20" s="20"/>
      <c r="K20" s="20">
        <v>9.0</v>
      </c>
      <c r="L20" s="20" t="s">
        <v>17</v>
      </c>
      <c r="M20" s="20">
        <v>-38.04</v>
      </c>
      <c r="N20" s="20">
        <v>-51.61</v>
      </c>
      <c r="P20" s="20">
        <v>-21.31</v>
      </c>
      <c r="Q20" s="20">
        <v>49.47</v>
      </c>
      <c r="AG20" s="20">
        <v>18.0</v>
      </c>
      <c r="AH20" s="20" t="s">
        <v>14</v>
      </c>
      <c r="AI20" s="20">
        <v>-23.39</v>
      </c>
      <c r="AJ20" s="20">
        <v>-36.03</v>
      </c>
      <c r="AM20" s="20">
        <v>9.0</v>
      </c>
      <c r="AN20" s="20" t="s">
        <v>17</v>
      </c>
      <c r="AO20" s="20">
        <v>-50.28</v>
      </c>
      <c r="AP20" s="20">
        <v>-16.43</v>
      </c>
      <c r="AS20" s="20">
        <v>9.0</v>
      </c>
      <c r="AT20" s="20" t="s">
        <v>17</v>
      </c>
      <c r="AU20" s="20">
        <v>-4.02</v>
      </c>
      <c r="AV20" s="20">
        <v>-31.48</v>
      </c>
      <c r="BE20" s="20">
        <v>18.0</v>
      </c>
      <c r="BF20" s="20" t="s">
        <v>14</v>
      </c>
      <c r="BG20" s="20">
        <v>31.97</v>
      </c>
      <c r="BH20" s="20">
        <v>17.57</v>
      </c>
      <c r="BK20" s="20">
        <v>9.0</v>
      </c>
      <c r="BL20" s="20" t="s">
        <v>17</v>
      </c>
      <c r="BM20" s="20">
        <v>89.81</v>
      </c>
      <c r="BN20" s="20">
        <v>143.49</v>
      </c>
      <c r="BW20" s="20">
        <v>-58.77</v>
      </c>
      <c r="BX20" s="20">
        <v>-36.05</v>
      </c>
      <c r="BZ20" s="20">
        <v>-44.94</v>
      </c>
      <c r="CA20" s="20">
        <v>119.97</v>
      </c>
      <c r="CI20" s="20">
        <v>-51.66</v>
      </c>
      <c r="CJ20" s="20">
        <v>-40.65</v>
      </c>
      <c r="CO20" s="20">
        <v>2.64</v>
      </c>
      <c r="CP20" s="20">
        <v>-58.92</v>
      </c>
      <c r="CS20" s="34">
        <f>IFERROR(__xludf.DUMMYFUNCTION("""COMPUTED_VALUE"""),38.96)</f>
        <v>38.96</v>
      </c>
      <c r="CT20" s="34">
        <f>IFERROR(__xludf.DUMMYFUNCTION("""COMPUTED_VALUE"""),179.17)</f>
        <v>179.17</v>
      </c>
    </row>
    <row r="21">
      <c r="A21" s="20">
        <v>-2.16</v>
      </c>
      <c r="B21" s="20">
        <v>180.21</v>
      </c>
      <c r="D21" s="20"/>
      <c r="E21" s="20"/>
      <c r="F21" s="20">
        <v>29.72</v>
      </c>
      <c r="G21" s="20">
        <v>1.25</v>
      </c>
      <c r="I21" s="20"/>
      <c r="J21" s="20"/>
      <c r="K21" s="20">
        <v>10.0</v>
      </c>
      <c r="L21" s="20" t="s">
        <v>14</v>
      </c>
      <c r="M21" s="20">
        <v>-24.16</v>
      </c>
      <c r="N21" s="20">
        <v>-8.71</v>
      </c>
      <c r="P21" s="20">
        <v>4.81</v>
      </c>
      <c r="Q21" s="20">
        <v>37.86</v>
      </c>
      <c r="AG21" s="20">
        <v>19.0</v>
      </c>
      <c r="AH21" s="20" t="s">
        <v>14</v>
      </c>
      <c r="AI21" s="20">
        <v>-20.84</v>
      </c>
      <c r="AJ21" s="20">
        <v>-26.63</v>
      </c>
      <c r="AM21" s="20">
        <v>10.0</v>
      </c>
      <c r="AN21" s="20" t="s">
        <v>14</v>
      </c>
      <c r="AO21" s="20">
        <v>-29.25</v>
      </c>
      <c r="AP21" s="20">
        <v>-29.56</v>
      </c>
      <c r="AS21" s="20">
        <v>10.0</v>
      </c>
      <c r="AT21" s="20" t="s">
        <v>14</v>
      </c>
      <c r="AU21" s="20">
        <v>-8.26</v>
      </c>
      <c r="AV21" s="20">
        <v>-19.19</v>
      </c>
      <c r="BE21" s="20">
        <v>19.0</v>
      </c>
      <c r="BF21" s="20" t="s">
        <v>14</v>
      </c>
      <c r="BG21" s="20">
        <v>25.67</v>
      </c>
      <c r="BH21" s="20">
        <v>42.07</v>
      </c>
      <c r="BK21" s="20">
        <v>10.0</v>
      </c>
      <c r="BL21" s="20" t="s">
        <v>14</v>
      </c>
      <c r="BM21" s="20">
        <v>69.9</v>
      </c>
      <c r="BN21" s="20">
        <v>152.78</v>
      </c>
      <c r="BW21" s="20">
        <v>-20.36</v>
      </c>
      <c r="BX21" s="20">
        <v>-21.54</v>
      </c>
      <c r="BZ21" s="20">
        <v>-23.3</v>
      </c>
      <c r="CA21" s="20">
        <v>58.68</v>
      </c>
      <c r="CI21" s="20">
        <v>-49.03</v>
      </c>
      <c r="CJ21" s="20">
        <v>-66.54</v>
      </c>
      <c r="CO21" s="20">
        <v>-26.33</v>
      </c>
      <c r="CP21" s="20">
        <v>-33.62</v>
      </c>
      <c r="CS21" s="34">
        <f>IFERROR(__xludf.DUMMYFUNCTION("""COMPUTED_VALUE"""),25.1)</f>
        <v>25.1</v>
      </c>
      <c r="CT21" s="34">
        <f>IFERROR(__xludf.DUMMYFUNCTION("""COMPUTED_VALUE"""),41.6)</f>
        <v>41.6</v>
      </c>
    </row>
    <row r="22">
      <c r="A22" s="20">
        <v>-44.11</v>
      </c>
      <c r="B22" s="20">
        <v>-10.7</v>
      </c>
      <c r="D22" s="20"/>
      <c r="E22" s="20"/>
      <c r="F22" s="20">
        <v>-13.13</v>
      </c>
      <c r="G22" s="20">
        <v>-18.22</v>
      </c>
      <c r="I22" s="20"/>
      <c r="J22" s="20"/>
      <c r="K22" s="20">
        <v>10.0</v>
      </c>
      <c r="L22" s="20" t="s">
        <v>17</v>
      </c>
      <c r="M22" s="20">
        <v>-25.1</v>
      </c>
      <c r="N22" s="20">
        <v>0.94</v>
      </c>
      <c r="P22" s="20">
        <v>-18.42</v>
      </c>
      <c r="Q22" s="20">
        <v>39.88</v>
      </c>
      <c r="AG22" s="20">
        <v>20.0</v>
      </c>
      <c r="AH22" s="20" t="s">
        <v>14</v>
      </c>
      <c r="AI22" s="20">
        <v>-27.76</v>
      </c>
      <c r="AJ22" s="20">
        <v>-21.5</v>
      </c>
      <c r="AM22" s="20">
        <v>10.0</v>
      </c>
      <c r="AN22" s="20" t="s">
        <v>17</v>
      </c>
      <c r="AO22" s="20">
        <v>-1.28</v>
      </c>
      <c r="AP22" s="20">
        <v>11.65</v>
      </c>
      <c r="AS22" s="20">
        <v>10.0</v>
      </c>
      <c r="AT22" s="20" t="s">
        <v>17</v>
      </c>
      <c r="AU22" s="20">
        <v>-25.6</v>
      </c>
      <c r="AV22" s="20">
        <v>-4.08</v>
      </c>
      <c r="BE22" s="20">
        <v>20.0</v>
      </c>
      <c r="BF22" s="20" t="s">
        <v>14</v>
      </c>
      <c r="BG22" s="20">
        <v>-5.68</v>
      </c>
      <c r="BH22" s="20">
        <v>15.1</v>
      </c>
      <c r="BK22" s="20">
        <v>10.0</v>
      </c>
      <c r="BL22" s="20" t="s">
        <v>17</v>
      </c>
      <c r="BM22" s="20">
        <v>142.61</v>
      </c>
      <c r="BN22" s="20">
        <v>123.9</v>
      </c>
      <c r="BW22" s="20">
        <v>-19.21</v>
      </c>
      <c r="BX22" s="20">
        <v>-35.34</v>
      </c>
      <c r="BZ22" s="20">
        <v>-9.37</v>
      </c>
      <c r="CA22" s="20">
        <v>96.55</v>
      </c>
      <c r="CI22" s="20">
        <v>-28.28</v>
      </c>
      <c r="CJ22" s="20">
        <v>-51.92</v>
      </c>
      <c r="CO22" s="20">
        <v>-43.16</v>
      </c>
      <c r="CP22" s="20">
        <v>-64.98</v>
      </c>
      <c r="CS22" s="34">
        <f>IFERROR(__xludf.DUMMYFUNCTION("""COMPUTED_VALUE"""),1.72)</f>
        <v>1.72</v>
      </c>
      <c r="CT22" s="34">
        <f>IFERROR(__xludf.DUMMYFUNCTION("""COMPUTED_VALUE"""),-16.22)</f>
        <v>-16.22</v>
      </c>
    </row>
    <row r="23">
      <c r="A23" s="20">
        <v>-23.61</v>
      </c>
      <c r="B23" s="20">
        <v>0.05</v>
      </c>
      <c r="D23" s="20"/>
      <c r="E23" s="20"/>
      <c r="F23" s="20">
        <v>17.67</v>
      </c>
      <c r="G23" s="20">
        <v>21.12</v>
      </c>
      <c r="I23" s="20"/>
      <c r="J23" s="20"/>
      <c r="K23" s="20">
        <v>11.0</v>
      </c>
      <c r="L23" s="20" t="s">
        <v>14</v>
      </c>
      <c r="M23" s="20">
        <v>-13.67</v>
      </c>
      <c r="N23" s="20">
        <v>10.74</v>
      </c>
      <c r="P23" s="20">
        <v>-21.99</v>
      </c>
      <c r="Q23" s="20">
        <v>1.85</v>
      </c>
      <c r="AG23" s="20">
        <v>21.0</v>
      </c>
      <c r="AH23" s="20" t="s">
        <v>14</v>
      </c>
      <c r="AI23" s="20">
        <v>-26.87</v>
      </c>
      <c r="AJ23" s="20">
        <v>-7.64</v>
      </c>
      <c r="AM23" s="20">
        <v>11.0</v>
      </c>
      <c r="AN23" s="20" t="s">
        <v>14</v>
      </c>
      <c r="AO23" s="20">
        <v>24.15</v>
      </c>
      <c r="AP23" s="20">
        <v>-42.58</v>
      </c>
      <c r="AS23" s="20">
        <v>11.0</v>
      </c>
      <c r="AT23" s="20" t="s">
        <v>14</v>
      </c>
      <c r="AU23" s="20">
        <v>-2.53</v>
      </c>
      <c r="AV23" s="20">
        <v>-59.06</v>
      </c>
      <c r="BE23" s="20">
        <v>21.0</v>
      </c>
      <c r="BF23" s="20" t="s">
        <v>14</v>
      </c>
      <c r="BG23" s="20">
        <v>1.04</v>
      </c>
      <c r="BH23" s="20">
        <v>20.31</v>
      </c>
      <c r="BK23" s="20">
        <v>11.0</v>
      </c>
      <c r="BL23" s="20" t="s">
        <v>14</v>
      </c>
      <c r="BM23" s="20">
        <v>35.08</v>
      </c>
      <c r="BN23" s="20">
        <v>52.1</v>
      </c>
      <c r="BW23" s="20">
        <v>-53.82</v>
      </c>
      <c r="BX23" s="20">
        <v>-32.86</v>
      </c>
      <c r="BZ23" s="20">
        <v>-62.73</v>
      </c>
      <c r="CA23" s="20">
        <v>128.77</v>
      </c>
      <c r="CI23" s="20">
        <v>-41.28</v>
      </c>
      <c r="CJ23" s="20">
        <v>-47.59</v>
      </c>
      <c r="CO23" s="20">
        <v>-39.13</v>
      </c>
      <c r="CP23" s="20">
        <v>-58.32</v>
      </c>
      <c r="CS23" s="34">
        <f>IFERROR(__xludf.DUMMYFUNCTION("""COMPUTED_VALUE"""),62.49)</f>
        <v>62.49</v>
      </c>
      <c r="CT23" s="34">
        <f>IFERROR(__xludf.DUMMYFUNCTION("""COMPUTED_VALUE"""),-14.37)</f>
        <v>-14.37</v>
      </c>
    </row>
    <row r="24">
      <c r="A24" s="20">
        <v>18.53</v>
      </c>
      <c r="B24" s="20">
        <v>0.69</v>
      </c>
      <c r="D24" s="20"/>
      <c r="E24" s="20"/>
      <c r="F24" s="20">
        <v>-16.18</v>
      </c>
      <c r="G24" s="20">
        <v>38.56</v>
      </c>
      <c r="I24" s="20"/>
      <c r="J24" s="20"/>
      <c r="K24" s="20">
        <v>11.0</v>
      </c>
      <c r="L24" s="20" t="s">
        <v>17</v>
      </c>
      <c r="M24" s="20">
        <v>2.7</v>
      </c>
      <c r="N24" s="20">
        <v>54.33</v>
      </c>
      <c r="P24" s="20">
        <v>-23.61</v>
      </c>
      <c r="Q24" s="20">
        <v>15.36</v>
      </c>
      <c r="AG24" s="20">
        <v>22.0</v>
      </c>
      <c r="AH24" s="20" t="s">
        <v>14</v>
      </c>
      <c r="AI24" s="20">
        <v>-28.02</v>
      </c>
      <c r="AJ24" s="20">
        <v>-34.42</v>
      </c>
      <c r="AM24" s="20">
        <v>11.0</v>
      </c>
      <c r="AN24" s="20" t="s">
        <v>17</v>
      </c>
      <c r="AO24" s="20">
        <v>-31.84</v>
      </c>
      <c r="AP24" s="20">
        <v>-16.7</v>
      </c>
      <c r="AS24" s="20">
        <v>11.0</v>
      </c>
      <c r="AT24" s="20" t="s">
        <v>17</v>
      </c>
      <c r="AU24" s="20">
        <v>-55.72</v>
      </c>
      <c r="AV24" s="20">
        <v>-42.14</v>
      </c>
      <c r="BE24" s="20">
        <v>22.0</v>
      </c>
      <c r="BF24" s="20" t="s">
        <v>14</v>
      </c>
      <c r="BG24" s="20">
        <v>27.26</v>
      </c>
      <c r="BH24" s="20">
        <v>30.2</v>
      </c>
      <c r="BK24" s="20">
        <v>11.0</v>
      </c>
      <c r="BL24" s="20" t="s">
        <v>17</v>
      </c>
      <c r="BM24" s="20">
        <v>17.79</v>
      </c>
      <c r="BN24" s="20">
        <v>-45.66</v>
      </c>
      <c r="BW24" s="20">
        <v>-36.65</v>
      </c>
      <c r="BX24" s="20">
        <v>-11.96</v>
      </c>
      <c r="BZ24" s="20">
        <v>-62.49</v>
      </c>
      <c r="CA24" s="20">
        <v>61.32</v>
      </c>
      <c r="CI24" s="20">
        <v>-35.57</v>
      </c>
      <c r="CJ24" s="20">
        <v>-24.8</v>
      </c>
      <c r="CO24" s="20">
        <v>-18.5</v>
      </c>
      <c r="CP24" s="20">
        <v>-29.65</v>
      </c>
      <c r="CS24" s="34">
        <f>IFERROR(__xludf.DUMMYFUNCTION("""COMPUTED_VALUE"""),4.65)</f>
        <v>4.65</v>
      </c>
      <c r="CT24" s="34">
        <f>IFERROR(__xludf.DUMMYFUNCTION("""COMPUTED_VALUE"""),-19.09)</f>
        <v>-19.09</v>
      </c>
    </row>
    <row r="25">
      <c r="A25" s="20">
        <v>-39.26</v>
      </c>
      <c r="B25" s="20">
        <v>30.0</v>
      </c>
      <c r="D25" s="20"/>
      <c r="E25" s="20"/>
      <c r="F25" s="20">
        <v>-42.03</v>
      </c>
      <c r="G25" s="20">
        <v>12.19</v>
      </c>
      <c r="I25" s="20"/>
      <c r="J25" s="20"/>
      <c r="K25" s="20">
        <v>12.0</v>
      </c>
      <c r="L25" s="20" t="s">
        <v>14</v>
      </c>
      <c r="M25" s="20">
        <v>-20.77</v>
      </c>
      <c r="N25" s="20">
        <v>-24.63</v>
      </c>
      <c r="P25" s="20">
        <v>-22.76</v>
      </c>
      <c r="Q25" s="20">
        <v>-14.93</v>
      </c>
      <c r="AG25" s="20">
        <v>23.0</v>
      </c>
      <c r="AH25" s="20" t="s">
        <v>14</v>
      </c>
      <c r="AI25" s="20">
        <v>10.39</v>
      </c>
      <c r="AJ25" s="20">
        <v>-4.61</v>
      </c>
      <c r="AM25" s="20">
        <v>12.0</v>
      </c>
      <c r="AN25" s="20" t="s">
        <v>14</v>
      </c>
      <c r="AO25" s="20">
        <v>-37.09</v>
      </c>
      <c r="AP25" s="20">
        <v>-34.67</v>
      </c>
      <c r="AS25" s="20">
        <v>12.0</v>
      </c>
      <c r="AT25" s="20" t="s">
        <v>14</v>
      </c>
      <c r="AU25" s="20">
        <v>-15.71</v>
      </c>
      <c r="AV25" s="20">
        <v>-34.18</v>
      </c>
      <c r="BE25" s="20">
        <v>23.0</v>
      </c>
      <c r="BF25" s="20" t="s">
        <v>14</v>
      </c>
      <c r="BG25" s="20">
        <v>22.4</v>
      </c>
      <c r="BH25" s="20">
        <v>5.25</v>
      </c>
      <c r="BK25" s="20">
        <v>12.0</v>
      </c>
      <c r="BL25" s="20" t="s">
        <v>14</v>
      </c>
      <c r="BM25" s="20">
        <v>86.41</v>
      </c>
      <c r="BN25" s="20">
        <v>95.28</v>
      </c>
      <c r="BW25" s="20">
        <v>-39.32</v>
      </c>
      <c r="BX25" s="20">
        <v>-42.25</v>
      </c>
      <c r="BZ25" s="20">
        <v>-57.95</v>
      </c>
      <c r="CA25" s="20">
        <v>42.93</v>
      </c>
      <c r="CI25" s="20">
        <v>-48.7</v>
      </c>
      <c r="CJ25" s="20">
        <v>-55.46</v>
      </c>
      <c r="CO25" s="20">
        <v>-37.07</v>
      </c>
      <c r="CP25" s="20">
        <v>-60.62</v>
      </c>
      <c r="CS25" s="34">
        <f>IFERROR(__xludf.DUMMYFUNCTION("""COMPUTED_VALUE"""),-21.33)</f>
        <v>-21.33</v>
      </c>
      <c r="CT25" s="34">
        <f>IFERROR(__xludf.DUMMYFUNCTION("""COMPUTED_VALUE"""),-16.95)</f>
        <v>-16.95</v>
      </c>
    </row>
    <row r="26">
      <c r="A26" s="20">
        <v>-24.55</v>
      </c>
      <c r="B26" s="20">
        <v>-18.15</v>
      </c>
      <c r="D26" s="20"/>
      <c r="E26" s="20"/>
      <c r="F26" s="20">
        <v>-45.04</v>
      </c>
      <c r="G26" s="20">
        <v>-19.16</v>
      </c>
      <c r="I26" s="20"/>
      <c r="J26" s="20"/>
      <c r="K26" s="20">
        <v>12.0</v>
      </c>
      <c r="L26" s="20" t="s">
        <v>17</v>
      </c>
      <c r="M26" s="20">
        <v>-19.71</v>
      </c>
      <c r="N26" s="20">
        <v>91.33</v>
      </c>
      <c r="P26" s="20">
        <v>-25.58</v>
      </c>
      <c r="Q26" s="20">
        <v>22.7</v>
      </c>
      <c r="AG26" s="20">
        <v>24.0</v>
      </c>
      <c r="AH26" s="20" t="s">
        <v>14</v>
      </c>
      <c r="AI26" s="20">
        <v>11.59</v>
      </c>
      <c r="AJ26" s="20">
        <v>-5.98</v>
      </c>
      <c r="AM26" s="20">
        <v>12.0</v>
      </c>
      <c r="AN26" s="20" t="s">
        <v>17</v>
      </c>
      <c r="AO26" s="20">
        <v>-48.82</v>
      </c>
      <c r="AP26" s="20">
        <v>-43.58</v>
      </c>
      <c r="AS26" s="20">
        <v>12.0</v>
      </c>
      <c r="AT26" s="20" t="s">
        <v>17</v>
      </c>
      <c r="AU26" s="20">
        <v>-46.44</v>
      </c>
      <c r="AV26" s="20">
        <v>-49.23</v>
      </c>
      <c r="BE26" s="20">
        <v>24.0</v>
      </c>
      <c r="BF26" s="20" t="s">
        <v>14</v>
      </c>
      <c r="BG26" s="20">
        <v>15.42</v>
      </c>
      <c r="BH26" s="20">
        <v>-7.9</v>
      </c>
      <c r="BK26" s="20">
        <v>12.0</v>
      </c>
      <c r="BL26" s="20" t="s">
        <v>17</v>
      </c>
      <c r="BM26" s="20">
        <v>162.91</v>
      </c>
      <c r="BN26" s="20">
        <v>57.0</v>
      </c>
      <c r="BW26" s="20">
        <v>-55.37</v>
      </c>
      <c r="BX26" s="20">
        <v>-47.19</v>
      </c>
      <c r="BZ26" s="20">
        <v>-42.09</v>
      </c>
      <c r="CA26" s="20">
        <v>35.4</v>
      </c>
      <c r="CI26" s="20">
        <v>-56.39</v>
      </c>
      <c r="CJ26" s="20">
        <v>-55.53</v>
      </c>
      <c r="CO26" s="20">
        <v>-39.65</v>
      </c>
      <c r="CP26" s="20">
        <v>-28.8</v>
      </c>
      <c r="CS26" s="34">
        <f>IFERROR(__xludf.DUMMYFUNCTION("""COMPUTED_VALUE"""),-16.05)</f>
        <v>-16.05</v>
      </c>
      <c r="CT26" s="34">
        <f>IFERROR(__xludf.DUMMYFUNCTION("""COMPUTED_VALUE"""),-5.0)</f>
        <v>-5</v>
      </c>
    </row>
    <row r="27">
      <c r="A27" s="20">
        <v>-50.3</v>
      </c>
      <c r="B27" s="20">
        <v>39.13</v>
      </c>
      <c r="D27" s="20"/>
      <c r="E27" s="20"/>
      <c r="F27" s="20">
        <v>-43.84</v>
      </c>
      <c r="G27" s="20">
        <v>0.28</v>
      </c>
      <c r="I27" s="20"/>
      <c r="J27" s="20"/>
      <c r="K27" s="20">
        <v>13.0</v>
      </c>
      <c r="L27" s="20" t="s">
        <v>14</v>
      </c>
      <c r="M27" s="20">
        <v>-29.69</v>
      </c>
      <c r="N27" s="20">
        <v>-18.19</v>
      </c>
      <c r="P27" s="20">
        <v>8.93</v>
      </c>
      <c r="Q27" s="20">
        <v>32.47</v>
      </c>
      <c r="AG27" s="20">
        <v>25.0</v>
      </c>
      <c r="AH27" s="20" t="s">
        <v>14</v>
      </c>
      <c r="AI27" s="20">
        <v>-22.6</v>
      </c>
      <c r="AJ27" s="20">
        <v>-3.16</v>
      </c>
      <c r="AM27" s="20">
        <v>13.0</v>
      </c>
      <c r="AN27" s="20" t="s">
        <v>14</v>
      </c>
      <c r="AO27" s="20">
        <v>-15.52</v>
      </c>
      <c r="AP27" s="20">
        <v>-38.07</v>
      </c>
      <c r="AS27" s="20">
        <v>13.0</v>
      </c>
      <c r="AT27" s="20" t="s">
        <v>14</v>
      </c>
      <c r="AU27" s="20">
        <v>-22.63</v>
      </c>
      <c r="AV27" s="20">
        <v>-33.29</v>
      </c>
      <c r="BE27" s="20">
        <v>25.0</v>
      </c>
      <c r="BF27" s="20" t="s">
        <v>14</v>
      </c>
      <c r="BG27" s="20">
        <v>11.49</v>
      </c>
      <c r="BH27" s="20">
        <v>7.82</v>
      </c>
      <c r="BK27" s="20">
        <v>13.0</v>
      </c>
      <c r="BL27" s="20" t="s">
        <v>14</v>
      </c>
      <c r="BM27" s="20">
        <v>25.97</v>
      </c>
      <c r="BN27" s="20">
        <v>63.81</v>
      </c>
      <c r="BW27" s="20">
        <v>22.51</v>
      </c>
      <c r="BX27" s="20">
        <v>-23.76</v>
      </c>
      <c r="BZ27" s="20">
        <v>-35.62</v>
      </c>
      <c r="CA27" s="20">
        <v>85.61</v>
      </c>
      <c r="CI27" s="20">
        <v>-48.59</v>
      </c>
      <c r="CJ27" s="20">
        <v>-19.71</v>
      </c>
      <c r="CO27" s="20">
        <v>4.03</v>
      </c>
      <c r="CP27" s="20">
        <v>-44.62</v>
      </c>
      <c r="CS27" s="34">
        <f>IFERROR(__xludf.DUMMYFUNCTION("""COMPUTED_VALUE"""),0.2)</f>
        <v>0.2</v>
      </c>
      <c r="CT27" s="34">
        <f>IFERROR(__xludf.DUMMYFUNCTION("""COMPUTED_VALUE"""),0.96)</f>
        <v>0.96</v>
      </c>
    </row>
    <row r="28">
      <c r="A28" s="20">
        <v>-39.02</v>
      </c>
      <c r="B28" s="20">
        <v>-7.04</v>
      </c>
      <c r="D28" s="20"/>
      <c r="E28" s="20"/>
      <c r="F28" s="20">
        <v>-41.36</v>
      </c>
      <c r="G28" s="20">
        <v>15.17</v>
      </c>
      <c r="I28" s="20"/>
      <c r="J28" s="20"/>
      <c r="K28" s="20">
        <v>13.0</v>
      </c>
      <c r="L28" s="20" t="s">
        <v>17</v>
      </c>
      <c r="M28" s="20">
        <v>21.66</v>
      </c>
      <c r="N28" s="20">
        <v>20.97</v>
      </c>
      <c r="P28" s="20">
        <v>32.32</v>
      </c>
      <c r="Q28" s="20">
        <v>21.54</v>
      </c>
      <c r="AG28" s="20">
        <v>26.0</v>
      </c>
      <c r="AH28" s="20" t="s">
        <v>14</v>
      </c>
      <c r="AI28" s="20">
        <v>-2.06</v>
      </c>
      <c r="AJ28" s="20">
        <v>-9.14</v>
      </c>
      <c r="AM28" s="20">
        <v>13.0</v>
      </c>
      <c r="AN28" s="20" t="s">
        <v>17</v>
      </c>
      <c r="AO28" s="20">
        <v>64.69</v>
      </c>
      <c r="AP28" s="20">
        <v>-23.14</v>
      </c>
      <c r="AS28" s="20">
        <v>13.0</v>
      </c>
      <c r="AT28" s="20" t="s">
        <v>17</v>
      </c>
      <c r="AU28" s="20">
        <v>-29.17</v>
      </c>
      <c r="AV28" s="20">
        <v>-32.61</v>
      </c>
      <c r="BE28" s="20">
        <v>26.0</v>
      </c>
      <c r="BF28" s="20" t="s">
        <v>14</v>
      </c>
      <c r="BG28" s="20">
        <v>60.39</v>
      </c>
      <c r="BH28" s="20">
        <v>19.93</v>
      </c>
      <c r="BK28" s="20">
        <v>13.0</v>
      </c>
      <c r="BL28" s="20" t="s">
        <v>17</v>
      </c>
      <c r="BM28" s="20">
        <v>-10.05</v>
      </c>
      <c r="BN28" s="20">
        <v>24.41</v>
      </c>
      <c r="BW28" s="20">
        <v>-10.3</v>
      </c>
      <c r="BX28" s="20">
        <v>35.48</v>
      </c>
      <c r="BZ28" s="20">
        <v>-37.9</v>
      </c>
      <c r="CA28" s="20">
        <v>130.85</v>
      </c>
      <c r="CI28" s="20">
        <v>-34.99</v>
      </c>
      <c r="CJ28" s="20">
        <v>-41.09</v>
      </c>
      <c r="CO28" s="20">
        <v>-2.38</v>
      </c>
      <c r="CP28" s="20">
        <v>-24.22</v>
      </c>
      <c r="CS28" s="34">
        <f>IFERROR(__xludf.DUMMYFUNCTION("""COMPUTED_VALUE"""),-10.74)</f>
        <v>-10.74</v>
      </c>
      <c r="CT28" s="34">
        <f>IFERROR(__xludf.DUMMYFUNCTION("""COMPUTED_VALUE"""),-16.22)</f>
        <v>-16.22</v>
      </c>
    </row>
    <row r="29">
      <c r="A29" s="20">
        <v>-29.69</v>
      </c>
      <c r="B29" s="20">
        <v>-17.84</v>
      </c>
      <c r="D29" s="20"/>
      <c r="E29" s="20"/>
      <c r="F29" s="20">
        <v>-35.74</v>
      </c>
      <c r="G29" s="20">
        <v>-5.75</v>
      </c>
      <c r="I29" s="20"/>
      <c r="J29" s="20"/>
      <c r="K29" s="20">
        <v>14.0</v>
      </c>
      <c r="L29" s="20" t="s">
        <v>14</v>
      </c>
      <c r="M29" s="20">
        <v>-16.72</v>
      </c>
      <c r="N29" s="20">
        <v>-8.06</v>
      </c>
      <c r="P29" s="20">
        <v>-20.56</v>
      </c>
      <c r="Q29" s="20">
        <v>-10.17</v>
      </c>
      <c r="AG29" s="20">
        <v>27.0</v>
      </c>
      <c r="AH29" s="20" t="s">
        <v>14</v>
      </c>
      <c r="AI29" s="20">
        <v>-3.25</v>
      </c>
      <c r="AJ29" s="20">
        <v>-5.24</v>
      </c>
      <c r="AM29" s="20">
        <v>14.0</v>
      </c>
      <c r="AN29" s="20" t="s">
        <v>14</v>
      </c>
      <c r="AO29" s="20">
        <v>-23.53</v>
      </c>
      <c r="AP29" s="20">
        <v>-26.7</v>
      </c>
      <c r="AS29" s="20">
        <v>14.0</v>
      </c>
      <c r="AT29" s="20" t="s">
        <v>14</v>
      </c>
      <c r="AU29" s="20">
        <v>-20.89</v>
      </c>
      <c r="AV29" s="20">
        <v>-46.62</v>
      </c>
      <c r="BE29" s="20">
        <v>27.0</v>
      </c>
      <c r="BF29" s="20" t="s">
        <v>14</v>
      </c>
      <c r="BG29" s="20">
        <v>55.07</v>
      </c>
      <c r="BH29" s="20">
        <v>35.37</v>
      </c>
      <c r="BK29" s="20">
        <v>14.0</v>
      </c>
      <c r="BL29" s="20" t="s">
        <v>14</v>
      </c>
      <c r="BM29" s="20">
        <v>58.44</v>
      </c>
      <c r="BN29" s="20">
        <v>120.85</v>
      </c>
      <c r="BW29" s="20">
        <v>-36.79</v>
      </c>
      <c r="BX29" s="20">
        <v>-7.18</v>
      </c>
      <c r="BZ29" s="20">
        <v>-44.36</v>
      </c>
      <c r="CA29" s="20">
        <v>48.47</v>
      </c>
      <c r="CI29" s="20">
        <v>-44.45</v>
      </c>
      <c r="CJ29" s="20">
        <v>-57.61</v>
      </c>
      <c r="CO29" s="20">
        <v>-30.83</v>
      </c>
      <c r="CP29" s="20">
        <v>-15.38</v>
      </c>
      <c r="CS29" s="34">
        <f>IFERROR(__xludf.DUMMYFUNCTION("""COMPUTED_VALUE"""),8.78)</f>
        <v>8.78</v>
      </c>
      <c r="CT29" s="34">
        <f>IFERROR(__xludf.DUMMYFUNCTION("""COMPUTED_VALUE"""),-22.24)</f>
        <v>-22.24</v>
      </c>
    </row>
    <row r="30">
      <c r="A30" s="20">
        <v>-47.16</v>
      </c>
      <c r="B30" s="20">
        <v>-57.38</v>
      </c>
      <c r="D30" s="20"/>
      <c r="E30" s="20"/>
      <c r="F30" s="20">
        <v>-33.15</v>
      </c>
      <c r="G30" s="20">
        <v>-11.61</v>
      </c>
      <c r="I30" s="20"/>
      <c r="J30" s="20"/>
      <c r="K30" s="20">
        <v>14.0</v>
      </c>
      <c r="L30" s="20" t="s">
        <v>17</v>
      </c>
      <c r="M30" s="20">
        <v>22.97</v>
      </c>
      <c r="N30" s="20">
        <v>25.48</v>
      </c>
      <c r="P30" s="20">
        <v>15.91</v>
      </c>
      <c r="Q30" s="20">
        <v>42.51</v>
      </c>
      <c r="AG30" s="20">
        <v>28.0</v>
      </c>
      <c r="AH30" s="20" t="s">
        <v>14</v>
      </c>
      <c r="AI30" s="20">
        <v>15.4</v>
      </c>
      <c r="AJ30" s="20">
        <v>-0.1</v>
      </c>
      <c r="AM30" s="20">
        <v>14.0</v>
      </c>
      <c r="AN30" s="20" t="s">
        <v>17</v>
      </c>
      <c r="AO30" s="20">
        <v>-21.62</v>
      </c>
      <c r="AP30" s="20">
        <v>-18.95</v>
      </c>
      <c r="AS30" s="20">
        <v>14.0</v>
      </c>
      <c r="AT30" s="20" t="s">
        <v>17</v>
      </c>
      <c r="AU30" s="20">
        <v>-31.07</v>
      </c>
      <c r="AV30" s="20">
        <v>-55.28</v>
      </c>
      <c r="BE30" s="20">
        <v>28.0</v>
      </c>
      <c r="BF30" s="20" t="s">
        <v>14</v>
      </c>
      <c r="BG30" s="20">
        <v>9.88</v>
      </c>
      <c r="BH30" s="20">
        <v>5.98</v>
      </c>
      <c r="BK30" s="20">
        <v>14.0</v>
      </c>
      <c r="BL30" s="20" t="s">
        <v>17</v>
      </c>
      <c r="BM30" s="20">
        <v>46.38</v>
      </c>
      <c r="BN30" s="20">
        <v>153.5</v>
      </c>
      <c r="BW30" s="20">
        <v>-52.48</v>
      </c>
      <c r="BX30" s="20">
        <v>2.53</v>
      </c>
      <c r="BZ30" s="20">
        <v>-33.67</v>
      </c>
      <c r="CA30" s="20">
        <v>18.54</v>
      </c>
      <c r="CI30" s="20">
        <v>-45.46</v>
      </c>
      <c r="CJ30" s="20">
        <v>-26.12</v>
      </c>
      <c r="CO30" s="20">
        <v>-31.71</v>
      </c>
      <c r="CP30" s="20">
        <v>-46.99</v>
      </c>
      <c r="CS30" s="34">
        <f>IFERROR(__xludf.DUMMYFUNCTION("""COMPUTED_VALUE"""),-0.82)</f>
        <v>-0.82</v>
      </c>
      <c r="CT30" s="34">
        <f>IFERROR(__xludf.DUMMYFUNCTION("""COMPUTED_VALUE"""),-19.58)</f>
        <v>-19.58</v>
      </c>
    </row>
    <row r="31">
      <c r="A31" s="20">
        <v>12.72</v>
      </c>
      <c r="B31" s="20">
        <v>-10.17</v>
      </c>
      <c r="D31" s="20"/>
      <c r="E31" s="20"/>
      <c r="F31" s="20">
        <v>-51.61</v>
      </c>
      <c r="G31" s="20">
        <v>-15.52</v>
      </c>
      <c r="I31" s="20"/>
      <c r="J31" s="20"/>
      <c r="K31" s="20">
        <v>15.0</v>
      </c>
      <c r="L31" s="20" t="s">
        <v>14</v>
      </c>
      <c r="M31" s="20">
        <v>-23.69</v>
      </c>
      <c r="N31" s="20">
        <v>47.31</v>
      </c>
      <c r="P31" s="20">
        <v>-24.24</v>
      </c>
      <c r="Q31" s="20">
        <v>8.36</v>
      </c>
      <c r="AG31" s="20">
        <v>29.0</v>
      </c>
      <c r="AH31" s="20" t="s">
        <v>14</v>
      </c>
      <c r="AI31" s="20">
        <v>21.61</v>
      </c>
      <c r="AJ31" s="20">
        <v>-35.85</v>
      </c>
      <c r="AM31" s="20">
        <v>15.0</v>
      </c>
      <c r="AN31" s="20" t="s">
        <v>14</v>
      </c>
      <c r="AO31" s="20">
        <v>36.51</v>
      </c>
      <c r="AP31" s="20">
        <v>34.32</v>
      </c>
      <c r="AS31" s="20">
        <v>15.0</v>
      </c>
      <c r="AT31" s="20" t="s">
        <v>14</v>
      </c>
      <c r="AU31" s="20">
        <v>-27.23</v>
      </c>
      <c r="AV31" s="20">
        <v>-74.39</v>
      </c>
      <c r="BE31" s="20">
        <v>29.0</v>
      </c>
      <c r="BF31" s="20" t="s">
        <v>14</v>
      </c>
      <c r="BG31" s="20">
        <v>15.31</v>
      </c>
      <c r="BH31" s="20">
        <v>16.96</v>
      </c>
      <c r="BK31" s="20">
        <v>15.0</v>
      </c>
      <c r="BL31" s="20" t="s">
        <v>14</v>
      </c>
      <c r="BM31" s="20">
        <v>-51.36</v>
      </c>
      <c r="BN31" s="20">
        <v>-25.56</v>
      </c>
      <c r="BW31" s="20">
        <v>-9.97</v>
      </c>
      <c r="BX31" s="20">
        <v>-21.22</v>
      </c>
      <c r="BZ31" s="20">
        <v>-52.74</v>
      </c>
      <c r="CA31" s="20">
        <v>168.87</v>
      </c>
      <c r="CI31" s="20">
        <v>-42.53</v>
      </c>
      <c r="CJ31" s="20">
        <v>-56.09</v>
      </c>
      <c r="CO31" s="20">
        <v>-31.64</v>
      </c>
      <c r="CP31" s="20">
        <v>-59.21</v>
      </c>
      <c r="CS31" s="34">
        <f>IFERROR(__xludf.DUMMYFUNCTION("""COMPUTED_VALUE"""),-8.74)</f>
        <v>-8.74</v>
      </c>
      <c r="CT31" s="34">
        <f>IFERROR(__xludf.DUMMYFUNCTION("""COMPUTED_VALUE"""),-13.53)</f>
        <v>-13.53</v>
      </c>
    </row>
    <row r="32">
      <c r="A32" s="20">
        <v>5.94</v>
      </c>
      <c r="B32" s="20">
        <v>16.17</v>
      </c>
      <c r="D32" s="20"/>
      <c r="E32" s="20"/>
      <c r="F32" s="20">
        <v>-6.67</v>
      </c>
      <c r="G32" s="20">
        <v>66.77</v>
      </c>
      <c r="I32" s="20"/>
      <c r="J32" s="20"/>
      <c r="K32" s="20">
        <v>15.0</v>
      </c>
      <c r="L32" s="20" t="s">
        <v>17</v>
      </c>
      <c r="M32" s="20">
        <v>-14.73</v>
      </c>
      <c r="N32" s="20">
        <v>23.6</v>
      </c>
      <c r="P32" s="20">
        <v>28.74</v>
      </c>
      <c r="Q32" s="20">
        <v>29.52</v>
      </c>
      <c r="AG32" s="20">
        <v>30.0</v>
      </c>
      <c r="AH32" s="20" t="s">
        <v>14</v>
      </c>
      <c r="AI32" s="20">
        <v>8.9</v>
      </c>
      <c r="AJ32" s="20">
        <v>-4.88</v>
      </c>
      <c r="AM32" s="20">
        <v>15.0</v>
      </c>
      <c r="AN32" s="20" t="s">
        <v>17</v>
      </c>
      <c r="AO32" s="20">
        <v>26.62</v>
      </c>
      <c r="AP32" s="20">
        <v>-12.08</v>
      </c>
      <c r="AS32" s="20">
        <v>15.0</v>
      </c>
      <c r="AT32" s="20" t="s">
        <v>17</v>
      </c>
      <c r="AU32" s="20">
        <v>-8.12</v>
      </c>
      <c r="AV32" s="20">
        <v>-58.8</v>
      </c>
      <c r="BE32" s="20">
        <v>30.0</v>
      </c>
      <c r="BF32" s="20" t="s">
        <v>14</v>
      </c>
      <c r="BG32" s="20">
        <v>20.21</v>
      </c>
      <c r="BH32" s="20">
        <v>0.6</v>
      </c>
      <c r="BK32" s="20">
        <v>15.0</v>
      </c>
      <c r="BL32" s="20" t="s">
        <v>17</v>
      </c>
      <c r="BM32" s="20">
        <v>-22.91</v>
      </c>
      <c r="BN32" s="20">
        <v>11.39</v>
      </c>
      <c r="BW32" s="20">
        <v>-11.69</v>
      </c>
      <c r="BX32" s="20">
        <v>-7.69</v>
      </c>
      <c r="BZ32" s="20">
        <v>-62.21</v>
      </c>
      <c r="CA32" s="20">
        <v>222.91</v>
      </c>
      <c r="CI32" s="20">
        <v>-60.79</v>
      </c>
      <c r="CJ32" s="20">
        <v>-59.17</v>
      </c>
      <c r="CO32" s="20">
        <v>-23.64</v>
      </c>
      <c r="CP32" s="20">
        <v>-39.49</v>
      </c>
      <c r="CS32" s="34">
        <f>IFERROR(__xludf.DUMMYFUNCTION("""COMPUTED_VALUE"""),-24.3)</f>
        <v>-24.3</v>
      </c>
      <c r="CT32" s="34">
        <f>IFERROR(__xludf.DUMMYFUNCTION("""COMPUTED_VALUE"""),-17.64)</f>
        <v>-17.64</v>
      </c>
    </row>
    <row r="33">
      <c r="A33" s="20">
        <v>-19.88</v>
      </c>
      <c r="B33" s="20">
        <v>-14.8</v>
      </c>
      <c r="D33" s="20"/>
      <c r="E33" s="20"/>
      <c r="F33" s="20">
        <v>3.38</v>
      </c>
      <c r="G33" s="20">
        <v>61.79</v>
      </c>
      <c r="I33" s="20"/>
      <c r="J33" s="20"/>
      <c r="K33" s="20">
        <v>16.0</v>
      </c>
      <c r="L33" s="20" t="s">
        <v>14</v>
      </c>
      <c r="M33" s="20">
        <v>-18.65</v>
      </c>
      <c r="N33" s="20">
        <v>41.15</v>
      </c>
      <c r="P33" s="20">
        <v>-16.02</v>
      </c>
      <c r="Q33" s="20">
        <v>14.43</v>
      </c>
      <c r="AG33" s="20">
        <v>31.0</v>
      </c>
      <c r="AH33" s="20" t="s">
        <v>14</v>
      </c>
      <c r="AI33" s="20">
        <v>-36.42</v>
      </c>
      <c r="AJ33" s="20">
        <v>-20.67</v>
      </c>
      <c r="AM33" s="20">
        <v>16.0</v>
      </c>
      <c r="AN33" s="20" t="s">
        <v>14</v>
      </c>
      <c r="AO33" s="20">
        <v>-30.46</v>
      </c>
      <c r="AP33" s="20">
        <v>-35.72</v>
      </c>
      <c r="AS33" s="20">
        <v>16.0</v>
      </c>
      <c r="AT33" s="20" t="s">
        <v>14</v>
      </c>
      <c r="AU33" s="20">
        <v>11.75</v>
      </c>
      <c r="AV33" s="20">
        <v>-17.46</v>
      </c>
      <c r="BE33" s="20">
        <v>31.0</v>
      </c>
      <c r="BF33" s="20" t="s">
        <v>14</v>
      </c>
      <c r="BG33" s="20">
        <v>-17.79</v>
      </c>
      <c r="BH33" s="20">
        <v>5.43</v>
      </c>
      <c r="BK33" s="20">
        <v>16.0</v>
      </c>
      <c r="BL33" s="20" t="s">
        <v>14</v>
      </c>
      <c r="BM33" s="20">
        <v>103.52</v>
      </c>
      <c r="BN33" s="20">
        <v>116.79</v>
      </c>
      <c r="BW33" s="20">
        <v>-29.81</v>
      </c>
      <c r="BX33" s="20">
        <v>-12.55</v>
      </c>
      <c r="BZ33" s="20">
        <v>-39.9</v>
      </c>
      <c r="CA33" s="20">
        <v>74.63</v>
      </c>
      <c r="CI33" s="20">
        <v>-52.79</v>
      </c>
      <c r="CJ33" s="20">
        <v>-66.99</v>
      </c>
      <c r="CO33" s="20">
        <v>-12.55</v>
      </c>
      <c r="CP33" s="20">
        <v>-47.65</v>
      </c>
      <c r="CS33" s="34">
        <f>IFERROR(__xludf.DUMMYFUNCTION("""COMPUTED_VALUE"""),-4.28)</f>
        <v>-4.28</v>
      </c>
      <c r="CT33" s="34">
        <f>IFERROR(__xludf.DUMMYFUNCTION("""COMPUTED_VALUE"""),-18.96)</f>
        <v>-18.96</v>
      </c>
    </row>
    <row r="34">
      <c r="A34" s="20">
        <v>-35.93</v>
      </c>
      <c r="B34" s="20">
        <v>-29.01</v>
      </c>
      <c r="D34" s="20"/>
      <c r="E34" s="20"/>
      <c r="F34" s="20">
        <v>10.74</v>
      </c>
      <c r="G34" s="20">
        <v>13.01</v>
      </c>
      <c r="I34" s="20"/>
      <c r="J34" s="20"/>
      <c r="K34" s="20">
        <v>16.0</v>
      </c>
      <c r="L34" s="20" t="s">
        <v>17</v>
      </c>
      <c r="M34" s="20">
        <v>-19.55</v>
      </c>
      <c r="N34" s="20">
        <v>30.21</v>
      </c>
      <c r="P34" s="20">
        <v>-6.28</v>
      </c>
      <c r="Q34" s="20">
        <v>-23.95</v>
      </c>
      <c r="AG34" s="20">
        <v>32.0</v>
      </c>
      <c r="AH34" s="20" t="s">
        <v>14</v>
      </c>
      <c r="AI34" s="20">
        <v>-18.36</v>
      </c>
      <c r="AJ34" s="20">
        <v>-18.08</v>
      </c>
      <c r="AM34" s="20">
        <v>16.0</v>
      </c>
      <c r="AN34" s="20" t="s">
        <v>17</v>
      </c>
      <c r="AO34" s="20">
        <v>-33.29</v>
      </c>
      <c r="AP34" s="20">
        <v>-27.58</v>
      </c>
      <c r="AS34" s="20">
        <v>16.0</v>
      </c>
      <c r="AT34" s="20" t="s">
        <v>17</v>
      </c>
      <c r="AU34" s="20">
        <v>-5.31</v>
      </c>
      <c r="AV34" s="20">
        <v>-56.22</v>
      </c>
      <c r="BE34" s="20">
        <v>32.0</v>
      </c>
      <c r="BF34" s="20" t="s">
        <v>14</v>
      </c>
      <c r="BG34" s="20">
        <v>-16.54</v>
      </c>
      <c r="BH34" s="20">
        <v>-0.92</v>
      </c>
      <c r="BK34" s="20">
        <v>16.0</v>
      </c>
      <c r="BL34" s="20" t="s">
        <v>17</v>
      </c>
      <c r="BM34" s="20">
        <v>22.49</v>
      </c>
      <c r="BN34" s="20">
        <v>91.86</v>
      </c>
      <c r="BW34" s="20">
        <v>22.77</v>
      </c>
      <c r="BX34" s="20">
        <v>-8.54</v>
      </c>
      <c r="BZ34" s="20">
        <v>-32.79</v>
      </c>
      <c r="CA34" s="20">
        <v>25.89</v>
      </c>
      <c r="CI34" s="20">
        <v>-67.17</v>
      </c>
      <c r="CJ34" s="20">
        <v>-51.64</v>
      </c>
      <c r="CO34" s="20">
        <v>-13.92</v>
      </c>
      <c r="CP34" s="20">
        <v>-54.29</v>
      </c>
      <c r="CS34" s="34">
        <f>IFERROR(__xludf.DUMMYFUNCTION("""COMPUTED_VALUE"""),16.59)</f>
        <v>16.59</v>
      </c>
      <c r="CT34" s="34">
        <f>IFERROR(__xludf.DUMMYFUNCTION("""COMPUTED_VALUE"""),-0.92)</f>
        <v>-0.92</v>
      </c>
    </row>
    <row r="35">
      <c r="A35" s="20">
        <v>-16.57</v>
      </c>
      <c r="B35" s="20">
        <v>-0.33</v>
      </c>
      <c r="D35" s="20"/>
      <c r="E35" s="20"/>
      <c r="F35" s="20">
        <v>13.29</v>
      </c>
      <c r="G35" s="20">
        <v>19.21</v>
      </c>
      <c r="I35" s="20"/>
      <c r="J35" s="20"/>
      <c r="K35" s="20">
        <v>17.0</v>
      </c>
      <c r="L35" s="20" t="s">
        <v>14</v>
      </c>
      <c r="M35" s="20">
        <v>-5.63</v>
      </c>
      <c r="N35" s="20">
        <v>50.55</v>
      </c>
      <c r="P35" s="20">
        <v>64.38</v>
      </c>
      <c r="Q35" s="20">
        <v>47.08</v>
      </c>
      <c r="AG35" s="20">
        <v>33.0</v>
      </c>
      <c r="AH35" s="20" t="s">
        <v>14</v>
      </c>
      <c r="AI35" s="20">
        <v>-25.87</v>
      </c>
      <c r="AJ35" s="20">
        <v>-16.83</v>
      </c>
      <c r="AM35" s="20">
        <v>17.0</v>
      </c>
      <c r="AN35" s="20" t="s">
        <v>14</v>
      </c>
      <c r="AO35" s="20">
        <v>-13.83</v>
      </c>
      <c r="AP35" s="20">
        <v>-20.22</v>
      </c>
      <c r="AS35" s="20">
        <v>17.0</v>
      </c>
      <c r="AT35" s="20" t="s">
        <v>14</v>
      </c>
      <c r="AU35" s="20">
        <v>10.48</v>
      </c>
      <c r="AV35" s="20">
        <v>-9.69</v>
      </c>
      <c r="BE35" s="20">
        <v>33.0</v>
      </c>
      <c r="BF35" s="20" t="s">
        <v>14</v>
      </c>
      <c r="BG35" s="20">
        <v>-8.17</v>
      </c>
      <c r="BH35" s="20">
        <v>20.46</v>
      </c>
      <c r="BK35" s="20">
        <v>17.0</v>
      </c>
      <c r="BL35" s="20" t="s">
        <v>14</v>
      </c>
      <c r="BM35" s="20">
        <v>47.9</v>
      </c>
      <c r="BN35" s="20">
        <v>43.69</v>
      </c>
      <c r="BW35" s="20">
        <v>-45.77</v>
      </c>
      <c r="BX35" s="20">
        <v>-35.62</v>
      </c>
      <c r="BZ35" s="20">
        <v>-31.07</v>
      </c>
      <c r="CA35" s="20">
        <v>42.6</v>
      </c>
      <c r="CI35" s="20">
        <v>-67.65</v>
      </c>
      <c r="CJ35" s="20">
        <v>-63.08</v>
      </c>
      <c r="CO35" s="20">
        <v>-0.88</v>
      </c>
      <c r="CP35" s="20">
        <v>-32.26</v>
      </c>
      <c r="CS35" s="34">
        <f>IFERROR(__xludf.DUMMYFUNCTION("""COMPUTED_VALUE"""),21.98)</f>
        <v>21.98</v>
      </c>
      <c r="CT35" s="34">
        <f>IFERROR(__xludf.DUMMYFUNCTION("""COMPUTED_VALUE"""),-21.28)</f>
        <v>-21.28</v>
      </c>
    </row>
    <row r="36">
      <c r="A36" s="20">
        <v>12.0</v>
      </c>
      <c r="B36" s="20">
        <v>-36.77</v>
      </c>
      <c r="D36" s="20"/>
      <c r="E36" s="20"/>
      <c r="F36" s="20">
        <v>-37.41</v>
      </c>
      <c r="G36" s="20">
        <v>13.5</v>
      </c>
      <c r="I36" s="20"/>
      <c r="J36" s="20"/>
      <c r="K36" s="20">
        <v>17.0</v>
      </c>
      <c r="L36" s="20" t="s">
        <v>17</v>
      </c>
      <c r="M36" s="20">
        <v>55.4</v>
      </c>
      <c r="N36" s="20">
        <v>39.95</v>
      </c>
      <c r="P36" s="20">
        <v>84.24</v>
      </c>
      <c r="Q36" s="20">
        <v>79.76</v>
      </c>
      <c r="AG36" s="20">
        <v>34.0</v>
      </c>
      <c r="AH36" s="20" t="s">
        <v>14</v>
      </c>
      <c r="AI36" s="20">
        <v>-49.33</v>
      </c>
      <c r="AJ36" s="20">
        <v>-29.18</v>
      </c>
      <c r="AM36" s="20">
        <v>17.0</v>
      </c>
      <c r="AN36" s="20" t="s">
        <v>17</v>
      </c>
      <c r="AO36" s="20">
        <v>-23.82</v>
      </c>
      <c r="AP36" s="20">
        <v>13.11</v>
      </c>
      <c r="AS36" s="20">
        <v>17.0</v>
      </c>
      <c r="AT36" s="20" t="s">
        <v>17</v>
      </c>
      <c r="AU36" s="20">
        <v>-51.38</v>
      </c>
      <c r="AV36" s="20">
        <v>-44.83</v>
      </c>
      <c r="BE36" s="20">
        <v>34.0</v>
      </c>
      <c r="BF36" s="20" t="s">
        <v>14</v>
      </c>
      <c r="BG36" s="20">
        <v>28.39</v>
      </c>
      <c r="BH36" s="20">
        <v>40.85</v>
      </c>
      <c r="BK36" s="20">
        <v>17.0</v>
      </c>
      <c r="BL36" s="20" t="s">
        <v>17</v>
      </c>
      <c r="BM36" s="20">
        <v>11.8</v>
      </c>
      <c r="BN36" s="20">
        <v>12.56</v>
      </c>
      <c r="BW36" s="20">
        <v>-49.29</v>
      </c>
      <c r="BX36" s="20">
        <v>-7.07</v>
      </c>
      <c r="BZ36" s="20">
        <v>-40.08</v>
      </c>
      <c r="CA36" s="20">
        <v>70.33</v>
      </c>
      <c r="CI36" s="20">
        <v>-49.64</v>
      </c>
      <c r="CJ36" s="20">
        <v>-69.29</v>
      </c>
      <c r="CO36" s="20">
        <v>-7.93</v>
      </c>
      <c r="CP36" s="20">
        <v>-41.66</v>
      </c>
      <c r="CS36" s="34">
        <f>IFERROR(__xludf.DUMMYFUNCTION("""COMPUTED_VALUE"""),-32.35)</f>
        <v>-32.35</v>
      </c>
      <c r="CT36" s="34">
        <f>IFERROR(__xludf.DUMMYFUNCTION("""COMPUTED_VALUE"""),-17.55)</f>
        <v>-17.55</v>
      </c>
    </row>
    <row r="37">
      <c r="A37" s="20">
        <v>4.07</v>
      </c>
      <c r="B37" s="20">
        <v>57.12</v>
      </c>
      <c r="D37" s="20"/>
      <c r="E37" s="20"/>
      <c r="F37" s="20">
        <v>-52.95</v>
      </c>
      <c r="G37" s="20">
        <v>-4.67</v>
      </c>
      <c r="I37" s="20"/>
      <c r="J37" s="20"/>
      <c r="K37" s="20">
        <v>18.0</v>
      </c>
      <c r="L37" s="20" t="s">
        <v>14</v>
      </c>
      <c r="M37" s="20">
        <v>-17.34</v>
      </c>
      <c r="N37" s="20">
        <v>46.61</v>
      </c>
      <c r="P37" s="20">
        <v>37.45</v>
      </c>
      <c r="Q37" s="20">
        <v>17.98</v>
      </c>
      <c r="AG37" s="20">
        <v>35.0</v>
      </c>
      <c r="AH37" s="20" t="s">
        <v>14</v>
      </c>
      <c r="AI37" s="20">
        <v>30.39</v>
      </c>
      <c r="AJ37" s="20">
        <v>-29.64</v>
      </c>
      <c r="AM37" s="20">
        <v>18.0</v>
      </c>
      <c r="AN37" s="20" t="s">
        <v>14</v>
      </c>
      <c r="AO37" s="20">
        <v>-9.88</v>
      </c>
      <c r="AP37" s="20">
        <v>-11.36</v>
      </c>
      <c r="AS37" s="20">
        <v>18.0</v>
      </c>
      <c r="AT37" s="20" t="s">
        <v>14</v>
      </c>
      <c r="AU37" s="20">
        <v>-20.09</v>
      </c>
      <c r="AV37" s="20">
        <v>-52.03</v>
      </c>
      <c r="BE37" s="20">
        <v>35.0</v>
      </c>
      <c r="BF37" s="20" t="s">
        <v>14</v>
      </c>
      <c r="BG37" s="20">
        <v>73.24</v>
      </c>
      <c r="BH37" s="20">
        <v>48.14</v>
      </c>
      <c r="BK37" s="20">
        <v>18.0</v>
      </c>
      <c r="BL37" s="20" t="s">
        <v>14</v>
      </c>
      <c r="BM37" s="20">
        <v>69.82</v>
      </c>
      <c r="BN37" s="20">
        <v>146.38</v>
      </c>
      <c r="BW37" s="20">
        <v>-29.12</v>
      </c>
      <c r="BX37" s="20">
        <v>-39.15</v>
      </c>
      <c r="BZ37" s="20">
        <v>-29.9</v>
      </c>
      <c r="CA37" s="20">
        <v>67.66</v>
      </c>
      <c r="CI37" s="20">
        <v>-49.78</v>
      </c>
      <c r="CJ37" s="20">
        <v>-60.53</v>
      </c>
      <c r="CO37" s="20">
        <v>-4.97</v>
      </c>
      <c r="CP37" s="20">
        <v>-39.48</v>
      </c>
      <c r="CS37" s="34">
        <f>IFERROR(__xludf.DUMMYFUNCTION("""COMPUTED_VALUE"""),2.31)</f>
        <v>2.31</v>
      </c>
      <c r="CT37" s="34">
        <f>IFERROR(__xludf.DUMMYFUNCTION("""COMPUTED_VALUE"""),-21.78)</f>
        <v>-21.78</v>
      </c>
    </row>
    <row r="38">
      <c r="A38" s="20">
        <v>57.34</v>
      </c>
      <c r="B38" s="20">
        <v>126.53</v>
      </c>
      <c r="D38" s="20"/>
      <c r="E38" s="20"/>
      <c r="F38" s="20">
        <v>-40.06</v>
      </c>
      <c r="G38" s="20">
        <v>1.79</v>
      </c>
      <c r="I38" s="20"/>
      <c r="J38" s="20"/>
      <c r="K38" s="20">
        <v>18.0</v>
      </c>
      <c r="L38" s="20" t="s">
        <v>17</v>
      </c>
      <c r="M38" s="20">
        <v>57.08</v>
      </c>
      <c r="N38" s="20">
        <v>113.94</v>
      </c>
      <c r="P38" s="20">
        <v>35.57</v>
      </c>
      <c r="Q38" s="20">
        <v>36.21</v>
      </c>
      <c r="AG38" s="20">
        <v>36.0</v>
      </c>
      <c r="AH38" s="20" t="s">
        <v>14</v>
      </c>
      <c r="AI38" s="20">
        <v>-22.87</v>
      </c>
      <c r="AJ38" s="20">
        <v>-17.28</v>
      </c>
      <c r="AM38" s="20">
        <v>18.0</v>
      </c>
      <c r="AN38" s="20" t="s">
        <v>17</v>
      </c>
      <c r="AO38" s="20">
        <v>-19.66</v>
      </c>
      <c r="AP38" s="20">
        <v>14.89</v>
      </c>
      <c r="AS38" s="20">
        <v>18.0</v>
      </c>
      <c r="AT38" s="20" t="s">
        <v>17</v>
      </c>
      <c r="AU38" s="20">
        <v>-35.96</v>
      </c>
      <c r="AV38" s="20">
        <v>-51.27</v>
      </c>
      <c r="BE38" s="20">
        <v>36.0</v>
      </c>
      <c r="BF38" s="20" t="s">
        <v>14</v>
      </c>
      <c r="BG38" s="20">
        <v>-5.22</v>
      </c>
      <c r="BH38" s="20">
        <v>35.4</v>
      </c>
      <c r="BK38" s="20">
        <v>18.0</v>
      </c>
      <c r="BL38" s="20" t="s">
        <v>17</v>
      </c>
      <c r="BM38" s="20">
        <v>-4.28</v>
      </c>
      <c r="BN38" s="20">
        <v>48.36</v>
      </c>
      <c r="BW38" s="20">
        <v>-28.7</v>
      </c>
      <c r="BX38" s="20">
        <v>-36.61</v>
      </c>
      <c r="BZ38" s="20">
        <v>-11.62</v>
      </c>
      <c r="CA38" s="20">
        <v>66.59</v>
      </c>
      <c r="CI38" s="20">
        <v>-63.57</v>
      </c>
      <c r="CJ38" s="20">
        <v>-42.09</v>
      </c>
      <c r="CO38" s="20">
        <v>-13.07</v>
      </c>
      <c r="CP38" s="20">
        <v>-62.83</v>
      </c>
      <c r="CS38" s="34">
        <f>IFERROR(__xludf.DUMMYFUNCTION("""COMPUTED_VALUE"""),0.03)</f>
        <v>0.03</v>
      </c>
      <c r="CT38" s="34">
        <f>IFERROR(__xludf.DUMMYFUNCTION("""COMPUTED_VALUE"""),5.39)</f>
        <v>5.39</v>
      </c>
    </row>
    <row r="39">
      <c r="A39" s="20">
        <v>-48.72</v>
      </c>
      <c r="B39" s="20">
        <v>23.72</v>
      </c>
      <c r="D39" s="20"/>
      <c r="E39" s="20"/>
      <c r="F39" s="20">
        <v>-10.16</v>
      </c>
      <c r="G39" s="20">
        <v>1.77</v>
      </c>
      <c r="I39" s="20"/>
      <c r="J39" s="20"/>
      <c r="K39" s="20">
        <v>19.0</v>
      </c>
      <c r="L39" s="20" t="s">
        <v>14</v>
      </c>
      <c r="M39" s="20">
        <v>11.95</v>
      </c>
      <c r="N39" s="20">
        <v>-28.64</v>
      </c>
      <c r="P39" s="20">
        <v>-3.9</v>
      </c>
      <c r="Q39" s="20">
        <v>8.14</v>
      </c>
      <c r="AG39" s="20">
        <v>37.0</v>
      </c>
      <c r="AH39" s="20" t="s">
        <v>14</v>
      </c>
      <c r="AI39" s="20">
        <v>-25.06</v>
      </c>
      <c r="AJ39" s="20">
        <v>-30.67</v>
      </c>
      <c r="AM39" s="20">
        <v>19.0</v>
      </c>
      <c r="AN39" s="20" t="s">
        <v>14</v>
      </c>
      <c r="AO39" s="20">
        <v>8.55</v>
      </c>
      <c r="AP39" s="20">
        <v>-57.1</v>
      </c>
      <c r="AS39" s="20">
        <v>19.0</v>
      </c>
      <c r="AT39" s="20" t="s">
        <v>14</v>
      </c>
      <c r="AU39" s="20">
        <v>-26.78</v>
      </c>
      <c r="AV39" s="20">
        <v>-60.27</v>
      </c>
      <c r="BE39" s="20">
        <v>37.0</v>
      </c>
      <c r="BF39" s="20" t="s">
        <v>14</v>
      </c>
      <c r="BG39" s="20">
        <v>49.21</v>
      </c>
      <c r="BH39" s="20">
        <v>29.61</v>
      </c>
      <c r="BK39" s="20">
        <v>19.0</v>
      </c>
      <c r="BL39" s="20" t="s">
        <v>14</v>
      </c>
      <c r="BM39" s="20">
        <v>56.06</v>
      </c>
      <c r="BN39" s="20">
        <v>48.41</v>
      </c>
      <c r="BW39" s="20">
        <v>-30.43</v>
      </c>
      <c r="BX39" s="20">
        <v>-17.1</v>
      </c>
      <c r="BZ39" s="20">
        <v>-38.19</v>
      </c>
      <c r="CA39" s="20">
        <v>132.4</v>
      </c>
      <c r="CI39" s="20">
        <v>-65.6</v>
      </c>
      <c r="CJ39" s="20">
        <v>-63.73</v>
      </c>
      <c r="CO39" s="20">
        <v>-28.92</v>
      </c>
      <c r="CP39" s="20">
        <v>-54.26</v>
      </c>
      <c r="CS39" s="34">
        <f>IFERROR(__xludf.DUMMYFUNCTION("""COMPUTED_VALUE"""),-36.82)</f>
        <v>-36.82</v>
      </c>
      <c r="CT39" s="34">
        <f>IFERROR(__xludf.DUMMYFUNCTION("""COMPUTED_VALUE"""),-12.34)</f>
        <v>-12.34</v>
      </c>
    </row>
    <row r="40">
      <c r="A40" s="20">
        <v>-23.77</v>
      </c>
      <c r="B40" s="20">
        <v>-35.12</v>
      </c>
      <c r="D40" s="20"/>
      <c r="E40" s="20"/>
      <c r="F40" s="20">
        <v>-4.55</v>
      </c>
      <c r="G40" s="20">
        <v>7.73</v>
      </c>
      <c r="I40" s="20"/>
      <c r="J40" s="20"/>
      <c r="K40" s="20">
        <v>19.0</v>
      </c>
      <c r="L40" s="20" t="s">
        <v>17</v>
      </c>
      <c r="M40" s="20">
        <v>-9.67</v>
      </c>
      <c r="N40" s="20">
        <v>51.01</v>
      </c>
      <c r="P40" s="20">
        <v>11.89</v>
      </c>
      <c r="Q40" s="20">
        <v>52.34</v>
      </c>
      <c r="AG40" s="20">
        <v>38.0</v>
      </c>
      <c r="AH40" s="20" t="s">
        <v>14</v>
      </c>
      <c r="AI40" s="20">
        <v>-9.57</v>
      </c>
      <c r="AJ40" s="20">
        <v>-12.44</v>
      </c>
      <c r="AM40" s="20">
        <v>19.0</v>
      </c>
      <c r="AN40" s="20" t="s">
        <v>17</v>
      </c>
      <c r="AO40" s="20">
        <v>-22.38</v>
      </c>
      <c r="AP40" s="20">
        <v>-11.87</v>
      </c>
      <c r="AS40" s="20">
        <v>19.0</v>
      </c>
      <c r="AT40" s="20" t="s">
        <v>17</v>
      </c>
      <c r="AU40" s="20">
        <v>-17.98</v>
      </c>
      <c r="AV40" s="20">
        <v>-48.72</v>
      </c>
      <c r="BE40" s="20">
        <v>38.0</v>
      </c>
      <c r="BF40" s="20" t="s">
        <v>14</v>
      </c>
      <c r="BG40" s="20">
        <v>12.36</v>
      </c>
      <c r="BH40" s="20">
        <v>39.5</v>
      </c>
      <c r="BK40" s="20">
        <v>19.0</v>
      </c>
      <c r="BL40" s="20" t="s">
        <v>17</v>
      </c>
      <c r="BM40" s="20">
        <v>11.03</v>
      </c>
      <c r="BN40" s="20">
        <v>-10.09</v>
      </c>
      <c r="BW40" s="20">
        <v>-32.45</v>
      </c>
      <c r="BX40" s="20">
        <v>-35.81</v>
      </c>
      <c r="BZ40" s="20">
        <v>-60.63</v>
      </c>
      <c r="CA40" s="20">
        <v>83.72</v>
      </c>
      <c r="CI40" s="20">
        <v>-45.58</v>
      </c>
      <c r="CJ40" s="20">
        <v>-49.69</v>
      </c>
      <c r="CO40" s="20">
        <v>-22.88</v>
      </c>
      <c r="CP40" s="20">
        <v>-27.56</v>
      </c>
      <c r="CS40" s="34">
        <f>IFERROR(__xludf.DUMMYFUNCTION("""COMPUTED_VALUE"""),-63.53)</f>
        <v>-63.53</v>
      </c>
      <c r="CT40" s="34">
        <f>IFERROR(__xludf.DUMMYFUNCTION("""COMPUTED_VALUE"""),34.18)</f>
        <v>34.18</v>
      </c>
    </row>
    <row r="41">
      <c r="A41" s="20">
        <v>-43.76</v>
      </c>
      <c r="B41" s="20">
        <v>-1.54</v>
      </c>
      <c r="D41" s="20"/>
      <c r="E41" s="20"/>
      <c r="F41" s="20">
        <v>-22.56</v>
      </c>
      <c r="G41" s="20">
        <v>-2.77</v>
      </c>
      <c r="I41" s="20"/>
      <c r="J41" s="20"/>
      <c r="K41" s="20">
        <v>20.0</v>
      </c>
      <c r="L41" s="20" t="s">
        <v>14</v>
      </c>
      <c r="M41" s="20">
        <v>42.21</v>
      </c>
      <c r="N41" s="20">
        <v>62.98</v>
      </c>
      <c r="P41" s="20">
        <v>34.29</v>
      </c>
      <c r="Q41" s="20">
        <v>40.61</v>
      </c>
      <c r="AG41" s="20">
        <v>39.0</v>
      </c>
      <c r="AH41" s="20" t="s">
        <v>14</v>
      </c>
      <c r="AI41" s="20">
        <v>-17.93</v>
      </c>
      <c r="AJ41" s="20">
        <v>-24.05</v>
      </c>
      <c r="AM41" s="20">
        <v>20.0</v>
      </c>
      <c r="AN41" s="20" t="s">
        <v>14</v>
      </c>
      <c r="AO41" s="20">
        <v>-24.34</v>
      </c>
      <c r="AP41" s="20">
        <v>-20.59</v>
      </c>
      <c r="AS41" s="20">
        <v>20.0</v>
      </c>
      <c r="AT41" s="20" t="s">
        <v>14</v>
      </c>
      <c r="AU41" s="20">
        <v>19.33</v>
      </c>
      <c r="AV41" s="20">
        <v>-36.3</v>
      </c>
      <c r="BE41" s="20">
        <v>39.0</v>
      </c>
      <c r="BF41" s="20" t="s">
        <v>14</v>
      </c>
      <c r="BG41" s="20">
        <v>-5.11</v>
      </c>
      <c r="BH41" s="20">
        <v>-9.34</v>
      </c>
      <c r="BK41" s="20">
        <v>20.0</v>
      </c>
      <c r="BL41" s="20" t="s">
        <v>14</v>
      </c>
      <c r="BM41" s="20">
        <v>47.82</v>
      </c>
      <c r="BN41" s="20">
        <v>122.36</v>
      </c>
      <c r="BW41" s="20">
        <v>-46.82</v>
      </c>
      <c r="BX41" s="20">
        <v>-28.62</v>
      </c>
      <c r="BZ41" s="20">
        <v>-37.45</v>
      </c>
      <c r="CA41" s="20">
        <v>46.64</v>
      </c>
      <c r="CI41" s="20">
        <v>-28.86</v>
      </c>
      <c r="CJ41" s="20">
        <v>-55.8</v>
      </c>
      <c r="CO41" s="20">
        <v>25.97</v>
      </c>
      <c r="CP41" s="20">
        <v>-51.76</v>
      </c>
      <c r="CS41" s="34">
        <f>IFERROR(__xludf.DUMMYFUNCTION("""COMPUTED_VALUE"""),-27.92)</f>
        <v>-27.92</v>
      </c>
      <c r="CT41" s="34">
        <f>IFERROR(__xludf.DUMMYFUNCTION("""COMPUTED_VALUE"""),-20.58)</f>
        <v>-20.58</v>
      </c>
    </row>
    <row r="42">
      <c r="A42" s="20">
        <v>-44.76</v>
      </c>
      <c r="B42" s="20">
        <v>28.12</v>
      </c>
      <c r="D42" s="20"/>
      <c r="E42" s="20"/>
      <c r="F42" s="20">
        <v>-25.21</v>
      </c>
      <c r="G42" s="20">
        <v>34.76</v>
      </c>
      <c r="I42" s="20"/>
      <c r="J42" s="20"/>
      <c r="K42" s="20">
        <v>20.0</v>
      </c>
      <c r="L42" s="20" t="s">
        <v>17</v>
      </c>
      <c r="M42" s="20">
        <v>-2.46</v>
      </c>
      <c r="N42" s="20">
        <v>16.08</v>
      </c>
      <c r="P42" s="20">
        <v>7.43</v>
      </c>
      <c r="Q42" s="20">
        <v>18.91</v>
      </c>
      <c r="AG42" s="20">
        <v>40.0</v>
      </c>
      <c r="AH42" s="20" t="s">
        <v>14</v>
      </c>
      <c r="AI42" s="20">
        <v>-28.8</v>
      </c>
      <c r="AJ42" s="20">
        <v>0.63</v>
      </c>
      <c r="AM42" s="20">
        <v>20.0</v>
      </c>
      <c r="AN42" s="20" t="s">
        <v>17</v>
      </c>
      <c r="AO42" s="20">
        <v>3.54</v>
      </c>
      <c r="AP42" s="20">
        <v>72.62</v>
      </c>
      <c r="AS42" s="20">
        <v>20.0</v>
      </c>
      <c r="AT42" s="20" t="s">
        <v>17</v>
      </c>
      <c r="AU42" s="20">
        <v>-8.83</v>
      </c>
      <c r="AV42" s="20">
        <v>-20.33</v>
      </c>
      <c r="BE42" s="20">
        <v>40.0</v>
      </c>
      <c r="BF42" s="20" t="s">
        <v>14</v>
      </c>
      <c r="BG42" s="20">
        <v>25.03</v>
      </c>
      <c r="BH42" s="20">
        <v>64.97</v>
      </c>
      <c r="BK42" s="20">
        <v>20.0</v>
      </c>
      <c r="BL42" s="20" t="s">
        <v>17</v>
      </c>
      <c r="BM42" s="20">
        <v>55.72</v>
      </c>
      <c r="BN42" s="20">
        <v>126.19</v>
      </c>
      <c r="BW42" s="20">
        <v>-17.71</v>
      </c>
      <c r="BX42" s="20">
        <v>-16.56</v>
      </c>
      <c r="BZ42" s="20">
        <v>-4.21</v>
      </c>
      <c r="CA42" s="20">
        <v>-54.01</v>
      </c>
      <c r="CI42" s="20">
        <v>-56.79</v>
      </c>
      <c r="CJ42" s="20">
        <v>-50.47</v>
      </c>
      <c r="CO42" s="20">
        <v>5.48</v>
      </c>
      <c r="CP42" s="20">
        <v>-42.07</v>
      </c>
      <c r="CS42" s="34">
        <f>IFERROR(__xludf.DUMMYFUNCTION("""COMPUTED_VALUE"""),68.43)</f>
        <v>68.43</v>
      </c>
      <c r="CT42" s="34">
        <f>IFERROR(__xludf.DUMMYFUNCTION("""COMPUTED_VALUE"""),-16.29)</f>
        <v>-16.29</v>
      </c>
    </row>
    <row r="43">
      <c r="A43" s="20">
        <v>43.54</v>
      </c>
      <c r="B43" s="20">
        <v>23.14</v>
      </c>
      <c r="D43" s="20"/>
      <c r="E43" s="20"/>
      <c r="F43" s="20">
        <v>-6.28</v>
      </c>
      <c r="G43" s="20">
        <v>38.76</v>
      </c>
      <c r="I43" s="20"/>
      <c r="J43" s="20"/>
      <c r="K43" s="20">
        <v>21.0</v>
      </c>
      <c r="L43" s="20" t="s">
        <v>14</v>
      </c>
      <c r="M43" s="20">
        <v>-31.7</v>
      </c>
      <c r="N43" s="20">
        <v>28.52</v>
      </c>
      <c r="P43" s="20">
        <v>13.56</v>
      </c>
      <c r="Q43" s="20">
        <v>11.9</v>
      </c>
      <c r="AG43" s="20">
        <v>41.0</v>
      </c>
      <c r="AH43" s="20" t="s">
        <v>14</v>
      </c>
      <c r="AI43" s="20">
        <v>-24.26</v>
      </c>
      <c r="AJ43" s="20">
        <v>-45.35</v>
      </c>
      <c r="AM43" s="20">
        <v>21.0</v>
      </c>
      <c r="AN43" s="20" t="s">
        <v>14</v>
      </c>
      <c r="AO43" s="20">
        <v>15.4</v>
      </c>
      <c r="AP43" s="20">
        <v>-22.16</v>
      </c>
      <c r="AS43" s="20">
        <v>21.0</v>
      </c>
      <c r="AT43" s="20" t="s">
        <v>14</v>
      </c>
      <c r="AU43" s="20">
        <v>-11.57</v>
      </c>
      <c r="AV43" s="20">
        <v>-21.63</v>
      </c>
      <c r="BE43" s="20">
        <v>41.0</v>
      </c>
      <c r="BF43" s="20" t="s">
        <v>14</v>
      </c>
      <c r="BG43" s="20">
        <v>8.75</v>
      </c>
      <c r="BH43" s="20">
        <v>28.68</v>
      </c>
      <c r="BK43" s="20">
        <v>21.0</v>
      </c>
      <c r="BL43" s="20" t="s">
        <v>14</v>
      </c>
      <c r="BM43" s="20">
        <v>14.09</v>
      </c>
      <c r="BN43" s="20">
        <v>49.1</v>
      </c>
      <c r="BW43" s="20">
        <v>-32.19</v>
      </c>
      <c r="BX43" s="20">
        <v>10.22</v>
      </c>
      <c r="BZ43" s="20">
        <v>-40.25</v>
      </c>
      <c r="CA43" s="20">
        <v>48.37</v>
      </c>
      <c r="CI43" s="20">
        <v>-52.47</v>
      </c>
      <c r="CJ43" s="20">
        <v>-37.61</v>
      </c>
      <c r="CO43" s="20">
        <v>-39.16</v>
      </c>
      <c r="CP43" s="20">
        <v>-37.67</v>
      </c>
      <c r="CS43" s="34">
        <f>IFERROR(__xludf.DUMMYFUNCTION("""COMPUTED_VALUE"""),-8.59)</f>
        <v>-8.59</v>
      </c>
      <c r="CT43" s="34">
        <f>IFERROR(__xludf.DUMMYFUNCTION("""COMPUTED_VALUE"""),18.76)</f>
        <v>18.76</v>
      </c>
    </row>
    <row r="44">
      <c r="A44" s="20">
        <v>-42.31</v>
      </c>
      <c r="B44" s="20">
        <v>23.04</v>
      </c>
      <c r="D44" s="20"/>
      <c r="E44" s="20"/>
      <c r="F44" s="20">
        <v>-7.73</v>
      </c>
      <c r="G44" s="20">
        <v>59.89</v>
      </c>
      <c r="I44" s="20"/>
      <c r="J44" s="20"/>
      <c r="K44" s="20">
        <v>21.0</v>
      </c>
      <c r="L44" s="20" t="s">
        <v>17</v>
      </c>
      <c r="M44" s="20">
        <v>-25.61</v>
      </c>
      <c r="N44" s="20">
        <v>-40.53</v>
      </c>
      <c r="P44" s="20">
        <v>5.22</v>
      </c>
      <c r="Q44" s="20">
        <v>21.29</v>
      </c>
      <c r="AG44" s="20">
        <v>42.0</v>
      </c>
      <c r="AH44" s="20" t="s">
        <v>14</v>
      </c>
      <c r="AI44" s="20">
        <v>-38.25</v>
      </c>
      <c r="AJ44" s="20">
        <v>-38.02</v>
      </c>
      <c r="AM44" s="20">
        <v>21.0</v>
      </c>
      <c r="AN44" s="20" t="s">
        <v>17</v>
      </c>
      <c r="AO44" s="20">
        <v>6.54</v>
      </c>
      <c r="AP44" s="20">
        <v>-21.38</v>
      </c>
      <c r="AS44" s="20">
        <v>21.0</v>
      </c>
      <c r="AT44" s="20" t="s">
        <v>17</v>
      </c>
      <c r="AU44" s="20">
        <v>-50.4</v>
      </c>
      <c r="AV44" s="20">
        <v>-55.33</v>
      </c>
      <c r="BE44" s="20">
        <v>42.0</v>
      </c>
      <c r="BF44" s="20" t="s">
        <v>14</v>
      </c>
      <c r="BG44" s="20">
        <v>10.8</v>
      </c>
      <c r="BH44" s="20">
        <v>34.69</v>
      </c>
      <c r="BK44" s="20">
        <v>21.0</v>
      </c>
      <c r="BL44" s="20" t="s">
        <v>17</v>
      </c>
      <c r="BM44" s="20">
        <v>65.33</v>
      </c>
      <c r="BN44" s="20">
        <v>106.38</v>
      </c>
      <c r="BW44" s="20">
        <v>-26.84</v>
      </c>
      <c r="BX44" s="20">
        <v>-14.44</v>
      </c>
      <c r="BZ44" s="20">
        <v>-26.71</v>
      </c>
      <c r="CA44" s="20">
        <v>176.05</v>
      </c>
      <c r="CI44" s="20">
        <v>-62.71</v>
      </c>
      <c r="CJ44" s="20">
        <v>-40.94</v>
      </c>
      <c r="CO44" s="20">
        <v>-5.07</v>
      </c>
      <c r="CP44" s="20">
        <v>-23.63</v>
      </c>
      <c r="CS44" s="34">
        <f>IFERROR(__xludf.DUMMYFUNCTION("""COMPUTED_VALUE"""),-31.24)</f>
        <v>-31.24</v>
      </c>
      <c r="CT44" s="34">
        <f>IFERROR(__xludf.DUMMYFUNCTION("""COMPUTED_VALUE"""),-11.77)</f>
        <v>-11.77</v>
      </c>
    </row>
    <row r="45">
      <c r="A45" s="20">
        <v>-9.01</v>
      </c>
      <c r="B45" s="20">
        <v>-11.38</v>
      </c>
      <c r="D45" s="20"/>
      <c r="E45" s="20"/>
      <c r="F45" s="20">
        <v>47.55</v>
      </c>
      <c r="G45" s="20">
        <v>52.46</v>
      </c>
      <c r="I45" s="20"/>
      <c r="J45" s="20"/>
      <c r="K45" s="20">
        <v>22.0</v>
      </c>
      <c r="L45" s="20" t="s">
        <v>14</v>
      </c>
      <c r="M45" s="20">
        <v>-1.41</v>
      </c>
      <c r="N45" s="20">
        <v>8.73</v>
      </c>
      <c r="P45" s="20">
        <v>19.35</v>
      </c>
      <c r="Q45" s="20">
        <v>18.93</v>
      </c>
      <c r="AG45" s="20">
        <v>43.0</v>
      </c>
      <c r="AH45" s="20" t="s">
        <v>14</v>
      </c>
      <c r="AI45" s="20">
        <v>-4.47</v>
      </c>
      <c r="AJ45" s="20">
        <v>6.58</v>
      </c>
      <c r="AM45" s="20">
        <v>22.0</v>
      </c>
      <c r="AN45" s="20" t="s">
        <v>14</v>
      </c>
      <c r="AO45" s="20">
        <v>-20.54</v>
      </c>
      <c r="AP45" s="20">
        <v>-30.03</v>
      </c>
      <c r="AS45" s="20">
        <v>22.0</v>
      </c>
      <c r="AT45" s="20" t="s">
        <v>14</v>
      </c>
      <c r="AU45" s="20">
        <v>-15.62</v>
      </c>
      <c r="AV45" s="20">
        <v>-36.4</v>
      </c>
      <c r="BE45" s="20">
        <v>43.0</v>
      </c>
      <c r="BF45" s="20" t="s">
        <v>14</v>
      </c>
      <c r="BG45" s="20">
        <v>24.57</v>
      </c>
      <c r="BH45" s="20">
        <v>2.83</v>
      </c>
      <c r="BK45" s="20">
        <v>22.0</v>
      </c>
      <c r="BL45" s="20" t="s">
        <v>14</v>
      </c>
      <c r="BM45" s="20">
        <v>59.34</v>
      </c>
      <c r="BN45" s="20">
        <v>101.83</v>
      </c>
      <c r="BW45" s="20">
        <v>-20.47</v>
      </c>
      <c r="BX45" s="20">
        <v>-26.59</v>
      </c>
      <c r="BZ45" s="20">
        <v>-30.63</v>
      </c>
      <c r="CA45" s="20">
        <v>-0.55</v>
      </c>
      <c r="CI45" s="20">
        <v>-56.0</v>
      </c>
      <c r="CJ45" s="20">
        <v>-65.67</v>
      </c>
      <c r="CO45" s="20">
        <v>-15.79</v>
      </c>
      <c r="CP45" s="20">
        <v>-52.32</v>
      </c>
      <c r="CS45" s="34">
        <f>IFERROR(__xludf.DUMMYFUNCTION("""COMPUTED_VALUE"""),66.01)</f>
        <v>66.01</v>
      </c>
      <c r="CT45" s="34">
        <f>IFERROR(__xludf.DUMMYFUNCTION("""COMPUTED_VALUE"""),6.98)</f>
        <v>6.98</v>
      </c>
    </row>
    <row r="46">
      <c r="A46" s="20">
        <v>-51.03</v>
      </c>
      <c r="B46" s="20">
        <v>43.58</v>
      </c>
      <c r="D46" s="20"/>
      <c r="E46" s="20"/>
      <c r="F46" s="20">
        <v>2.06</v>
      </c>
      <c r="G46" s="20">
        <v>-0.66</v>
      </c>
      <c r="I46" s="20"/>
      <c r="J46" s="20"/>
      <c r="K46" s="20">
        <v>22.0</v>
      </c>
      <c r="L46" s="20" t="s">
        <v>17</v>
      </c>
      <c r="M46" s="20">
        <v>-57.53</v>
      </c>
      <c r="N46" s="20">
        <v>-26.22</v>
      </c>
      <c r="P46" s="20">
        <v>30.1</v>
      </c>
      <c r="Q46" s="20">
        <v>24.91</v>
      </c>
      <c r="AG46" s="20">
        <v>44.0</v>
      </c>
      <c r="AH46" s="20" t="s">
        <v>14</v>
      </c>
      <c r="AI46" s="20">
        <v>2.66</v>
      </c>
      <c r="AJ46" s="20">
        <v>8.11</v>
      </c>
      <c r="AM46" s="20">
        <v>22.0</v>
      </c>
      <c r="AN46" s="20" t="s">
        <v>17</v>
      </c>
      <c r="AO46" s="20">
        <v>-4.48</v>
      </c>
      <c r="AP46" s="20">
        <v>-15.67</v>
      </c>
      <c r="AS46" s="20">
        <v>22.0</v>
      </c>
      <c r="AT46" s="20" t="s">
        <v>17</v>
      </c>
      <c r="AU46" s="20">
        <v>40.08</v>
      </c>
      <c r="AV46" s="20">
        <v>-38.86</v>
      </c>
      <c r="BE46" s="20">
        <v>44.0</v>
      </c>
      <c r="BF46" s="20" t="s">
        <v>14</v>
      </c>
      <c r="BG46" s="20">
        <v>-6.47</v>
      </c>
      <c r="BH46" s="20">
        <v>12.17</v>
      </c>
      <c r="BK46" s="20">
        <v>22.0</v>
      </c>
      <c r="BL46" s="20" t="s">
        <v>17</v>
      </c>
      <c r="BM46" s="20">
        <v>56.23</v>
      </c>
      <c r="BN46" s="20">
        <v>150.39</v>
      </c>
      <c r="BW46" s="20">
        <v>-43.67</v>
      </c>
      <c r="BX46" s="20">
        <v>-24.25</v>
      </c>
      <c r="BZ46" s="20">
        <v>-24.91</v>
      </c>
      <c r="CA46" s="20">
        <v>46.03</v>
      </c>
      <c r="CI46" s="20">
        <v>-55.4</v>
      </c>
      <c r="CJ46" s="20">
        <v>-66.24</v>
      </c>
      <c r="CO46" s="20">
        <v>6.03</v>
      </c>
      <c r="CP46" s="20">
        <v>-45.04</v>
      </c>
      <c r="CS46" s="34">
        <f>IFERROR(__xludf.DUMMYFUNCTION("""COMPUTED_VALUE"""),10.93)</f>
        <v>10.93</v>
      </c>
      <c r="CT46" s="34">
        <f>IFERROR(__xludf.DUMMYFUNCTION("""COMPUTED_VALUE"""),-7.88)</f>
        <v>-7.88</v>
      </c>
    </row>
    <row r="47">
      <c r="A47" s="20">
        <v>-67.81</v>
      </c>
      <c r="B47" s="20">
        <v>34.42</v>
      </c>
      <c r="D47" s="20"/>
      <c r="E47" s="20"/>
      <c r="F47" s="20">
        <v>29.1</v>
      </c>
      <c r="G47" s="20">
        <v>65.4</v>
      </c>
      <c r="I47" s="20"/>
      <c r="J47" s="20"/>
      <c r="K47" s="20">
        <v>23.0</v>
      </c>
      <c r="L47" s="20" t="s">
        <v>14</v>
      </c>
      <c r="M47" s="20">
        <v>-30.02</v>
      </c>
      <c r="N47" s="20">
        <v>-4.9</v>
      </c>
      <c r="P47" s="20">
        <v>14.34</v>
      </c>
      <c r="Q47" s="20">
        <v>32.12</v>
      </c>
      <c r="AG47" s="20">
        <v>45.0</v>
      </c>
      <c r="AH47" s="20" t="s">
        <v>14</v>
      </c>
      <c r="AI47" s="20">
        <v>-39.19</v>
      </c>
      <c r="AJ47" s="20">
        <v>-13.71</v>
      </c>
      <c r="AM47" s="20">
        <v>23.0</v>
      </c>
      <c r="AN47" s="20" t="s">
        <v>14</v>
      </c>
      <c r="AO47" s="20">
        <v>-2.97</v>
      </c>
      <c r="AP47" s="20">
        <v>-22.48</v>
      </c>
      <c r="AS47" s="20">
        <v>23.0</v>
      </c>
      <c r="AT47" s="20" t="s">
        <v>14</v>
      </c>
      <c r="AU47" s="20">
        <v>-7.33</v>
      </c>
      <c r="AV47" s="20">
        <v>-33.46</v>
      </c>
      <c r="BE47" s="20">
        <v>45.0</v>
      </c>
      <c r="BF47" s="20" t="s">
        <v>14</v>
      </c>
      <c r="BG47" s="20">
        <v>-6.17</v>
      </c>
      <c r="BH47" s="20">
        <v>25.73</v>
      </c>
      <c r="BK47" s="20">
        <v>23.0</v>
      </c>
      <c r="BL47" s="20" t="s">
        <v>14</v>
      </c>
      <c r="BM47" s="20">
        <v>64.3</v>
      </c>
      <c r="BN47" s="20">
        <v>71.37</v>
      </c>
      <c r="BW47" s="20">
        <v>-50.26</v>
      </c>
      <c r="BX47" s="20">
        <v>-6.22</v>
      </c>
      <c r="BZ47" s="20">
        <v>-43.01</v>
      </c>
      <c r="CA47" s="20">
        <v>42.76</v>
      </c>
      <c r="CI47" s="20">
        <v>-34.23</v>
      </c>
      <c r="CJ47" s="20">
        <v>-55.99</v>
      </c>
      <c r="CO47" s="20">
        <v>-19.05</v>
      </c>
      <c r="CP47" s="20">
        <v>-37.78</v>
      </c>
      <c r="CS47" s="34">
        <f>IFERROR(__xludf.DUMMYFUNCTION("""COMPUTED_VALUE"""),112.74)</f>
        <v>112.74</v>
      </c>
      <c r="CT47" s="34">
        <f>IFERROR(__xludf.DUMMYFUNCTION("""COMPUTED_VALUE"""),-11.95)</f>
        <v>-11.95</v>
      </c>
    </row>
    <row r="48">
      <c r="A48" s="20">
        <v>-15.08</v>
      </c>
      <c r="B48" s="20">
        <v>72.09</v>
      </c>
      <c r="D48" s="20"/>
      <c r="E48" s="20"/>
      <c r="F48" s="20">
        <v>-38.46</v>
      </c>
      <c r="G48" s="20">
        <v>49.51</v>
      </c>
      <c r="I48" s="20"/>
      <c r="J48" s="20"/>
      <c r="K48" s="20">
        <v>23.0</v>
      </c>
      <c r="L48" s="20" t="s">
        <v>17</v>
      </c>
      <c r="M48" s="20">
        <v>-22.2</v>
      </c>
      <c r="N48" s="20">
        <v>9.05</v>
      </c>
      <c r="P48" s="20">
        <v>30.99</v>
      </c>
      <c r="Q48" s="20">
        <v>33.33</v>
      </c>
      <c r="AG48" s="20">
        <v>46.0</v>
      </c>
      <c r="AH48" s="20" t="s">
        <v>14</v>
      </c>
      <c r="AI48" s="20">
        <v>-20.58</v>
      </c>
      <c r="AJ48" s="20">
        <v>-23.9</v>
      </c>
      <c r="AM48" s="20">
        <v>23.0</v>
      </c>
      <c r="AN48" s="20" t="s">
        <v>17</v>
      </c>
      <c r="AO48" s="20">
        <v>3.34</v>
      </c>
      <c r="AP48" s="20">
        <v>8.95</v>
      </c>
      <c r="AS48" s="20">
        <v>23.0</v>
      </c>
      <c r="AT48" s="20" t="s">
        <v>17</v>
      </c>
      <c r="AU48" s="20">
        <v>-27.27</v>
      </c>
      <c r="AV48" s="20">
        <v>-47.68</v>
      </c>
      <c r="BE48" s="20">
        <v>46.0</v>
      </c>
      <c r="BF48" s="20" t="s">
        <v>14</v>
      </c>
      <c r="BG48" s="20">
        <v>49.8</v>
      </c>
      <c r="BH48" s="20">
        <v>29.92</v>
      </c>
      <c r="BK48" s="20">
        <v>23.0</v>
      </c>
      <c r="BL48" s="20" t="s">
        <v>17</v>
      </c>
      <c r="BM48" s="20">
        <v>52.43</v>
      </c>
      <c r="BN48" s="20">
        <v>77.11</v>
      </c>
      <c r="BW48" s="20">
        <v>-35.62</v>
      </c>
      <c r="BX48" s="20">
        <v>-33.88</v>
      </c>
      <c r="BZ48" s="20">
        <v>-42.41</v>
      </c>
      <c r="CA48" s="20">
        <v>65.93</v>
      </c>
      <c r="CI48" s="20">
        <v>-48.67</v>
      </c>
      <c r="CJ48" s="20">
        <v>-64.27</v>
      </c>
      <c r="CO48" s="20">
        <v>-46.93</v>
      </c>
      <c r="CP48" s="20">
        <v>-44.27</v>
      </c>
      <c r="CS48" s="34">
        <f>IFERROR(__xludf.DUMMYFUNCTION("""COMPUTED_VALUE"""),-40.6)</f>
        <v>-40.6</v>
      </c>
      <c r="CT48" s="34">
        <f>IFERROR(__xludf.DUMMYFUNCTION("""COMPUTED_VALUE"""),-3.06)</f>
        <v>-3.06</v>
      </c>
    </row>
    <row r="49">
      <c r="A49" s="20">
        <v>-27.3</v>
      </c>
      <c r="B49" s="20">
        <v>-10.09</v>
      </c>
      <c r="D49" s="20"/>
      <c r="E49" s="20"/>
      <c r="F49" s="20">
        <v>-27.08</v>
      </c>
      <c r="G49" s="20">
        <v>27.26</v>
      </c>
      <c r="I49" s="20"/>
      <c r="J49" s="20"/>
      <c r="K49" s="20">
        <v>24.0</v>
      </c>
      <c r="L49" s="20" t="s">
        <v>14</v>
      </c>
      <c r="M49" s="20">
        <v>22.06</v>
      </c>
      <c r="N49" s="20">
        <v>52.4</v>
      </c>
      <c r="P49" s="20">
        <v>20.0</v>
      </c>
      <c r="Q49" s="20">
        <v>32.42</v>
      </c>
      <c r="AG49" s="20">
        <v>47.0</v>
      </c>
      <c r="AH49" s="20" t="s">
        <v>14</v>
      </c>
      <c r="AI49" s="20">
        <v>9.45</v>
      </c>
      <c r="AJ49" s="20">
        <v>-1.99</v>
      </c>
      <c r="AM49" s="20">
        <v>24.0</v>
      </c>
      <c r="AN49" s="20" t="s">
        <v>14</v>
      </c>
      <c r="AO49" s="20">
        <v>-32.28</v>
      </c>
      <c r="AP49" s="20">
        <v>-34.41</v>
      </c>
      <c r="AS49" s="20">
        <v>24.0</v>
      </c>
      <c r="AT49" s="20" t="s">
        <v>14</v>
      </c>
      <c r="AU49" s="20">
        <v>-10.0</v>
      </c>
      <c r="AV49" s="20">
        <v>-57.16</v>
      </c>
      <c r="BE49" s="20">
        <v>47.0</v>
      </c>
      <c r="BF49" s="20" t="s">
        <v>14</v>
      </c>
      <c r="BG49" s="20">
        <v>4.36</v>
      </c>
      <c r="BH49" s="20">
        <v>-8.46</v>
      </c>
      <c r="BK49" s="20">
        <v>24.0</v>
      </c>
      <c r="BL49" s="20" t="s">
        <v>14</v>
      </c>
      <c r="BM49" s="20">
        <v>78.83</v>
      </c>
      <c r="BN49" s="20">
        <v>117.66</v>
      </c>
      <c r="BW49" s="20">
        <v>-2.6</v>
      </c>
      <c r="BX49" s="20">
        <v>-38.52</v>
      </c>
      <c r="BZ49" s="20">
        <v>-47.96</v>
      </c>
      <c r="CA49" s="20">
        <v>-16.22</v>
      </c>
      <c r="CI49" s="20">
        <v>-63.17</v>
      </c>
      <c r="CJ49" s="20">
        <v>-64.1</v>
      </c>
      <c r="CO49" s="20">
        <v>-4.35</v>
      </c>
      <c r="CP49" s="20">
        <v>-55.39</v>
      </c>
      <c r="CS49" s="34">
        <f>IFERROR(__xludf.DUMMYFUNCTION("""COMPUTED_VALUE"""),-28.43)</f>
        <v>-28.43</v>
      </c>
      <c r="CT49" s="34">
        <f>IFERROR(__xludf.DUMMYFUNCTION("""COMPUTED_VALUE"""),-20.66)</f>
        <v>-20.66</v>
      </c>
    </row>
    <row r="50">
      <c r="A50" s="20">
        <v>-10.66</v>
      </c>
      <c r="B50" s="20">
        <v>42.98</v>
      </c>
      <c r="D50" s="20"/>
      <c r="E50" s="20"/>
      <c r="F50" s="20">
        <v>-21.28</v>
      </c>
      <c r="G50" s="20">
        <v>83.52</v>
      </c>
      <c r="I50" s="20"/>
      <c r="J50" s="20"/>
      <c r="K50" s="20">
        <v>24.0</v>
      </c>
      <c r="L50" s="20" t="s">
        <v>17</v>
      </c>
      <c r="M50" s="20">
        <v>-14.76</v>
      </c>
      <c r="N50" s="20">
        <v>53.41</v>
      </c>
      <c r="P50" s="20">
        <v>39.27</v>
      </c>
      <c r="Q50" s="20">
        <v>44.66</v>
      </c>
      <c r="AG50" s="20">
        <v>48.0</v>
      </c>
      <c r="AH50" s="20" t="s">
        <v>14</v>
      </c>
      <c r="AI50" s="20">
        <v>5.23</v>
      </c>
      <c r="AJ50" s="20">
        <v>-26.84</v>
      </c>
      <c r="AM50" s="20">
        <v>24.0</v>
      </c>
      <c r="AN50" s="20" t="s">
        <v>17</v>
      </c>
      <c r="AO50" s="20">
        <v>-2.93</v>
      </c>
      <c r="AP50" s="20">
        <v>-22.66</v>
      </c>
      <c r="AS50" s="20">
        <v>24.0</v>
      </c>
      <c r="AT50" s="20" t="s">
        <v>17</v>
      </c>
      <c r="AU50" s="20">
        <v>-35.03</v>
      </c>
      <c r="AV50" s="20">
        <v>-51.77</v>
      </c>
      <c r="BE50" s="20">
        <v>48.0</v>
      </c>
      <c r="BF50" s="20" t="s">
        <v>14</v>
      </c>
      <c r="BG50" s="20">
        <v>50.26</v>
      </c>
      <c r="BH50" s="20">
        <v>14.0</v>
      </c>
      <c r="BK50" s="20">
        <v>24.0</v>
      </c>
      <c r="BL50" s="20" t="s">
        <v>17</v>
      </c>
      <c r="BM50" s="20">
        <v>62.01</v>
      </c>
      <c r="BN50" s="20">
        <v>155.34</v>
      </c>
      <c r="BW50" s="20">
        <v>-31.73</v>
      </c>
      <c r="BX50" s="20">
        <v>-16.28</v>
      </c>
      <c r="BZ50" s="20">
        <v>-29.78</v>
      </c>
      <c r="CA50" s="20">
        <v>0.28</v>
      </c>
      <c r="CI50" s="20">
        <v>-47.22</v>
      </c>
      <c r="CJ50" s="20">
        <v>-36.1</v>
      </c>
      <c r="CO50" s="20">
        <v>10.22</v>
      </c>
      <c r="CP50" s="20">
        <v>-54.42</v>
      </c>
      <c r="CS50" s="34">
        <f>IFERROR(__xludf.DUMMYFUNCTION("""COMPUTED_VALUE"""),-11.87)</f>
        <v>-11.87</v>
      </c>
      <c r="CT50" s="34">
        <f>IFERROR(__xludf.DUMMYFUNCTION("""COMPUTED_VALUE"""),-20.51)</f>
        <v>-20.51</v>
      </c>
    </row>
    <row r="51">
      <c r="A51" s="20">
        <v>-18.26</v>
      </c>
      <c r="B51" s="20">
        <v>78.19</v>
      </c>
      <c r="D51" s="20"/>
      <c r="E51" s="20"/>
      <c r="F51" s="20">
        <v>13.58</v>
      </c>
      <c r="G51" s="20">
        <v>-20.21</v>
      </c>
      <c r="I51" s="20"/>
      <c r="J51" s="20"/>
      <c r="K51" s="20">
        <v>25.0</v>
      </c>
      <c r="L51" s="20" t="s">
        <v>14</v>
      </c>
      <c r="M51" s="20">
        <v>23.83</v>
      </c>
      <c r="N51" s="20">
        <v>62.18</v>
      </c>
      <c r="P51" s="20">
        <v>79.33</v>
      </c>
      <c r="Q51" s="20">
        <v>135.08</v>
      </c>
      <c r="AG51" s="20">
        <v>49.0</v>
      </c>
      <c r="AH51" s="20" t="s">
        <v>14</v>
      </c>
      <c r="AI51" s="20">
        <v>-39.04</v>
      </c>
      <c r="AJ51" s="20">
        <v>-20.75</v>
      </c>
      <c r="AM51" s="20">
        <v>25.0</v>
      </c>
      <c r="AN51" s="20" t="s">
        <v>14</v>
      </c>
      <c r="AO51" s="20">
        <v>25.82</v>
      </c>
      <c r="AP51" s="20">
        <v>-24.08</v>
      </c>
      <c r="AS51" s="20">
        <v>25.0</v>
      </c>
      <c r="AT51" s="20" t="s">
        <v>14</v>
      </c>
      <c r="AU51" s="20">
        <v>-0.12</v>
      </c>
      <c r="AV51" s="20">
        <v>-45.21</v>
      </c>
      <c r="BE51" s="20">
        <v>49.0</v>
      </c>
      <c r="BF51" s="20" t="s">
        <v>14</v>
      </c>
      <c r="BG51" s="20">
        <v>85.56</v>
      </c>
      <c r="BH51" s="20">
        <v>133.68</v>
      </c>
      <c r="BK51" s="20">
        <v>25.0</v>
      </c>
      <c r="BL51" s="20" t="s">
        <v>14</v>
      </c>
      <c r="BM51" s="20">
        <v>18.08</v>
      </c>
      <c r="BN51" s="20">
        <v>132.11</v>
      </c>
      <c r="BW51" s="20">
        <v>13.12</v>
      </c>
      <c r="BX51" s="20">
        <v>-17.28</v>
      </c>
      <c r="BZ51" s="20">
        <v>-63.33</v>
      </c>
      <c r="CA51" s="20">
        <v>49.39</v>
      </c>
      <c r="CI51" s="20">
        <v>-42.08</v>
      </c>
      <c r="CJ51" s="20">
        <v>-41.93</v>
      </c>
      <c r="CO51" s="20">
        <v>-13.56</v>
      </c>
      <c r="CP51" s="20">
        <v>-50.23</v>
      </c>
      <c r="CS51" s="34">
        <f>IFERROR(__xludf.DUMMYFUNCTION("""COMPUTED_VALUE"""),-30.75)</f>
        <v>-30.75</v>
      </c>
      <c r="CT51" s="34">
        <f>IFERROR(__xludf.DUMMYFUNCTION("""COMPUTED_VALUE"""),-14.3)</f>
        <v>-14.3</v>
      </c>
    </row>
    <row r="52">
      <c r="A52" s="20">
        <v>51.5</v>
      </c>
      <c r="B52" s="20">
        <v>91.92</v>
      </c>
      <c r="D52" s="20"/>
      <c r="E52" s="20"/>
      <c r="F52" s="20">
        <v>17.14</v>
      </c>
      <c r="G52" s="20">
        <v>-31.93</v>
      </c>
      <c r="I52" s="20"/>
      <c r="J52" s="20"/>
      <c r="K52" s="20">
        <v>25.0</v>
      </c>
      <c r="L52" s="20" t="s">
        <v>17</v>
      </c>
      <c r="M52" s="20">
        <v>6.5</v>
      </c>
      <c r="N52" s="20">
        <v>-23.2</v>
      </c>
      <c r="P52" s="20">
        <v>95.49</v>
      </c>
      <c r="Q52" s="20">
        <v>138.89</v>
      </c>
      <c r="AG52" s="20">
        <v>50.0</v>
      </c>
      <c r="AH52" s="20" t="s">
        <v>14</v>
      </c>
      <c r="AI52" s="20">
        <v>-17.01</v>
      </c>
      <c r="AJ52" s="20">
        <v>-13.53</v>
      </c>
      <c r="AM52" s="20">
        <v>25.0</v>
      </c>
      <c r="AN52" s="20" t="s">
        <v>17</v>
      </c>
      <c r="AO52" s="20">
        <v>34.51</v>
      </c>
      <c r="AP52" s="20">
        <v>103.52</v>
      </c>
      <c r="AS52" s="20">
        <v>25.0</v>
      </c>
      <c r="AT52" s="20" t="s">
        <v>17</v>
      </c>
      <c r="AU52" s="20">
        <v>48.18</v>
      </c>
      <c r="AV52" s="20">
        <v>-15.84</v>
      </c>
      <c r="BE52" s="20">
        <v>50.0</v>
      </c>
      <c r="BF52" s="20" t="s">
        <v>14</v>
      </c>
      <c r="BG52" s="20">
        <v>15.25</v>
      </c>
      <c r="BH52" s="20">
        <v>-24.12</v>
      </c>
      <c r="BK52" s="20">
        <v>25.0</v>
      </c>
      <c r="BL52" s="20" t="s">
        <v>17</v>
      </c>
      <c r="BM52" s="20">
        <v>42.1</v>
      </c>
      <c r="BN52" s="20">
        <v>44.24</v>
      </c>
      <c r="BW52" s="20">
        <v>0.96</v>
      </c>
      <c r="BX52" s="20">
        <v>18.69</v>
      </c>
      <c r="BZ52" s="20">
        <v>-39.95</v>
      </c>
      <c r="CA52" s="20">
        <v>-43.99</v>
      </c>
      <c r="CI52" s="20">
        <v>-16.78</v>
      </c>
      <c r="CJ52" s="20">
        <v>-34.5</v>
      </c>
      <c r="CO52" s="20">
        <v>-31.79</v>
      </c>
      <c r="CP52" s="20">
        <v>-34.99</v>
      </c>
      <c r="CS52" s="34">
        <f>IFERROR(__xludf.DUMMYFUNCTION("""COMPUTED_VALUE"""),-33.57)</f>
        <v>-33.57</v>
      </c>
      <c r="CT52" s="34">
        <f>IFERROR(__xludf.DUMMYFUNCTION("""COMPUTED_VALUE"""),-13.73)</f>
        <v>-13.73</v>
      </c>
    </row>
    <row r="53">
      <c r="A53" s="20">
        <v>-68.75</v>
      </c>
      <c r="B53" s="20">
        <v>78.59</v>
      </c>
      <c r="D53" s="20"/>
      <c r="E53" s="20"/>
      <c r="F53" s="20">
        <v>-27.54</v>
      </c>
      <c r="G53" s="20">
        <v>-14.99</v>
      </c>
      <c r="I53" s="20"/>
      <c r="J53" s="20"/>
      <c r="K53" s="20">
        <v>26.0</v>
      </c>
      <c r="L53" s="20" t="s">
        <v>14</v>
      </c>
      <c r="M53" s="20">
        <v>-52.75</v>
      </c>
      <c r="N53" s="20">
        <v>-13.7</v>
      </c>
      <c r="P53" s="20">
        <v>-14.56</v>
      </c>
      <c r="Q53" s="20">
        <v>112.63</v>
      </c>
      <c r="AG53" s="20">
        <v>51.0</v>
      </c>
      <c r="AH53" s="20" t="s">
        <v>14</v>
      </c>
      <c r="AI53" s="20">
        <v>-13.37</v>
      </c>
      <c r="AJ53" s="20">
        <v>-6.13</v>
      </c>
      <c r="AM53" s="20">
        <v>26.0</v>
      </c>
      <c r="AN53" s="20" t="s">
        <v>14</v>
      </c>
      <c r="AO53" s="20">
        <v>24.26</v>
      </c>
      <c r="AP53" s="20">
        <v>17.46</v>
      </c>
      <c r="AS53" s="20">
        <v>26.0</v>
      </c>
      <c r="AT53" s="20" t="s">
        <v>14</v>
      </c>
      <c r="AU53" s="20">
        <v>5.55</v>
      </c>
      <c r="AV53" s="20">
        <v>-20.36</v>
      </c>
      <c r="BE53" s="20">
        <v>51.0</v>
      </c>
      <c r="BF53" s="20" t="s">
        <v>14</v>
      </c>
      <c r="BG53" s="20">
        <v>24.15</v>
      </c>
      <c r="BH53" s="20">
        <v>5.99</v>
      </c>
      <c r="BK53" s="20">
        <v>26.0</v>
      </c>
      <c r="BL53" s="20" t="s">
        <v>14</v>
      </c>
      <c r="BM53" s="20">
        <v>79.05</v>
      </c>
      <c r="BN53" s="20">
        <v>131.37</v>
      </c>
      <c r="BW53" s="20">
        <v>-32.46</v>
      </c>
      <c r="BX53" s="20">
        <v>-0.6</v>
      </c>
      <c r="BZ53" s="20">
        <v>-77.33</v>
      </c>
      <c r="CA53" s="20">
        <v>-32.05</v>
      </c>
      <c r="CI53" s="20">
        <v>-14.68</v>
      </c>
      <c r="CJ53" s="20">
        <v>-32.85</v>
      </c>
      <c r="CO53" s="20">
        <v>-59.27</v>
      </c>
      <c r="CP53" s="20">
        <v>-40.79</v>
      </c>
      <c r="CS53" s="34">
        <f>IFERROR(__xludf.DUMMYFUNCTION("""COMPUTED_VALUE"""),-18.32)</f>
        <v>-18.32</v>
      </c>
      <c r="CT53" s="34">
        <f>IFERROR(__xludf.DUMMYFUNCTION("""COMPUTED_VALUE"""),68.17)</f>
        <v>68.17</v>
      </c>
    </row>
    <row r="54">
      <c r="A54" s="20">
        <v>-24.23</v>
      </c>
      <c r="B54" s="20">
        <v>61.87</v>
      </c>
      <c r="D54" s="20"/>
      <c r="E54" s="20"/>
      <c r="F54" s="20">
        <v>-17.1</v>
      </c>
      <c r="G54" s="20">
        <v>-29.39</v>
      </c>
      <c r="I54" s="20"/>
      <c r="J54" s="20"/>
      <c r="K54" s="20">
        <v>26.0</v>
      </c>
      <c r="L54" s="20" t="s">
        <v>17</v>
      </c>
      <c r="M54" s="20">
        <v>-69.86</v>
      </c>
      <c r="N54" s="20">
        <v>-55.65</v>
      </c>
      <c r="P54" s="20">
        <v>4.81</v>
      </c>
      <c r="Q54" s="20">
        <v>94.17</v>
      </c>
      <c r="AG54" s="20">
        <v>52.0</v>
      </c>
      <c r="AH54" s="20" t="s">
        <v>14</v>
      </c>
      <c r="AI54" s="20">
        <v>-24.3</v>
      </c>
      <c r="AJ54" s="20">
        <v>-10.84</v>
      </c>
      <c r="AM54" s="20">
        <v>26.0</v>
      </c>
      <c r="AN54" s="20" t="s">
        <v>17</v>
      </c>
      <c r="AO54" s="20">
        <v>-43.36</v>
      </c>
      <c r="AP54" s="20">
        <v>-55.98</v>
      </c>
      <c r="AS54" s="20">
        <v>26.0</v>
      </c>
      <c r="AT54" s="20" t="s">
        <v>17</v>
      </c>
      <c r="AU54" s="20">
        <v>-16.12</v>
      </c>
      <c r="AV54" s="20">
        <v>-31.49</v>
      </c>
      <c r="BE54" s="20">
        <v>52.0</v>
      </c>
      <c r="BF54" s="20" t="s">
        <v>14</v>
      </c>
      <c r="BG54" s="20">
        <v>36.88</v>
      </c>
      <c r="BH54" s="20">
        <v>40.44</v>
      </c>
      <c r="BK54" s="20">
        <v>26.0</v>
      </c>
      <c r="BL54" s="20" t="s">
        <v>17</v>
      </c>
      <c r="BM54" s="20">
        <v>94.2</v>
      </c>
      <c r="BN54" s="20">
        <v>83.74</v>
      </c>
      <c r="BW54" s="20">
        <v>-55.2</v>
      </c>
      <c r="BX54" s="20">
        <v>-29.82</v>
      </c>
      <c r="BZ54" s="20">
        <v>89.61</v>
      </c>
      <c r="CA54" s="20">
        <v>9.79</v>
      </c>
      <c r="CI54" s="20">
        <v>-53.15</v>
      </c>
      <c r="CJ54" s="20">
        <v>-67.11</v>
      </c>
      <c r="CO54" s="20">
        <v>-49.31</v>
      </c>
      <c r="CP54" s="20">
        <v>-49.56</v>
      </c>
      <c r="CS54" s="34">
        <f>IFERROR(__xludf.DUMMYFUNCTION("""COMPUTED_VALUE"""),26.15)</f>
        <v>26.15</v>
      </c>
      <c r="CT54" s="34">
        <f>IFERROR(__xludf.DUMMYFUNCTION("""COMPUTED_VALUE"""),-18.89)</f>
        <v>-18.89</v>
      </c>
    </row>
    <row r="55">
      <c r="A55" s="20">
        <v>-14.88</v>
      </c>
      <c r="B55" s="20">
        <v>36.22</v>
      </c>
      <c r="D55" s="20"/>
      <c r="E55" s="20"/>
      <c r="F55" s="20">
        <v>-32.11</v>
      </c>
      <c r="G55" s="20">
        <v>-30.58</v>
      </c>
      <c r="I55" s="20"/>
      <c r="J55" s="20"/>
      <c r="K55" s="20">
        <v>27.0</v>
      </c>
      <c r="L55" s="20" t="s">
        <v>14</v>
      </c>
      <c r="M55" s="20">
        <v>-15.95</v>
      </c>
      <c r="N55" s="20">
        <v>2.6</v>
      </c>
      <c r="P55" s="20">
        <v>-7.57</v>
      </c>
      <c r="Q55" s="20">
        <v>8.82</v>
      </c>
      <c r="AG55" s="20">
        <v>53.0</v>
      </c>
      <c r="AH55" s="20" t="s">
        <v>14</v>
      </c>
      <c r="AI55" s="20">
        <v>-18.42</v>
      </c>
      <c r="AJ55" s="20">
        <v>-8.21</v>
      </c>
      <c r="AM55" s="20">
        <v>27.0</v>
      </c>
      <c r="AN55" s="20" t="s">
        <v>14</v>
      </c>
      <c r="AO55" s="20">
        <v>29.78</v>
      </c>
      <c r="AP55" s="20">
        <v>-42.41</v>
      </c>
      <c r="AS55" s="20">
        <v>27.0</v>
      </c>
      <c r="AT55" s="20" t="s">
        <v>14</v>
      </c>
      <c r="AU55" s="20">
        <v>3.45</v>
      </c>
      <c r="AV55" s="20">
        <v>-65.71</v>
      </c>
      <c r="BE55" s="20">
        <v>53.0</v>
      </c>
      <c r="BF55" s="20" t="s">
        <v>14</v>
      </c>
      <c r="BG55" s="20">
        <v>31.12</v>
      </c>
      <c r="BH55" s="20">
        <v>2.9</v>
      </c>
      <c r="BK55" s="20">
        <v>27.0</v>
      </c>
      <c r="BL55" s="20" t="s">
        <v>14</v>
      </c>
      <c r="BM55" s="20">
        <v>143.23</v>
      </c>
      <c r="BN55" s="20">
        <v>98.83</v>
      </c>
      <c r="BW55" s="20">
        <v>-55.66</v>
      </c>
      <c r="BX55" s="20">
        <v>-39.88</v>
      </c>
      <c r="BZ55" s="20">
        <v>-50.43</v>
      </c>
      <c r="CA55" s="20">
        <v>-5.14</v>
      </c>
      <c r="CI55" s="20">
        <v>-47.74</v>
      </c>
      <c r="CJ55" s="20">
        <v>-63.63</v>
      </c>
      <c r="CO55" s="20">
        <v>-52.04</v>
      </c>
      <c r="CP55" s="20">
        <v>-45.88</v>
      </c>
      <c r="CS55" s="34">
        <f>IFERROR(__xludf.DUMMYFUNCTION("""COMPUTED_VALUE"""),-55.74)</f>
        <v>-55.74</v>
      </c>
      <c r="CT55" s="34">
        <f>IFERROR(__xludf.DUMMYFUNCTION("""COMPUTED_VALUE"""),-6.75)</f>
        <v>-6.75</v>
      </c>
    </row>
    <row r="56">
      <c r="A56" s="20">
        <v>-51.77</v>
      </c>
      <c r="B56" s="20">
        <v>-17.76</v>
      </c>
      <c r="D56" s="20"/>
      <c r="E56" s="20"/>
      <c r="F56" s="20">
        <v>-29.41</v>
      </c>
      <c r="G56" s="20">
        <v>-38.0</v>
      </c>
      <c r="I56" s="20"/>
      <c r="J56" s="20"/>
      <c r="K56" s="20">
        <v>27.0</v>
      </c>
      <c r="L56" s="20" t="s">
        <v>17</v>
      </c>
      <c r="M56" s="20">
        <v>-40.09</v>
      </c>
      <c r="N56" s="20">
        <v>14.37</v>
      </c>
      <c r="P56" s="20">
        <v>-21.49</v>
      </c>
      <c r="Q56" s="20">
        <v>-16.32</v>
      </c>
      <c r="AG56" s="20">
        <v>54.0</v>
      </c>
      <c r="AH56" s="20" t="s">
        <v>14</v>
      </c>
      <c r="AI56" s="20">
        <v>-23.84</v>
      </c>
      <c r="AJ56" s="20">
        <v>-22.9</v>
      </c>
      <c r="AM56" s="20">
        <v>27.0</v>
      </c>
      <c r="AN56" s="20" t="s">
        <v>17</v>
      </c>
      <c r="AO56" s="20">
        <v>23.03</v>
      </c>
      <c r="AP56" s="20">
        <v>34.01</v>
      </c>
      <c r="AS56" s="20">
        <v>27.0</v>
      </c>
      <c r="AT56" s="20" t="s">
        <v>17</v>
      </c>
      <c r="AU56" s="20">
        <v>-5.31</v>
      </c>
      <c r="AV56" s="20">
        <v>-44.02</v>
      </c>
      <c r="BE56" s="20">
        <v>54.0</v>
      </c>
      <c r="BF56" s="20" t="s">
        <v>14</v>
      </c>
      <c r="BG56" s="20">
        <v>32.48</v>
      </c>
      <c r="BH56" s="20">
        <v>29.75</v>
      </c>
      <c r="BK56" s="20">
        <v>27.0</v>
      </c>
      <c r="BL56" s="20" t="s">
        <v>17</v>
      </c>
      <c r="BM56" s="20">
        <v>220.69</v>
      </c>
      <c r="BN56" s="20">
        <v>50.25</v>
      </c>
      <c r="BW56" s="20">
        <v>-47.72</v>
      </c>
      <c r="BX56" s="20">
        <v>-42.56</v>
      </c>
      <c r="BZ56" s="20">
        <v>-61.02</v>
      </c>
      <c r="CA56" s="20">
        <v>-46.64</v>
      </c>
      <c r="CI56" s="20">
        <v>-32.12</v>
      </c>
      <c r="CJ56" s="20">
        <v>-61.47</v>
      </c>
      <c r="CO56" s="20">
        <v>-47.04</v>
      </c>
      <c r="CP56" s="20">
        <v>-45.16</v>
      </c>
      <c r="CS56" s="34">
        <f>IFERROR(__xludf.DUMMYFUNCTION("""COMPUTED_VALUE"""),-48.56)</f>
        <v>-48.56</v>
      </c>
      <c r="CT56" s="34">
        <f>IFERROR(__xludf.DUMMYFUNCTION("""COMPUTED_VALUE"""),-18.11)</f>
        <v>-18.11</v>
      </c>
    </row>
    <row r="57">
      <c r="A57" s="20">
        <v>-20.21</v>
      </c>
      <c r="B57" s="20">
        <v>8.82</v>
      </c>
      <c r="D57" s="20"/>
      <c r="E57" s="20"/>
      <c r="F57" s="20">
        <v>11.9</v>
      </c>
      <c r="G57" s="20">
        <v>17.36</v>
      </c>
      <c r="I57" s="20"/>
      <c r="J57" s="20"/>
      <c r="K57" s="20">
        <v>28.0</v>
      </c>
      <c r="L57" s="20" t="s">
        <v>14</v>
      </c>
      <c r="M57" s="20">
        <v>-42.3</v>
      </c>
      <c r="N57" s="20">
        <v>-2.45</v>
      </c>
      <c r="P57" s="20">
        <v>-60.34</v>
      </c>
      <c r="Q57" s="20">
        <v>-26.99</v>
      </c>
      <c r="AG57" s="20">
        <v>55.0</v>
      </c>
      <c r="AH57" s="20" t="s">
        <v>14</v>
      </c>
      <c r="AI57" s="20">
        <v>-48.41</v>
      </c>
      <c r="AJ57" s="20">
        <v>-25.28</v>
      </c>
      <c r="AM57" s="20">
        <v>28.0</v>
      </c>
      <c r="AN57" s="20" t="s">
        <v>14</v>
      </c>
      <c r="AO57" s="20">
        <v>-0.51</v>
      </c>
      <c r="AP57" s="20">
        <v>-44.58</v>
      </c>
      <c r="AS57" s="20">
        <v>28.0</v>
      </c>
      <c r="AT57" s="20" t="s">
        <v>14</v>
      </c>
      <c r="AU57" s="20">
        <v>-24.5</v>
      </c>
      <c r="AV57" s="20">
        <v>-50.07</v>
      </c>
      <c r="BE57" s="20">
        <v>55.0</v>
      </c>
      <c r="BF57" s="20" t="s">
        <v>14</v>
      </c>
      <c r="BG57" s="20">
        <v>13.12</v>
      </c>
      <c r="BH57" s="20">
        <v>28.09</v>
      </c>
      <c r="BK57" s="20">
        <v>28.0</v>
      </c>
      <c r="BL57" s="20" t="s">
        <v>14</v>
      </c>
      <c r="BM57" s="20">
        <v>236.47</v>
      </c>
      <c r="BN57" s="20">
        <v>139.94</v>
      </c>
      <c r="BW57" s="20">
        <v>-52.86</v>
      </c>
      <c r="BX57" s="20">
        <v>-52.88</v>
      </c>
      <c r="BZ57" s="20">
        <v>-47.63</v>
      </c>
      <c r="CA57" s="20">
        <v>152.36</v>
      </c>
      <c r="CI57" s="20">
        <v>-43.63</v>
      </c>
      <c r="CJ57" s="20">
        <v>-60.6</v>
      </c>
      <c r="CO57" s="20">
        <v>-26.18</v>
      </c>
      <c r="CP57" s="20">
        <v>-43.4</v>
      </c>
      <c r="CS57" s="34">
        <f>IFERROR(__xludf.DUMMYFUNCTION("""COMPUTED_VALUE"""),7.79)</f>
        <v>7.79</v>
      </c>
      <c r="CT57" s="34">
        <f>IFERROR(__xludf.DUMMYFUNCTION("""COMPUTED_VALUE"""),-14.74)</f>
        <v>-14.74</v>
      </c>
    </row>
    <row r="58">
      <c r="A58" s="20">
        <v>-49.47</v>
      </c>
      <c r="B58" s="20">
        <v>-7.12</v>
      </c>
      <c r="D58" s="20"/>
      <c r="E58" s="20"/>
      <c r="F58" s="20">
        <v>12.67</v>
      </c>
      <c r="G58" s="20">
        <v>31.8</v>
      </c>
      <c r="I58" s="20"/>
      <c r="J58" s="20"/>
      <c r="K58" s="20">
        <v>28.0</v>
      </c>
      <c r="L58" s="20" t="s">
        <v>17</v>
      </c>
      <c r="M58" s="20">
        <v>-14.61</v>
      </c>
      <c r="N58" s="20">
        <v>30.31</v>
      </c>
      <c r="P58" s="20">
        <v>1.66</v>
      </c>
      <c r="Q58" s="20">
        <v>22.98</v>
      </c>
      <c r="AG58" s="20">
        <v>56.0</v>
      </c>
      <c r="AH58" s="20" t="s">
        <v>14</v>
      </c>
      <c r="AI58" s="20">
        <v>-14.85</v>
      </c>
      <c r="AJ58" s="20">
        <v>-22.93</v>
      </c>
      <c r="AM58" s="20">
        <v>28.0</v>
      </c>
      <c r="AN58" s="20" t="s">
        <v>17</v>
      </c>
      <c r="AO58" s="20">
        <v>-9.39</v>
      </c>
      <c r="AP58" s="20">
        <v>4.43</v>
      </c>
      <c r="AS58" s="20">
        <v>28.0</v>
      </c>
      <c r="AT58" s="20" t="s">
        <v>17</v>
      </c>
      <c r="AU58" s="20">
        <v>-45.1</v>
      </c>
      <c r="AV58" s="20">
        <v>-41.75</v>
      </c>
      <c r="BE58" s="20">
        <v>56.0</v>
      </c>
      <c r="BF58" s="20" t="s">
        <v>14</v>
      </c>
      <c r="BG58" s="20">
        <v>8.5</v>
      </c>
      <c r="BH58" s="20">
        <v>-7.46</v>
      </c>
      <c r="BK58" s="20">
        <v>28.0</v>
      </c>
      <c r="BL58" s="20" t="s">
        <v>17</v>
      </c>
      <c r="BM58" s="20">
        <v>203.66</v>
      </c>
      <c r="BN58" s="20">
        <v>140.75</v>
      </c>
      <c r="BW58" s="20">
        <v>-18.6</v>
      </c>
      <c r="BX58" s="20">
        <v>-30.15</v>
      </c>
      <c r="BZ58" s="20">
        <v>-64.87</v>
      </c>
      <c r="CA58" s="20">
        <v>30.6</v>
      </c>
      <c r="CI58" s="20">
        <v>-34.74</v>
      </c>
      <c r="CJ58" s="20">
        <v>-57.68</v>
      </c>
      <c r="CO58" s="20">
        <v>-26.44</v>
      </c>
      <c r="CP58" s="20">
        <v>-38.77</v>
      </c>
      <c r="CS58" s="34">
        <f>IFERROR(__xludf.DUMMYFUNCTION("""COMPUTED_VALUE"""),55.51)</f>
        <v>55.51</v>
      </c>
      <c r="CT58" s="34">
        <f>IFERROR(__xludf.DUMMYFUNCTION("""COMPUTED_VALUE"""),118.64)</f>
        <v>118.64</v>
      </c>
    </row>
    <row r="59">
      <c r="A59" s="20">
        <v>-14.34</v>
      </c>
      <c r="B59" s="20">
        <v>0.4</v>
      </c>
      <c r="D59" s="20"/>
      <c r="E59" s="20"/>
      <c r="F59" s="20">
        <v>-19.5</v>
      </c>
      <c r="G59" s="20">
        <v>-3.22</v>
      </c>
      <c r="I59" s="20"/>
      <c r="J59" s="20"/>
      <c r="K59" s="20">
        <v>29.0</v>
      </c>
      <c r="L59" s="20" t="s">
        <v>14</v>
      </c>
      <c r="M59" s="20">
        <v>-12.99</v>
      </c>
      <c r="N59" s="20">
        <v>61.6</v>
      </c>
      <c r="P59" s="20">
        <v>5.93</v>
      </c>
      <c r="Q59" s="20">
        <v>26.71</v>
      </c>
      <c r="AG59" s="20">
        <v>57.0</v>
      </c>
      <c r="AH59" s="20" t="s">
        <v>14</v>
      </c>
      <c r="AI59" s="20">
        <v>-20.0</v>
      </c>
      <c r="AJ59" s="20">
        <v>-14.08</v>
      </c>
      <c r="AM59" s="20">
        <v>29.0</v>
      </c>
      <c r="AN59" s="20" t="s">
        <v>14</v>
      </c>
      <c r="AO59" s="20">
        <v>-37.12</v>
      </c>
      <c r="AP59" s="20">
        <v>-8.52</v>
      </c>
      <c r="AS59" s="20">
        <v>29.0</v>
      </c>
      <c r="AT59" s="20" t="s">
        <v>14</v>
      </c>
      <c r="AU59" s="20">
        <v>-49.78</v>
      </c>
      <c r="AV59" s="20">
        <v>-57.15</v>
      </c>
      <c r="BE59" s="20">
        <v>57.0</v>
      </c>
      <c r="BF59" s="20" t="s">
        <v>14</v>
      </c>
      <c r="BG59" s="20">
        <v>-4.63</v>
      </c>
      <c r="BH59" s="20">
        <v>-11.04</v>
      </c>
      <c r="BK59" s="20">
        <v>29.0</v>
      </c>
      <c r="BL59" s="20" t="s">
        <v>14</v>
      </c>
      <c r="BM59" s="20">
        <v>102.79</v>
      </c>
      <c r="BN59" s="20">
        <v>59.64</v>
      </c>
      <c r="BW59" s="20">
        <v>-63.51</v>
      </c>
      <c r="BX59" s="20">
        <v>-23.54</v>
      </c>
      <c r="BZ59" s="20">
        <v>-43.16</v>
      </c>
      <c r="CA59" s="20">
        <v>17.32</v>
      </c>
      <c r="CI59" s="20">
        <v>-47.38</v>
      </c>
      <c r="CJ59" s="20">
        <v>-59.59</v>
      </c>
      <c r="CO59" s="20">
        <v>-3.66</v>
      </c>
      <c r="CP59" s="20">
        <v>-46.75</v>
      </c>
      <c r="CS59" s="34">
        <f>IFERROR(__xludf.DUMMYFUNCTION("""COMPUTED_VALUE"""),33.94)</f>
        <v>33.94</v>
      </c>
      <c r="CT59" s="34">
        <f>IFERROR(__xludf.DUMMYFUNCTION("""COMPUTED_VALUE"""),10.42)</f>
        <v>10.42</v>
      </c>
    </row>
    <row r="60">
      <c r="A60" s="20">
        <v>-48.36</v>
      </c>
      <c r="B60" s="20">
        <v>-6.54</v>
      </c>
      <c r="D60" s="20"/>
      <c r="E60" s="20"/>
      <c r="F60" s="20">
        <v>-23.84</v>
      </c>
      <c r="G60" s="20">
        <v>34.2</v>
      </c>
      <c r="I60" s="20"/>
      <c r="J60" s="20"/>
      <c r="K60" s="20">
        <v>29.0</v>
      </c>
      <c r="L60" s="20" t="s">
        <v>17</v>
      </c>
      <c r="M60" s="20">
        <v>-56.37</v>
      </c>
      <c r="N60" s="20">
        <v>-42.56</v>
      </c>
      <c r="P60" s="20">
        <v>30.4</v>
      </c>
      <c r="Q60" s="20">
        <v>137.85</v>
      </c>
      <c r="AG60" s="20">
        <v>58.0</v>
      </c>
      <c r="AH60" s="20" t="s">
        <v>14</v>
      </c>
      <c r="AI60" s="20">
        <v>-40.29</v>
      </c>
      <c r="AJ60" s="20">
        <v>-14.53</v>
      </c>
      <c r="AM60" s="20">
        <v>29.0</v>
      </c>
      <c r="AN60" s="20" t="s">
        <v>17</v>
      </c>
      <c r="AO60" s="20">
        <v>9.76</v>
      </c>
      <c r="AP60" s="20">
        <v>27.93</v>
      </c>
      <c r="AS60" s="20">
        <v>29.0</v>
      </c>
      <c r="AT60" s="20" t="s">
        <v>17</v>
      </c>
      <c r="AU60" s="20">
        <v>-36.35</v>
      </c>
      <c r="AV60" s="20">
        <v>-51.75</v>
      </c>
      <c r="BE60" s="20">
        <v>58.0</v>
      </c>
      <c r="BF60" s="20" t="s">
        <v>14</v>
      </c>
      <c r="BG60" s="20">
        <v>47.91</v>
      </c>
      <c r="BH60" s="20">
        <v>14.06</v>
      </c>
      <c r="BK60" s="20">
        <v>29.0</v>
      </c>
      <c r="BL60" s="20" t="s">
        <v>17</v>
      </c>
      <c r="BM60" s="20">
        <v>-17.7</v>
      </c>
      <c r="BN60" s="20">
        <v>66.04</v>
      </c>
      <c r="BW60" s="20">
        <v>-36.03</v>
      </c>
      <c r="BX60" s="20">
        <v>-48.64</v>
      </c>
      <c r="BZ60" s="20">
        <v>-41.15</v>
      </c>
      <c r="CA60" s="20">
        <v>19.61</v>
      </c>
      <c r="CI60" s="20">
        <v>-37.74</v>
      </c>
      <c r="CJ60" s="20">
        <v>-57.62</v>
      </c>
      <c r="CO60" s="20">
        <v>3.12</v>
      </c>
      <c r="CP60" s="20">
        <v>-30.6</v>
      </c>
      <c r="CS60" s="34">
        <f>IFERROR(__xludf.DUMMYFUNCTION("""COMPUTED_VALUE"""),-19.98)</f>
        <v>-19.98</v>
      </c>
      <c r="CT60" s="34">
        <f>IFERROR(__xludf.DUMMYFUNCTION("""COMPUTED_VALUE"""),-11.95)</f>
        <v>-11.95</v>
      </c>
    </row>
    <row r="61">
      <c r="A61" s="20">
        <v>-32.88</v>
      </c>
      <c r="B61" s="20">
        <v>-23.81</v>
      </c>
      <c r="D61" s="20"/>
      <c r="E61" s="20"/>
      <c r="F61" s="20">
        <v>-45.23</v>
      </c>
      <c r="G61" s="20">
        <v>-6.28</v>
      </c>
      <c r="I61" s="20"/>
      <c r="J61" s="20"/>
      <c r="K61" s="20">
        <v>30.0</v>
      </c>
      <c r="L61" s="20" t="s">
        <v>14</v>
      </c>
      <c r="M61" s="20">
        <v>-17.48</v>
      </c>
      <c r="N61" s="20">
        <v>15.16</v>
      </c>
      <c r="P61" s="20">
        <v>-31.0</v>
      </c>
      <c r="Q61" s="20">
        <v>4.39</v>
      </c>
      <c r="AG61" s="20">
        <v>59.0</v>
      </c>
      <c r="AH61" s="20" t="s">
        <v>14</v>
      </c>
      <c r="AI61" s="20">
        <v>-6.88</v>
      </c>
      <c r="AJ61" s="20">
        <v>-13.68</v>
      </c>
      <c r="AM61" s="20">
        <v>30.0</v>
      </c>
      <c r="AN61" s="20" t="s">
        <v>14</v>
      </c>
      <c r="AO61" s="20">
        <v>-30.27</v>
      </c>
      <c r="AP61" s="20">
        <v>-37.73</v>
      </c>
      <c r="AS61" s="20">
        <v>30.0</v>
      </c>
      <c r="AT61" s="20" t="s">
        <v>14</v>
      </c>
      <c r="AU61" s="20">
        <v>-28.43</v>
      </c>
      <c r="AV61" s="20">
        <v>-63.09</v>
      </c>
      <c r="BE61" s="20">
        <v>59.0</v>
      </c>
      <c r="BF61" s="20" t="s">
        <v>14</v>
      </c>
      <c r="BG61" s="20">
        <v>32.64</v>
      </c>
      <c r="BH61" s="20">
        <v>-6.44</v>
      </c>
      <c r="BK61" s="20">
        <v>30.0</v>
      </c>
      <c r="BL61" s="20" t="s">
        <v>14</v>
      </c>
      <c r="BM61" s="20">
        <v>98.47</v>
      </c>
      <c r="BN61" s="20">
        <v>80.32</v>
      </c>
      <c r="BW61" s="20">
        <v>-4.1</v>
      </c>
      <c r="BX61" s="20">
        <v>-54.75</v>
      </c>
      <c r="BZ61" s="20">
        <v>-29.71</v>
      </c>
      <c r="CA61" s="20">
        <v>23.73</v>
      </c>
      <c r="CI61" s="20">
        <v>-57.39</v>
      </c>
      <c r="CJ61" s="20">
        <v>-58.65</v>
      </c>
      <c r="CO61" s="20">
        <v>-30.87</v>
      </c>
      <c r="CP61" s="20">
        <v>-47.74</v>
      </c>
      <c r="CS61" s="34">
        <f>IFERROR(__xludf.DUMMYFUNCTION("""COMPUTED_VALUE"""),9.14)</f>
        <v>9.14</v>
      </c>
      <c r="CT61" s="34">
        <f>IFERROR(__xludf.DUMMYFUNCTION("""COMPUTED_VALUE"""),-16.89)</f>
        <v>-16.89</v>
      </c>
    </row>
    <row r="62">
      <c r="A62" s="20">
        <v>-62.17</v>
      </c>
      <c r="B62" s="20">
        <v>77.38</v>
      </c>
      <c r="D62" s="20"/>
      <c r="E62" s="20"/>
      <c r="F62" s="20">
        <v>-45.19</v>
      </c>
      <c r="G62" s="20">
        <v>-36.09</v>
      </c>
      <c r="I62" s="20"/>
      <c r="J62" s="20"/>
      <c r="K62" s="20">
        <v>30.0</v>
      </c>
      <c r="L62" s="20" t="s">
        <v>17</v>
      </c>
      <c r="M62" s="20">
        <v>-16.4</v>
      </c>
      <c r="N62" s="20">
        <v>-17.39</v>
      </c>
      <c r="P62" s="20">
        <v>-20.58</v>
      </c>
      <c r="Q62" s="20">
        <v>28.72</v>
      </c>
      <c r="AG62" s="20">
        <v>60.0</v>
      </c>
      <c r="AH62" s="20" t="s">
        <v>14</v>
      </c>
      <c r="AI62" s="20">
        <v>-20.6</v>
      </c>
      <c r="AJ62" s="20">
        <v>-12.81</v>
      </c>
      <c r="AM62" s="20">
        <v>30.0</v>
      </c>
      <c r="AN62" s="20" t="s">
        <v>17</v>
      </c>
      <c r="AO62" s="20">
        <v>21.26</v>
      </c>
      <c r="AP62" s="20">
        <v>-37.27</v>
      </c>
      <c r="AS62" s="20">
        <v>30.0</v>
      </c>
      <c r="AT62" s="20" t="s">
        <v>17</v>
      </c>
      <c r="AU62" s="20">
        <v>0.52</v>
      </c>
      <c r="AV62" s="20">
        <v>-25.74</v>
      </c>
      <c r="BE62" s="20">
        <v>60.0</v>
      </c>
      <c r="BF62" s="20" t="s">
        <v>14</v>
      </c>
      <c r="BG62" s="20">
        <v>20.22</v>
      </c>
      <c r="BH62" s="20">
        <v>-18.32</v>
      </c>
      <c r="BK62" s="20">
        <v>30.0</v>
      </c>
      <c r="BL62" s="20" t="s">
        <v>17</v>
      </c>
      <c r="BM62" s="20">
        <v>67.34</v>
      </c>
      <c r="BN62" s="20">
        <v>99.41</v>
      </c>
      <c r="BW62" s="20">
        <v>-46.42</v>
      </c>
      <c r="BX62" s="20">
        <v>-37.44</v>
      </c>
      <c r="BZ62" s="20">
        <v>-37.57</v>
      </c>
      <c r="CA62" s="20">
        <v>3.03</v>
      </c>
      <c r="CI62" s="20">
        <v>-62.58</v>
      </c>
      <c r="CJ62" s="20">
        <v>-68.37</v>
      </c>
      <c r="CO62" s="20">
        <v>-37.37</v>
      </c>
      <c r="CP62" s="20">
        <v>-62.93</v>
      </c>
      <c r="CS62" s="34">
        <f>IFERROR(__xludf.DUMMYFUNCTION("""COMPUTED_VALUE"""),-21.39)</f>
        <v>-21.39</v>
      </c>
      <c r="CT62" s="34">
        <f>IFERROR(__xludf.DUMMYFUNCTION("""COMPUTED_VALUE"""),-12.68)</f>
        <v>-12.68</v>
      </c>
    </row>
    <row r="63">
      <c r="A63" s="20">
        <v>-28.71</v>
      </c>
      <c r="B63" s="20">
        <v>43.3</v>
      </c>
      <c r="D63" s="20"/>
      <c r="E63" s="20"/>
      <c r="F63" s="20">
        <v>-40.53</v>
      </c>
      <c r="G63" s="20">
        <v>9.47</v>
      </c>
      <c r="I63" s="20"/>
      <c r="J63" s="20"/>
      <c r="K63" s="20">
        <v>31.0</v>
      </c>
      <c r="L63" s="20" t="s">
        <v>14</v>
      </c>
      <c r="M63" s="20">
        <v>-35.76</v>
      </c>
      <c r="N63" s="20">
        <v>11.49</v>
      </c>
      <c r="P63" s="20">
        <v>3.6</v>
      </c>
      <c r="Q63" s="20">
        <v>27.7</v>
      </c>
      <c r="AG63" s="20">
        <v>61.0</v>
      </c>
      <c r="AH63" s="20" t="s">
        <v>14</v>
      </c>
      <c r="AI63" s="20">
        <v>-45.92</v>
      </c>
      <c r="AJ63" s="20">
        <v>-36.74</v>
      </c>
      <c r="AM63" s="20">
        <v>31.0</v>
      </c>
      <c r="AN63" s="20" t="s">
        <v>14</v>
      </c>
      <c r="AO63" s="20">
        <v>-20.34</v>
      </c>
      <c r="AP63" s="20">
        <v>-60.24</v>
      </c>
      <c r="AS63" s="20">
        <v>31.0</v>
      </c>
      <c r="AT63" s="20" t="s">
        <v>14</v>
      </c>
      <c r="AU63" s="20">
        <v>-27.12</v>
      </c>
      <c r="AV63" s="20">
        <v>-33.47</v>
      </c>
      <c r="BE63" s="20">
        <v>61.0</v>
      </c>
      <c r="BF63" s="20" t="s">
        <v>14</v>
      </c>
      <c r="BG63" s="20">
        <v>57.06</v>
      </c>
      <c r="BH63" s="20">
        <v>16.12</v>
      </c>
      <c r="BK63" s="20">
        <v>31.0</v>
      </c>
      <c r="BL63" s="20" t="s">
        <v>14</v>
      </c>
      <c r="BM63" s="20">
        <v>77.98</v>
      </c>
      <c r="BN63" s="20">
        <v>114.63</v>
      </c>
      <c r="BW63" s="20">
        <v>-40.2</v>
      </c>
      <c r="BX63" s="20">
        <v>5.86</v>
      </c>
      <c r="BZ63" s="20">
        <v>-52.05</v>
      </c>
      <c r="CA63" s="20">
        <v>115.02</v>
      </c>
      <c r="CI63" s="20">
        <v>-56.19</v>
      </c>
      <c r="CJ63" s="20">
        <v>-64.86</v>
      </c>
      <c r="CO63" s="20">
        <v>-14.39</v>
      </c>
      <c r="CP63" s="20">
        <v>-43.35</v>
      </c>
      <c r="CS63" s="34">
        <f>IFERROR(__xludf.DUMMYFUNCTION("""COMPUTED_VALUE"""),114.13)</f>
        <v>114.13</v>
      </c>
      <c r="CT63" s="34">
        <f>IFERROR(__xludf.DUMMYFUNCTION("""COMPUTED_VALUE"""),-12.77)</f>
        <v>-12.77</v>
      </c>
    </row>
    <row r="64">
      <c r="A64" s="20">
        <v>-33.39</v>
      </c>
      <c r="B64" s="20">
        <v>32.67</v>
      </c>
      <c r="D64" s="20"/>
      <c r="E64" s="20"/>
      <c r="F64" s="20">
        <v>-13.98</v>
      </c>
      <c r="G64" s="20">
        <v>-30.26</v>
      </c>
      <c r="I64" s="20"/>
      <c r="J64" s="20"/>
      <c r="K64" s="20">
        <v>31.0</v>
      </c>
      <c r="L64" s="20" t="s">
        <v>17</v>
      </c>
      <c r="M64" s="20">
        <v>-33.18</v>
      </c>
      <c r="N64" s="20">
        <v>30.93</v>
      </c>
      <c r="P64" s="20">
        <v>15.44</v>
      </c>
      <c r="Q64" s="20">
        <v>113.71</v>
      </c>
      <c r="AG64" s="20">
        <v>62.0</v>
      </c>
      <c r="AH64" s="20" t="s">
        <v>14</v>
      </c>
      <c r="AI64" s="20">
        <v>-23.51</v>
      </c>
      <c r="AJ64" s="20">
        <v>-28.42</v>
      </c>
      <c r="AM64" s="20">
        <v>31.0</v>
      </c>
      <c r="AN64" s="20" t="s">
        <v>17</v>
      </c>
      <c r="AO64" s="20">
        <v>-26.67</v>
      </c>
      <c r="AP64" s="20">
        <v>17.69</v>
      </c>
      <c r="AS64" s="20">
        <v>31.0</v>
      </c>
      <c r="AT64" s="20" t="s">
        <v>17</v>
      </c>
      <c r="AU64" s="20">
        <v>-36.39</v>
      </c>
      <c r="AV64" s="20">
        <v>-27.0</v>
      </c>
      <c r="BE64" s="20">
        <v>62.0</v>
      </c>
      <c r="BF64" s="20" t="s">
        <v>14</v>
      </c>
      <c r="BG64" s="20">
        <v>16.31</v>
      </c>
      <c r="BH64" s="20">
        <v>2.96</v>
      </c>
      <c r="BK64" s="20">
        <v>31.0</v>
      </c>
      <c r="BL64" s="20" t="s">
        <v>17</v>
      </c>
      <c r="BM64" s="20">
        <v>47.67</v>
      </c>
      <c r="BN64" s="20">
        <v>43.45</v>
      </c>
      <c r="BW64" s="20">
        <v>-56.99</v>
      </c>
      <c r="BX64" s="20">
        <v>-26.31</v>
      </c>
      <c r="BZ64" s="20">
        <v>-62.45</v>
      </c>
      <c r="CA64" s="20">
        <v>90.65</v>
      </c>
      <c r="CI64" s="20">
        <v>-66.51</v>
      </c>
      <c r="CJ64" s="20">
        <v>-72.04</v>
      </c>
      <c r="CO64" s="20">
        <v>-30.88</v>
      </c>
      <c r="CP64" s="20">
        <v>-34.3</v>
      </c>
      <c r="CS64" s="34">
        <f>IFERROR(__xludf.DUMMYFUNCTION("""COMPUTED_VALUE"""),-24.14)</f>
        <v>-24.14</v>
      </c>
      <c r="CT64" s="34">
        <f>IFERROR(__xludf.DUMMYFUNCTION("""COMPUTED_VALUE"""),-21.81)</f>
        <v>-21.81</v>
      </c>
    </row>
    <row r="65">
      <c r="A65" s="20">
        <v>32.45</v>
      </c>
      <c r="B65" s="20">
        <v>173.95</v>
      </c>
      <c r="D65" s="20"/>
      <c r="E65" s="20"/>
      <c r="F65" s="20">
        <v>-41.46</v>
      </c>
      <c r="G65" s="20">
        <v>-25.39</v>
      </c>
      <c r="I65" s="20"/>
      <c r="J65" s="20"/>
      <c r="K65" s="20">
        <v>32.0</v>
      </c>
      <c r="L65" s="20" t="s">
        <v>14</v>
      </c>
      <c r="M65" s="20">
        <v>-39.12</v>
      </c>
      <c r="N65" s="20">
        <v>39.64</v>
      </c>
      <c r="P65" s="20">
        <v>-16.93</v>
      </c>
      <c r="Q65" s="20">
        <v>-8.76</v>
      </c>
      <c r="AG65" s="20">
        <v>63.0</v>
      </c>
      <c r="AH65" s="20" t="s">
        <v>14</v>
      </c>
      <c r="AI65" s="20">
        <v>-18.49</v>
      </c>
      <c r="AJ65" s="20">
        <v>-14.06</v>
      </c>
      <c r="AM65" s="20">
        <v>32.0</v>
      </c>
      <c r="AN65" s="20" t="s">
        <v>14</v>
      </c>
      <c r="AO65" s="20">
        <v>13.58</v>
      </c>
      <c r="AP65" s="20">
        <v>-48.32</v>
      </c>
      <c r="AS65" s="20">
        <v>32.0</v>
      </c>
      <c r="AT65" s="20" t="s">
        <v>14</v>
      </c>
      <c r="AU65" s="20">
        <v>-14.8</v>
      </c>
      <c r="AV65" s="20">
        <v>-56.18</v>
      </c>
      <c r="BE65" s="20">
        <v>63.0</v>
      </c>
      <c r="BF65" s="20" t="s">
        <v>14</v>
      </c>
      <c r="BG65" s="20">
        <v>-3.3</v>
      </c>
      <c r="BH65" s="20">
        <v>-0.92</v>
      </c>
      <c r="BK65" s="20">
        <v>32.0</v>
      </c>
      <c r="BL65" s="20" t="s">
        <v>14</v>
      </c>
      <c r="BM65" s="20">
        <v>59.72</v>
      </c>
      <c r="BN65" s="20">
        <v>134.58</v>
      </c>
      <c r="BW65" s="20">
        <v>-45.56</v>
      </c>
      <c r="BX65" s="20">
        <v>-10.32</v>
      </c>
      <c r="BZ65" s="20">
        <v>-37.1</v>
      </c>
      <c r="CA65" s="20">
        <v>10.8</v>
      </c>
      <c r="CI65" s="20">
        <v>-42.61</v>
      </c>
      <c r="CJ65" s="20">
        <v>-64.25</v>
      </c>
      <c r="CO65" s="20">
        <v>-17.94</v>
      </c>
      <c r="CP65" s="20">
        <v>-30.2</v>
      </c>
      <c r="CS65" s="34">
        <f>IFERROR(__xludf.DUMMYFUNCTION("""COMPUTED_VALUE"""),8.25)</f>
        <v>8.25</v>
      </c>
      <c r="CT65" s="34">
        <f>IFERROR(__xludf.DUMMYFUNCTION("""COMPUTED_VALUE"""),-3.44)</f>
        <v>-3.44</v>
      </c>
    </row>
    <row r="66">
      <c r="A66" s="20">
        <v>-10.56</v>
      </c>
      <c r="B66" s="20">
        <v>185.16</v>
      </c>
      <c r="D66" s="20"/>
      <c r="E66" s="20"/>
      <c r="F66" s="20">
        <v>-47.09</v>
      </c>
      <c r="G66" s="20">
        <v>-32.38</v>
      </c>
      <c r="I66" s="20"/>
      <c r="J66" s="20"/>
      <c r="K66" s="20">
        <v>32.0</v>
      </c>
      <c r="L66" s="20" t="s">
        <v>17</v>
      </c>
      <c r="M66" s="20">
        <v>-8.03</v>
      </c>
      <c r="N66" s="20">
        <v>58.91</v>
      </c>
      <c r="P66" s="20">
        <v>-17.0</v>
      </c>
      <c r="Q66" s="20">
        <v>14.58</v>
      </c>
      <c r="AG66" s="20">
        <v>64.0</v>
      </c>
      <c r="AH66" s="20" t="s">
        <v>14</v>
      </c>
      <c r="AI66" s="20">
        <v>-25.7</v>
      </c>
      <c r="AJ66" s="20">
        <v>-31.36</v>
      </c>
      <c r="AM66" s="20">
        <v>32.0</v>
      </c>
      <c r="AN66" s="20" t="s">
        <v>17</v>
      </c>
      <c r="AO66" s="20">
        <v>36.58</v>
      </c>
      <c r="AP66" s="20">
        <v>-38.81</v>
      </c>
      <c r="AS66" s="20">
        <v>32.0</v>
      </c>
      <c r="AT66" s="20" t="s">
        <v>17</v>
      </c>
      <c r="AU66" s="20">
        <v>14.08</v>
      </c>
      <c r="AV66" s="20">
        <v>-26.83</v>
      </c>
      <c r="BE66" s="20">
        <v>64.0</v>
      </c>
      <c r="BF66" s="20" t="s">
        <v>14</v>
      </c>
      <c r="BG66" s="20">
        <v>47.09</v>
      </c>
      <c r="BH66" s="20">
        <v>13.39</v>
      </c>
      <c r="BK66" s="20">
        <v>32.0</v>
      </c>
      <c r="BL66" s="20" t="s">
        <v>17</v>
      </c>
      <c r="BM66" s="20">
        <v>75.79</v>
      </c>
      <c r="BN66" s="20">
        <v>99.23</v>
      </c>
      <c r="BW66" s="20">
        <v>-55.29</v>
      </c>
      <c r="BX66" s="20">
        <v>-38.03</v>
      </c>
      <c r="BZ66" s="20">
        <v>3.98</v>
      </c>
      <c r="CA66" s="20">
        <v>-55.03</v>
      </c>
      <c r="CI66" s="20">
        <v>-40.47</v>
      </c>
      <c r="CJ66" s="20">
        <v>-51.15</v>
      </c>
      <c r="CO66" s="20">
        <v>-20.97</v>
      </c>
      <c r="CP66" s="20">
        <v>-29.57</v>
      </c>
      <c r="CS66" s="34">
        <f>IFERROR(__xludf.DUMMYFUNCTION("""COMPUTED_VALUE"""),177.16)</f>
        <v>177.16</v>
      </c>
      <c r="CT66" s="34">
        <f>IFERROR(__xludf.DUMMYFUNCTION("""COMPUTED_VALUE"""),29.53)</f>
        <v>29.53</v>
      </c>
    </row>
    <row r="67">
      <c r="A67" s="20">
        <v>-23.58</v>
      </c>
      <c r="B67" s="20">
        <v>92.06</v>
      </c>
      <c r="D67" s="20"/>
      <c r="E67" s="20"/>
      <c r="F67" s="20">
        <v>-39.38</v>
      </c>
      <c r="G67" s="20">
        <v>-30.86</v>
      </c>
      <c r="I67" s="20"/>
      <c r="J67" s="20"/>
      <c r="K67" s="20">
        <v>33.0</v>
      </c>
      <c r="L67" s="20" t="s">
        <v>14</v>
      </c>
      <c r="M67" s="20">
        <v>56.83</v>
      </c>
      <c r="N67" s="20">
        <v>69.71</v>
      </c>
      <c r="P67" s="20">
        <v>13.28</v>
      </c>
      <c r="Q67" s="20">
        <v>19.31</v>
      </c>
      <c r="AG67" s="20">
        <v>65.0</v>
      </c>
      <c r="AH67" s="20" t="s">
        <v>14</v>
      </c>
      <c r="AI67" s="20">
        <v>-23.08</v>
      </c>
      <c r="AJ67" s="20">
        <v>-11.23</v>
      </c>
      <c r="AM67" s="20">
        <v>33.0</v>
      </c>
      <c r="AN67" s="20" t="s">
        <v>14</v>
      </c>
      <c r="AO67" s="20">
        <v>-4.59</v>
      </c>
      <c r="AP67" s="20">
        <v>-54.11</v>
      </c>
      <c r="AS67" s="20">
        <v>33.0</v>
      </c>
      <c r="AT67" s="20" t="s">
        <v>14</v>
      </c>
      <c r="AU67" s="20">
        <v>-28.26</v>
      </c>
      <c r="AV67" s="20">
        <v>-33.34</v>
      </c>
      <c r="BE67" s="20">
        <v>65.0</v>
      </c>
      <c r="BF67" s="20" t="s">
        <v>14</v>
      </c>
      <c r="BG67" s="20">
        <v>-4.74</v>
      </c>
      <c r="BH67" s="20">
        <v>25.51</v>
      </c>
      <c r="BK67" s="20">
        <v>33.0</v>
      </c>
      <c r="BL67" s="20" t="s">
        <v>14</v>
      </c>
      <c r="BM67" s="20">
        <v>12.74</v>
      </c>
      <c r="BN67" s="20">
        <v>40.05</v>
      </c>
      <c r="BW67" s="20">
        <v>-56.79</v>
      </c>
      <c r="BX67" s="20">
        <v>-42.83</v>
      </c>
      <c r="BZ67" s="20">
        <v>-20.94</v>
      </c>
      <c r="CA67" s="20">
        <v>29.23</v>
      </c>
      <c r="CI67" s="20">
        <v>-30.22</v>
      </c>
      <c r="CJ67" s="20">
        <v>-47.09</v>
      </c>
      <c r="CO67" s="20">
        <v>-16.42</v>
      </c>
      <c r="CP67" s="20">
        <v>-52.21</v>
      </c>
      <c r="CS67" s="34">
        <f>IFERROR(__xludf.DUMMYFUNCTION("""COMPUTED_VALUE"""),19.78)</f>
        <v>19.78</v>
      </c>
      <c r="CT67" s="34">
        <f>IFERROR(__xludf.DUMMYFUNCTION("""COMPUTED_VALUE"""),-19.97)</f>
        <v>-19.97</v>
      </c>
    </row>
    <row r="68">
      <c r="A68" s="20">
        <v>3.9</v>
      </c>
      <c r="B68" s="20">
        <v>202.89</v>
      </c>
      <c r="D68" s="20"/>
      <c r="E68" s="20"/>
      <c r="F68" s="20">
        <v>-34.01</v>
      </c>
      <c r="G68" s="20">
        <v>-16.04</v>
      </c>
      <c r="I68" s="20"/>
      <c r="J68" s="20"/>
      <c r="K68" s="20">
        <v>33.0</v>
      </c>
      <c r="L68" s="20" t="s">
        <v>17</v>
      </c>
      <c r="M68" s="20">
        <v>17.34</v>
      </c>
      <c r="N68" s="20">
        <v>9.3</v>
      </c>
      <c r="P68" s="20">
        <v>46.23</v>
      </c>
      <c r="Q68" s="20">
        <v>67.99</v>
      </c>
      <c r="AG68" s="20">
        <v>66.0</v>
      </c>
      <c r="AH68" s="20" t="s">
        <v>14</v>
      </c>
      <c r="AI68" s="20">
        <v>-13.13</v>
      </c>
      <c r="AJ68" s="20">
        <v>2.62</v>
      </c>
      <c r="AM68" s="20">
        <v>33.0</v>
      </c>
      <c r="AN68" s="20" t="s">
        <v>17</v>
      </c>
      <c r="AO68" s="20">
        <v>22.35</v>
      </c>
      <c r="AP68" s="20">
        <v>-30.34</v>
      </c>
      <c r="AS68" s="20">
        <v>33.0</v>
      </c>
      <c r="AT68" s="20" t="s">
        <v>17</v>
      </c>
      <c r="AU68" s="20">
        <v>-23.85</v>
      </c>
      <c r="AV68" s="20">
        <v>-40.58</v>
      </c>
      <c r="BE68" s="20">
        <v>66.0</v>
      </c>
      <c r="BF68" s="20" t="s">
        <v>14</v>
      </c>
      <c r="BG68" s="20">
        <v>22.38</v>
      </c>
      <c r="BH68" s="20">
        <v>17.58</v>
      </c>
      <c r="BK68" s="20">
        <v>33.0</v>
      </c>
      <c r="BL68" s="20" t="s">
        <v>17</v>
      </c>
      <c r="BM68" s="20">
        <v>53.55</v>
      </c>
      <c r="BN68" s="20">
        <v>74.98</v>
      </c>
      <c r="BW68" s="20">
        <v>-42.64</v>
      </c>
      <c r="BX68" s="20">
        <v>-18.01</v>
      </c>
      <c r="BZ68" s="20">
        <v>-36.14</v>
      </c>
      <c r="CA68" s="20">
        <v>19.76</v>
      </c>
      <c r="CI68" s="20">
        <v>-46.23</v>
      </c>
      <c r="CJ68" s="20">
        <v>-39.98</v>
      </c>
      <c r="CO68" s="20">
        <v>-30.67</v>
      </c>
      <c r="CP68" s="20">
        <v>-67.22</v>
      </c>
      <c r="CS68" s="34">
        <f>IFERROR(__xludf.DUMMYFUNCTION("""COMPUTED_VALUE"""),2.28)</f>
        <v>2.28</v>
      </c>
      <c r="CT68" s="34">
        <f>IFERROR(__xludf.DUMMYFUNCTION("""COMPUTED_VALUE"""),5.87)</f>
        <v>5.87</v>
      </c>
    </row>
    <row r="69">
      <c r="A69" s="20">
        <v>0.72</v>
      </c>
      <c r="B69" s="20">
        <v>58.72</v>
      </c>
      <c r="D69" s="20"/>
      <c r="E69" s="20"/>
      <c r="F69" s="20">
        <v>38.28</v>
      </c>
      <c r="G69" s="20">
        <v>29.88</v>
      </c>
      <c r="I69" s="20"/>
      <c r="J69" s="20"/>
      <c r="K69" s="20">
        <v>34.0</v>
      </c>
      <c r="L69" s="20" t="s">
        <v>14</v>
      </c>
      <c r="M69" s="20">
        <v>-19.89</v>
      </c>
      <c r="N69" s="20">
        <v>62.33</v>
      </c>
      <c r="P69" s="20">
        <v>35.91</v>
      </c>
      <c r="Q69" s="20">
        <v>39.95</v>
      </c>
      <c r="AG69" s="20">
        <v>67.0</v>
      </c>
      <c r="AH69" s="20" t="s">
        <v>14</v>
      </c>
      <c r="AI69" s="20">
        <v>-5.77</v>
      </c>
      <c r="AJ69" s="20">
        <v>-5.35</v>
      </c>
      <c r="AM69" s="20">
        <v>34.0</v>
      </c>
      <c r="AN69" s="20" t="s">
        <v>14</v>
      </c>
      <c r="AO69" s="20">
        <v>-17.35</v>
      </c>
      <c r="AP69" s="20">
        <v>-25.8</v>
      </c>
      <c r="AS69" s="20">
        <v>34.0</v>
      </c>
      <c r="AT69" s="20" t="s">
        <v>14</v>
      </c>
      <c r="AU69" s="20">
        <v>-0.89</v>
      </c>
      <c r="AV69" s="20">
        <v>-41.22</v>
      </c>
      <c r="BE69" s="20">
        <v>67.0</v>
      </c>
      <c r="BF69" s="20" t="s">
        <v>14</v>
      </c>
      <c r="BG69" s="20">
        <v>14.79</v>
      </c>
      <c r="BH69" s="20">
        <v>1.61</v>
      </c>
      <c r="BK69" s="20">
        <v>34.0</v>
      </c>
      <c r="BL69" s="20" t="s">
        <v>14</v>
      </c>
      <c r="BM69" s="20">
        <v>66.63</v>
      </c>
      <c r="BN69" s="20">
        <v>148.96</v>
      </c>
      <c r="BW69" s="20">
        <v>-47.34</v>
      </c>
      <c r="BX69" s="20">
        <v>-51.5</v>
      </c>
      <c r="BZ69" s="20">
        <v>-44.92</v>
      </c>
      <c r="CA69" s="20">
        <v>72.21</v>
      </c>
      <c r="CI69" s="20">
        <v>-64.17</v>
      </c>
      <c r="CJ69" s="20">
        <v>-63.94</v>
      </c>
      <c r="CO69" s="20">
        <v>-12.84</v>
      </c>
      <c r="CP69" s="20">
        <v>-57.06</v>
      </c>
      <c r="CS69" s="34">
        <f>IFERROR(__xludf.DUMMYFUNCTION("""COMPUTED_VALUE"""),-7.22)</f>
        <v>-7.22</v>
      </c>
      <c r="CT69" s="34">
        <f>IFERROR(__xludf.DUMMYFUNCTION("""COMPUTED_VALUE"""),-16.39)</f>
        <v>-16.39</v>
      </c>
    </row>
    <row r="70">
      <c r="A70" s="20">
        <v>-18.24</v>
      </c>
      <c r="B70" s="20">
        <v>47.67</v>
      </c>
      <c r="D70" s="20"/>
      <c r="E70" s="20"/>
      <c r="F70" s="20">
        <v>-20.65</v>
      </c>
      <c r="G70" s="20">
        <v>-2.3</v>
      </c>
      <c r="I70" s="20"/>
      <c r="J70" s="20"/>
      <c r="K70" s="20">
        <v>34.0</v>
      </c>
      <c r="L70" s="20" t="s">
        <v>17</v>
      </c>
      <c r="M70" s="20">
        <v>11.2</v>
      </c>
      <c r="N70" s="20">
        <v>107.96</v>
      </c>
      <c r="P70" s="20">
        <v>19.83</v>
      </c>
      <c r="Q70" s="20">
        <v>-8.66</v>
      </c>
      <c r="AG70" s="20">
        <v>68.0</v>
      </c>
      <c r="AH70" s="20" t="s">
        <v>14</v>
      </c>
      <c r="AI70" s="20">
        <v>-26.77</v>
      </c>
      <c r="AJ70" s="20">
        <v>-18.36</v>
      </c>
      <c r="AM70" s="20">
        <v>34.0</v>
      </c>
      <c r="AN70" s="20" t="s">
        <v>17</v>
      </c>
      <c r="AO70" s="20">
        <v>-19.6</v>
      </c>
      <c r="AP70" s="20">
        <v>1.78</v>
      </c>
      <c r="AS70" s="20">
        <v>34.0</v>
      </c>
      <c r="AT70" s="20" t="s">
        <v>17</v>
      </c>
      <c r="AU70" s="20">
        <v>-16.7</v>
      </c>
      <c r="AV70" s="20">
        <v>-46.63</v>
      </c>
      <c r="BE70" s="20">
        <v>68.0</v>
      </c>
      <c r="BF70" s="20" t="s">
        <v>14</v>
      </c>
      <c r="BG70" s="20">
        <v>-11.94</v>
      </c>
      <c r="BH70" s="20">
        <v>7.15</v>
      </c>
      <c r="BK70" s="20">
        <v>34.0</v>
      </c>
      <c r="BL70" s="20" t="s">
        <v>17</v>
      </c>
      <c r="BM70" s="20">
        <v>19.68</v>
      </c>
      <c r="BN70" s="20">
        <v>88.33</v>
      </c>
      <c r="BW70" s="20">
        <v>-31.12</v>
      </c>
      <c r="BX70" s="20">
        <v>-13.95</v>
      </c>
      <c r="BZ70" s="20">
        <v>-57.03</v>
      </c>
      <c r="CA70" s="20">
        <v>121.87</v>
      </c>
      <c r="CI70" s="20">
        <v>-54.62</v>
      </c>
      <c r="CJ70" s="20">
        <v>-62.62</v>
      </c>
      <c r="CO70" s="20">
        <v>-2.54</v>
      </c>
      <c r="CP70" s="20">
        <v>-54.53</v>
      </c>
      <c r="CS70" s="34">
        <f>IFERROR(__xludf.DUMMYFUNCTION("""COMPUTED_VALUE"""),7.3)</f>
        <v>7.3</v>
      </c>
      <c r="CT70" s="34">
        <f>IFERROR(__xludf.DUMMYFUNCTION("""COMPUTED_VALUE"""),8.4)</f>
        <v>8.4</v>
      </c>
    </row>
    <row r="71">
      <c r="A71" s="20">
        <v>-44.45</v>
      </c>
      <c r="B71" s="20">
        <v>74.5</v>
      </c>
      <c r="D71" s="20"/>
      <c r="E71" s="20"/>
      <c r="F71" s="20">
        <v>-13.96</v>
      </c>
      <c r="G71" s="20">
        <v>6.59</v>
      </c>
      <c r="I71" s="20"/>
      <c r="J71" s="20"/>
      <c r="K71" s="20">
        <v>35.0</v>
      </c>
      <c r="L71" s="20" t="s">
        <v>14</v>
      </c>
      <c r="M71" s="20">
        <v>9.01</v>
      </c>
      <c r="N71" s="20">
        <v>-29.55</v>
      </c>
      <c r="P71" s="20">
        <v>-1.14</v>
      </c>
      <c r="Q71" s="20">
        <v>-10.95</v>
      </c>
      <c r="AG71" s="20">
        <v>69.0</v>
      </c>
      <c r="AH71" s="20" t="s">
        <v>14</v>
      </c>
      <c r="AI71" s="20">
        <v>-33.99</v>
      </c>
      <c r="AJ71" s="20">
        <v>-20.77</v>
      </c>
      <c r="AM71" s="20">
        <v>35.0</v>
      </c>
      <c r="AN71" s="20" t="s">
        <v>14</v>
      </c>
      <c r="AO71" s="20">
        <v>1.7</v>
      </c>
      <c r="AP71" s="20">
        <v>-58.02</v>
      </c>
      <c r="AS71" s="20">
        <v>35.0</v>
      </c>
      <c r="AT71" s="20" t="s">
        <v>14</v>
      </c>
      <c r="AU71" s="20">
        <v>11.52</v>
      </c>
      <c r="AV71" s="20">
        <v>-17.12</v>
      </c>
      <c r="BE71" s="20">
        <v>69.0</v>
      </c>
      <c r="BF71" s="20" t="s">
        <v>14</v>
      </c>
      <c r="BG71" s="20">
        <v>2.1</v>
      </c>
      <c r="BH71" s="20">
        <v>-0.82</v>
      </c>
      <c r="BK71" s="20">
        <v>35.0</v>
      </c>
      <c r="BL71" s="20" t="s">
        <v>14</v>
      </c>
      <c r="BM71" s="20">
        <v>55.36</v>
      </c>
      <c r="BN71" s="20">
        <v>68.68</v>
      </c>
      <c r="BW71" s="20">
        <v>-53.86</v>
      </c>
      <c r="BX71" s="20">
        <v>-33.42</v>
      </c>
      <c r="BZ71" s="20">
        <v>-49.09</v>
      </c>
      <c r="CA71" s="20">
        <v>54.22</v>
      </c>
      <c r="CI71" s="20">
        <v>-41.53</v>
      </c>
      <c r="CJ71" s="20">
        <v>-53.07</v>
      </c>
      <c r="CO71" s="20">
        <v>-33.46</v>
      </c>
      <c r="CP71" s="20">
        <v>-66.21</v>
      </c>
      <c r="CS71" s="34">
        <f>IFERROR(__xludf.DUMMYFUNCTION("""COMPUTED_VALUE"""),-33.47)</f>
        <v>-33.47</v>
      </c>
      <c r="CT71" s="34">
        <f>IFERROR(__xludf.DUMMYFUNCTION("""COMPUTED_VALUE"""),-20.18)</f>
        <v>-20.18</v>
      </c>
    </row>
    <row r="72">
      <c r="A72" s="20">
        <v>-43.26</v>
      </c>
      <c r="B72" s="20">
        <v>-28.52</v>
      </c>
      <c r="D72" s="20"/>
      <c r="E72" s="20"/>
      <c r="F72" s="20">
        <v>-28.74</v>
      </c>
      <c r="G72" s="20">
        <v>30.51</v>
      </c>
      <c r="I72" s="20"/>
      <c r="J72" s="20"/>
      <c r="K72" s="20">
        <v>35.0</v>
      </c>
      <c r="L72" s="20" t="s">
        <v>17</v>
      </c>
      <c r="M72" s="20">
        <v>-16.31</v>
      </c>
      <c r="N72" s="20">
        <v>22.99</v>
      </c>
      <c r="P72" s="20">
        <v>-19.92</v>
      </c>
      <c r="Q72" s="20">
        <v>19.31</v>
      </c>
      <c r="AG72" s="20">
        <v>70.0</v>
      </c>
      <c r="AH72" s="20" t="s">
        <v>14</v>
      </c>
      <c r="AI72" s="20">
        <v>-15.53</v>
      </c>
      <c r="AJ72" s="20">
        <v>-34.51</v>
      </c>
      <c r="AM72" s="20">
        <v>35.0</v>
      </c>
      <c r="AN72" s="20" t="s">
        <v>17</v>
      </c>
      <c r="AO72" s="20">
        <v>-12.0</v>
      </c>
      <c r="AP72" s="20">
        <v>32.24</v>
      </c>
      <c r="AS72" s="20">
        <v>35.0</v>
      </c>
      <c r="AT72" s="20" t="s">
        <v>17</v>
      </c>
      <c r="AU72" s="20">
        <v>-43.92</v>
      </c>
      <c r="AV72" s="20">
        <v>-31.77</v>
      </c>
      <c r="BE72" s="20">
        <v>70.0</v>
      </c>
      <c r="BF72" s="20" t="s">
        <v>14</v>
      </c>
      <c r="BG72" s="20">
        <v>13.83</v>
      </c>
      <c r="BH72" s="20">
        <v>-1.13</v>
      </c>
      <c r="BK72" s="20">
        <v>35.0</v>
      </c>
      <c r="BL72" s="20" t="s">
        <v>17</v>
      </c>
      <c r="BM72" s="20">
        <v>95.31</v>
      </c>
      <c r="BN72" s="20">
        <v>62.25</v>
      </c>
      <c r="BW72" s="20">
        <v>15.97</v>
      </c>
      <c r="BX72" s="20">
        <v>-46.61</v>
      </c>
      <c r="BZ72" s="20">
        <v>-62.15</v>
      </c>
      <c r="CA72" s="20">
        <v>36.25</v>
      </c>
      <c r="CI72" s="20">
        <v>-56.14</v>
      </c>
      <c r="CJ72" s="20">
        <v>-52.48</v>
      </c>
      <c r="CO72" s="20">
        <v>-47.09</v>
      </c>
      <c r="CP72" s="20">
        <v>-41.75</v>
      </c>
      <c r="CS72" s="34">
        <f>IFERROR(__xludf.DUMMYFUNCTION("""COMPUTED_VALUE"""),-6.32)</f>
        <v>-6.32</v>
      </c>
      <c r="CT72" s="34">
        <f>IFERROR(__xludf.DUMMYFUNCTION("""COMPUTED_VALUE"""),6.18)</f>
        <v>6.18</v>
      </c>
    </row>
    <row r="73">
      <c r="A73" s="20">
        <v>-13.15</v>
      </c>
      <c r="B73" s="20">
        <v>41.86</v>
      </c>
      <c r="D73" s="20"/>
      <c r="E73" s="20"/>
      <c r="F73" s="20">
        <v>-23.12</v>
      </c>
      <c r="G73" s="20">
        <v>-10.17</v>
      </c>
      <c r="I73" s="20"/>
      <c r="J73" s="20"/>
      <c r="K73" s="20">
        <v>36.0</v>
      </c>
      <c r="L73" s="20" t="s">
        <v>14</v>
      </c>
      <c r="M73" s="20">
        <v>-28.31</v>
      </c>
      <c r="N73" s="20">
        <v>-30.89</v>
      </c>
      <c r="P73" s="20">
        <v>-33.44</v>
      </c>
      <c r="Q73" s="20">
        <v>2.32</v>
      </c>
      <c r="AG73" s="20">
        <v>71.0</v>
      </c>
      <c r="AH73" s="20" t="s">
        <v>14</v>
      </c>
      <c r="AI73" s="20">
        <v>-12.58</v>
      </c>
      <c r="AJ73" s="20">
        <v>-16.3</v>
      </c>
      <c r="AM73" s="20">
        <v>36.0</v>
      </c>
      <c r="AN73" s="20" t="s">
        <v>14</v>
      </c>
      <c r="AO73" s="20">
        <v>-21.91</v>
      </c>
      <c r="AP73" s="20">
        <v>-28.47</v>
      </c>
      <c r="AS73" s="20">
        <v>36.0</v>
      </c>
      <c r="AT73" s="20" t="s">
        <v>14</v>
      </c>
      <c r="AU73" s="20">
        <v>11.32</v>
      </c>
      <c r="AV73" s="20">
        <v>-44.69</v>
      </c>
      <c r="BE73" s="20">
        <v>71.0</v>
      </c>
      <c r="BF73" s="20" t="s">
        <v>14</v>
      </c>
      <c r="BG73" s="20">
        <v>20.81</v>
      </c>
      <c r="BH73" s="20">
        <v>3.09</v>
      </c>
      <c r="BK73" s="20">
        <v>36.0</v>
      </c>
      <c r="BL73" s="20" t="s">
        <v>14</v>
      </c>
      <c r="BM73" s="20">
        <v>125.02</v>
      </c>
      <c r="BN73" s="20">
        <v>155.88</v>
      </c>
      <c r="BW73" s="20">
        <v>-47.75</v>
      </c>
      <c r="BX73" s="20">
        <v>-15.65</v>
      </c>
      <c r="BZ73" s="20">
        <v>-58.47</v>
      </c>
      <c r="CA73" s="20">
        <v>78.21</v>
      </c>
      <c r="CI73" s="20">
        <v>-51.45</v>
      </c>
      <c r="CJ73" s="20">
        <v>-60.4</v>
      </c>
      <c r="CO73" s="20">
        <v>-40.18</v>
      </c>
      <c r="CP73" s="20">
        <v>-51.44</v>
      </c>
      <c r="CS73" s="34">
        <f>IFERROR(__xludf.DUMMYFUNCTION("""COMPUTED_VALUE"""),-21.51)</f>
        <v>-21.51</v>
      </c>
      <c r="CT73" s="34">
        <f>IFERROR(__xludf.DUMMYFUNCTION("""COMPUTED_VALUE"""),-11.5)</f>
        <v>-11.5</v>
      </c>
    </row>
    <row r="74">
      <c r="A74" s="20">
        <v>-41.68</v>
      </c>
      <c r="B74" s="20">
        <v>44.38</v>
      </c>
      <c r="D74" s="20"/>
      <c r="E74" s="20"/>
      <c r="F74" s="20">
        <v>-27.49</v>
      </c>
      <c r="G74" s="20">
        <v>-5.53</v>
      </c>
      <c r="I74" s="20"/>
      <c r="J74" s="20"/>
      <c r="K74" s="20">
        <v>36.0</v>
      </c>
      <c r="L74" s="20" t="s">
        <v>17</v>
      </c>
      <c r="M74" s="20">
        <v>94.84</v>
      </c>
      <c r="N74" s="20">
        <v>10.37</v>
      </c>
      <c r="P74" s="20">
        <v>-36.03</v>
      </c>
      <c r="Q74" s="20">
        <v>5.62</v>
      </c>
      <c r="AG74" s="20">
        <v>72.0</v>
      </c>
      <c r="AH74" s="20" t="s">
        <v>14</v>
      </c>
      <c r="AI74" s="20">
        <v>53.64</v>
      </c>
      <c r="AJ74" s="20">
        <v>10.24</v>
      </c>
      <c r="AM74" s="20">
        <v>36.0</v>
      </c>
      <c r="AN74" s="20" t="s">
        <v>17</v>
      </c>
      <c r="AO74" s="20">
        <v>-24.3</v>
      </c>
      <c r="AP74" s="20">
        <v>-62.04</v>
      </c>
      <c r="AS74" s="20">
        <v>36.0</v>
      </c>
      <c r="AT74" s="20" t="s">
        <v>17</v>
      </c>
      <c r="AU74" s="20">
        <v>-24.06</v>
      </c>
      <c r="AV74" s="20">
        <v>-32.51</v>
      </c>
      <c r="BE74" s="20">
        <v>72.0</v>
      </c>
      <c r="BF74" s="20" t="s">
        <v>14</v>
      </c>
      <c r="BG74" s="20">
        <v>8.85</v>
      </c>
      <c r="BH74" s="20">
        <v>-15.48</v>
      </c>
      <c r="BK74" s="20">
        <v>36.0</v>
      </c>
      <c r="BL74" s="20" t="s">
        <v>17</v>
      </c>
      <c r="BM74" s="20">
        <v>73.79</v>
      </c>
      <c r="BN74" s="20">
        <v>58.71</v>
      </c>
      <c r="BW74" s="20">
        <v>-49.5</v>
      </c>
      <c r="BX74" s="20">
        <v>-0.35</v>
      </c>
      <c r="BZ74" s="20">
        <v>37.93</v>
      </c>
      <c r="CA74" s="20">
        <v>-51.07</v>
      </c>
      <c r="CI74" s="20">
        <v>-34.66</v>
      </c>
      <c r="CJ74" s="20">
        <v>-27.57</v>
      </c>
      <c r="CO74" s="20">
        <v>-32.92</v>
      </c>
      <c r="CP74" s="20">
        <v>-42.41</v>
      </c>
      <c r="CS74" s="34">
        <f>IFERROR(__xludf.DUMMYFUNCTION("""COMPUTED_VALUE"""),-49.68)</f>
        <v>-49.68</v>
      </c>
      <c r="CT74" s="34">
        <f>IFERROR(__xludf.DUMMYFUNCTION("""COMPUTED_VALUE"""),11.75)</f>
        <v>11.75</v>
      </c>
    </row>
    <row r="75">
      <c r="A75" s="20">
        <v>-37.15</v>
      </c>
      <c r="B75" s="20">
        <v>53.7</v>
      </c>
      <c r="D75" s="20"/>
      <c r="E75" s="20"/>
      <c r="F75" s="20">
        <v>-18.79</v>
      </c>
      <c r="G75" s="20">
        <v>52.34</v>
      </c>
      <c r="I75" s="20"/>
      <c r="J75" s="20"/>
      <c r="K75" s="20">
        <v>37.0</v>
      </c>
      <c r="L75" s="20" t="s">
        <v>14</v>
      </c>
      <c r="M75" s="20">
        <v>40.8</v>
      </c>
      <c r="N75" s="20">
        <v>51.15</v>
      </c>
      <c r="P75" s="20">
        <v>7.26</v>
      </c>
      <c r="Q75" s="20">
        <v>-4.66</v>
      </c>
      <c r="AG75" s="20">
        <v>73.0</v>
      </c>
      <c r="AH75" s="20" t="s">
        <v>14</v>
      </c>
      <c r="AI75" s="20">
        <v>-37.71</v>
      </c>
      <c r="AJ75" s="20">
        <v>-13.33</v>
      </c>
      <c r="AM75" s="20">
        <v>37.0</v>
      </c>
      <c r="AN75" s="20" t="s">
        <v>14</v>
      </c>
      <c r="AO75" s="20">
        <v>-12.09</v>
      </c>
      <c r="AP75" s="20">
        <v>0.57</v>
      </c>
      <c r="AS75" s="20">
        <v>37.0</v>
      </c>
      <c r="AT75" s="20" t="s">
        <v>14</v>
      </c>
      <c r="AU75" s="20">
        <v>-28.62</v>
      </c>
      <c r="AV75" s="20">
        <v>-46.32</v>
      </c>
      <c r="BE75" s="20">
        <v>73.0</v>
      </c>
      <c r="BF75" s="20" t="s">
        <v>14</v>
      </c>
      <c r="BG75" s="20">
        <v>-15.95</v>
      </c>
      <c r="BH75" s="20">
        <v>11.0</v>
      </c>
      <c r="BK75" s="20">
        <v>37.0</v>
      </c>
      <c r="BL75" s="20" t="s">
        <v>14</v>
      </c>
      <c r="BM75" s="20">
        <v>-3.86</v>
      </c>
      <c r="BN75" s="20">
        <v>28.94</v>
      </c>
      <c r="BW75" s="20">
        <v>-51.28</v>
      </c>
      <c r="BX75" s="20">
        <v>-25.35</v>
      </c>
      <c r="BZ75" s="20">
        <v>-37.06</v>
      </c>
      <c r="CA75" s="20">
        <v>50.55</v>
      </c>
      <c r="CI75" s="20">
        <v>-42.41</v>
      </c>
      <c r="CJ75" s="20">
        <v>-35.06</v>
      </c>
      <c r="CO75" s="20">
        <v>-10.51</v>
      </c>
      <c r="CP75" s="20">
        <v>-37.87</v>
      </c>
      <c r="CS75" s="34">
        <f>IFERROR(__xludf.DUMMYFUNCTION("""COMPUTED_VALUE"""),-42.68)</f>
        <v>-42.68</v>
      </c>
      <c r="CT75" s="34">
        <f>IFERROR(__xludf.DUMMYFUNCTION("""COMPUTED_VALUE"""),-4.6)</f>
        <v>-4.6</v>
      </c>
    </row>
    <row r="76">
      <c r="A76" s="20">
        <v>-44.05</v>
      </c>
      <c r="B76" s="20">
        <v>22.66</v>
      </c>
      <c r="D76" s="20"/>
      <c r="E76" s="20"/>
      <c r="F76" s="20">
        <v>-43.69</v>
      </c>
      <c r="G76" s="20">
        <v>6.88</v>
      </c>
      <c r="I76" s="20"/>
      <c r="J76" s="20"/>
      <c r="K76" s="20">
        <v>37.0</v>
      </c>
      <c r="L76" s="20" t="s">
        <v>17</v>
      </c>
      <c r="M76" s="20">
        <v>39.55</v>
      </c>
      <c r="N76" s="20">
        <v>55.96</v>
      </c>
      <c r="P76" s="20">
        <v>78.89</v>
      </c>
      <c r="Q76" s="20">
        <v>62.07</v>
      </c>
      <c r="AG76" s="20">
        <v>74.0</v>
      </c>
      <c r="AH76" s="20" t="s">
        <v>14</v>
      </c>
      <c r="AI76" s="20">
        <v>-8.66</v>
      </c>
      <c r="AJ76" s="20">
        <v>-16.52</v>
      </c>
      <c r="AM76" s="20">
        <v>37.0</v>
      </c>
      <c r="AN76" s="20" t="s">
        <v>17</v>
      </c>
      <c r="AO76" s="20">
        <v>34.07</v>
      </c>
      <c r="AP76" s="20">
        <v>4.26</v>
      </c>
      <c r="AS76" s="20">
        <v>37.0</v>
      </c>
      <c r="AT76" s="20" t="s">
        <v>17</v>
      </c>
      <c r="AU76" s="20">
        <v>-40.37</v>
      </c>
      <c r="AV76" s="20">
        <v>-39.38</v>
      </c>
      <c r="BE76" s="20">
        <v>74.0</v>
      </c>
      <c r="BF76" s="20" t="s">
        <v>14</v>
      </c>
      <c r="BG76" s="20">
        <v>74.13</v>
      </c>
      <c r="BH76" s="20">
        <v>19.24</v>
      </c>
      <c r="BK76" s="20">
        <v>37.0</v>
      </c>
      <c r="BL76" s="20" t="s">
        <v>17</v>
      </c>
      <c r="BM76" s="20">
        <v>7.15</v>
      </c>
      <c r="BN76" s="20">
        <v>41.63</v>
      </c>
      <c r="BW76" s="20">
        <v>-25.15</v>
      </c>
      <c r="BX76" s="20">
        <v>-18.58</v>
      </c>
      <c r="BZ76" s="20">
        <v>-54.2</v>
      </c>
      <c r="CA76" s="20">
        <v>-33.42</v>
      </c>
      <c r="CI76" s="20">
        <v>-26.13</v>
      </c>
      <c r="CJ76" s="20">
        <v>-58.83</v>
      </c>
      <c r="CO76" s="20">
        <v>-51.45</v>
      </c>
      <c r="CP76" s="20">
        <v>-34.56</v>
      </c>
      <c r="CS76" s="34">
        <f>IFERROR(__xludf.DUMMYFUNCTION("""COMPUTED_VALUE"""),3.93)</f>
        <v>3.93</v>
      </c>
      <c r="CT76" s="34">
        <f>IFERROR(__xludf.DUMMYFUNCTION("""COMPUTED_VALUE"""),8.93)</f>
        <v>8.93</v>
      </c>
    </row>
    <row r="77">
      <c r="A77" s="20">
        <v>22.45</v>
      </c>
      <c r="B77" s="20">
        <v>119.85</v>
      </c>
      <c r="D77" s="20"/>
      <c r="E77" s="20"/>
      <c r="F77" s="20">
        <v>-41.84</v>
      </c>
      <c r="G77" s="20">
        <v>31.11</v>
      </c>
      <c r="I77" s="20"/>
      <c r="J77" s="20"/>
      <c r="K77" s="20">
        <v>38.0</v>
      </c>
      <c r="L77" s="20" t="s">
        <v>14</v>
      </c>
      <c r="M77" s="20">
        <v>-39.72</v>
      </c>
      <c r="N77" s="20">
        <v>-5.82</v>
      </c>
      <c r="P77" s="20">
        <v>10.84</v>
      </c>
      <c r="Q77" s="20">
        <v>61.09</v>
      </c>
      <c r="AG77" s="20">
        <v>75.0</v>
      </c>
      <c r="AH77" s="20" t="s">
        <v>14</v>
      </c>
      <c r="AI77" s="20">
        <v>-27.56</v>
      </c>
      <c r="AJ77" s="20">
        <v>-28.91</v>
      </c>
      <c r="AM77" s="20">
        <v>38.0</v>
      </c>
      <c r="AN77" s="20" t="s">
        <v>14</v>
      </c>
      <c r="AO77" s="20">
        <v>-28.34</v>
      </c>
      <c r="AP77" s="20">
        <v>-46.17</v>
      </c>
      <c r="AS77" s="20">
        <v>38.0</v>
      </c>
      <c r="AT77" s="20" t="s">
        <v>14</v>
      </c>
      <c r="AU77" s="20">
        <v>-13.66</v>
      </c>
      <c r="AV77" s="20">
        <v>-39.75</v>
      </c>
      <c r="BE77" s="20">
        <v>75.0</v>
      </c>
      <c r="BF77" s="20" t="s">
        <v>14</v>
      </c>
      <c r="BG77" s="20">
        <v>8.45</v>
      </c>
      <c r="BH77" s="20">
        <v>36.95</v>
      </c>
      <c r="BK77" s="20">
        <v>38.0</v>
      </c>
      <c r="BL77" s="20" t="s">
        <v>14</v>
      </c>
      <c r="BM77" s="20">
        <v>77.96</v>
      </c>
      <c r="BN77" s="20">
        <v>147.43</v>
      </c>
      <c r="BW77" s="20">
        <v>-40.89</v>
      </c>
      <c r="BX77" s="20">
        <v>-32.85</v>
      </c>
      <c r="BZ77" s="20">
        <v>-28.86</v>
      </c>
      <c r="CA77" s="20">
        <v>93.97</v>
      </c>
      <c r="CI77" s="20">
        <v>-41.15</v>
      </c>
      <c r="CJ77" s="20">
        <v>-45.34</v>
      </c>
      <c r="CO77" s="20">
        <v>-30.92</v>
      </c>
      <c r="CP77" s="20">
        <v>-15.41</v>
      </c>
      <c r="CS77" s="34">
        <f>IFERROR(__xludf.DUMMYFUNCTION("""COMPUTED_VALUE"""),21.95)</f>
        <v>21.95</v>
      </c>
      <c r="CT77" s="34">
        <f>IFERROR(__xludf.DUMMYFUNCTION("""COMPUTED_VALUE"""),23.78)</f>
        <v>23.78</v>
      </c>
    </row>
    <row r="78">
      <c r="A78" s="20">
        <v>5.99</v>
      </c>
      <c r="B78" s="20">
        <v>70.0</v>
      </c>
      <c r="D78" s="20"/>
      <c r="E78" s="20"/>
      <c r="F78" s="20">
        <v>33.63</v>
      </c>
      <c r="G78" s="20">
        <v>-37.37</v>
      </c>
      <c r="I78" s="20"/>
      <c r="J78" s="20"/>
      <c r="K78" s="20">
        <v>38.0</v>
      </c>
      <c r="L78" s="20" t="s">
        <v>17</v>
      </c>
      <c r="M78" s="20">
        <v>-27.94</v>
      </c>
      <c r="N78" s="20">
        <v>-44.22</v>
      </c>
      <c r="P78" s="20">
        <v>39.71</v>
      </c>
      <c r="Q78" s="20">
        <v>40.35</v>
      </c>
      <c r="AG78" s="20">
        <v>76.0</v>
      </c>
      <c r="AH78" s="20" t="s">
        <v>14</v>
      </c>
      <c r="AI78" s="20">
        <v>-15.83</v>
      </c>
      <c r="AJ78" s="20">
        <v>-22.6</v>
      </c>
      <c r="AM78" s="20">
        <v>38.0</v>
      </c>
      <c r="AN78" s="20" t="s">
        <v>17</v>
      </c>
      <c r="AO78" s="20">
        <v>-13.83</v>
      </c>
      <c r="AP78" s="20">
        <v>-37.1</v>
      </c>
      <c r="AS78" s="20">
        <v>38.0</v>
      </c>
      <c r="AT78" s="20" t="s">
        <v>17</v>
      </c>
      <c r="AU78" s="20">
        <v>-26.25</v>
      </c>
      <c r="AV78" s="20">
        <v>-40.75</v>
      </c>
      <c r="BE78" s="20">
        <v>76.0</v>
      </c>
      <c r="BF78" s="20" t="s">
        <v>14</v>
      </c>
      <c r="BG78" s="20">
        <v>19.13</v>
      </c>
      <c r="BH78" s="20">
        <v>15.82</v>
      </c>
      <c r="BK78" s="20">
        <v>38.0</v>
      </c>
      <c r="BL78" s="20" t="s">
        <v>17</v>
      </c>
      <c r="BM78" s="20">
        <v>140.92</v>
      </c>
      <c r="BN78" s="20">
        <v>104.82</v>
      </c>
      <c r="BW78" s="20">
        <v>-51.7</v>
      </c>
      <c r="BX78" s="20">
        <v>-14.54</v>
      </c>
      <c r="BZ78" s="20">
        <v>-18.17</v>
      </c>
      <c r="CA78" s="20">
        <v>83.79</v>
      </c>
      <c r="CI78" s="20">
        <v>-56.81</v>
      </c>
      <c r="CJ78" s="20">
        <v>-52.17</v>
      </c>
      <c r="CO78" s="20">
        <v>-21.02</v>
      </c>
      <c r="CP78" s="20">
        <v>-29.02</v>
      </c>
      <c r="CS78" s="34"/>
      <c r="CT78" s="34"/>
    </row>
    <row r="79">
      <c r="A79" s="20">
        <v>-43.72</v>
      </c>
      <c r="B79" s="20">
        <v>20.21</v>
      </c>
      <c r="D79" s="20"/>
      <c r="E79" s="20"/>
      <c r="F79" s="20">
        <v>-43.35</v>
      </c>
      <c r="G79" s="20">
        <v>-12.57</v>
      </c>
      <c r="I79" s="20"/>
      <c r="J79" s="20"/>
      <c r="K79" s="20">
        <v>39.0</v>
      </c>
      <c r="L79" s="20" t="s">
        <v>14</v>
      </c>
      <c r="M79" s="20">
        <v>-25.75</v>
      </c>
      <c r="N79" s="20">
        <v>23.62</v>
      </c>
      <c r="P79" s="20">
        <v>-12.62</v>
      </c>
      <c r="Q79" s="20">
        <v>52.39</v>
      </c>
      <c r="AG79" s="20">
        <v>77.0</v>
      </c>
      <c r="AH79" s="20" t="s">
        <v>14</v>
      </c>
      <c r="AI79" s="20">
        <v>-0.87</v>
      </c>
      <c r="AJ79" s="20">
        <v>-32.67</v>
      </c>
      <c r="AM79" s="20">
        <v>39.0</v>
      </c>
      <c r="AN79" s="20" t="s">
        <v>14</v>
      </c>
      <c r="AO79" s="20">
        <v>-7.58</v>
      </c>
      <c r="AP79" s="20">
        <v>-19.5</v>
      </c>
      <c r="AS79" s="20">
        <v>39.0</v>
      </c>
      <c r="AT79" s="20" t="s">
        <v>14</v>
      </c>
      <c r="AU79" s="20">
        <v>1.49</v>
      </c>
      <c r="AV79" s="20">
        <v>-55.37</v>
      </c>
      <c r="BE79" s="20">
        <v>77.0</v>
      </c>
      <c r="BF79" s="20" t="s">
        <v>14</v>
      </c>
      <c r="BG79" s="20">
        <v>38.37</v>
      </c>
      <c r="BH79" s="20">
        <v>30.34</v>
      </c>
      <c r="BK79" s="20">
        <v>39.0</v>
      </c>
      <c r="BL79" s="20" t="s">
        <v>14</v>
      </c>
      <c r="BM79" s="20">
        <v>13.07</v>
      </c>
      <c r="BN79" s="20">
        <v>54.66</v>
      </c>
      <c r="BW79" s="20">
        <v>-34.27</v>
      </c>
      <c r="BX79" s="20">
        <v>3.94</v>
      </c>
      <c r="BZ79" s="20">
        <v>-31.2</v>
      </c>
      <c r="CA79" s="20">
        <v>54.93</v>
      </c>
      <c r="CI79" s="20">
        <v>-38.69</v>
      </c>
      <c r="CJ79" s="20">
        <v>-51.56</v>
      </c>
      <c r="CO79" s="20">
        <v>-37.97</v>
      </c>
      <c r="CP79" s="20">
        <v>-62.07</v>
      </c>
      <c r="CS79" s="34"/>
      <c r="CT79" s="34"/>
    </row>
    <row r="80">
      <c r="A80" s="20">
        <v>-41.93</v>
      </c>
      <c r="B80" s="20">
        <v>-8.19</v>
      </c>
      <c r="D80" s="20"/>
      <c r="E80" s="20"/>
      <c r="F80" s="20">
        <v>-47.15</v>
      </c>
      <c r="G80" s="20">
        <v>3.98</v>
      </c>
      <c r="I80" s="20"/>
      <c r="J80" s="20"/>
      <c r="K80" s="20">
        <v>39.0</v>
      </c>
      <c r="L80" s="20" t="s">
        <v>17</v>
      </c>
      <c r="M80" s="20">
        <v>19.78</v>
      </c>
      <c r="N80" s="20">
        <v>46.08</v>
      </c>
      <c r="P80" s="20">
        <v>46.19</v>
      </c>
      <c r="Q80" s="20">
        <v>55.95</v>
      </c>
      <c r="AG80" s="20">
        <v>78.0</v>
      </c>
      <c r="AH80" s="20" t="s">
        <v>14</v>
      </c>
      <c r="AI80" s="20">
        <v>-19.9</v>
      </c>
      <c r="AJ80" s="20">
        <v>-9.38</v>
      </c>
      <c r="AM80" s="20">
        <v>39.0</v>
      </c>
      <c r="AN80" s="20" t="s">
        <v>17</v>
      </c>
      <c r="AO80" s="20">
        <v>21.82</v>
      </c>
      <c r="AP80" s="20">
        <v>11.88</v>
      </c>
      <c r="AS80" s="20">
        <v>39.0</v>
      </c>
      <c r="AT80" s="20" t="s">
        <v>17</v>
      </c>
      <c r="AU80" s="20">
        <v>-29.36</v>
      </c>
      <c r="AV80" s="20">
        <v>-44.72</v>
      </c>
      <c r="BE80" s="20">
        <v>78.0</v>
      </c>
      <c r="BF80" s="20" t="s">
        <v>14</v>
      </c>
      <c r="BG80" s="20">
        <v>34.79</v>
      </c>
      <c r="BH80" s="20">
        <v>36.7</v>
      </c>
      <c r="BK80" s="20">
        <v>39.0</v>
      </c>
      <c r="BL80" s="20" t="s">
        <v>17</v>
      </c>
      <c r="BM80" s="20">
        <v>-7.83</v>
      </c>
      <c r="BN80" s="20">
        <v>45.88</v>
      </c>
      <c r="BW80" s="20">
        <v>-45.65</v>
      </c>
      <c r="BX80" s="20">
        <v>-27.91</v>
      </c>
      <c r="BZ80" s="20">
        <v>-69.47</v>
      </c>
      <c r="CA80" s="20">
        <v>-5.89</v>
      </c>
      <c r="CI80" s="20">
        <v>-25.55</v>
      </c>
      <c r="CJ80" s="20">
        <v>-51.34</v>
      </c>
      <c r="CO80" s="20">
        <v>-10.51</v>
      </c>
      <c r="CP80" s="20">
        <v>-22.68</v>
      </c>
      <c r="CS80" s="34"/>
      <c r="CT80" s="34"/>
    </row>
    <row r="81">
      <c r="A81" s="20">
        <v>-63.33</v>
      </c>
      <c r="B81" s="20">
        <v>41.71</v>
      </c>
      <c r="D81" s="20"/>
      <c r="E81" s="20"/>
      <c r="F81" s="20">
        <v>-17.29</v>
      </c>
      <c r="G81" s="20">
        <v>23.89</v>
      </c>
      <c r="I81" s="20"/>
      <c r="J81" s="20"/>
      <c r="K81" s="20">
        <v>40.0</v>
      </c>
      <c r="L81" s="20" t="s">
        <v>14</v>
      </c>
      <c r="M81" s="20">
        <v>-27.6</v>
      </c>
      <c r="N81" s="20">
        <v>11.53</v>
      </c>
      <c r="P81" s="20">
        <v>-11.49</v>
      </c>
      <c r="Q81" s="20">
        <v>20.77</v>
      </c>
      <c r="AG81" s="20">
        <v>79.0</v>
      </c>
      <c r="AH81" s="20" t="s">
        <v>14</v>
      </c>
      <c r="AI81" s="20">
        <v>-46.07</v>
      </c>
      <c r="AJ81" s="20">
        <v>-32.11</v>
      </c>
      <c r="AM81" s="20">
        <v>40.0</v>
      </c>
      <c r="AN81" s="20" t="s">
        <v>14</v>
      </c>
      <c r="AO81" s="20">
        <v>-28.61</v>
      </c>
      <c r="AP81" s="20">
        <v>-31.36</v>
      </c>
      <c r="AS81" s="20">
        <v>40.0</v>
      </c>
      <c r="AT81" s="20" t="s">
        <v>14</v>
      </c>
      <c r="AU81" s="20">
        <v>-15.18</v>
      </c>
      <c r="AV81" s="20">
        <v>-54.56</v>
      </c>
      <c r="BE81" s="20">
        <v>79.0</v>
      </c>
      <c r="BF81" s="20" t="s">
        <v>14</v>
      </c>
      <c r="BG81" s="20">
        <v>30.28</v>
      </c>
      <c r="BH81" s="20">
        <v>17.45</v>
      </c>
      <c r="BK81" s="20">
        <v>40.0</v>
      </c>
      <c r="BL81" s="20" t="s">
        <v>14</v>
      </c>
      <c r="BM81" s="20">
        <v>109.02</v>
      </c>
      <c r="BN81" s="20">
        <v>146.06</v>
      </c>
      <c r="BW81" s="20">
        <v>-26.6</v>
      </c>
      <c r="BX81" s="20">
        <v>-49.69</v>
      </c>
      <c r="BZ81" s="20">
        <v>-43.44</v>
      </c>
      <c r="CA81" s="20">
        <v>21.49</v>
      </c>
      <c r="CI81" s="20">
        <v>-57.71</v>
      </c>
      <c r="CJ81" s="20">
        <v>-66.26</v>
      </c>
      <c r="CO81" s="20">
        <v>-11.23</v>
      </c>
      <c r="CP81" s="20">
        <v>-53.3</v>
      </c>
      <c r="CS81" s="34"/>
      <c r="CT81" s="34"/>
    </row>
    <row r="82">
      <c r="A82" s="20">
        <v>-21.66</v>
      </c>
      <c r="B82" s="20">
        <v>-12.68</v>
      </c>
      <c r="D82" s="20"/>
      <c r="E82" s="20"/>
      <c r="F82" s="20">
        <v>-0.33</v>
      </c>
      <c r="G82" s="20">
        <v>35.7</v>
      </c>
      <c r="I82" s="20"/>
      <c r="J82" s="20"/>
      <c r="K82" s="20">
        <v>40.0</v>
      </c>
      <c r="L82" s="20" t="s">
        <v>17</v>
      </c>
      <c r="M82" s="20">
        <v>-6.49</v>
      </c>
      <c r="N82" s="20">
        <v>79.75</v>
      </c>
      <c r="P82" s="20">
        <v>0.56</v>
      </c>
      <c r="Q82" s="20">
        <v>3.69</v>
      </c>
      <c r="AG82" s="20">
        <v>80.0</v>
      </c>
      <c r="AH82" s="20" t="s">
        <v>14</v>
      </c>
      <c r="AI82" s="20">
        <v>-22.94</v>
      </c>
      <c r="AJ82" s="20">
        <v>-11.71</v>
      </c>
      <c r="AM82" s="20">
        <v>40.0</v>
      </c>
      <c r="AN82" s="20" t="s">
        <v>17</v>
      </c>
      <c r="AO82" s="20">
        <v>-26.92</v>
      </c>
      <c r="AP82" s="20">
        <v>-15.32</v>
      </c>
      <c r="AS82" s="20">
        <v>40.0</v>
      </c>
      <c r="AT82" s="20" t="s">
        <v>17</v>
      </c>
      <c r="AU82" s="20">
        <v>-13.74</v>
      </c>
      <c r="AV82" s="20">
        <v>-45.64</v>
      </c>
      <c r="BE82" s="20">
        <v>80.0</v>
      </c>
      <c r="BF82" s="20" t="s">
        <v>14</v>
      </c>
      <c r="BG82" s="20">
        <v>9.56</v>
      </c>
      <c r="BH82" s="20">
        <v>25.51</v>
      </c>
      <c r="BK82" s="20">
        <v>40.0</v>
      </c>
      <c r="BL82" s="20" t="s">
        <v>17</v>
      </c>
      <c r="BM82" s="20">
        <v>82.89</v>
      </c>
      <c r="BN82" s="20">
        <v>64.78</v>
      </c>
      <c r="BW82" s="20">
        <v>-20.38</v>
      </c>
      <c r="BX82" s="20">
        <v>-16.72</v>
      </c>
      <c r="BZ82" s="20">
        <v>-37.21</v>
      </c>
      <c r="CA82" s="20">
        <v>-6.7</v>
      </c>
      <c r="CI82" s="20">
        <v>-48.39</v>
      </c>
      <c r="CJ82" s="20">
        <v>-60.51</v>
      </c>
      <c r="CO82" s="20">
        <v>16.94</v>
      </c>
      <c r="CP82" s="20">
        <v>-61.29</v>
      </c>
      <c r="CS82" s="34"/>
      <c r="CT82" s="34"/>
    </row>
    <row r="83">
      <c r="A83" s="20">
        <v>-65.05</v>
      </c>
      <c r="B83" s="20">
        <v>21.32</v>
      </c>
      <c r="D83" s="20"/>
      <c r="E83" s="20"/>
      <c r="F83" s="20">
        <v>19.95</v>
      </c>
      <c r="G83" s="20">
        <v>48.46</v>
      </c>
      <c r="I83" s="20"/>
      <c r="J83" s="20"/>
      <c r="K83" s="20">
        <v>41.0</v>
      </c>
      <c r="L83" s="20" t="s">
        <v>14</v>
      </c>
      <c r="M83" s="20">
        <v>-28.13</v>
      </c>
      <c r="N83" s="20">
        <v>18.63</v>
      </c>
      <c r="P83" s="20">
        <v>7.0</v>
      </c>
      <c r="Q83" s="20">
        <v>20.92</v>
      </c>
      <c r="AG83" s="20">
        <v>81.0</v>
      </c>
      <c r="AH83" s="20" t="s">
        <v>14</v>
      </c>
      <c r="AI83" s="20">
        <v>-26.27</v>
      </c>
      <c r="AJ83" s="20">
        <v>-16.97</v>
      </c>
      <c r="AM83" s="20">
        <v>41.0</v>
      </c>
      <c r="AN83" s="20" t="s">
        <v>14</v>
      </c>
      <c r="AO83" s="20">
        <v>15.17</v>
      </c>
      <c r="AP83" s="20">
        <v>-43.56</v>
      </c>
      <c r="AS83" s="20">
        <v>41.0</v>
      </c>
      <c r="AT83" s="20" t="s">
        <v>14</v>
      </c>
      <c r="AU83" s="20">
        <v>-24.91</v>
      </c>
      <c r="AV83" s="20">
        <v>-44.74</v>
      </c>
      <c r="BE83" s="20">
        <v>81.0</v>
      </c>
      <c r="BF83" s="20" t="s">
        <v>14</v>
      </c>
      <c r="BG83" s="20">
        <v>17.51</v>
      </c>
      <c r="BH83" s="20">
        <v>20.73</v>
      </c>
      <c r="BK83" s="20">
        <v>41.0</v>
      </c>
      <c r="BL83" s="20" t="s">
        <v>14</v>
      </c>
      <c r="BM83" s="20">
        <v>35.91</v>
      </c>
      <c r="BN83" s="20">
        <v>71.26</v>
      </c>
      <c r="BW83" s="20">
        <v>-54.1</v>
      </c>
      <c r="BX83" s="20">
        <v>-29.54</v>
      </c>
      <c r="BZ83" s="20">
        <v>-48.3</v>
      </c>
      <c r="CA83" s="20">
        <v>60.8</v>
      </c>
      <c r="CI83" s="20">
        <v>-44.23</v>
      </c>
      <c r="CJ83" s="20">
        <v>-43.8</v>
      </c>
      <c r="CO83" s="20">
        <v>-53.02</v>
      </c>
      <c r="CP83" s="20">
        <v>-42.67</v>
      </c>
      <c r="CS83" s="34"/>
      <c r="CT83" s="34"/>
    </row>
    <row r="84">
      <c r="A84" s="20">
        <v>-60.59</v>
      </c>
      <c r="B84" s="20">
        <v>-39.19</v>
      </c>
      <c r="D84" s="20"/>
      <c r="E84" s="20"/>
      <c r="F84" s="20">
        <v>-37.55</v>
      </c>
      <c r="G84" s="20">
        <v>17.02</v>
      </c>
      <c r="I84" s="20"/>
      <c r="J84" s="20"/>
      <c r="K84" s="20">
        <v>41.0</v>
      </c>
      <c r="L84" s="20" t="s">
        <v>17</v>
      </c>
      <c r="M84" s="20">
        <v>28.6</v>
      </c>
      <c r="N84" s="20">
        <v>-5.26</v>
      </c>
      <c r="P84" s="20">
        <v>55.43</v>
      </c>
      <c r="Q84" s="20">
        <v>47.46</v>
      </c>
      <c r="AG84" s="20">
        <v>82.0</v>
      </c>
      <c r="AH84" s="20" t="s">
        <v>14</v>
      </c>
      <c r="AI84" s="20">
        <v>-28.89</v>
      </c>
      <c r="AJ84" s="20">
        <v>-26.82</v>
      </c>
      <c r="AM84" s="20">
        <v>41.0</v>
      </c>
      <c r="AN84" s="20" t="s">
        <v>17</v>
      </c>
      <c r="AO84" s="20">
        <v>-28.61</v>
      </c>
      <c r="AP84" s="20">
        <v>-22.42</v>
      </c>
      <c r="AS84" s="20">
        <v>41.0</v>
      </c>
      <c r="AT84" s="20" t="s">
        <v>17</v>
      </c>
      <c r="AU84" s="20">
        <v>-18.59</v>
      </c>
      <c r="AV84" s="20">
        <v>-55.83</v>
      </c>
      <c r="BE84" s="20">
        <v>82.0</v>
      </c>
      <c r="BF84" s="20" t="s">
        <v>14</v>
      </c>
      <c r="BG84" s="20">
        <v>0.89</v>
      </c>
      <c r="BH84" s="20">
        <v>22.69</v>
      </c>
      <c r="BK84" s="20">
        <v>41.0</v>
      </c>
      <c r="BL84" s="20" t="s">
        <v>17</v>
      </c>
      <c r="BM84" s="20">
        <v>88.5</v>
      </c>
      <c r="BN84" s="20">
        <v>81.08</v>
      </c>
      <c r="BW84" s="20">
        <v>61.0</v>
      </c>
      <c r="BX84" s="20">
        <v>2.45</v>
      </c>
      <c r="BZ84" s="20">
        <v>-53.83</v>
      </c>
      <c r="CA84" s="20">
        <v>49.14</v>
      </c>
      <c r="CI84" s="20">
        <v>-61.33</v>
      </c>
      <c r="CJ84" s="20">
        <v>-73.77</v>
      </c>
      <c r="CO84" s="20">
        <v>-24.06</v>
      </c>
      <c r="CP84" s="20">
        <v>-35.32</v>
      </c>
      <c r="CS84" s="34"/>
      <c r="CT84" s="34"/>
    </row>
    <row r="85">
      <c r="A85" s="20">
        <v>-64.69</v>
      </c>
      <c r="B85" s="20">
        <v>-71.06</v>
      </c>
      <c r="D85" s="20"/>
      <c r="E85" s="20"/>
      <c r="F85" s="20">
        <v>-31.73</v>
      </c>
      <c r="G85" s="20">
        <v>-7.6</v>
      </c>
      <c r="I85" s="20"/>
      <c r="J85" s="20"/>
      <c r="K85" s="20">
        <v>42.0</v>
      </c>
      <c r="L85" s="20" t="s">
        <v>14</v>
      </c>
      <c r="M85" s="20">
        <v>8.6</v>
      </c>
      <c r="N85" s="20">
        <v>-28.2</v>
      </c>
      <c r="P85" s="20">
        <v>15.06</v>
      </c>
      <c r="Q85" s="20">
        <v>36.84</v>
      </c>
      <c r="AG85" s="20">
        <v>83.0</v>
      </c>
      <c r="AH85" s="20" t="s">
        <v>14</v>
      </c>
      <c r="AI85" s="20">
        <v>7.94</v>
      </c>
      <c r="AJ85" s="20">
        <v>-5.84</v>
      </c>
      <c r="AM85" s="20">
        <v>42.0</v>
      </c>
      <c r="AN85" s="20" t="s">
        <v>14</v>
      </c>
      <c r="AO85" s="20">
        <v>-13.95</v>
      </c>
      <c r="AP85" s="20">
        <v>-16.82</v>
      </c>
      <c r="AS85" s="20">
        <v>42.0</v>
      </c>
      <c r="AT85" s="20" t="s">
        <v>14</v>
      </c>
      <c r="AU85" s="20">
        <v>-14.74</v>
      </c>
      <c r="AV85" s="20">
        <v>-45.12</v>
      </c>
      <c r="BE85" s="20">
        <v>83.0</v>
      </c>
      <c r="BF85" s="20" t="s">
        <v>14</v>
      </c>
      <c r="BG85" s="20">
        <v>17.62</v>
      </c>
      <c r="BH85" s="20">
        <v>11.71</v>
      </c>
      <c r="BK85" s="20">
        <v>42.0</v>
      </c>
      <c r="BL85" s="20" t="s">
        <v>14</v>
      </c>
      <c r="BM85" s="20">
        <v>33.87</v>
      </c>
      <c r="BN85" s="20">
        <v>128.68</v>
      </c>
      <c r="BW85" s="20">
        <v>-36.66</v>
      </c>
      <c r="BX85" s="20">
        <v>-27.4</v>
      </c>
      <c r="BZ85" s="20">
        <v>-24.27</v>
      </c>
      <c r="CA85" s="20">
        <v>20.67</v>
      </c>
      <c r="CI85" s="20">
        <v>-59.36</v>
      </c>
      <c r="CJ85" s="20">
        <v>-51.52</v>
      </c>
      <c r="CO85" s="20">
        <v>11.82</v>
      </c>
      <c r="CP85" s="20">
        <v>-55.38</v>
      </c>
      <c r="CS85" s="34"/>
      <c r="CT85" s="34"/>
    </row>
    <row r="86">
      <c r="A86" s="20">
        <v>7.2</v>
      </c>
      <c r="B86" s="20">
        <v>49.9</v>
      </c>
      <c r="D86" s="20"/>
      <c r="E86" s="20"/>
      <c r="F86" s="20">
        <v>-42.63</v>
      </c>
      <c r="G86" s="20">
        <v>18.09</v>
      </c>
      <c r="I86" s="20"/>
      <c r="J86" s="20"/>
      <c r="K86" s="20">
        <v>42.0</v>
      </c>
      <c r="L86" s="20" t="s">
        <v>17</v>
      </c>
      <c r="M86" s="20">
        <v>13.23</v>
      </c>
      <c r="N86" s="20">
        <v>49.45</v>
      </c>
      <c r="P86" s="20">
        <v>78.38</v>
      </c>
      <c r="Q86" s="20">
        <v>71.24</v>
      </c>
      <c r="AG86" s="20">
        <v>84.0</v>
      </c>
      <c r="AH86" s="20" t="s">
        <v>14</v>
      </c>
      <c r="AI86" s="20">
        <v>23.12</v>
      </c>
      <c r="AJ86" s="20">
        <v>8.39</v>
      </c>
      <c r="AM86" s="20">
        <v>42.0</v>
      </c>
      <c r="AN86" s="20" t="s">
        <v>17</v>
      </c>
      <c r="AO86" s="20">
        <v>-24.14</v>
      </c>
      <c r="AP86" s="20">
        <v>-3.25</v>
      </c>
      <c r="AS86" s="20">
        <v>42.0</v>
      </c>
      <c r="AT86" s="20" t="s">
        <v>17</v>
      </c>
      <c r="AU86" s="20">
        <v>-42.16</v>
      </c>
      <c r="AV86" s="20">
        <v>-49.04</v>
      </c>
      <c r="BE86" s="20">
        <v>84.0</v>
      </c>
      <c r="BF86" s="20" t="s">
        <v>14</v>
      </c>
      <c r="BG86" s="20">
        <v>3.5</v>
      </c>
      <c r="BH86" s="20">
        <v>12.39</v>
      </c>
      <c r="BK86" s="20">
        <v>42.0</v>
      </c>
      <c r="BL86" s="20" t="s">
        <v>17</v>
      </c>
      <c r="BM86" s="20">
        <v>3.97</v>
      </c>
      <c r="BN86" s="20">
        <v>79.36</v>
      </c>
      <c r="BW86" s="20">
        <v>-44.32</v>
      </c>
      <c r="BX86" s="20">
        <v>13.99</v>
      </c>
      <c r="BZ86" s="20">
        <v>-50.77</v>
      </c>
      <c r="CA86" s="20">
        <v>-4.49</v>
      </c>
      <c r="CI86" s="20">
        <v>-54.76</v>
      </c>
      <c r="CJ86" s="20">
        <v>-60.53</v>
      </c>
      <c r="CO86" s="20">
        <v>-13.55</v>
      </c>
      <c r="CP86" s="20">
        <v>-58.65</v>
      </c>
      <c r="CS86" s="34"/>
      <c r="CT86" s="34"/>
    </row>
    <row r="87">
      <c r="A87" s="20">
        <v>-60.23</v>
      </c>
      <c r="B87" s="20">
        <v>-66.13</v>
      </c>
      <c r="D87" s="20"/>
      <c r="E87" s="20"/>
      <c r="F87" s="20">
        <v>-34.87</v>
      </c>
      <c r="G87" s="20">
        <v>17.1</v>
      </c>
      <c r="I87" s="20"/>
      <c r="J87" s="20"/>
      <c r="K87" s="20">
        <v>43.0</v>
      </c>
      <c r="L87" s="20" t="s">
        <v>14</v>
      </c>
      <c r="M87" s="20">
        <v>0.59</v>
      </c>
      <c r="N87" s="20">
        <v>-7.15</v>
      </c>
      <c r="P87" s="20">
        <v>37.43</v>
      </c>
      <c r="Q87" s="20">
        <v>93.04</v>
      </c>
      <c r="AG87" s="20">
        <v>85.0</v>
      </c>
      <c r="AH87" s="20" t="s">
        <v>14</v>
      </c>
      <c r="AI87" s="20">
        <v>-15.73</v>
      </c>
      <c r="AJ87" s="20">
        <v>-25.21</v>
      </c>
      <c r="AM87" s="20">
        <v>43.0</v>
      </c>
      <c r="AN87" s="20" t="s">
        <v>14</v>
      </c>
      <c r="AO87" s="20">
        <v>-3.05</v>
      </c>
      <c r="AP87" s="20">
        <v>-43.24</v>
      </c>
      <c r="AS87" s="20">
        <v>43.0</v>
      </c>
      <c r="AT87" s="20" t="s">
        <v>14</v>
      </c>
      <c r="AU87" s="20">
        <v>-35.38</v>
      </c>
      <c r="AV87" s="20">
        <v>-60.69</v>
      </c>
      <c r="BE87" s="20">
        <v>85.0</v>
      </c>
      <c r="BF87" s="20" t="s">
        <v>14</v>
      </c>
      <c r="BG87" s="20">
        <v>27.51</v>
      </c>
      <c r="BH87" s="20">
        <v>5.07</v>
      </c>
      <c r="BK87" s="20">
        <v>43.0</v>
      </c>
      <c r="BL87" s="20" t="s">
        <v>14</v>
      </c>
      <c r="BM87" s="20">
        <v>22.74</v>
      </c>
      <c r="BN87" s="20">
        <v>64.7</v>
      </c>
      <c r="BW87" s="20">
        <v>-24.55</v>
      </c>
      <c r="BX87" s="20">
        <v>-38.7</v>
      </c>
      <c r="BZ87" s="20">
        <v>-57.93</v>
      </c>
      <c r="CA87" s="20">
        <v>115.8</v>
      </c>
      <c r="CI87" s="20">
        <v>-52.56</v>
      </c>
      <c r="CJ87" s="20">
        <v>-45.73</v>
      </c>
      <c r="CO87" s="20">
        <v>-33.82</v>
      </c>
      <c r="CP87" s="20">
        <v>-53.3</v>
      </c>
      <c r="CS87" s="34"/>
      <c r="CT87" s="34"/>
    </row>
    <row r="88">
      <c r="A88" s="20">
        <v>-30.6</v>
      </c>
      <c r="B88" s="20">
        <v>-11.9</v>
      </c>
      <c r="D88" s="20"/>
      <c r="E88" s="20"/>
      <c r="F88" s="20">
        <v>-11.53</v>
      </c>
      <c r="G88" s="20">
        <v>55.14</v>
      </c>
      <c r="I88" s="20"/>
      <c r="J88" s="20"/>
      <c r="K88" s="20">
        <v>43.0</v>
      </c>
      <c r="L88" s="20" t="s">
        <v>17</v>
      </c>
      <c r="M88" s="20">
        <v>-34.42</v>
      </c>
      <c r="N88" s="20">
        <v>-28.69</v>
      </c>
      <c r="P88" s="20">
        <v>-7.84</v>
      </c>
      <c r="Q88" s="20">
        <v>95.84</v>
      </c>
      <c r="AG88" s="20">
        <v>86.0</v>
      </c>
      <c r="AH88" s="20" t="s">
        <v>14</v>
      </c>
      <c r="AI88" s="20">
        <v>0.87</v>
      </c>
      <c r="AJ88" s="20">
        <v>-5.33</v>
      </c>
      <c r="AM88" s="20">
        <v>43.0</v>
      </c>
      <c r="AN88" s="20" t="s">
        <v>17</v>
      </c>
      <c r="AO88" s="20">
        <v>-0.42</v>
      </c>
      <c r="AP88" s="20">
        <v>-17.34</v>
      </c>
      <c r="AS88" s="20">
        <v>43.0</v>
      </c>
      <c r="AT88" s="20" t="s">
        <v>17</v>
      </c>
      <c r="AU88" s="20">
        <v>-2.98</v>
      </c>
      <c r="AV88" s="20">
        <v>-49.14</v>
      </c>
      <c r="BE88" s="20">
        <v>86.0</v>
      </c>
      <c r="BF88" s="20" t="s">
        <v>14</v>
      </c>
      <c r="BG88" s="20">
        <v>9.6</v>
      </c>
      <c r="BH88" s="20">
        <v>20.25</v>
      </c>
      <c r="BK88" s="20">
        <v>43.0</v>
      </c>
      <c r="BL88" s="20" t="s">
        <v>17</v>
      </c>
      <c r="BM88" s="20">
        <v>149.68</v>
      </c>
      <c r="BN88" s="20">
        <v>39.6</v>
      </c>
      <c r="BW88" s="20">
        <v>-26.59</v>
      </c>
      <c r="BX88" s="20">
        <v>-26.19</v>
      </c>
      <c r="BZ88" s="20">
        <v>-70.64</v>
      </c>
      <c r="CA88" s="20">
        <v>111.91</v>
      </c>
      <c r="CI88" s="20">
        <v>-50.13</v>
      </c>
      <c r="CJ88" s="20">
        <v>-56.69</v>
      </c>
      <c r="CO88" s="20">
        <v>-18.22</v>
      </c>
      <c r="CP88" s="20">
        <v>-44.1</v>
      </c>
      <c r="CS88" s="34"/>
      <c r="CT88" s="34"/>
    </row>
    <row r="89">
      <c r="A89" s="20">
        <v>-6.54</v>
      </c>
      <c r="B89" s="20">
        <v>-29.4</v>
      </c>
      <c r="D89" s="20"/>
      <c r="E89" s="20"/>
      <c r="F89" s="20">
        <v>-6.12</v>
      </c>
      <c r="G89" s="20">
        <v>15.28</v>
      </c>
      <c r="I89" s="20"/>
      <c r="J89" s="20"/>
      <c r="K89" s="20">
        <v>44.0</v>
      </c>
      <c r="L89" s="20" t="s">
        <v>14</v>
      </c>
      <c r="M89" s="20">
        <v>3.93</v>
      </c>
      <c r="N89" s="20">
        <v>1.66</v>
      </c>
      <c r="P89" s="20">
        <v>-14.24</v>
      </c>
      <c r="Q89" s="20">
        <v>26.5</v>
      </c>
      <c r="AG89" s="20">
        <v>87.0</v>
      </c>
      <c r="AH89" s="20" t="s">
        <v>14</v>
      </c>
      <c r="AI89" s="20">
        <v>-15.29</v>
      </c>
      <c r="AJ89" s="20">
        <v>5.54</v>
      </c>
      <c r="AM89" s="20">
        <v>44.0</v>
      </c>
      <c r="AN89" s="20" t="s">
        <v>14</v>
      </c>
      <c r="AO89" s="20">
        <v>-17.52</v>
      </c>
      <c r="AP89" s="20">
        <v>25.31</v>
      </c>
      <c r="AS89" s="20">
        <v>44.0</v>
      </c>
      <c r="AT89" s="20" t="s">
        <v>14</v>
      </c>
      <c r="AU89" s="20">
        <v>10.53</v>
      </c>
      <c r="AV89" s="20">
        <v>-44.37</v>
      </c>
      <c r="BE89" s="20">
        <v>87.0</v>
      </c>
      <c r="BF89" s="20" t="s">
        <v>14</v>
      </c>
      <c r="BG89" s="20">
        <v>-3.14</v>
      </c>
      <c r="BH89" s="20">
        <v>44.91</v>
      </c>
      <c r="BK89" s="20">
        <v>44.0</v>
      </c>
      <c r="BL89" s="20" t="s">
        <v>14</v>
      </c>
      <c r="BM89" s="20">
        <v>93.89</v>
      </c>
      <c r="BN89" s="20">
        <v>162.22</v>
      </c>
      <c r="BW89" s="20">
        <v>-35.7</v>
      </c>
      <c r="BX89" s="20">
        <v>-41.87</v>
      </c>
      <c r="BZ89" s="20">
        <v>-44.91</v>
      </c>
      <c r="CA89" s="20">
        <v>54.07</v>
      </c>
      <c r="CI89" s="20">
        <v>-38.55</v>
      </c>
      <c r="CJ89" s="20">
        <v>-48.92</v>
      </c>
      <c r="CO89" s="20">
        <v>-15.33</v>
      </c>
      <c r="CP89" s="20">
        <v>-48.13</v>
      </c>
      <c r="CS89" s="34"/>
      <c r="CT89" s="34"/>
    </row>
    <row r="90">
      <c r="A90" s="20">
        <v>-11.39</v>
      </c>
      <c r="B90" s="20">
        <v>14.87</v>
      </c>
      <c r="D90" s="20"/>
      <c r="E90" s="20"/>
      <c r="F90" s="20">
        <v>-7.22</v>
      </c>
      <c r="G90" s="20">
        <v>44.1</v>
      </c>
      <c r="I90" s="20"/>
      <c r="J90" s="20"/>
      <c r="K90" s="20">
        <v>44.0</v>
      </c>
      <c r="L90" s="20" t="s">
        <v>17</v>
      </c>
      <c r="M90" s="20">
        <v>-22.93</v>
      </c>
      <c r="N90" s="20">
        <v>21.77</v>
      </c>
      <c r="P90" s="20">
        <v>3.22</v>
      </c>
      <c r="Q90" s="20">
        <v>65.3</v>
      </c>
      <c r="AG90" s="20">
        <v>88.0</v>
      </c>
      <c r="AH90" s="20" t="s">
        <v>14</v>
      </c>
      <c r="AI90" s="20">
        <v>-41.86</v>
      </c>
      <c r="AJ90" s="20">
        <v>-41.01</v>
      </c>
      <c r="AM90" s="20">
        <v>44.0</v>
      </c>
      <c r="AN90" s="20" t="s">
        <v>17</v>
      </c>
      <c r="AO90" s="20">
        <v>-17.45</v>
      </c>
      <c r="AP90" s="20">
        <v>37.88</v>
      </c>
      <c r="AS90" s="20">
        <v>44.0</v>
      </c>
      <c r="AT90" s="20" t="s">
        <v>17</v>
      </c>
      <c r="AU90" s="20">
        <v>-34.24</v>
      </c>
      <c r="AV90" s="20">
        <v>-49.62</v>
      </c>
      <c r="BE90" s="20">
        <v>88.0</v>
      </c>
      <c r="BF90" s="20" t="s">
        <v>14</v>
      </c>
      <c r="BG90" s="20">
        <v>31.82</v>
      </c>
      <c r="BH90" s="20">
        <v>28.61</v>
      </c>
      <c r="BK90" s="20">
        <v>44.0</v>
      </c>
      <c r="BL90" s="20" t="s">
        <v>17</v>
      </c>
      <c r="BM90" s="20">
        <v>184.95</v>
      </c>
      <c r="BN90" s="20">
        <v>101.51</v>
      </c>
      <c r="BW90" s="20">
        <v>-57.1</v>
      </c>
      <c r="BX90" s="20">
        <v>-43.33</v>
      </c>
      <c r="BZ90" s="20">
        <v>13.45</v>
      </c>
      <c r="CA90" s="20">
        <v>-37.52</v>
      </c>
      <c r="CI90" s="20">
        <v>-58.95</v>
      </c>
      <c r="CJ90" s="20">
        <v>-57.37</v>
      </c>
      <c r="CO90" s="20">
        <v>-36.09</v>
      </c>
      <c r="CP90" s="20">
        <v>-42.84</v>
      </c>
      <c r="CS90" s="34"/>
      <c r="CT90" s="34"/>
    </row>
    <row r="91">
      <c r="A91" s="20">
        <v>-16.97</v>
      </c>
      <c r="B91" s="20">
        <v>135.03</v>
      </c>
      <c r="D91" s="20"/>
      <c r="E91" s="20"/>
      <c r="F91" s="20">
        <v>-23.14</v>
      </c>
      <c r="G91" s="20">
        <v>21.23</v>
      </c>
      <c r="I91" s="20"/>
      <c r="J91" s="20"/>
      <c r="K91" s="20">
        <v>45.0</v>
      </c>
      <c r="L91" s="20" t="s">
        <v>14</v>
      </c>
      <c r="M91" s="20">
        <v>-33.54</v>
      </c>
      <c r="N91" s="20">
        <v>3.97</v>
      </c>
      <c r="P91" s="20">
        <v>44.48</v>
      </c>
      <c r="Q91" s="20">
        <v>31.65</v>
      </c>
      <c r="AG91" s="20">
        <v>89.0</v>
      </c>
      <c r="AH91" s="20" t="s">
        <v>14</v>
      </c>
      <c r="AI91" s="20">
        <v>-21.22</v>
      </c>
      <c r="AJ91" s="20">
        <v>-40.13</v>
      </c>
      <c r="AM91" s="20">
        <v>45.0</v>
      </c>
      <c r="AN91" s="20" t="s">
        <v>14</v>
      </c>
      <c r="AO91" s="20">
        <v>1.59</v>
      </c>
      <c r="AP91" s="20">
        <v>-23.57</v>
      </c>
      <c r="AS91" s="20">
        <v>45.0</v>
      </c>
      <c r="AT91" s="20" t="s">
        <v>14</v>
      </c>
      <c r="AU91" s="20">
        <v>-15.04</v>
      </c>
      <c r="AV91" s="20">
        <v>-32.19</v>
      </c>
      <c r="BE91" s="20">
        <v>89.0</v>
      </c>
      <c r="BF91" s="20" t="s">
        <v>14</v>
      </c>
      <c r="BG91" s="20">
        <v>13.18</v>
      </c>
      <c r="BH91" s="20">
        <v>75.66</v>
      </c>
      <c r="BK91" s="20">
        <v>45.0</v>
      </c>
      <c r="BL91" s="20" t="s">
        <v>14</v>
      </c>
      <c r="BM91" s="20">
        <v>4.2</v>
      </c>
      <c r="BN91" s="20">
        <v>50.78</v>
      </c>
      <c r="BW91" s="20">
        <v>-62.31</v>
      </c>
      <c r="BX91" s="20">
        <v>-51.27</v>
      </c>
      <c r="BZ91" s="20">
        <v>-37.9</v>
      </c>
      <c r="CA91" s="20">
        <v>56.41</v>
      </c>
      <c r="CI91" s="20">
        <v>-52.85</v>
      </c>
      <c r="CJ91" s="20">
        <v>-48.13</v>
      </c>
      <c r="CO91" s="20">
        <v>-52.37</v>
      </c>
      <c r="CP91" s="20">
        <v>-30.18</v>
      </c>
      <c r="CS91" s="34"/>
      <c r="CT91" s="34"/>
    </row>
    <row r="92">
      <c r="A92" s="20">
        <v>11.75</v>
      </c>
      <c r="B92" s="20">
        <v>-3.39</v>
      </c>
      <c r="D92" s="20"/>
      <c r="E92" s="20"/>
      <c r="F92" s="20">
        <v>-1.14</v>
      </c>
      <c r="G92" s="20">
        <v>47.57</v>
      </c>
      <c r="I92" s="20"/>
      <c r="J92" s="20"/>
      <c r="K92" s="20">
        <v>45.0</v>
      </c>
      <c r="L92" s="20" t="s">
        <v>17</v>
      </c>
      <c r="M92" s="20">
        <v>-15.62</v>
      </c>
      <c r="N92" s="20">
        <v>8.27</v>
      </c>
      <c r="P92" s="20">
        <v>35.29</v>
      </c>
      <c r="Q92" s="20">
        <v>44.05</v>
      </c>
      <c r="AG92" s="20">
        <v>90.0</v>
      </c>
      <c r="AH92" s="20" t="s">
        <v>14</v>
      </c>
      <c r="AI92" s="20">
        <v>-6.13</v>
      </c>
      <c r="AJ92" s="20">
        <v>-10.61</v>
      </c>
      <c r="AM92" s="20">
        <v>45.0</v>
      </c>
      <c r="AN92" s="20" t="s">
        <v>17</v>
      </c>
      <c r="AO92" s="20">
        <v>28.49</v>
      </c>
      <c r="AP92" s="20">
        <v>-36.68</v>
      </c>
      <c r="AS92" s="20">
        <v>45.0</v>
      </c>
      <c r="AT92" s="20" t="s">
        <v>17</v>
      </c>
      <c r="AU92" s="20">
        <v>-10.11</v>
      </c>
      <c r="AV92" s="20">
        <v>-36.54</v>
      </c>
      <c r="BE92" s="20">
        <v>90.0</v>
      </c>
      <c r="BF92" s="20" t="s">
        <v>14</v>
      </c>
      <c r="BG92" s="20">
        <v>29.12</v>
      </c>
      <c r="BH92" s="20">
        <v>50.11</v>
      </c>
      <c r="BK92" s="20">
        <v>45.0</v>
      </c>
      <c r="BL92" s="20" t="s">
        <v>17</v>
      </c>
      <c r="BM92" s="20">
        <v>65.78</v>
      </c>
      <c r="BN92" s="20">
        <v>138.24</v>
      </c>
      <c r="BW92" s="20">
        <v>-38.45</v>
      </c>
      <c r="BX92" s="20">
        <v>-7.79</v>
      </c>
      <c r="BZ92" s="20">
        <v>-41.14</v>
      </c>
      <c r="CA92" s="20">
        <v>41.66</v>
      </c>
      <c r="CI92" s="20">
        <v>-42.48</v>
      </c>
      <c r="CJ92" s="20">
        <v>-21.15</v>
      </c>
      <c r="CO92" s="20">
        <v>-42.15</v>
      </c>
      <c r="CP92" s="20">
        <v>-11.09</v>
      </c>
      <c r="CS92" s="34"/>
      <c r="CT92" s="34"/>
    </row>
    <row r="93">
      <c r="A93" s="20">
        <v>13.45</v>
      </c>
      <c r="B93" s="20">
        <v>41.61</v>
      </c>
      <c r="D93" s="20"/>
      <c r="E93" s="20"/>
      <c r="F93" s="20">
        <v>44.25</v>
      </c>
      <c r="G93" s="20">
        <v>58.12</v>
      </c>
      <c r="I93" s="20"/>
      <c r="J93" s="20"/>
      <c r="K93" s="20">
        <v>46.0</v>
      </c>
      <c r="L93" s="20" t="s">
        <v>14</v>
      </c>
      <c r="M93" s="20">
        <v>-21.68</v>
      </c>
      <c r="N93" s="20">
        <v>-13.3</v>
      </c>
      <c r="P93" s="20">
        <v>-11.81</v>
      </c>
      <c r="Q93" s="20">
        <v>6.06</v>
      </c>
      <c r="AG93" s="20">
        <v>91.0</v>
      </c>
      <c r="AH93" s="20" t="s">
        <v>14</v>
      </c>
      <c r="AI93" s="20">
        <v>15.8</v>
      </c>
      <c r="AJ93" s="20">
        <v>43.09</v>
      </c>
      <c r="AM93" s="20">
        <v>46.0</v>
      </c>
      <c r="AN93" s="20" t="s">
        <v>14</v>
      </c>
      <c r="AO93" s="20">
        <v>-28.27</v>
      </c>
      <c r="AP93" s="20">
        <v>-45.02</v>
      </c>
      <c r="AS93" s="20">
        <v>46.0</v>
      </c>
      <c r="AT93" s="20" t="s">
        <v>14</v>
      </c>
      <c r="AU93" s="20">
        <v>-12.29</v>
      </c>
      <c r="AV93" s="20">
        <v>-38.09</v>
      </c>
      <c r="BE93" s="20">
        <v>91.0</v>
      </c>
      <c r="BF93" s="20" t="s">
        <v>14</v>
      </c>
      <c r="BG93" s="20">
        <v>17.7</v>
      </c>
      <c r="BH93" s="20">
        <v>48.74</v>
      </c>
      <c r="BK93" s="20">
        <v>46.0</v>
      </c>
      <c r="BL93" s="20" t="s">
        <v>14</v>
      </c>
      <c r="BM93" s="20">
        <v>79.44</v>
      </c>
      <c r="BN93" s="20">
        <v>143.65</v>
      </c>
      <c r="BW93" s="20">
        <v>-51.95</v>
      </c>
      <c r="BX93" s="20">
        <v>-6.93</v>
      </c>
      <c r="BZ93" s="20">
        <v>-28.82</v>
      </c>
      <c r="CA93" s="20">
        <v>1.54</v>
      </c>
      <c r="CI93" s="20">
        <v>-51.76</v>
      </c>
      <c r="CJ93" s="20">
        <v>-64.28</v>
      </c>
      <c r="CO93" s="20">
        <v>-23.15</v>
      </c>
      <c r="CP93" s="20">
        <v>-22.34</v>
      </c>
      <c r="CS93" s="34"/>
      <c r="CT93" s="34"/>
    </row>
    <row r="94">
      <c r="A94" s="20">
        <v>84.08</v>
      </c>
      <c r="B94" s="20">
        <v>4.64</v>
      </c>
      <c r="D94" s="20"/>
      <c r="E94" s="20"/>
      <c r="F94" s="20">
        <v>5.33</v>
      </c>
      <c r="G94" s="20">
        <v>3.92</v>
      </c>
      <c r="I94" s="20"/>
      <c r="J94" s="20"/>
      <c r="K94" s="20">
        <v>46.0</v>
      </c>
      <c r="L94" s="20" t="s">
        <v>17</v>
      </c>
      <c r="M94" s="20">
        <v>-30.05</v>
      </c>
      <c r="N94" s="20">
        <v>-21.07</v>
      </c>
      <c r="P94" s="20">
        <v>7.44</v>
      </c>
      <c r="Q94" s="20">
        <v>23.01</v>
      </c>
      <c r="AG94" s="20">
        <v>92.0</v>
      </c>
      <c r="AH94" s="20" t="s">
        <v>14</v>
      </c>
      <c r="AI94" s="20">
        <v>1.93</v>
      </c>
      <c r="AJ94" s="20">
        <v>8.73</v>
      </c>
      <c r="AM94" s="20">
        <v>46.0</v>
      </c>
      <c r="AN94" s="20" t="s">
        <v>17</v>
      </c>
      <c r="AO94" s="20">
        <v>-2.94</v>
      </c>
      <c r="AP94" s="20">
        <v>-22.67</v>
      </c>
      <c r="AS94" s="20">
        <v>46.0</v>
      </c>
      <c r="AT94" s="20" t="s">
        <v>17</v>
      </c>
      <c r="AU94" s="20">
        <v>-39.77</v>
      </c>
      <c r="AV94" s="20">
        <v>-63.3</v>
      </c>
      <c r="BE94" s="20">
        <v>92.0</v>
      </c>
      <c r="BF94" s="20" t="s">
        <v>14</v>
      </c>
      <c r="BG94" s="20">
        <v>-24.0</v>
      </c>
      <c r="BH94" s="20">
        <v>-6.3</v>
      </c>
      <c r="BK94" s="20">
        <v>46.0</v>
      </c>
      <c r="BL94" s="20" t="s">
        <v>17</v>
      </c>
      <c r="BM94" s="20">
        <v>50.89</v>
      </c>
      <c r="BN94" s="20">
        <v>145.1</v>
      </c>
      <c r="BW94" s="20">
        <v>-33.26</v>
      </c>
      <c r="BX94" s="20">
        <v>-31.79</v>
      </c>
      <c r="BZ94" s="20">
        <v>-17.24</v>
      </c>
      <c r="CA94" s="20">
        <v>-1.13</v>
      </c>
      <c r="CI94" s="20">
        <v>-52.78</v>
      </c>
      <c r="CJ94" s="20">
        <v>-63.93</v>
      </c>
      <c r="CO94" s="20">
        <v>-4.78</v>
      </c>
      <c r="CP94" s="20">
        <v>-48.14</v>
      </c>
      <c r="CS94" s="34"/>
      <c r="CT94" s="34"/>
    </row>
    <row r="95">
      <c r="A95" s="20">
        <v>11.78</v>
      </c>
      <c r="B95" s="20">
        <v>11.36</v>
      </c>
      <c r="D95" s="20"/>
      <c r="E95" s="20"/>
      <c r="F95" s="20">
        <v>18.27</v>
      </c>
      <c r="G95" s="20">
        <v>23.22</v>
      </c>
      <c r="I95" s="20"/>
      <c r="J95" s="20"/>
      <c r="K95" s="20">
        <v>47.0</v>
      </c>
      <c r="L95" s="20" t="s">
        <v>14</v>
      </c>
      <c r="M95" s="20">
        <v>-1.78</v>
      </c>
      <c r="N95" s="20">
        <v>-2.27</v>
      </c>
      <c r="P95" s="20">
        <v>30.08</v>
      </c>
      <c r="Q95" s="20">
        <v>49.55</v>
      </c>
      <c r="AG95" s="20">
        <v>93.0</v>
      </c>
      <c r="AH95" s="20" t="s">
        <v>14</v>
      </c>
      <c r="AI95" s="20">
        <v>-34.06</v>
      </c>
      <c r="AJ95" s="20">
        <v>-18.28</v>
      </c>
      <c r="AM95" s="20">
        <v>47.0</v>
      </c>
      <c r="AN95" s="20" t="s">
        <v>14</v>
      </c>
      <c r="AO95" s="20">
        <v>19.67</v>
      </c>
      <c r="AP95" s="20">
        <v>-6.2</v>
      </c>
      <c r="AS95" s="20">
        <v>47.0</v>
      </c>
      <c r="AT95" s="20" t="s">
        <v>14</v>
      </c>
      <c r="AU95" s="20">
        <v>-27.35</v>
      </c>
      <c r="AV95" s="20">
        <v>-56.74</v>
      </c>
      <c r="BE95" s="20">
        <v>93.0</v>
      </c>
      <c r="BF95" s="20" t="s">
        <v>14</v>
      </c>
      <c r="BG95" s="20">
        <v>-3.31</v>
      </c>
      <c r="BH95" s="20">
        <v>3.03</v>
      </c>
      <c r="BK95" s="20">
        <v>47.0</v>
      </c>
      <c r="BL95" s="20" t="s">
        <v>14</v>
      </c>
      <c r="BM95" s="20">
        <v>3.89</v>
      </c>
      <c r="BN95" s="20">
        <v>94.68</v>
      </c>
      <c r="BW95" s="20">
        <v>-46.09</v>
      </c>
      <c r="BX95" s="20">
        <v>-30.51</v>
      </c>
      <c r="BZ95" s="20">
        <v>-32.36</v>
      </c>
      <c r="CA95" s="20">
        <v>65.36</v>
      </c>
      <c r="CI95" s="20">
        <v>-48.33</v>
      </c>
      <c r="CJ95" s="20">
        <v>-59.83</v>
      </c>
      <c r="CO95" s="20">
        <v>-53.29</v>
      </c>
      <c r="CP95" s="20">
        <v>-38.92</v>
      </c>
      <c r="CS95" s="34"/>
      <c r="CT95" s="34"/>
    </row>
    <row r="96">
      <c r="A96" s="20">
        <v>-4.66</v>
      </c>
      <c r="B96" s="20">
        <v>-39.59</v>
      </c>
      <c r="D96" s="20"/>
      <c r="E96" s="20"/>
      <c r="F96" s="20">
        <v>-3.08</v>
      </c>
      <c r="G96" s="20">
        <v>14.3</v>
      </c>
      <c r="I96" s="20"/>
      <c r="J96" s="20"/>
      <c r="K96" s="20">
        <v>47.0</v>
      </c>
      <c r="L96" s="20" t="s">
        <v>17</v>
      </c>
      <c r="M96" s="20">
        <v>-42.38</v>
      </c>
      <c r="N96" s="20">
        <v>-54.57</v>
      </c>
      <c r="P96" s="20">
        <v>-6.19</v>
      </c>
      <c r="Q96" s="20">
        <v>54.99</v>
      </c>
      <c r="AG96" s="20">
        <v>94.0</v>
      </c>
      <c r="AH96" s="20" t="s">
        <v>14</v>
      </c>
      <c r="AI96" s="20">
        <v>-17.35</v>
      </c>
      <c r="AJ96" s="20">
        <v>-18.83</v>
      </c>
      <c r="AM96" s="20">
        <v>47.0</v>
      </c>
      <c r="AN96" s="20" t="s">
        <v>17</v>
      </c>
      <c r="AO96" s="20">
        <v>-1.33</v>
      </c>
      <c r="AP96" s="20">
        <v>-20.09</v>
      </c>
      <c r="AS96" s="20">
        <v>47.0</v>
      </c>
      <c r="AT96" s="20" t="s">
        <v>17</v>
      </c>
      <c r="AU96" s="20">
        <v>4.64</v>
      </c>
      <c r="AV96" s="20">
        <v>-46.69</v>
      </c>
      <c r="BE96" s="20">
        <v>94.0</v>
      </c>
      <c r="BF96" s="20" t="s">
        <v>14</v>
      </c>
      <c r="BG96" s="20">
        <v>29.1</v>
      </c>
      <c r="BH96" s="20">
        <v>9.36</v>
      </c>
      <c r="BK96" s="20">
        <v>47.0</v>
      </c>
      <c r="BL96" s="20" t="s">
        <v>17</v>
      </c>
      <c r="BM96" s="20">
        <v>104.67</v>
      </c>
      <c r="BN96" s="20">
        <v>185.27</v>
      </c>
      <c r="BW96" s="20">
        <v>-28.25</v>
      </c>
      <c r="BX96" s="20">
        <v>-28.9</v>
      </c>
      <c r="BZ96" s="20">
        <v>-46.82</v>
      </c>
      <c r="CA96" s="20">
        <v>0.08</v>
      </c>
      <c r="CI96" s="20">
        <v>-41.99</v>
      </c>
      <c r="CJ96" s="20">
        <v>-44.98</v>
      </c>
      <c r="CO96" s="20">
        <v>-25.5</v>
      </c>
      <c r="CP96" s="20">
        <v>-24.1</v>
      </c>
      <c r="CS96" s="34"/>
      <c r="CT96" s="34"/>
    </row>
    <row r="97">
      <c r="A97" s="20">
        <v>17.41</v>
      </c>
      <c r="B97" s="20">
        <v>9.62</v>
      </c>
      <c r="D97" s="20"/>
      <c r="E97" s="20"/>
      <c r="F97" s="20">
        <v>-26.61</v>
      </c>
      <c r="G97" s="20">
        <v>27.85</v>
      </c>
      <c r="I97" s="20"/>
      <c r="J97" s="20"/>
      <c r="K97" s="20">
        <v>48.0</v>
      </c>
      <c r="L97" s="20" t="s">
        <v>14</v>
      </c>
      <c r="M97" s="20">
        <v>10.18</v>
      </c>
      <c r="N97" s="20">
        <v>31.99</v>
      </c>
      <c r="P97" s="20">
        <v>3.63</v>
      </c>
      <c r="Q97" s="20">
        <v>26.05</v>
      </c>
      <c r="AG97" s="20">
        <v>95.0</v>
      </c>
      <c r="AH97" s="20" t="s">
        <v>14</v>
      </c>
      <c r="AI97" s="20">
        <v>-24.02</v>
      </c>
      <c r="AJ97" s="20">
        <v>-31.54</v>
      </c>
      <c r="AM97" s="20">
        <v>48.0</v>
      </c>
      <c r="AN97" s="20" t="s">
        <v>14</v>
      </c>
      <c r="AO97" s="20">
        <v>-21.65</v>
      </c>
      <c r="AP97" s="20">
        <v>-24.52</v>
      </c>
      <c r="AS97" s="20">
        <v>48.0</v>
      </c>
      <c r="AT97" s="20" t="s">
        <v>14</v>
      </c>
      <c r="AU97" s="20">
        <v>-16.05</v>
      </c>
      <c r="AV97" s="20">
        <v>-50.8</v>
      </c>
      <c r="BE97" s="20">
        <v>95.0</v>
      </c>
      <c r="BF97" s="20" t="s">
        <v>14</v>
      </c>
      <c r="BG97" s="20">
        <v>-12.24</v>
      </c>
      <c r="BH97" s="20">
        <v>12.13</v>
      </c>
      <c r="BK97" s="20">
        <v>48.0</v>
      </c>
      <c r="BL97" s="20" t="s">
        <v>14</v>
      </c>
      <c r="BM97" s="20">
        <v>51.82</v>
      </c>
      <c r="BN97" s="20">
        <v>113.4</v>
      </c>
      <c r="BW97" s="20">
        <v>-45.44</v>
      </c>
      <c r="BX97" s="20">
        <v>-24.48</v>
      </c>
      <c r="BZ97" s="20">
        <v>-23.69</v>
      </c>
      <c r="CA97" s="20">
        <v>42.1</v>
      </c>
      <c r="CI97" s="20">
        <v>-50.19</v>
      </c>
      <c r="CJ97" s="20">
        <v>-40.44</v>
      </c>
      <c r="CO97" s="20">
        <v>-4.82</v>
      </c>
      <c r="CP97" s="20">
        <v>-48.75</v>
      </c>
      <c r="CS97" s="34"/>
      <c r="CT97" s="34"/>
    </row>
    <row r="98">
      <c r="A98" s="20">
        <v>39.92</v>
      </c>
      <c r="B98" s="20">
        <v>15.36</v>
      </c>
      <c r="D98" s="20"/>
      <c r="E98" s="20"/>
      <c r="F98" s="20">
        <v>-43.91</v>
      </c>
      <c r="G98" s="20">
        <v>16.52</v>
      </c>
      <c r="I98" s="20"/>
      <c r="J98" s="20"/>
      <c r="K98" s="20">
        <v>48.0</v>
      </c>
      <c r="L98" s="20" t="s">
        <v>17</v>
      </c>
      <c r="M98" s="20">
        <v>-56.21</v>
      </c>
      <c r="N98" s="20">
        <v>-45.64</v>
      </c>
      <c r="P98" s="20">
        <v>-7.23</v>
      </c>
      <c r="Q98" s="20">
        <v>16.43</v>
      </c>
      <c r="AG98" s="20">
        <v>96.0</v>
      </c>
      <c r="AH98" s="20" t="s">
        <v>14</v>
      </c>
      <c r="AI98" s="20">
        <v>-20.14</v>
      </c>
      <c r="AJ98" s="20">
        <v>-23.4</v>
      </c>
      <c r="AM98" s="20">
        <v>48.0</v>
      </c>
      <c r="AN98" s="20" t="s">
        <v>17</v>
      </c>
      <c r="AO98" s="20">
        <v>-7.67</v>
      </c>
      <c r="AP98" s="20">
        <v>-34.1</v>
      </c>
      <c r="AS98" s="20">
        <v>48.0</v>
      </c>
      <c r="AT98" s="20" t="s">
        <v>17</v>
      </c>
      <c r="AU98" s="20">
        <v>-11.28</v>
      </c>
      <c r="AV98" s="20">
        <v>-65.18</v>
      </c>
      <c r="BE98" s="20">
        <v>96.0</v>
      </c>
      <c r="BF98" s="20" t="s">
        <v>14</v>
      </c>
      <c r="BG98" s="20">
        <v>27.09</v>
      </c>
      <c r="BH98" s="20">
        <v>10.08</v>
      </c>
      <c r="BK98" s="20">
        <v>48.0</v>
      </c>
      <c r="BL98" s="20" t="s">
        <v>17</v>
      </c>
      <c r="BM98" s="20">
        <v>24.26</v>
      </c>
      <c r="BN98" s="20">
        <v>185.44</v>
      </c>
      <c r="BW98" s="20">
        <v>-48.57</v>
      </c>
      <c r="BX98" s="20">
        <v>-34.64</v>
      </c>
      <c r="BZ98" s="20">
        <v>-17.71</v>
      </c>
      <c r="CA98" s="20">
        <v>13.84</v>
      </c>
      <c r="CI98" s="20">
        <v>-58.4</v>
      </c>
      <c r="CJ98" s="20">
        <v>-40.65</v>
      </c>
      <c r="CO98" s="20">
        <v>-20.11</v>
      </c>
      <c r="CP98" s="20">
        <v>-63.22</v>
      </c>
      <c r="CS98" s="34"/>
      <c r="CT98" s="34"/>
    </row>
    <row r="99">
      <c r="A99" s="20">
        <v>-55.46</v>
      </c>
      <c r="B99" s="20">
        <v>32.52</v>
      </c>
      <c r="D99" s="20"/>
      <c r="E99" s="20"/>
      <c r="F99" s="20">
        <v>44.99</v>
      </c>
      <c r="G99" s="20">
        <v>-23.76</v>
      </c>
      <c r="I99" s="20"/>
      <c r="J99" s="20"/>
      <c r="K99" s="20">
        <v>49.0</v>
      </c>
      <c r="L99" s="20" t="s">
        <v>14</v>
      </c>
      <c r="M99" s="20">
        <v>-6.51</v>
      </c>
      <c r="N99" s="20">
        <v>-16.51</v>
      </c>
      <c r="P99" s="20">
        <v>-5.31</v>
      </c>
      <c r="Q99" s="20">
        <v>15.59</v>
      </c>
      <c r="AG99" s="20">
        <v>97.0</v>
      </c>
      <c r="AH99" s="20" t="s">
        <v>14</v>
      </c>
      <c r="AI99" s="20">
        <v>-34.92</v>
      </c>
      <c r="AJ99" s="20">
        <v>-22.77</v>
      </c>
      <c r="AM99" s="20">
        <v>49.0</v>
      </c>
      <c r="AN99" s="20" t="s">
        <v>14</v>
      </c>
      <c r="AO99" s="20">
        <v>-12.08</v>
      </c>
      <c r="AP99" s="20">
        <v>12.05</v>
      </c>
      <c r="AS99" s="20">
        <v>49.0</v>
      </c>
      <c r="AT99" s="20" t="s">
        <v>14</v>
      </c>
      <c r="AU99" s="20">
        <v>28.48</v>
      </c>
      <c r="AV99" s="20">
        <v>-58.38</v>
      </c>
      <c r="BE99" s="20">
        <v>97.0</v>
      </c>
      <c r="BF99" s="20" t="s">
        <v>14</v>
      </c>
      <c r="BG99" s="20">
        <v>-4.43</v>
      </c>
      <c r="BH99" s="20">
        <v>25.24</v>
      </c>
      <c r="BK99" s="20">
        <v>49.0</v>
      </c>
      <c r="BL99" s="20" t="s">
        <v>14</v>
      </c>
      <c r="BM99" s="20">
        <v>-43.37</v>
      </c>
      <c r="BN99" s="20">
        <v>21.5</v>
      </c>
      <c r="BW99" s="20">
        <v>-45.51</v>
      </c>
      <c r="BX99" s="20">
        <v>-39.02</v>
      </c>
      <c r="BZ99" s="20">
        <v>-63.7</v>
      </c>
      <c r="CA99" s="20">
        <v>-12.6</v>
      </c>
      <c r="CI99" s="20">
        <v>-50.04</v>
      </c>
      <c r="CJ99" s="20">
        <v>-51.7</v>
      </c>
      <c r="CO99" s="20">
        <v>36.24</v>
      </c>
      <c r="CP99" s="20">
        <v>-50.92</v>
      </c>
      <c r="CS99" s="34"/>
      <c r="CT99" s="34"/>
    </row>
    <row r="100">
      <c r="A100" s="20">
        <v>-46.28</v>
      </c>
      <c r="B100" s="20">
        <v>58.85</v>
      </c>
      <c r="D100" s="20"/>
      <c r="E100" s="20"/>
      <c r="F100" s="20">
        <v>49.85</v>
      </c>
      <c r="G100" s="20">
        <v>-38.48</v>
      </c>
      <c r="I100" s="20"/>
      <c r="J100" s="20"/>
      <c r="K100" s="20">
        <v>49.0</v>
      </c>
      <c r="L100" s="20" t="s">
        <v>17</v>
      </c>
      <c r="M100" s="20">
        <v>-28.3</v>
      </c>
      <c r="N100" s="20">
        <v>27.53</v>
      </c>
      <c r="P100" s="20">
        <v>4.38</v>
      </c>
      <c r="Q100" s="20">
        <v>18.85</v>
      </c>
      <c r="AG100" s="20">
        <v>98.0</v>
      </c>
      <c r="AH100" s="20" t="s">
        <v>14</v>
      </c>
      <c r="AI100" s="20">
        <v>-24.81</v>
      </c>
      <c r="AJ100" s="20">
        <v>-19.76</v>
      </c>
      <c r="AM100" s="20">
        <v>49.0</v>
      </c>
      <c r="AN100" s="20" t="s">
        <v>17</v>
      </c>
      <c r="AO100" s="20">
        <v>-25.73</v>
      </c>
      <c r="AP100" s="20">
        <v>63.43</v>
      </c>
      <c r="AS100" s="20">
        <v>49.0</v>
      </c>
      <c r="AT100" s="20" t="s">
        <v>17</v>
      </c>
      <c r="AU100" s="20">
        <v>43.18</v>
      </c>
      <c r="AV100" s="20">
        <v>-58.34</v>
      </c>
      <c r="BE100" s="20">
        <v>98.0</v>
      </c>
      <c r="BF100" s="20" t="s">
        <v>14</v>
      </c>
      <c r="BG100" s="20">
        <v>-11.63</v>
      </c>
      <c r="BH100" s="20">
        <v>0.51</v>
      </c>
      <c r="BK100" s="20">
        <v>49.0</v>
      </c>
      <c r="BL100" s="20" t="s">
        <v>17</v>
      </c>
      <c r="BM100" s="20">
        <v>7.85</v>
      </c>
      <c r="BN100" s="20">
        <v>89.2</v>
      </c>
      <c r="BW100" s="20">
        <v>-59.14</v>
      </c>
      <c r="BX100" s="20">
        <v>-9.83</v>
      </c>
      <c r="BZ100" s="20">
        <v>-53.03</v>
      </c>
      <c r="CA100" s="20">
        <v>-6.66</v>
      </c>
      <c r="CI100" s="20">
        <v>-58.31</v>
      </c>
      <c r="CJ100" s="20">
        <v>-62.66</v>
      </c>
      <c r="CO100" s="20">
        <v>19.92</v>
      </c>
      <c r="CP100" s="20">
        <v>-42.33</v>
      </c>
      <c r="CS100" s="34"/>
      <c r="CT100" s="34"/>
    </row>
    <row r="101">
      <c r="A101" s="20">
        <v>-32.48</v>
      </c>
      <c r="B101" s="20">
        <v>64.34</v>
      </c>
      <c r="D101" s="20"/>
      <c r="E101" s="20"/>
      <c r="F101" s="20">
        <v>-13.53</v>
      </c>
      <c r="G101" s="20">
        <v>-9.39</v>
      </c>
      <c r="I101" s="20"/>
      <c r="J101" s="20"/>
      <c r="K101" s="20">
        <v>50.0</v>
      </c>
      <c r="L101" s="20" t="s">
        <v>14</v>
      </c>
      <c r="M101" s="20">
        <v>-4.12</v>
      </c>
      <c r="N101" s="20">
        <v>-33.39</v>
      </c>
      <c r="P101" s="20">
        <v>-12.97</v>
      </c>
      <c r="Q101" s="20">
        <v>-13.12</v>
      </c>
      <c r="AG101" s="20">
        <v>99.0</v>
      </c>
      <c r="AH101" s="20" t="s">
        <v>14</v>
      </c>
      <c r="AI101" s="20">
        <v>-15.78</v>
      </c>
      <c r="AJ101" s="20">
        <v>-9.41</v>
      </c>
      <c r="AM101" s="20">
        <v>50.0</v>
      </c>
      <c r="AN101" s="20" t="s">
        <v>14</v>
      </c>
      <c r="AO101" s="20">
        <v>-8.53</v>
      </c>
      <c r="AP101" s="20">
        <v>-21.5</v>
      </c>
      <c r="AS101" s="20">
        <v>50.0</v>
      </c>
      <c r="AT101" s="20" t="s">
        <v>14</v>
      </c>
      <c r="AU101" s="20">
        <v>12.12</v>
      </c>
      <c r="AV101" s="20">
        <v>-21.86</v>
      </c>
      <c r="BE101" s="20">
        <v>99.0</v>
      </c>
      <c r="BF101" s="20" t="s">
        <v>14</v>
      </c>
      <c r="BG101" s="20">
        <v>12.96</v>
      </c>
      <c r="BH101" s="20">
        <v>-1.94</v>
      </c>
      <c r="BK101" s="20">
        <v>50.0</v>
      </c>
      <c r="BL101" s="20" t="s">
        <v>14</v>
      </c>
      <c r="BM101" s="20">
        <v>70.79</v>
      </c>
      <c r="BN101" s="20">
        <v>73.53</v>
      </c>
      <c r="BW101" s="20">
        <v>-50.09</v>
      </c>
      <c r="BX101" s="20">
        <v>-11.58</v>
      </c>
      <c r="BZ101" s="20">
        <v>-30.3</v>
      </c>
      <c r="CA101" s="20">
        <v>47.56</v>
      </c>
      <c r="CI101" s="20">
        <v>-74.42</v>
      </c>
      <c r="CJ101" s="20">
        <v>-62.13</v>
      </c>
      <c r="CO101" s="20">
        <v>-25.45</v>
      </c>
      <c r="CP101" s="20">
        <v>-62.62</v>
      </c>
      <c r="CS101" s="34"/>
      <c r="CT101" s="34"/>
    </row>
    <row r="102">
      <c r="A102" s="20">
        <v>7.4</v>
      </c>
      <c r="B102" s="20">
        <v>-44.2</v>
      </c>
      <c r="D102" s="20"/>
      <c r="E102" s="20"/>
      <c r="F102" s="20">
        <v>-10.46</v>
      </c>
      <c r="G102" s="20">
        <v>-38.56</v>
      </c>
      <c r="I102" s="20"/>
      <c r="J102" s="20"/>
      <c r="K102" s="20">
        <v>50.0</v>
      </c>
      <c r="L102" s="20" t="s">
        <v>17</v>
      </c>
      <c r="M102" s="20">
        <v>-41.97</v>
      </c>
      <c r="N102" s="20">
        <v>-14.64</v>
      </c>
      <c r="P102" s="20">
        <v>-0.49</v>
      </c>
      <c r="Q102" s="20">
        <v>27.2</v>
      </c>
      <c r="AG102" s="20">
        <v>100.0</v>
      </c>
      <c r="AH102" s="20" t="s">
        <v>14</v>
      </c>
      <c r="AI102" s="20">
        <v>-28.08</v>
      </c>
      <c r="AJ102" s="20">
        <v>8.1</v>
      </c>
      <c r="AM102" s="20">
        <v>50.0</v>
      </c>
      <c r="AN102" s="20" t="s">
        <v>17</v>
      </c>
      <c r="AO102" s="20">
        <v>-18.48</v>
      </c>
      <c r="AP102" s="20">
        <v>58.06</v>
      </c>
      <c r="AS102" s="20">
        <v>50.0</v>
      </c>
      <c r="AT102" s="20" t="s">
        <v>17</v>
      </c>
      <c r="AU102" s="20">
        <v>-22.42</v>
      </c>
      <c r="AV102" s="20">
        <v>-11.67</v>
      </c>
      <c r="BE102" s="20">
        <v>100.0</v>
      </c>
      <c r="BF102" s="20" t="s">
        <v>14</v>
      </c>
      <c r="BG102" s="20">
        <v>6.44</v>
      </c>
      <c r="BH102" s="20">
        <v>0.82</v>
      </c>
      <c r="BK102" s="20">
        <v>50.0</v>
      </c>
      <c r="BL102" s="20" t="s">
        <v>17</v>
      </c>
      <c r="BM102" s="20">
        <v>48.37</v>
      </c>
      <c r="BN102" s="20">
        <v>55.33</v>
      </c>
      <c r="BW102" s="20">
        <v>-58.04</v>
      </c>
      <c r="BX102" s="20">
        <v>-32.37</v>
      </c>
      <c r="BZ102" s="20">
        <v>-58.51</v>
      </c>
      <c r="CA102" s="20">
        <v>-17.05</v>
      </c>
      <c r="CI102" s="20">
        <v>-47.97</v>
      </c>
      <c r="CJ102" s="20">
        <v>-57.84</v>
      </c>
      <c r="CO102" s="20">
        <v>-17.45</v>
      </c>
      <c r="CP102" s="20">
        <v>-52.18</v>
      </c>
      <c r="CS102" s="34"/>
      <c r="CT102" s="34"/>
    </row>
    <row r="103">
      <c r="A103" s="20">
        <v>-46.16</v>
      </c>
      <c r="B103" s="20">
        <v>57.42</v>
      </c>
      <c r="D103" s="20"/>
      <c r="E103" s="20"/>
      <c r="F103" s="20">
        <v>-20.36</v>
      </c>
      <c r="G103" s="20">
        <v>-42.24</v>
      </c>
      <c r="I103" s="20"/>
      <c r="J103" s="20"/>
      <c r="K103" s="20">
        <v>51.0</v>
      </c>
      <c r="L103" s="20" t="s">
        <v>14</v>
      </c>
      <c r="M103" s="20">
        <v>-11.3</v>
      </c>
      <c r="N103" s="20">
        <v>4.39</v>
      </c>
      <c r="P103" s="20">
        <v>21.47</v>
      </c>
      <c r="Q103" s="20">
        <v>14.41</v>
      </c>
      <c r="AG103" s="20">
        <v>101.0</v>
      </c>
      <c r="AH103" s="20" t="s">
        <v>14</v>
      </c>
      <c r="AI103" s="20">
        <v>6.73</v>
      </c>
      <c r="AJ103" s="20">
        <v>-3.51</v>
      </c>
      <c r="AM103" s="20">
        <v>51.0</v>
      </c>
      <c r="AN103" s="20" t="s">
        <v>14</v>
      </c>
      <c r="AO103" s="20">
        <v>-38.21</v>
      </c>
      <c r="AP103" s="20">
        <v>1.93</v>
      </c>
      <c r="AS103" s="20">
        <v>51.0</v>
      </c>
      <c r="AT103" s="20" t="s">
        <v>14</v>
      </c>
      <c r="AU103" s="20">
        <v>-31.12</v>
      </c>
      <c r="AV103" s="20">
        <v>-73.63</v>
      </c>
      <c r="BE103" s="20">
        <v>101.0</v>
      </c>
      <c r="BF103" s="20" t="s">
        <v>14</v>
      </c>
      <c r="BG103" s="20">
        <v>21.56</v>
      </c>
      <c r="BH103" s="20">
        <v>4.44</v>
      </c>
      <c r="BK103" s="20">
        <v>51.0</v>
      </c>
      <c r="BL103" s="20" t="s">
        <v>14</v>
      </c>
      <c r="BM103" s="20">
        <v>48.88</v>
      </c>
      <c r="BN103" s="20">
        <v>86.18</v>
      </c>
      <c r="BW103" s="20">
        <v>-53.48</v>
      </c>
      <c r="BX103" s="20">
        <v>-31.83</v>
      </c>
      <c r="BZ103" s="20">
        <v>-43.49</v>
      </c>
      <c r="CA103" s="20">
        <v>26.97</v>
      </c>
      <c r="CI103" s="20">
        <v>-69.26</v>
      </c>
      <c r="CJ103" s="20">
        <v>-73.19</v>
      </c>
      <c r="CO103" s="20">
        <v>-12.8</v>
      </c>
      <c r="CP103" s="20">
        <v>-53.72</v>
      </c>
      <c r="CS103" s="34"/>
      <c r="CT103" s="34"/>
    </row>
    <row r="104">
      <c r="A104" s="20">
        <v>31.05</v>
      </c>
      <c r="B104" s="20">
        <v>12.43</v>
      </c>
      <c r="D104" s="20"/>
      <c r="E104" s="20"/>
      <c r="F104" s="20">
        <v>-34.09</v>
      </c>
      <c r="G104" s="20">
        <v>1.35</v>
      </c>
      <c r="I104" s="20"/>
      <c r="J104" s="20"/>
      <c r="K104" s="20">
        <v>51.0</v>
      </c>
      <c r="L104" s="20" t="s">
        <v>17</v>
      </c>
      <c r="M104" s="20">
        <v>-50.73</v>
      </c>
      <c r="N104" s="20">
        <v>-53.04</v>
      </c>
      <c r="P104" s="20">
        <v>-31.8</v>
      </c>
      <c r="Q104" s="20">
        <v>-78.25</v>
      </c>
      <c r="AG104" s="20">
        <v>102.0</v>
      </c>
      <c r="AH104" s="20" t="s">
        <v>14</v>
      </c>
      <c r="AI104" s="20">
        <v>18.34</v>
      </c>
      <c r="AJ104" s="20">
        <v>8.32</v>
      </c>
      <c r="AM104" s="20">
        <v>51.0</v>
      </c>
      <c r="AN104" s="20" t="s">
        <v>17</v>
      </c>
      <c r="AO104" s="20">
        <v>18.18</v>
      </c>
      <c r="AP104" s="20">
        <v>15.03</v>
      </c>
      <c r="AS104" s="20">
        <v>51.0</v>
      </c>
      <c r="AT104" s="20" t="s">
        <v>17</v>
      </c>
      <c r="AU104" s="20">
        <v>20.52</v>
      </c>
      <c r="AV104" s="20">
        <v>-45.91</v>
      </c>
      <c r="BE104" s="20">
        <v>102.0</v>
      </c>
      <c r="BF104" s="20" t="s">
        <v>14</v>
      </c>
      <c r="BG104" s="20">
        <v>-22.93</v>
      </c>
      <c r="BH104" s="20">
        <v>-12.14</v>
      </c>
      <c r="BK104" s="20">
        <v>51.0</v>
      </c>
      <c r="BL104" s="20" t="s">
        <v>17</v>
      </c>
      <c r="BM104" s="20">
        <v>40.43</v>
      </c>
      <c r="BN104" s="20">
        <v>68.97</v>
      </c>
      <c r="BW104" s="20">
        <v>-41.7</v>
      </c>
      <c r="BX104" s="20">
        <v>-9.15</v>
      </c>
      <c r="BZ104" s="20">
        <v>-62.64</v>
      </c>
      <c r="CA104" s="20">
        <v>12.21</v>
      </c>
      <c r="CI104" s="20">
        <v>-68.31</v>
      </c>
      <c r="CJ104" s="20">
        <v>-65.75</v>
      </c>
      <c r="CO104" s="20">
        <v>-2.03</v>
      </c>
      <c r="CP104" s="20">
        <v>-49.9</v>
      </c>
      <c r="CS104" s="34"/>
      <c r="CT104" s="34"/>
    </row>
    <row r="105">
      <c r="A105" s="20">
        <v>-20.95</v>
      </c>
      <c r="B105" s="20">
        <v>19.36</v>
      </c>
      <c r="D105" s="20"/>
      <c r="E105" s="20"/>
      <c r="F105" s="20">
        <v>19.68</v>
      </c>
      <c r="G105" s="20">
        <v>2.59</v>
      </c>
      <c r="I105" s="20"/>
      <c r="J105" s="20"/>
      <c r="K105" s="20">
        <v>52.0</v>
      </c>
      <c r="L105" s="20" t="s">
        <v>14</v>
      </c>
      <c r="M105" s="20">
        <v>-33.12</v>
      </c>
      <c r="N105" s="20">
        <v>28.81</v>
      </c>
      <c r="P105" s="20">
        <v>10.12</v>
      </c>
      <c r="Q105" s="20">
        <v>16.61</v>
      </c>
      <c r="AG105" s="20">
        <v>103.0</v>
      </c>
      <c r="AH105" s="20" t="s">
        <v>14</v>
      </c>
      <c r="AI105" s="20">
        <v>-47.22</v>
      </c>
      <c r="AJ105" s="20">
        <v>-29.06</v>
      </c>
      <c r="AM105" s="20">
        <v>52.0</v>
      </c>
      <c r="AN105" s="20" t="s">
        <v>14</v>
      </c>
      <c r="AO105" s="20">
        <v>7.46</v>
      </c>
      <c r="AP105" s="20">
        <v>-48.58</v>
      </c>
      <c r="AS105" s="20">
        <v>52.0</v>
      </c>
      <c r="AT105" s="20" t="s">
        <v>14</v>
      </c>
      <c r="AU105" s="20">
        <v>16.75</v>
      </c>
      <c r="AV105" s="20">
        <v>-77.0</v>
      </c>
      <c r="BE105" s="20">
        <v>103.0</v>
      </c>
      <c r="BF105" s="20" t="s">
        <v>14</v>
      </c>
      <c r="BG105" s="20">
        <v>16.78</v>
      </c>
      <c r="BH105" s="20">
        <v>-14.25</v>
      </c>
      <c r="BK105" s="20">
        <v>52.0</v>
      </c>
      <c r="BL105" s="20" t="s">
        <v>14</v>
      </c>
      <c r="BM105" s="20">
        <v>41.6</v>
      </c>
      <c r="BN105" s="20">
        <v>82.0</v>
      </c>
      <c r="BW105" s="20">
        <v>-50.3</v>
      </c>
      <c r="BX105" s="20">
        <v>2.43</v>
      </c>
      <c r="BZ105" s="20">
        <v>-43.22</v>
      </c>
      <c r="CA105" s="20">
        <v>185.32</v>
      </c>
      <c r="CI105" s="20">
        <v>-33.96</v>
      </c>
      <c r="CJ105" s="20">
        <v>-56.83</v>
      </c>
      <c r="CO105" s="20">
        <v>-17.87</v>
      </c>
      <c r="CP105" s="20">
        <v>-61.53</v>
      </c>
      <c r="CS105" s="34"/>
      <c r="CT105" s="34"/>
    </row>
    <row r="106">
      <c r="A106" s="20">
        <v>-24.19</v>
      </c>
      <c r="B106" s="20">
        <v>-10.2</v>
      </c>
      <c r="D106" s="20"/>
      <c r="E106" s="20"/>
      <c r="F106" s="20">
        <v>14.76</v>
      </c>
      <c r="G106" s="20">
        <v>-11.55</v>
      </c>
      <c r="I106" s="20"/>
      <c r="J106" s="20"/>
      <c r="K106" s="20">
        <v>52.0</v>
      </c>
      <c r="L106" s="20" t="s">
        <v>17</v>
      </c>
      <c r="M106" s="20">
        <v>4.96</v>
      </c>
      <c r="N106" s="20">
        <v>17.14</v>
      </c>
      <c r="P106" s="20">
        <v>-53.01</v>
      </c>
      <c r="Q106" s="20">
        <v>-35.33</v>
      </c>
      <c r="AG106" s="20">
        <v>104.0</v>
      </c>
      <c r="AH106" s="20" t="s">
        <v>14</v>
      </c>
      <c r="AI106" s="20">
        <v>-29.4</v>
      </c>
      <c r="AJ106" s="20">
        <v>-24.7</v>
      </c>
      <c r="AM106" s="20">
        <v>52.0</v>
      </c>
      <c r="AN106" s="20" t="s">
        <v>17</v>
      </c>
      <c r="AO106" s="20">
        <v>-9.02</v>
      </c>
      <c r="AP106" s="20">
        <v>10.74</v>
      </c>
      <c r="AS106" s="20">
        <v>52.0</v>
      </c>
      <c r="AT106" s="20" t="s">
        <v>17</v>
      </c>
      <c r="AU106" s="20">
        <v>-22.41</v>
      </c>
      <c r="AV106" s="20">
        <v>-49.84</v>
      </c>
      <c r="BE106" s="20">
        <v>104.0</v>
      </c>
      <c r="BF106" s="20" t="s">
        <v>14</v>
      </c>
      <c r="BG106" s="20">
        <v>-7.71</v>
      </c>
      <c r="BH106" s="20">
        <v>6.95</v>
      </c>
      <c r="BK106" s="20">
        <v>52.0</v>
      </c>
      <c r="BL106" s="20" t="s">
        <v>17</v>
      </c>
      <c r="BM106" s="20">
        <v>-3.21</v>
      </c>
      <c r="BN106" s="20">
        <v>50.29</v>
      </c>
      <c r="BW106" s="20">
        <v>-50.8</v>
      </c>
      <c r="BX106" s="20">
        <v>-18.04</v>
      </c>
      <c r="BZ106" s="20">
        <v>-68.5</v>
      </c>
      <c r="CA106" s="20">
        <v>47.34</v>
      </c>
      <c r="CI106" s="20">
        <v>-30.98</v>
      </c>
      <c r="CJ106" s="20">
        <v>-57.65</v>
      </c>
      <c r="CO106" s="20">
        <v>-13.46</v>
      </c>
      <c r="CP106" s="20">
        <v>-46.61</v>
      </c>
      <c r="CS106" s="34"/>
      <c r="CT106" s="34"/>
    </row>
    <row r="107">
      <c r="A107" s="20">
        <v>-56.31</v>
      </c>
      <c r="B107" s="20">
        <v>-63.9</v>
      </c>
      <c r="D107" s="20"/>
      <c r="E107" s="20"/>
      <c r="F107" s="20">
        <v>-2.46</v>
      </c>
      <c r="G107" s="20">
        <v>-4.28</v>
      </c>
      <c r="I107" s="20"/>
      <c r="J107" s="20"/>
      <c r="K107" s="20">
        <v>53.0</v>
      </c>
      <c r="L107" s="20" t="s">
        <v>14</v>
      </c>
      <c r="M107" s="20">
        <v>-14.44</v>
      </c>
      <c r="N107" s="20">
        <v>27.87</v>
      </c>
      <c r="P107" s="20">
        <v>-21.7</v>
      </c>
      <c r="Q107" s="20">
        <v>1.32</v>
      </c>
      <c r="AG107" s="20">
        <v>105.0</v>
      </c>
      <c r="AH107" s="20" t="s">
        <v>14</v>
      </c>
      <c r="AI107" s="20">
        <v>-7.95</v>
      </c>
      <c r="AJ107" s="20">
        <v>-1.55</v>
      </c>
      <c r="AM107" s="20">
        <v>53.0</v>
      </c>
      <c r="AN107" s="20" t="s">
        <v>14</v>
      </c>
      <c r="AO107" s="20">
        <v>-39.89</v>
      </c>
      <c r="AP107" s="20">
        <v>0.64</v>
      </c>
      <c r="AS107" s="20">
        <v>53.0</v>
      </c>
      <c r="AT107" s="20" t="s">
        <v>14</v>
      </c>
      <c r="AU107" s="20">
        <v>-26.35</v>
      </c>
      <c r="AV107" s="20">
        <v>-46.54</v>
      </c>
      <c r="BE107" s="20">
        <v>105.0</v>
      </c>
      <c r="BF107" s="20" t="s">
        <v>14</v>
      </c>
      <c r="BG107" s="20">
        <v>38.36</v>
      </c>
      <c r="BH107" s="20">
        <v>33.69</v>
      </c>
      <c r="BK107" s="20">
        <v>53.0</v>
      </c>
      <c r="BL107" s="20" t="s">
        <v>14</v>
      </c>
      <c r="BM107" s="20">
        <v>-9.91</v>
      </c>
      <c r="BN107" s="20">
        <v>40.77</v>
      </c>
      <c r="BW107" s="20">
        <v>-41.4</v>
      </c>
      <c r="BX107" s="20">
        <v>-24.5</v>
      </c>
      <c r="BZ107" s="20">
        <v>-18.83</v>
      </c>
      <c r="CA107" s="20">
        <v>70.45</v>
      </c>
      <c r="CI107" s="20">
        <v>-50.59</v>
      </c>
      <c r="CJ107" s="20">
        <v>-55.85</v>
      </c>
      <c r="CO107" s="20">
        <v>9.65</v>
      </c>
      <c r="CP107" s="20">
        <v>-61.29</v>
      </c>
      <c r="CS107" s="34"/>
      <c r="CT107" s="34"/>
    </row>
    <row r="108">
      <c r="A108" s="20">
        <v>-57.18</v>
      </c>
      <c r="B108" s="20">
        <v>-54.25</v>
      </c>
      <c r="D108" s="20"/>
      <c r="E108" s="20"/>
      <c r="F108" s="20">
        <v>-58.31</v>
      </c>
      <c r="G108" s="20">
        <v>-33.83</v>
      </c>
      <c r="I108" s="20"/>
      <c r="J108" s="20"/>
      <c r="K108" s="20">
        <v>53.0</v>
      </c>
      <c r="L108" s="20" t="s">
        <v>17</v>
      </c>
      <c r="M108" s="20">
        <v>-45.2</v>
      </c>
      <c r="N108" s="20">
        <v>-20.46</v>
      </c>
      <c r="P108" s="20">
        <v>7.87</v>
      </c>
      <c r="Q108" s="20">
        <v>26.11</v>
      </c>
      <c r="AG108" s="20">
        <v>106.0</v>
      </c>
      <c r="AH108" s="20" t="s">
        <v>14</v>
      </c>
      <c r="AI108" s="20">
        <v>-21.27</v>
      </c>
      <c r="AJ108" s="20">
        <v>24.8</v>
      </c>
      <c r="AM108" s="20">
        <v>53.0</v>
      </c>
      <c r="AN108" s="20" t="s">
        <v>17</v>
      </c>
      <c r="AO108" s="20">
        <v>-9.51</v>
      </c>
      <c r="AP108" s="20">
        <v>22.17</v>
      </c>
      <c r="AS108" s="20">
        <v>53.0</v>
      </c>
      <c r="AT108" s="20" t="s">
        <v>17</v>
      </c>
      <c r="AU108" s="20">
        <v>-24.7</v>
      </c>
      <c r="AV108" s="20">
        <v>-58.69</v>
      </c>
      <c r="BE108" s="20">
        <v>106.0</v>
      </c>
      <c r="BF108" s="20" t="s">
        <v>14</v>
      </c>
      <c r="BG108" s="20">
        <v>-18.18</v>
      </c>
      <c r="BH108" s="20">
        <v>-14.61</v>
      </c>
      <c r="BK108" s="20">
        <v>53.0</v>
      </c>
      <c r="BL108" s="20" t="s">
        <v>17</v>
      </c>
      <c r="BM108" s="20">
        <v>-20.39</v>
      </c>
      <c r="BN108" s="20">
        <v>7.65</v>
      </c>
      <c r="BW108" s="20">
        <v>-47.92</v>
      </c>
      <c r="BX108" s="20">
        <v>-19.18</v>
      </c>
      <c r="BZ108" s="20">
        <v>3.22</v>
      </c>
      <c r="CA108" s="20">
        <v>-34.59</v>
      </c>
      <c r="CI108" s="20">
        <v>2.75</v>
      </c>
      <c r="CJ108" s="20">
        <v>-56.94</v>
      </c>
      <c r="CO108" s="20">
        <v>11.52</v>
      </c>
      <c r="CP108" s="20">
        <v>-41.02</v>
      </c>
      <c r="CS108" s="34"/>
      <c r="CT108" s="34"/>
    </row>
    <row r="109">
      <c r="A109" s="20">
        <v>-50.51</v>
      </c>
      <c r="B109" s="20">
        <v>-27.74</v>
      </c>
      <c r="D109" s="20"/>
      <c r="E109" s="20"/>
      <c r="F109" s="20">
        <v>-49.91</v>
      </c>
      <c r="G109" s="20">
        <v>-25.55</v>
      </c>
      <c r="I109" s="20"/>
      <c r="J109" s="20"/>
      <c r="K109" s="20">
        <v>54.0</v>
      </c>
      <c r="L109" s="20" t="s">
        <v>14</v>
      </c>
      <c r="M109" s="20">
        <v>4.68</v>
      </c>
      <c r="N109" s="20">
        <v>155.23</v>
      </c>
      <c r="P109" s="20">
        <v>0.61</v>
      </c>
      <c r="Q109" s="20">
        <v>12.62</v>
      </c>
      <c r="AG109" s="20">
        <v>107.0</v>
      </c>
      <c r="AH109" s="20" t="s">
        <v>14</v>
      </c>
      <c r="AI109" s="20">
        <v>5.2</v>
      </c>
      <c r="AJ109" s="20">
        <v>-7.58</v>
      </c>
      <c r="AM109" s="20">
        <v>54.0</v>
      </c>
      <c r="AN109" s="20" t="s">
        <v>14</v>
      </c>
      <c r="AO109" s="20">
        <v>-17.9</v>
      </c>
      <c r="AP109" s="20">
        <v>9.87</v>
      </c>
      <c r="AS109" s="20">
        <v>54.0</v>
      </c>
      <c r="AT109" s="20" t="s">
        <v>14</v>
      </c>
      <c r="AU109" s="20">
        <v>-4.28</v>
      </c>
      <c r="AV109" s="20">
        <v>-41.86</v>
      </c>
      <c r="BE109" s="20">
        <v>107.0</v>
      </c>
      <c r="BF109" s="20" t="s">
        <v>14</v>
      </c>
      <c r="BG109" s="20">
        <v>36.53</v>
      </c>
      <c r="BH109" s="20">
        <v>15.04</v>
      </c>
      <c r="BK109" s="20">
        <v>54.0</v>
      </c>
      <c r="BL109" s="20" t="s">
        <v>14</v>
      </c>
      <c r="BM109" s="20">
        <v>2.42</v>
      </c>
      <c r="BN109" s="20">
        <v>38.04</v>
      </c>
      <c r="BW109" s="20">
        <v>-28.07</v>
      </c>
      <c r="BX109" s="20">
        <v>-27.7</v>
      </c>
      <c r="BZ109" s="20">
        <v>-41.75</v>
      </c>
      <c r="CA109" s="20">
        <v>14.03</v>
      </c>
      <c r="CI109" s="20">
        <v>-31.18</v>
      </c>
      <c r="CJ109" s="20">
        <v>-55.57</v>
      </c>
      <c r="CO109" s="20">
        <v>-11.09</v>
      </c>
      <c r="CP109" s="20">
        <v>-57.21</v>
      </c>
      <c r="CS109" s="34"/>
      <c r="CT109" s="34"/>
    </row>
    <row r="110">
      <c r="A110" s="20">
        <v>-57.97</v>
      </c>
      <c r="B110" s="20">
        <v>-70.3</v>
      </c>
      <c r="D110" s="20"/>
      <c r="E110" s="20"/>
      <c r="F110" s="20">
        <v>-51.11</v>
      </c>
      <c r="G110" s="20">
        <v>-17.0</v>
      </c>
      <c r="I110" s="20"/>
      <c r="J110" s="20"/>
      <c r="K110" s="20">
        <v>54.0</v>
      </c>
      <c r="L110" s="20" t="s">
        <v>17</v>
      </c>
      <c r="M110" s="20">
        <v>21.11</v>
      </c>
      <c r="N110" s="20">
        <v>-61.3</v>
      </c>
      <c r="P110" s="20">
        <v>34.93</v>
      </c>
      <c r="Q110" s="20">
        <v>21.09</v>
      </c>
      <c r="AG110" s="20">
        <v>108.0</v>
      </c>
      <c r="AH110" s="20" t="s">
        <v>14</v>
      </c>
      <c r="AI110" s="20">
        <v>-23.72</v>
      </c>
      <c r="AJ110" s="20">
        <v>-38.94</v>
      </c>
      <c r="AM110" s="20">
        <v>54.0</v>
      </c>
      <c r="AN110" s="20" t="s">
        <v>17</v>
      </c>
      <c r="AO110" s="20">
        <v>-23.15</v>
      </c>
      <c r="AP110" s="20">
        <v>-15.02</v>
      </c>
      <c r="AS110" s="20">
        <v>54.0</v>
      </c>
      <c r="AT110" s="20" t="s">
        <v>17</v>
      </c>
      <c r="AU110" s="20">
        <v>-29.79</v>
      </c>
      <c r="AV110" s="20">
        <v>-44.46</v>
      </c>
      <c r="BE110" s="20">
        <v>108.0</v>
      </c>
      <c r="BF110" s="20" t="s">
        <v>14</v>
      </c>
      <c r="BG110" s="20">
        <v>9.32</v>
      </c>
      <c r="BH110" s="20">
        <v>-9.66</v>
      </c>
      <c r="BK110" s="20">
        <v>54.0</v>
      </c>
      <c r="BL110" s="20" t="s">
        <v>17</v>
      </c>
      <c r="BM110" s="20">
        <v>44.63</v>
      </c>
      <c r="BN110" s="20">
        <v>44.86</v>
      </c>
      <c r="BW110" s="20">
        <v>-34.92</v>
      </c>
      <c r="BX110" s="20">
        <v>-29.3</v>
      </c>
      <c r="BZ110" s="20">
        <v>-45.36</v>
      </c>
      <c r="CA110" s="20">
        <v>45.85</v>
      </c>
      <c r="CI110" s="20">
        <v>-60.86</v>
      </c>
      <c r="CJ110" s="20">
        <v>-62.58</v>
      </c>
      <c r="CO110" s="20">
        <v>-16.47</v>
      </c>
      <c r="CP110" s="20">
        <v>-58.31</v>
      </c>
      <c r="CS110" s="34"/>
      <c r="CT110" s="34"/>
    </row>
    <row r="111">
      <c r="A111" s="20">
        <v>-63.06</v>
      </c>
      <c r="B111" s="20">
        <v>-35.04</v>
      </c>
      <c r="D111" s="20"/>
      <c r="E111" s="20"/>
      <c r="F111" s="20">
        <v>10.79</v>
      </c>
      <c r="G111" s="20">
        <v>-46.64</v>
      </c>
      <c r="I111" s="20"/>
      <c r="J111" s="20"/>
      <c r="K111" s="20">
        <v>55.0</v>
      </c>
      <c r="L111" s="20" t="s">
        <v>14</v>
      </c>
      <c r="M111" s="20">
        <v>5.05</v>
      </c>
      <c r="N111" s="20">
        <v>-6.83</v>
      </c>
      <c r="P111" s="20">
        <v>-26.54</v>
      </c>
      <c r="Q111" s="20">
        <v>-27.44</v>
      </c>
      <c r="AG111" s="20">
        <v>109.0</v>
      </c>
      <c r="AH111" s="20" t="s">
        <v>14</v>
      </c>
      <c r="AI111" s="20">
        <v>-12.87</v>
      </c>
      <c r="AJ111" s="20">
        <v>-32.55</v>
      </c>
      <c r="AM111" s="20">
        <v>55.0</v>
      </c>
      <c r="AN111" s="20" t="s">
        <v>14</v>
      </c>
      <c r="AO111" s="20">
        <v>-19.11</v>
      </c>
      <c r="AP111" s="20">
        <v>-10.21</v>
      </c>
      <c r="AS111" s="20">
        <v>55.0</v>
      </c>
      <c r="AT111" s="20" t="s">
        <v>14</v>
      </c>
      <c r="AU111" s="20">
        <v>-42.32</v>
      </c>
      <c r="AV111" s="20">
        <v>-60.68</v>
      </c>
      <c r="BE111" s="20">
        <v>109.0</v>
      </c>
      <c r="BF111" s="20" t="s">
        <v>14</v>
      </c>
      <c r="BG111" s="20">
        <v>4.32</v>
      </c>
      <c r="BH111" s="20">
        <v>-14.73</v>
      </c>
      <c r="BK111" s="20">
        <v>55.0</v>
      </c>
      <c r="BL111" s="20" t="s">
        <v>14</v>
      </c>
      <c r="BM111" s="20">
        <v>64.76</v>
      </c>
      <c r="BN111" s="20">
        <v>64.51</v>
      </c>
      <c r="BW111" s="20">
        <v>-13.16</v>
      </c>
      <c r="BX111" s="20">
        <v>-5.31</v>
      </c>
      <c r="BZ111" s="20">
        <v>-25.28</v>
      </c>
      <c r="CA111" s="20">
        <v>66.41</v>
      </c>
      <c r="CI111" s="20">
        <v>-41.07</v>
      </c>
      <c r="CJ111" s="20">
        <v>-54.76</v>
      </c>
      <c r="CO111" s="20">
        <v>-22.19</v>
      </c>
      <c r="CP111" s="20">
        <v>-72.61</v>
      </c>
      <c r="CS111" s="34"/>
      <c r="CT111" s="34"/>
    </row>
    <row r="112">
      <c r="A112" s="20">
        <v>6.32</v>
      </c>
      <c r="B112" s="20">
        <v>64.13</v>
      </c>
      <c r="D112" s="20"/>
      <c r="E112" s="20"/>
      <c r="F112" s="20">
        <v>-21.09</v>
      </c>
      <c r="G112" s="20">
        <v>-37.75</v>
      </c>
      <c r="I112" s="20"/>
      <c r="J112" s="20"/>
      <c r="K112" s="20">
        <v>55.0</v>
      </c>
      <c r="L112" s="20" t="s">
        <v>17</v>
      </c>
      <c r="M112" s="20">
        <v>-41.54</v>
      </c>
      <c r="N112" s="20">
        <v>-22.16</v>
      </c>
      <c r="P112" s="20">
        <v>31.75</v>
      </c>
      <c r="Q112" s="20">
        <v>0.97</v>
      </c>
      <c r="AG112" s="20">
        <v>110.0</v>
      </c>
      <c r="AH112" s="20" t="s">
        <v>14</v>
      </c>
      <c r="AI112" s="20">
        <v>-32.35</v>
      </c>
      <c r="AJ112" s="20">
        <v>-25.73</v>
      </c>
      <c r="AM112" s="20">
        <v>55.0</v>
      </c>
      <c r="AN112" s="20" t="s">
        <v>17</v>
      </c>
      <c r="AO112" s="20">
        <v>-13.61</v>
      </c>
      <c r="AP112" s="20">
        <v>-1.34</v>
      </c>
      <c r="AS112" s="20">
        <v>55.0</v>
      </c>
      <c r="AT112" s="20" t="s">
        <v>17</v>
      </c>
      <c r="AU112" s="20">
        <v>-15.72</v>
      </c>
      <c r="AV112" s="20">
        <v>-54.99</v>
      </c>
      <c r="BE112" s="20">
        <v>110.0</v>
      </c>
      <c r="BF112" s="20" t="s">
        <v>14</v>
      </c>
      <c r="BG112" s="20">
        <v>-13.76</v>
      </c>
      <c r="BH112" s="20">
        <v>4.31</v>
      </c>
      <c r="BK112" s="20">
        <v>55.0</v>
      </c>
      <c r="BL112" s="20" t="s">
        <v>17</v>
      </c>
      <c r="BM112" s="20">
        <v>49.67</v>
      </c>
      <c r="BN112" s="20">
        <v>64.71</v>
      </c>
      <c r="BW112" s="20">
        <v>-32.44</v>
      </c>
      <c r="BX112" s="20">
        <v>-34.27</v>
      </c>
      <c r="BZ112" s="20">
        <v>-30.52</v>
      </c>
      <c r="CA112" s="20">
        <v>150.55</v>
      </c>
      <c r="CI112" s="20">
        <v>-62.81</v>
      </c>
      <c r="CJ112" s="20">
        <v>-71.48</v>
      </c>
      <c r="CO112" s="20">
        <v>-12.37</v>
      </c>
      <c r="CP112" s="20">
        <v>-43.15</v>
      </c>
      <c r="CS112" s="34"/>
      <c r="CT112" s="34"/>
    </row>
    <row r="113">
      <c r="A113" s="20">
        <v>-34.69</v>
      </c>
      <c r="B113" s="20">
        <v>-55.72</v>
      </c>
      <c r="D113" s="20"/>
      <c r="E113" s="20"/>
      <c r="F113" s="20">
        <v>-38.94</v>
      </c>
      <c r="G113" s="20">
        <v>-13.88</v>
      </c>
      <c r="I113" s="20"/>
      <c r="J113" s="20"/>
      <c r="K113" s="20">
        <v>56.0</v>
      </c>
      <c r="L113" s="20" t="s">
        <v>14</v>
      </c>
      <c r="M113" s="20">
        <v>-42.11</v>
      </c>
      <c r="N113" s="20">
        <v>-8.96</v>
      </c>
      <c r="P113" s="20">
        <v>5.32</v>
      </c>
      <c r="Q113" s="20">
        <v>7.24</v>
      </c>
      <c r="AG113" s="20">
        <v>111.0</v>
      </c>
      <c r="AH113" s="20" t="s">
        <v>14</v>
      </c>
      <c r="AI113" s="20">
        <v>-8.72</v>
      </c>
      <c r="AJ113" s="20">
        <v>5.64</v>
      </c>
      <c r="AM113" s="20">
        <v>56.0</v>
      </c>
      <c r="AN113" s="20" t="s">
        <v>14</v>
      </c>
      <c r="AO113" s="20">
        <v>43.49</v>
      </c>
      <c r="AP113" s="20">
        <v>57.87</v>
      </c>
      <c r="AS113" s="20">
        <v>56.0</v>
      </c>
      <c r="AT113" s="20" t="s">
        <v>14</v>
      </c>
      <c r="AU113" s="20">
        <v>-31.96</v>
      </c>
      <c r="AV113" s="20">
        <v>-74.63</v>
      </c>
      <c r="BE113" s="20">
        <v>111.0</v>
      </c>
      <c r="BF113" s="20" t="s">
        <v>14</v>
      </c>
      <c r="BG113" s="20">
        <v>7.21</v>
      </c>
      <c r="BH113" s="20">
        <v>2.04</v>
      </c>
      <c r="BK113" s="20">
        <v>56.0</v>
      </c>
      <c r="BL113" s="20" t="s">
        <v>14</v>
      </c>
      <c r="BM113" s="20">
        <v>-9.12</v>
      </c>
      <c r="BN113" s="20">
        <v>6.44</v>
      </c>
      <c r="BW113" s="20">
        <v>-31.88</v>
      </c>
      <c r="BX113" s="20">
        <v>-25.24</v>
      </c>
      <c r="BZ113" s="20">
        <v>-50.75</v>
      </c>
      <c r="CA113" s="20">
        <v>55.46</v>
      </c>
      <c r="CI113" s="20">
        <v>-55.97</v>
      </c>
      <c r="CJ113" s="20">
        <v>-50.9</v>
      </c>
      <c r="CO113" s="20">
        <v>-3.96</v>
      </c>
      <c r="CP113" s="20">
        <v>-58.13</v>
      </c>
      <c r="CS113" s="34"/>
      <c r="CT113" s="34"/>
    </row>
    <row r="114">
      <c r="A114" s="20">
        <v>-17.43</v>
      </c>
      <c r="B114" s="20">
        <v>-61.73</v>
      </c>
      <c r="D114" s="20"/>
      <c r="E114" s="20"/>
      <c r="F114" s="20">
        <v>43.7</v>
      </c>
      <c r="G114" s="20">
        <v>6.97</v>
      </c>
      <c r="I114" s="20"/>
      <c r="J114" s="20"/>
      <c r="K114" s="20">
        <v>56.0</v>
      </c>
      <c r="L114" s="20" t="s">
        <v>17</v>
      </c>
      <c r="M114" s="20">
        <v>-26.58</v>
      </c>
      <c r="N114" s="20">
        <v>8.51</v>
      </c>
      <c r="P114" s="20">
        <v>10.11</v>
      </c>
      <c r="Q114" s="20">
        <v>5.72</v>
      </c>
      <c r="AG114" s="20">
        <v>112.0</v>
      </c>
      <c r="AH114" s="20" t="s">
        <v>14</v>
      </c>
      <c r="AI114" s="20">
        <v>-33.14</v>
      </c>
      <c r="AJ114" s="20">
        <v>-39.51</v>
      </c>
      <c r="AM114" s="20">
        <v>56.0</v>
      </c>
      <c r="AN114" s="20" t="s">
        <v>17</v>
      </c>
      <c r="AO114" s="20">
        <v>-18.79</v>
      </c>
      <c r="AP114" s="20">
        <v>-27.34</v>
      </c>
      <c r="AS114" s="20">
        <v>56.0</v>
      </c>
      <c r="AT114" s="20" t="s">
        <v>17</v>
      </c>
      <c r="AU114" s="20">
        <v>45.19</v>
      </c>
      <c r="AV114" s="20">
        <v>-53.67</v>
      </c>
      <c r="BE114" s="20">
        <v>112.0</v>
      </c>
      <c r="BF114" s="20" t="s">
        <v>14</v>
      </c>
      <c r="BG114" s="20">
        <v>36.94</v>
      </c>
      <c r="BH114" s="20">
        <v>14.6</v>
      </c>
      <c r="BK114" s="20">
        <v>56.0</v>
      </c>
      <c r="BL114" s="20" t="s">
        <v>17</v>
      </c>
      <c r="BM114" s="20">
        <v>8.17</v>
      </c>
      <c r="BN114" s="20">
        <v>36.08</v>
      </c>
      <c r="BW114" s="20">
        <v>36.97</v>
      </c>
      <c r="BX114" s="20">
        <v>-31.97</v>
      </c>
      <c r="BZ114" s="20">
        <v>-41.85</v>
      </c>
      <c r="CA114" s="20">
        <v>144.54</v>
      </c>
      <c r="CI114" s="20">
        <v>-10.44</v>
      </c>
      <c r="CJ114" s="20">
        <v>-38.25</v>
      </c>
      <c r="CO114" s="20">
        <v>-35.34</v>
      </c>
      <c r="CP114" s="20">
        <v>-52.57</v>
      </c>
      <c r="CS114" s="34"/>
      <c r="CT114" s="34"/>
    </row>
    <row r="115">
      <c r="A115" s="20">
        <v>-60.4</v>
      </c>
      <c r="B115" s="20">
        <v>27.21</v>
      </c>
      <c r="D115" s="20"/>
      <c r="E115" s="20"/>
      <c r="F115" s="20">
        <v>-21.1</v>
      </c>
      <c r="G115" s="20">
        <v>-24.37</v>
      </c>
      <c r="I115" s="20"/>
      <c r="J115" s="20"/>
      <c r="K115" s="20">
        <v>57.0</v>
      </c>
      <c r="L115" s="20" t="s">
        <v>14</v>
      </c>
      <c r="M115" s="20">
        <v>10.85</v>
      </c>
      <c r="N115" s="20">
        <v>5.84</v>
      </c>
      <c r="P115" s="20">
        <v>3.66</v>
      </c>
      <c r="Q115" s="20">
        <v>10.06</v>
      </c>
      <c r="AG115" s="20">
        <v>113.0</v>
      </c>
      <c r="AH115" s="20" t="s">
        <v>14</v>
      </c>
      <c r="AI115" s="20">
        <v>-1.96</v>
      </c>
      <c r="AJ115" s="20">
        <v>5.34</v>
      </c>
      <c r="AM115" s="20">
        <v>57.0</v>
      </c>
      <c r="AN115" s="20" t="s">
        <v>14</v>
      </c>
      <c r="AO115" s="20">
        <v>22.95</v>
      </c>
      <c r="AP115" s="20">
        <v>-14.33</v>
      </c>
      <c r="AS115" s="20">
        <v>57.0</v>
      </c>
      <c r="AT115" s="20" t="s">
        <v>14</v>
      </c>
      <c r="AU115" s="20">
        <v>-0.77</v>
      </c>
      <c r="AV115" s="20">
        <v>-29.34</v>
      </c>
      <c r="BE115" s="20">
        <v>113.0</v>
      </c>
      <c r="BF115" s="20" t="s">
        <v>14</v>
      </c>
      <c r="BG115" s="20">
        <v>23.27</v>
      </c>
      <c r="BH115" s="20">
        <v>2.04</v>
      </c>
      <c r="BK115" s="20">
        <v>57.0</v>
      </c>
      <c r="BL115" s="20" t="s">
        <v>14</v>
      </c>
      <c r="BM115" s="20">
        <v>10.12</v>
      </c>
      <c r="BN115" s="20">
        <v>36.27</v>
      </c>
      <c r="BW115" s="20">
        <v>-33.87</v>
      </c>
      <c r="BX115" s="20">
        <v>-35.0</v>
      </c>
      <c r="BZ115" s="20">
        <v>-31.32</v>
      </c>
      <c r="CA115" s="20">
        <v>21.44</v>
      </c>
      <c r="CI115" s="20">
        <v>-41.66</v>
      </c>
      <c r="CJ115" s="20">
        <v>-46.36</v>
      </c>
      <c r="CO115" s="20">
        <v>-20.32</v>
      </c>
      <c r="CP115" s="20">
        <v>-56.75</v>
      </c>
      <c r="CS115" s="34"/>
      <c r="CT115" s="34"/>
    </row>
    <row r="116">
      <c r="A116" s="20">
        <v>-41.58</v>
      </c>
      <c r="B116" s="20">
        <v>140.39</v>
      </c>
      <c r="D116" s="20"/>
      <c r="E116" s="20"/>
      <c r="F116" s="20">
        <v>-47.84</v>
      </c>
      <c r="G116" s="20">
        <v>-18.68</v>
      </c>
      <c r="I116" s="20"/>
      <c r="J116" s="20"/>
      <c r="K116" s="20">
        <v>57.0</v>
      </c>
      <c r="L116" s="20" t="s">
        <v>17</v>
      </c>
      <c r="M116" s="20">
        <v>65.02</v>
      </c>
      <c r="N116" s="20">
        <v>34.15</v>
      </c>
      <c r="P116" s="20">
        <v>-21.64</v>
      </c>
      <c r="Q116" s="20">
        <v>-55.7</v>
      </c>
      <c r="AG116" s="20">
        <v>114.0</v>
      </c>
      <c r="AH116" s="20" t="s">
        <v>14</v>
      </c>
      <c r="AI116" s="20">
        <v>8.54</v>
      </c>
      <c r="AJ116" s="20">
        <v>-1.32</v>
      </c>
      <c r="AM116" s="20">
        <v>57.0</v>
      </c>
      <c r="AN116" s="20" t="s">
        <v>17</v>
      </c>
      <c r="AO116" s="20">
        <v>-18.43</v>
      </c>
      <c r="AP116" s="20">
        <v>-21.55</v>
      </c>
      <c r="AS116" s="20">
        <v>57.0</v>
      </c>
      <c r="AT116" s="20" t="s">
        <v>17</v>
      </c>
      <c r="AU116" s="20">
        <v>-46.51</v>
      </c>
      <c r="AV116" s="20">
        <v>-30.28</v>
      </c>
      <c r="BE116" s="20">
        <v>114.0</v>
      </c>
      <c r="BF116" s="20" t="s">
        <v>14</v>
      </c>
      <c r="BG116" s="20">
        <v>15.08</v>
      </c>
      <c r="BH116" s="20">
        <v>24.84</v>
      </c>
      <c r="BK116" s="20">
        <v>57.0</v>
      </c>
      <c r="BL116" s="20" t="s">
        <v>17</v>
      </c>
      <c r="BM116" s="20">
        <v>69.15</v>
      </c>
      <c r="BN116" s="20">
        <v>138.0</v>
      </c>
      <c r="BW116" s="20">
        <v>-33.31</v>
      </c>
      <c r="BX116" s="20">
        <v>-25.0</v>
      </c>
      <c r="BZ116" s="20">
        <v>-65.63</v>
      </c>
      <c r="CA116" s="20">
        <v>-32.34</v>
      </c>
      <c r="CI116" s="20">
        <v>-46.23</v>
      </c>
      <c r="CJ116" s="20">
        <v>-50.36</v>
      </c>
      <c r="CO116" s="20">
        <v>20.83</v>
      </c>
      <c r="CP116" s="20">
        <v>-47.6</v>
      </c>
      <c r="CS116" s="34"/>
      <c r="CT116" s="34"/>
    </row>
    <row r="117">
      <c r="A117" s="20">
        <v>-59.28</v>
      </c>
      <c r="B117" s="20">
        <v>33.78</v>
      </c>
      <c r="D117" s="20"/>
      <c r="E117" s="20"/>
      <c r="F117" s="20">
        <v>-0.24</v>
      </c>
      <c r="G117" s="20">
        <v>-2.15</v>
      </c>
      <c r="I117" s="20"/>
      <c r="J117" s="20"/>
      <c r="K117" s="20">
        <v>58.0</v>
      </c>
      <c r="L117" s="20" t="s">
        <v>14</v>
      </c>
      <c r="M117" s="20">
        <v>5.93</v>
      </c>
      <c r="N117" s="20">
        <v>25.27</v>
      </c>
      <c r="P117" s="20">
        <v>38.54</v>
      </c>
      <c r="Q117" s="20">
        <v>13.95</v>
      </c>
      <c r="AG117" s="20">
        <v>115.0</v>
      </c>
      <c r="AH117" s="20" t="s">
        <v>14</v>
      </c>
      <c r="AI117" s="20">
        <v>-12.01</v>
      </c>
      <c r="AJ117" s="20">
        <v>-7.66</v>
      </c>
      <c r="AM117" s="20">
        <v>58.0</v>
      </c>
      <c r="AN117" s="20" t="s">
        <v>14</v>
      </c>
      <c r="AO117" s="20">
        <v>-6.86</v>
      </c>
      <c r="AP117" s="20">
        <v>-16.61</v>
      </c>
      <c r="AS117" s="20">
        <v>58.0</v>
      </c>
      <c r="AT117" s="20" t="s">
        <v>14</v>
      </c>
      <c r="AU117" s="20">
        <v>-3.34</v>
      </c>
      <c r="AV117" s="20">
        <v>-24.7</v>
      </c>
      <c r="BE117" s="20">
        <v>115.0</v>
      </c>
      <c r="BF117" s="20" t="s">
        <v>14</v>
      </c>
      <c r="BG117" s="20">
        <v>8.52</v>
      </c>
      <c r="BH117" s="20">
        <v>-14.75</v>
      </c>
      <c r="BK117" s="20">
        <v>58.0</v>
      </c>
      <c r="BL117" s="20" t="s">
        <v>14</v>
      </c>
      <c r="BM117" s="20">
        <v>44.65</v>
      </c>
      <c r="BN117" s="20">
        <v>26.44</v>
      </c>
      <c r="BW117" s="20">
        <v>-53.44</v>
      </c>
      <c r="BX117" s="20">
        <v>-2.89</v>
      </c>
      <c r="BZ117" s="20">
        <v>-36.37</v>
      </c>
      <c r="CA117" s="20">
        <v>46.19</v>
      </c>
      <c r="CI117" s="20">
        <v>-55.51</v>
      </c>
      <c r="CJ117" s="20">
        <v>-27.95</v>
      </c>
      <c r="CO117" s="20">
        <v>-38.81</v>
      </c>
      <c r="CP117" s="20">
        <v>-63.35</v>
      </c>
      <c r="CS117" s="34"/>
      <c r="CT117" s="34"/>
    </row>
    <row r="118">
      <c r="A118" s="20">
        <v>-17.07</v>
      </c>
      <c r="B118" s="20">
        <v>80.78</v>
      </c>
      <c r="D118" s="20"/>
      <c r="E118" s="20"/>
      <c r="F118" s="20">
        <v>-7.83</v>
      </c>
      <c r="G118" s="20">
        <v>-10.91</v>
      </c>
      <c r="I118" s="20"/>
      <c r="J118" s="20"/>
      <c r="K118" s="20">
        <v>58.0</v>
      </c>
      <c r="L118" s="20" t="s">
        <v>17</v>
      </c>
      <c r="M118" s="20">
        <v>2.89</v>
      </c>
      <c r="N118" s="20">
        <v>42.8</v>
      </c>
      <c r="P118" s="20">
        <v>-4.29</v>
      </c>
      <c r="Q118" s="20">
        <v>-45.96</v>
      </c>
      <c r="AG118" s="20">
        <v>116.0</v>
      </c>
      <c r="AH118" s="20" t="s">
        <v>14</v>
      </c>
      <c r="AI118" s="20">
        <v>-28.43</v>
      </c>
      <c r="AJ118" s="20">
        <v>-23.73</v>
      </c>
      <c r="AM118" s="20">
        <v>58.0</v>
      </c>
      <c r="AN118" s="20" t="s">
        <v>17</v>
      </c>
      <c r="AO118" s="20">
        <v>-36.42</v>
      </c>
      <c r="AP118" s="20">
        <v>22.19</v>
      </c>
      <c r="AS118" s="20">
        <v>58.0</v>
      </c>
      <c r="AT118" s="20" t="s">
        <v>17</v>
      </c>
      <c r="AU118" s="20">
        <v>-28.03</v>
      </c>
      <c r="AV118" s="20">
        <v>-43.23</v>
      </c>
      <c r="BE118" s="20">
        <v>116.0</v>
      </c>
      <c r="BF118" s="20" t="s">
        <v>14</v>
      </c>
      <c r="BG118" s="20">
        <v>2.9</v>
      </c>
      <c r="BH118" s="20">
        <v>17.45</v>
      </c>
      <c r="BK118" s="20">
        <v>58.0</v>
      </c>
      <c r="BL118" s="20" t="s">
        <v>17</v>
      </c>
      <c r="BM118" s="20">
        <v>2.1</v>
      </c>
      <c r="BN118" s="20">
        <v>13.02</v>
      </c>
      <c r="BW118" s="20">
        <v>-42.71</v>
      </c>
      <c r="BX118" s="20">
        <v>-28.8</v>
      </c>
      <c r="BZ118" s="20">
        <v>-48.69</v>
      </c>
      <c r="CA118" s="20">
        <v>37.82</v>
      </c>
      <c r="CI118" s="20">
        <v>-50.73</v>
      </c>
      <c r="CJ118" s="20">
        <v>-49.57</v>
      </c>
      <c r="CO118" s="20">
        <v>-29.01</v>
      </c>
      <c r="CP118" s="20">
        <v>-34.21</v>
      </c>
      <c r="CS118" s="34"/>
      <c r="CT118" s="34"/>
    </row>
    <row r="119">
      <c r="A119" s="20">
        <v>-50.23</v>
      </c>
      <c r="B119" s="20">
        <v>-11.58</v>
      </c>
      <c r="D119" s="20"/>
      <c r="E119" s="20"/>
      <c r="F119" s="20">
        <v>5.89</v>
      </c>
      <c r="G119" s="20">
        <v>9.5</v>
      </c>
      <c r="I119" s="20"/>
      <c r="J119" s="20"/>
      <c r="K119" s="20">
        <v>59.0</v>
      </c>
      <c r="L119" s="20" t="s">
        <v>14</v>
      </c>
      <c r="M119" s="20">
        <v>37.26</v>
      </c>
      <c r="N119" s="20">
        <v>-17.14</v>
      </c>
      <c r="P119" s="20">
        <v>19.93</v>
      </c>
      <c r="Q119" s="20">
        <v>-3.51</v>
      </c>
      <c r="AG119" s="20">
        <v>117.0</v>
      </c>
      <c r="AH119" s="20" t="s">
        <v>14</v>
      </c>
      <c r="AI119" s="20">
        <v>-27.71</v>
      </c>
      <c r="AJ119" s="20">
        <v>-28.22</v>
      </c>
      <c r="AM119" s="20">
        <v>59.0</v>
      </c>
      <c r="AN119" s="20" t="s">
        <v>14</v>
      </c>
      <c r="AO119" s="20">
        <v>-12.13</v>
      </c>
      <c r="AP119" s="20">
        <v>-20.16</v>
      </c>
      <c r="AS119" s="20">
        <v>59.0</v>
      </c>
      <c r="AT119" s="20" t="s">
        <v>14</v>
      </c>
      <c r="AU119" s="20">
        <v>-3.81</v>
      </c>
      <c r="AV119" s="20">
        <v>-43.79</v>
      </c>
      <c r="BE119" s="20">
        <v>117.0</v>
      </c>
      <c r="BF119" s="20" t="s">
        <v>14</v>
      </c>
      <c r="BG119" s="20">
        <v>-16.52</v>
      </c>
      <c r="BH119" s="20">
        <v>28.89</v>
      </c>
      <c r="BK119" s="20">
        <v>59.0</v>
      </c>
      <c r="BL119" s="20" t="s">
        <v>14</v>
      </c>
      <c r="BM119" s="20">
        <v>7.28</v>
      </c>
      <c r="BN119" s="20">
        <v>6.81</v>
      </c>
      <c r="BW119" s="20">
        <v>-33.54</v>
      </c>
      <c r="BX119" s="20">
        <v>-9.46</v>
      </c>
      <c r="BZ119" s="20">
        <v>-40.07</v>
      </c>
      <c r="CA119" s="20">
        <v>43.69</v>
      </c>
      <c r="CI119" s="20">
        <v>-31.87</v>
      </c>
      <c r="CJ119" s="20">
        <v>-29.04</v>
      </c>
      <c r="CO119" s="20">
        <v>-42.81</v>
      </c>
      <c r="CP119" s="20">
        <v>-68.64</v>
      </c>
      <c r="CS119" s="34"/>
      <c r="CT119" s="34"/>
    </row>
    <row r="120">
      <c r="A120" s="20">
        <v>-8.33</v>
      </c>
      <c r="B120" s="20">
        <v>24.63</v>
      </c>
      <c r="D120" s="20"/>
      <c r="E120" s="20"/>
      <c r="F120" s="20">
        <v>-35.11</v>
      </c>
      <c r="G120" s="20">
        <v>-13.43</v>
      </c>
      <c r="I120" s="20"/>
      <c r="J120" s="20"/>
      <c r="K120" s="20">
        <v>59.0</v>
      </c>
      <c r="L120" s="20" t="s">
        <v>17</v>
      </c>
      <c r="M120" s="20">
        <v>69.33</v>
      </c>
      <c r="N120" s="20">
        <v>43.83</v>
      </c>
      <c r="P120" s="20">
        <v>-30.64</v>
      </c>
      <c r="Q120" s="20">
        <v>-8.21</v>
      </c>
      <c r="AG120" s="20">
        <v>118.0</v>
      </c>
      <c r="AH120" s="20" t="s">
        <v>14</v>
      </c>
      <c r="AI120" s="20">
        <v>-23.1</v>
      </c>
      <c r="AJ120" s="20">
        <v>-1.57</v>
      </c>
      <c r="AM120" s="20">
        <v>59.0</v>
      </c>
      <c r="AN120" s="20" t="s">
        <v>17</v>
      </c>
      <c r="AO120" s="20">
        <v>-7.52</v>
      </c>
      <c r="AP120" s="20">
        <v>-14.48</v>
      </c>
      <c r="AS120" s="20">
        <v>59.0</v>
      </c>
      <c r="AT120" s="20" t="s">
        <v>17</v>
      </c>
      <c r="AU120" s="20">
        <v>-29.22</v>
      </c>
      <c r="AV120" s="20">
        <v>-63.88</v>
      </c>
      <c r="BE120" s="20">
        <v>118.0</v>
      </c>
      <c r="BF120" s="20" t="s">
        <v>14</v>
      </c>
      <c r="BG120" s="20">
        <v>48.95</v>
      </c>
      <c r="BH120" s="20">
        <v>16.87</v>
      </c>
      <c r="BK120" s="20">
        <v>59.0</v>
      </c>
      <c r="BL120" s="20" t="s">
        <v>17</v>
      </c>
      <c r="BM120" s="20">
        <v>13.74</v>
      </c>
      <c r="BN120" s="20">
        <v>52.51</v>
      </c>
      <c r="BW120" s="20">
        <v>-45.79</v>
      </c>
      <c r="BX120" s="20">
        <v>-29.57</v>
      </c>
      <c r="BZ120" s="20">
        <v>-73.1</v>
      </c>
      <c r="CA120" s="20">
        <v>13.86</v>
      </c>
      <c r="CI120" s="20">
        <v>-8.63</v>
      </c>
      <c r="CJ120" s="20">
        <v>-43.84</v>
      </c>
      <c r="CO120" s="20">
        <v>-32.03</v>
      </c>
      <c r="CP120" s="20">
        <v>-24.69</v>
      </c>
    </row>
    <row r="121">
      <c r="A121" s="20">
        <v>-41.05</v>
      </c>
      <c r="B121" s="20">
        <v>12.42</v>
      </c>
      <c r="D121" s="20"/>
      <c r="E121" s="20"/>
      <c r="F121" s="20">
        <v>-36.56</v>
      </c>
      <c r="G121" s="20">
        <v>-10.27</v>
      </c>
      <c r="I121" s="20"/>
      <c r="J121" s="20"/>
      <c r="K121" s="20">
        <v>60.0</v>
      </c>
      <c r="L121" s="20" t="s">
        <v>14</v>
      </c>
      <c r="M121" s="20">
        <v>-17.08</v>
      </c>
      <c r="N121" s="20">
        <v>-3.32</v>
      </c>
      <c r="P121" s="20">
        <v>-41.32</v>
      </c>
      <c r="Q121" s="20">
        <v>-38.17</v>
      </c>
      <c r="AG121" s="20">
        <v>119.0</v>
      </c>
      <c r="AH121" s="20" t="s">
        <v>14</v>
      </c>
      <c r="AI121" s="20">
        <v>-16.15</v>
      </c>
      <c r="AJ121" s="20">
        <v>-7.79</v>
      </c>
      <c r="AM121" s="20">
        <v>60.0</v>
      </c>
      <c r="AN121" s="20" t="s">
        <v>14</v>
      </c>
      <c r="AO121" s="20">
        <v>-11.86</v>
      </c>
      <c r="AP121" s="20">
        <v>3.21</v>
      </c>
      <c r="AS121" s="20">
        <v>60.0</v>
      </c>
      <c r="AT121" s="20" t="s">
        <v>14</v>
      </c>
      <c r="AU121" s="20">
        <v>2.87</v>
      </c>
      <c r="AV121" s="20">
        <v>-24.16</v>
      </c>
      <c r="BE121" s="20">
        <v>119.0</v>
      </c>
      <c r="BF121" s="20" t="s">
        <v>14</v>
      </c>
      <c r="BG121" s="20">
        <v>13.65</v>
      </c>
      <c r="BH121" s="20">
        <v>-5.94</v>
      </c>
      <c r="BK121" s="20">
        <v>60.0</v>
      </c>
      <c r="BL121" s="20" t="s">
        <v>14</v>
      </c>
      <c r="BM121" s="20">
        <v>-4.45</v>
      </c>
      <c r="BN121" s="20">
        <v>-11.01</v>
      </c>
      <c r="BW121" s="20">
        <v>-46.49</v>
      </c>
      <c r="BX121" s="20">
        <v>-33.71</v>
      </c>
      <c r="BZ121" s="20">
        <v>-22.75</v>
      </c>
      <c r="CA121" s="20">
        <v>42.67</v>
      </c>
      <c r="CI121" s="20">
        <v>4.79</v>
      </c>
      <c r="CJ121" s="20">
        <v>-41.35</v>
      </c>
      <c r="CO121" s="20">
        <v>-40.7</v>
      </c>
      <c r="CP121" s="20">
        <v>-49.32</v>
      </c>
    </row>
    <row r="122">
      <c r="A122" s="20">
        <v>-11.61</v>
      </c>
      <c r="B122" s="20">
        <v>2.06</v>
      </c>
      <c r="D122" s="20"/>
      <c r="E122" s="20"/>
      <c r="F122" s="20">
        <v>-27.41</v>
      </c>
      <c r="G122" s="20">
        <v>-13.79</v>
      </c>
      <c r="I122" s="20"/>
      <c r="J122" s="20"/>
      <c r="K122" s="20">
        <v>60.0</v>
      </c>
      <c r="L122" s="20" t="s">
        <v>17</v>
      </c>
      <c r="M122" s="20">
        <v>38.24</v>
      </c>
      <c r="N122" s="20">
        <v>109.95</v>
      </c>
      <c r="P122" s="20">
        <v>-34.38</v>
      </c>
      <c r="Q122" s="20">
        <v>-32.62</v>
      </c>
      <c r="AG122" s="20">
        <v>120.0</v>
      </c>
      <c r="AH122" s="20" t="s">
        <v>14</v>
      </c>
      <c r="AI122" s="20">
        <v>-8.28</v>
      </c>
      <c r="AJ122" s="20">
        <v>-8.3</v>
      </c>
      <c r="AM122" s="20">
        <v>60.0</v>
      </c>
      <c r="AN122" s="20" t="s">
        <v>17</v>
      </c>
      <c r="AO122" s="20">
        <v>-16.0</v>
      </c>
      <c r="AP122" s="20">
        <v>14.68</v>
      </c>
      <c r="AS122" s="20">
        <v>60.0</v>
      </c>
      <c r="AT122" s="20" t="s">
        <v>17</v>
      </c>
      <c r="AU122" s="20">
        <v>-9.23</v>
      </c>
      <c r="AV122" s="20">
        <v>-34.92</v>
      </c>
      <c r="BE122" s="20">
        <v>120.0</v>
      </c>
      <c r="BF122" s="20" t="s">
        <v>14</v>
      </c>
      <c r="BG122" s="20">
        <v>3.77</v>
      </c>
      <c r="BH122" s="20">
        <v>18.72</v>
      </c>
      <c r="BK122" s="20">
        <v>60.0</v>
      </c>
      <c r="BL122" s="20" t="s">
        <v>17</v>
      </c>
      <c r="BM122" s="20">
        <v>7.13</v>
      </c>
      <c r="BN122" s="20">
        <v>8.9</v>
      </c>
      <c r="BW122" s="20">
        <v>-41.57</v>
      </c>
      <c r="BX122" s="20">
        <v>-32.16</v>
      </c>
      <c r="BZ122" s="20">
        <v>-40.39</v>
      </c>
      <c r="CA122" s="20">
        <v>72.55</v>
      </c>
      <c r="CI122" s="20">
        <v>-35.05</v>
      </c>
      <c r="CJ122" s="20">
        <v>-15.85</v>
      </c>
      <c r="CO122" s="20">
        <v>-8.02</v>
      </c>
      <c r="CP122" s="20">
        <v>-27.92</v>
      </c>
    </row>
    <row r="123">
      <c r="A123" s="20">
        <v>-9.75</v>
      </c>
      <c r="B123" s="20">
        <v>17.08</v>
      </c>
      <c r="D123" s="20"/>
      <c r="E123" s="20"/>
      <c r="F123" s="20">
        <v>6.78</v>
      </c>
      <c r="G123" s="20">
        <v>9.88</v>
      </c>
      <c r="I123" s="20"/>
      <c r="J123" s="20"/>
      <c r="K123" s="20">
        <v>61.0</v>
      </c>
      <c r="L123" s="20" t="s">
        <v>14</v>
      </c>
      <c r="M123" s="20">
        <v>6.88</v>
      </c>
      <c r="N123" s="20">
        <v>-16.22</v>
      </c>
      <c r="P123" s="20">
        <v>40.18</v>
      </c>
      <c r="Q123" s="20">
        <v>26.74</v>
      </c>
      <c r="AG123" s="20">
        <v>121.0</v>
      </c>
      <c r="AH123" s="20" t="s">
        <v>14</v>
      </c>
      <c r="AI123" s="20">
        <v>19.1</v>
      </c>
      <c r="AJ123" s="20">
        <v>5.22</v>
      </c>
      <c r="AM123" s="20">
        <v>61.0</v>
      </c>
      <c r="AN123" s="20" t="s">
        <v>14</v>
      </c>
      <c r="AO123" s="20">
        <v>-34.79</v>
      </c>
      <c r="AP123" s="20">
        <v>7.49</v>
      </c>
      <c r="AS123" s="20">
        <v>61.0</v>
      </c>
      <c r="AT123" s="20" t="s">
        <v>14</v>
      </c>
      <c r="AU123" s="20">
        <v>-30.87</v>
      </c>
      <c r="AV123" s="20">
        <v>-46.7</v>
      </c>
      <c r="BE123" s="20">
        <v>121.0</v>
      </c>
      <c r="BF123" s="20" t="s">
        <v>14</v>
      </c>
      <c r="BG123" s="20">
        <v>-7.05</v>
      </c>
      <c r="BH123" s="20">
        <v>-46.38</v>
      </c>
      <c r="BK123" s="20">
        <v>61.0</v>
      </c>
      <c r="BL123" s="20" t="s">
        <v>14</v>
      </c>
      <c r="BM123" s="20">
        <v>13.36</v>
      </c>
      <c r="BN123" s="20">
        <v>21.8</v>
      </c>
      <c r="BW123" s="20">
        <v>-51.72</v>
      </c>
      <c r="BX123" s="20">
        <v>-16.8</v>
      </c>
      <c r="BZ123" s="20">
        <v>-42.74</v>
      </c>
      <c r="CA123" s="20">
        <v>55.67</v>
      </c>
      <c r="CI123" s="20">
        <v>-48.1</v>
      </c>
      <c r="CJ123" s="20">
        <v>-43.45</v>
      </c>
      <c r="CO123" s="20">
        <v>-20.77</v>
      </c>
      <c r="CP123" s="20">
        <v>-55.18</v>
      </c>
    </row>
    <row r="124">
      <c r="A124" s="20">
        <v>6.5</v>
      </c>
      <c r="B124" s="20">
        <v>88.89</v>
      </c>
      <c r="D124" s="20"/>
      <c r="E124" s="20"/>
      <c r="F124" s="20">
        <v>-27.63</v>
      </c>
      <c r="G124" s="20">
        <v>-24.03</v>
      </c>
      <c r="I124" s="20"/>
      <c r="J124" s="20"/>
      <c r="K124" s="20">
        <v>61.0</v>
      </c>
      <c r="L124" s="20" t="s">
        <v>17</v>
      </c>
      <c r="M124" s="20">
        <v>30.1</v>
      </c>
      <c r="N124" s="20">
        <v>26.67</v>
      </c>
      <c r="P124" s="20">
        <v>47.23</v>
      </c>
      <c r="Q124" s="20">
        <v>53.02</v>
      </c>
      <c r="AG124" s="20">
        <v>122.0</v>
      </c>
      <c r="AH124" s="20" t="s">
        <v>14</v>
      </c>
      <c r="AI124" s="20">
        <v>-3.92</v>
      </c>
      <c r="AJ124" s="20">
        <v>-1.83</v>
      </c>
      <c r="AM124" s="20">
        <v>61.0</v>
      </c>
      <c r="AN124" s="20" t="s">
        <v>17</v>
      </c>
      <c r="AO124" s="20">
        <v>-24.21</v>
      </c>
      <c r="AP124" s="20">
        <v>-0.46</v>
      </c>
      <c r="AS124" s="20">
        <v>61.0</v>
      </c>
      <c r="AT124" s="20" t="s">
        <v>17</v>
      </c>
      <c r="AU124" s="20">
        <v>-22.55</v>
      </c>
      <c r="AV124" s="20">
        <v>-33.93</v>
      </c>
      <c r="BE124" s="20">
        <v>122.0</v>
      </c>
      <c r="BF124" s="20" t="s">
        <v>14</v>
      </c>
      <c r="BG124" s="20">
        <v>0.27</v>
      </c>
      <c r="BH124" s="20">
        <v>61.87</v>
      </c>
      <c r="BK124" s="20">
        <v>61.0</v>
      </c>
      <c r="BL124" s="20" t="s">
        <v>17</v>
      </c>
      <c r="BM124" s="20">
        <v>37.36</v>
      </c>
      <c r="BN124" s="20">
        <v>63.18</v>
      </c>
      <c r="BW124" s="20">
        <v>-50.75</v>
      </c>
      <c r="BX124" s="20">
        <v>-15.69</v>
      </c>
      <c r="BZ124" s="20">
        <v>-64.54</v>
      </c>
      <c r="CA124" s="20">
        <v>-5.83</v>
      </c>
      <c r="CI124" s="20">
        <v>-60.8</v>
      </c>
      <c r="CJ124" s="20">
        <v>-63.8</v>
      </c>
      <c r="CO124" s="20">
        <v>13.73</v>
      </c>
      <c r="CP124" s="20">
        <v>-44.95</v>
      </c>
    </row>
    <row r="125">
      <c r="A125" s="20">
        <v>-60.03</v>
      </c>
      <c r="B125" s="20">
        <v>25.93</v>
      </c>
      <c r="D125" s="20"/>
      <c r="E125" s="20"/>
      <c r="F125" s="20">
        <v>-21.55</v>
      </c>
      <c r="G125" s="20">
        <v>19.84</v>
      </c>
      <c r="I125" s="20"/>
      <c r="J125" s="20"/>
      <c r="K125" s="20">
        <v>62.0</v>
      </c>
      <c r="L125" s="20" t="s">
        <v>14</v>
      </c>
      <c r="M125" s="20">
        <v>-14.41</v>
      </c>
      <c r="N125" s="20">
        <v>15.12</v>
      </c>
      <c r="P125" s="20">
        <v>40.54</v>
      </c>
      <c r="Q125" s="20">
        <v>26.55</v>
      </c>
      <c r="AG125" s="20">
        <v>123.0</v>
      </c>
      <c r="AH125" s="20" t="s">
        <v>14</v>
      </c>
      <c r="AI125" s="20">
        <v>8.13</v>
      </c>
      <c r="AJ125" s="20">
        <v>-3.05</v>
      </c>
      <c r="AM125" s="20">
        <v>62.0</v>
      </c>
      <c r="AN125" s="20" t="s">
        <v>14</v>
      </c>
      <c r="AO125" s="20">
        <v>-13.13</v>
      </c>
      <c r="AP125" s="20">
        <v>-13.58</v>
      </c>
      <c r="AS125" s="20">
        <v>62.0</v>
      </c>
      <c r="AT125" s="20" t="s">
        <v>14</v>
      </c>
      <c r="AU125" s="20">
        <v>-15.48</v>
      </c>
      <c r="AV125" s="20">
        <v>-61.75</v>
      </c>
      <c r="BE125" s="20">
        <v>123.0</v>
      </c>
      <c r="BF125" s="20" t="s">
        <v>14</v>
      </c>
      <c r="BG125" s="20">
        <v>-22.03</v>
      </c>
      <c r="BH125" s="20">
        <v>-20.25</v>
      </c>
      <c r="BK125" s="20">
        <v>62.0</v>
      </c>
      <c r="BL125" s="20" t="s">
        <v>14</v>
      </c>
      <c r="BM125" s="20">
        <v>46.92</v>
      </c>
      <c r="BN125" s="20">
        <v>81.39</v>
      </c>
      <c r="BW125" s="20">
        <v>-42.48</v>
      </c>
      <c r="BX125" s="20">
        <v>-32.05</v>
      </c>
      <c r="BZ125" s="20">
        <v>-36.9</v>
      </c>
      <c r="CA125" s="20">
        <v>17.09</v>
      </c>
      <c r="CI125" s="20">
        <v>-62.3</v>
      </c>
      <c r="CJ125" s="20">
        <v>-66.86</v>
      </c>
      <c r="CO125" s="20">
        <v>-29.27</v>
      </c>
      <c r="CP125" s="20">
        <v>-59.3</v>
      </c>
    </row>
    <row r="126">
      <c r="A126" s="20">
        <v>-47.19</v>
      </c>
      <c r="B126" s="20">
        <v>94.45</v>
      </c>
      <c r="D126" s="20"/>
      <c r="E126" s="20"/>
      <c r="F126" s="20">
        <v>29.03</v>
      </c>
      <c r="G126" s="20">
        <v>6.73</v>
      </c>
      <c r="I126" s="20"/>
      <c r="J126" s="20"/>
      <c r="K126" s="20">
        <v>62.0</v>
      </c>
      <c r="L126" s="20" t="s">
        <v>17</v>
      </c>
      <c r="M126" s="20">
        <v>-4.13</v>
      </c>
      <c r="N126" s="20">
        <v>-8.93</v>
      </c>
      <c r="P126" s="20">
        <v>23.85</v>
      </c>
      <c r="Q126" s="20">
        <v>43.43</v>
      </c>
      <c r="AG126" s="20">
        <v>124.0</v>
      </c>
      <c r="AH126" s="20" t="s">
        <v>14</v>
      </c>
      <c r="AI126" s="20">
        <v>-38.55</v>
      </c>
      <c r="AJ126" s="20">
        <v>-27.37</v>
      </c>
      <c r="AM126" s="20">
        <v>62.0</v>
      </c>
      <c r="AN126" s="20" t="s">
        <v>17</v>
      </c>
      <c r="AO126" s="20">
        <v>-29.25</v>
      </c>
      <c r="AP126" s="20">
        <v>-37.84</v>
      </c>
      <c r="AS126" s="20">
        <v>62.0</v>
      </c>
      <c r="AT126" s="20" t="s">
        <v>17</v>
      </c>
      <c r="AU126" s="20">
        <v>-10.85</v>
      </c>
      <c r="AV126" s="20">
        <v>-62.31</v>
      </c>
      <c r="BE126" s="20">
        <v>124.0</v>
      </c>
      <c r="BF126" s="20" t="s">
        <v>14</v>
      </c>
      <c r="BG126" s="20">
        <v>-18.98</v>
      </c>
      <c r="BH126" s="20">
        <v>9.31</v>
      </c>
      <c r="BK126" s="20">
        <v>62.0</v>
      </c>
      <c r="BL126" s="20" t="s">
        <v>17</v>
      </c>
      <c r="BM126" s="20">
        <v>32.88</v>
      </c>
      <c r="BN126" s="20">
        <v>83.16</v>
      </c>
      <c r="BW126" s="20">
        <v>-47.54</v>
      </c>
      <c r="BX126" s="20">
        <v>-15.53</v>
      </c>
      <c r="BZ126" s="20">
        <v>-36.99</v>
      </c>
      <c r="CA126" s="20">
        <v>28.16</v>
      </c>
      <c r="CI126" s="20">
        <v>-54.03</v>
      </c>
      <c r="CJ126" s="20">
        <v>-33.27</v>
      </c>
      <c r="CO126" s="20">
        <v>-12.58</v>
      </c>
      <c r="CP126" s="20">
        <v>-60.99</v>
      </c>
    </row>
    <row r="127">
      <c r="A127" s="20">
        <v>19.51</v>
      </c>
      <c r="B127" s="20">
        <v>-26.67</v>
      </c>
      <c r="D127" s="20"/>
      <c r="E127" s="20"/>
      <c r="F127" s="20">
        <v>-25.07</v>
      </c>
      <c r="G127" s="20">
        <v>-20.13</v>
      </c>
      <c r="I127" s="20"/>
      <c r="J127" s="20"/>
      <c r="K127" s="20">
        <v>63.0</v>
      </c>
      <c r="L127" s="20" t="s">
        <v>14</v>
      </c>
      <c r="M127" s="20">
        <v>-37.2</v>
      </c>
      <c r="N127" s="20">
        <v>-25.44</v>
      </c>
      <c r="P127" s="20">
        <v>45.09</v>
      </c>
      <c r="Q127" s="20">
        <v>62.64</v>
      </c>
      <c r="AG127" s="20">
        <v>125.0</v>
      </c>
      <c r="AH127" s="20" t="s">
        <v>14</v>
      </c>
      <c r="AI127" s="20">
        <v>4.84</v>
      </c>
      <c r="AJ127" s="20">
        <v>10.43</v>
      </c>
      <c r="AM127" s="20">
        <v>63.0</v>
      </c>
      <c r="AN127" s="20" t="s">
        <v>14</v>
      </c>
      <c r="AO127" s="20">
        <v>7.14</v>
      </c>
      <c r="AP127" s="20">
        <v>25.52</v>
      </c>
      <c r="AS127" s="20">
        <v>63.0</v>
      </c>
      <c r="AT127" s="20" t="s">
        <v>14</v>
      </c>
      <c r="AU127" s="20">
        <v>-6.41</v>
      </c>
      <c r="AV127" s="20">
        <v>-36.32</v>
      </c>
      <c r="BE127" s="20">
        <v>125.0</v>
      </c>
      <c r="BF127" s="20" t="s">
        <v>14</v>
      </c>
      <c r="BG127" s="20">
        <v>-19.02</v>
      </c>
      <c r="BH127" s="20">
        <v>-8.98</v>
      </c>
      <c r="BK127" s="20">
        <v>63.0</v>
      </c>
      <c r="BL127" s="20" t="s">
        <v>14</v>
      </c>
      <c r="BM127" s="20">
        <v>1.15</v>
      </c>
      <c r="BN127" s="20">
        <v>21.26</v>
      </c>
      <c r="BW127" s="20">
        <v>-3.8</v>
      </c>
      <c r="BX127" s="20">
        <v>16.28</v>
      </c>
      <c r="BZ127" s="20">
        <v>-37.39</v>
      </c>
      <c r="CA127" s="20">
        <v>79.21</v>
      </c>
      <c r="CI127" s="20">
        <v>-55.37</v>
      </c>
      <c r="CJ127" s="20">
        <v>-64.25</v>
      </c>
      <c r="CO127" s="20">
        <v>-25.23</v>
      </c>
      <c r="CP127" s="20">
        <v>-65.04</v>
      </c>
    </row>
    <row r="128">
      <c r="A128" s="20">
        <v>-32.43</v>
      </c>
      <c r="B128" s="20">
        <v>-42.72</v>
      </c>
      <c r="D128" s="20"/>
      <c r="E128" s="20"/>
      <c r="F128" s="20">
        <v>-23.14</v>
      </c>
      <c r="G128" s="20">
        <v>4.11</v>
      </c>
      <c r="I128" s="20"/>
      <c r="J128" s="20"/>
      <c r="K128" s="20">
        <v>63.0</v>
      </c>
      <c r="L128" s="20" t="s">
        <v>17</v>
      </c>
      <c r="M128" s="20">
        <v>-20.37</v>
      </c>
      <c r="N128" s="20">
        <v>137.71</v>
      </c>
      <c r="P128" s="20">
        <v>5.09</v>
      </c>
      <c r="Q128" s="20">
        <v>17.86</v>
      </c>
      <c r="AG128" s="20">
        <v>126.0</v>
      </c>
      <c r="AH128" s="20" t="s">
        <v>14</v>
      </c>
      <c r="AI128" s="20">
        <v>-17.57</v>
      </c>
      <c r="AJ128" s="20">
        <v>4.88</v>
      </c>
      <c r="AM128" s="20">
        <v>63.0</v>
      </c>
      <c r="AN128" s="20" t="s">
        <v>17</v>
      </c>
      <c r="AO128" s="20">
        <v>53.06</v>
      </c>
      <c r="AP128" s="20">
        <v>-6.03</v>
      </c>
      <c r="AS128" s="20">
        <v>63.0</v>
      </c>
      <c r="AT128" s="20" t="s">
        <v>17</v>
      </c>
      <c r="AU128" s="20">
        <v>-24.7</v>
      </c>
      <c r="AV128" s="20">
        <v>-69.67</v>
      </c>
      <c r="BE128" s="20">
        <v>126.0</v>
      </c>
      <c r="BF128" s="20" t="s">
        <v>14</v>
      </c>
      <c r="BG128" s="20">
        <v>28.31</v>
      </c>
      <c r="BH128" s="20">
        <v>16.17</v>
      </c>
      <c r="BK128" s="20">
        <v>63.0</v>
      </c>
      <c r="BL128" s="20" t="s">
        <v>17</v>
      </c>
      <c r="BM128" s="20">
        <v>23.47</v>
      </c>
      <c r="BN128" s="20">
        <v>59.14</v>
      </c>
      <c r="BW128" s="20">
        <v>-33.74</v>
      </c>
      <c r="BX128" s="20">
        <v>-29.64</v>
      </c>
      <c r="BZ128" s="20">
        <v>-23.63</v>
      </c>
      <c r="CA128" s="20">
        <v>59.81</v>
      </c>
      <c r="CI128" s="20">
        <v>-64.11</v>
      </c>
      <c r="CJ128" s="20">
        <v>-42.06</v>
      </c>
      <c r="CO128" s="20">
        <v>4.18</v>
      </c>
      <c r="CP128" s="20">
        <v>-29.52</v>
      </c>
    </row>
    <row r="129">
      <c r="A129" s="20">
        <v>-43.99</v>
      </c>
      <c r="B129" s="20">
        <v>-54.23</v>
      </c>
      <c r="D129" s="20"/>
      <c r="E129" s="20"/>
      <c r="F129" s="20">
        <v>-25.42</v>
      </c>
      <c r="G129" s="20">
        <v>14.41</v>
      </c>
      <c r="I129" s="20"/>
      <c r="J129" s="20"/>
      <c r="K129" s="20">
        <v>64.0</v>
      </c>
      <c r="L129" s="20" t="s">
        <v>14</v>
      </c>
      <c r="M129" s="20">
        <v>-28.1</v>
      </c>
      <c r="N129" s="20">
        <v>-2.65</v>
      </c>
      <c r="P129" s="20">
        <v>13.72</v>
      </c>
      <c r="Q129" s="20">
        <v>62.3</v>
      </c>
      <c r="AG129" s="20">
        <v>127.0</v>
      </c>
      <c r="AH129" s="20" t="s">
        <v>14</v>
      </c>
      <c r="AI129" s="20">
        <v>-23.74</v>
      </c>
      <c r="AJ129" s="20">
        <v>7.71</v>
      </c>
      <c r="AM129" s="20">
        <v>64.0</v>
      </c>
      <c r="AN129" s="20" t="s">
        <v>14</v>
      </c>
      <c r="AO129" s="20">
        <v>-15.15</v>
      </c>
      <c r="AP129" s="20">
        <v>-12.58</v>
      </c>
      <c r="AS129" s="20">
        <v>64.0</v>
      </c>
      <c r="AT129" s="20" t="s">
        <v>14</v>
      </c>
      <c r="AU129" s="20">
        <v>-27.32</v>
      </c>
      <c r="AV129" s="20">
        <v>-66.2</v>
      </c>
      <c r="BE129" s="20">
        <v>127.0</v>
      </c>
      <c r="BF129" s="20" t="s">
        <v>14</v>
      </c>
      <c r="BG129" s="20">
        <v>-17.31</v>
      </c>
      <c r="BH129" s="20">
        <v>-0.47</v>
      </c>
      <c r="BK129" s="20">
        <v>64.0</v>
      </c>
      <c r="BL129" s="20" t="s">
        <v>14</v>
      </c>
      <c r="BM129" s="20">
        <v>-3.38</v>
      </c>
      <c r="BN129" s="20">
        <v>40.16</v>
      </c>
      <c r="BW129" s="20">
        <v>-31.32</v>
      </c>
      <c r="BX129" s="20">
        <v>-15.81</v>
      </c>
      <c r="BZ129" s="20">
        <v>-31.41</v>
      </c>
      <c r="CA129" s="20">
        <v>45.79</v>
      </c>
      <c r="CI129" s="20">
        <v>-51.26</v>
      </c>
      <c r="CJ129" s="20">
        <v>-67.53</v>
      </c>
      <c r="CO129" s="20">
        <v>-28.56</v>
      </c>
      <c r="CP129" s="20">
        <v>-57.94</v>
      </c>
    </row>
    <row r="130">
      <c r="A130" s="20">
        <v>-16.68</v>
      </c>
      <c r="B130" s="20">
        <v>-44.92</v>
      </c>
      <c r="D130" s="20"/>
      <c r="E130" s="20"/>
      <c r="F130" s="20">
        <v>-15.16</v>
      </c>
      <c r="G130" s="20">
        <v>-3.34</v>
      </c>
      <c r="I130" s="20"/>
      <c r="J130" s="20"/>
      <c r="K130" s="20">
        <v>64.0</v>
      </c>
      <c r="L130" s="20" t="s">
        <v>17</v>
      </c>
      <c r="M130" s="20">
        <v>37.07</v>
      </c>
      <c r="N130" s="20">
        <v>90.07</v>
      </c>
      <c r="P130" s="20">
        <v>26.84</v>
      </c>
      <c r="Q130" s="20">
        <v>41.73</v>
      </c>
      <c r="AG130" s="20">
        <v>128.0</v>
      </c>
      <c r="AH130" s="20" t="s">
        <v>14</v>
      </c>
      <c r="AI130" s="20">
        <v>-11.77</v>
      </c>
      <c r="AJ130" s="20">
        <v>-0.34</v>
      </c>
      <c r="AM130" s="20">
        <v>64.0</v>
      </c>
      <c r="AN130" s="20" t="s">
        <v>17</v>
      </c>
      <c r="AO130" s="20">
        <v>-15.42</v>
      </c>
      <c r="AP130" s="20">
        <v>-19.89</v>
      </c>
      <c r="AS130" s="20">
        <v>64.0</v>
      </c>
      <c r="AT130" s="20" t="s">
        <v>17</v>
      </c>
      <c r="AU130" s="20">
        <v>-10.44</v>
      </c>
      <c r="AV130" s="20">
        <v>-59.37</v>
      </c>
      <c r="BE130" s="20">
        <v>128.0</v>
      </c>
      <c r="BF130" s="20" t="s">
        <v>14</v>
      </c>
      <c r="BG130" s="20">
        <v>-26.18</v>
      </c>
      <c r="BH130" s="20">
        <v>25.69</v>
      </c>
      <c r="BK130" s="20">
        <v>64.0</v>
      </c>
      <c r="BL130" s="20" t="s">
        <v>17</v>
      </c>
      <c r="BM130" s="20">
        <v>32.58</v>
      </c>
      <c r="BN130" s="20">
        <v>51.12</v>
      </c>
      <c r="BW130" s="20">
        <v>-22.63</v>
      </c>
      <c r="BX130" s="20">
        <v>-15.66</v>
      </c>
      <c r="BZ130" s="20">
        <v>-22.07</v>
      </c>
      <c r="CA130" s="20">
        <v>46.08</v>
      </c>
      <c r="CI130" s="20">
        <v>-37.1</v>
      </c>
      <c r="CJ130" s="20">
        <v>-65.61</v>
      </c>
      <c r="CO130" s="20">
        <v>-20.61</v>
      </c>
      <c r="CP130" s="20">
        <v>-45.04</v>
      </c>
    </row>
    <row r="131">
      <c r="A131" s="20">
        <v>-16.12</v>
      </c>
      <c r="B131" s="20">
        <v>-8.38</v>
      </c>
      <c r="D131" s="20"/>
      <c r="E131" s="20"/>
      <c r="F131" s="20">
        <v>-4.14</v>
      </c>
      <c r="G131" s="20">
        <v>19.1</v>
      </c>
      <c r="I131" s="20"/>
      <c r="J131" s="20"/>
      <c r="K131" s="20">
        <v>65.0</v>
      </c>
      <c r="L131" s="20" t="s">
        <v>14</v>
      </c>
      <c r="M131" s="20">
        <v>-30.31</v>
      </c>
      <c r="N131" s="20">
        <v>-12.58</v>
      </c>
      <c r="P131" s="20">
        <v>10.1</v>
      </c>
      <c r="Q131" s="20">
        <v>-6.27</v>
      </c>
      <c r="AG131" s="20">
        <v>129.0</v>
      </c>
      <c r="AH131" s="20" t="s">
        <v>14</v>
      </c>
      <c r="AI131" s="20">
        <v>-12.49</v>
      </c>
      <c r="AJ131" s="20">
        <v>3.96</v>
      </c>
      <c r="AM131" s="20">
        <v>65.0</v>
      </c>
      <c r="AN131" s="20" t="s">
        <v>14</v>
      </c>
      <c r="AO131" s="20">
        <v>7.99</v>
      </c>
      <c r="AP131" s="20">
        <v>-20.7</v>
      </c>
      <c r="AS131" s="20">
        <v>65.0</v>
      </c>
      <c r="AT131" s="20" t="s">
        <v>14</v>
      </c>
      <c r="AU131" s="20">
        <v>-23.09</v>
      </c>
      <c r="AV131" s="20">
        <v>-32.04</v>
      </c>
      <c r="BE131" s="20">
        <v>129.0</v>
      </c>
      <c r="BF131" s="20" t="s">
        <v>14</v>
      </c>
      <c r="BG131" s="20">
        <v>-10.39</v>
      </c>
      <c r="BH131" s="20">
        <v>37.14</v>
      </c>
      <c r="BK131" s="20">
        <v>65.0</v>
      </c>
      <c r="BL131" s="20" t="s">
        <v>14</v>
      </c>
      <c r="BM131" s="20">
        <v>17.18</v>
      </c>
      <c r="BN131" s="20">
        <v>83.63</v>
      </c>
      <c r="BW131" s="20">
        <v>-30.53</v>
      </c>
      <c r="BX131" s="20">
        <v>21.86</v>
      </c>
      <c r="BZ131" s="20">
        <v>-28.6</v>
      </c>
      <c r="CA131" s="20">
        <v>44.42</v>
      </c>
      <c r="CI131" s="20">
        <v>-54.77</v>
      </c>
      <c r="CJ131" s="20">
        <v>-61.72</v>
      </c>
      <c r="CO131" s="20">
        <v>24.84</v>
      </c>
      <c r="CP131" s="20">
        <v>-62.12</v>
      </c>
    </row>
    <row r="132">
      <c r="A132" s="20">
        <v>-61.56</v>
      </c>
      <c r="B132" s="20">
        <v>31.3</v>
      </c>
      <c r="D132" s="20"/>
      <c r="E132" s="20"/>
      <c r="F132" s="20">
        <v>-38.48</v>
      </c>
      <c r="G132" s="20">
        <v>11.77</v>
      </c>
      <c r="I132" s="20"/>
      <c r="J132" s="20"/>
      <c r="K132" s="20">
        <v>65.0</v>
      </c>
      <c r="L132" s="20" t="s">
        <v>17</v>
      </c>
      <c r="M132" s="20">
        <v>6.86</v>
      </c>
      <c r="N132" s="20">
        <v>51.4</v>
      </c>
      <c r="P132" s="20">
        <v>-26.56</v>
      </c>
      <c r="Q132" s="20">
        <v>13.72</v>
      </c>
      <c r="AG132" s="20">
        <v>130.0</v>
      </c>
      <c r="AH132" s="20" t="s">
        <v>14</v>
      </c>
      <c r="AI132" s="20">
        <v>22.07</v>
      </c>
      <c r="AJ132" s="20">
        <v>8.95</v>
      </c>
      <c r="AM132" s="20">
        <v>65.0</v>
      </c>
      <c r="AN132" s="20" t="s">
        <v>17</v>
      </c>
      <c r="AO132" s="20">
        <v>-16.63</v>
      </c>
      <c r="AP132" s="20">
        <v>-32.7</v>
      </c>
      <c r="AS132" s="20">
        <v>65.0</v>
      </c>
      <c r="AT132" s="20" t="s">
        <v>17</v>
      </c>
      <c r="AU132" s="20">
        <v>-34.13</v>
      </c>
      <c r="AV132" s="20">
        <v>-46.25</v>
      </c>
      <c r="BE132" s="20">
        <v>130.0</v>
      </c>
      <c r="BF132" s="20" t="s">
        <v>14</v>
      </c>
      <c r="BG132" s="20">
        <v>22.87</v>
      </c>
      <c r="BH132" s="20">
        <v>-14.86</v>
      </c>
      <c r="BK132" s="20">
        <v>65.0</v>
      </c>
      <c r="BL132" s="20" t="s">
        <v>17</v>
      </c>
      <c r="BM132" s="20">
        <v>37.34</v>
      </c>
      <c r="BN132" s="20">
        <v>87.33</v>
      </c>
      <c r="BW132" s="20">
        <v>-62.27</v>
      </c>
      <c r="BX132" s="20">
        <v>-42.71</v>
      </c>
      <c r="BZ132" s="20">
        <v>-26.61</v>
      </c>
      <c r="CA132" s="20">
        <v>15.86</v>
      </c>
      <c r="CI132" s="20">
        <v>-30.62</v>
      </c>
      <c r="CJ132" s="20">
        <v>-68.89</v>
      </c>
      <c r="CO132" s="20">
        <v>14.32</v>
      </c>
      <c r="CP132" s="20">
        <v>-55.23</v>
      </c>
    </row>
    <row r="133">
      <c r="A133" s="20">
        <v>-53.06</v>
      </c>
      <c r="B133" s="20">
        <v>-40.8</v>
      </c>
      <c r="D133" s="20"/>
      <c r="E133" s="20"/>
      <c r="F133" s="20">
        <v>-44.3</v>
      </c>
      <c r="G133" s="20">
        <v>4.2</v>
      </c>
      <c r="I133" s="20"/>
      <c r="J133" s="20"/>
      <c r="K133" s="20">
        <v>66.0</v>
      </c>
      <c r="L133" s="20" t="s">
        <v>14</v>
      </c>
      <c r="M133" s="20">
        <v>-22.83</v>
      </c>
      <c r="N133" s="20">
        <v>36.41</v>
      </c>
      <c r="P133" s="20">
        <v>28.96</v>
      </c>
      <c r="Q133" s="20">
        <v>9.73</v>
      </c>
      <c r="AG133" s="20">
        <v>131.0</v>
      </c>
      <c r="AH133" s="20" t="s">
        <v>14</v>
      </c>
      <c r="AI133" s="20">
        <v>-28.84</v>
      </c>
      <c r="AJ133" s="20">
        <v>-13.23</v>
      </c>
      <c r="AM133" s="20">
        <v>66.0</v>
      </c>
      <c r="AN133" s="20" t="s">
        <v>14</v>
      </c>
      <c r="AO133" s="20">
        <v>14.07</v>
      </c>
      <c r="AP133" s="20">
        <v>10.76</v>
      </c>
      <c r="AS133" s="20">
        <v>66.0</v>
      </c>
      <c r="AT133" s="20" t="s">
        <v>14</v>
      </c>
      <c r="AU133" s="20">
        <v>-20.95</v>
      </c>
      <c r="AV133" s="20">
        <v>-49.03</v>
      </c>
      <c r="BE133" s="20">
        <v>131.0</v>
      </c>
      <c r="BF133" s="20" t="s">
        <v>14</v>
      </c>
      <c r="BG133" s="20">
        <v>1.43</v>
      </c>
      <c r="BH133" s="20">
        <v>-8.31</v>
      </c>
      <c r="BK133" s="20">
        <v>66.0</v>
      </c>
      <c r="BL133" s="20" t="s">
        <v>14</v>
      </c>
      <c r="BM133" s="20">
        <v>15.38</v>
      </c>
      <c r="BN133" s="20">
        <v>70.42</v>
      </c>
      <c r="BW133" s="20">
        <v>-40.95</v>
      </c>
      <c r="BX133" s="20">
        <v>-16.16</v>
      </c>
      <c r="BZ133" s="20">
        <v>-38.04</v>
      </c>
      <c r="CA133" s="20">
        <v>1.55</v>
      </c>
      <c r="CI133" s="20">
        <v>-61.5</v>
      </c>
      <c r="CJ133" s="20">
        <v>-50.91</v>
      </c>
      <c r="CO133" s="20">
        <v>-26.24</v>
      </c>
      <c r="CP133" s="20">
        <v>-51.49</v>
      </c>
    </row>
    <row r="134">
      <c r="A134" s="20">
        <v>-50.7</v>
      </c>
      <c r="B134" s="20">
        <v>-25.98</v>
      </c>
      <c r="D134" s="20"/>
      <c r="E134" s="20"/>
      <c r="F134" s="20">
        <v>-33.9</v>
      </c>
      <c r="G134" s="20">
        <v>-10.84</v>
      </c>
      <c r="I134" s="20"/>
      <c r="J134" s="20"/>
      <c r="K134" s="20">
        <v>66.0</v>
      </c>
      <c r="L134" s="20" t="s">
        <v>17</v>
      </c>
      <c r="M134" s="20">
        <v>18.22</v>
      </c>
      <c r="N134" s="20">
        <v>148.12</v>
      </c>
      <c r="P134" s="20">
        <v>16.94</v>
      </c>
      <c r="Q134" s="20">
        <v>29.51</v>
      </c>
      <c r="AG134" s="20">
        <v>132.0</v>
      </c>
      <c r="AH134" s="20" t="s">
        <v>14</v>
      </c>
      <c r="AI134" s="20">
        <v>-23.25</v>
      </c>
      <c r="AJ134" s="20">
        <v>-1.99</v>
      </c>
      <c r="AM134" s="20">
        <v>66.0</v>
      </c>
      <c r="AN134" s="20" t="s">
        <v>17</v>
      </c>
      <c r="AO134" s="20">
        <v>-0.66</v>
      </c>
      <c r="AP134" s="20">
        <v>7.77</v>
      </c>
      <c r="AS134" s="20">
        <v>66.0</v>
      </c>
      <c r="AT134" s="20" t="s">
        <v>17</v>
      </c>
      <c r="AU134" s="20">
        <v>-29.1</v>
      </c>
      <c r="AV134" s="20">
        <v>-52.86</v>
      </c>
      <c r="BE134" s="20">
        <v>132.0</v>
      </c>
      <c r="BF134" s="20" t="s">
        <v>14</v>
      </c>
      <c r="BG134" s="20">
        <v>-7.48</v>
      </c>
      <c r="BH134" s="20">
        <v>8.87</v>
      </c>
      <c r="BK134" s="20">
        <v>66.0</v>
      </c>
      <c r="BL134" s="20" t="s">
        <v>17</v>
      </c>
      <c r="BM134" s="20">
        <v>54.47</v>
      </c>
      <c r="BN134" s="20">
        <v>73.94</v>
      </c>
      <c r="BW134" s="20">
        <v>6.45</v>
      </c>
      <c r="BX134" s="20">
        <v>-20.42</v>
      </c>
      <c r="BZ134" s="20">
        <v>-35.27</v>
      </c>
      <c r="CA134" s="20">
        <v>32.59</v>
      </c>
      <c r="CI134" s="20">
        <v>-59.55</v>
      </c>
      <c r="CJ134" s="20">
        <v>-58.99</v>
      </c>
      <c r="CO134" s="20">
        <v>8.09</v>
      </c>
      <c r="CP134" s="20">
        <v>-34.17</v>
      </c>
    </row>
    <row r="135">
      <c r="A135" s="20">
        <v>-31.87</v>
      </c>
      <c r="B135" s="20">
        <v>27.31</v>
      </c>
      <c r="D135" s="20"/>
      <c r="E135" s="20"/>
      <c r="F135" s="20">
        <v>41.61</v>
      </c>
      <c r="G135" s="20">
        <v>50.03</v>
      </c>
      <c r="I135" s="20"/>
      <c r="J135" s="20"/>
      <c r="K135" s="20">
        <v>67.0</v>
      </c>
      <c r="L135" s="20" t="s">
        <v>14</v>
      </c>
      <c r="M135" s="20">
        <v>-20.61</v>
      </c>
      <c r="N135" s="20">
        <v>-29.35</v>
      </c>
      <c r="P135" s="20">
        <v>44.72</v>
      </c>
      <c r="Q135" s="20">
        <v>31.54</v>
      </c>
      <c r="AG135" s="20">
        <v>133.0</v>
      </c>
      <c r="AH135" s="20" t="s">
        <v>14</v>
      </c>
      <c r="AI135" s="20">
        <v>-15.93</v>
      </c>
      <c r="AJ135" s="20">
        <v>31.98</v>
      </c>
      <c r="AM135" s="20">
        <v>67.0</v>
      </c>
      <c r="AN135" s="20" t="s">
        <v>14</v>
      </c>
      <c r="AO135" s="20">
        <v>-13.0</v>
      </c>
      <c r="AP135" s="20">
        <v>-20.04</v>
      </c>
      <c r="AS135" s="20">
        <v>67.0</v>
      </c>
      <c r="AT135" s="20" t="s">
        <v>14</v>
      </c>
      <c r="AU135" s="20">
        <v>-11.54</v>
      </c>
      <c r="AV135" s="20">
        <v>-29.14</v>
      </c>
      <c r="BE135" s="20">
        <v>133.0</v>
      </c>
      <c r="BF135" s="20" t="s">
        <v>14</v>
      </c>
      <c r="BG135" s="20">
        <v>8.9</v>
      </c>
      <c r="BH135" s="20">
        <v>-0.66</v>
      </c>
      <c r="BK135" s="20">
        <v>67.0</v>
      </c>
      <c r="BL135" s="20" t="s">
        <v>14</v>
      </c>
      <c r="BM135" s="20">
        <v>-5.15</v>
      </c>
      <c r="BN135" s="20">
        <v>46.07</v>
      </c>
      <c r="BW135" s="20">
        <v>-44.37</v>
      </c>
      <c r="BX135" s="20">
        <v>-16.79</v>
      </c>
      <c r="BZ135" s="20">
        <v>-64.28</v>
      </c>
      <c r="CA135" s="20">
        <v>28.68</v>
      </c>
      <c r="CI135" s="20">
        <v>-37.77</v>
      </c>
      <c r="CJ135" s="20">
        <v>-49.55</v>
      </c>
      <c r="CO135" s="20">
        <v>4.74</v>
      </c>
      <c r="CP135" s="20">
        <v>-28.59</v>
      </c>
    </row>
    <row r="136">
      <c r="A136" s="20">
        <v>-19.82</v>
      </c>
      <c r="B136" s="20">
        <v>44.35</v>
      </c>
      <c r="D136" s="20"/>
      <c r="E136" s="20"/>
      <c r="F136" s="20">
        <v>-17.96</v>
      </c>
      <c r="G136" s="20">
        <v>-1.13</v>
      </c>
      <c r="I136" s="20"/>
      <c r="J136" s="20"/>
      <c r="K136" s="20">
        <v>67.0</v>
      </c>
      <c r="L136" s="20" t="s">
        <v>17</v>
      </c>
      <c r="M136" s="20">
        <v>-12.0</v>
      </c>
      <c r="N136" s="20">
        <v>15.03</v>
      </c>
      <c r="P136" s="20">
        <v>-2.18</v>
      </c>
      <c r="Q136" s="20">
        <v>13.25</v>
      </c>
      <c r="AG136" s="20">
        <v>134.0</v>
      </c>
      <c r="AH136" s="20" t="s">
        <v>14</v>
      </c>
      <c r="AI136" s="20">
        <v>-13.84</v>
      </c>
      <c r="AJ136" s="20">
        <v>-18.64</v>
      </c>
      <c r="AM136" s="20">
        <v>67.0</v>
      </c>
      <c r="AN136" s="20" t="s">
        <v>17</v>
      </c>
      <c r="AO136" s="20">
        <v>-42.41</v>
      </c>
      <c r="AP136" s="20">
        <v>16.9</v>
      </c>
      <c r="AS136" s="20">
        <v>67.0</v>
      </c>
      <c r="AT136" s="20" t="s">
        <v>17</v>
      </c>
      <c r="AU136" s="20">
        <v>-5.75</v>
      </c>
      <c r="AV136" s="20">
        <v>-12.0</v>
      </c>
      <c r="BE136" s="20">
        <v>134.0</v>
      </c>
      <c r="BF136" s="20" t="s">
        <v>14</v>
      </c>
      <c r="BG136" s="20">
        <v>-35.69</v>
      </c>
      <c r="BH136" s="20">
        <v>-14.65</v>
      </c>
      <c r="BK136" s="20">
        <v>67.0</v>
      </c>
      <c r="BL136" s="20" t="s">
        <v>17</v>
      </c>
      <c r="BM136" s="20">
        <v>13.37</v>
      </c>
      <c r="BN136" s="20">
        <v>61.77</v>
      </c>
      <c r="BW136" s="20">
        <v>-50.53</v>
      </c>
      <c r="BX136" s="20">
        <v>-3.33</v>
      </c>
      <c r="BZ136" s="20">
        <v>-69.6</v>
      </c>
      <c r="CA136" s="20">
        <v>61.23</v>
      </c>
      <c r="CI136" s="20">
        <v>-49.55</v>
      </c>
      <c r="CJ136" s="20">
        <v>-55.71</v>
      </c>
      <c r="CO136" s="20">
        <v>-16.09</v>
      </c>
      <c r="CP136" s="20">
        <v>-49.19</v>
      </c>
    </row>
    <row r="137">
      <c r="A137" s="20">
        <v>-31.75</v>
      </c>
      <c r="B137" s="20">
        <v>-3.85</v>
      </c>
      <c r="D137" s="20"/>
      <c r="E137" s="20"/>
      <c r="F137" s="20">
        <v>-12.28</v>
      </c>
      <c r="G137" s="20">
        <v>-0.51</v>
      </c>
      <c r="I137" s="20"/>
      <c r="J137" s="20"/>
      <c r="K137" s="20">
        <v>68.0</v>
      </c>
      <c r="L137" s="20" t="s">
        <v>14</v>
      </c>
      <c r="M137" s="20">
        <v>11.16</v>
      </c>
      <c r="N137" s="20">
        <v>30.64</v>
      </c>
      <c r="P137" s="20">
        <v>17.24</v>
      </c>
      <c r="Q137" s="20">
        <v>4.8</v>
      </c>
      <c r="AG137" s="20">
        <v>135.0</v>
      </c>
      <c r="AH137" s="20" t="s">
        <v>14</v>
      </c>
      <c r="AI137" s="20">
        <v>-23.58</v>
      </c>
      <c r="AJ137" s="20">
        <v>-19.07</v>
      </c>
      <c r="AM137" s="20">
        <v>68.0</v>
      </c>
      <c r="AN137" s="20" t="s">
        <v>14</v>
      </c>
      <c r="AO137" s="20">
        <v>-11.27</v>
      </c>
      <c r="AP137" s="20">
        <v>-19.14</v>
      </c>
      <c r="AS137" s="20">
        <v>68.0</v>
      </c>
      <c r="AT137" s="20" t="s">
        <v>14</v>
      </c>
      <c r="AU137" s="20">
        <v>23.04</v>
      </c>
      <c r="AV137" s="20">
        <v>-46.63</v>
      </c>
      <c r="BE137" s="20">
        <v>135.0</v>
      </c>
      <c r="BF137" s="20" t="s">
        <v>14</v>
      </c>
      <c r="BG137" s="20">
        <v>5.97</v>
      </c>
      <c r="BH137" s="20">
        <v>4.98</v>
      </c>
      <c r="BK137" s="20">
        <v>68.0</v>
      </c>
      <c r="BL137" s="20" t="s">
        <v>14</v>
      </c>
      <c r="BM137" s="20">
        <v>41.96</v>
      </c>
      <c r="BN137" s="20">
        <v>45.45</v>
      </c>
      <c r="BW137" s="20">
        <v>-38.61</v>
      </c>
      <c r="BX137" s="20">
        <v>-34.49</v>
      </c>
      <c r="BZ137" s="20">
        <v>-43.61</v>
      </c>
      <c r="CA137" s="20">
        <v>40.47</v>
      </c>
      <c r="CI137" s="20">
        <v>-54.27</v>
      </c>
      <c r="CJ137" s="20">
        <v>-62.66</v>
      </c>
      <c r="CO137" s="20">
        <v>-41.18</v>
      </c>
      <c r="CP137" s="20">
        <v>-56.44</v>
      </c>
    </row>
    <row r="138">
      <c r="A138" s="20">
        <v>6.24</v>
      </c>
      <c r="B138" s="20">
        <v>64.05</v>
      </c>
      <c r="D138" s="20"/>
      <c r="E138" s="20"/>
      <c r="F138" s="20">
        <v>-31.64</v>
      </c>
      <c r="G138" s="20">
        <v>-27.93</v>
      </c>
      <c r="I138" s="20"/>
      <c r="J138" s="20"/>
      <c r="K138" s="20">
        <v>68.0</v>
      </c>
      <c r="L138" s="20" t="s">
        <v>17</v>
      </c>
      <c r="M138" s="20">
        <v>28.21</v>
      </c>
      <c r="N138" s="20">
        <v>65.98</v>
      </c>
      <c r="P138" s="20">
        <v>-18.26</v>
      </c>
      <c r="Q138" s="20">
        <v>3.12</v>
      </c>
      <c r="AG138" s="20">
        <v>136.0</v>
      </c>
      <c r="AH138" s="20" t="s">
        <v>14</v>
      </c>
      <c r="AI138" s="20">
        <v>-4.1</v>
      </c>
      <c r="AJ138" s="20">
        <v>3.97</v>
      </c>
      <c r="AM138" s="20">
        <v>68.0</v>
      </c>
      <c r="AN138" s="20" t="s">
        <v>17</v>
      </c>
      <c r="AO138" s="20">
        <v>-2.01</v>
      </c>
      <c r="AP138" s="20">
        <v>7.91</v>
      </c>
      <c r="AS138" s="20">
        <v>68.0</v>
      </c>
      <c r="AT138" s="20" t="s">
        <v>17</v>
      </c>
      <c r="AU138" s="20">
        <v>1.99</v>
      </c>
      <c r="AV138" s="20">
        <v>-31.37</v>
      </c>
      <c r="BE138" s="20">
        <v>136.0</v>
      </c>
      <c r="BF138" s="20" t="s">
        <v>14</v>
      </c>
      <c r="BG138" s="20">
        <v>15.41</v>
      </c>
      <c r="BH138" s="20">
        <v>1.69</v>
      </c>
      <c r="BK138" s="20">
        <v>68.0</v>
      </c>
      <c r="BL138" s="20" t="s">
        <v>17</v>
      </c>
      <c r="BM138" s="20">
        <v>13.52</v>
      </c>
      <c r="BN138" s="20">
        <v>39.15</v>
      </c>
      <c r="BW138" s="20">
        <v>-60.46</v>
      </c>
      <c r="BX138" s="20">
        <v>-17.51</v>
      </c>
      <c r="BZ138" s="20">
        <v>-51.34</v>
      </c>
      <c r="CA138" s="20">
        <v>37.68</v>
      </c>
      <c r="CI138" s="20">
        <v>-39.76</v>
      </c>
      <c r="CJ138" s="20">
        <v>-55.13</v>
      </c>
      <c r="CO138" s="20">
        <v>-18.02</v>
      </c>
      <c r="CP138" s="20">
        <v>-52.35</v>
      </c>
    </row>
    <row r="139">
      <c r="A139" s="20">
        <v>21.71</v>
      </c>
      <c r="B139" s="20">
        <v>82.99</v>
      </c>
      <c r="D139" s="20"/>
      <c r="E139" s="20"/>
      <c r="F139" s="20">
        <v>45.07</v>
      </c>
      <c r="G139" s="20">
        <v>29.24</v>
      </c>
      <c r="I139" s="20"/>
      <c r="J139" s="20"/>
      <c r="K139" s="20">
        <v>69.0</v>
      </c>
      <c r="L139" s="20" t="s">
        <v>14</v>
      </c>
      <c r="M139" s="20">
        <v>-23.0</v>
      </c>
      <c r="N139" s="20">
        <v>-7.62</v>
      </c>
      <c r="P139" s="20">
        <v>42.07</v>
      </c>
      <c r="Q139" s="20">
        <v>16.33</v>
      </c>
      <c r="AG139" s="20">
        <v>137.0</v>
      </c>
      <c r="AH139" s="20" t="s">
        <v>14</v>
      </c>
      <c r="AI139" s="20">
        <v>-8.18</v>
      </c>
      <c r="AJ139" s="20">
        <v>-6.36</v>
      </c>
      <c r="AM139" s="20">
        <v>69.0</v>
      </c>
      <c r="AN139" s="20" t="s">
        <v>14</v>
      </c>
      <c r="AO139" s="20">
        <v>-14.3</v>
      </c>
      <c r="AP139" s="20">
        <v>7.27</v>
      </c>
      <c r="AS139" s="20">
        <v>69.0</v>
      </c>
      <c r="AT139" s="20" t="s">
        <v>14</v>
      </c>
      <c r="AU139" s="20">
        <v>-14.21</v>
      </c>
      <c r="AV139" s="20">
        <v>-37.45</v>
      </c>
      <c r="BE139" s="20">
        <v>137.0</v>
      </c>
      <c r="BF139" s="20" t="s">
        <v>14</v>
      </c>
      <c r="BG139" s="20">
        <v>16.93</v>
      </c>
      <c r="BH139" s="20">
        <v>34.56</v>
      </c>
      <c r="BK139" s="20">
        <v>69.0</v>
      </c>
      <c r="BL139" s="20" t="s">
        <v>14</v>
      </c>
      <c r="BM139" s="20">
        <v>15.52</v>
      </c>
      <c r="BN139" s="20">
        <v>40.97</v>
      </c>
      <c r="BW139" s="20">
        <v>-53.26</v>
      </c>
      <c r="BX139" s="20">
        <v>-4.76</v>
      </c>
      <c r="BZ139" s="20">
        <v>-34.73</v>
      </c>
      <c r="CA139" s="20">
        <v>51.41</v>
      </c>
      <c r="CI139" s="20">
        <v>-45.85</v>
      </c>
      <c r="CJ139" s="20">
        <v>-36.19</v>
      </c>
      <c r="CO139" s="20">
        <v>-22.8</v>
      </c>
      <c r="CP139" s="20">
        <v>-61.47</v>
      </c>
    </row>
    <row r="140">
      <c r="A140" s="20">
        <v>16.61</v>
      </c>
      <c r="B140" s="20">
        <v>27.49</v>
      </c>
      <c r="D140" s="20"/>
      <c r="E140" s="20"/>
      <c r="F140" s="20">
        <v>-39.89</v>
      </c>
      <c r="G140" s="20">
        <v>6.21</v>
      </c>
      <c r="I140" s="20"/>
      <c r="J140" s="20"/>
      <c r="K140" s="20">
        <v>69.0</v>
      </c>
      <c r="L140" s="20" t="s">
        <v>17</v>
      </c>
      <c r="M140" s="20">
        <v>-28.16</v>
      </c>
      <c r="N140" s="20">
        <v>-42.45</v>
      </c>
      <c r="P140" s="20">
        <v>10.22</v>
      </c>
      <c r="Q140" s="20">
        <v>30.86</v>
      </c>
      <c r="AG140" s="20">
        <v>138.0</v>
      </c>
      <c r="AH140" s="20" t="s">
        <v>14</v>
      </c>
      <c r="AI140" s="20">
        <v>-22.24</v>
      </c>
      <c r="AJ140" s="20">
        <v>-26.58</v>
      </c>
      <c r="AM140" s="20">
        <v>69.0</v>
      </c>
      <c r="AN140" s="20" t="s">
        <v>17</v>
      </c>
      <c r="AO140" s="20">
        <v>0.47</v>
      </c>
      <c r="AP140" s="20">
        <v>3.9</v>
      </c>
      <c r="AS140" s="20">
        <v>69.0</v>
      </c>
      <c r="AT140" s="20" t="s">
        <v>17</v>
      </c>
      <c r="AU140" s="20">
        <v>3.28</v>
      </c>
      <c r="AV140" s="20">
        <v>-51.54</v>
      </c>
      <c r="BE140" s="20">
        <v>138.0</v>
      </c>
      <c r="BF140" s="20" t="s">
        <v>14</v>
      </c>
      <c r="BG140" s="20">
        <v>1.69</v>
      </c>
      <c r="BH140" s="20">
        <v>15.9</v>
      </c>
      <c r="BK140" s="20">
        <v>69.0</v>
      </c>
      <c r="BL140" s="20" t="s">
        <v>17</v>
      </c>
      <c r="BM140" s="20">
        <v>32.21</v>
      </c>
      <c r="BN140" s="20">
        <v>86.61</v>
      </c>
      <c r="BW140" s="20">
        <v>-44.46</v>
      </c>
      <c r="BX140" s="20">
        <v>-43.33</v>
      </c>
      <c r="BZ140" s="20">
        <v>-39.25</v>
      </c>
      <c r="CA140" s="20">
        <v>18.89</v>
      </c>
      <c r="CI140" s="20">
        <v>-50.86</v>
      </c>
      <c r="CJ140" s="20">
        <v>-60.65</v>
      </c>
      <c r="CO140" s="20">
        <v>3.92</v>
      </c>
      <c r="CP140" s="20">
        <v>-56.02</v>
      </c>
    </row>
    <row r="141">
      <c r="A141" s="20">
        <v>-28.3</v>
      </c>
      <c r="B141" s="20">
        <v>-17.84</v>
      </c>
      <c r="D141" s="20"/>
      <c r="E141" s="20"/>
      <c r="F141" s="20">
        <v>19.62</v>
      </c>
      <c r="G141" s="20">
        <v>20.62</v>
      </c>
      <c r="I141" s="20"/>
      <c r="J141" s="20"/>
      <c r="K141" s="20">
        <v>70.0</v>
      </c>
      <c r="L141" s="20" t="s">
        <v>14</v>
      </c>
      <c r="M141" s="20">
        <v>-22.44</v>
      </c>
      <c r="N141" s="20">
        <v>-14.4</v>
      </c>
      <c r="P141" s="20">
        <v>42.44</v>
      </c>
      <c r="Q141" s="20">
        <v>17.62</v>
      </c>
      <c r="AG141" s="20">
        <v>139.0</v>
      </c>
      <c r="AH141" s="20" t="s">
        <v>14</v>
      </c>
      <c r="AI141" s="20">
        <v>-13.81</v>
      </c>
      <c r="AJ141" s="20">
        <v>52.9</v>
      </c>
      <c r="AM141" s="20">
        <v>70.0</v>
      </c>
      <c r="AN141" s="20" t="s">
        <v>14</v>
      </c>
      <c r="AO141" s="20">
        <v>-9.21</v>
      </c>
      <c r="AP141" s="20">
        <v>-10.61</v>
      </c>
      <c r="AS141" s="20">
        <v>70.0</v>
      </c>
      <c r="AT141" s="20" t="s">
        <v>14</v>
      </c>
      <c r="AU141" s="20">
        <v>-13.43</v>
      </c>
      <c r="AV141" s="20">
        <v>-15.13</v>
      </c>
      <c r="BE141" s="20">
        <v>139.0</v>
      </c>
      <c r="BF141" s="20" t="s">
        <v>14</v>
      </c>
      <c r="BG141" s="20">
        <v>11.84</v>
      </c>
      <c r="BH141" s="20">
        <v>26.18</v>
      </c>
      <c r="BK141" s="20">
        <v>70.0</v>
      </c>
      <c r="BL141" s="20" t="s">
        <v>14</v>
      </c>
      <c r="BM141" s="20">
        <v>71.95</v>
      </c>
      <c r="BN141" s="20">
        <v>91.76</v>
      </c>
      <c r="BW141" s="20">
        <v>-38.93</v>
      </c>
      <c r="BX141" s="20">
        <v>-20.97</v>
      </c>
      <c r="BZ141" s="20">
        <v>-43.01</v>
      </c>
      <c r="CA141" s="20">
        <v>13.54</v>
      </c>
      <c r="CI141" s="20">
        <v>-41.04</v>
      </c>
      <c r="CJ141" s="20">
        <v>-55.76</v>
      </c>
      <c r="CO141" s="20">
        <v>-18.79</v>
      </c>
      <c r="CP141" s="20">
        <v>-52.65</v>
      </c>
    </row>
    <row r="142">
      <c r="A142" s="20">
        <v>-33.78</v>
      </c>
      <c r="B142" s="20">
        <v>45.36</v>
      </c>
      <c r="D142" s="20"/>
      <c r="E142" s="20"/>
      <c r="F142" s="20">
        <v>-3.68</v>
      </c>
      <c r="G142" s="20">
        <v>-8.17</v>
      </c>
      <c r="I142" s="20"/>
      <c r="J142" s="20"/>
      <c r="K142" s="20">
        <v>70.0</v>
      </c>
      <c r="L142" s="20" t="s">
        <v>17</v>
      </c>
      <c r="M142" s="20">
        <v>-40.19</v>
      </c>
      <c r="N142" s="20">
        <v>-17.35</v>
      </c>
      <c r="P142" s="20">
        <v>20.96</v>
      </c>
      <c r="Q142" s="20">
        <v>35.39</v>
      </c>
      <c r="AG142" s="20">
        <v>140.0</v>
      </c>
      <c r="AH142" s="20" t="s">
        <v>14</v>
      </c>
      <c r="AI142" s="20">
        <v>30.91</v>
      </c>
      <c r="AJ142" s="20">
        <v>33.47</v>
      </c>
      <c r="AM142" s="20">
        <v>70.0</v>
      </c>
      <c r="AN142" s="20" t="s">
        <v>17</v>
      </c>
      <c r="AO142" s="20">
        <v>-10.75</v>
      </c>
      <c r="AP142" s="20">
        <v>-27.1</v>
      </c>
      <c r="AS142" s="20">
        <v>70.0</v>
      </c>
      <c r="AT142" s="20" t="s">
        <v>17</v>
      </c>
      <c r="AU142" s="20">
        <v>4.39</v>
      </c>
      <c r="AV142" s="20">
        <v>-51.9</v>
      </c>
      <c r="BE142" s="20">
        <v>140.0</v>
      </c>
      <c r="BF142" s="20" t="s">
        <v>14</v>
      </c>
      <c r="BG142" s="20">
        <v>-11.47</v>
      </c>
      <c r="BH142" s="20">
        <v>-6.78</v>
      </c>
      <c r="BK142" s="20">
        <v>70.0</v>
      </c>
      <c r="BL142" s="20" t="s">
        <v>17</v>
      </c>
      <c r="BM142" s="20">
        <v>29.26</v>
      </c>
      <c r="BN142" s="20">
        <v>73.95</v>
      </c>
      <c r="BW142" s="20">
        <v>-51.61</v>
      </c>
      <c r="BX142" s="20">
        <v>-4.25</v>
      </c>
      <c r="BZ142" s="20">
        <v>-45.48</v>
      </c>
      <c r="CA142" s="20">
        <v>-4.9</v>
      </c>
      <c r="CI142" s="20">
        <v>-52.3</v>
      </c>
      <c r="CJ142" s="20">
        <v>-64.77</v>
      </c>
      <c r="CO142" s="20">
        <v>-23.28</v>
      </c>
      <c r="CP142" s="20">
        <v>-39.03</v>
      </c>
    </row>
    <row r="143">
      <c r="A143" s="20">
        <v>-22.04</v>
      </c>
      <c r="B143" s="20">
        <v>27.16</v>
      </c>
      <c r="D143" s="20"/>
      <c r="E143" s="20"/>
      <c r="F143" s="20">
        <v>12.85</v>
      </c>
      <c r="G143" s="20">
        <v>10.78</v>
      </c>
      <c r="I143" s="20"/>
      <c r="J143" s="20"/>
      <c r="K143" s="20">
        <v>71.0</v>
      </c>
      <c r="L143" s="20" t="s">
        <v>14</v>
      </c>
      <c r="M143" s="20">
        <v>17.49</v>
      </c>
      <c r="N143" s="20">
        <v>19.32</v>
      </c>
      <c r="P143" s="20">
        <v>49.36</v>
      </c>
      <c r="Q143" s="20">
        <v>29.04</v>
      </c>
      <c r="AG143" s="20">
        <v>141.0</v>
      </c>
      <c r="AH143" s="20" t="s">
        <v>14</v>
      </c>
      <c r="AI143" s="20">
        <v>-2.78</v>
      </c>
      <c r="AJ143" s="20">
        <v>6.58</v>
      </c>
      <c r="AM143" s="20">
        <v>71.0</v>
      </c>
      <c r="AN143" s="20" t="s">
        <v>14</v>
      </c>
      <c r="AO143" s="20">
        <v>-3.74</v>
      </c>
      <c r="AP143" s="20">
        <v>56.65</v>
      </c>
      <c r="AS143" s="20">
        <v>71.0</v>
      </c>
      <c r="AT143" s="20" t="s">
        <v>14</v>
      </c>
      <c r="AU143" s="20">
        <v>-9.21</v>
      </c>
      <c r="AV143" s="20">
        <v>-43.18</v>
      </c>
      <c r="BE143" s="20">
        <v>141.0</v>
      </c>
      <c r="BF143" s="20" t="s">
        <v>14</v>
      </c>
      <c r="BG143" s="20">
        <v>1.06</v>
      </c>
      <c r="BH143" s="20">
        <v>-2.26</v>
      </c>
      <c r="BK143" s="20">
        <v>71.0</v>
      </c>
      <c r="BL143" s="20" t="s">
        <v>14</v>
      </c>
      <c r="BM143" s="20">
        <v>42.07</v>
      </c>
      <c r="BN143" s="20">
        <v>45.06</v>
      </c>
      <c r="BW143" s="20">
        <v>-29.31</v>
      </c>
      <c r="BX143" s="20">
        <v>0.64</v>
      </c>
      <c r="BZ143" s="20">
        <v>-42.59</v>
      </c>
      <c r="CA143" s="20">
        <v>25.4</v>
      </c>
      <c r="CI143" s="20">
        <v>-44.76</v>
      </c>
      <c r="CJ143" s="20">
        <v>-32.18</v>
      </c>
      <c r="CO143" s="20">
        <v>-29.36</v>
      </c>
      <c r="CP143" s="20">
        <v>-52.51</v>
      </c>
    </row>
    <row r="144">
      <c r="A144" s="20">
        <v>-27.67</v>
      </c>
      <c r="B144" s="20">
        <v>57.9</v>
      </c>
      <c r="D144" s="20"/>
      <c r="E144" s="20"/>
      <c r="F144" s="20">
        <v>-13.94</v>
      </c>
      <c r="G144" s="20">
        <v>64.86</v>
      </c>
      <c r="I144" s="20"/>
      <c r="J144" s="20"/>
      <c r="K144" s="20">
        <v>71.0</v>
      </c>
      <c r="L144" s="20" t="s">
        <v>17</v>
      </c>
      <c r="M144" s="20">
        <v>-13.49</v>
      </c>
      <c r="N144" s="20">
        <v>108.1</v>
      </c>
      <c r="P144" s="20">
        <v>10.68</v>
      </c>
      <c r="Q144" s="20">
        <v>29.24</v>
      </c>
      <c r="AG144" s="20">
        <v>142.0</v>
      </c>
      <c r="AH144" s="20" t="s">
        <v>14</v>
      </c>
      <c r="AI144" s="20">
        <v>-28.99</v>
      </c>
      <c r="AJ144" s="20">
        <v>-7.65</v>
      </c>
      <c r="AM144" s="20">
        <v>71.0</v>
      </c>
      <c r="AN144" s="20" t="s">
        <v>17</v>
      </c>
      <c r="AO144" s="20">
        <v>-13.29</v>
      </c>
      <c r="AP144" s="20">
        <v>8.49</v>
      </c>
      <c r="AS144" s="20">
        <v>71.0</v>
      </c>
      <c r="AT144" s="20" t="s">
        <v>17</v>
      </c>
      <c r="AU144" s="20">
        <v>-19.44</v>
      </c>
      <c r="AV144" s="20">
        <v>-59.73</v>
      </c>
      <c r="BE144" s="20">
        <v>142.0</v>
      </c>
      <c r="BF144" s="20" t="s">
        <v>14</v>
      </c>
      <c r="BG144" s="20">
        <v>15.18</v>
      </c>
      <c r="BH144" s="20">
        <v>34.67</v>
      </c>
      <c r="BK144" s="20">
        <v>71.0</v>
      </c>
      <c r="BL144" s="20" t="s">
        <v>17</v>
      </c>
      <c r="BM144" s="20">
        <v>71.25</v>
      </c>
      <c r="BN144" s="20">
        <v>104.94</v>
      </c>
      <c r="BW144" s="20">
        <v>-54.72</v>
      </c>
      <c r="BX144" s="20">
        <v>-22.87</v>
      </c>
      <c r="BZ144" s="20">
        <v>-48.69</v>
      </c>
      <c r="CA144" s="20">
        <v>-9.93</v>
      </c>
      <c r="CI144" s="20">
        <v>-46.46</v>
      </c>
      <c r="CJ144" s="20">
        <v>-50.51</v>
      </c>
      <c r="CO144" s="20">
        <v>-6.63</v>
      </c>
      <c r="CP144" s="20">
        <v>-54.85</v>
      </c>
    </row>
    <row r="145">
      <c r="A145" s="20">
        <v>-8.66</v>
      </c>
      <c r="B145" s="20">
        <v>-31.22</v>
      </c>
      <c r="D145" s="20"/>
      <c r="E145" s="20"/>
      <c r="F145" s="20">
        <v>-23.18</v>
      </c>
      <c r="G145" s="20">
        <v>31.34</v>
      </c>
      <c r="I145" s="20"/>
      <c r="J145" s="20"/>
      <c r="K145" s="20">
        <v>72.0</v>
      </c>
      <c r="L145" s="20" t="s">
        <v>14</v>
      </c>
      <c r="M145" s="20">
        <v>23.89</v>
      </c>
      <c r="N145" s="20">
        <v>4.14</v>
      </c>
      <c r="P145" s="20">
        <v>33.37</v>
      </c>
      <c r="Q145" s="20">
        <v>14.3</v>
      </c>
      <c r="AG145" s="20">
        <v>143.0</v>
      </c>
      <c r="AH145" s="20" t="s">
        <v>14</v>
      </c>
      <c r="AI145" s="20">
        <v>18.84</v>
      </c>
      <c r="AJ145" s="20">
        <v>-11.69</v>
      </c>
      <c r="AM145" s="20">
        <v>72.0</v>
      </c>
      <c r="AN145" s="20" t="s">
        <v>14</v>
      </c>
      <c r="AO145" s="20">
        <v>-3.31</v>
      </c>
      <c r="AP145" s="20">
        <v>-7.23</v>
      </c>
      <c r="AS145" s="20">
        <v>72.0</v>
      </c>
      <c r="AT145" s="20" t="s">
        <v>14</v>
      </c>
      <c r="AU145" s="20">
        <v>29.08</v>
      </c>
      <c r="AV145" s="20">
        <v>-36.74</v>
      </c>
      <c r="BE145" s="20">
        <v>143.0</v>
      </c>
      <c r="BF145" s="20" t="s">
        <v>14</v>
      </c>
      <c r="BG145" s="20">
        <v>-1.32</v>
      </c>
      <c r="BH145" s="20">
        <v>3.78</v>
      </c>
      <c r="BK145" s="20">
        <v>72.0</v>
      </c>
      <c r="BL145" s="20" t="s">
        <v>14</v>
      </c>
      <c r="BM145" s="20">
        <v>66.26</v>
      </c>
      <c r="BN145" s="20">
        <v>71.45</v>
      </c>
      <c r="BW145" s="20">
        <v>-38.37</v>
      </c>
      <c r="BX145" s="20">
        <v>-2.5</v>
      </c>
      <c r="BZ145" s="20">
        <v>-37.55</v>
      </c>
      <c r="CA145" s="20">
        <v>11.08</v>
      </c>
      <c r="CI145" s="20">
        <v>-64.43</v>
      </c>
      <c r="CJ145" s="20">
        <v>-63.59</v>
      </c>
      <c r="CO145" s="20">
        <v>-23.78</v>
      </c>
      <c r="CP145" s="20">
        <v>-46.22</v>
      </c>
    </row>
    <row r="146">
      <c r="A146" s="20">
        <v>-13.69</v>
      </c>
      <c r="B146" s="20">
        <v>19.81</v>
      </c>
      <c r="D146" s="20"/>
      <c r="E146" s="20"/>
      <c r="F146" s="20">
        <v>-22.29</v>
      </c>
      <c r="G146" s="20">
        <v>22.07</v>
      </c>
      <c r="I146" s="20"/>
      <c r="J146" s="20"/>
      <c r="K146" s="20">
        <v>72.0</v>
      </c>
      <c r="L146" s="20" t="s">
        <v>17</v>
      </c>
      <c r="M146" s="20">
        <v>-8.72</v>
      </c>
      <c r="N146" s="20">
        <v>61.37</v>
      </c>
      <c r="P146" s="20">
        <v>29.81</v>
      </c>
      <c r="Q146" s="20">
        <v>46.57</v>
      </c>
      <c r="AG146" s="20">
        <v>144.0</v>
      </c>
      <c r="AH146" s="20" t="s">
        <v>14</v>
      </c>
      <c r="AI146" s="20">
        <v>-7.45</v>
      </c>
      <c r="AJ146" s="20">
        <v>-10.11</v>
      </c>
      <c r="AM146" s="20">
        <v>72.0</v>
      </c>
      <c r="AN146" s="20" t="s">
        <v>17</v>
      </c>
      <c r="AO146" s="20">
        <v>-12.95</v>
      </c>
      <c r="AP146" s="20">
        <v>-39.01</v>
      </c>
      <c r="AS146" s="20">
        <v>72.0</v>
      </c>
      <c r="AT146" s="20" t="s">
        <v>17</v>
      </c>
      <c r="AU146" s="20">
        <v>-27.42</v>
      </c>
      <c r="AV146" s="20">
        <v>-32.74</v>
      </c>
      <c r="BE146" s="20">
        <v>144.0</v>
      </c>
      <c r="BF146" s="20" t="s">
        <v>14</v>
      </c>
      <c r="BG146" s="20">
        <v>7.3</v>
      </c>
      <c r="BH146" s="20">
        <v>28.24</v>
      </c>
      <c r="BK146" s="20">
        <v>72.0</v>
      </c>
      <c r="BL146" s="20" t="s">
        <v>17</v>
      </c>
      <c r="BM146" s="20">
        <v>64.74</v>
      </c>
      <c r="BN146" s="20">
        <v>96.41</v>
      </c>
      <c r="BW146" s="20">
        <v>-17.11</v>
      </c>
      <c r="BX146" s="20">
        <v>-36.3</v>
      </c>
      <c r="BZ146" s="20">
        <v>-55.7</v>
      </c>
      <c r="CA146" s="20">
        <v>18.77</v>
      </c>
      <c r="CI146" s="20">
        <v>-34.92</v>
      </c>
      <c r="CJ146" s="20">
        <v>-30.23</v>
      </c>
      <c r="CO146" s="20">
        <v>-40.81</v>
      </c>
      <c r="CP146" s="20">
        <v>-53.08</v>
      </c>
    </row>
    <row r="147">
      <c r="A147" s="20">
        <v>-14.45</v>
      </c>
      <c r="B147" s="20">
        <v>23.53</v>
      </c>
      <c r="D147" s="20"/>
      <c r="E147" s="20"/>
      <c r="F147" s="20">
        <v>12.58</v>
      </c>
      <c r="G147" s="20">
        <v>-22.97</v>
      </c>
      <c r="I147" s="20"/>
      <c r="J147" s="20"/>
      <c r="K147" s="20">
        <v>73.0</v>
      </c>
      <c r="L147" s="20" t="s">
        <v>14</v>
      </c>
      <c r="M147" s="20">
        <v>70.01</v>
      </c>
      <c r="N147" s="20">
        <v>-13.64</v>
      </c>
      <c r="P147" s="20">
        <v>-14.15</v>
      </c>
      <c r="Q147" s="20">
        <v>40.49</v>
      </c>
      <c r="AG147" s="20">
        <v>145.0</v>
      </c>
      <c r="AH147" s="20" t="s">
        <v>14</v>
      </c>
      <c r="AI147" s="20">
        <v>-41.85</v>
      </c>
      <c r="AJ147" s="20">
        <v>-13.48</v>
      </c>
      <c r="AM147" s="20">
        <v>73.0</v>
      </c>
      <c r="AN147" s="20" t="s">
        <v>14</v>
      </c>
      <c r="AO147" s="20">
        <v>-30.73</v>
      </c>
      <c r="AP147" s="20">
        <v>0.76</v>
      </c>
      <c r="AS147" s="20">
        <v>73.0</v>
      </c>
      <c r="AT147" s="20" t="s">
        <v>14</v>
      </c>
      <c r="AU147" s="20">
        <v>39.28</v>
      </c>
      <c r="AV147" s="20">
        <v>-56.65</v>
      </c>
      <c r="BE147" s="20">
        <v>145.0</v>
      </c>
      <c r="BF147" s="20" t="s">
        <v>14</v>
      </c>
      <c r="BG147" s="20">
        <v>1.45</v>
      </c>
      <c r="BH147" s="20">
        <v>-1.06</v>
      </c>
      <c r="BK147" s="20">
        <v>73.0</v>
      </c>
      <c r="BL147" s="20" t="s">
        <v>14</v>
      </c>
      <c r="BM147" s="20">
        <v>50.89</v>
      </c>
      <c r="BN147" s="20">
        <v>86.85</v>
      </c>
      <c r="BW147" s="20">
        <v>-71.1</v>
      </c>
      <c r="BX147" s="20">
        <v>-37.29</v>
      </c>
      <c r="BZ147" s="20">
        <v>-52.55</v>
      </c>
      <c r="CA147" s="20">
        <v>-14.17</v>
      </c>
      <c r="CI147" s="20">
        <v>-48.26</v>
      </c>
      <c r="CJ147" s="20">
        <v>-47.11</v>
      </c>
      <c r="CO147" s="20">
        <v>-27.92</v>
      </c>
      <c r="CP147" s="20">
        <v>-59.98</v>
      </c>
    </row>
    <row r="148">
      <c r="A148" s="20">
        <v>-36.98</v>
      </c>
      <c r="B148" s="20">
        <v>-48.0</v>
      </c>
      <c r="D148" s="20"/>
      <c r="E148" s="20"/>
      <c r="F148" s="20">
        <v>-5.89</v>
      </c>
      <c r="G148" s="20">
        <v>-35.53</v>
      </c>
      <c r="I148" s="20"/>
      <c r="J148" s="20"/>
      <c r="K148" s="20">
        <v>73.0</v>
      </c>
      <c r="L148" s="20" t="s">
        <v>17</v>
      </c>
      <c r="M148" s="20">
        <v>-18.73</v>
      </c>
      <c r="N148" s="20">
        <v>-35.36</v>
      </c>
      <c r="P148" s="20">
        <v>34.49</v>
      </c>
      <c r="Q148" s="20">
        <v>168.26</v>
      </c>
      <c r="AG148" s="20">
        <v>146.0</v>
      </c>
      <c r="AH148" s="20" t="s">
        <v>14</v>
      </c>
      <c r="AI148" s="20">
        <v>-24.18</v>
      </c>
      <c r="AJ148" s="20">
        <v>-8.91</v>
      </c>
      <c r="AM148" s="20">
        <v>73.0</v>
      </c>
      <c r="AN148" s="20" t="s">
        <v>17</v>
      </c>
      <c r="AO148" s="20">
        <v>-26.35</v>
      </c>
      <c r="AP148" s="20">
        <v>35.32</v>
      </c>
      <c r="AS148" s="20">
        <v>73.0</v>
      </c>
      <c r="AT148" s="20" t="s">
        <v>17</v>
      </c>
      <c r="AU148" s="20">
        <v>-0.59</v>
      </c>
      <c r="AV148" s="20">
        <v>-27.82</v>
      </c>
      <c r="BE148" s="20">
        <v>146.0</v>
      </c>
      <c r="BF148" s="20" t="s">
        <v>14</v>
      </c>
      <c r="BG148" s="20">
        <v>-7.89</v>
      </c>
      <c r="BH148" s="20">
        <v>-2.26</v>
      </c>
      <c r="BK148" s="20">
        <v>73.0</v>
      </c>
      <c r="BL148" s="20" t="s">
        <v>17</v>
      </c>
      <c r="BM148" s="20">
        <v>20.47</v>
      </c>
      <c r="BN148" s="20">
        <v>62.36</v>
      </c>
      <c r="BW148" s="20">
        <v>-71.91</v>
      </c>
      <c r="BX148" s="20">
        <v>-30.71</v>
      </c>
      <c r="BZ148" s="20">
        <v>-57.6</v>
      </c>
      <c r="CA148" s="20">
        <v>-32.08</v>
      </c>
      <c r="CI148" s="20">
        <v>-62.41</v>
      </c>
      <c r="CJ148" s="20">
        <v>-70.77</v>
      </c>
      <c r="CO148" s="20">
        <v>-27.9</v>
      </c>
      <c r="CP148" s="20">
        <v>-57.85</v>
      </c>
    </row>
    <row r="149">
      <c r="A149" s="20">
        <v>-60.34</v>
      </c>
      <c r="B149" s="20">
        <v>46.92</v>
      </c>
      <c r="D149" s="20"/>
      <c r="E149" s="20"/>
      <c r="F149" s="20">
        <v>6.97</v>
      </c>
      <c r="G149" s="20">
        <v>1.55</v>
      </c>
      <c r="I149" s="20"/>
      <c r="J149" s="20"/>
      <c r="K149" s="20">
        <v>74.0</v>
      </c>
      <c r="L149" s="20" t="s">
        <v>14</v>
      </c>
      <c r="M149" s="20">
        <v>-36.24</v>
      </c>
      <c r="N149" s="20">
        <v>-23.68</v>
      </c>
      <c r="P149" s="20">
        <v>1.19</v>
      </c>
      <c r="Q149" s="20">
        <v>3.11</v>
      </c>
      <c r="AG149" s="20">
        <v>147.0</v>
      </c>
      <c r="AH149" s="20" t="s">
        <v>14</v>
      </c>
      <c r="AI149" s="20">
        <v>-20.72</v>
      </c>
      <c r="AJ149" s="20">
        <v>-14.93</v>
      </c>
      <c r="AM149" s="20">
        <v>74.0</v>
      </c>
      <c r="AN149" s="20" t="s">
        <v>14</v>
      </c>
      <c r="AO149" s="20">
        <v>-36.78</v>
      </c>
      <c r="AP149" s="20">
        <v>-25.73</v>
      </c>
      <c r="AS149" s="20">
        <v>74.0</v>
      </c>
      <c r="AT149" s="20" t="s">
        <v>14</v>
      </c>
      <c r="AU149" s="20">
        <v>-4.71</v>
      </c>
      <c r="AV149" s="20">
        <v>-59.02</v>
      </c>
      <c r="BE149" s="20">
        <v>147.0</v>
      </c>
      <c r="BF149" s="20" t="s">
        <v>14</v>
      </c>
      <c r="BG149" s="20">
        <v>8.76</v>
      </c>
      <c r="BH149" s="20">
        <v>13.34</v>
      </c>
      <c r="BK149" s="20">
        <v>74.0</v>
      </c>
      <c r="BL149" s="20" t="s">
        <v>14</v>
      </c>
      <c r="BM149" s="20">
        <v>70.33</v>
      </c>
      <c r="BN149" s="20">
        <v>136.43</v>
      </c>
      <c r="BW149" s="20">
        <v>-40.08</v>
      </c>
      <c r="BX149" s="20">
        <v>-38.8</v>
      </c>
      <c r="BZ149" s="20">
        <v>-29.5</v>
      </c>
      <c r="CA149" s="20">
        <v>104.58</v>
      </c>
      <c r="CI149" s="20">
        <v>-48.0</v>
      </c>
      <c r="CJ149" s="20">
        <v>-52.54</v>
      </c>
      <c r="CO149" s="20">
        <v>-2.56</v>
      </c>
      <c r="CP149" s="20">
        <v>-46.89</v>
      </c>
    </row>
    <row r="150">
      <c r="A150" s="20">
        <v>-42.79</v>
      </c>
      <c r="B150" s="20">
        <v>-4.46</v>
      </c>
      <c r="D150" s="20"/>
      <c r="E150" s="20"/>
      <c r="F150" s="20">
        <v>42.12</v>
      </c>
      <c r="G150" s="20">
        <v>-33.4</v>
      </c>
      <c r="I150" s="20"/>
      <c r="J150" s="20"/>
      <c r="K150" s="20">
        <v>74.0</v>
      </c>
      <c r="L150" s="20" t="s">
        <v>17</v>
      </c>
      <c r="M150" s="20">
        <v>-16.91</v>
      </c>
      <c r="N150" s="20">
        <v>-29.7</v>
      </c>
      <c r="P150" s="20">
        <v>-11.18</v>
      </c>
      <c r="Q150" s="20">
        <v>36.37</v>
      </c>
      <c r="AG150" s="20">
        <v>148.0</v>
      </c>
      <c r="AH150" s="20" t="s">
        <v>14</v>
      </c>
      <c r="AI150" s="20">
        <v>-24.77</v>
      </c>
      <c r="AJ150" s="20">
        <v>-11.4</v>
      </c>
      <c r="AM150" s="20">
        <v>74.0</v>
      </c>
      <c r="AN150" s="20" t="s">
        <v>17</v>
      </c>
      <c r="AO150" s="20">
        <v>22.87</v>
      </c>
      <c r="AP150" s="20">
        <v>-25.63</v>
      </c>
      <c r="AS150" s="20">
        <v>74.0</v>
      </c>
      <c r="AT150" s="20" t="s">
        <v>17</v>
      </c>
      <c r="AU150" s="20">
        <v>-35.84</v>
      </c>
      <c r="AV150" s="20">
        <v>-62.75</v>
      </c>
      <c r="BE150" s="20">
        <v>148.0</v>
      </c>
      <c r="BF150" s="20" t="s">
        <v>14</v>
      </c>
      <c r="BG150" s="20">
        <v>29.34</v>
      </c>
      <c r="BH150" s="20">
        <v>-24.55</v>
      </c>
      <c r="BK150" s="20">
        <v>74.0</v>
      </c>
      <c r="BL150" s="20" t="s">
        <v>17</v>
      </c>
      <c r="BM150" s="20">
        <v>24.41</v>
      </c>
      <c r="BN150" s="20">
        <v>46.38</v>
      </c>
      <c r="BW150" s="20">
        <v>-35.52</v>
      </c>
      <c r="BX150" s="20">
        <v>-11.77</v>
      </c>
      <c r="BZ150" s="20">
        <v>-69.44</v>
      </c>
      <c r="CA150" s="20">
        <v>-21.94</v>
      </c>
      <c r="CI150" s="20">
        <v>-57.97</v>
      </c>
      <c r="CJ150" s="20">
        <v>-37.7</v>
      </c>
      <c r="CO150" s="20">
        <v>-4.97</v>
      </c>
      <c r="CP150" s="20">
        <v>-42.58</v>
      </c>
    </row>
    <row r="151">
      <c r="A151" s="20">
        <v>-28.54</v>
      </c>
      <c r="B151" s="20">
        <v>23.39</v>
      </c>
      <c r="D151" s="20"/>
      <c r="E151" s="20"/>
      <c r="F151" s="20">
        <v>-20.16</v>
      </c>
      <c r="G151" s="20">
        <v>-41.0</v>
      </c>
      <c r="I151" s="20"/>
      <c r="J151" s="20"/>
      <c r="K151" s="20">
        <v>75.0</v>
      </c>
      <c r="L151" s="20" t="s">
        <v>14</v>
      </c>
      <c r="M151" s="20">
        <v>36.52</v>
      </c>
      <c r="N151" s="20">
        <v>5.38</v>
      </c>
      <c r="P151" s="20">
        <v>-10.97</v>
      </c>
      <c r="Q151" s="20">
        <v>147.0</v>
      </c>
      <c r="AG151" s="20">
        <v>149.0</v>
      </c>
      <c r="AH151" s="20" t="s">
        <v>14</v>
      </c>
      <c r="AI151" s="20">
        <v>-17.58</v>
      </c>
      <c r="AJ151" s="20">
        <v>-3.01</v>
      </c>
      <c r="AM151" s="20">
        <v>75.0</v>
      </c>
      <c r="AN151" s="20" t="s">
        <v>14</v>
      </c>
      <c r="AO151" s="20">
        <v>21.97</v>
      </c>
      <c r="AP151" s="20">
        <v>-28.71</v>
      </c>
      <c r="AS151" s="20">
        <v>75.0</v>
      </c>
      <c r="AT151" s="20" t="s">
        <v>14</v>
      </c>
      <c r="AU151" s="20">
        <v>-13.05</v>
      </c>
      <c r="AV151" s="20">
        <v>-76.15</v>
      </c>
      <c r="BE151" s="20">
        <v>149.0</v>
      </c>
      <c r="BF151" s="20" t="s">
        <v>14</v>
      </c>
      <c r="BG151" s="20">
        <v>-2.45</v>
      </c>
      <c r="BH151" s="20">
        <v>-16.77</v>
      </c>
      <c r="BK151" s="20">
        <v>75.0</v>
      </c>
      <c r="BL151" s="20" t="s">
        <v>14</v>
      </c>
      <c r="BM151" s="20">
        <v>5.88</v>
      </c>
      <c r="BN151" s="20">
        <v>16.97</v>
      </c>
      <c r="BW151" s="20">
        <v>-22.92</v>
      </c>
      <c r="BX151" s="20">
        <v>-21.22</v>
      </c>
      <c r="BZ151" s="20">
        <v>-51.31</v>
      </c>
      <c r="CA151" s="20">
        <v>5.22</v>
      </c>
      <c r="CI151" s="20">
        <v>-39.28</v>
      </c>
      <c r="CJ151" s="20">
        <v>-57.92</v>
      </c>
      <c r="CO151" s="20">
        <v>-11.07</v>
      </c>
      <c r="CP151" s="20">
        <v>-47.96</v>
      </c>
    </row>
    <row r="152">
      <c r="A152" s="20">
        <v>-42.34</v>
      </c>
      <c r="B152" s="20">
        <v>162.31</v>
      </c>
      <c r="D152" s="20"/>
      <c r="E152" s="20"/>
      <c r="F152" s="20">
        <v>-33.93</v>
      </c>
      <c r="G152" s="20">
        <v>-33.74</v>
      </c>
      <c r="I152" s="20"/>
      <c r="J152" s="20"/>
      <c r="K152" s="20">
        <v>75.0</v>
      </c>
      <c r="L152" s="20" t="s">
        <v>17</v>
      </c>
      <c r="M152" s="20">
        <v>22.89</v>
      </c>
      <c r="N152" s="20">
        <v>-14.87</v>
      </c>
      <c r="P152" s="20">
        <v>-20.17</v>
      </c>
      <c r="Q152" s="20">
        <v>33.44</v>
      </c>
      <c r="AG152" s="20">
        <v>150.0</v>
      </c>
      <c r="AH152" s="20" t="s">
        <v>14</v>
      </c>
      <c r="AI152" s="20">
        <v>-3.74</v>
      </c>
      <c r="AJ152" s="20">
        <v>2.37</v>
      </c>
      <c r="AM152" s="20">
        <v>75.0</v>
      </c>
      <c r="AN152" s="20" t="s">
        <v>17</v>
      </c>
      <c r="AO152" s="20">
        <v>59.59</v>
      </c>
      <c r="AP152" s="20">
        <v>-20.94</v>
      </c>
      <c r="AS152" s="20">
        <v>75.0</v>
      </c>
      <c r="AT152" s="20" t="s">
        <v>17</v>
      </c>
      <c r="AU152" s="20">
        <v>-35.5</v>
      </c>
      <c r="AV152" s="20">
        <v>-42.9</v>
      </c>
      <c r="BE152" s="20">
        <v>150.0</v>
      </c>
      <c r="BF152" s="20" t="s">
        <v>14</v>
      </c>
      <c r="BG152" s="20">
        <v>11.64</v>
      </c>
      <c r="BH152" s="20">
        <v>0.64</v>
      </c>
      <c r="BK152" s="20">
        <v>75.0</v>
      </c>
      <c r="BL152" s="20" t="s">
        <v>17</v>
      </c>
      <c r="BM152" s="20">
        <v>104.92</v>
      </c>
      <c r="BN152" s="20">
        <v>18.1</v>
      </c>
      <c r="BW152" s="20">
        <v>-37.96</v>
      </c>
      <c r="BX152" s="20">
        <v>-30.69</v>
      </c>
      <c r="BZ152" s="20">
        <v>-64.04</v>
      </c>
      <c r="CA152" s="20">
        <v>72.31</v>
      </c>
      <c r="CI152" s="20">
        <v>-68.18</v>
      </c>
      <c r="CJ152" s="20">
        <v>-53.06</v>
      </c>
      <c r="CO152" s="20">
        <v>-4.27</v>
      </c>
      <c r="CP152" s="20">
        <v>-36.31</v>
      </c>
    </row>
    <row r="153">
      <c r="A153" s="20">
        <v>-23.62</v>
      </c>
      <c r="B153" s="20">
        <v>27.05</v>
      </c>
      <c r="D153" s="20"/>
      <c r="E153" s="20"/>
      <c r="F153" s="20">
        <v>8.98</v>
      </c>
      <c r="G153" s="20">
        <v>7.57</v>
      </c>
      <c r="I153" s="20"/>
      <c r="J153" s="20"/>
      <c r="K153" s="20">
        <v>76.0</v>
      </c>
      <c r="L153" s="20" t="s">
        <v>14</v>
      </c>
      <c r="M153" s="20">
        <v>-7.66</v>
      </c>
      <c r="N153" s="20">
        <v>-9.36</v>
      </c>
      <c r="P153" s="20">
        <v>3.7</v>
      </c>
      <c r="Q153" s="20">
        <v>0.32</v>
      </c>
      <c r="AG153" s="20">
        <v>151.0</v>
      </c>
      <c r="AH153" s="20" t="s">
        <v>14</v>
      </c>
      <c r="AI153" s="20">
        <v>-41.39</v>
      </c>
      <c r="AJ153" s="20">
        <v>-15.18</v>
      </c>
      <c r="AM153" s="20">
        <v>76.0</v>
      </c>
      <c r="AN153" s="20" t="s">
        <v>14</v>
      </c>
      <c r="AO153" s="20">
        <v>-50.92</v>
      </c>
      <c r="AP153" s="20">
        <v>-30.65</v>
      </c>
      <c r="AS153" s="20">
        <v>76.0</v>
      </c>
      <c r="AT153" s="20" t="s">
        <v>14</v>
      </c>
      <c r="AU153" s="20">
        <v>-47.3</v>
      </c>
      <c r="AV153" s="20">
        <v>-55.8</v>
      </c>
      <c r="BE153" s="20">
        <v>151.0</v>
      </c>
      <c r="BF153" s="20" t="s">
        <v>14</v>
      </c>
      <c r="BG153" s="20">
        <v>-26.62</v>
      </c>
      <c r="BH153" s="20">
        <v>18.78</v>
      </c>
      <c r="BK153" s="20">
        <v>76.0</v>
      </c>
      <c r="BL153" s="20" t="s">
        <v>14</v>
      </c>
      <c r="BM153" s="20">
        <v>142.23</v>
      </c>
      <c r="BN153" s="20">
        <v>35.41</v>
      </c>
      <c r="BW153" s="20">
        <v>-49.91</v>
      </c>
      <c r="BX153" s="20">
        <v>-18.62</v>
      </c>
      <c r="BZ153" s="20">
        <v>-36.92</v>
      </c>
      <c r="CA153" s="20">
        <v>123.84</v>
      </c>
      <c r="CI153" s="20">
        <v>-52.09</v>
      </c>
      <c r="CJ153" s="20">
        <v>-65.34</v>
      </c>
      <c r="CO153" s="20">
        <v>-15.09</v>
      </c>
      <c r="CP153" s="20">
        <v>-66.24</v>
      </c>
    </row>
    <row r="154">
      <c r="A154" s="20">
        <v>-12.31</v>
      </c>
      <c r="B154" s="20">
        <v>22.79</v>
      </c>
      <c r="D154" s="20"/>
      <c r="E154" s="20"/>
      <c r="F154" s="20">
        <v>-17.7</v>
      </c>
      <c r="G154" s="20">
        <v>-27.13</v>
      </c>
      <c r="I154" s="20"/>
      <c r="J154" s="20"/>
      <c r="K154" s="20">
        <v>76.0</v>
      </c>
      <c r="L154" s="20" t="s">
        <v>17</v>
      </c>
      <c r="M154" s="20">
        <v>7.61</v>
      </c>
      <c r="N154" s="20">
        <v>10.19</v>
      </c>
      <c r="P154" s="20">
        <v>54.92</v>
      </c>
      <c r="Q154" s="20">
        <v>-31.78</v>
      </c>
      <c r="AG154" s="20">
        <v>152.0</v>
      </c>
      <c r="AH154" s="20" t="s">
        <v>14</v>
      </c>
      <c r="AI154" s="20">
        <v>-14.68</v>
      </c>
      <c r="AJ154" s="20">
        <v>-7.58</v>
      </c>
      <c r="AM154" s="20">
        <v>76.0</v>
      </c>
      <c r="AN154" s="20" t="s">
        <v>17</v>
      </c>
      <c r="AO154" s="20">
        <v>-28.21</v>
      </c>
      <c r="AP154" s="20">
        <v>-20.54</v>
      </c>
      <c r="AS154" s="20">
        <v>76.0</v>
      </c>
      <c r="AT154" s="20" t="s">
        <v>17</v>
      </c>
      <c r="AU154" s="20">
        <v>-51.33</v>
      </c>
      <c r="AV154" s="20">
        <v>-27.8</v>
      </c>
      <c r="BE154" s="20">
        <v>152.0</v>
      </c>
      <c r="BF154" s="20" t="s">
        <v>14</v>
      </c>
      <c r="BG154" s="20">
        <v>-22.9</v>
      </c>
      <c r="BH154" s="20">
        <v>-16.87</v>
      </c>
      <c r="BK154" s="20">
        <v>76.0</v>
      </c>
      <c r="BL154" s="20" t="s">
        <v>17</v>
      </c>
      <c r="BM154" s="20">
        <v>117.28</v>
      </c>
      <c r="BN154" s="20">
        <v>71.54</v>
      </c>
      <c r="BW154" s="20">
        <v>-36.92</v>
      </c>
      <c r="BX154" s="20">
        <v>-30.48</v>
      </c>
      <c r="BZ154" s="20">
        <v>-65.83</v>
      </c>
      <c r="CA154" s="20">
        <v>7.39</v>
      </c>
      <c r="CI154" s="20">
        <v>-23.8</v>
      </c>
      <c r="CJ154" s="20">
        <v>-55.09</v>
      </c>
      <c r="CO154" s="20">
        <v>-26.02</v>
      </c>
      <c r="CP154" s="20">
        <v>-52.2</v>
      </c>
    </row>
    <row r="155">
      <c r="A155" s="20">
        <v>-28.07</v>
      </c>
      <c r="B155" s="20">
        <v>31.88</v>
      </c>
      <c r="D155" s="20"/>
      <c r="E155" s="20"/>
      <c r="F155" s="20">
        <v>-9.48</v>
      </c>
      <c r="G155" s="20">
        <v>12.05</v>
      </c>
      <c r="I155" s="20"/>
      <c r="J155" s="20"/>
      <c r="K155" s="20">
        <v>77.0</v>
      </c>
      <c r="L155" s="20" t="s">
        <v>14</v>
      </c>
      <c r="M155" s="20">
        <v>-24.82</v>
      </c>
      <c r="N155" s="20">
        <v>10.12</v>
      </c>
      <c r="P155" s="20">
        <v>3.17</v>
      </c>
      <c r="Q155" s="20">
        <v>24.18</v>
      </c>
      <c r="AG155" s="20">
        <v>153.0</v>
      </c>
      <c r="AH155" s="20" t="s">
        <v>14</v>
      </c>
      <c r="AI155" s="20">
        <v>-18.82</v>
      </c>
      <c r="AJ155" s="20">
        <v>-12.97</v>
      </c>
      <c r="AM155" s="20">
        <v>77.0</v>
      </c>
      <c r="AN155" s="20" t="s">
        <v>14</v>
      </c>
      <c r="AO155" s="20">
        <v>-23.53</v>
      </c>
      <c r="AP155" s="20">
        <v>39.23</v>
      </c>
      <c r="AS155" s="20">
        <v>77.0</v>
      </c>
      <c r="AT155" s="20" t="s">
        <v>14</v>
      </c>
      <c r="AU155" s="20">
        <v>-16.08</v>
      </c>
      <c r="AV155" s="20">
        <v>-52.12</v>
      </c>
      <c r="BE155" s="20">
        <v>153.0</v>
      </c>
      <c r="BF155" s="20" t="s">
        <v>14</v>
      </c>
      <c r="BG155" s="20">
        <v>7.39</v>
      </c>
      <c r="BH155" s="20">
        <v>13.91</v>
      </c>
      <c r="BK155" s="20">
        <v>77.0</v>
      </c>
      <c r="BL155" s="20" t="s">
        <v>14</v>
      </c>
      <c r="BM155" s="20">
        <v>53.3</v>
      </c>
      <c r="BN155" s="20">
        <v>23.78</v>
      </c>
      <c r="BW155" s="20">
        <v>-39.84</v>
      </c>
      <c r="BX155" s="20">
        <v>-21.08</v>
      </c>
      <c r="BZ155" s="20">
        <v>-29.03</v>
      </c>
      <c r="CA155" s="20">
        <v>114.68</v>
      </c>
      <c r="CI155" s="20">
        <v>-45.82</v>
      </c>
      <c r="CJ155" s="20">
        <v>-31.34</v>
      </c>
      <c r="CO155" s="20">
        <v>-36.45</v>
      </c>
      <c r="CP155" s="20">
        <v>-56.08</v>
      </c>
    </row>
    <row r="156">
      <c r="A156" s="20">
        <v>-32.77</v>
      </c>
      <c r="B156" s="20">
        <v>32.08</v>
      </c>
      <c r="D156" s="20"/>
      <c r="E156" s="20"/>
      <c r="F156" s="20">
        <v>-41.15</v>
      </c>
      <c r="G156" s="20">
        <v>-17.81</v>
      </c>
      <c r="I156" s="20"/>
      <c r="J156" s="20"/>
      <c r="K156" s="20">
        <v>77.0</v>
      </c>
      <c r="L156" s="20" t="s">
        <v>17</v>
      </c>
      <c r="M156" s="20">
        <v>-49.83</v>
      </c>
      <c r="N156" s="20">
        <v>-11.22</v>
      </c>
      <c r="P156" s="20">
        <v>-12.32</v>
      </c>
      <c r="Q156" s="20">
        <v>23.4</v>
      </c>
      <c r="AG156" s="20">
        <v>154.0</v>
      </c>
      <c r="AH156" s="20" t="s">
        <v>14</v>
      </c>
      <c r="AI156" s="20">
        <v>-34.74</v>
      </c>
      <c r="AJ156" s="20">
        <v>-25.07</v>
      </c>
      <c r="AM156" s="20">
        <v>77.0</v>
      </c>
      <c r="AN156" s="20" t="s">
        <v>17</v>
      </c>
      <c r="AO156" s="20">
        <v>-7.54</v>
      </c>
      <c r="AP156" s="20">
        <v>-6.29</v>
      </c>
      <c r="AS156" s="20">
        <v>77.0</v>
      </c>
      <c r="AT156" s="20" t="s">
        <v>17</v>
      </c>
      <c r="AU156" s="20">
        <v>-22.82</v>
      </c>
      <c r="AV156" s="20">
        <v>-47.26</v>
      </c>
      <c r="BE156" s="20">
        <v>154.0</v>
      </c>
      <c r="BF156" s="20" t="s">
        <v>14</v>
      </c>
      <c r="BG156" s="20">
        <v>5.92</v>
      </c>
      <c r="BH156" s="20">
        <v>-4.87</v>
      </c>
      <c r="BK156" s="20">
        <v>77.0</v>
      </c>
      <c r="BL156" s="20" t="s">
        <v>17</v>
      </c>
      <c r="BM156" s="20">
        <v>-2.51</v>
      </c>
      <c r="BN156" s="20">
        <v>39.47</v>
      </c>
      <c r="BW156" s="20">
        <v>-41.93</v>
      </c>
      <c r="BX156" s="20">
        <v>-30.5</v>
      </c>
      <c r="BZ156" s="20">
        <v>-31.5</v>
      </c>
      <c r="CA156" s="20">
        <v>22.73</v>
      </c>
      <c r="CI156" s="20">
        <v>-48.37</v>
      </c>
      <c r="CJ156" s="20">
        <v>-69.24</v>
      </c>
      <c r="CO156" s="20">
        <v>-39.85</v>
      </c>
      <c r="CP156" s="20">
        <v>-31.94</v>
      </c>
    </row>
    <row r="157">
      <c r="A157" s="20">
        <v>-4.45</v>
      </c>
      <c r="B157" s="20">
        <v>27.03</v>
      </c>
      <c r="D157" s="20"/>
      <c r="E157" s="20"/>
      <c r="F157" s="20">
        <v>-57.02</v>
      </c>
      <c r="G157" s="20">
        <v>-18.23</v>
      </c>
      <c r="I157" s="20"/>
      <c r="J157" s="20"/>
      <c r="K157" s="20">
        <v>78.0</v>
      </c>
      <c r="L157" s="20" t="s">
        <v>14</v>
      </c>
      <c r="M157" s="20">
        <v>-21.82</v>
      </c>
      <c r="N157" s="20">
        <v>-12.94</v>
      </c>
      <c r="P157" s="20">
        <v>16.75</v>
      </c>
      <c r="Q157" s="20">
        <v>14.6</v>
      </c>
      <c r="AG157" s="20">
        <v>155.0</v>
      </c>
      <c r="AH157" s="20" t="s">
        <v>14</v>
      </c>
      <c r="AI157" s="20">
        <v>16.23</v>
      </c>
      <c r="AJ157" s="20">
        <v>26.47</v>
      </c>
      <c r="AM157" s="20">
        <v>78.0</v>
      </c>
      <c r="AN157" s="20" t="s">
        <v>14</v>
      </c>
      <c r="AO157" s="20">
        <v>-15.54</v>
      </c>
      <c r="AP157" s="20">
        <v>-11.61</v>
      </c>
      <c r="AS157" s="20">
        <v>78.0</v>
      </c>
      <c r="AT157" s="20" t="s">
        <v>14</v>
      </c>
      <c r="AU157" s="20">
        <v>-10.5</v>
      </c>
      <c r="AV157" s="20">
        <v>-48.31</v>
      </c>
      <c r="BE157" s="20">
        <v>155.0</v>
      </c>
      <c r="BF157" s="20" t="s">
        <v>14</v>
      </c>
      <c r="BG157" s="20">
        <v>41.74</v>
      </c>
      <c r="BH157" s="20">
        <v>-8.73</v>
      </c>
      <c r="BK157" s="20">
        <v>78.0</v>
      </c>
      <c r="BL157" s="20" t="s">
        <v>14</v>
      </c>
      <c r="BM157" s="20">
        <v>36.94</v>
      </c>
      <c r="BN157" s="20">
        <v>68.68</v>
      </c>
      <c r="BW157" s="20">
        <v>58.16</v>
      </c>
      <c r="BX157" s="20">
        <v>-6.72</v>
      </c>
      <c r="BZ157" s="20">
        <v>-57.86</v>
      </c>
      <c r="CA157" s="20">
        <v>29.44</v>
      </c>
      <c r="CI157" s="20">
        <v>-26.81</v>
      </c>
      <c r="CJ157" s="20">
        <v>-51.21</v>
      </c>
      <c r="CO157" s="20">
        <v>-8.0</v>
      </c>
      <c r="CP157" s="20">
        <v>-62.43</v>
      </c>
    </row>
    <row r="158">
      <c r="A158" s="20">
        <v>-33.7</v>
      </c>
      <c r="B158" s="20">
        <v>54.18</v>
      </c>
      <c r="D158" s="20"/>
      <c r="E158" s="20"/>
      <c r="F158" s="20">
        <v>-44.77</v>
      </c>
      <c r="G158" s="20">
        <v>-40.1</v>
      </c>
      <c r="I158" s="20"/>
      <c r="J158" s="20"/>
      <c r="K158" s="20">
        <v>78.0</v>
      </c>
      <c r="L158" s="20" t="s">
        <v>17</v>
      </c>
      <c r="M158" s="20">
        <v>-8.9</v>
      </c>
      <c r="N158" s="20">
        <v>46.88</v>
      </c>
      <c r="P158" s="20">
        <v>131.61</v>
      </c>
      <c r="Q158" s="20">
        <v>-17.7</v>
      </c>
      <c r="AG158" s="20">
        <v>156.0</v>
      </c>
      <c r="AH158" s="20" t="s">
        <v>14</v>
      </c>
      <c r="AI158" s="20">
        <v>-41.55</v>
      </c>
      <c r="AJ158" s="20">
        <v>-21.98</v>
      </c>
      <c r="AM158" s="20">
        <v>78.0</v>
      </c>
      <c r="AN158" s="20" t="s">
        <v>17</v>
      </c>
      <c r="AO158" s="20">
        <v>-25.89</v>
      </c>
      <c r="AP158" s="20">
        <v>-12.26</v>
      </c>
      <c r="AS158" s="20">
        <v>78.0</v>
      </c>
      <c r="AT158" s="20" t="s">
        <v>17</v>
      </c>
      <c r="AU158" s="20">
        <v>-20.25</v>
      </c>
      <c r="AV158" s="20">
        <v>0.34</v>
      </c>
      <c r="BE158" s="20">
        <v>156.0</v>
      </c>
      <c r="BF158" s="20" t="s">
        <v>14</v>
      </c>
      <c r="BG158" s="20">
        <v>44.68</v>
      </c>
      <c r="BH158" s="20">
        <v>7.77</v>
      </c>
      <c r="BK158" s="20">
        <v>78.0</v>
      </c>
      <c r="BL158" s="20" t="s">
        <v>17</v>
      </c>
      <c r="BM158" s="20">
        <v>29.4</v>
      </c>
      <c r="BN158" s="20">
        <v>43.6</v>
      </c>
      <c r="BW158" s="20">
        <v>-24.92</v>
      </c>
      <c r="BX158" s="20">
        <v>-11.04</v>
      </c>
      <c r="BZ158" s="20">
        <v>-33.95</v>
      </c>
      <c r="CA158" s="20">
        <v>88.2</v>
      </c>
      <c r="CI158" s="20">
        <v>-58.14</v>
      </c>
      <c r="CJ158" s="20">
        <v>-68.14</v>
      </c>
      <c r="CO158" s="20">
        <v>-31.2</v>
      </c>
      <c r="CP158" s="20">
        <v>-55.83</v>
      </c>
    </row>
    <row r="159">
      <c r="A159" s="20">
        <v>-43.12</v>
      </c>
      <c r="B159" s="20">
        <v>-3.4</v>
      </c>
      <c r="D159" s="20"/>
      <c r="E159" s="20"/>
      <c r="F159" s="20">
        <v>43.42</v>
      </c>
      <c r="G159" s="20">
        <v>-27.96</v>
      </c>
      <c r="I159" s="20"/>
      <c r="J159" s="20"/>
      <c r="K159" s="20">
        <v>79.0</v>
      </c>
      <c r="L159" s="20" t="s">
        <v>14</v>
      </c>
      <c r="M159" s="20">
        <v>-34.43</v>
      </c>
      <c r="N159" s="20">
        <v>8.46</v>
      </c>
      <c r="P159" s="20">
        <v>2.68</v>
      </c>
      <c r="Q159" s="20">
        <v>10.3</v>
      </c>
      <c r="AG159" s="20">
        <v>157.0</v>
      </c>
      <c r="AH159" s="20" t="s">
        <v>14</v>
      </c>
      <c r="AI159" s="20">
        <v>-30.38</v>
      </c>
      <c r="AJ159" s="20">
        <v>-21.28</v>
      </c>
      <c r="AM159" s="20">
        <v>79.0</v>
      </c>
      <c r="AN159" s="20" t="s">
        <v>14</v>
      </c>
      <c r="AO159" s="20">
        <v>3.45</v>
      </c>
      <c r="AP159" s="20">
        <v>5.06</v>
      </c>
      <c r="AS159" s="20">
        <v>79.0</v>
      </c>
      <c r="AT159" s="20" t="s">
        <v>14</v>
      </c>
      <c r="AU159" s="20">
        <v>-9.49</v>
      </c>
      <c r="AV159" s="20">
        <v>-24.72</v>
      </c>
      <c r="BE159" s="20">
        <v>157.0</v>
      </c>
      <c r="BF159" s="20" t="s">
        <v>14</v>
      </c>
      <c r="BG159" s="20">
        <v>-27.52</v>
      </c>
      <c r="BH159" s="20">
        <v>-48.98</v>
      </c>
      <c r="BK159" s="20">
        <v>79.0</v>
      </c>
      <c r="BL159" s="20" t="s">
        <v>14</v>
      </c>
      <c r="BM159" s="20">
        <v>-38.22</v>
      </c>
      <c r="BN159" s="20">
        <v>-6.83</v>
      </c>
      <c r="BW159" s="20">
        <v>-44.03</v>
      </c>
      <c r="BX159" s="20">
        <v>-20.82</v>
      </c>
      <c r="BZ159" s="20">
        <v>-26.9</v>
      </c>
      <c r="CA159" s="20">
        <v>108.48</v>
      </c>
      <c r="CI159" s="20">
        <v>-70.1</v>
      </c>
      <c r="CJ159" s="20">
        <v>-68.66</v>
      </c>
      <c r="CO159" s="20">
        <v>-13.17</v>
      </c>
      <c r="CP159" s="20">
        <v>-63.18</v>
      </c>
    </row>
    <row r="160">
      <c r="A160" s="20">
        <v>-24.76</v>
      </c>
      <c r="B160" s="20">
        <v>-31.55</v>
      </c>
      <c r="D160" s="20"/>
      <c r="E160" s="20"/>
      <c r="F160" s="20">
        <v>-40.5</v>
      </c>
      <c r="G160" s="20">
        <v>-42.29</v>
      </c>
      <c r="I160" s="20"/>
      <c r="J160" s="20"/>
      <c r="K160" s="20">
        <v>79.0</v>
      </c>
      <c r="L160" s="20" t="s">
        <v>17</v>
      </c>
      <c r="M160" s="20">
        <v>-6.14</v>
      </c>
      <c r="N160" s="20">
        <v>-10.5</v>
      </c>
      <c r="P160" s="20">
        <v>-32.37</v>
      </c>
      <c r="Q160" s="20">
        <v>-15.34</v>
      </c>
      <c r="AG160" s="20">
        <v>158.0</v>
      </c>
      <c r="AH160" s="20" t="s">
        <v>14</v>
      </c>
      <c r="AI160" s="20">
        <v>-12.67</v>
      </c>
      <c r="AJ160" s="20">
        <v>-6.14</v>
      </c>
      <c r="AM160" s="20">
        <v>79.0</v>
      </c>
      <c r="AN160" s="20" t="s">
        <v>17</v>
      </c>
      <c r="AO160" s="20">
        <v>-8.19</v>
      </c>
      <c r="AP160" s="20">
        <v>2.96</v>
      </c>
      <c r="AS160" s="20">
        <v>79.0</v>
      </c>
      <c r="AT160" s="20" t="s">
        <v>17</v>
      </c>
      <c r="AU160" s="20">
        <v>-35.82</v>
      </c>
      <c r="AV160" s="20">
        <v>-34.83</v>
      </c>
      <c r="BE160" s="20">
        <v>158.0</v>
      </c>
      <c r="BF160" s="20" t="s">
        <v>14</v>
      </c>
      <c r="BG160" s="20">
        <v>-9.19</v>
      </c>
      <c r="BH160" s="20">
        <v>-6.82</v>
      </c>
      <c r="BK160" s="20">
        <v>79.0</v>
      </c>
      <c r="BL160" s="20" t="s">
        <v>17</v>
      </c>
      <c r="BM160" s="20">
        <v>27.02</v>
      </c>
      <c r="BN160" s="20">
        <v>41.46</v>
      </c>
      <c r="BW160" s="20">
        <v>-20.7</v>
      </c>
      <c r="BX160" s="20">
        <v>19.47</v>
      </c>
      <c r="BZ160" s="20">
        <v>-37.49</v>
      </c>
      <c r="CA160" s="20">
        <v>62.51</v>
      </c>
      <c r="CI160" s="20">
        <v>-62.84</v>
      </c>
      <c r="CJ160" s="20">
        <v>-71.09</v>
      </c>
      <c r="CO160" s="20">
        <v>-27.71</v>
      </c>
      <c r="CP160" s="20">
        <v>-39.32</v>
      </c>
    </row>
    <row r="161">
      <c r="A161" s="20">
        <v>-45.82</v>
      </c>
      <c r="B161" s="20">
        <v>-26.28</v>
      </c>
      <c r="D161" s="20"/>
      <c r="E161" s="20"/>
      <c r="F161" s="20">
        <v>-49.18</v>
      </c>
      <c r="G161" s="20">
        <v>-30.21</v>
      </c>
      <c r="I161" s="20"/>
      <c r="J161" s="20"/>
      <c r="K161" s="20">
        <v>80.0</v>
      </c>
      <c r="L161" s="20" t="s">
        <v>14</v>
      </c>
      <c r="M161" s="20">
        <v>-31.83</v>
      </c>
      <c r="N161" s="20">
        <v>41.08</v>
      </c>
      <c r="P161" s="20">
        <v>-32.75</v>
      </c>
      <c r="Q161" s="20">
        <v>-11.67</v>
      </c>
      <c r="AG161" s="20">
        <v>159.0</v>
      </c>
      <c r="AH161" s="20" t="s">
        <v>14</v>
      </c>
      <c r="AI161" s="20">
        <v>-24.1</v>
      </c>
      <c r="AJ161" s="20">
        <v>-19.75</v>
      </c>
      <c r="AM161" s="20">
        <v>80.0</v>
      </c>
      <c r="AN161" s="20" t="s">
        <v>14</v>
      </c>
      <c r="AO161" s="20">
        <v>-0.93</v>
      </c>
      <c r="AP161" s="20">
        <v>0.48</v>
      </c>
      <c r="AS161" s="20">
        <v>80.0</v>
      </c>
      <c r="AT161" s="20" t="s">
        <v>14</v>
      </c>
      <c r="AU161" s="20">
        <v>-7.55</v>
      </c>
      <c r="AV161" s="20">
        <v>-8.77</v>
      </c>
      <c r="BE161" s="20">
        <v>159.0</v>
      </c>
      <c r="BF161" s="20" t="s">
        <v>14</v>
      </c>
      <c r="BG161" s="20">
        <v>-8.44</v>
      </c>
      <c r="BH161" s="20">
        <v>-4.18</v>
      </c>
      <c r="BK161" s="20">
        <v>80.0</v>
      </c>
      <c r="BL161" s="20" t="s">
        <v>14</v>
      </c>
      <c r="BM161" s="20">
        <v>27.21</v>
      </c>
      <c r="BN161" s="20">
        <v>21.19</v>
      </c>
      <c r="BW161" s="20">
        <v>-19.72</v>
      </c>
      <c r="BX161" s="20">
        <v>-37.44</v>
      </c>
      <c r="BZ161" s="20">
        <v>-46.82</v>
      </c>
      <c r="CA161" s="20">
        <v>34.38</v>
      </c>
      <c r="CI161" s="20">
        <v>-39.44</v>
      </c>
      <c r="CJ161" s="20">
        <v>-59.79</v>
      </c>
      <c r="CO161" s="20">
        <v>-21.64</v>
      </c>
      <c r="CP161" s="20">
        <v>-67.9</v>
      </c>
    </row>
    <row r="162">
      <c r="A162" s="20">
        <v>-50.97</v>
      </c>
      <c r="B162" s="20">
        <v>-40.84</v>
      </c>
      <c r="D162" s="20"/>
      <c r="E162" s="20"/>
      <c r="F162" s="20">
        <v>47.53</v>
      </c>
      <c r="G162" s="20">
        <v>-22.83</v>
      </c>
      <c r="I162" s="20"/>
      <c r="J162" s="20"/>
      <c r="K162" s="20">
        <v>80.0</v>
      </c>
      <c r="L162" s="20" t="s">
        <v>17</v>
      </c>
      <c r="M162" s="20">
        <v>-6.22</v>
      </c>
      <c r="N162" s="20">
        <v>-44.6</v>
      </c>
      <c r="P162" s="20">
        <v>-11.9</v>
      </c>
      <c r="Q162" s="20">
        <v>10.39</v>
      </c>
      <c r="AG162" s="20">
        <v>160.0</v>
      </c>
      <c r="AH162" s="20" t="s">
        <v>14</v>
      </c>
      <c r="AI162" s="20">
        <v>-16.74</v>
      </c>
      <c r="AJ162" s="20">
        <v>-7.41</v>
      </c>
      <c r="AM162" s="20">
        <v>80.0</v>
      </c>
      <c r="AN162" s="20" t="s">
        <v>17</v>
      </c>
      <c r="AO162" s="20">
        <v>25.07</v>
      </c>
      <c r="AP162" s="20">
        <v>16.87</v>
      </c>
      <c r="AS162" s="20">
        <v>80.0</v>
      </c>
      <c r="AT162" s="20" t="s">
        <v>17</v>
      </c>
      <c r="AU162" s="20">
        <v>-36.14</v>
      </c>
      <c r="AV162" s="20">
        <v>-32.56</v>
      </c>
      <c r="BE162" s="20">
        <v>160.0</v>
      </c>
      <c r="BF162" s="20" t="s">
        <v>14</v>
      </c>
      <c r="BG162" s="20">
        <v>-12.13</v>
      </c>
      <c r="BH162" s="20">
        <v>-22.47</v>
      </c>
      <c r="BK162" s="20">
        <v>80.0</v>
      </c>
      <c r="BL162" s="20" t="s">
        <v>17</v>
      </c>
      <c r="BM162" s="20">
        <v>11.57</v>
      </c>
      <c r="BN162" s="20">
        <v>94.22</v>
      </c>
      <c r="BW162" s="20">
        <v>76.0</v>
      </c>
      <c r="BX162" s="20">
        <v>-14.52</v>
      </c>
      <c r="BZ162" s="20">
        <v>-37.51</v>
      </c>
      <c r="CA162" s="20">
        <v>143.04</v>
      </c>
      <c r="CI162" s="20">
        <v>7.64</v>
      </c>
      <c r="CJ162" s="20">
        <v>-26.56</v>
      </c>
      <c r="CO162" s="20">
        <v>-2.7</v>
      </c>
      <c r="CP162" s="20">
        <v>-34.35</v>
      </c>
    </row>
    <row r="163">
      <c r="A163" s="20">
        <v>-28.24</v>
      </c>
      <c r="B163" s="20">
        <v>-23.38</v>
      </c>
      <c r="D163" s="20"/>
      <c r="E163" s="20"/>
      <c r="F163" s="20">
        <v>-33.14</v>
      </c>
      <c r="G163" s="20">
        <v>-22.78</v>
      </c>
      <c r="I163" s="20"/>
      <c r="J163" s="20"/>
      <c r="K163" s="20">
        <v>81.0</v>
      </c>
      <c r="L163" s="20" t="s">
        <v>14</v>
      </c>
      <c r="M163" s="20">
        <v>-5.42</v>
      </c>
      <c r="N163" s="20">
        <v>69.19</v>
      </c>
      <c r="P163" s="20">
        <v>7.17</v>
      </c>
      <c r="Q163" s="20">
        <v>38.41</v>
      </c>
      <c r="AG163" s="20">
        <v>161.0</v>
      </c>
      <c r="AH163" s="20" t="s">
        <v>14</v>
      </c>
      <c r="AI163" s="20">
        <v>-8.41</v>
      </c>
      <c r="AJ163" s="20">
        <v>-18.52</v>
      </c>
      <c r="AM163" s="20">
        <v>81.0</v>
      </c>
      <c r="AN163" s="20" t="s">
        <v>14</v>
      </c>
      <c r="AO163" s="20">
        <v>-4.76</v>
      </c>
      <c r="AP163" s="20">
        <v>-15.85</v>
      </c>
      <c r="AS163" s="20">
        <v>81.0</v>
      </c>
      <c r="AT163" s="20" t="s">
        <v>14</v>
      </c>
      <c r="AU163" s="20">
        <v>-21.97</v>
      </c>
      <c r="AV163" s="20">
        <v>-41.23</v>
      </c>
      <c r="BE163" s="20">
        <v>161.0</v>
      </c>
      <c r="BF163" s="20" t="s">
        <v>14</v>
      </c>
      <c r="BG163" s="20">
        <v>47.84</v>
      </c>
      <c r="BH163" s="20">
        <v>12.5</v>
      </c>
      <c r="BK163" s="20">
        <v>81.0</v>
      </c>
      <c r="BL163" s="20" t="s">
        <v>14</v>
      </c>
      <c r="BM163" s="20">
        <v>35.05</v>
      </c>
      <c r="BN163" s="20">
        <v>128.65</v>
      </c>
      <c r="BW163" s="20">
        <v>-21.48</v>
      </c>
      <c r="BX163" s="20">
        <v>31.34</v>
      </c>
      <c r="BZ163" s="20">
        <v>-28.06</v>
      </c>
      <c r="CA163" s="20">
        <v>15.74</v>
      </c>
      <c r="CI163" s="20">
        <v>-42.17</v>
      </c>
      <c r="CJ163" s="20">
        <v>-46.85</v>
      </c>
      <c r="CO163" s="20">
        <v>-43.03</v>
      </c>
      <c r="CP163" s="20">
        <v>-55.01</v>
      </c>
    </row>
    <row r="164">
      <c r="A164" s="20">
        <v>3.6</v>
      </c>
      <c r="B164" s="20">
        <v>155.27</v>
      </c>
      <c r="D164" s="20"/>
      <c r="E164" s="20"/>
      <c r="F164" s="20">
        <v>-21.41</v>
      </c>
      <c r="G164" s="20">
        <v>-8.46</v>
      </c>
      <c r="I164" s="20"/>
      <c r="J164" s="20"/>
      <c r="K164" s="20">
        <v>81.0</v>
      </c>
      <c r="L164" s="20" t="s">
        <v>17</v>
      </c>
      <c r="M164" s="20">
        <v>62.03</v>
      </c>
      <c r="N164" s="20">
        <v>6.65</v>
      </c>
      <c r="P164" s="20">
        <v>-2.02</v>
      </c>
      <c r="Q164" s="20">
        <v>-6.67</v>
      </c>
      <c r="AG164" s="20">
        <v>162.0</v>
      </c>
      <c r="AH164" s="20" t="s">
        <v>14</v>
      </c>
      <c r="AI164" s="20">
        <v>-6.68</v>
      </c>
      <c r="AJ164" s="20">
        <v>-12.56</v>
      </c>
      <c r="AM164" s="20">
        <v>81.0</v>
      </c>
      <c r="AN164" s="20" t="s">
        <v>17</v>
      </c>
      <c r="AO164" s="20">
        <v>-12.44</v>
      </c>
      <c r="AP164" s="20">
        <v>-31.46</v>
      </c>
      <c r="AS164" s="20">
        <v>81.0</v>
      </c>
      <c r="AT164" s="20" t="s">
        <v>17</v>
      </c>
      <c r="AU164" s="20">
        <v>-34.88</v>
      </c>
      <c r="AV164" s="20">
        <v>-54.86</v>
      </c>
      <c r="BE164" s="20">
        <v>162.0</v>
      </c>
      <c r="BF164" s="20" t="s">
        <v>14</v>
      </c>
      <c r="BG164" s="20">
        <v>27.58</v>
      </c>
      <c r="BH164" s="20">
        <v>74.93</v>
      </c>
      <c r="BK164" s="20">
        <v>81.0</v>
      </c>
      <c r="BL164" s="20" t="s">
        <v>17</v>
      </c>
      <c r="BM164" s="20">
        <v>56.79</v>
      </c>
      <c r="BN164" s="20">
        <v>118.2</v>
      </c>
      <c r="BW164" s="20">
        <v>-39.92</v>
      </c>
      <c r="BX164" s="20">
        <v>-11.5</v>
      </c>
      <c r="BZ164" s="20">
        <v>-55.58</v>
      </c>
      <c r="CA164" s="20">
        <v>25.13</v>
      </c>
      <c r="CI164" s="20">
        <v>-40.14</v>
      </c>
      <c r="CJ164" s="20">
        <v>-51.04</v>
      </c>
      <c r="CO164" s="20">
        <v>-7.67</v>
      </c>
      <c r="CP164" s="20">
        <v>-42.83</v>
      </c>
    </row>
    <row r="165">
      <c r="A165" s="20">
        <v>-31.84</v>
      </c>
      <c r="B165" s="20">
        <v>-40.82</v>
      </c>
      <c r="D165" s="20"/>
      <c r="E165" s="20"/>
      <c r="F165" s="20">
        <v>64.64</v>
      </c>
      <c r="G165" s="20">
        <v>20.93</v>
      </c>
      <c r="I165" s="20"/>
      <c r="J165" s="20"/>
      <c r="K165" s="20">
        <v>82.0</v>
      </c>
      <c r="L165" s="20" t="s">
        <v>14</v>
      </c>
      <c r="M165" s="20">
        <v>7.3</v>
      </c>
      <c r="N165" s="20">
        <v>40.12</v>
      </c>
      <c r="P165" s="20">
        <v>19.87</v>
      </c>
      <c r="Q165" s="20">
        <v>66.74</v>
      </c>
      <c r="AG165" s="20">
        <v>163.0</v>
      </c>
      <c r="AH165" s="20" t="s">
        <v>14</v>
      </c>
      <c r="AI165" s="20">
        <v>-5.8</v>
      </c>
      <c r="AJ165" s="20">
        <v>-9.91</v>
      </c>
      <c r="AM165" s="20">
        <v>82.0</v>
      </c>
      <c r="AN165" s="20" t="s">
        <v>14</v>
      </c>
      <c r="AO165" s="20">
        <v>-12.13</v>
      </c>
      <c r="AP165" s="20">
        <v>-9.8</v>
      </c>
      <c r="AS165" s="20">
        <v>82.0</v>
      </c>
      <c r="AT165" s="20" t="s">
        <v>14</v>
      </c>
      <c r="AU165" s="20">
        <v>3.9</v>
      </c>
      <c r="AV165" s="20">
        <v>-32.15</v>
      </c>
      <c r="BE165" s="20">
        <v>163.0</v>
      </c>
      <c r="BF165" s="20" t="s">
        <v>14</v>
      </c>
      <c r="BG165" s="20">
        <v>11.89</v>
      </c>
      <c r="BH165" s="20">
        <v>14.57</v>
      </c>
      <c r="BK165" s="20">
        <v>82.0</v>
      </c>
      <c r="BL165" s="20" t="s">
        <v>14</v>
      </c>
      <c r="BM165" s="20">
        <v>-8.34</v>
      </c>
      <c r="BN165" s="20">
        <v>53.26</v>
      </c>
      <c r="BW165" s="20">
        <v>-43.83</v>
      </c>
      <c r="BX165" s="20">
        <v>-27.37</v>
      </c>
      <c r="BZ165" s="20">
        <v>-27.78</v>
      </c>
      <c r="CA165" s="20">
        <v>32.8</v>
      </c>
      <c r="CI165" s="20">
        <v>-40.41</v>
      </c>
      <c r="CJ165" s="20">
        <v>-51.78</v>
      </c>
      <c r="CO165" s="20">
        <v>-47.67</v>
      </c>
      <c r="CP165" s="20">
        <v>-38.5</v>
      </c>
    </row>
    <row r="166">
      <c r="A166" s="20">
        <v>-70.12</v>
      </c>
      <c r="B166" s="20">
        <v>-26.26</v>
      </c>
      <c r="D166" s="20"/>
      <c r="E166" s="20"/>
      <c r="F166" s="20">
        <v>-18.72</v>
      </c>
      <c r="G166" s="20">
        <v>-0.92</v>
      </c>
      <c r="I166" s="20"/>
      <c r="J166" s="20"/>
      <c r="K166" s="20">
        <v>82.0</v>
      </c>
      <c r="L166" s="20" t="s">
        <v>17</v>
      </c>
      <c r="M166" s="20">
        <v>13.36</v>
      </c>
      <c r="N166" s="20">
        <v>68.29</v>
      </c>
      <c r="P166" s="20">
        <v>-17.15</v>
      </c>
      <c r="Q166" s="20">
        <v>-37.0</v>
      </c>
      <c r="AG166" s="20">
        <v>164.0</v>
      </c>
      <c r="AH166" s="20" t="s">
        <v>14</v>
      </c>
      <c r="AI166" s="20">
        <v>-17.7</v>
      </c>
      <c r="AJ166" s="20">
        <v>-20.61</v>
      </c>
      <c r="AM166" s="20">
        <v>82.0</v>
      </c>
      <c r="AN166" s="20" t="s">
        <v>17</v>
      </c>
      <c r="AO166" s="20">
        <v>-23.51</v>
      </c>
      <c r="AP166" s="20">
        <v>-9.37</v>
      </c>
      <c r="AS166" s="20">
        <v>82.0</v>
      </c>
      <c r="AT166" s="20" t="s">
        <v>17</v>
      </c>
      <c r="AU166" s="20">
        <v>-21.55</v>
      </c>
      <c r="AV166" s="20">
        <v>-53.31</v>
      </c>
      <c r="BE166" s="20">
        <v>164.0</v>
      </c>
      <c r="BF166" s="20" t="s">
        <v>14</v>
      </c>
      <c r="BG166" s="20">
        <v>-6.88</v>
      </c>
      <c r="BH166" s="20">
        <v>21.65</v>
      </c>
      <c r="BK166" s="20">
        <v>82.0</v>
      </c>
      <c r="BL166" s="20" t="s">
        <v>17</v>
      </c>
      <c r="BM166" s="20">
        <v>23.96</v>
      </c>
      <c r="BN166" s="20">
        <v>71.84</v>
      </c>
      <c r="BW166" s="20">
        <v>-35.15</v>
      </c>
      <c r="BX166" s="20">
        <v>-18.95</v>
      </c>
      <c r="BZ166" s="20">
        <v>-20.14</v>
      </c>
      <c r="CA166" s="20">
        <v>11.69</v>
      </c>
      <c r="CI166" s="20">
        <v>-7.66</v>
      </c>
      <c r="CJ166" s="20">
        <v>-35.55</v>
      </c>
      <c r="CO166" s="20">
        <v>-45.1</v>
      </c>
      <c r="CP166" s="20">
        <v>-41.92</v>
      </c>
    </row>
    <row r="167">
      <c r="A167" s="20">
        <v>-56.0</v>
      </c>
      <c r="B167" s="20">
        <v>-64.28</v>
      </c>
      <c r="D167" s="20"/>
      <c r="E167" s="20"/>
      <c r="F167" s="20">
        <v>-14.51</v>
      </c>
      <c r="G167" s="20">
        <v>4.88</v>
      </c>
      <c r="I167" s="20"/>
      <c r="J167" s="20"/>
      <c r="K167" s="20">
        <v>83.0</v>
      </c>
      <c r="L167" s="20" t="s">
        <v>14</v>
      </c>
      <c r="M167" s="20">
        <v>13.33</v>
      </c>
      <c r="N167" s="20">
        <v>42.79</v>
      </c>
      <c r="P167" s="20">
        <v>-4.75</v>
      </c>
      <c r="Q167" s="20">
        <v>-9.17</v>
      </c>
      <c r="AG167" s="20">
        <v>165.0</v>
      </c>
      <c r="AH167" s="20" t="s">
        <v>14</v>
      </c>
      <c r="AI167" s="20">
        <v>-15.37</v>
      </c>
      <c r="AJ167" s="20">
        <v>-20.96</v>
      </c>
      <c r="AM167" s="20">
        <v>83.0</v>
      </c>
      <c r="AN167" s="20" t="s">
        <v>14</v>
      </c>
      <c r="AO167" s="20">
        <v>10.14</v>
      </c>
      <c r="AP167" s="20">
        <v>-32.27</v>
      </c>
      <c r="AS167" s="20">
        <v>83.0</v>
      </c>
      <c r="AT167" s="20" t="s">
        <v>14</v>
      </c>
      <c r="AU167" s="20">
        <v>-4.46</v>
      </c>
      <c r="AV167" s="20">
        <v>-34.52</v>
      </c>
      <c r="BE167" s="20">
        <v>165.0</v>
      </c>
      <c r="BF167" s="20" t="s">
        <v>14</v>
      </c>
      <c r="BG167" s="20">
        <v>-8.22</v>
      </c>
      <c r="BH167" s="20">
        <v>4.25</v>
      </c>
      <c r="BK167" s="20">
        <v>83.0</v>
      </c>
      <c r="BL167" s="20" t="s">
        <v>14</v>
      </c>
      <c r="BM167" s="20">
        <v>52.13</v>
      </c>
      <c r="BN167" s="20">
        <v>36.23</v>
      </c>
      <c r="BW167" s="20">
        <v>-31.66</v>
      </c>
      <c r="BX167" s="20">
        <v>-6.74</v>
      </c>
      <c r="BZ167" s="20">
        <v>-46.16</v>
      </c>
      <c r="CA167" s="20">
        <v>26.86</v>
      </c>
      <c r="CI167" s="20">
        <v>-44.24</v>
      </c>
      <c r="CJ167" s="20">
        <v>-37.85</v>
      </c>
      <c r="CO167" s="20">
        <v>-30.52</v>
      </c>
      <c r="CP167" s="20">
        <v>-55.75</v>
      </c>
    </row>
    <row r="168">
      <c r="A168" s="20">
        <v>1.88</v>
      </c>
      <c r="B168" s="20">
        <v>-25.86</v>
      </c>
      <c r="D168" s="20"/>
      <c r="E168" s="20"/>
      <c r="F168" s="20">
        <v>-17.71</v>
      </c>
      <c r="G168" s="20">
        <v>50.24</v>
      </c>
      <c r="I168" s="20"/>
      <c r="J168" s="20"/>
      <c r="K168" s="20">
        <v>83.0</v>
      </c>
      <c r="L168" s="20" t="s">
        <v>17</v>
      </c>
      <c r="M168" s="20">
        <v>-15.47</v>
      </c>
      <c r="N168" s="20">
        <v>28.97</v>
      </c>
      <c r="P168" s="20">
        <v>-30.22</v>
      </c>
      <c r="Q168" s="20">
        <v>0.77</v>
      </c>
      <c r="AG168" s="20">
        <v>166.0</v>
      </c>
      <c r="AH168" s="20" t="s">
        <v>14</v>
      </c>
      <c r="AI168" s="20">
        <v>-18.01</v>
      </c>
      <c r="AJ168" s="20">
        <v>13.83</v>
      </c>
      <c r="AM168" s="20">
        <v>83.0</v>
      </c>
      <c r="AN168" s="20" t="s">
        <v>17</v>
      </c>
      <c r="AO168" s="20">
        <v>-2.44</v>
      </c>
      <c r="AP168" s="20">
        <v>-29.46</v>
      </c>
      <c r="AS168" s="20">
        <v>83.0</v>
      </c>
      <c r="AT168" s="20" t="s">
        <v>17</v>
      </c>
      <c r="AU168" s="20">
        <v>-8.15</v>
      </c>
      <c r="AV168" s="20">
        <v>-50.14</v>
      </c>
      <c r="BE168" s="20">
        <v>166.0</v>
      </c>
      <c r="BF168" s="20" t="s">
        <v>14</v>
      </c>
      <c r="BG168" s="20">
        <v>37.1</v>
      </c>
      <c r="BH168" s="20">
        <v>26.21</v>
      </c>
      <c r="BK168" s="20">
        <v>83.0</v>
      </c>
      <c r="BL168" s="20" t="s">
        <v>17</v>
      </c>
      <c r="BM168" s="20">
        <v>33.36</v>
      </c>
      <c r="BN168" s="20">
        <v>42.16</v>
      </c>
      <c r="BW168" s="20">
        <v>-41.01</v>
      </c>
      <c r="BX168" s="20">
        <v>-18.26</v>
      </c>
      <c r="BZ168" s="20">
        <v>-65.23</v>
      </c>
      <c r="CA168" s="20">
        <v>70.85</v>
      </c>
      <c r="CI168" s="20">
        <v>-26.21</v>
      </c>
      <c r="CJ168" s="20">
        <v>-29.96</v>
      </c>
      <c r="CO168" s="20">
        <v>-42.53</v>
      </c>
      <c r="CP168" s="20">
        <v>-51.17</v>
      </c>
    </row>
    <row r="169">
      <c r="A169" s="20">
        <v>-31.48</v>
      </c>
      <c r="B169" s="20">
        <v>43.02</v>
      </c>
      <c r="D169" s="20"/>
      <c r="E169" s="20"/>
      <c r="F169" s="20">
        <v>-37.38</v>
      </c>
      <c r="G169" s="20">
        <v>-9.72</v>
      </c>
      <c r="I169" s="20"/>
      <c r="J169" s="20"/>
      <c r="K169" s="20">
        <v>84.0</v>
      </c>
      <c r="L169" s="20" t="s">
        <v>14</v>
      </c>
      <c r="M169" s="20">
        <v>-18.23</v>
      </c>
      <c r="N169" s="20">
        <v>30.83</v>
      </c>
      <c r="P169" s="20">
        <v>-11.63</v>
      </c>
      <c r="Q169" s="20">
        <v>-5.27</v>
      </c>
      <c r="AG169" s="20">
        <v>167.0</v>
      </c>
      <c r="AH169" s="20" t="s">
        <v>14</v>
      </c>
      <c r="AI169" s="20">
        <v>-17.71</v>
      </c>
      <c r="AJ169" s="20">
        <v>-25.75</v>
      </c>
      <c r="AM169" s="20">
        <v>84.0</v>
      </c>
      <c r="AN169" s="20" t="s">
        <v>14</v>
      </c>
      <c r="AO169" s="20">
        <v>-25.28</v>
      </c>
      <c r="AP169" s="20">
        <v>-35.05</v>
      </c>
      <c r="AS169" s="20">
        <v>84.0</v>
      </c>
      <c r="AT169" s="20" t="s">
        <v>14</v>
      </c>
      <c r="AU169" s="20">
        <v>32.26</v>
      </c>
      <c r="AV169" s="20">
        <v>-33.21</v>
      </c>
      <c r="BE169" s="20">
        <v>167.0</v>
      </c>
      <c r="BF169" s="20" t="s">
        <v>14</v>
      </c>
      <c r="BG169" s="20">
        <v>14.0</v>
      </c>
      <c r="BH169" s="20">
        <v>-9.49</v>
      </c>
      <c r="BK169" s="20">
        <v>84.0</v>
      </c>
      <c r="BL169" s="20" t="s">
        <v>14</v>
      </c>
      <c r="BM169" s="20">
        <v>58.1</v>
      </c>
      <c r="BN169" s="20">
        <v>59.44</v>
      </c>
      <c r="BW169" s="20">
        <v>-41.95</v>
      </c>
      <c r="BX169" s="20">
        <v>-6.84</v>
      </c>
      <c r="BZ169" s="20">
        <v>-41.77</v>
      </c>
      <c r="CA169" s="20">
        <v>39.46</v>
      </c>
      <c r="CI169" s="20">
        <v>-32.61</v>
      </c>
      <c r="CJ169" s="20">
        <v>-46.42</v>
      </c>
      <c r="CO169" s="20">
        <v>-39.74</v>
      </c>
      <c r="CP169" s="20">
        <v>-62.79</v>
      </c>
    </row>
    <row r="170">
      <c r="A170" s="20">
        <v>0.06</v>
      </c>
      <c r="B170" s="20">
        <v>103.86</v>
      </c>
      <c r="D170" s="20"/>
      <c r="E170" s="20"/>
      <c r="F170" s="20">
        <v>-24.4</v>
      </c>
      <c r="G170" s="20">
        <v>0.81</v>
      </c>
      <c r="I170" s="20"/>
      <c r="J170" s="20"/>
      <c r="K170" s="20">
        <v>84.0</v>
      </c>
      <c r="L170" s="20" t="s">
        <v>17</v>
      </c>
      <c r="M170" s="20">
        <v>-41.86</v>
      </c>
      <c r="N170" s="20">
        <v>-45.62</v>
      </c>
      <c r="P170" s="20">
        <v>-36.98</v>
      </c>
      <c r="Q170" s="20">
        <v>-9.66</v>
      </c>
      <c r="AG170" s="20">
        <v>168.0</v>
      </c>
      <c r="AH170" s="20" t="s">
        <v>14</v>
      </c>
      <c r="AI170" s="20">
        <v>21.7</v>
      </c>
      <c r="AJ170" s="20">
        <v>8.91</v>
      </c>
      <c r="AM170" s="20">
        <v>84.0</v>
      </c>
      <c r="AN170" s="20" t="s">
        <v>17</v>
      </c>
      <c r="AO170" s="20">
        <v>-19.08</v>
      </c>
      <c r="AP170" s="20">
        <v>-0.7</v>
      </c>
      <c r="AS170" s="20">
        <v>84.0</v>
      </c>
      <c r="AT170" s="20" t="s">
        <v>17</v>
      </c>
      <c r="AU170" s="20">
        <v>-14.26</v>
      </c>
      <c r="AV170" s="20">
        <v>-19.24</v>
      </c>
      <c r="BE170" s="20">
        <v>168.0</v>
      </c>
      <c r="BF170" s="20" t="s">
        <v>14</v>
      </c>
      <c r="BG170" s="20">
        <v>56.31</v>
      </c>
      <c r="BH170" s="20">
        <v>5.52</v>
      </c>
      <c r="BK170" s="20">
        <v>84.0</v>
      </c>
      <c r="BL170" s="20" t="s">
        <v>17</v>
      </c>
      <c r="BM170" s="20">
        <v>71.73</v>
      </c>
      <c r="BN170" s="20">
        <v>51.08</v>
      </c>
      <c r="BW170" s="20">
        <v>-42.31</v>
      </c>
      <c r="BX170" s="20">
        <v>-27.97</v>
      </c>
      <c r="BZ170" s="20">
        <v>-50.12</v>
      </c>
      <c r="CA170" s="20">
        <v>-9.29</v>
      </c>
      <c r="CI170" s="20">
        <v>-39.9</v>
      </c>
      <c r="CJ170" s="20">
        <v>-43.91</v>
      </c>
      <c r="CO170" s="20">
        <v>18.46</v>
      </c>
      <c r="CP170" s="20">
        <v>-28.43</v>
      </c>
    </row>
    <row r="171">
      <c r="A171" s="20">
        <v>-40.32</v>
      </c>
      <c r="B171" s="20">
        <v>31.55</v>
      </c>
      <c r="D171" s="20"/>
      <c r="E171" s="20"/>
      <c r="F171" s="20">
        <v>-48.93</v>
      </c>
      <c r="G171" s="20">
        <v>9.98</v>
      </c>
      <c r="I171" s="20"/>
      <c r="J171" s="20"/>
      <c r="K171" s="20">
        <v>85.0</v>
      </c>
      <c r="L171" s="20" t="s">
        <v>14</v>
      </c>
      <c r="M171" s="20">
        <v>29.07</v>
      </c>
      <c r="N171" s="20">
        <v>12.61</v>
      </c>
      <c r="P171" s="20">
        <v>-1.11</v>
      </c>
      <c r="Q171" s="20">
        <v>74.97</v>
      </c>
      <c r="AG171" s="20">
        <v>169.0</v>
      </c>
      <c r="AH171" s="20" t="s">
        <v>14</v>
      </c>
      <c r="AI171" s="20">
        <v>19.21</v>
      </c>
      <c r="AJ171" s="20">
        <v>4.01</v>
      </c>
      <c r="AM171" s="20">
        <v>85.0</v>
      </c>
      <c r="AN171" s="20" t="s">
        <v>14</v>
      </c>
      <c r="AO171" s="20">
        <v>-12.47</v>
      </c>
      <c r="AP171" s="20">
        <v>16.65</v>
      </c>
      <c r="AS171" s="20">
        <v>85.0</v>
      </c>
      <c r="AT171" s="20" t="s">
        <v>14</v>
      </c>
      <c r="AU171" s="20">
        <v>-31.47</v>
      </c>
      <c r="AV171" s="20">
        <v>-49.27</v>
      </c>
      <c r="BE171" s="20">
        <v>169.0</v>
      </c>
      <c r="BF171" s="20" t="s">
        <v>14</v>
      </c>
      <c r="BG171" s="20">
        <v>-21.2</v>
      </c>
      <c r="BH171" s="20">
        <v>-24.35</v>
      </c>
      <c r="BK171" s="20">
        <v>85.0</v>
      </c>
      <c r="BL171" s="20" t="s">
        <v>14</v>
      </c>
      <c r="BM171" s="20">
        <v>-15.01</v>
      </c>
      <c r="BN171" s="20">
        <v>28.94</v>
      </c>
      <c r="BW171" s="20">
        <v>-47.68</v>
      </c>
      <c r="BX171" s="20">
        <v>-16.23</v>
      </c>
      <c r="BZ171" s="20">
        <v>-53.03</v>
      </c>
      <c r="CA171" s="20">
        <v>38.6</v>
      </c>
      <c r="CI171" s="20">
        <v>-43.31</v>
      </c>
      <c r="CJ171" s="20">
        <v>-38.55</v>
      </c>
      <c r="CO171" s="20">
        <v>-12.54</v>
      </c>
      <c r="CP171" s="20">
        <v>-48.66</v>
      </c>
    </row>
    <row r="172">
      <c r="A172" s="20">
        <v>-39.6</v>
      </c>
      <c r="B172" s="20">
        <v>150.98</v>
      </c>
      <c r="D172" s="20"/>
      <c r="E172" s="20"/>
      <c r="F172" s="20">
        <v>38.98</v>
      </c>
      <c r="G172" s="20">
        <v>-8.07</v>
      </c>
      <c r="I172" s="20"/>
      <c r="J172" s="20"/>
      <c r="K172" s="20">
        <v>85.0</v>
      </c>
      <c r="L172" s="20" t="s">
        <v>17</v>
      </c>
      <c r="M172" s="20">
        <v>-23.15</v>
      </c>
      <c r="N172" s="20">
        <v>43.13</v>
      </c>
      <c r="P172" s="20">
        <v>-29.85</v>
      </c>
      <c r="Q172" s="20">
        <v>-2.66</v>
      </c>
      <c r="AG172" s="20">
        <v>170.0</v>
      </c>
      <c r="AH172" s="20" t="s">
        <v>14</v>
      </c>
      <c r="AI172" s="20">
        <v>-27.83</v>
      </c>
      <c r="AJ172" s="20">
        <v>-25.27</v>
      </c>
      <c r="AM172" s="20">
        <v>85.0</v>
      </c>
      <c r="AN172" s="20" t="s">
        <v>17</v>
      </c>
      <c r="AO172" s="20">
        <v>21.04</v>
      </c>
      <c r="AP172" s="20">
        <v>12.36</v>
      </c>
      <c r="AS172" s="20">
        <v>85.0</v>
      </c>
      <c r="AT172" s="20" t="s">
        <v>17</v>
      </c>
      <c r="AU172" s="20">
        <v>-55.53</v>
      </c>
      <c r="AV172" s="20">
        <v>-55.82</v>
      </c>
      <c r="BE172" s="20">
        <v>170.0</v>
      </c>
      <c r="BF172" s="20" t="s">
        <v>14</v>
      </c>
      <c r="BG172" s="20">
        <v>-19.28</v>
      </c>
      <c r="BH172" s="20">
        <v>3.13</v>
      </c>
      <c r="BK172" s="20">
        <v>85.0</v>
      </c>
      <c r="BL172" s="20" t="s">
        <v>17</v>
      </c>
      <c r="BM172" s="20">
        <v>3.93</v>
      </c>
      <c r="BN172" s="20">
        <v>81.34</v>
      </c>
      <c r="BW172" s="20">
        <v>-2.2</v>
      </c>
      <c r="BX172" s="20">
        <v>-19.38</v>
      </c>
      <c r="BZ172" s="20">
        <v>-47.28</v>
      </c>
      <c r="CA172" s="20">
        <v>91.17</v>
      </c>
      <c r="CI172" s="20">
        <v>-55.06</v>
      </c>
      <c r="CJ172" s="20">
        <v>-63.08</v>
      </c>
      <c r="CO172" s="20">
        <v>-4.24</v>
      </c>
      <c r="CP172" s="20">
        <v>-40.21</v>
      </c>
    </row>
    <row r="173">
      <c r="A173" s="20">
        <v>2.48</v>
      </c>
      <c r="B173" s="20">
        <v>4.57</v>
      </c>
      <c r="D173" s="20"/>
      <c r="E173" s="20"/>
      <c r="F173" s="20">
        <v>-29.75</v>
      </c>
      <c r="G173" s="20">
        <v>-23.01</v>
      </c>
      <c r="I173" s="20"/>
      <c r="J173" s="20"/>
      <c r="K173" s="20">
        <v>86.0</v>
      </c>
      <c r="L173" s="20" t="s">
        <v>14</v>
      </c>
      <c r="M173" s="20">
        <v>-22.16</v>
      </c>
      <c r="N173" s="20">
        <v>-9.67</v>
      </c>
      <c r="P173" s="20">
        <v>19.14</v>
      </c>
      <c r="Q173" s="20">
        <v>8.78</v>
      </c>
      <c r="AG173" s="20">
        <v>171.0</v>
      </c>
      <c r="AH173" s="20" t="s">
        <v>14</v>
      </c>
      <c r="AI173" s="20">
        <v>-21.18</v>
      </c>
      <c r="AJ173" s="20">
        <v>-10.8</v>
      </c>
      <c r="AM173" s="20">
        <v>86.0</v>
      </c>
      <c r="AN173" s="20" t="s">
        <v>14</v>
      </c>
      <c r="AO173" s="20">
        <v>14.22</v>
      </c>
      <c r="AP173" s="20">
        <v>6.96</v>
      </c>
      <c r="AS173" s="20">
        <v>86.0</v>
      </c>
      <c r="AT173" s="20" t="s">
        <v>14</v>
      </c>
      <c r="AU173" s="20">
        <v>-16.1</v>
      </c>
      <c r="AV173" s="20">
        <v>-36.06</v>
      </c>
      <c r="BE173" s="20">
        <v>171.0</v>
      </c>
      <c r="BF173" s="20" t="s">
        <v>14</v>
      </c>
      <c r="BG173" s="20">
        <v>-21.85</v>
      </c>
      <c r="BH173" s="20">
        <v>-15.17</v>
      </c>
      <c r="BK173" s="20">
        <v>86.0</v>
      </c>
      <c r="BL173" s="20" t="s">
        <v>14</v>
      </c>
      <c r="BM173" s="20">
        <v>59.02</v>
      </c>
      <c r="BN173" s="20">
        <v>63.53</v>
      </c>
      <c r="BW173" s="20">
        <v>-41.43</v>
      </c>
      <c r="BX173" s="20">
        <v>-29.65</v>
      </c>
      <c r="BZ173" s="20">
        <v>-25.98</v>
      </c>
      <c r="CA173" s="20">
        <v>75.88</v>
      </c>
      <c r="CI173" s="20">
        <v>-61.26</v>
      </c>
      <c r="CJ173" s="20">
        <v>-69.65</v>
      </c>
      <c r="CO173" s="20">
        <v>-19.91</v>
      </c>
      <c r="CP173" s="20">
        <v>-54.57</v>
      </c>
    </row>
    <row r="174">
      <c r="A174" s="20">
        <v>-1.45</v>
      </c>
      <c r="B174" s="20">
        <v>32.97</v>
      </c>
      <c r="D174" s="20"/>
      <c r="E174" s="20"/>
      <c r="F174" s="20">
        <v>19.31</v>
      </c>
      <c r="G174" s="20">
        <v>-24.59</v>
      </c>
      <c r="I174" s="20"/>
      <c r="J174" s="20"/>
      <c r="K174" s="20">
        <v>86.0</v>
      </c>
      <c r="L174" s="20" t="s">
        <v>17</v>
      </c>
      <c r="M174" s="20">
        <v>-37.67</v>
      </c>
      <c r="N174" s="20">
        <v>-16.7</v>
      </c>
      <c r="P174" s="20">
        <v>-7.9</v>
      </c>
      <c r="Q174" s="20">
        <v>7.66</v>
      </c>
      <c r="AG174" s="20">
        <v>172.0</v>
      </c>
      <c r="AH174" s="20" t="s">
        <v>14</v>
      </c>
      <c r="AI174" s="20">
        <v>-42.57</v>
      </c>
      <c r="AJ174" s="20">
        <v>-15.53</v>
      </c>
      <c r="AM174" s="20">
        <v>86.0</v>
      </c>
      <c r="AN174" s="20" t="s">
        <v>17</v>
      </c>
      <c r="AO174" s="20">
        <v>-22.31</v>
      </c>
      <c r="AP174" s="20">
        <v>-33.77</v>
      </c>
      <c r="AS174" s="20">
        <v>86.0</v>
      </c>
      <c r="AT174" s="20" t="s">
        <v>17</v>
      </c>
      <c r="AU174" s="20">
        <v>-17.44</v>
      </c>
      <c r="AV174" s="20">
        <v>-49.84</v>
      </c>
      <c r="BE174" s="20">
        <v>172.0</v>
      </c>
      <c r="BF174" s="20" t="s">
        <v>14</v>
      </c>
      <c r="BG174" s="20">
        <v>1.35</v>
      </c>
      <c r="BH174" s="20">
        <v>-13.52</v>
      </c>
      <c r="BK174" s="20">
        <v>86.0</v>
      </c>
      <c r="BL174" s="20" t="s">
        <v>17</v>
      </c>
      <c r="BM174" s="20">
        <v>17.14</v>
      </c>
      <c r="BN174" s="20">
        <v>97.38</v>
      </c>
      <c r="BW174" s="20">
        <v>-50.51</v>
      </c>
      <c r="BX174" s="20">
        <v>-29.27</v>
      </c>
      <c r="BZ174" s="20">
        <v>-44.3</v>
      </c>
      <c r="CA174" s="20">
        <v>44.26</v>
      </c>
      <c r="CI174" s="20">
        <v>-63.29</v>
      </c>
      <c r="CJ174" s="20">
        <v>-62.16</v>
      </c>
      <c r="CO174" s="20">
        <v>-15.85</v>
      </c>
      <c r="CP174" s="20">
        <v>-56.75</v>
      </c>
    </row>
    <row r="175">
      <c r="A175" s="20">
        <v>92.91</v>
      </c>
      <c r="B175" s="20">
        <v>47.33</v>
      </c>
      <c r="D175" s="20"/>
      <c r="E175" s="20"/>
      <c r="F175" s="20">
        <v>-39.71</v>
      </c>
      <c r="G175" s="20">
        <v>1.9</v>
      </c>
      <c r="I175" s="20"/>
      <c r="J175" s="20"/>
      <c r="K175" s="20">
        <v>87.0</v>
      </c>
      <c r="L175" s="20" t="s">
        <v>14</v>
      </c>
      <c r="M175" s="20">
        <v>-33.44</v>
      </c>
      <c r="N175" s="20">
        <v>-2.94</v>
      </c>
      <c r="P175" s="20">
        <v>-23.51</v>
      </c>
      <c r="Q175" s="20">
        <v>59.39</v>
      </c>
      <c r="AG175" s="20">
        <v>173.0</v>
      </c>
      <c r="AH175" s="20" t="s">
        <v>14</v>
      </c>
      <c r="AI175" s="20">
        <v>-23.96</v>
      </c>
      <c r="AJ175" s="20">
        <v>-32.04</v>
      </c>
      <c r="AM175" s="20">
        <v>87.0</v>
      </c>
      <c r="AN175" s="20" t="s">
        <v>14</v>
      </c>
      <c r="AO175" s="20">
        <v>-17.51</v>
      </c>
      <c r="AP175" s="20">
        <v>-2.12</v>
      </c>
      <c r="AS175" s="20">
        <v>87.0</v>
      </c>
      <c r="AT175" s="20" t="s">
        <v>14</v>
      </c>
      <c r="AU175" s="20">
        <v>-47.53</v>
      </c>
      <c r="AV175" s="20">
        <v>-59.43</v>
      </c>
      <c r="BE175" s="20">
        <v>173.0</v>
      </c>
      <c r="BF175" s="20" t="s">
        <v>14</v>
      </c>
      <c r="BG175" s="20">
        <v>-28.63</v>
      </c>
      <c r="BH175" s="20">
        <v>-9.43</v>
      </c>
      <c r="BK175" s="20">
        <v>87.0</v>
      </c>
      <c r="BL175" s="20" t="s">
        <v>14</v>
      </c>
      <c r="BM175" s="20">
        <v>-30.43</v>
      </c>
      <c r="BN175" s="20">
        <v>32.65</v>
      </c>
      <c r="BW175" s="20">
        <v>-26.27</v>
      </c>
      <c r="BX175" s="20">
        <v>46.62</v>
      </c>
      <c r="BZ175" s="20">
        <v>-43.11</v>
      </c>
      <c r="CA175" s="20">
        <v>40.78</v>
      </c>
      <c r="CI175" s="20">
        <v>-54.43</v>
      </c>
      <c r="CJ175" s="20">
        <v>-60.72</v>
      </c>
      <c r="CO175" s="20">
        <v>1.23</v>
      </c>
      <c r="CP175" s="20">
        <v>-49.33</v>
      </c>
    </row>
    <row r="176">
      <c r="A176" s="20">
        <v>92.61</v>
      </c>
      <c r="B176" s="20">
        <v>21.74</v>
      </c>
      <c r="D176" s="20"/>
      <c r="E176" s="20"/>
      <c r="F176" s="20">
        <v>-45.99</v>
      </c>
      <c r="G176" s="20">
        <v>-18.11</v>
      </c>
      <c r="I176" s="20"/>
      <c r="J176" s="20"/>
      <c r="K176" s="20">
        <v>87.0</v>
      </c>
      <c r="L176" s="20" t="s">
        <v>17</v>
      </c>
      <c r="M176" s="20">
        <v>0.63</v>
      </c>
      <c r="N176" s="20">
        <v>45.94</v>
      </c>
      <c r="P176" s="20">
        <v>-4.0</v>
      </c>
      <c r="Q176" s="20">
        <v>29.92</v>
      </c>
      <c r="AG176" s="20">
        <v>174.0</v>
      </c>
      <c r="AH176" s="20" t="s">
        <v>14</v>
      </c>
      <c r="AI176" s="20">
        <v>-10.8</v>
      </c>
      <c r="AJ176" s="20">
        <v>-5.56</v>
      </c>
      <c r="AM176" s="20">
        <v>87.0</v>
      </c>
      <c r="AN176" s="20" t="s">
        <v>17</v>
      </c>
      <c r="AO176" s="20">
        <v>34.52</v>
      </c>
      <c r="AP176" s="20">
        <v>9.45</v>
      </c>
      <c r="AS176" s="20">
        <v>87.0</v>
      </c>
      <c r="AT176" s="20" t="s">
        <v>17</v>
      </c>
      <c r="AU176" s="20">
        <v>-62.56</v>
      </c>
      <c r="AV176" s="20">
        <v>-63.15</v>
      </c>
      <c r="BE176" s="20">
        <v>174.0</v>
      </c>
      <c r="BF176" s="20" t="s">
        <v>14</v>
      </c>
      <c r="BG176" s="20">
        <v>18.43</v>
      </c>
      <c r="BH176" s="20">
        <v>19.99</v>
      </c>
      <c r="BK176" s="20">
        <v>87.0</v>
      </c>
      <c r="BL176" s="20" t="s">
        <v>17</v>
      </c>
      <c r="BM176" s="20">
        <v>4.91</v>
      </c>
      <c r="BN176" s="20">
        <v>54.7</v>
      </c>
      <c r="BW176" s="20">
        <v>-54.76</v>
      </c>
      <c r="BX176" s="20">
        <v>-27.56</v>
      </c>
      <c r="BZ176" s="20">
        <v>-55.49</v>
      </c>
      <c r="CA176" s="20">
        <v>38.79</v>
      </c>
      <c r="CI176" s="20">
        <v>-63.45</v>
      </c>
      <c r="CJ176" s="20">
        <v>-54.84</v>
      </c>
      <c r="CO176" s="20">
        <v>-21.82</v>
      </c>
      <c r="CP176" s="20">
        <v>-58.96</v>
      </c>
    </row>
    <row r="177">
      <c r="A177" s="20">
        <v>-20.07</v>
      </c>
      <c r="B177" s="20">
        <v>90.53</v>
      </c>
      <c r="D177" s="20"/>
      <c r="E177" s="20"/>
      <c r="F177" s="20">
        <v>-7.02</v>
      </c>
      <c r="G177" s="20">
        <v>15.86</v>
      </c>
      <c r="I177" s="20"/>
      <c r="J177" s="20"/>
      <c r="K177" s="20">
        <v>88.0</v>
      </c>
      <c r="L177" s="20" t="s">
        <v>14</v>
      </c>
      <c r="M177" s="20">
        <v>-28.72</v>
      </c>
      <c r="N177" s="20">
        <v>5.34</v>
      </c>
      <c r="P177" s="20">
        <v>10.58</v>
      </c>
      <c r="Q177" s="20">
        <v>25.58</v>
      </c>
      <c r="AG177" s="20">
        <v>175.0</v>
      </c>
      <c r="AH177" s="20" t="s">
        <v>14</v>
      </c>
      <c r="AI177" s="20">
        <v>-26.57</v>
      </c>
      <c r="AJ177" s="20">
        <v>1.96</v>
      </c>
      <c r="AM177" s="20">
        <v>88.0</v>
      </c>
      <c r="AN177" s="20" t="s">
        <v>14</v>
      </c>
      <c r="AO177" s="20">
        <v>-7.26</v>
      </c>
      <c r="AP177" s="20">
        <v>33.4</v>
      </c>
      <c r="AS177" s="20">
        <v>88.0</v>
      </c>
      <c r="AT177" s="20" t="s">
        <v>14</v>
      </c>
      <c r="AU177" s="20">
        <v>2.84</v>
      </c>
      <c r="AV177" s="20">
        <v>-34.28</v>
      </c>
      <c r="BE177" s="20">
        <v>175.0</v>
      </c>
      <c r="BF177" s="20" t="s">
        <v>14</v>
      </c>
      <c r="BG177" s="20">
        <v>25.46</v>
      </c>
      <c r="BH177" s="20">
        <v>13.78</v>
      </c>
      <c r="BK177" s="20">
        <v>88.0</v>
      </c>
      <c r="BL177" s="20" t="s">
        <v>14</v>
      </c>
      <c r="BM177" s="20">
        <v>-19.71</v>
      </c>
      <c r="BN177" s="20">
        <v>-3.43</v>
      </c>
      <c r="BW177" s="20">
        <v>-39.04</v>
      </c>
      <c r="BX177" s="20">
        <v>-22.87</v>
      </c>
      <c r="BZ177" s="20">
        <v>-31.91</v>
      </c>
      <c r="CA177" s="20">
        <v>25.12</v>
      </c>
      <c r="CI177" s="20">
        <v>-39.91</v>
      </c>
      <c r="CJ177" s="20">
        <v>-50.38</v>
      </c>
      <c r="CO177" s="20">
        <v>-18.25</v>
      </c>
      <c r="CP177" s="20">
        <v>-62.83</v>
      </c>
    </row>
    <row r="178">
      <c r="A178" s="20">
        <v>-31.99</v>
      </c>
      <c r="B178" s="20">
        <v>166.43</v>
      </c>
      <c r="D178" s="20"/>
      <c r="E178" s="20"/>
      <c r="F178" s="20">
        <v>-12.8</v>
      </c>
      <c r="G178" s="20">
        <v>15.73</v>
      </c>
      <c r="I178" s="20"/>
      <c r="J178" s="20"/>
      <c r="K178" s="20">
        <v>88.0</v>
      </c>
      <c r="L178" s="20" t="s">
        <v>17</v>
      </c>
      <c r="M178" s="20">
        <v>-30.53</v>
      </c>
      <c r="N178" s="20">
        <v>108.15</v>
      </c>
      <c r="P178" s="20">
        <v>-12.0</v>
      </c>
      <c r="Q178" s="20">
        <v>31.26</v>
      </c>
      <c r="AG178" s="20">
        <v>176.0</v>
      </c>
      <c r="AH178" s="20" t="s">
        <v>14</v>
      </c>
      <c r="AI178" s="20">
        <v>-5.27</v>
      </c>
      <c r="AJ178" s="20">
        <v>-3.43</v>
      </c>
      <c r="AM178" s="20">
        <v>88.0</v>
      </c>
      <c r="AN178" s="20" t="s">
        <v>17</v>
      </c>
      <c r="AO178" s="20">
        <v>-6.88</v>
      </c>
      <c r="AP178" s="20">
        <v>-55.56</v>
      </c>
      <c r="AS178" s="20">
        <v>88.0</v>
      </c>
      <c r="AT178" s="20" t="s">
        <v>17</v>
      </c>
      <c r="AU178" s="20">
        <v>-35.15</v>
      </c>
      <c r="AV178" s="20">
        <v>-58.71</v>
      </c>
      <c r="BE178" s="20">
        <v>176.0</v>
      </c>
      <c r="BF178" s="20" t="s">
        <v>14</v>
      </c>
      <c r="BG178" s="20">
        <v>-10.86</v>
      </c>
      <c r="BH178" s="20">
        <v>26.71</v>
      </c>
      <c r="BK178" s="20">
        <v>88.0</v>
      </c>
      <c r="BL178" s="20" t="s">
        <v>17</v>
      </c>
      <c r="BM178" s="20">
        <v>56.73</v>
      </c>
      <c r="BN178" s="20">
        <v>134.72</v>
      </c>
      <c r="BW178" s="20">
        <v>-25.66</v>
      </c>
      <c r="BX178" s="20">
        <v>-4.85</v>
      </c>
      <c r="BZ178" s="20">
        <v>-57.96</v>
      </c>
      <c r="CA178" s="20">
        <v>-21.46</v>
      </c>
      <c r="CI178" s="20">
        <v>-51.31</v>
      </c>
      <c r="CJ178" s="20">
        <v>-62.99</v>
      </c>
      <c r="CO178" s="20">
        <v>-6.94</v>
      </c>
      <c r="CP178" s="20">
        <v>-62.34</v>
      </c>
    </row>
    <row r="179">
      <c r="A179" s="20">
        <v>-17.75</v>
      </c>
      <c r="B179" s="20">
        <v>127.97</v>
      </c>
      <c r="D179" s="20"/>
      <c r="E179" s="20"/>
      <c r="F179" s="20">
        <v>-1.43</v>
      </c>
      <c r="G179" s="20">
        <v>3.7</v>
      </c>
      <c r="I179" s="20"/>
      <c r="J179" s="20"/>
      <c r="K179" s="20">
        <v>89.0</v>
      </c>
      <c r="L179" s="20" t="s">
        <v>14</v>
      </c>
      <c r="M179" s="20">
        <v>-6.76</v>
      </c>
      <c r="N179" s="20">
        <v>-9.28</v>
      </c>
      <c r="P179" s="20">
        <v>3.21</v>
      </c>
      <c r="Q179" s="20">
        <v>2.82</v>
      </c>
      <c r="AG179" s="20">
        <v>177.0</v>
      </c>
      <c r="AH179" s="20" t="s">
        <v>14</v>
      </c>
      <c r="AI179" s="20">
        <v>-16.97</v>
      </c>
      <c r="AJ179" s="20">
        <v>-16.41</v>
      </c>
      <c r="AM179" s="20">
        <v>89.0</v>
      </c>
      <c r="AN179" s="20" t="s">
        <v>14</v>
      </c>
      <c r="AO179" s="20">
        <v>1.96</v>
      </c>
      <c r="AP179" s="20">
        <v>-14.19</v>
      </c>
      <c r="AS179" s="20">
        <v>89.0</v>
      </c>
      <c r="AT179" s="20" t="s">
        <v>14</v>
      </c>
      <c r="AU179" s="20">
        <v>-6.55</v>
      </c>
      <c r="AV179" s="20">
        <v>-31.36</v>
      </c>
      <c r="BE179" s="20">
        <v>177.0</v>
      </c>
      <c r="BF179" s="20" t="s">
        <v>14</v>
      </c>
      <c r="BG179" s="20">
        <v>-11.03</v>
      </c>
      <c r="BH179" s="20">
        <v>-0.84</v>
      </c>
      <c r="BK179" s="20">
        <v>89.0</v>
      </c>
      <c r="BL179" s="20" t="s">
        <v>14</v>
      </c>
      <c r="BM179" s="20">
        <v>27.14</v>
      </c>
      <c r="BN179" s="20">
        <v>42.58</v>
      </c>
      <c r="BW179" s="20">
        <v>-40.09</v>
      </c>
      <c r="BX179" s="20">
        <v>-14.27</v>
      </c>
      <c r="BZ179" s="20">
        <v>-49.55</v>
      </c>
      <c r="CA179" s="20">
        <v>-1.53</v>
      </c>
      <c r="CI179" s="20">
        <v>-66.87</v>
      </c>
      <c r="CJ179" s="20">
        <v>-55.34</v>
      </c>
      <c r="CO179" s="20">
        <v>-16.71</v>
      </c>
      <c r="CP179" s="20">
        <v>-53.02</v>
      </c>
    </row>
    <row r="180">
      <c r="A180" s="20">
        <v>-40.66</v>
      </c>
      <c r="B180" s="20">
        <v>52.49</v>
      </c>
      <c r="D180" s="20"/>
      <c r="E180" s="20"/>
      <c r="F180" s="20">
        <v>-42.23</v>
      </c>
      <c r="G180" s="20">
        <v>5.41</v>
      </c>
      <c r="I180" s="20"/>
      <c r="J180" s="20"/>
      <c r="K180" s="20">
        <v>89.0</v>
      </c>
      <c r="L180" s="20" t="s">
        <v>17</v>
      </c>
      <c r="M180" s="20">
        <v>-24.74</v>
      </c>
      <c r="N180" s="20">
        <v>4.79</v>
      </c>
      <c r="P180" s="20">
        <v>0.58</v>
      </c>
      <c r="Q180" s="20">
        <v>20.67</v>
      </c>
      <c r="AG180" s="20">
        <v>178.0</v>
      </c>
      <c r="AH180" s="20" t="s">
        <v>14</v>
      </c>
      <c r="AI180" s="20">
        <v>-45.7</v>
      </c>
      <c r="AJ180" s="20">
        <v>-31.31</v>
      </c>
      <c r="AM180" s="20">
        <v>89.0</v>
      </c>
      <c r="AN180" s="20" t="s">
        <v>17</v>
      </c>
      <c r="AO180" s="20">
        <v>-10.22</v>
      </c>
      <c r="AP180" s="20">
        <v>-1.5</v>
      </c>
      <c r="AS180" s="20">
        <v>89.0</v>
      </c>
      <c r="AT180" s="20" t="s">
        <v>17</v>
      </c>
      <c r="AU180" s="20">
        <v>-46.46</v>
      </c>
      <c r="AV180" s="20">
        <v>-38.38</v>
      </c>
      <c r="BE180" s="20">
        <v>178.0</v>
      </c>
      <c r="BF180" s="20" t="s">
        <v>14</v>
      </c>
      <c r="BG180" s="20">
        <v>-17.21</v>
      </c>
      <c r="BH180" s="20">
        <v>-1.79</v>
      </c>
      <c r="BK180" s="20">
        <v>89.0</v>
      </c>
      <c r="BL180" s="20" t="s">
        <v>17</v>
      </c>
      <c r="BM180" s="20">
        <v>33.88</v>
      </c>
      <c r="BN180" s="20">
        <v>73.57</v>
      </c>
      <c r="BW180" s="20">
        <v>-51.98</v>
      </c>
      <c r="BX180" s="20">
        <v>-18.58</v>
      </c>
      <c r="BZ180" s="20">
        <v>-4.57</v>
      </c>
      <c r="CA180" s="20">
        <v>16.34</v>
      </c>
      <c r="CI180" s="20">
        <v>-41.14</v>
      </c>
      <c r="CJ180" s="20">
        <v>-59.39</v>
      </c>
      <c r="CO180" s="20">
        <v>-14.85</v>
      </c>
      <c r="CP180" s="20">
        <v>-54.64</v>
      </c>
    </row>
    <row r="181">
      <c r="A181" s="20">
        <v>-20.15</v>
      </c>
      <c r="B181" s="20">
        <v>125.05</v>
      </c>
      <c r="D181" s="20"/>
      <c r="E181" s="20"/>
      <c r="F181" s="20">
        <v>-54.61</v>
      </c>
      <c r="G181" s="20">
        <v>-6.01</v>
      </c>
      <c r="I181" s="20"/>
      <c r="J181" s="20"/>
      <c r="K181" s="20">
        <v>90.0</v>
      </c>
      <c r="L181" s="20" t="s">
        <v>14</v>
      </c>
      <c r="M181" s="20">
        <v>2.96</v>
      </c>
      <c r="N181" s="20">
        <v>-1.4</v>
      </c>
      <c r="P181" s="20">
        <v>-0.87</v>
      </c>
      <c r="Q181" s="20">
        <v>-14.82</v>
      </c>
      <c r="AG181" s="20">
        <v>179.0</v>
      </c>
      <c r="AH181" s="20" t="s">
        <v>14</v>
      </c>
      <c r="AI181" s="20">
        <v>-7.5</v>
      </c>
      <c r="AJ181" s="20">
        <v>-19.08</v>
      </c>
      <c r="AM181" s="20">
        <v>90.0</v>
      </c>
      <c r="AN181" s="20" t="s">
        <v>14</v>
      </c>
      <c r="AO181" s="20">
        <v>-0.95</v>
      </c>
      <c r="AP181" s="20">
        <v>-18.99</v>
      </c>
      <c r="AS181" s="20">
        <v>90.0</v>
      </c>
      <c r="AT181" s="20" t="s">
        <v>14</v>
      </c>
      <c r="AU181" s="20">
        <v>-19.71</v>
      </c>
      <c r="AV181" s="20">
        <v>-56.0</v>
      </c>
      <c r="BE181" s="20">
        <v>179.0</v>
      </c>
      <c r="BF181" s="20" t="s">
        <v>14</v>
      </c>
      <c r="BG181" s="20">
        <v>18.71</v>
      </c>
      <c r="BH181" s="20">
        <v>-9.09</v>
      </c>
      <c r="BK181" s="20">
        <v>90.0</v>
      </c>
      <c r="BL181" s="20" t="s">
        <v>14</v>
      </c>
      <c r="BM181" s="20">
        <v>46.43</v>
      </c>
      <c r="BN181" s="20">
        <v>63.94</v>
      </c>
      <c r="BW181" s="20">
        <v>37.0</v>
      </c>
      <c r="BX181" s="20">
        <v>42.2</v>
      </c>
      <c r="BZ181" s="20">
        <v>-38.42</v>
      </c>
      <c r="CA181" s="20">
        <v>8.72</v>
      </c>
      <c r="CI181" s="20">
        <v>-58.32</v>
      </c>
      <c r="CJ181" s="20">
        <v>-52.97</v>
      </c>
      <c r="CO181" s="20">
        <v>-43.79</v>
      </c>
      <c r="CP181" s="20">
        <v>-48.45</v>
      </c>
    </row>
    <row r="182">
      <c r="A182" s="20">
        <v>34.54</v>
      </c>
      <c r="B182" s="20">
        <v>137.62</v>
      </c>
      <c r="D182" s="20"/>
      <c r="E182" s="20"/>
      <c r="F182" s="20">
        <v>-36.07</v>
      </c>
      <c r="G182" s="20">
        <v>14.82</v>
      </c>
      <c r="I182" s="20"/>
      <c r="J182" s="20"/>
      <c r="K182" s="20">
        <v>90.0</v>
      </c>
      <c r="L182" s="20" t="s">
        <v>17</v>
      </c>
      <c r="M182" s="20">
        <v>-12.78</v>
      </c>
      <c r="N182" s="20">
        <v>-2.25</v>
      </c>
      <c r="P182" s="20">
        <v>10.19</v>
      </c>
      <c r="Q182" s="20">
        <v>21.71</v>
      </c>
      <c r="AG182" s="20">
        <v>180.0</v>
      </c>
      <c r="AH182" s="20" t="s">
        <v>14</v>
      </c>
      <c r="AI182" s="20">
        <v>-41.87</v>
      </c>
      <c r="AJ182" s="20">
        <v>-24.27</v>
      </c>
      <c r="AM182" s="20">
        <v>90.0</v>
      </c>
      <c r="AN182" s="20" t="s">
        <v>17</v>
      </c>
      <c r="AO182" s="20">
        <v>8.4</v>
      </c>
      <c r="AP182" s="20">
        <v>13.24</v>
      </c>
      <c r="AS182" s="20">
        <v>90.0</v>
      </c>
      <c r="AT182" s="20" t="s">
        <v>17</v>
      </c>
      <c r="AU182" s="20">
        <v>21.19</v>
      </c>
      <c r="AV182" s="20">
        <v>-42.12</v>
      </c>
      <c r="BE182" s="20">
        <v>180.0</v>
      </c>
      <c r="BF182" s="20" t="s">
        <v>14</v>
      </c>
      <c r="BG182" s="20">
        <v>16.15</v>
      </c>
      <c r="BH182" s="20">
        <v>22.11</v>
      </c>
      <c r="BK182" s="20">
        <v>90.0</v>
      </c>
      <c r="BL182" s="20" t="s">
        <v>17</v>
      </c>
      <c r="BM182" s="20">
        <v>5.31</v>
      </c>
      <c r="BN182" s="20">
        <v>79.43</v>
      </c>
      <c r="BW182" s="20">
        <v>-28.59</v>
      </c>
      <c r="BX182" s="20">
        <v>9.07</v>
      </c>
      <c r="BZ182" s="20">
        <v>-38.08</v>
      </c>
      <c r="CA182" s="20">
        <v>14.75</v>
      </c>
      <c r="CI182" s="20">
        <v>-42.19</v>
      </c>
      <c r="CJ182" s="20">
        <v>-45.23</v>
      </c>
      <c r="CO182" s="20">
        <v>-9.66</v>
      </c>
      <c r="CP182" s="20">
        <v>-54.86</v>
      </c>
    </row>
    <row r="183">
      <c r="A183" s="20">
        <v>-30.08</v>
      </c>
      <c r="B183" s="20">
        <v>46.78</v>
      </c>
      <c r="D183" s="20"/>
      <c r="E183" s="20"/>
      <c r="F183" s="20">
        <v>43.09</v>
      </c>
      <c r="G183" s="20">
        <v>35.28</v>
      </c>
      <c r="I183" s="20"/>
      <c r="J183" s="20"/>
      <c r="K183" s="20">
        <v>91.0</v>
      </c>
      <c r="L183" s="20" t="s">
        <v>14</v>
      </c>
      <c r="M183" s="20">
        <v>34.26</v>
      </c>
      <c r="N183" s="20">
        <v>-13.0</v>
      </c>
      <c r="P183" s="20">
        <v>49.28</v>
      </c>
      <c r="Q183" s="20">
        <v>20.18</v>
      </c>
      <c r="AG183" s="20">
        <v>181.0</v>
      </c>
      <c r="AH183" s="20" t="s">
        <v>14</v>
      </c>
      <c r="AI183" s="20">
        <v>-6.47</v>
      </c>
      <c r="AJ183" s="20">
        <v>-14.12</v>
      </c>
      <c r="AM183" s="20">
        <v>91.0</v>
      </c>
      <c r="AN183" s="20" t="s">
        <v>14</v>
      </c>
      <c r="AO183" s="20">
        <v>-4.35</v>
      </c>
      <c r="AP183" s="20">
        <v>32.17</v>
      </c>
      <c r="AS183" s="20">
        <v>91.0</v>
      </c>
      <c r="AT183" s="20" t="s">
        <v>14</v>
      </c>
      <c r="AU183" s="20">
        <v>-30.88</v>
      </c>
      <c r="AV183" s="20">
        <v>-50.36</v>
      </c>
      <c r="BE183" s="20">
        <v>181.0</v>
      </c>
      <c r="BF183" s="20" t="s">
        <v>14</v>
      </c>
      <c r="BG183" s="20">
        <v>3.46</v>
      </c>
      <c r="BH183" s="20">
        <v>18.38</v>
      </c>
      <c r="BK183" s="20">
        <v>91.0</v>
      </c>
      <c r="BL183" s="20" t="s">
        <v>14</v>
      </c>
      <c r="BM183" s="20">
        <v>74.92</v>
      </c>
      <c r="BN183" s="20">
        <v>48.5</v>
      </c>
      <c r="BW183" s="20">
        <v>-21.2</v>
      </c>
      <c r="BX183" s="20">
        <v>-3.81</v>
      </c>
      <c r="BZ183" s="20">
        <v>-42.03</v>
      </c>
      <c r="CA183" s="20">
        <v>48.06</v>
      </c>
      <c r="CI183" s="20">
        <v>-52.01</v>
      </c>
      <c r="CJ183" s="20">
        <v>-44.95</v>
      </c>
      <c r="CO183" s="20">
        <v>-29.08</v>
      </c>
      <c r="CP183" s="20">
        <v>-57.4</v>
      </c>
    </row>
    <row r="184">
      <c r="A184" s="20">
        <v>37.28</v>
      </c>
      <c r="B184" s="20">
        <v>157.04</v>
      </c>
      <c r="D184" s="20"/>
      <c r="E184" s="20"/>
      <c r="F184" s="20">
        <v>13.28</v>
      </c>
      <c r="G184" s="20">
        <v>12.5</v>
      </c>
      <c r="I184" s="20"/>
      <c r="J184" s="20"/>
      <c r="K184" s="20">
        <v>91.0</v>
      </c>
      <c r="L184" s="20" t="s">
        <v>17</v>
      </c>
      <c r="M184" s="20">
        <v>-13.01</v>
      </c>
      <c r="N184" s="20">
        <v>83.56</v>
      </c>
      <c r="P184" s="20">
        <v>15.19</v>
      </c>
      <c r="Q184" s="20">
        <v>95.16</v>
      </c>
      <c r="AG184" s="20">
        <v>182.0</v>
      </c>
      <c r="AH184" s="20" t="s">
        <v>14</v>
      </c>
      <c r="AI184" s="20">
        <v>-19.44</v>
      </c>
      <c r="AJ184" s="20">
        <v>-24.66</v>
      </c>
      <c r="AM184" s="20">
        <v>91.0</v>
      </c>
      <c r="AN184" s="20" t="s">
        <v>17</v>
      </c>
      <c r="AO184" s="20">
        <v>-7.43</v>
      </c>
      <c r="AP184" s="20">
        <v>-11.36</v>
      </c>
      <c r="AS184" s="20">
        <v>91.0</v>
      </c>
      <c r="AT184" s="20" t="s">
        <v>17</v>
      </c>
      <c r="AU184" s="20">
        <v>-1.53</v>
      </c>
      <c r="AV184" s="20">
        <v>-58.57</v>
      </c>
      <c r="BE184" s="20">
        <v>182.0</v>
      </c>
      <c r="BF184" s="20" t="s">
        <v>14</v>
      </c>
      <c r="BG184" s="20">
        <v>-19.64</v>
      </c>
      <c r="BH184" s="20">
        <v>-18.89</v>
      </c>
      <c r="BK184" s="20">
        <v>91.0</v>
      </c>
      <c r="BL184" s="20" t="s">
        <v>17</v>
      </c>
      <c r="BM184" s="20">
        <v>85.0</v>
      </c>
      <c r="BN184" s="20">
        <v>157.71</v>
      </c>
      <c r="BW184" s="20">
        <v>-56.53</v>
      </c>
      <c r="BX184" s="20">
        <v>-20.14</v>
      </c>
      <c r="BZ184" s="20">
        <v>-55.9</v>
      </c>
      <c r="CA184" s="20">
        <v>9.17</v>
      </c>
      <c r="CI184" s="20">
        <v>-41.69</v>
      </c>
      <c r="CJ184" s="20">
        <v>-63.36</v>
      </c>
      <c r="CO184" s="20">
        <v>-16.45</v>
      </c>
      <c r="CP184" s="20">
        <v>-48.7</v>
      </c>
    </row>
    <row r="185">
      <c r="A185" s="20">
        <v>-14.36</v>
      </c>
      <c r="B185" s="20">
        <v>14.76</v>
      </c>
      <c r="D185" s="20"/>
      <c r="E185" s="20"/>
      <c r="F185" s="20">
        <v>-0.78</v>
      </c>
      <c r="G185" s="20">
        <v>10.45</v>
      </c>
      <c r="I185" s="20"/>
      <c r="J185" s="20"/>
      <c r="K185" s="20">
        <v>92.0</v>
      </c>
      <c r="L185" s="20" t="s">
        <v>14</v>
      </c>
      <c r="M185" s="20">
        <v>37.84</v>
      </c>
      <c r="N185" s="20">
        <v>20.08</v>
      </c>
      <c r="P185" s="20">
        <v>39.27</v>
      </c>
      <c r="Q185" s="20">
        <v>18.63</v>
      </c>
      <c r="AG185" s="20">
        <v>183.0</v>
      </c>
      <c r="AH185" s="20" t="s">
        <v>14</v>
      </c>
      <c r="AI185" s="20">
        <v>-19.3</v>
      </c>
      <c r="AJ185" s="20">
        <v>-14.11</v>
      </c>
      <c r="AM185" s="20">
        <v>92.0</v>
      </c>
      <c r="AN185" s="20" t="s">
        <v>14</v>
      </c>
      <c r="AO185" s="20">
        <v>4.91</v>
      </c>
      <c r="AP185" s="20">
        <v>-31.71</v>
      </c>
      <c r="AS185" s="20">
        <v>92.0</v>
      </c>
      <c r="AT185" s="20" t="s">
        <v>14</v>
      </c>
      <c r="AU185" s="20">
        <v>0.55</v>
      </c>
      <c r="AV185" s="20">
        <v>-45.05</v>
      </c>
      <c r="BE185" s="20">
        <v>183.0</v>
      </c>
      <c r="BF185" s="20" t="s">
        <v>14</v>
      </c>
      <c r="BG185" s="20">
        <v>0.01</v>
      </c>
      <c r="BH185" s="20">
        <v>12.78</v>
      </c>
      <c r="BK185" s="20">
        <v>92.0</v>
      </c>
      <c r="BL185" s="20" t="s">
        <v>14</v>
      </c>
      <c r="BM185" s="20">
        <v>26.9</v>
      </c>
      <c r="BN185" s="20">
        <v>64.4</v>
      </c>
      <c r="BW185" s="20">
        <v>-6.46</v>
      </c>
      <c r="BX185" s="20">
        <v>-23.93</v>
      </c>
      <c r="BZ185" s="20">
        <v>-23.26</v>
      </c>
      <c r="CA185" s="20">
        <v>67.5</v>
      </c>
      <c r="CI185" s="20">
        <v>-46.5</v>
      </c>
      <c r="CJ185" s="20">
        <v>-59.9</v>
      </c>
      <c r="CO185" s="20">
        <v>-28.75</v>
      </c>
      <c r="CP185" s="20">
        <v>-56.95</v>
      </c>
    </row>
    <row r="186">
      <c r="A186" s="20">
        <v>-54.13</v>
      </c>
      <c r="B186" s="20">
        <v>81.42</v>
      </c>
      <c r="D186" s="20"/>
      <c r="E186" s="20"/>
      <c r="F186" s="20">
        <v>136.84</v>
      </c>
      <c r="G186" s="20">
        <v>9.02</v>
      </c>
      <c r="I186" s="20"/>
      <c r="J186" s="20"/>
      <c r="K186" s="20">
        <v>92.0</v>
      </c>
      <c r="L186" s="20" t="s">
        <v>17</v>
      </c>
      <c r="M186" s="20">
        <v>1.32</v>
      </c>
      <c r="N186" s="20">
        <v>-4.89</v>
      </c>
      <c r="P186" s="20">
        <v>-16.13</v>
      </c>
      <c r="Q186" s="20">
        <v>26.97</v>
      </c>
      <c r="AG186" s="20">
        <v>184.0</v>
      </c>
      <c r="AH186" s="20" t="s">
        <v>14</v>
      </c>
      <c r="AI186" s="20">
        <v>3.66</v>
      </c>
      <c r="AJ186" s="20">
        <v>10.78</v>
      </c>
      <c r="AM186" s="20">
        <v>92.0</v>
      </c>
      <c r="AN186" s="20" t="s">
        <v>17</v>
      </c>
      <c r="AO186" s="20">
        <v>-32.35</v>
      </c>
      <c r="AP186" s="20">
        <v>21.87</v>
      </c>
      <c r="AS186" s="20">
        <v>92.0</v>
      </c>
      <c r="AT186" s="20" t="s">
        <v>17</v>
      </c>
      <c r="AU186" s="20">
        <v>-14.54</v>
      </c>
      <c r="AV186" s="20">
        <v>-34.81</v>
      </c>
      <c r="BE186" s="20">
        <v>184.0</v>
      </c>
      <c r="BF186" s="20" t="s">
        <v>14</v>
      </c>
      <c r="BG186" s="20">
        <v>-10.99</v>
      </c>
      <c r="BH186" s="20">
        <v>-12.02</v>
      </c>
      <c r="BK186" s="20">
        <v>92.0</v>
      </c>
      <c r="BL186" s="20" t="s">
        <v>17</v>
      </c>
      <c r="BM186" s="20">
        <v>7.24</v>
      </c>
      <c r="BN186" s="20">
        <v>66.56</v>
      </c>
      <c r="BW186" s="20">
        <v>-33.58</v>
      </c>
      <c r="BX186" s="20">
        <v>-7.55</v>
      </c>
      <c r="BZ186" s="20">
        <v>-58.04</v>
      </c>
      <c r="CA186" s="20">
        <v>-10.61</v>
      </c>
      <c r="CI186" s="20">
        <v>-39.93</v>
      </c>
      <c r="CJ186" s="20">
        <v>-43.33</v>
      </c>
      <c r="CO186" s="20">
        <v>-26.73</v>
      </c>
      <c r="CP186" s="20">
        <v>-52.44</v>
      </c>
    </row>
    <row r="187">
      <c r="A187" s="20">
        <v>-65.6</v>
      </c>
      <c r="B187" s="20">
        <v>-44.03</v>
      </c>
      <c r="D187" s="20"/>
      <c r="E187" s="20"/>
      <c r="F187" s="20">
        <v>22.45</v>
      </c>
      <c r="G187" s="20">
        <v>20.02</v>
      </c>
      <c r="I187" s="20"/>
      <c r="J187" s="20"/>
      <c r="K187" s="20">
        <v>93.0</v>
      </c>
      <c r="L187" s="20" t="s">
        <v>14</v>
      </c>
      <c r="M187" s="20">
        <v>-35.73</v>
      </c>
      <c r="N187" s="20">
        <v>-12.72</v>
      </c>
      <c r="P187" s="20">
        <v>43.52</v>
      </c>
      <c r="Q187" s="20">
        <v>16.92</v>
      </c>
      <c r="AG187" s="20">
        <v>185.0</v>
      </c>
      <c r="AH187" s="20" t="s">
        <v>14</v>
      </c>
      <c r="AI187" s="20">
        <v>-15.69</v>
      </c>
      <c r="AJ187" s="20">
        <v>-33.56</v>
      </c>
      <c r="AM187" s="20">
        <v>93.0</v>
      </c>
      <c r="AN187" s="20" t="s">
        <v>14</v>
      </c>
      <c r="AO187" s="20">
        <v>-7.32</v>
      </c>
      <c r="AP187" s="20">
        <v>34.51</v>
      </c>
      <c r="AS187" s="20">
        <v>93.0</v>
      </c>
      <c r="AT187" s="20" t="s">
        <v>14</v>
      </c>
      <c r="AU187" s="20">
        <v>-31.83</v>
      </c>
      <c r="AV187" s="20">
        <v>-43.69</v>
      </c>
      <c r="BE187" s="20">
        <v>185.0</v>
      </c>
      <c r="BF187" s="20" t="s">
        <v>14</v>
      </c>
      <c r="BG187" s="20">
        <v>-10.04</v>
      </c>
      <c r="BH187" s="20">
        <v>-19.8</v>
      </c>
      <c r="BK187" s="20">
        <v>93.0</v>
      </c>
      <c r="BL187" s="20" t="s">
        <v>14</v>
      </c>
      <c r="BM187" s="20">
        <v>69.58</v>
      </c>
      <c r="BN187" s="20">
        <v>70.7</v>
      </c>
      <c r="BW187" s="20">
        <v>-45.93</v>
      </c>
      <c r="BX187" s="20">
        <v>-12.89</v>
      </c>
      <c r="BZ187" s="20">
        <v>-44.28</v>
      </c>
      <c r="CA187" s="20">
        <v>12.25</v>
      </c>
      <c r="CI187" s="20">
        <v>-45.56</v>
      </c>
      <c r="CJ187" s="20">
        <v>-43.37</v>
      </c>
      <c r="CO187" s="20">
        <v>-14.0</v>
      </c>
      <c r="CP187" s="20">
        <v>-54.08</v>
      </c>
    </row>
    <row r="188">
      <c r="A188" s="20">
        <v>-47.19</v>
      </c>
      <c r="B188" s="20">
        <v>-14.37</v>
      </c>
      <c r="D188" s="20"/>
      <c r="E188" s="20"/>
      <c r="F188" s="20">
        <v>-23.04</v>
      </c>
      <c r="G188" s="20">
        <v>39.08</v>
      </c>
      <c r="I188" s="20"/>
      <c r="J188" s="20"/>
      <c r="K188" s="20">
        <v>93.0</v>
      </c>
      <c r="L188" s="20" t="s">
        <v>17</v>
      </c>
      <c r="M188" s="20">
        <v>-19.15</v>
      </c>
      <c r="N188" s="20">
        <v>13.39</v>
      </c>
      <c r="P188" s="20">
        <v>-43.6</v>
      </c>
      <c r="Q188" s="20">
        <v>-17.53</v>
      </c>
      <c r="AG188" s="20">
        <v>186.0</v>
      </c>
      <c r="AH188" s="20" t="s">
        <v>14</v>
      </c>
      <c r="AI188" s="20">
        <v>-22.55</v>
      </c>
      <c r="AJ188" s="20">
        <v>-28.52</v>
      </c>
      <c r="AM188" s="20">
        <v>93.0</v>
      </c>
      <c r="AN188" s="20" t="s">
        <v>17</v>
      </c>
      <c r="AO188" s="20">
        <v>-32.34</v>
      </c>
      <c r="AP188" s="20">
        <v>20.91</v>
      </c>
      <c r="AS188" s="20">
        <v>93.0</v>
      </c>
      <c r="AT188" s="20" t="s">
        <v>17</v>
      </c>
      <c r="AU188" s="20">
        <v>-29.62</v>
      </c>
      <c r="AV188" s="20">
        <v>-61.31</v>
      </c>
      <c r="BE188" s="20">
        <v>186.0</v>
      </c>
      <c r="BF188" s="20" t="s">
        <v>14</v>
      </c>
      <c r="BG188" s="20">
        <v>7.4</v>
      </c>
      <c r="BH188" s="20">
        <v>22.98</v>
      </c>
      <c r="BK188" s="20">
        <v>93.0</v>
      </c>
      <c r="BL188" s="20" t="s">
        <v>17</v>
      </c>
      <c r="BM188" s="20">
        <v>64.92</v>
      </c>
      <c r="BN188" s="20">
        <v>116.32</v>
      </c>
      <c r="BW188" s="20">
        <v>-37.91</v>
      </c>
      <c r="BX188" s="20">
        <v>-32.56</v>
      </c>
      <c r="BZ188" s="20">
        <v>-22.47</v>
      </c>
      <c r="CA188" s="20">
        <v>13.86</v>
      </c>
      <c r="CI188" s="20">
        <v>-62.31</v>
      </c>
      <c r="CJ188" s="20">
        <v>-56.32</v>
      </c>
      <c r="CO188" s="20">
        <v>9.06</v>
      </c>
      <c r="CP188" s="20">
        <v>-58.13</v>
      </c>
    </row>
    <row r="189">
      <c r="A189" s="20">
        <v>-44.21</v>
      </c>
      <c r="B189" s="20">
        <v>-38.84</v>
      </c>
      <c r="D189" s="20"/>
      <c r="E189" s="20"/>
      <c r="F189" s="20">
        <v>39.31</v>
      </c>
      <c r="G189" s="20">
        <v>10.12</v>
      </c>
      <c r="I189" s="20"/>
      <c r="J189" s="20"/>
      <c r="K189" s="20">
        <v>94.0</v>
      </c>
      <c r="L189" s="20" t="s">
        <v>14</v>
      </c>
      <c r="M189" s="20">
        <v>-30.41</v>
      </c>
      <c r="N189" s="20">
        <v>-12.48</v>
      </c>
      <c r="P189" s="20">
        <v>59.77</v>
      </c>
      <c r="Q189" s="20">
        <v>32.33</v>
      </c>
      <c r="AG189" s="20">
        <v>187.0</v>
      </c>
      <c r="AH189" s="20" t="s">
        <v>14</v>
      </c>
      <c r="AI189" s="20">
        <v>-3.37</v>
      </c>
      <c r="AJ189" s="20">
        <v>21.22</v>
      </c>
      <c r="AM189" s="20">
        <v>94.0</v>
      </c>
      <c r="AN189" s="20" t="s">
        <v>14</v>
      </c>
      <c r="AO189" s="20">
        <v>1.64</v>
      </c>
      <c r="AP189" s="20">
        <v>8.82</v>
      </c>
      <c r="AS189" s="20">
        <v>94.0</v>
      </c>
      <c r="AT189" s="20" t="s">
        <v>14</v>
      </c>
      <c r="AU189" s="20">
        <v>-35.08</v>
      </c>
      <c r="AV189" s="20">
        <v>-18.37</v>
      </c>
      <c r="BE189" s="20">
        <v>187.0</v>
      </c>
      <c r="BF189" s="20" t="s">
        <v>14</v>
      </c>
      <c r="BG189" s="20">
        <v>-30.15</v>
      </c>
      <c r="BH189" s="20">
        <v>11.56</v>
      </c>
      <c r="BK189" s="20">
        <v>94.0</v>
      </c>
      <c r="BL189" s="20" t="s">
        <v>14</v>
      </c>
      <c r="BM189" s="20">
        <v>114.32</v>
      </c>
      <c r="BN189" s="20">
        <v>197.17</v>
      </c>
      <c r="BW189" s="20">
        <v>-12.66</v>
      </c>
      <c r="BX189" s="20">
        <v>-4.69</v>
      </c>
      <c r="BZ189" s="20">
        <v>-40.32</v>
      </c>
      <c r="CA189" s="20">
        <v>12.16</v>
      </c>
      <c r="CI189" s="20">
        <v>-51.39</v>
      </c>
      <c r="CJ189" s="20">
        <v>-59.15</v>
      </c>
      <c r="CO189" s="20">
        <v>-44.56</v>
      </c>
      <c r="CP189" s="20">
        <v>-56.38</v>
      </c>
    </row>
    <row r="190">
      <c r="A190" s="20">
        <v>26.36</v>
      </c>
      <c r="B190" s="20">
        <v>12.54</v>
      </c>
      <c r="D190" s="20"/>
      <c r="E190" s="20"/>
      <c r="F190" s="20">
        <v>-8.33</v>
      </c>
      <c r="G190" s="20">
        <v>-11.1</v>
      </c>
      <c r="I190" s="20"/>
      <c r="J190" s="20"/>
      <c r="K190" s="20">
        <v>94.0</v>
      </c>
      <c r="L190" s="20" t="s">
        <v>17</v>
      </c>
      <c r="M190" s="20">
        <v>-46.73</v>
      </c>
      <c r="N190" s="20">
        <v>-26.29</v>
      </c>
      <c r="P190" s="20">
        <v>-8.03</v>
      </c>
      <c r="Q190" s="20">
        <v>-4.51</v>
      </c>
      <c r="AG190" s="20">
        <v>188.0</v>
      </c>
      <c r="AH190" s="20" t="s">
        <v>14</v>
      </c>
      <c r="AI190" s="20">
        <v>3.98</v>
      </c>
      <c r="AJ190" s="20">
        <v>21.9</v>
      </c>
      <c r="AM190" s="20">
        <v>94.0</v>
      </c>
      <c r="AN190" s="20" t="s">
        <v>17</v>
      </c>
      <c r="AO190" s="20">
        <v>-0.28</v>
      </c>
      <c r="AP190" s="20">
        <v>-27.16</v>
      </c>
      <c r="AS190" s="20">
        <v>94.0</v>
      </c>
      <c r="AT190" s="20" t="s">
        <v>17</v>
      </c>
      <c r="AU190" s="20">
        <v>-16.0</v>
      </c>
      <c r="AV190" s="20">
        <v>-51.72</v>
      </c>
      <c r="BE190" s="20">
        <v>188.0</v>
      </c>
      <c r="BF190" s="20" t="s">
        <v>14</v>
      </c>
      <c r="BG190" s="20">
        <v>-4.19</v>
      </c>
      <c r="BH190" s="20">
        <v>-6.36</v>
      </c>
      <c r="BK190" s="20">
        <v>94.0</v>
      </c>
      <c r="BL190" s="20" t="s">
        <v>17</v>
      </c>
      <c r="BM190" s="20">
        <v>75.7</v>
      </c>
      <c r="BN190" s="20">
        <v>147.37</v>
      </c>
      <c r="BW190" s="20">
        <v>-52.97</v>
      </c>
      <c r="BX190" s="20">
        <v>-18.9</v>
      </c>
      <c r="BZ190" s="20">
        <v>-5.17</v>
      </c>
      <c r="CA190" s="20">
        <v>17.48</v>
      </c>
      <c r="CI190" s="20">
        <v>-63.62</v>
      </c>
      <c r="CJ190" s="20">
        <v>-61.53</v>
      </c>
      <c r="CO190" s="20">
        <v>-6.86</v>
      </c>
      <c r="CP190" s="20">
        <v>-54.55</v>
      </c>
    </row>
    <row r="191">
      <c r="A191" s="20">
        <v>-44.58</v>
      </c>
      <c r="B191" s="20">
        <v>21.92</v>
      </c>
      <c r="D191" s="20"/>
      <c r="E191" s="20"/>
      <c r="F191" s="20">
        <v>20.19</v>
      </c>
      <c r="G191" s="20">
        <v>21.52</v>
      </c>
      <c r="I191" s="20"/>
      <c r="J191" s="20"/>
      <c r="K191" s="20">
        <v>95.0</v>
      </c>
      <c r="L191" s="20" t="s">
        <v>14</v>
      </c>
      <c r="M191" s="20">
        <v>-9.15</v>
      </c>
      <c r="N191" s="20">
        <v>8.64</v>
      </c>
      <c r="P191" s="20">
        <v>28.64</v>
      </c>
      <c r="Q191" s="20">
        <v>4.62</v>
      </c>
      <c r="AG191" s="20">
        <v>189.0</v>
      </c>
      <c r="AH191" s="20" t="s">
        <v>14</v>
      </c>
      <c r="AI191" s="20">
        <v>1.41</v>
      </c>
      <c r="AJ191" s="20">
        <v>23.81</v>
      </c>
      <c r="AM191" s="20">
        <v>95.0</v>
      </c>
      <c r="AN191" s="20" t="s">
        <v>14</v>
      </c>
      <c r="AO191" s="20">
        <v>-13.52</v>
      </c>
      <c r="AP191" s="20">
        <v>40.74</v>
      </c>
      <c r="AS191" s="20">
        <v>95.0</v>
      </c>
      <c r="AT191" s="20" t="s">
        <v>14</v>
      </c>
      <c r="AU191" s="20">
        <v>13.39</v>
      </c>
      <c r="AV191" s="20">
        <v>-33.93</v>
      </c>
      <c r="BE191" s="20">
        <v>189.0</v>
      </c>
      <c r="BF191" s="20" t="s">
        <v>14</v>
      </c>
      <c r="BG191" s="20">
        <v>-9.5</v>
      </c>
      <c r="BH191" s="20">
        <v>23.66</v>
      </c>
      <c r="BK191" s="20">
        <v>95.0</v>
      </c>
      <c r="BL191" s="20" t="s">
        <v>14</v>
      </c>
      <c r="BM191" s="20">
        <v>32.0</v>
      </c>
      <c r="BN191" s="20">
        <v>52.35</v>
      </c>
      <c r="BW191" s="20">
        <v>-23.96</v>
      </c>
      <c r="BX191" s="20">
        <v>-1.97</v>
      </c>
      <c r="BZ191" s="20">
        <v>-37.08</v>
      </c>
      <c r="CA191" s="20">
        <v>5.75</v>
      </c>
      <c r="CI191" s="20">
        <v>-47.65</v>
      </c>
      <c r="CJ191" s="20">
        <v>-64.2</v>
      </c>
      <c r="CO191" s="20">
        <v>-34.67</v>
      </c>
      <c r="CP191" s="20">
        <v>-59.18</v>
      </c>
    </row>
    <row r="192">
      <c r="A192" s="20">
        <v>-52.35</v>
      </c>
      <c r="B192" s="20">
        <v>-18.12</v>
      </c>
      <c r="D192" s="20"/>
      <c r="E192" s="20"/>
      <c r="F192" s="20">
        <v>-14.58</v>
      </c>
      <c r="G192" s="20">
        <v>48.74</v>
      </c>
      <c r="I192" s="20"/>
      <c r="J192" s="20"/>
      <c r="K192" s="20">
        <v>95.0</v>
      </c>
      <c r="L192" s="20" t="s">
        <v>17</v>
      </c>
      <c r="M192" s="20">
        <v>5.26</v>
      </c>
      <c r="N192" s="20">
        <v>-13.93</v>
      </c>
      <c r="P192" s="20">
        <v>-44.3</v>
      </c>
      <c r="Q192" s="20">
        <v>-10.33</v>
      </c>
      <c r="AG192" s="20">
        <v>190.0</v>
      </c>
      <c r="AH192" s="20" t="s">
        <v>14</v>
      </c>
      <c r="AI192" s="20">
        <v>-19.98</v>
      </c>
      <c r="AJ192" s="20">
        <v>-15.86</v>
      </c>
      <c r="AM192" s="20">
        <v>95.0</v>
      </c>
      <c r="AN192" s="20" t="s">
        <v>17</v>
      </c>
      <c r="AO192" s="20">
        <v>12.49</v>
      </c>
      <c r="AP192" s="20">
        <v>-18.89</v>
      </c>
      <c r="AS192" s="20">
        <v>95.0</v>
      </c>
      <c r="AT192" s="20" t="s">
        <v>17</v>
      </c>
      <c r="AU192" s="20">
        <v>-20.82</v>
      </c>
      <c r="AV192" s="20">
        <v>-57.96</v>
      </c>
      <c r="BE192" s="20">
        <v>190.0</v>
      </c>
      <c r="BF192" s="20" t="s">
        <v>14</v>
      </c>
      <c r="BG192" s="20">
        <v>36.97</v>
      </c>
      <c r="BH192" s="20">
        <v>6.02</v>
      </c>
      <c r="BK192" s="20">
        <v>95.0</v>
      </c>
      <c r="BL192" s="20" t="s">
        <v>17</v>
      </c>
      <c r="BM192" s="20">
        <v>28.31</v>
      </c>
      <c r="BN192" s="20">
        <v>98.6</v>
      </c>
      <c r="BW192" s="20">
        <v>-42.57</v>
      </c>
      <c r="BX192" s="20">
        <v>-10.09</v>
      </c>
      <c r="BZ192" s="20">
        <v>-51.2</v>
      </c>
      <c r="CA192" s="20">
        <v>-8.14</v>
      </c>
      <c r="CI192" s="20">
        <v>-40.14</v>
      </c>
      <c r="CJ192" s="20">
        <v>-35.84</v>
      </c>
      <c r="CO192" s="20">
        <v>-18.99</v>
      </c>
      <c r="CP192" s="20">
        <v>-58.25</v>
      </c>
    </row>
    <row r="193">
      <c r="A193" s="20">
        <v>-25.62</v>
      </c>
      <c r="B193" s="20">
        <v>43.9</v>
      </c>
      <c r="D193" s="20"/>
      <c r="E193" s="20"/>
      <c r="F193" s="20">
        <v>-23.48</v>
      </c>
      <c r="G193" s="20">
        <v>33.96</v>
      </c>
      <c r="I193" s="20"/>
      <c r="J193" s="20"/>
      <c r="K193" s="20">
        <v>96.0</v>
      </c>
      <c r="L193" s="20" t="s">
        <v>14</v>
      </c>
      <c r="M193" s="20">
        <v>-38.71</v>
      </c>
      <c r="N193" s="20">
        <v>3.58</v>
      </c>
      <c r="P193" s="20">
        <v>28.37</v>
      </c>
      <c r="Q193" s="20">
        <v>31.33</v>
      </c>
      <c r="AG193" s="20">
        <v>191.0</v>
      </c>
      <c r="AH193" s="20" t="s">
        <v>14</v>
      </c>
      <c r="AI193" s="20">
        <v>21.03</v>
      </c>
      <c r="AJ193" s="20">
        <v>13.15</v>
      </c>
      <c r="AM193" s="20">
        <v>96.0</v>
      </c>
      <c r="AN193" s="20" t="s">
        <v>14</v>
      </c>
      <c r="AO193" s="20">
        <v>-7.25</v>
      </c>
      <c r="AP193" s="20">
        <v>-11.27</v>
      </c>
      <c r="AS193" s="20">
        <v>96.0</v>
      </c>
      <c r="AT193" s="20" t="s">
        <v>14</v>
      </c>
      <c r="AU193" s="20">
        <v>-22.63</v>
      </c>
      <c r="AV193" s="20">
        <v>-36.15</v>
      </c>
      <c r="BE193" s="20">
        <v>191.0</v>
      </c>
      <c r="BF193" s="20" t="s">
        <v>14</v>
      </c>
      <c r="BG193" s="20">
        <v>35.71</v>
      </c>
      <c r="BH193" s="20">
        <v>16.63</v>
      </c>
      <c r="BK193" s="20">
        <v>96.0</v>
      </c>
      <c r="BL193" s="20" t="s">
        <v>14</v>
      </c>
      <c r="BM193" s="20">
        <v>13.64</v>
      </c>
      <c r="BN193" s="20">
        <v>88.83</v>
      </c>
      <c r="BW193" s="20">
        <v>-47.5</v>
      </c>
      <c r="BX193" s="20">
        <v>-19.5</v>
      </c>
      <c r="BZ193" s="20">
        <v>-40.71</v>
      </c>
      <c r="CA193" s="20">
        <v>42.22</v>
      </c>
      <c r="CI193" s="20">
        <v>-47.7</v>
      </c>
      <c r="CJ193" s="20">
        <v>-60.06</v>
      </c>
      <c r="CO193" s="20">
        <v>-46.51</v>
      </c>
      <c r="CP193" s="20">
        <v>-57.29</v>
      </c>
    </row>
    <row r="194">
      <c r="A194" s="20">
        <v>-50.99</v>
      </c>
      <c r="B194" s="20">
        <v>15.3</v>
      </c>
      <c r="D194" s="20"/>
      <c r="E194" s="20"/>
      <c r="F194" s="20">
        <v>-4.41</v>
      </c>
      <c r="G194" s="20">
        <v>11.67</v>
      </c>
      <c r="I194" s="20"/>
      <c r="J194" s="20"/>
      <c r="K194" s="20">
        <v>96.0</v>
      </c>
      <c r="L194" s="20" t="s">
        <v>17</v>
      </c>
      <c r="M194" s="20">
        <v>-17.98</v>
      </c>
      <c r="N194" s="20">
        <v>19.15</v>
      </c>
      <c r="P194" s="20">
        <v>-35.49</v>
      </c>
      <c r="Q194" s="20">
        <v>-3.89</v>
      </c>
      <c r="AG194" s="20">
        <v>192.0</v>
      </c>
      <c r="AH194" s="20" t="s">
        <v>14</v>
      </c>
      <c r="AI194" s="20">
        <v>-13.19</v>
      </c>
      <c r="AJ194" s="20">
        <v>-15.39</v>
      </c>
      <c r="AM194" s="20">
        <v>96.0</v>
      </c>
      <c r="AN194" s="20" t="s">
        <v>17</v>
      </c>
      <c r="AO194" s="20">
        <v>-7.88</v>
      </c>
      <c r="AP194" s="20">
        <v>-44.79</v>
      </c>
      <c r="AS194" s="20">
        <v>96.0</v>
      </c>
      <c r="AT194" s="20" t="s">
        <v>17</v>
      </c>
      <c r="AU194" s="20">
        <v>-18.42</v>
      </c>
      <c r="AV194" s="20">
        <v>-31.63</v>
      </c>
      <c r="BE194" s="20">
        <v>192.0</v>
      </c>
      <c r="BF194" s="20" t="s">
        <v>14</v>
      </c>
      <c r="BG194" s="20">
        <v>2.97</v>
      </c>
      <c r="BH194" s="20">
        <v>-3.71</v>
      </c>
      <c r="BK194" s="20">
        <v>96.0</v>
      </c>
      <c r="BL194" s="20" t="s">
        <v>17</v>
      </c>
      <c r="BM194" s="20">
        <v>51.34</v>
      </c>
      <c r="BN194" s="20">
        <v>56.46</v>
      </c>
      <c r="BW194" s="20">
        <v>-41.85</v>
      </c>
      <c r="BX194" s="20">
        <v>-13.31</v>
      </c>
      <c r="BZ194" s="20">
        <v>-59.49</v>
      </c>
      <c r="CA194" s="20">
        <v>-2.02</v>
      </c>
      <c r="CI194" s="20">
        <v>-51.14</v>
      </c>
      <c r="CJ194" s="20">
        <v>-46.5</v>
      </c>
      <c r="CO194" s="20">
        <v>-49.64</v>
      </c>
      <c r="CP194" s="20">
        <v>-62.25</v>
      </c>
    </row>
    <row r="195">
      <c r="A195" s="20">
        <v>-17.36</v>
      </c>
      <c r="B195" s="20">
        <v>-15.27</v>
      </c>
      <c r="D195" s="20"/>
      <c r="E195" s="20"/>
      <c r="F195" s="20">
        <v>0.85</v>
      </c>
      <c r="G195" s="20">
        <v>60.16</v>
      </c>
      <c r="I195" s="20"/>
      <c r="J195" s="20"/>
      <c r="K195" s="20">
        <v>97.0</v>
      </c>
      <c r="L195" s="20" t="s">
        <v>14</v>
      </c>
      <c r="M195" s="20">
        <v>19.62</v>
      </c>
      <c r="N195" s="20">
        <v>16.66</v>
      </c>
      <c r="P195" s="20">
        <v>-34.37</v>
      </c>
      <c r="Q195" s="20">
        <v>-5.97</v>
      </c>
      <c r="AG195" s="20">
        <v>193.0</v>
      </c>
      <c r="AH195" s="20" t="s">
        <v>14</v>
      </c>
      <c r="AI195" s="20">
        <v>-56.39</v>
      </c>
      <c r="AJ195" s="20">
        <v>-52.96</v>
      </c>
      <c r="AM195" s="20">
        <v>97.0</v>
      </c>
      <c r="AN195" s="20" t="s">
        <v>14</v>
      </c>
      <c r="AO195" s="20">
        <v>-0.13</v>
      </c>
      <c r="AP195" s="20">
        <v>-3.82</v>
      </c>
      <c r="AS195" s="20">
        <v>97.0</v>
      </c>
      <c r="AT195" s="20" t="s">
        <v>14</v>
      </c>
      <c r="AU195" s="20">
        <v>-14.33</v>
      </c>
      <c r="AV195" s="20">
        <v>-55.89</v>
      </c>
      <c r="BE195" s="20">
        <v>193.0</v>
      </c>
      <c r="BF195" s="20" t="s">
        <v>14</v>
      </c>
      <c r="BG195" s="20">
        <v>7.62</v>
      </c>
      <c r="BH195" s="20">
        <v>34.72</v>
      </c>
      <c r="BK195" s="20">
        <v>97.0</v>
      </c>
      <c r="BL195" s="20" t="s">
        <v>14</v>
      </c>
      <c r="BM195" s="20">
        <v>159.87</v>
      </c>
      <c r="BN195" s="20">
        <v>42.5</v>
      </c>
      <c r="BW195" s="20">
        <v>-54.1</v>
      </c>
      <c r="BX195" s="20">
        <v>-38.16</v>
      </c>
      <c r="BZ195" s="20">
        <v>-18.27</v>
      </c>
      <c r="CA195" s="20">
        <v>-43.67</v>
      </c>
      <c r="CI195" s="20">
        <v>-16.07</v>
      </c>
      <c r="CJ195" s="20">
        <v>-6.82</v>
      </c>
      <c r="CO195" s="20">
        <v>-27.07</v>
      </c>
      <c r="CP195" s="20">
        <v>-45.35</v>
      </c>
    </row>
    <row r="196">
      <c r="A196" s="20">
        <v>-45.57</v>
      </c>
      <c r="B196" s="20">
        <v>-17.96</v>
      </c>
      <c r="D196" s="20"/>
      <c r="E196" s="20"/>
      <c r="F196" s="20">
        <v>-20.76</v>
      </c>
      <c r="G196" s="20">
        <v>-2.08</v>
      </c>
      <c r="I196" s="20"/>
      <c r="J196" s="20"/>
      <c r="K196" s="20">
        <v>97.0</v>
      </c>
      <c r="L196" s="20" t="s">
        <v>17</v>
      </c>
      <c r="M196" s="20">
        <v>72.76</v>
      </c>
      <c r="N196" s="20">
        <v>-68.87</v>
      </c>
      <c r="P196" s="20">
        <v>-63.76</v>
      </c>
      <c r="Q196" s="20">
        <v>-71.57</v>
      </c>
      <c r="AG196" s="20">
        <v>194.0</v>
      </c>
      <c r="AH196" s="20" t="s">
        <v>14</v>
      </c>
      <c r="AI196" s="20">
        <v>-24.83</v>
      </c>
      <c r="AJ196" s="20">
        <v>-10.67</v>
      </c>
      <c r="AM196" s="20">
        <v>97.0</v>
      </c>
      <c r="AN196" s="20" t="s">
        <v>17</v>
      </c>
      <c r="AO196" s="20">
        <v>-10.15</v>
      </c>
      <c r="AP196" s="20">
        <v>-14.49</v>
      </c>
      <c r="AS196" s="20">
        <v>97.0</v>
      </c>
      <c r="AT196" s="20" t="s">
        <v>17</v>
      </c>
      <c r="AU196" s="20">
        <v>64.14</v>
      </c>
      <c r="AV196" s="20">
        <v>-3.55</v>
      </c>
      <c r="BE196" s="20">
        <v>194.0</v>
      </c>
      <c r="BF196" s="20" t="s">
        <v>14</v>
      </c>
      <c r="BG196" s="20">
        <v>25.83</v>
      </c>
      <c r="BH196" s="20">
        <v>14.35</v>
      </c>
      <c r="BK196" s="20">
        <v>97.0</v>
      </c>
      <c r="BL196" s="20" t="s">
        <v>17</v>
      </c>
      <c r="BM196" s="20">
        <v>-37.19</v>
      </c>
      <c r="BN196" s="20">
        <v>-42.82</v>
      </c>
      <c r="BW196" s="20">
        <v>-39.16</v>
      </c>
      <c r="BX196" s="20">
        <v>1.95</v>
      </c>
      <c r="BZ196" s="20">
        <v>3.85</v>
      </c>
      <c r="CA196" s="20">
        <v>-10.13</v>
      </c>
      <c r="CI196" s="20">
        <v>-51.23</v>
      </c>
      <c r="CJ196" s="20">
        <v>-55.41</v>
      </c>
      <c r="CO196" s="20">
        <v>-9.41</v>
      </c>
      <c r="CP196" s="20">
        <v>-51.0</v>
      </c>
    </row>
    <row r="197">
      <c r="A197" s="20">
        <v>-33.37</v>
      </c>
      <c r="B197" s="20">
        <v>132.51</v>
      </c>
      <c r="D197" s="20"/>
      <c r="E197" s="20"/>
      <c r="F197" s="20">
        <v>-7.82</v>
      </c>
      <c r="G197" s="20">
        <v>6.28</v>
      </c>
      <c r="I197" s="20"/>
      <c r="J197" s="20"/>
      <c r="K197" s="20">
        <v>98.0</v>
      </c>
      <c r="L197" s="20" t="s">
        <v>14</v>
      </c>
      <c r="M197" s="20">
        <v>25.41</v>
      </c>
      <c r="N197" s="20">
        <v>-23.62</v>
      </c>
      <c r="P197" s="20">
        <v>-18.36</v>
      </c>
      <c r="Q197" s="20">
        <v>16.28</v>
      </c>
      <c r="AG197" s="20">
        <v>195.0</v>
      </c>
      <c r="AH197" s="20" t="s">
        <v>14</v>
      </c>
      <c r="AI197" s="20">
        <v>-14.51</v>
      </c>
      <c r="AJ197" s="20">
        <v>-9.1</v>
      </c>
      <c r="AM197" s="20">
        <v>98.0</v>
      </c>
      <c r="AN197" s="20" t="s">
        <v>14</v>
      </c>
      <c r="AO197" s="20">
        <v>14.43</v>
      </c>
      <c r="AP197" s="20">
        <v>-17.8</v>
      </c>
      <c r="AS197" s="20">
        <v>98.0</v>
      </c>
      <c r="AT197" s="20" t="s">
        <v>14</v>
      </c>
      <c r="AU197" s="20">
        <v>-7.23</v>
      </c>
      <c r="AV197" s="20">
        <v>-64.07</v>
      </c>
      <c r="BE197" s="20">
        <v>195.0</v>
      </c>
      <c r="BF197" s="20" t="s">
        <v>14</v>
      </c>
      <c r="BG197" s="20">
        <v>30.13</v>
      </c>
      <c r="BH197" s="20">
        <v>47.28</v>
      </c>
      <c r="BK197" s="20">
        <v>98.0</v>
      </c>
      <c r="BL197" s="20" t="s">
        <v>14</v>
      </c>
      <c r="BM197" s="20">
        <v>-19.4</v>
      </c>
      <c r="BN197" s="20">
        <v>-54.3</v>
      </c>
      <c r="BW197" s="20">
        <v>-45.01</v>
      </c>
      <c r="BX197" s="20">
        <v>-20.24</v>
      </c>
      <c r="BZ197" s="20">
        <v>-44.92</v>
      </c>
      <c r="CA197" s="20">
        <v>136.56</v>
      </c>
      <c r="CI197" s="20">
        <v>-57.73</v>
      </c>
      <c r="CJ197" s="20">
        <v>-56.3</v>
      </c>
      <c r="CO197" s="20">
        <v>-38.7</v>
      </c>
      <c r="CP197" s="20">
        <v>-39.26</v>
      </c>
    </row>
    <row r="198">
      <c r="A198" s="20">
        <v>-59.11</v>
      </c>
      <c r="B198" s="20">
        <v>-6.82</v>
      </c>
      <c r="D198" s="20"/>
      <c r="E198" s="20"/>
      <c r="F198" s="20">
        <v>-18.59</v>
      </c>
      <c r="G198" s="20">
        <v>-5.79</v>
      </c>
      <c r="I198" s="20"/>
      <c r="J198" s="20"/>
      <c r="K198" s="20">
        <v>98.0</v>
      </c>
      <c r="L198" s="20" t="s">
        <v>17</v>
      </c>
      <c r="M198" s="20">
        <v>-45.38</v>
      </c>
      <c r="N198" s="20">
        <v>-26.79</v>
      </c>
      <c r="P198" s="20">
        <v>-69.5</v>
      </c>
      <c r="Q198" s="20">
        <v>-44.7</v>
      </c>
      <c r="AG198" s="20">
        <v>196.0</v>
      </c>
      <c r="AH198" s="20" t="s">
        <v>14</v>
      </c>
      <c r="AI198" s="20">
        <v>-44.69</v>
      </c>
      <c r="AJ198" s="20">
        <v>-48.82</v>
      </c>
      <c r="AM198" s="20">
        <v>98.0</v>
      </c>
      <c r="AN198" s="20" t="s">
        <v>17</v>
      </c>
      <c r="AO198" s="20">
        <v>-21.98</v>
      </c>
      <c r="AP198" s="20">
        <v>-26.31</v>
      </c>
      <c r="AS198" s="20">
        <v>98.0</v>
      </c>
      <c r="AT198" s="20" t="s">
        <v>17</v>
      </c>
      <c r="AU198" s="20">
        <v>-52.38</v>
      </c>
      <c r="AV198" s="20">
        <v>-42.77</v>
      </c>
      <c r="BE198" s="20">
        <v>196.0</v>
      </c>
      <c r="BF198" s="20" t="s">
        <v>14</v>
      </c>
      <c r="BG198" s="20">
        <v>-12.81</v>
      </c>
      <c r="BH198" s="20">
        <v>30.73</v>
      </c>
      <c r="BK198" s="20">
        <v>98.0</v>
      </c>
      <c r="BL198" s="20" t="s">
        <v>17</v>
      </c>
      <c r="BM198" s="20">
        <v>176.75</v>
      </c>
      <c r="BN198" s="20">
        <v>82.11</v>
      </c>
      <c r="BW198" s="20">
        <v>-67.58</v>
      </c>
      <c r="BX198" s="20">
        <v>-54.9</v>
      </c>
      <c r="BZ198" s="20">
        <v>-45.64</v>
      </c>
      <c r="CA198" s="20">
        <v>81.86</v>
      </c>
      <c r="CI198" s="20">
        <v>-37.69</v>
      </c>
      <c r="CJ198" s="20">
        <v>-6.38</v>
      </c>
      <c r="CO198" s="20">
        <v>-6.21</v>
      </c>
      <c r="CP198" s="20">
        <v>-31.1</v>
      </c>
    </row>
    <row r="199">
      <c r="A199" s="20">
        <v>-15.43</v>
      </c>
      <c r="B199" s="20">
        <v>-26.26</v>
      </c>
      <c r="D199" s="20"/>
      <c r="E199" s="20"/>
      <c r="F199" s="20">
        <v>-24.94</v>
      </c>
      <c r="G199" s="20">
        <v>-26.57</v>
      </c>
      <c r="I199" s="20"/>
      <c r="J199" s="20"/>
      <c r="K199" s="20">
        <v>99.0</v>
      </c>
      <c r="L199" s="20" t="s">
        <v>14</v>
      </c>
      <c r="M199" s="20">
        <v>41.96</v>
      </c>
      <c r="N199" s="20">
        <v>18.94</v>
      </c>
      <c r="P199" s="20">
        <v>-19.45</v>
      </c>
      <c r="Q199" s="20">
        <v>-16.47</v>
      </c>
      <c r="AG199" s="20">
        <v>197.0</v>
      </c>
      <c r="AH199" s="20" t="s">
        <v>14</v>
      </c>
      <c r="AI199" s="20">
        <v>-24.76</v>
      </c>
      <c r="AJ199" s="20">
        <v>-7.81</v>
      </c>
      <c r="AM199" s="20">
        <v>99.0</v>
      </c>
      <c r="AN199" s="20" t="s">
        <v>14</v>
      </c>
      <c r="AO199" s="20">
        <v>29.21</v>
      </c>
      <c r="AP199" s="20">
        <v>-40.32</v>
      </c>
      <c r="AS199" s="20">
        <v>99.0</v>
      </c>
      <c r="AT199" s="20" t="s">
        <v>14</v>
      </c>
      <c r="AU199" s="20">
        <v>-1.54</v>
      </c>
      <c r="AV199" s="20">
        <v>-30.98</v>
      </c>
      <c r="BE199" s="20">
        <v>197.0</v>
      </c>
      <c r="BF199" s="20" t="s">
        <v>14</v>
      </c>
      <c r="BG199" s="20">
        <v>65.03</v>
      </c>
      <c r="BH199" s="20">
        <v>38.77</v>
      </c>
      <c r="BK199" s="20">
        <v>99.0</v>
      </c>
      <c r="BL199" s="20" t="s">
        <v>14</v>
      </c>
      <c r="BM199" s="20">
        <v>24.71</v>
      </c>
      <c r="BN199" s="20">
        <v>88.23</v>
      </c>
      <c r="BW199" s="20">
        <v>-60.22</v>
      </c>
      <c r="BX199" s="20">
        <v>1.69</v>
      </c>
      <c r="BZ199" s="20">
        <v>-55.55</v>
      </c>
      <c r="CA199" s="20">
        <v>41.17</v>
      </c>
      <c r="CI199" s="20">
        <v>-54.63</v>
      </c>
      <c r="CJ199" s="20">
        <v>-59.51</v>
      </c>
      <c r="CO199" s="20">
        <v>-54.17</v>
      </c>
      <c r="CP199" s="20">
        <v>-26.83</v>
      </c>
    </row>
    <row r="200">
      <c r="A200" s="20">
        <v>12.15</v>
      </c>
      <c r="B200" s="20">
        <v>70.03</v>
      </c>
      <c r="D200" s="20"/>
      <c r="E200" s="20"/>
      <c r="F200" s="20">
        <v>-24.83</v>
      </c>
      <c r="G200" s="20">
        <v>7.79</v>
      </c>
      <c r="I200" s="20"/>
      <c r="J200" s="20"/>
      <c r="K200" s="20">
        <v>99.0</v>
      </c>
      <c r="L200" s="20" t="s">
        <v>17</v>
      </c>
      <c r="M200" s="20">
        <v>-20.3</v>
      </c>
      <c r="N200" s="20">
        <v>-42.24</v>
      </c>
      <c r="P200" s="20">
        <v>-74.0</v>
      </c>
      <c r="Q200" s="20">
        <v>-44.27</v>
      </c>
      <c r="AG200" s="20">
        <v>198.0</v>
      </c>
      <c r="AH200" s="20" t="s">
        <v>14</v>
      </c>
      <c r="AI200" s="20">
        <v>-19.46</v>
      </c>
      <c r="AJ200" s="20">
        <v>-5.55</v>
      </c>
      <c r="AM200" s="20">
        <v>99.0</v>
      </c>
      <c r="AN200" s="20" t="s">
        <v>17</v>
      </c>
      <c r="AO200" s="20">
        <v>-53.14</v>
      </c>
      <c r="AP200" s="20">
        <v>-30.06</v>
      </c>
      <c r="AS200" s="20">
        <v>99.0</v>
      </c>
      <c r="AT200" s="20" t="s">
        <v>17</v>
      </c>
      <c r="AU200" s="20">
        <v>-23.78</v>
      </c>
      <c r="AV200" s="20">
        <v>2.72</v>
      </c>
      <c r="BE200" s="20">
        <v>198.0</v>
      </c>
      <c r="BF200" s="20" t="s">
        <v>14</v>
      </c>
      <c r="BG200" s="20">
        <v>8.57</v>
      </c>
      <c r="BH200" s="20">
        <v>87.1</v>
      </c>
      <c r="BK200" s="20">
        <v>99.0</v>
      </c>
      <c r="BL200" s="20" t="s">
        <v>17</v>
      </c>
      <c r="BM200" s="20">
        <v>79.61</v>
      </c>
      <c r="BN200" s="20">
        <v>55.7</v>
      </c>
      <c r="BW200" s="20">
        <v>-48.02</v>
      </c>
      <c r="BX200" s="20">
        <v>-19.44</v>
      </c>
      <c r="BZ200" s="20">
        <v>-64.19</v>
      </c>
      <c r="CA200" s="20">
        <v>40.05</v>
      </c>
      <c r="CI200" s="20">
        <v>-45.34</v>
      </c>
      <c r="CJ200" s="20">
        <v>-50.06</v>
      </c>
      <c r="CO200" s="20">
        <v>-11.72</v>
      </c>
      <c r="CP200" s="20">
        <v>-11.12</v>
      </c>
    </row>
    <row r="201">
      <c r="A201" s="20">
        <v>-27.34</v>
      </c>
      <c r="B201" s="20">
        <v>18.5</v>
      </c>
      <c r="D201" s="20"/>
      <c r="E201" s="20"/>
      <c r="F201" s="20">
        <v>63.28</v>
      </c>
      <c r="G201" s="20">
        <v>-2.93</v>
      </c>
      <c r="I201" s="20"/>
      <c r="J201" s="20"/>
      <c r="K201" s="20">
        <v>100.0</v>
      </c>
      <c r="L201" s="20" t="s">
        <v>14</v>
      </c>
      <c r="M201" s="20">
        <v>-0.89</v>
      </c>
      <c r="N201" s="20">
        <v>16.79</v>
      </c>
      <c r="P201" s="20">
        <v>-1.14</v>
      </c>
      <c r="Q201" s="20">
        <v>-1.91</v>
      </c>
      <c r="AG201" s="20">
        <v>199.0</v>
      </c>
      <c r="AH201" s="20" t="s">
        <v>14</v>
      </c>
      <c r="AI201" s="20">
        <v>-41.73</v>
      </c>
      <c r="AJ201" s="20">
        <v>-73.66</v>
      </c>
      <c r="AM201" s="20">
        <v>100.0</v>
      </c>
      <c r="AN201" s="20" t="s">
        <v>14</v>
      </c>
      <c r="AO201" s="20">
        <v>-18.53</v>
      </c>
      <c r="AP201" s="20">
        <v>-65.59</v>
      </c>
      <c r="AS201" s="20">
        <v>100.0</v>
      </c>
      <c r="AT201" s="20" t="s">
        <v>14</v>
      </c>
      <c r="AU201" s="20">
        <v>-0.8</v>
      </c>
      <c r="AV201" s="20">
        <v>-34.44</v>
      </c>
      <c r="BE201" s="20">
        <v>199.0</v>
      </c>
      <c r="BF201" s="20" t="s">
        <v>14</v>
      </c>
      <c r="BG201" s="20">
        <v>-9.07</v>
      </c>
      <c r="BH201" s="20">
        <v>12.59</v>
      </c>
      <c r="BK201" s="20">
        <v>100.0</v>
      </c>
      <c r="BL201" s="20" t="s">
        <v>14</v>
      </c>
      <c r="BM201" s="20">
        <v>27.08</v>
      </c>
      <c r="BN201" s="20">
        <v>196.95</v>
      </c>
      <c r="BW201" s="20">
        <v>-37.54</v>
      </c>
      <c r="BX201" s="20">
        <v>-37.53</v>
      </c>
      <c r="BZ201" s="20">
        <v>-36.14</v>
      </c>
      <c r="CA201" s="20">
        <v>88.46</v>
      </c>
      <c r="CI201" s="20">
        <v>-58.63</v>
      </c>
      <c r="CJ201" s="20">
        <v>-57.42</v>
      </c>
      <c r="CO201" s="20">
        <v>-39.61</v>
      </c>
      <c r="CP201" s="20">
        <v>9.37</v>
      </c>
    </row>
    <row r="202">
      <c r="A202" s="20">
        <v>56.2</v>
      </c>
      <c r="B202" s="20">
        <v>115.8</v>
      </c>
      <c r="D202" s="20"/>
      <c r="E202" s="20"/>
      <c r="F202" s="20">
        <v>23.26</v>
      </c>
      <c r="G202" s="20">
        <v>8.48</v>
      </c>
      <c r="I202" s="20"/>
      <c r="J202" s="20"/>
      <c r="K202" s="20">
        <v>100.0</v>
      </c>
      <c r="L202" s="20" t="s">
        <v>17</v>
      </c>
      <c r="M202" s="20">
        <v>-23.66</v>
      </c>
      <c r="N202" s="20">
        <v>25.97</v>
      </c>
      <c r="P202" s="20">
        <v>76.57</v>
      </c>
      <c r="Q202" s="20">
        <v>125.0</v>
      </c>
      <c r="AG202" s="20">
        <v>200.0</v>
      </c>
      <c r="AH202" s="20" t="s">
        <v>14</v>
      </c>
      <c r="AI202" s="20">
        <v>-29.93</v>
      </c>
      <c r="AJ202" s="20">
        <v>-28.21</v>
      </c>
      <c r="AM202" s="20">
        <v>100.0</v>
      </c>
      <c r="AN202" s="20" t="s">
        <v>17</v>
      </c>
      <c r="AO202" s="20">
        <v>-12.85</v>
      </c>
      <c r="AP202" s="20">
        <v>-53.5</v>
      </c>
      <c r="AS202" s="20">
        <v>100.0</v>
      </c>
      <c r="AT202" s="20" t="s">
        <v>17</v>
      </c>
      <c r="AU202" s="20">
        <v>-35.56</v>
      </c>
      <c r="AV202" s="20">
        <v>-28.6</v>
      </c>
      <c r="BE202" s="20">
        <v>200.0</v>
      </c>
      <c r="BF202" s="20" t="s">
        <v>14</v>
      </c>
      <c r="BG202" s="20">
        <v>19.61</v>
      </c>
      <c r="BH202" s="20">
        <v>40.45</v>
      </c>
      <c r="BK202" s="20">
        <v>100.0</v>
      </c>
      <c r="BL202" s="20" t="s">
        <v>17</v>
      </c>
      <c r="BM202" s="20">
        <v>40.46</v>
      </c>
      <c r="BN202" s="20">
        <v>5.35</v>
      </c>
      <c r="BW202" s="20">
        <v>-45.89</v>
      </c>
      <c r="BX202" s="20">
        <v>-32.22</v>
      </c>
      <c r="BZ202" s="20">
        <v>-27.55</v>
      </c>
      <c r="CA202" s="20">
        <v>118.61</v>
      </c>
      <c r="CI202" s="20">
        <v>-68.57</v>
      </c>
      <c r="CJ202" s="20">
        <v>-68.83</v>
      </c>
      <c r="CO202" s="20">
        <v>-7.76</v>
      </c>
      <c r="CP202" s="20">
        <v>-34.34</v>
      </c>
    </row>
    <row r="203">
      <c r="A203" s="20">
        <v>-16.33</v>
      </c>
      <c r="B203" s="20">
        <v>25.36</v>
      </c>
      <c r="D203" s="20"/>
      <c r="E203" s="20"/>
      <c r="F203" s="20">
        <v>-12.76</v>
      </c>
      <c r="G203" s="20">
        <v>8.11</v>
      </c>
      <c r="I203" s="20"/>
      <c r="J203" s="20"/>
      <c r="K203" s="20">
        <v>101.0</v>
      </c>
      <c r="L203" s="20" t="s">
        <v>14</v>
      </c>
      <c r="M203" s="20">
        <v>-31.78</v>
      </c>
      <c r="N203" s="20">
        <v>17.43</v>
      </c>
      <c r="P203" s="20">
        <v>41.31</v>
      </c>
      <c r="Q203" s="20">
        <v>26.46</v>
      </c>
      <c r="AG203" s="20">
        <v>201.0</v>
      </c>
      <c r="AH203" s="20" t="s">
        <v>14</v>
      </c>
      <c r="AI203" s="20">
        <v>5.37</v>
      </c>
      <c r="AJ203" s="20">
        <v>-12.93</v>
      </c>
      <c r="AM203" s="20">
        <v>101.0</v>
      </c>
      <c r="AN203" s="20" t="s">
        <v>14</v>
      </c>
      <c r="AO203" s="20">
        <v>-16.49</v>
      </c>
      <c r="AP203" s="20">
        <v>-42.92</v>
      </c>
      <c r="AS203" s="20">
        <v>101.0</v>
      </c>
      <c r="AT203" s="20" t="s">
        <v>14</v>
      </c>
      <c r="AU203" s="20">
        <v>-22.11</v>
      </c>
      <c r="AV203" s="20">
        <v>-39.67</v>
      </c>
      <c r="BE203" s="20">
        <v>201.0</v>
      </c>
      <c r="BF203" s="20" t="s">
        <v>14</v>
      </c>
      <c r="BG203" s="20">
        <v>5.5</v>
      </c>
      <c r="BH203" s="20">
        <v>21.35</v>
      </c>
      <c r="BK203" s="20">
        <v>101.0</v>
      </c>
      <c r="BL203" s="20" t="s">
        <v>14</v>
      </c>
      <c r="BM203" s="20">
        <v>119.36</v>
      </c>
      <c r="BN203" s="20">
        <v>71.66</v>
      </c>
      <c r="BW203" s="20">
        <v>-39.78</v>
      </c>
      <c r="BX203" s="20">
        <v>29.65</v>
      </c>
      <c r="BZ203" s="20">
        <v>-33.23</v>
      </c>
      <c r="CA203" s="20">
        <v>51.46</v>
      </c>
      <c r="CI203" s="20">
        <v>-47.26</v>
      </c>
      <c r="CJ203" s="20">
        <v>-57.67</v>
      </c>
      <c r="CO203" s="20">
        <v>-18.35</v>
      </c>
      <c r="CP203" s="20">
        <v>-33.25</v>
      </c>
    </row>
    <row r="204">
      <c r="A204" s="20">
        <v>-25.03</v>
      </c>
      <c r="B204" s="20">
        <v>77.94</v>
      </c>
      <c r="D204" s="20"/>
      <c r="E204" s="20"/>
      <c r="F204" s="20">
        <v>-8.56</v>
      </c>
      <c r="G204" s="20">
        <v>46.0</v>
      </c>
      <c r="I204" s="20"/>
      <c r="J204" s="20"/>
      <c r="K204" s="20">
        <v>101.0</v>
      </c>
      <c r="L204" s="20" t="s">
        <v>17</v>
      </c>
      <c r="M204" s="20">
        <v>-39.55</v>
      </c>
      <c r="N204" s="20">
        <v>-69.5</v>
      </c>
      <c r="P204" s="20">
        <v>35.55</v>
      </c>
      <c r="Q204" s="20">
        <v>123.73</v>
      </c>
      <c r="AG204" s="20">
        <v>202.0</v>
      </c>
      <c r="AH204" s="20" t="s">
        <v>14</v>
      </c>
      <c r="AI204" s="20">
        <v>-32.48</v>
      </c>
      <c r="AJ204" s="20">
        <v>-23.13</v>
      </c>
      <c r="AM204" s="20">
        <v>101.0</v>
      </c>
      <c r="AN204" s="20" t="s">
        <v>17</v>
      </c>
      <c r="AO204" s="20">
        <v>-21.62</v>
      </c>
      <c r="AP204" s="20">
        <v>-20.08</v>
      </c>
      <c r="AS204" s="20">
        <v>101.0</v>
      </c>
      <c r="AT204" s="20" t="s">
        <v>17</v>
      </c>
      <c r="AU204" s="20">
        <v>-41.7</v>
      </c>
      <c r="AV204" s="20">
        <v>-59.59</v>
      </c>
      <c r="BE204" s="20">
        <v>202.0</v>
      </c>
      <c r="BF204" s="20" t="s">
        <v>14</v>
      </c>
      <c r="BG204" s="20">
        <v>-2.52</v>
      </c>
      <c r="BH204" s="20">
        <v>16.69</v>
      </c>
      <c r="BK204" s="20">
        <v>101.0</v>
      </c>
      <c r="BL204" s="20" t="s">
        <v>17</v>
      </c>
      <c r="BM204" s="20">
        <v>41.36</v>
      </c>
      <c r="BN204" s="20">
        <v>43.7</v>
      </c>
      <c r="BW204" s="20">
        <v>-69.51</v>
      </c>
      <c r="BX204" s="20">
        <v>-7.4</v>
      </c>
      <c r="BZ204" s="20">
        <v>-40.98</v>
      </c>
      <c r="CA204" s="20">
        <v>-21.78</v>
      </c>
      <c r="CI204" s="20">
        <v>-20.74</v>
      </c>
      <c r="CJ204" s="20">
        <v>-47.53</v>
      </c>
      <c r="CO204" s="20">
        <v>0.92</v>
      </c>
      <c r="CP204" s="20">
        <v>-50.84</v>
      </c>
    </row>
    <row r="205">
      <c r="A205" s="20">
        <v>-26.94</v>
      </c>
      <c r="B205" s="20">
        <v>115.12</v>
      </c>
      <c r="D205" s="20"/>
      <c r="E205" s="20"/>
      <c r="F205" s="20">
        <v>-12.61</v>
      </c>
      <c r="G205" s="20">
        <v>1.54</v>
      </c>
      <c r="I205" s="20"/>
      <c r="J205" s="20"/>
      <c r="K205" s="20">
        <v>102.0</v>
      </c>
      <c r="L205" s="20" t="s">
        <v>14</v>
      </c>
      <c r="M205" s="20">
        <v>-37.75</v>
      </c>
      <c r="N205" s="20">
        <v>20.59</v>
      </c>
      <c r="P205" s="20">
        <v>-40.98</v>
      </c>
      <c r="Q205" s="20">
        <v>-17.33</v>
      </c>
      <c r="AG205" s="20">
        <v>203.0</v>
      </c>
      <c r="AH205" s="20" t="s">
        <v>14</v>
      </c>
      <c r="AI205" s="20">
        <v>-36.56</v>
      </c>
      <c r="AJ205" s="20">
        <v>-19.9</v>
      </c>
      <c r="AM205" s="20">
        <v>102.0</v>
      </c>
      <c r="AN205" s="20" t="s">
        <v>14</v>
      </c>
      <c r="AO205" s="20">
        <v>-2.51</v>
      </c>
      <c r="AP205" s="20">
        <v>-29.67</v>
      </c>
      <c r="AS205" s="20">
        <v>102.0</v>
      </c>
      <c r="AT205" s="20" t="s">
        <v>14</v>
      </c>
      <c r="AU205" s="20">
        <v>-19.86</v>
      </c>
      <c r="AV205" s="20">
        <v>-39.3</v>
      </c>
      <c r="BE205" s="20">
        <v>203.0</v>
      </c>
      <c r="BF205" s="20" t="s">
        <v>14</v>
      </c>
      <c r="BG205" s="20">
        <v>37.04</v>
      </c>
      <c r="BH205" s="20">
        <v>1.44</v>
      </c>
      <c r="BK205" s="20">
        <v>102.0</v>
      </c>
      <c r="BL205" s="20" t="s">
        <v>14</v>
      </c>
      <c r="BM205" s="20">
        <v>34.46</v>
      </c>
      <c r="BN205" s="20">
        <v>75.41</v>
      </c>
      <c r="BW205" s="20">
        <v>-34.35</v>
      </c>
      <c r="BX205" s="20">
        <v>-40.88</v>
      </c>
      <c r="BZ205" s="20">
        <v>-35.59</v>
      </c>
      <c r="CA205" s="20">
        <v>199.37</v>
      </c>
      <c r="CI205" s="20">
        <v>-42.25</v>
      </c>
      <c r="CJ205" s="20">
        <v>-38.34</v>
      </c>
      <c r="CO205" s="20">
        <v>-17.18</v>
      </c>
      <c r="CP205" s="20">
        <v>-41.29</v>
      </c>
    </row>
    <row r="206">
      <c r="A206" s="20">
        <v>-26.31</v>
      </c>
      <c r="B206" s="20">
        <v>6.83</v>
      </c>
      <c r="D206" s="20"/>
      <c r="E206" s="20"/>
      <c r="F206" s="20">
        <v>-36.72</v>
      </c>
      <c r="G206" s="20">
        <v>1.61</v>
      </c>
      <c r="I206" s="20"/>
      <c r="J206" s="20"/>
      <c r="K206" s="20">
        <v>102.0</v>
      </c>
      <c r="L206" s="20" t="s">
        <v>17</v>
      </c>
      <c r="M206" s="20">
        <v>-8.69</v>
      </c>
      <c r="N206" s="20">
        <v>-6.04</v>
      </c>
      <c r="P206" s="20">
        <v>42.36</v>
      </c>
      <c r="Q206" s="20">
        <v>145.75</v>
      </c>
      <c r="AG206" s="20">
        <v>204.0</v>
      </c>
      <c r="AH206" s="20" t="s">
        <v>14</v>
      </c>
      <c r="AI206" s="20">
        <v>-32.25</v>
      </c>
      <c r="AJ206" s="20">
        <v>-11.24</v>
      </c>
      <c r="AM206" s="20">
        <v>102.0</v>
      </c>
      <c r="AN206" s="20" t="s">
        <v>17</v>
      </c>
      <c r="AO206" s="20">
        <v>-1.76</v>
      </c>
      <c r="AP206" s="20">
        <v>-14.1</v>
      </c>
      <c r="AS206" s="20">
        <v>102.0</v>
      </c>
      <c r="AT206" s="20" t="s">
        <v>17</v>
      </c>
      <c r="AU206" s="20">
        <v>-13.37</v>
      </c>
      <c r="AV206" s="20">
        <v>-46.93</v>
      </c>
      <c r="BE206" s="20">
        <v>204.0</v>
      </c>
      <c r="BF206" s="20" t="s">
        <v>14</v>
      </c>
      <c r="BG206" s="20">
        <v>-11.65</v>
      </c>
      <c r="BH206" s="20">
        <v>12.15</v>
      </c>
      <c r="BK206" s="20">
        <v>102.0</v>
      </c>
      <c r="BL206" s="20" t="s">
        <v>17</v>
      </c>
      <c r="BM206" s="20">
        <v>69.96</v>
      </c>
      <c r="BN206" s="20">
        <v>39.32</v>
      </c>
      <c r="BW206" s="20">
        <v>-55.22</v>
      </c>
      <c r="BX206" s="20">
        <v>-25.79</v>
      </c>
      <c r="BZ206" s="20">
        <v>-57.02</v>
      </c>
      <c r="CA206" s="20">
        <v>88.21</v>
      </c>
      <c r="CI206" s="20">
        <v>-37.07</v>
      </c>
      <c r="CJ206" s="20">
        <v>-44.1</v>
      </c>
      <c r="CO206" s="20">
        <v>-15.17</v>
      </c>
      <c r="CP206" s="20">
        <v>-27.07</v>
      </c>
    </row>
    <row r="207">
      <c r="A207" s="20">
        <v>-50.32</v>
      </c>
      <c r="B207" s="20">
        <v>37.78</v>
      </c>
      <c r="D207" s="20"/>
      <c r="E207" s="20"/>
      <c r="F207" s="20">
        <v>-8.0</v>
      </c>
      <c r="G207" s="20">
        <v>55.43</v>
      </c>
      <c r="I207" s="20"/>
      <c r="J207" s="20"/>
      <c r="K207" s="20">
        <v>103.0</v>
      </c>
      <c r="L207" s="20" t="s">
        <v>14</v>
      </c>
      <c r="M207" s="20">
        <v>-29.67</v>
      </c>
      <c r="N207" s="20">
        <v>31.76</v>
      </c>
      <c r="P207" s="20">
        <v>-19.28</v>
      </c>
      <c r="Q207" s="20">
        <v>41.24</v>
      </c>
      <c r="AG207" s="20">
        <v>205.0</v>
      </c>
      <c r="AH207" s="20" t="s">
        <v>14</v>
      </c>
      <c r="AI207" s="20">
        <v>-8.56</v>
      </c>
      <c r="AJ207" s="20">
        <v>-40.76</v>
      </c>
      <c r="AM207" s="20">
        <v>103.0</v>
      </c>
      <c r="AN207" s="20" t="s">
        <v>14</v>
      </c>
      <c r="AO207" s="20">
        <v>21.2</v>
      </c>
      <c r="AP207" s="20">
        <v>-33.05</v>
      </c>
      <c r="AS207" s="20">
        <v>103.0</v>
      </c>
      <c r="AT207" s="20" t="s">
        <v>14</v>
      </c>
      <c r="AU207" s="20">
        <v>29.36</v>
      </c>
      <c r="AV207" s="20">
        <v>-50.8</v>
      </c>
      <c r="BE207" s="20">
        <v>205.0</v>
      </c>
      <c r="BF207" s="20" t="s">
        <v>14</v>
      </c>
      <c r="BG207" s="20">
        <v>22.69</v>
      </c>
      <c r="BH207" s="20">
        <v>43.44</v>
      </c>
      <c r="BK207" s="20">
        <v>103.0</v>
      </c>
      <c r="BL207" s="20" t="s">
        <v>14</v>
      </c>
      <c r="BM207" s="20">
        <v>-26.37</v>
      </c>
      <c r="BN207" s="20">
        <v>9.81</v>
      </c>
      <c r="BW207" s="20">
        <v>-50.25</v>
      </c>
      <c r="BX207" s="20">
        <v>-30.11</v>
      </c>
      <c r="BZ207" s="20">
        <v>-50.22</v>
      </c>
      <c r="CA207" s="20">
        <v>93.55</v>
      </c>
      <c r="CI207" s="20">
        <v>-25.39</v>
      </c>
      <c r="CJ207" s="20">
        <v>-30.0</v>
      </c>
      <c r="CO207" s="20">
        <v>-20.76</v>
      </c>
      <c r="CP207" s="20">
        <v>-44.89</v>
      </c>
    </row>
    <row r="208">
      <c r="A208" s="20">
        <v>-9.13</v>
      </c>
      <c r="B208" s="20">
        <v>112.67</v>
      </c>
      <c r="D208" s="20"/>
      <c r="E208" s="20"/>
      <c r="F208" s="20">
        <v>-32.37</v>
      </c>
      <c r="G208" s="20">
        <v>-31.58</v>
      </c>
      <c r="I208" s="20"/>
      <c r="J208" s="20"/>
      <c r="K208" s="20">
        <v>103.0</v>
      </c>
      <c r="L208" s="20" t="s">
        <v>17</v>
      </c>
      <c r="M208" s="20">
        <v>-15.85</v>
      </c>
      <c r="N208" s="20">
        <v>34.16</v>
      </c>
      <c r="P208" s="20">
        <v>17.81</v>
      </c>
      <c r="Q208" s="20">
        <v>65.83</v>
      </c>
      <c r="AG208" s="20">
        <v>206.0</v>
      </c>
      <c r="AH208" s="20" t="s">
        <v>14</v>
      </c>
      <c r="AI208" s="20">
        <v>-19.51</v>
      </c>
      <c r="AJ208" s="20">
        <v>-2.71</v>
      </c>
      <c r="AM208" s="20">
        <v>103.0</v>
      </c>
      <c r="AN208" s="20" t="s">
        <v>17</v>
      </c>
      <c r="AO208" s="20">
        <v>-24.4</v>
      </c>
      <c r="AP208" s="20">
        <v>-5.28</v>
      </c>
      <c r="AS208" s="20">
        <v>103.0</v>
      </c>
      <c r="AT208" s="20" t="s">
        <v>17</v>
      </c>
      <c r="AU208" s="20">
        <v>4.54</v>
      </c>
      <c r="AV208" s="20">
        <v>-48.81</v>
      </c>
      <c r="BE208" s="20">
        <v>206.0</v>
      </c>
      <c r="BF208" s="20" t="s">
        <v>14</v>
      </c>
      <c r="BG208" s="20">
        <v>12.34</v>
      </c>
      <c r="BH208" s="20">
        <v>63.62</v>
      </c>
      <c r="BK208" s="20">
        <v>103.0</v>
      </c>
      <c r="BL208" s="20" t="s">
        <v>17</v>
      </c>
      <c r="BM208" s="20">
        <v>50.28</v>
      </c>
      <c r="BN208" s="20">
        <v>33.27</v>
      </c>
      <c r="BW208" s="20">
        <v>-41.76</v>
      </c>
      <c r="BX208" s="20">
        <v>-37.25</v>
      </c>
      <c r="BZ208" s="20">
        <v>-50.83</v>
      </c>
      <c r="CA208" s="20">
        <v>-14.0</v>
      </c>
      <c r="CI208" s="20">
        <v>-43.38</v>
      </c>
      <c r="CJ208" s="20">
        <v>-34.3</v>
      </c>
      <c r="CO208" s="20">
        <v>-0.82</v>
      </c>
      <c r="CP208" s="20">
        <v>-28.32</v>
      </c>
    </row>
    <row r="209">
      <c r="A209" s="20">
        <v>-23.37</v>
      </c>
      <c r="B209" s="20">
        <v>10.2</v>
      </c>
      <c r="D209" s="20"/>
      <c r="E209" s="20"/>
      <c r="F209" s="20">
        <v>-13.87</v>
      </c>
      <c r="G209" s="20">
        <v>60.22</v>
      </c>
      <c r="I209" s="20"/>
      <c r="J209" s="20"/>
      <c r="K209" s="20">
        <v>104.0</v>
      </c>
      <c r="L209" s="20" t="s">
        <v>14</v>
      </c>
      <c r="M209" s="20">
        <v>-15.73</v>
      </c>
      <c r="N209" s="20">
        <v>31.62</v>
      </c>
      <c r="P209" s="20">
        <v>-8.93</v>
      </c>
      <c r="Q209" s="20">
        <v>38.22</v>
      </c>
      <c r="AG209" s="20">
        <v>207.0</v>
      </c>
      <c r="AH209" s="20" t="s">
        <v>14</v>
      </c>
      <c r="AI209" s="20">
        <v>6.85</v>
      </c>
      <c r="AJ209" s="20">
        <v>-5.96</v>
      </c>
      <c r="AM209" s="20">
        <v>104.0</v>
      </c>
      <c r="AN209" s="20" t="s">
        <v>14</v>
      </c>
      <c r="AO209" s="20">
        <v>25.83</v>
      </c>
      <c r="AP209" s="20">
        <v>-45.23</v>
      </c>
      <c r="AS209" s="20">
        <v>104.0</v>
      </c>
      <c r="AT209" s="20" t="s">
        <v>14</v>
      </c>
      <c r="AU209" s="20">
        <v>-1.97</v>
      </c>
      <c r="AV209" s="20">
        <v>-18.94</v>
      </c>
      <c r="BE209" s="20">
        <v>207.0</v>
      </c>
      <c r="BF209" s="20" t="s">
        <v>14</v>
      </c>
      <c r="BG209" s="20">
        <v>15.03</v>
      </c>
      <c r="BH209" s="20">
        <v>15.46</v>
      </c>
      <c r="BK209" s="20">
        <v>104.0</v>
      </c>
      <c r="BL209" s="20" t="s">
        <v>14</v>
      </c>
      <c r="BM209" s="20">
        <v>83.59</v>
      </c>
      <c r="BN209" s="20">
        <v>146.23</v>
      </c>
      <c r="BW209" s="20">
        <v>-54.12</v>
      </c>
      <c r="BX209" s="20">
        <v>-13.04</v>
      </c>
      <c r="BZ209" s="20">
        <v>-18.63</v>
      </c>
      <c r="CA209" s="20">
        <v>103.64</v>
      </c>
      <c r="CI209" s="20">
        <v>-52.2</v>
      </c>
      <c r="CJ209" s="20">
        <v>-60.81</v>
      </c>
      <c r="CO209" s="20">
        <v>52.65</v>
      </c>
      <c r="CP209" s="20">
        <v>-14.43</v>
      </c>
    </row>
    <row r="210">
      <c r="A210" s="20">
        <v>-44.1</v>
      </c>
      <c r="B210" s="20">
        <v>11.78</v>
      </c>
      <c r="D210" s="20"/>
      <c r="E210" s="20"/>
      <c r="F210" s="20">
        <v>16.03</v>
      </c>
      <c r="G210" s="20">
        <v>81.57</v>
      </c>
      <c r="I210" s="20"/>
      <c r="J210" s="20"/>
      <c r="K210" s="20">
        <v>104.0</v>
      </c>
      <c r="L210" s="20" t="s">
        <v>17</v>
      </c>
      <c r="M210" s="20">
        <v>-26.11</v>
      </c>
      <c r="N210" s="20">
        <v>15.52</v>
      </c>
      <c r="P210" s="20">
        <v>25.64</v>
      </c>
      <c r="Q210" s="20">
        <v>94.81</v>
      </c>
      <c r="AG210" s="20">
        <v>208.0</v>
      </c>
      <c r="AH210" s="20" t="s">
        <v>14</v>
      </c>
      <c r="AI210" s="20">
        <v>-11.23</v>
      </c>
      <c r="AJ210" s="20">
        <v>-11.26</v>
      </c>
      <c r="AM210" s="20">
        <v>104.0</v>
      </c>
      <c r="AN210" s="20" t="s">
        <v>17</v>
      </c>
      <c r="AO210" s="20">
        <v>55.48</v>
      </c>
      <c r="AP210" s="20">
        <v>-28.23</v>
      </c>
      <c r="AS210" s="20">
        <v>104.0</v>
      </c>
      <c r="AT210" s="20" t="s">
        <v>17</v>
      </c>
      <c r="AU210" s="20">
        <v>2.18</v>
      </c>
      <c r="AV210" s="20">
        <v>1.9</v>
      </c>
      <c r="BE210" s="20">
        <v>208.0</v>
      </c>
      <c r="BF210" s="20" t="s">
        <v>14</v>
      </c>
      <c r="BG210" s="20">
        <v>11.04</v>
      </c>
      <c r="BH210" s="20">
        <v>34.76</v>
      </c>
      <c r="BK210" s="20">
        <v>104.0</v>
      </c>
      <c r="BL210" s="20" t="s">
        <v>17</v>
      </c>
      <c r="BM210" s="20">
        <v>5.91</v>
      </c>
      <c r="BN210" s="20">
        <v>107.27</v>
      </c>
      <c r="BW210" s="20">
        <v>-63.2</v>
      </c>
      <c r="BX210" s="20">
        <v>-7.73</v>
      </c>
      <c r="BZ210" s="20">
        <v>-44.87</v>
      </c>
      <c r="CA210" s="20">
        <v>254.03</v>
      </c>
      <c r="CI210" s="20">
        <v>-48.41</v>
      </c>
      <c r="CJ210" s="20">
        <v>-54.87</v>
      </c>
      <c r="CO210" s="20">
        <v>47.86</v>
      </c>
      <c r="CP210" s="20">
        <v>-49.31</v>
      </c>
    </row>
    <row r="211">
      <c r="A211" s="20">
        <v>24.02</v>
      </c>
      <c r="B211" s="20">
        <v>85.0</v>
      </c>
      <c r="D211" s="20"/>
      <c r="E211" s="20"/>
      <c r="F211" s="20">
        <v>-40.99</v>
      </c>
      <c r="G211" s="20">
        <v>-2.59</v>
      </c>
      <c r="I211" s="20"/>
      <c r="J211" s="20"/>
      <c r="K211" s="20">
        <v>105.0</v>
      </c>
      <c r="L211" s="20" t="s">
        <v>14</v>
      </c>
      <c r="M211" s="20">
        <v>-25.01</v>
      </c>
      <c r="N211" s="20">
        <v>-11.88</v>
      </c>
      <c r="P211" s="20">
        <v>42.63</v>
      </c>
      <c r="Q211" s="20">
        <v>52.8</v>
      </c>
      <c r="AG211" s="20">
        <v>209.0</v>
      </c>
      <c r="AH211" s="20" t="s">
        <v>14</v>
      </c>
      <c r="AI211" s="20">
        <v>-44.44</v>
      </c>
      <c r="AJ211" s="20">
        <v>-44.42</v>
      </c>
      <c r="AM211" s="20">
        <v>105.0</v>
      </c>
      <c r="AN211" s="20" t="s">
        <v>14</v>
      </c>
      <c r="AO211" s="20">
        <v>10.54</v>
      </c>
      <c r="AP211" s="20">
        <v>-31.6</v>
      </c>
      <c r="AS211" s="20">
        <v>105.0</v>
      </c>
      <c r="AT211" s="20" t="s">
        <v>14</v>
      </c>
      <c r="AU211" s="20">
        <v>-26.89</v>
      </c>
      <c r="AV211" s="20">
        <v>-48.33</v>
      </c>
      <c r="BE211" s="20">
        <v>209.0</v>
      </c>
      <c r="BF211" s="20" t="s">
        <v>14</v>
      </c>
      <c r="BG211" s="20">
        <v>3.12</v>
      </c>
      <c r="BH211" s="20">
        <v>32.27</v>
      </c>
      <c r="BK211" s="20">
        <v>105.0</v>
      </c>
      <c r="BL211" s="20" t="s">
        <v>14</v>
      </c>
      <c r="BM211" s="20">
        <v>56.8</v>
      </c>
      <c r="BN211" s="20">
        <v>119.48</v>
      </c>
      <c r="BW211" s="20">
        <v>-51.09</v>
      </c>
      <c r="BX211" s="20">
        <v>35.87</v>
      </c>
      <c r="BZ211" s="20">
        <v>-48.34</v>
      </c>
      <c r="CA211" s="20">
        <v>70.13</v>
      </c>
      <c r="CI211" s="20">
        <v>-46.0</v>
      </c>
      <c r="CJ211" s="20">
        <v>-44.93</v>
      </c>
      <c r="CO211" s="20">
        <v>-24.71</v>
      </c>
      <c r="CP211" s="20">
        <v>-68.81</v>
      </c>
    </row>
    <row r="212">
      <c r="A212" s="20">
        <v>24.35</v>
      </c>
      <c r="B212" s="20">
        <v>53.55</v>
      </c>
      <c r="D212" s="20"/>
      <c r="E212" s="20"/>
      <c r="F212" s="20">
        <v>-35.52</v>
      </c>
      <c r="G212" s="20">
        <v>-4.34</v>
      </c>
      <c r="I212" s="20"/>
      <c r="J212" s="20"/>
      <c r="K212" s="20">
        <v>105.0</v>
      </c>
      <c r="L212" s="20" t="s">
        <v>17</v>
      </c>
      <c r="M212" s="20">
        <v>-36.01</v>
      </c>
      <c r="N212" s="20">
        <v>18.64</v>
      </c>
      <c r="P212" s="20">
        <v>52.88</v>
      </c>
      <c r="Q212" s="20">
        <v>70.44</v>
      </c>
      <c r="AG212" s="20">
        <v>210.0</v>
      </c>
      <c r="AH212" s="20" t="s">
        <v>14</v>
      </c>
      <c r="AI212" s="20">
        <v>-23.85</v>
      </c>
      <c r="AJ212" s="20">
        <v>-25.17</v>
      </c>
      <c r="AM212" s="20">
        <v>105.0</v>
      </c>
      <c r="AN212" s="20" t="s">
        <v>17</v>
      </c>
      <c r="AO212" s="20">
        <v>-10.62</v>
      </c>
      <c r="AP212" s="20">
        <v>-20.05</v>
      </c>
      <c r="AS212" s="20">
        <v>105.0</v>
      </c>
      <c r="AT212" s="20" t="s">
        <v>17</v>
      </c>
      <c r="AU212" s="20">
        <v>-14.23</v>
      </c>
      <c r="AV212" s="20">
        <v>-32.85</v>
      </c>
      <c r="BE212" s="20">
        <v>210.0</v>
      </c>
      <c r="BF212" s="20" t="s">
        <v>14</v>
      </c>
      <c r="BG212" s="20">
        <v>28.06</v>
      </c>
      <c r="BH212" s="20">
        <v>30.52</v>
      </c>
      <c r="BK212" s="20">
        <v>105.0</v>
      </c>
      <c r="BL212" s="20" t="s">
        <v>17</v>
      </c>
      <c r="BM212" s="20">
        <v>35.38</v>
      </c>
      <c r="BN212" s="20">
        <v>46.99</v>
      </c>
      <c r="BW212" s="20">
        <v>-42.36</v>
      </c>
      <c r="BX212" s="20">
        <v>-29.07</v>
      </c>
      <c r="BZ212" s="20">
        <v>-41.55</v>
      </c>
      <c r="CA212" s="20">
        <v>50.87</v>
      </c>
      <c r="CI212" s="20">
        <v>-61.09</v>
      </c>
      <c r="CJ212" s="20">
        <v>-20.82</v>
      </c>
      <c r="CO212" s="20">
        <v>2.79</v>
      </c>
      <c r="CP212" s="20">
        <v>-44.17</v>
      </c>
    </row>
    <row r="213">
      <c r="A213" s="20">
        <v>-15.97</v>
      </c>
      <c r="B213" s="20">
        <v>58.39</v>
      </c>
      <c r="D213" s="20"/>
      <c r="E213" s="20"/>
      <c r="F213" s="20">
        <v>72.57</v>
      </c>
      <c r="G213" s="20">
        <v>39.41</v>
      </c>
      <c r="I213" s="20"/>
      <c r="J213" s="20"/>
      <c r="K213" s="20">
        <v>106.0</v>
      </c>
      <c r="L213" s="20" t="s">
        <v>14</v>
      </c>
      <c r="M213" s="20">
        <v>-4.5</v>
      </c>
      <c r="N213" s="20">
        <v>27.53</v>
      </c>
      <c r="P213" s="20">
        <v>-23.57</v>
      </c>
      <c r="Q213" s="20">
        <v>-9.19</v>
      </c>
      <c r="AG213" s="20">
        <v>211.0</v>
      </c>
      <c r="AH213" s="20" t="s">
        <v>14</v>
      </c>
      <c r="AI213" s="20">
        <v>-61.96</v>
      </c>
      <c r="AJ213" s="20">
        <v>-66.36</v>
      </c>
      <c r="AM213" s="20">
        <v>106.0</v>
      </c>
      <c r="AN213" s="20" t="s">
        <v>14</v>
      </c>
      <c r="AO213" s="20">
        <v>-4.99</v>
      </c>
      <c r="AP213" s="20">
        <v>-19.39</v>
      </c>
      <c r="AS213" s="20">
        <v>106.0</v>
      </c>
      <c r="AT213" s="20" t="s">
        <v>14</v>
      </c>
      <c r="AU213" s="20">
        <v>-22.76</v>
      </c>
      <c r="AV213" s="20">
        <v>-54.32</v>
      </c>
      <c r="BE213" s="20">
        <v>211.0</v>
      </c>
      <c r="BF213" s="20" t="s">
        <v>14</v>
      </c>
      <c r="BG213" s="20">
        <v>7.96</v>
      </c>
      <c r="BH213" s="20">
        <v>28.44</v>
      </c>
      <c r="BK213" s="20">
        <v>106.0</v>
      </c>
      <c r="BL213" s="20" t="s">
        <v>14</v>
      </c>
      <c r="BM213" s="20">
        <v>115.28</v>
      </c>
      <c r="BN213" s="20">
        <v>193.15</v>
      </c>
      <c r="BW213" s="20">
        <v>-45.41</v>
      </c>
      <c r="BX213" s="20">
        <v>-4.78</v>
      </c>
      <c r="BZ213" s="20">
        <v>-13.69</v>
      </c>
      <c r="CA213" s="20">
        <v>88.29</v>
      </c>
      <c r="CI213" s="20">
        <v>-6.2</v>
      </c>
      <c r="CJ213" s="20">
        <v>-5.46</v>
      </c>
      <c r="CO213" s="20">
        <v>-21.03</v>
      </c>
      <c r="CP213" s="20">
        <v>-67.63</v>
      </c>
    </row>
    <row r="214">
      <c r="A214" s="20">
        <v>-33.4</v>
      </c>
      <c r="B214" s="20">
        <v>17.46</v>
      </c>
      <c r="D214" s="20"/>
      <c r="E214" s="20"/>
      <c r="F214" s="20">
        <v>35.13</v>
      </c>
      <c r="G214" s="20">
        <v>-23.95</v>
      </c>
      <c r="I214" s="20"/>
      <c r="J214" s="20"/>
      <c r="K214" s="20">
        <v>106.0</v>
      </c>
      <c r="L214" s="20" t="s">
        <v>17</v>
      </c>
      <c r="M214" s="20">
        <v>-4.37</v>
      </c>
      <c r="N214" s="20">
        <v>48.71</v>
      </c>
      <c r="P214" s="20">
        <v>-39.74</v>
      </c>
      <c r="Q214" s="20">
        <v>-69.81</v>
      </c>
      <c r="AG214" s="20">
        <v>212.0</v>
      </c>
      <c r="AH214" s="20" t="s">
        <v>14</v>
      </c>
      <c r="AI214" s="20">
        <v>-10.02</v>
      </c>
      <c r="AJ214" s="20">
        <v>0.9</v>
      </c>
      <c r="AM214" s="20">
        <v>106.0</v>
      </c>
      <c r="AN214" s="20" t="s">
        <v>17</v>
      </c>
      <c r="AO214" s="20">
        <v>1.35</v>
      </c>
      <c r="AP214" s="20">
        <v>-0.44</v>
      </c>
      <c r="AS214" s="20">
        <v>106.0</v>
      </c>
      <c r="AT214" s="20" t="s">
        <v>17</v>
      </c>
      <c r="AU214" s="20">
        <v>-40.45</v>
      </c>
      <c r="AV214" s="20">
        <v>-48.84</v>
      </c>
      <c r="BE214" s="20">
        <v>212.0</v>
      </c>
      <c r="BF214" s="20" t="s">
        <v>14</v>
      </c>
      <c r="BG214" s="20">
        <v>9.19</v>
      </c>
      <c r="BH214" s="20">
        <v>4.78</v>
      </c>
      <c r="BK214" s="20">
        <v>106.0</v>
      </c>
      <c r="BL214" s="20" t="s">
        <v>17</v>
      </c>
      <c r="BM214" s="20">
        <v>82.34</v>
      </c>
      <c r="BN214" s="20">
        <v>78.69</v>
      </c>
      <c r="BW214" s="20">
        <v>-45.49</v>
      </c>
      <c r="BX214" s="20">
        <v>-8.13</v>
      </c>
      <c r="BZ214" s="20">
        <v>-67.0</v>
      </c>
      <c r="CA214" s="20">
        <v>112.54</v>
      </c>
      <c r="CI214" s="20">
        <v>-33.17</v>
      </c>
      <c r="CJ214" s="20">
        <v>-19.12</v>
      </c>
      <c r="CO214" s="20">
        <v>-27.47</v>
      </c>
      <c r="CP214" s="20">
        <v>-35.94</v>
      </c>
    </row>
    <row r="215">
      <c r="A215" s="20">
        <v>-41.98</v>
      </c>
      <c r="B215" s="20">
        <v>-5.06</v>
      </c>
      <c r="D215" s="20"/>
      <c r="E215" s="20"/>
      <c r="F215" s="20">
        <v>-2.26</v>
      </c>
      <c r="G215" s="20">
        <v>-4.8</v>
      </c>
      <c r="I215" s="20"/>
      <c r="J215" s="20"/>
      <c r="K215" s="20">
        <v>107.0</v>
      </c>
      <c r="L215" s="20" t="s">
        <v>14</v>
      </c>
      <c r="M215" s="20">
        <v>2.11</v>
      </c>
      <c r="N215" s="20">
        <v>21.05</v>
      </c>
      <c r="P215" s="20">
        <v>-7.47</v>
      </c>
      <c r="Q215" s="20">
        <v>3.81</v>
      </c>
      <c r="AG215" s="20">
        <v>213.0</v>
      </c>
      <c r="AH215" s="20" t="s">
        <v>14</v>
      </c>
      <c r="AI215" s="20">
        <v>-18.88</v>
      </c>
      <c r="AJ215" s="20">
        <v>-8.78</v>
      </c>
      <c r="AM215" s="20">
        <v>107.0</v>
      </c>
      <c r="AN215" s="20" t="s">
        <v>14</v>
      </c>
      <c r="AO215" s="20">
        <v>19.29</v>
      </c>
      <c r="AP215" s="20">
        <v>-28.17</v>
      </c>
      <c r="AS215" s="20">
        <v>107.0</v>
      </c>
      <c r="AT215" s="20" t="s">
        <v>14</v>
      </c>
      <c r="AU215" s="20">
        <v>-12.01</v>
      </c>
      <c r="AV215" s="20">
        <v>-61.81</v>
      </c>
      <c r="BE215" s="20">
        <v>213.0</v>
      </c>
      <c r="BF215" s="20" t="s">
        <v>14</v>
      </c>
      <c r="BG215" s="20">
        <v>-7.6</v>
      </c>
      <c r="BH215" s="20">
        <v>11.65</v>
      </c>
      <c r="BK215" s="20">
        <v>107.0</v>
      </c>
      <c r="BL215" s="20" t="s">
        <v>14</v>
      </c>
      <c r="BM215" s="20">
        <v>14.52</v>
      </c>
      <c r="BN215" s="20">
        <v>30.05</v>
      </c>
      <c r="BW215" s="20">
        <v>-32.06</v>
      </c>
      <c r="BX215" s="20">
        <v>-17.36</v>
      </c>
      <c r="BZ215" s="20">
        <v>-40.7</v>
      </c>
      <c r="CA215" s="20">
        <v>-16.38</v>
      </c>
      <c r="CI215" s="20">
        <v>-37.68</v>
      </c>
      <c r="CJ215" s="20">
        <v>-36.28</v>
      </c>
      <c r="CO215" s="20">
        <v>-38.37</v>
      </c>
      <c r="CP215" s="20">
        <v>-62.49</v>
      </c>
    </row>
    <row r="216">
      <c r="A216" s="20">
        <v>-61.36</v>
      </c>
      <c r="B216" s="20">
        <v>31.07</v>
      </c>
      <c r="D216" s="20"/>
      <c r="E216" s="20"/>
      <c r="F216" s="20">
        <v>34.64</v>
      </c>
      <c r="G216" s="20">
        <v>42.81</v>
      </c>
      <c r="I216" s="20"/>
      <c r="J216" s="20"/>
      <c r="K216" s="20">
        <v>107.0</v>
      </c>
      <c r="L216" s="20" t="s">
        <v>17</v>
      </c>
      <c r="M216" s="20">
        <v>164.25</v>
      </c>
      <c r="N216" s="20">
        <v>86.52</v>
      </c>
      <c r="P216" s="20">
        <v>37.58</v>
      </c>
      <c r="Q216" s="20">
        <v>-36.29</v>
      </c>
      <c r="AG216" s="20">
        <v>214.0</v>
      </c>
      <c r="AH216" s="20" t="s">
        <v>14</v>
      </c>
      <c r="AI216" s="20">
        <v>-60.13</v>
      </c>
      <c r="AJ216" s="20">
        <v>-48.9</v>
      </c>
      <c r="AM216" s="20">
        <v>107.0</v>
      </c>
      <c r="AN216" s="20" t="s">
        <v>17</v>
      </c>
      <c r="AO216" s="20">
        <v>-55.99</v>
      </c>
      <c r="AP216" s="20">
        <v>18.58</v>
      </c>
      <c r="AS216" s="20">
        <v>107.0</v>
      </c>
      <c r="AT216" s="20" t="s">
        <v>17</v>
      </c>
      <c r="AU216" s="20">
        <v>-27.86</v>
      </c>
      <c r="AV216" s="20">
        <v>-45.46</v>
      </c>
      <c r="BE216" s="20">
        <v>214.0</v>
      </c>
      <c r="BF216" s="20" t="s">
        <v>14</v>
      </c>
      <c r="BG216" s="20">
        <v>-19.3</v>
      </c>
      <c r="BH216" s="20">
        <v>7.07</v>
      </c>
      <c r="BK216" s="20">
        <v>107.0</v>
      </c>
      <c r="BL216" s="20" t="s">
        <v>17</v>
      </c>
      <c r="BM216" s="20">
        <v>98.58</v>
      </c>
      <c r="BN216" s="20">
        <v>75.59</v>
      </c>
      <c r="BW216" s="20">
        <v>-48.16</v>
      </c>
      <c r="BX216" s="20">
        <v>-41.06</v>
      </c>
      <c r="BZ216" s="20">
        <v>-36.64</v>
      </c>
      <c r="CA216" s="20">
        <v>4.0</v>
      </c>
      <c r="CI216" s="20">
        <v>4.52</v>
      </c>
      <c r="CJ216" s="20">
        <v>-18.83</v>
      </c>
      <c r="CO216" s="20">
        <v>-32.54</v>
      </c>
      <c r="CP216" s="20">
        <v>-46.22</v>
      </c>
    </row>
    <row r="217">
      <c r="A217" s="20">
        <v>-46.61</v>
      </c>
      <c r="B217" s="20">
        <v>-27.63</v>
      </c>
      <c r="D217" s="20"/>
      <c r="E217" s="20"/>
      <c r="F217" s="20">
        <v>-15.6</v>
      </c>
      <c r="G217" s="20">
        <v>0.86</v>
      </c>
      <c r="I217" s="20"/>
      <c r="J217" s="20"/>
      <c r="K217" s="20">
        <v>108.0</v>
      </c>
      <c r="L217" s="20" t="s">
        <v>14</v>
      </c>
      <c r="M217" s="20">
        <v>-18.99</v>
      </c>
      <c r="N217" s="20">
        <v>-37.1</v>
      </c>
      <c r="P217" s="20">
        <v>-21.55</v>
      </c>
      <c r="Q217" s="20">
        <v>-9.04</v>
      </c>
      <c r="AG217" s="20">
        <v>215.0</v>
      </c>
      <c r="AH217" s="20" t="s">
        <v>14</v>
      </c>
      <c r="AI217" s="20">
        <v>4.24</v>
      </c>
      <c r="AJ217" s="20">
        <v>-15.53</v>
      </c>
      <c r="AM217" s="20">
        <v>108.0</v>
      </c>
      <c r="AN217" s="20" t="s">
        <v>14</v>
      </c>
      <c r="AO217" s="20">
        <v>-37.0</v>
      </c>
      <c r="AP217" s="20">
        <v>-40.02</v>
      </c>
      <c r="AS217" s="20">
        <v>108.0</v>
      </c>
      <c r="AT217" s="20" t="s">
        <v>14</v>
      </c>
      <c r="AU217" s="20">
        <v>47.83</v>
      </c>
      <c r="AV217" s="20">
        <v>-23.97</v>
      </c>
      <c r="BE217" s="20">
        <v>215.0</v>
      </c>
      <c r="BF217" s="20" t="s">
        <v>14</v>
      </c>
      <c r="BG217" s="20">
        <v>-13.26</v>
      </c>
      <c r="BH217" s="20">
        <v>3.48</v>
      </c>
      <c r="BK217" s="20">
        <v>108.0</v>
      </c>
      <c r="BL217" s="20" t="s">
        <v>14</v>
      </c>
      <c r="BM217" s="20">
        <v>72.6</v>
      </c>
      <c r="BN217" s="20">
        <v>69.67</v>
      </c>
      <c r="BW217" s="20">
        <v>-54.76</v>
      </c>
      <c r="BX217" s="20">
        <v>-18.28</v>
      </c>
      <c r="BZ217" s="20">
        <v>-45.81</v>
      </c>
      <c r="CA217" s="20">
        <v>61.73</v>
      </c>
      <c r="CI217" s="20">
        <v>-39.89</v>
      </c>
      <c r="CJ217" s="20">
        <v>-49.97</v>
      </c>
      <c r="CO217" s="20">
        <v>-12.07</v>
      </c>
      <c r="CP217" s="20">
        <v>-55.38</v>
      </c>
    </row>
    <row r="218">
      <c r="A218" s="20">
        <v>-29.46</v>
      </c>
      <c r="B218" s="20">
        <v>14.21</v>
      </c>
      <c r="D218" s="20"/>
      <c r="E218" s="20"/>
      <c r="F218" s="20">
        <v>-19.44</v>
      </c>
      <c r="G218" s="20">
        <v>-1.11</v>
      </c>
      <c r="I218" s="20"/>
      <c r="J218" s="20"/>
      <c r="K218" s="20">
        <v>108.0</v>
      </c>
      <c r="L218" s="20" t="s">
        <v>17</v>
      </c>
      <c r="M218" s="20">
        <v>-22.83</v>
      </c>
      <c r="N218" s="20">
        <v>14.41</v>
      </c>
      <c r="P218" s="20">
        <v>44.03</v>
      </c>
      <c r="Q218" s="20">
        <v>94.36</v>
      </c>
      <c r="AG218" s="20">
        <v>216.0</v>
      </c>
      <c r="AH218" s="20" t="s">
        <v>14</v>
      </c>
      <c r="AI218" s="20">
        <v>-19.45</v>
      </c>
      <c r="AJ218" s="20">
        <v>-23.87</v>
      </c>
      <c r="AM218" s="20">
        <v>108.0</v>
      </c>
      <c r="AN218" s="20" t="s">
        <v>17</v>
      </c>
      <c r="AO218" s="20">
        <v>-30.61</v>
      </c>
      <c r="AP218" s="20">
        <v>-21.64</v>
      </c>
      <c r="AS218" s="20">
        <v>108.0</v>
      </c>
      <c r="AT218" s="20" t="s">
        <v>17</v>
      </c>
      <c r="AU218" s="20">
        <v>-8.43</v>
      </c>
      <c r="AV218" s="20">
        <v>-54.45</v>
      </c>
      <c r="BE218" s="20">
        <v>216.0</v>
      </c>
      <c r="BF218" s="20" t="s">
        <v>14</v>
      </c>
      <c r="BG218" s="20">
        <v>25.07</v>
      </c>
      <c r="BH218" s="20">
        <v>23.02</v>
      </c>
      <c r="BK218" s="20">
        <v>108.0</v>
      </c>
      <c r="BL218" s="20" t="s">
        <v>17</v>
      </c>
      <c r="BM218" s="20">
        <v>100.19</v>
      </c>
      <c r="BN218" s="20">
        <v>-40.49</v>
      </c>
      <c r="BW218" s="20">
        <v>-51.44</v>
      </c>
      <c r="BX218" s="20">
        <v>6.1</v>
      </c>
      <c r="BZ218" s="20">
        <v>-69.47</v>
      </c>
      <c r="CA218" s="20">
        <v>3.82</v>
      </c>
      <c r="CI218" s="20">
        <v>-61.75</v>
      </c>
      <c r="CJ218" s="20">
        <v>-30.24</v>
      </c>
      <c r="CO218" s="20">
        <v>-13.56</v>
      </c>
      <c r="CP218" s="20">
        <v>-50.35</v>
      </c>
    </row>
    <row r="219">
      <c r="A219" s="20">
        <v>-15.25</v>
      </c>
      <c r="B219" s="20">
        <v>66.03</v>
      </c>
      <c r="D219" s="20"/>
      <c r="E219" s="20"/>
      <c r="F219" s="20">
        <v>-47.68</v>
      </c>
      <c r="G219" s="20">
        <v>-29.49</v>
      </c>
      <c r="I219" s="20"/>
      <c r="J219" s="20"/>
      <c r="K219" s="20">
        <v>109.0</v>
      </c>
      <c r="L219" s="20" t="s">
        <v>14</v>
      </c>
      <c r="M219" s="20">
        <v>-34.28</v>
      </c>
      <c r="N219" s="20">
        <v>-25.26</v>
      </c>
      <c r="P219" s="20">
        <v>-3.52</v>
      </c>
      <c r="Q219" s="20">
        <v>-6.65</v>
      </c>
      <c r="AG219" s="20">
        <v>217.0</v>
      </c>
      <c r="AH219" s="20" t="s">
        <v>14</v>
      </c>
      <c r="AI219" s="20">
        <v>19.19</v>
      </c>
      <c r="AJ219" s="20">
        <v>3.95</v>
      </c>
      <c r="AM219" s="20">
        <v>109.0</v>
      </c>
      <c r="AN219" s="20" t="s">
        <v>14</v>
      </c>
      <c r="AO219" s="20">
        <v>-18.96</v>
      </c>
      <c r="AP219" s="20">
        <v>-27.37</v>
      </c>
      <c r="AS219" s="20">
        <v>109.0</v>
      </c>
      <c r="AT219" s="20" t="s">
        <v>14</v>
      </c>
      <c r="AU219" s="20">
        <v>-34.82</v>
      </c>
      <c r="AV219" s="20">
        <v>-44.78</v>
      </c>
      <c r="BE219" s="20">
        <v>217.0</v>
      </c>
      <c r="BF219" s="20" t="s">
        <v>14</v>
      </c>
      <c r="BG219" s="20">
        <v>2.96</v>
      </c>
      <c r="BH219" s="20">
        <v>73.8</v>
      </c>
      <c r="BK219" s="20">
        <v>109.0</v>
      </c>
      <c r="BL219" s="20" t="s">
        <v>14</v>
      </c>
      <c r="BM219" s="20">
        <v>25.63</v>
      </c>
      <c r="BN219" s="20">
        <v>43.39</v>
      </c>
      <c r="BW219" s="20">
        <v>-25.87</v>
      </c>
      <c r="BX219" s="20">
        <v>-46.96</v>
      </c>
      <c r="BZ219" s="20">
        <v>-45.93</v>
      </c>
      <c r="CA219" s="20">
        <v>28.4</v>
      </c>
      <c r="CI219" s="20">
        <v>-23.97</v>
      </c>
      <c r="CJ219" s="20">
        <v>-35.37</v>
      </c>
      <c r="CO219" s="20">
        <v>-15.38</v>
      </c>
      <c r="CP219" s="20">
        <v>-46.2</v>
      </c>
    </row>
    <row r="220">
      <c r="A220" s="20">
        <v>-13.31</v>
      </c>
      <c r="B220" s="20">
        <v>12.51</v>
      </c>
      <c r="D220" s="20"/>
      <c r="E220" s="20"/>
      <c r="F220" s="20">
        <v>-50.14</v>
      </c>
      <c r="G220" s="20">
        <v>6.61</v>
      </c>
      <c r="I220" s="20"/>
      <c r="J220" s="20"/>
      <c r="K220" s="20">
        <v>109.0</v>
      </c>
      <c r="L220" s="20" t="s">
        <v>17</v>
      </c>
      <c r="M220" s="20">
        <v>10.15</v>
      </c>
      <c r="N220" s="20">
        <v>0.11</v>
      </c>
      <c r="P220" s="20">
        <v>29.16</v>
      </c>
      <c r="Q220" s="20">
        <v>60.26</v>
      </c>
      <c r="AG220" s="20">
        <v>218.0</v>
      </c>
      <c r="AH220" s="20" t="s">
        <v>14</v>
      </c>
      <c r="AI220" s="20">
        <v>23.85</v>
      </c>
      <c r="AJ220" s="20">
        <v>2.99</v>
      </c>
      <c r="AM220" s="20">
        <v>109.0</v>
      </c>
      <c r="AN220" s="20" t="s">
        <v>17</v>
      </c>
      <c r="AO220" s="20">
        <v>4.06</v>
      </c>
      <c r="AP220" s="20">
        <v>-44.71</v>
      </c>
      <c r="AS220" s="20">
        <v>109.0</v>
      </c>
      <c r="AT220" s="20" t="s">
        <v>17</v>
      </c>
      <c r="AU220" s="20">
        <v>-14.16</v>
      </c>
      <c r="AV220" s="20">
        <v>-55.47</v>
      </c>
      <c r="BE220" s="20">
        <v>218.0</v>
      </c>
      <c r="BF220" s="20" t="s">
        <v>14</v>
      </c>
      <c r="BG220" s="20">
        <v>38.42</v>
      </c>
      <c r="BH220" s="20">
        <v>30.36</v>
      </c>
      <c r="BK220" s="20">
        <v>109.0</v>
      </c>
      <c r="BL220" s="20" t="s">
        <v>17</v>
      </c>
      <c r="BM220" s="20">
        <v>106.5</v>
      </c>
      <c r="BN220" s="20">
        <v>119.64</v>
      </c>
      <c r="BW220" s="20">
        <v>-30.74</v>
      </c>
      <c r="BX220" s="20">
        <v>113.54</v>
      </c>
      <c r="BZ220" s="20">
        <v>-40.33</v>
      </c>
      <c r="CA220" s="20">
        <v>40.7</v>
      </c>
      <c r="CI220" s="20">
        <v>-42.12</v>
      </c>
      <c r="CJ220" s="20">
        <v>-56.69</v>
      </c>
      <c r="CO220" s="20">
        <v>-24.93</v>
      </c>
      <c r="CP220" s="20">
        <v>-44.0</v>
      </c>
    </row>
    <row r="221">
      <c r="A221" s="20">
        <v>-14.89</v>
      </c>
      <c r="B221" s="20">
        <v>68.1</v>
      </c>
      <c r="D221" s="20"/>
      <c r="E221" s="20"/>
      <c r="F221" s="20">
        <v>-13.48</v>
      </c>
      <c r="G221" s="20">
        <v>-0.32</v>
      </c>
      <c r="I221" s="20"/>
      <c r="J221" s="20"/>
      <c r="K221" s="20">
        <v>110.0</v>
      </c>
      <c r="L221" s="20" t="s">
        <v>14</v>
      </c>
      <c r="M221" s="20">
        <v>-32.5</v>
      </c>
      <c r="N221" s="20">
        <v>-6.02</v>
      </c>
      <c r="P221" s="20">
        <v>-4.68</v>
      </c>
      <c r="Q221" s="20">
        <v>-11.03</v>
      </c>
      <c r="AG221" s="20">
        <v>219.0</v>
      </c>
      <c r="AH221" s="20" t="s">
        <v>14</v>
      </c>
      <c r="AI221" s="20">
        <v>-1.91</v>
      </c>
      <c r="AJ221" s="20">
        <v>-13.74</v>
      </c>
      <c r="AM221" s="20">
        <v>110.0</v>
      </c>
      <c r="AN221" s="20" t="s">
        <v>14</v>
      </c>
      <c r="AO221" s="20">
        <v>-25.13</v>
      </c>
      <c r="AP221" s="20">
        <v>-38.21</v>
      </c>
      <c r="AS221" s="20">
        <v>110.0</v>
      </c>
      <c r="AT221" s="20" t="s">
        <v>14</v>
      </c>
      <c r="AU221" s="20">
        <v>-22.11</v>
      </c>
      <c r="AV221" s="20">
        <v>-50.96</v>
      </c>
      <c r="BE221" s="20">
        <v>219.0</v>
      </c>
      <c r="BF221" s="20" t="s">
        <v>14</v>
      </c>
      <c r="BG221" s="20">
        <v>2.7</v>
      </c>
      <c r="BH221" s="20">
        <v>28.87</v>
      </c>
      <c r="BK221" s="20">
        <v>110.0</v>
      </c>
      <c r="BL221" s="20" t="s">
        <v>14</v>
      </c>
      <c r="BM221" s="20">
        <v>49.83</v>
      </c>
      <c r="BN221" s="20">
        <v>104.15</v>
      </c>
      <c r="BW221" s="20">
        <v>-51.38</v>
      </c>
      <c r="BX221" s="20">
        <v>47.83</v>
      </c>
      <c r="BZ221" s="20">
        <v>-52.73</v>
      </c>
      <c r="CA221" s="20">
        <v>2.29</v>
      </c>
      <c r="CI221" s="20">
        <v>-43.03</v>
      </c>
      <c r="CJ221" s="20">
        <v>-49.63</v>
      </c>
      <c r="CO221" s="20">
        <v>19.2</v>
      </c>
      <c r="CP221" s="20">
        <v>-57.98</v>
      </c>
    </row>
    <row r="222">
      <c r="A222" s="20">
        <v>-14.97</v>
      </c>
      <c r="B222" s="20">
        <v>71.49</v>
      </c>
      <c r="D222" s="20"/>
      <c r="E222" s="20"/>
      <c r="F222" s="20">
        <v>-32.83</v>
      </c>
      <c r="G222" s="20">
        <v>48.66</v>
      </c>
      <c r="I222" s="20"/>
      <c r="J222" s="20"/>
      <c r="K222" s="20">
        <v>110.0</v>
      </c>
      <c r="L222" s="20" t="s">
        <v>17</v>
      </c>
      <c r="M222" s="20">
        <v>-70.63</v>
      </c>
      <c r="N222" s="20">
        <v>-36.64</v>
      </c>
      <c r="P222" s="20">
        <v>-29.34</v>
      </c>
      <c r="Q222" s="20">
        <v>22.38</v>
      </c>
      <c r="AG222" s="20">
        <v>220.0</v>
      </c>
      <c r="AH222" s="20" t="s">
        <v>14</v>
      </c>
      <c r="AI222" s="20">
        <v>7.03</v>
      </c>
      <c r="AJ222" s="20">
        <v>-0.35</v>
      </c>
      <c r="AM222" s="20">
        <v>110.0</v>
      </c>
      <c r="AN222" s="20" t="s">
        <v>17</v>
      </c>
      <c r="AO222" s="20">
        <v>-33.3</v>
      </c>
      <c r="AP222" s="20">
        <v>-38.32</v>
      </c>
      <c r="AS222" s="20">
        <v>110.0</v>
      </c>
      <c r="AT222" s="20" t="s">
        <v>17</v>
      </c>
      <c r="AU222" s="20">
        <v>-28.55</v>
      </c>
      <c r="AV222" s="20">
        <v>-40.61</v>
      </c>
      <c r="BE222" s="20">
        <v>220.0</v>
      </c>
      <c r="BF222" s="20" t="s">
        <v>14</v>
      </c>
      <c r="BG222" s="20">
        <v>15.44</v>
      </c>
      <c r="BH222" s="20">
        <v>45.81</v>
      </c>
      <c r="BK222" s="20">
        <v>110.0</v>
      </c>
      <c r="BL222" s="20" t="s">
        <v>17</v>
      </c>
      <c r="BM222" s="20">
        <v>108.44</v>
      </c>
      <c r="BN222" s="20">
        <v>239.0</v>
      </c>
      <c r="BW222" s="20">
        <v>-12.51</v>
      </c>
      <c r="BX222" s="20">
        <v>-5.06</v>
      </c>
      <c r="BZ222" s="20">
        <v>-70.67</v>
      </c>
      <c r="CA222" s="20">
        <v>84.82</v>
      </c>
      <c r="CI222" s="20">
        <v>-39.64</v>
      </c>
      <c r="CJ222" s="20">
        <v>-24.98</v>
      </c>
      <c r="CO222" s="20">
        <v>12.48</v>
      </c>
      <c r="CP222" s="20">
        <v>-57.7</v>
      </c>
    </row>
    <row r="223">
      <c r="A223" s="20">
        <v>-36.68</v>
      </c>
      <c r="B223" s="20">
        <v>68.36</v>
      </c>
      <c r="D223" s="20"/>
      <c r="E223" s="20"/>
      <c r="F223" s="20">
        <v>-19.23</v>
      </c>
      <c r="G223" s="20">
        <v>-0.86</v>
      </c>
      <c r="I223" s="20"/>
      <c r="J223" s="20"/>
      <c r="K223" s="20">
        <v>111.0</v>
      </c>
      <c r="L223" s="20" t="s">
        <v>14</v>
      </c>
      <c r="M223" s="20">
        <v>-21.11</v>
      </c>
      <c r="N223" s="20">
        <v>68.89</v>
      </c>
      <c r="P223" s="20">
        <v>-13.95</v>
      </c>
      <c r="Q223" s="20">
        <v>-6.06</v>
      </c>
      <c r="AG223" s="20">
        <v>221.0</v>
      </c>
      <c r="AH223" s="20" t="s">
        <v>14</v>
      </c>
      <c r="AI223" s="20">
        <v>36.0</v>
      </c>
      <c r="AJ223" s="20">
        <v>11.78</v>
      </c>
      <c r="AM223" s="20">
        <v>111.0</v>
      </c>
      <c r="AN223" s="20" t="s">
        <v>14</v>
      </c>
      <c r="AO223" s="20">
        <v>-9.99</v>
      </c>
      <c r="AP223" s="20">
        <v>-29.73</v>
      </c>
      <c r="AS223" s="20">
        <v>111.0</v>
      </c>
      <c r="AT223" s="20" t="s">
        <v>14</v>
      </c>
      <c r="AU223" s="20">
        <v>25.68</v>
      </c>
      <c r="AV223" s="20">
        <v>-48.81</v>
      </c>
      <c r="BE223" s="20">
        <v>221.0</v>
      </c>
      <c r="BF223" s="20" t="s">
        <v>14</v>
      </c>
      <c r="BG223" s="20">
        <v>43.31</v>
      </c>
      <c r="BH223" s="20">
        <v>21.08</v>
      </c>
      <c r="BK223" s="20">
        <v>111.0</v>
      </c>
      <c r="BL223" s="20" t="s">
        <v>14</v>
      </c>
      <c r="BM223" s="20">
        <v>12.92</v>
      </c>
      <c r="BN223" s="20">
        <v>27.07</v>
      </c>
      <c r="BW223" s="20">
        <v>-53.42</v>
      </c>
      <c r="BX223" s="20">
        <v>15.29</v>
      </c>
      <c r="BZ223" s="20">
        <v>-43.15</v>
      </c>
      <c r="CA223" s="20">
        <v>65.08</v>
      </c>
      <c r="CI223" s="20">
        <v>-63.1</v>
      </c>
      <c r="CJ223" s="20">
        <v>-55.4</v>
      </c>
      <c r="CO223" s="20">
        <v>-10.52</v>
      </c>
      <c r="CP223" s="20">
        <v>-53.65</v>
      </c>
    </row>
    <row r="224">
      <c r="A224" s="20">
        <v>-38.94</v>
      </c>
      <c r="B224" s="20">
        <v>78.63</v>
      </c>
      <c r="D224" s="20"/>
      <c r="E224" s="20"/>
      <c r="F224" s="20">
        <v>-20.86</v>
      </c>
      <c r="G224" s="20">
        <v>-12.54</v>
      </c>
      <c r="I224" s="20"/>
      <c r="J224" s="20"/>
      <c r="K224" s="20">
        <v>111.0</v>
      </c>
      <c r="L224" s="20" t="s">
        <v>17</v>
      </c>
      <c r="M224" s="20">
        <v>-14.05</v>
      </c>
      <c r="N224" s="20">
        <v>-16.11</v>
      </c>
      <c r="P224" s="20">
        <v>-26.43</v>
      </c>
      <c r="Q224" s="20">
        <v>7.44</v>
      </c>
      <c r="AG224" s="20">
        <v>222.0</v>
      </c>
      <c r="AH224" s="20" t="s">
        <v>14</v>
      </c>
      <c r="AI224" s="20">
        <v>-21.06</v>
      </c>
      <c r="AJ224" s="20">
        <v>-0.97</v>
      </c>
      <c r="AM224" s="20">
        <v>111.0</v>
      </c>
      <c r="AN224" s="20" t="s">
        <v>17</v>
      </c>
      <c r="AO224" s="20">
        <v>14.66</v>
      </c>
      <c r="AP224" s="20">
        <v>-7.56</v>
      </c>
      <c r="AS224" s="20">
        <v>111.0</v>
      </c>
      <c r="AT224" s="20" t="s">
        <v>17</v>
      </c>
      <c r="AU224" s="20">
        <v>-22.04</v>
      </c>
      <c r="AV224" s="20">
        <v>-24.25</v>
      </c>
      <c r="BE224" s="20">
        <v>222.0</v>
      </c>
      <c r="BF224" s="20" t="s">
        <v>14</v>
      </c>
      <c r="BG224" s="20">
        <v>48.94</v>
      </c>
      <c r="BH224" s="20">
        <v>14.55</v>
      </c>
      <c r="BK224" s="20">
        <v>111.0</v>
      </c>
      <c r="BL224" s="20" t="s">
        <v>17</v>
      </c>
      <c r="BM224" s="20">
        <v>157.75</v>
      </c>
      <c r="BN224" s="20">
        <v>135.16</v>
      </c>
      <c r="BW224" s="20">
        <v>-55.1</v>
      </c>
      <c r="BX224" s="20">
        <v>-16.55</v>
      </c>
      <c r="BZ224" s="20">
        <v>-44.43</v>
      </c>
      <c r="CA224" s="20">
        <v>31.54</v>
      </c>
      <c r="CI224" s="20">
        <v>-62.78</v>
      </c>
      <c r="CJ224" s="20">
        <v>-64.68</v>
      </c>
      <c r="CO224" s="20">
        <v>-49.36</v>
      </c>
      <c r="CP224" s="20">
        <v>-46.4</v>
      </c>
    </row>
    <row r="225">
      <c r="A225" s="20">
        <v>-23.37</v>
      </c>
      <c r="B225" s="20">
        <v>121.82</v>
      </c>
      <c r="D225" s="20"/>
      <c r="E225" s="20"/>
      <c r="F225" s="20">
        <v>50.61</v>
      </c>
      <c r="G225" s="20">
        <v>53.64</v>
      </c>
      <c r="I225" s="20"/>
      <c r="J225" s="20"/>
      <c r="K225" s="20">
        <v>112.0</v>
      </c>
      <c r="L225" s="20" t="s">
        <v>14</v>
      </c>
      <c r="M225" s="20">
        <v>-23.63</v>
      </c>
      <c r="N225" s="20">
        <v>-20.1</v>
      </c>
      <c r="P225" s="20">
        <v>-4.63</v>
      </c>
      <c r="Q225" s="20">
        <v>22.39</v>
      </c>
      <c r="AG225" s="20">
        <v>223.0</v>
      </c>
      <c r="AH225" s="20" t="s">
        <v>14</v>
      </c>
      <c r="AI225" s="20">
        <v>-34.71</v>
      </c>
      <c r="AJ225" s="20">
        <v>-27.57</v>
      </c>
      <c r="AM225" s="20">
        <v>112.0</v>
      </c>
      <c r="AN225" s="20" t="s">
        <v>14</v>
      </c>
      <c r="AO225" s="20">
        <v>-36.77</v>
      </c>
      <c r="AP225" s="20">
        <v>-34.44</v>
      </c>
      <c r="AS225" s="20">
        <v>112.0</v>
      </c>
      <c r="AT225" s="20" t="s">
        <v>14</v>
      </c>
      <c r="AU225" s="20">
        <v>-1.31</v>
      </c>
      <c r="AV225" s="20">
        <v>-40.66</v>
      </c>
      <c r="BE225" s="20">
        <v>223.0</v>
      </c>
      <c r="BF225" s="20" t="s">
        <v>14</v>
      </c>
      <c r="BG225" s="20">
        <v>33.51</v>
      </c>
      <c r="BH225" s="20">
        <v>66.94</v>
      </c>
      <c r="BK225" s="20">
        <v>112.0</v>
      </c>
      <c r="BL225" s="20" t="s">
        <v>14</v>
      </c>
      <c r="BM225" s="20">
        <v>49.9</v>
      </c>
      <c r="BN225" s="20">
        <v>130.62</v>
      </c>
      <c r="BW225" s="20">
        <v>-49.55</v>
      </c>
      <c r="BX225" s="20">
        <v>-26.11</v>
      </c>
      <c r="BZ225" s="20">
        <v>-29.7</v>
      </c>
      <c r="CA225" s="20">
        <v>101.27</v>
      </c>
      <c r="CI225" s="20">
        <v>-42.24</v>
      </c>
      <c r="CJ225" s="20">
        <v>-69.02</v>
      </c>
      <c r="CO225" s="20">
        <v>9.14</v>
      </c>
      <c r="CP225" s="20">
        <v>-51.13</v>
      </c>
    </row>
    <row r="226">
      <c r="A226" s="20">
        <v>-13.23</v>
      </c>
      <c r="B226" s="20">
        <v>184.31</v>
      </c>
      <c r="D226" s="20"/>
      <c r="E226" s="20"/>
      <c r="F226" s="20">
        <v>23.9</v>
      </c>
      <c r="G226" s="20">
        <v>20.4</v>
      </c>
      <c r="I226" s="20"/>
      <c r="J226" s="20"/>
      <c r="K226" s="20">
        <v>112.0</v>
      </c>
      <c r="L226" s="20" t="s">
        <v>17</v>
      </c>
      <c r="M226" s="20">
        <v>13.7</v>
      </c>
      <c r="N226" s="20">
        <v>88.0</v>
      </c>
      <c r="P226" s="20">
        <v>38.41</v>
      </c>
      <c r="Q226" s="20">
        <v>43.39</v>
      </c>
      <c r="AG226" s="20">
        <v>224.0</v>
      </c>
      <c r="AH226" s="20" t="s">
        <v>14</v>
      </c>
      <c r="AI226" s="20">
        <v>-6.0</v>
      </c>
      <c r="AJ226" s="20">
        <v>-12.15</v>
      </c>
      <c r="AM226" s="20">
        <v>112.0</v>
      </c>
      <c r="AN226" s="20" t="s">
        <v>17</v>
      </c>
      <c r="AO226" s="20">
        <v>-38.03</v>
      </c>
      <c r="AP226" s="20">
        <v>-27.29</v>
      </c>
      <c r="AS226" s="20">
        <v>112.0</v>
      </c>
      <c r="AT226" s="20" t="s">
        <v>17</v>
      </c>
      <c r="AU226" s="20">
        <v>-15.39</v>
      </c>
      <c r="AV226" s="20">
        <v>-21.58</v>
      </c>
      <c r="BE226" s="20">
        <v>224.0</v>
      </c>
      <c r="BF226" s="20" t="s">
        <v>14</v>
      </c>
      <c r="BG226" s="20">
        <v>41.16</v>
      </c>
      <c r="BH226" s="20">
        <v>43.98</v>
      </c>
      <c r="BK226" s="20">
        <v>112.0</v>
      </c>
      <c r="BL226" s="20" t="s">
        <v>17</v>
      </c>
      <c r="BM226" s="20">
        <v>72.73</v>
      </c>
      <c r="BN226" s="20">
        <v>111.34</v>
      </c>
      <c r="BW226" s="20">
        <v>-28.23</v>
      </c>
      <c r="BX226" s="20">
        <v>47.38</v>
      </c>
      <c r="BZ226" s="20">
        <v>-37.89</v>
      </c>
      <c r="CA226" s="20">
        <v>138.0</v>
      </c>
      <c r="CI226" s="20">
        <v>-45.87</v>
      </c>
      <c r="CJ226" s="20">
        <v>-63.14</v>
      </c>
      <c r="CO226" s="20">
        <v>14.92</v>
      </c>
      <c r="CP226" s="20">
        <v>-53.43</v>
      </c>
    </row>
    <row r="227">
      <c r="A227" s="20">
        <v>-30.39</v>
      </c>
      <c r="B227" s="20">
        <v>37.13</v>
      </c>
      <c r="D227" s="20"/>
      <c r="E227" s="20"/>
      <c r="F227" s="20">
        <v>7.26</v>
      </c>
      <c r="G227" s="20">
        <v>7.25</v>
      </c>
      <c r="I227" s="20"/>
      <c r="J227" s="20"/>
      <c r="K227" s="20">
        <v>113.0</v>
      </c>
      <c r="L227" s="20" t="s">
        <v>14</v>
      </c>
      <c r="M227" s="20">
        <v>-17.44</v>
      </c>
      <c r="N227" s="20">
        <v>5.24</v>
      </c>
      <c r="P227" s="20">
        <v>42.2</v>
      </c>
      <c r="Q227" s="20">
        <v>93.5</v>
      </c>
      <c r="AG227" s="20">
        <v>225.0</v>
      </c>
      <c r="AH227" s="20" t="s">
        <v>14</v>
      </c>
      <c r="AI227" s="20">
        <v>-3.78</v>
      </c>
      <c r="AJ227" s="20">
        <v>-10.43</v>
      </c>
      <c r="AM227" s="20">
        <v>113.0</v>
      </c>
      <c r="AN227" s="20" t="s">
        <v>14</v>
      </c>
      <c r="AO227" s="20">
        <v>10.08</v>
      </c>
      <c r="AP227" s="20">
        <v>-10.29</v>
      </c>
      <c r="AS227" s="20">
        <v>113.0</v>
      </c>
      <c r="AT227" s="20" t="s">
        <v>14</v>
      </c>
      <c r="AU227" s="20">
        <v>-34.14</v>
      </c>
      <c r="AV227" s="20">
        <v>-45.02</v>
      </c>
      <c r="BE227" s="20">
        <v>225.0</v>
      </c>
      <c r="BF227" s="20" t="s">
        <v>14</v>
      </c>
      <c r="BG227" s="20">
        <v>-8.37</v>
      </c>
      <c r="BH227" s="20">
        <v>31.84</v>
      </c>
      <c r="BK227" s="20">
        <v>113.0</v>
      </c>
      <c r="BL227" s="20" t="s">
        <v>14</v>
      </c>
      <c r="BM227" s="20">
        <v>17.46</v>
      </c>
      <c r="BN227" s="20">
        <v>92.25</v>
      </c>
      <c r="BW227" s="20">
        <v>-33.73</v>
      </c>
      <c r="BX227" s="20">
        <v>-20.56</v>
      </c>
      <c r="BZ227" s="20">
        <v>-18.48</v>
      </c>
      <c r="CA227" s="20">
        <v>68.89</v>
      </c>
      <c r="CI227" s="20">
        <v>-44.3</v>
      </c>
      <c r="CJ227" s="20">
        <v>-69.03</v>
      </c>
      <c r="CO227" s="20">
        <v>-35.59</v>
      </c>
      <c r="CP227" s="20">
        <v>-56.23</v>
      </c>
    </row>
    <row r="228">
      <c r="A228" s="20">
        <v>-14.09</v>
      </c>
      <c r="B228" s="20">
        <v>188.72</v>
      </c>
      <c r="D228" s="20"/>
      <c r="E228" s="20"/>
      <c r="F228" s="20">
        <v>-40.45</v>
      </c>
      <c r="G228" s="20">
        <v>10.01</v>
      </c>
      <c r="I228" s="20"/>
      <c r="J228" s="20"/>
      <c r="K228" s="20">
        <v>113.0</v>
      </c>
      <c r="L228" s="20" t="s">
        <v>17</v>
      </c>
      <c r="M228" s="20">
        <v>-6.76</v>
      </c>
      <c r="N228" s="20">
        <v>-29.65</v>
      </c>
      <c r="P228" s="20">
        <v>-9.51</v>
      </c>
      <c r="Q228" s="20">
        <v>6.74</v>
      </c>
      <c r="AG228" s="20">
        <v>226.0</v>
      </c>
      <c r="AH228" s="20" t="s">
        <v>14</v>
      </c>
      <c r="AI228" s="20">
        <v>-57.5</v>
      </c>
      <c r="AJ228" s="20">
        <v>-30.45</v>
      </c>
      <c r="AM228" s="20">
        <v>113.0</v>
      </c>
      <c r="AN228" s="20" t="s">
        <v>17</v>
      </c>
      <c r="AO228" s="20">
        <v>-32.11</v>
      </c>
      <c r="AP228" s="20">
        <v>-6.57</v>
      </c>
      <c r="AS228" s="20">
        <v>113.0</v>
      </c>
      <c r="AT228" s="20" t="s">
        <v>17</v>
      </c>
      <c r="AU228" s="20">
        <v>-43.06</v>
      </c>
      <c r="AV228" s="20">
        <v>-42.44</v>
      </c>
      <c r="BE228" s="20">
        <v>226.0</v>
      </c>
      <c r="BF228" s="20" t="s">
        <v>14</v>
      </c>
      <c r="BG228" s="20">
        <v>4.29</v>
      </c>
      <c r="BH228" s="20">
        <v>35.31</v>
      </c>
      <c r="BK228" s="20">
        <v>113.0</v>
      </c>
      <c r="BL228" s="20" t="s">
        <v>17</v>
      </c>
      <c r="BM228" s="20">
        <v>-7.24</v>
      </c>
      <c r="BN228" s="20">
        <v>1.76</v>
      </c>
      <c r="BW228" s="20">
        <v>-20.97</v>
      </c>
      <c r="BX228" s="20">
        <v>-63.78</v>
      </c>
      <c r="BZ228" s="20">
        <v>-4.82</v>
      </c>
      <c r="CA228" s="20">
        <v>49.41</v>
      </c>
      <c r="CI228" s="20">
        <v>-59.53</v>
      </c>
      <c r="CJ228" s="20">
        <v>-62.31</v>
      </c>
      <c r="CO228" s="20">
        <v>-26.67</v>
      </c>
      <c r="CP228" s="20">
        <v>-51.1</v>
      </c>
    </row>
    <row r="229">
      <c r="A229" s="20">
        <v>-39.02</v>
      </c>
      <c r="B229" s="20">
        <v>11.15</v>
      </c>
      <c r="D229" s="20"/>
      <c r="E229" s="20"/>
      <c r="F229" s="20">
        <v>-39.37</v>
      </c>
      <c r="G229" s="20">
        <v>19.93</v>
      </c>
      <c r="I229" s="20"/>
      <c r="J229" s="20"/>
      <c r="K229" s="20">
        <v>114.0</v>
      </c>
      <c r="L229" s="20" t="s">
        <v>14</v>
      </c>
      <c r="M229" s="20">
        <v>6.35</v>
      </c>
      <c r="N229" s="20">
        <v>38.83</v>
      </c>
      <c r="P229" s="20">
        <v>10.43</v>
      </c>
      <c r="Q229" s="20">
        <v>58.42</v>
      </c>
      <c r="AG229" s="20">
        <v>227.0</v>
      </c>
      <c r="AH229" s="20" t="s">
        <v>14</v>
      </c>
      <c r="AI229" s="20">
        <v>-13.89</v>
      </c>
      <c r="AJ229" s="20">
        <v>-20.6</v>
      </c>
      <c r="AM229" s="20">
        <v>114.0</v>
      </c>
      <c r="AN229" s="20" t="s">
        <v>14</v>
      </c>
      <c r="AO229" s="20">
        <v>-21.93</v>
      </c>
      <c r="AP229" s="20">
        <v>-24.23</v>
      </c>
      <c r="AS229" s="20">
        <v>114.0</v>
      </c>
      <c r="AT229" s="20" t="s">
        <v>14</v>
      </c>
      <c r="AU229" s="20">
        <v>-23.06</v>
      </c>
      <c r="AV229" s="20">
        <v>-39.84</v>
      </c>
      <c r="BE229" s="20">
        <v>227.0</v>
      </c>
      <c r="BF229" s="20" t="s">
        <v>14</v>
      </c>
      <c r="BG229" s="20">
        <v>8.95</v>
      </c>
      <c r="BH229" s="20">
        <v>5.29</v>
      </c>
      <c r="BK229" s="20">
        <v>114.0</v>
      </c>
      <c r="BL229" s="20" t="s">
        <v>14</v>
      </c>
      <c r="BM229" s="20">
        <v>86.69</v>
      </c>
      <c r="BN229" s="20">
        <v>59.48</v>
      </c>
      <c r="BW229" s="20">
        <v>-32.78</v>
      </c>
      <c r="BX229" s="20">
        <v>21.68</v>
      </c>
      <c r="BZ229" s="20">
        <v>-32.41</v>
      </c>
      <c r="CA229" s="20">
        <v>223.04</v>
      </c>
      <c r="CI229" s="20">
        <v>-48.3</v>
      </c>
      <c r="CJ229" s="20">
        <v>-50.53</v>
      </c>
      <c r="CO229" s="20">
        <v>-13.26</v>
      </c>
      <c r="CP229" s="20">
        <v>-54.57</v>
      </c>
    </row>
    <row r="230">
      <c r="A230" s="20">
        <v>-5.79</v>
      </c>
      <c r="B230" s="20">
        <v>99.83</v>
      </c>
      <c r="D230" s="20"/>
      <c r="E230" s="20"/>
      <c r="F230" s="20">
        <v>-47.83</v>
      </c>
      <c r="G230" s="20">
        <v>-14.1</v>
      </c>
      <c r="I230" s="20"/>
      <c r="J230" s="20"/>
      <c r="K230" s="20">
        <v>114.0</v>
      </c>
      <c r="L230" s="20" t="s">
        <v>17</v>
      </c>
      <c r="M230" s="20">
        <v>33.33</v>
      </c>
      <c r="N230" s="20">
        <v>108.55</v>
      </c>
      <c r="P230" s="20">
        <v>83.1</v>
      </c>
      <c r="Q230" s="20">
        <v>20.93</v>
      </c>
      <c r="AG230" s="20">
        <v>228.0</v>
      </c>
      <c r="AH230" s="20" t="s">
        <v>14</v>
      </c>
      <c r="AI230" s="20">
        <v>7.47</v>
      </c>
      <c r="AJ230" s="20">
        <v>-6.33</v>
      </c>
      <c r="AM230" s="20">
        <v>114.0</v>
      </c>
      <c r="AN230" s="20" t="s">
        <v>17</v>
      </c>
      <c r="AO230" s="20">
        <v>-15.78</v>
      </c>
      <c r="AP230" s="20">
        <v>-16.4</v>
      </c>
      <c r="AS230" s="20">
        <v>114.0</v>
      </c>
      <c r="AT230" s="20" t="s">
        <v>17</v>
      </c>
      <c r="AU230" s="20">
        <v>-31.94</v>
      </c>
      <c r="AV230" s="20">
        <v>-45.17</v>
      </c>
      <c r="BE230" s="20">
        <v>228.0</v>
      </c>
      <c r="BF230" s="20" t="s">
        <v>14</v>
      </c>
      <c r="BG230" s="20">
        <v>-10.91</v>
      </c>
      <c r="BH230" s="20">
        <v>9.28</v>
      </c>
      <c r="BK230" s="20">
        <v>114.0</v>
      </c>
      <c r="BL230" s="20" t="s">
        <v>17</v>
      </c>
      <c r="BM230" s="20">
        <v>124.48</v>
      </c>
      <c r="BN230" s="20">
        <v>90.06</v>
      </c>
      <c r="BW230" s="20">
        <v>-38.0</v>
      </c>
      <c r="BX230" s="20">
        <v>-24.99</v>
      </c>
      <c r="BZ230" s="20">
        <v>-71.79</v>
      </c>
      <c r="CA230" s="20">
        <v>60.77</v>
      </c>
      <c r="CI230" s="20">
        <v>-33.16</v>
      </c>
      <c r="CJ230" s="20">
        <v>-40.29</v>
      </c>
      <c r="CO230" s="20">
        <v>-5.03</v>
      </c>
      <c r="CP230" s="20">
        <v>-43.57</v>
      </c>
    </row>
    <row r="231">
      <c r="A231" s="20">
        <v>-49.66</v>
      </c>
      <c r="B231" s="20">
        <v>-8.36</v>
      </c>
      <c r="D231" s="20"/>
      <c r="E231" s="20"/>
      <c r="F231" s="20">
        <v>-7.9</v>
      </c>
      <c r="G231" s="20">
        <v>58.05</v>
      </c>
      <c r="I231" s="20"/>
      <c r="J231" s="20"/>
      <c r="K231" s="20">
        <v>115.0</v>
      </c>
      <c r="L231" s="20" t="s">
        <v>14</v>
      </c>
      <c r="M231" s="20">
        <v>5.25</v>
      </c>
      <c r="N231" s="20">
        <v>52.91</v>
      </c>
      <c r="P231" s="20">
        <v>8.38</v>
      </c>
      <c r="Q231" s="20">
        <v>-3.0</v>
      </c>
      <c r="AG231" s="20">
        <v>229.0</v>
      </c>
      <c r="AH231" s="20" t="s">
        <v>14</v>
      </c>
      <c r="AI231" s="20">
        <v>-22.47</v>
      </c>
      <c r="AJ231" s="20">
        <v>-34.03</v>
      </c>
      <c r="AM231" s="20">
        <v>115.0</v>
      </c>
      <c r="AN231" s="20" t="s">
        <v>14</v>
      </c>
      <c r="AO231" s="20">
        <v>-2.45</v>
      </c>
      <c r="AP231" s="20">
        <v>-15.05</v>
      </c>
      <c r="AS231" s="20">
        <v>115.0</v>
      </c>
      <c r="AT231" s="20" t="s">
        <v>14</v>
      </c>
      <c r="AU231" s="20">
        <v>-20.59</v>
      </c>
      <c r="AV231" s="20">
        <v>-51.46</v>
      </c>
      <c r="BE231" s="20">
        <v>229.0</v>
      </c>
      <c r="BF231" s="20" t="s">
        <v>14</v>
      </c>
      <c r="BG231" s="20">
        <v>-1.47</v>
      </c>
      <c r="BH231" s="20">
        <v>32.56</v>
      </c>
      <c r="BK231" s="20">
        <v>115.0</v>
      </c>
      <c r="BL231" s="20" t="s">
        <v>14</v>
      </c>
      <c r="BM231" s="20">
        <v>53.55</v>
      </c>
      <c r="BN231" s="20">
        <v>66.39</v>
      </c>
      <c r="BW231" s="20">
        <v>-42.1</v>
      </c>
      <c r="BX231" s="20">
        <v>-27.62</v>
      </c>
      <c r="BZ231" s="20">
        <v>-63.03</v>
      </c>
      <c r="CA231" s="20">
        <v>62.2</v>
      </c>
      <c r="CI231" s="20">
        <v>-43.85</v>
      </c>
      <c r="CJ231" s="20">
        <v>-53.76</v>
      </c>
      <c r="CO231" s="20">
        <v>-51.6</v>
      </c>
      <c r="CP231" s="20">
        <v>-56.56</v>
      </c>
    </row>
    <row r="232">
      <c r="A232" s="20">
        <v>-41.63</v>
      </c>
      <c r="B232" s="20">
        <v>285.85</v>
      </c>
      <c r="D232" s="20"/>
      <c r="E232" s="20"/>
      <c r="F232" s="20">
        <v>-9.16</v>
      </c>
      <c r="G232" s="20">
        <v>44.91</v>
      </c>
      <c r="I232" s="20"/>
      <c r="J232" s="20"/>
      <c r="K232" s="20">
        <v>115.0</v>
      </c>
      <c r="L232" s="20" t="s">
        <v>17</v>
      </c>
      <c r="M232" s="20">
        <v>-3.29</v>
      </c>
      <c r="N232" s="20">
        <v>3.11</v>
      </c>
      <c r="P232" s="20">
        <v>39.83</v>
      </c>
      <c r="Q232" s="20">
        <v>56.71</v>
      </c>
      <c r="AG232" s="20">
        <v>230.0</v>
      </c>
      <c r="AH232" s="20" t="s">
        <v>14</v>
      </c>
      <c r="AI232" s="20">
        <v>6.02</v>
      </c>
      <c r="AJ232" s="20">
        <v>-3.47</v>
      </c>
      <c r="AM232" s="20">
        <v>115.0</v>
      </c>
      <c r="AN232" s="20" t="s">
        <v>17</v>
      </c>
      <c r="AO232" s="20">
        <v>-50.77</v>
      </c>
      <c r="AP232" s="20">
        <v>-36.41</v>
      </c>
      <c r="AS232" s="20">
        <v>115.0</v>
      </c>
      <c r="AT232" s="20" t="s">
        <v>17</v>
      </c>
      <c r="AU232" s="20">
        <v>-33.05</v>
      </c>
      <c r="AV232" s="20">
        <v>-46.63</v>
      </c>
      <c r="BE232" s="20">
        <v>230.0</v>
      </c>
      <c r="BF232" s="20" t="s">
        <v>14</v>
      </c>
      <c r="BG232" s="20">
        <v>23.98</v>
      </c>
      <c r="BH232" s="20">
        <v>31.73</v>
      </c>
      <c r="BK232" s="20">
        <v>115.0</v>
      </c>
      <c r="BL232" s="20" t="s">
        <v>17</v>
      </c>
      <c r="BM232" s="20">
        <v>55.2</v>
      </c>
      <c r="BN232" s="20">
        <v>139.39</v>
      </c>
      <c r="BW232" s="20">
        <v>-53.97</v>
      </c>
      <c r="BX232" s="20">
        <v>-34.09</v>
      </c>
      <c r="BZ232" s="20">
        <v>-37.12</v>
      </c>
      <c r="CA232" s="20">
        <v>47.83</v>
      </c>
      <c r="CI232" s="20">
        <v>-57.67</v>
      </c>
      <c r="CJ232" s="20">
        <v>-60.94</v>
      </c>
      <c r="CO232" s="20">
        <v>-32.67</v>
      </c>
      <c r="CP232" s="20">
        <v>-44.01</v>
      </c>
    </row>
    <row r="233">
      <c r="A233" s="20">
        <v>-12.05</v>
      </c>
      <c r="B233" s="20">
        <v>132.46</v>
      </c>
      <c r="D233" s="20"/>
      <c r="E233" s="20"/>
      <c r="F233" s="20">
        <v>-12.77</v>
      </c>
      <c r="G233" s="20">
        <v>0.21</v>
      </c>
      <c r="I233" s="20"/>
      <c r="J233" s="20"/>
      <c r="K233" s="20">
        <v>116.0</v>
      </c>
      <c r="L233" s="20" t="s">
        <v>14</v>
      </c>
      <c r="M233" s="20">
        <v>-4.19</v>
      </c>
      <c r="N233" s="20">
        <v>-15.82</v>
      </c>
      <c r="P233" s="20">
        <v>20.98</v>
      </c>
      <c r="Q233" s="20">
        <v>17.73</v>
      </c>
      <c r="AG233" s="20">
        <v>231.0</v>
      </c>
      <c r="AH233" s="20" t="s">
        <v>14</v>
      </c>
      <c r="AI233" s="20">
        <v>-21.21</v>
      </c>
      <c r="AJ233" s="20">
        <v>-10.72</v>
      </c>
      <c r="AM233" s="20">
        <v>116.0</v>
      </c>
      <c r="AN233" s="20" t="s">
        <v>14</v>
      </c>
      <c r="AO233" s="20">
        <v>-21.04</v>
      </c>
      <c r="AP233" s="20">
        <v>-27.7</v>
      </c>
      <c r="AS233" s="20">
        <v>116.0</v>
      </c>
      <c r="AT233" s="20" t="s">
        <v>14</v>
      </c>
      <c r="AU233" s="20">
        <v>-5.24</v>
      </c>
      <c r="AV233" s="20">
        <v>-39.02</v>
      </c>
      <c r="BE233" s="20">
        <v>231.0</v>
      </c>
      <c r="BF233" s="20" t="s">
        <v>14</v>
      </c>
      <c r="BG233" s="20">
        <v>12.57</v>
      </c>
      <c r="BH233" s="20">
        <v>18.01</v>
      </c>
      <c r="BK233" s="20">
        <v>116.0</v>
      </c>
      <c r="BL233" s="20" t="s">
        <v>14</v>
      </c>
      <c r="BM233" s="20">
        <v>31.18</v>
      </c>
      <c r="BN233" s="20">
        <v>44.26</v>
      </c>
      <c r="BW233" s="20">
        <v>-42.64</v>
      </c>
      <c r="BX233" s="20">
        <v>-40.77</v>
      </c>
      <c r="BZ233" s="20">
        <v>-51.92</v>
      </c>
      <c r="CA233" s="20">
        <v>17.75</v>
      </c>
      <c r="CI233" s="20">
        <v>-49.15</v>
      </c>
      <c r="CJ233" s="20">
        <v>-49.39</v>
      </c>
      <c r="CO233" s="20">
        <v>-32.09</v>
      </c>
      <c r="CP233" s="20">
        <v>-52.61</v>
      </c>
    </row>
    <row r="234">
      <c r="A234" s="20">
        <v>-32.71</v>
      </c>
      <c r="B234" s="20">
        <v>49.28</v>
      </c>
      <c r="D234" s="20"/>
      <c r="E234" s="20"/>
      <c r="F234" s="20">
        <v>0.56</v>
      </c>
      <c r="G234" s="20">
        <v>149.87</v>
      </c>
      <c r="I234" s="20"/>
      <c r="J234" s="20"/>
      <c r="K234" s="20">
        <v>116.0</v>
      </c>
      <c r="L234" s="20" t="s">
        <v>17</v>
      </c>
      <c r="M234" s="20">
        <v>3.15</v>
      </c>
      <c r="N234" s="20">
        <v>-28.47</v>
      </c>
      <c r="P234" s="20">
        <v>13.95</v>
      </c>
      <c r="Q234" s="20">
        <v>35.5</v>
      </c>
      <c r="AG234" s="20">
        <v>232.0</v>
      </c>
      <c r="AH234" s="20" t="s">
        <v>14</v>
      </c>
      <c r="AI234" s="20">
        <v>-56.24</v>
      </c>
      <c r="AJ234" s="20">
        <v>-68.41</v>
      </c>
      <c r="AM234" s="20">
        <v>116.0</v>
      </c>
      <c r="AN234" s="20" t="s">
        <v>17</v>
      </c>
      <c r="AO234" s="20">
        <v>-7.83</v>
      </c>
      <c r="AP234" s="20">
        <v>-1.45</v>
      </c>
      <c r="AS234" s="20">
        <v>116.0</v>
      </c>
      <c r="AT234" s="20" t="s">
        <v>17</v>
      </c>
      <c r="AU234" s="20">
        <v>-20.09</v>
      </c>
      <c r="AV234" s="20">
        <v>-12.73</v>
      </c>
      <c r="BE234" s="20">
        <v>232.0</v>
      </c>
      <c r="BF234" s="20" t="s">
        <v>14</v>
      </c>
      <c r="BG234" s="20">
        <v>5.66</v>
      </c>
      <c r="BH234" s="20">
        <v>79.0</v>
      </c>
      <c r="BK234" s="20">
        <v>116.0</v>
      </c>
      <c r="BL234" s="20" t="s">
        <v>17</v>
      </c>
      <c r="BM234" s="20">
        <v>90.55</v>
      </c>
      <c r="BN234" s="20">
        <v>95.09</v>
      </c>
      <c r="BW234" s="20">
        <v>-50.12</v>
      </c>
      <c r="BX234" s="20">
        <v>-14.66</v>
      </c>
      <c r="BZ234" s="20">
        <v>-39.33</v>
      </c>
      <c r="CA234" s="20">
        <v>43.93</v>
      </c>
      <c r="CI234" s="20">
        <v>-53.28</v>
      </c>
      <c r="CJ234" s="20">
        <v>-32.18</v>
      </c>
      <c r="CO234" s="20">
        <v>-12.53</v>
      </c>
      <c r="CP234" s="20">
        <v>-41.81</v>
      </c>
    </row>
    <row r="235">
      <c r="A235" s="20">
        <v>14.88</v>
      </c>
      <c r="B235" s="20">
        <v>47.78</v>
      </c>
      <c r="D235" s="20"/>
      <c r="E235" s="20"/>
      <c r="F235" s="20">
        <v>-34.76</v>
      </c>
      <c r="G235" s="20">
        <v>16.12</v>
      </c>
      <c r="I235" s="20"/>
      <c r="J235" s="20"/>
      <c r="K235" s="20">
        <v>117.0</v>
      </c>
      <c r="L235" s="20" t="s">
        <v>14</v>
      </c>
      <c r="M235" s="20">
        <v>-21.24</v>
      </c>
      <c r="N235" s="20">
        <v>-13.28</v>
      </c>
      <c r="P235" s="20">
        <v>15.84</v>
      </c>
      <c r="Q235" s="20">
        <v>4.09</v>
      </c>
      <c r="AG235" s="20">
        <v>233.0</v>
      </c>
      <c r="AH235" s="20" t="s">
        <v>14</v>
      </c>
      <c r="AI235" s="20">
        <v>-2.96</v>
      </c>
      <c r="AJ235" s="20">
        <v>-13.4</v>
      </c>
      <c r="AM235" s="20">
        <v>117.0</v>
      </c>
      <c r="AN235" s="20" t="s">
        <v>14</v>
      </c>
      <c r="AO235" s="20">
        <v>-29.48</v>
      </c>
      <c r="AP235" s="20">
        <v>-33.43</v>
      </c>
      <c r="AS235" s="20">
        <v>117.0</v>
      </c>
      <c r="AT235" s="20" t="s">
        <v>14</v>
      </c>
      <c r="AU235" s="20">
        <v>-23.27</v>
      </c>
      <c r="AV235" s="20">
        <v>-46.89</v>
      </c>
      <c r="BE235" s="20">
        <v>233.0</v>
      </c>
      <c r="BF235" s="20" t="s">
        <v>14</v>
      </c>
      <c r="BG235" s="20">
        <v>-25.03</v>
      </c>
      <c r="BH235" s="20">
        <v>34.08</v>
      </c>
      <c r="BK235" s="20">
        <v>117.0</v>
      </c>
      <c r="BL235" s="20" t="s">
        <v>14</v>
      </c>
      <c r="BM235" s="20">
        <v>50.66</v>
      </c>
      <c r="BN235" s="20">
        <v>142.16</v>
      </c>
      <c r="BW235" s="20">
        <v>-52.47</v>
      </c>
      <c r="BX235" s="20">
        <v>-14.24</v>
      </c>
      <c r="BZ235" s="20">
        <v>-36.74</v>
      </c>
      <c r="CA235" s="20">
        <v>5.77</v>
      </c>
      <c r="CI235" s="20">
        <v>-55.46</v>
      </c>
      <c r="CJ235" s="20">
        <v>-41.59</v>
      </c>
      <c r="CO235" s="20">
        <v>7.07</v>
      </c>
      <c r="CP235" s="20">
        <v>-61.13</v>
      </c>
    </row>
    <row r="236">
      <c r="A236" s="20">
        <v>-29.85</v>
      </c>
      <c r="B236" s="20">
        <v>112.31</v>
      </c>
      <c r="D236" s="20"/>
      <c r="E236" s="20"/>
      <c r="F236" s="20">
        <v>-33.1</v>
      </c>
      <c r="G236" s="20">
        <v>27.87</v>
      </c>
      <c r="I236" s="20"/>
      <c r="J236" s="20"/>
      <c r="K236" s="20">
        <v>117.0</v>
      </c>
      <c r="L236" s="20" t="s">
        <v>17</v>
      </c>
      <c r="M236" s="20">
        <v>-12.13</v>
      </c>
      <c r="N236" s="20">
        <v>24.98</v>
      </c>
      <c r="P236" s="20">
        <v>8.52</v>
      </c>
      <c r="Q236" s="20">
        <v>5.15</v>
      </c>
      <c r="AG236" s="20">
        <v>234.0</v>
      </c>
      <c r="AH236" s="20" t="s">
        <v>14</v>
      </c>
      <c r="AI236" s="20">
        <v>9.43</v>
      </c>
      <c r="AJ236" s="20">
        <v>-4.74</v>
      </c>
      <c r="AM236" s="20">
        <v>117.0</v>
      </c>
      <c r="AN236" s="20" t="s">
        <v>17</v>
      </c>
      <c r="AO236" s="20">
        <v>-18.84</v>
      </c>
      <c r="AP236" s="20">
        <v>-27.68</v>
      </c>
      <c r="AS236" s="20">
        <v>117.0</v>
      </c>
      <c r="AT236" s="20" t="s">
        <v>17</v>
      </c>
      <c r="AU236" s="20">
        <v>-11.95</v>
      </c>
      <c r="AV236" s="20">
        <v>-40.97</v>
      </c>
      <c r="BE236" s="20">
        <v>234.0</v>
      </c>
      <c r="BF236" s="20" t="s">
        <v>14</v>
      </c>
      <c r="BG236" s="20">
        <v>48.68</v>
      </c>
      <c r="BH236" s="20">
        <v>29.08</v>
      </c>
      <c r="BK236" s="20">
        <v>117.0</v>
      </c>
      <c r="BL236" s="20" t="s">
        <v>17</v>
      </c>
      <c r="BM236" s="20">
        <v>120.32</v>
      </c>
      <c r="BN236" s="20">
        <v>150.77</v>
      </c>
      <c r="BW236" s="20">
        <v>-47.65</v>
      </c>
      <c r="BX236" s="20">
        <v>-15.54</v>
      </c>
      <c r="BZ236" s="20">
        <v>-30.22</v>
      </c>
      <c r="CA236" s="20">
        <v>14.01</v>
      </c>
      <c r="CI236" s="20">
        <v>-40.14</v>
      </c>
      <c r="CJ236" s="20">
        <v>-44.11</v>
      </c>
      <c r="CO236" s="20">
        <v>-20.94</v>
      </c>
      <c r="CP236" s="20">
        <v>-57.3</v>
      </c>
    </row>
    <row r="237">
      <c r="A237" s="20">
        <v>-25.79</v>
      </c>
      <c r="B237" s="20">
        <v>32.97</v>
      </c>
      <c r="D237" s="20"/>
      <c r="E237" s="20"/>
      <c r="F237" s="20">
        <v>36.87</v>
      </c>
      <c r="G237" s="20">
        <v>68.45</v>
      </c>
      <c r="I237" s="20"/>
      <c r="J237" s="20"/>
      <c r="K237" s="20">
        <v>118.0</v>
      </c>
      <c r="L237" s="20" t="s">
        <v>14</v>
      </c>
      <c r="M237" s="20">
        <v>-21.43</v>
      </c>
      <c r="N237" s="20">
        <v>-12.94</v>
      </c>
      <c r="P237" s="20">
        <v>1.7</v>
      </c>
      <c r="Q237" s="20">
        <v>18.3</v>
      </c>
      <c r="AG237" s="20">
        <v>235.0</v>
      </c>
      <c r="AH237" s="20" t="s">
        <v>14</v>
      </c>
      <c r="AI237" s="20">
        <v>-44.02</v>
      </c>
      <c r="AJ237" s="20">
        <v>-36.95</v>
      </c>
      <c r="AM237" s="20">
        <v>118.0</v>
      </c>
      <c r="AN237" s="20" t="s">
        <v>14</v>
      </c>
      <c r="AO237" s="20">
        <v>-37.75</v>
      </c>
      <c r="AP237" s="20">
        <v>-34.75</v>
      </c>
      <c r="AS237" s="20">
        <v>118.0</v>
      </c>
      <c r="AT237" s="20" t="s">
        <v>14</v>
      </c>
      <c r="AU237" s="20">
        <v>-23.9</v>
      </c>
      <c r="AV237" s="20">
        <v>-40.4</v>
      </c>
      <c r="BE237" s="20">
        <v>235.0</v>
      </c>
      <c r="BF237" s="20" t="s">
        <v>14</v>
      </c>
      <c r="BG237" s="20">
        <v>3.43</v>
      </c>
      <c r="BH237" s="20">
        <v>11.55</v>
      </c>
      <c r="BK237" s="20">
        <v>118.0</v>
      </c>
      <c r="BL237" s="20" t="s">
        <v>14</v>
      </c>
      <c r="BM237" s="20">
        <v>83.94</v>
      </c>
      <c r="BN237" s="20">
        <v>95.91</v>
      </c>
      <c r="BW237" s="20">
        <v>-51.74</v>
      </c>
      <c r="BX237" s="20">
        <v>-8.63</v>
      </c>
      <c r="BZ237" s="20">
        <v>-45.87</v>
      </c>
      <c r="CA237" s="20">
        <v>31.23</v>
      </c>
      <c r="CI237" s="20">
        <v>-52.53</v>
      </c>
      <c r="CJ237" s="20">
        <v>-40.88</v>
      </c>
      <c r="CO237" s="20">
        <v>-15.03</v>
      </c>
      <c r="CP237" s="20">
        <v>-29.18</v>
      </c>
    </row>
    <row r="238">
      <c r="A238" s="20">
        <v>-21.85</v>
      </c>
      <c r="B238" s="20">
        <v>28.74</v>
      </c>
      <c r="D238" s="20"/>
      <c r="E238" s="20"/>
      <c r="F238" s="20">
        <v>49.45</v>
      </c>
      <c r="G238" s="20">
        <v>17.05</v>
      </c>
      <c r="I238" s="20"/>
      <c r="J238" s="20"/>
      <c r="K238" s="20">
        <v>118.0</v>
      </c>
      <c r="L238" s="20" t="s">
        <v>17</v>
      </c>
      <c r="M238" s="20">
        <v>-22.22</v>
      </c>
      <c r="N238" s="20">
        <v>-5.91</v>
      </c>
      <c r="P238" s="20">
        <v>17.23</v>
      </c>
      <c r="Q238" s="20">
        <v>91.16</v>
      </c>
      <c r="AG238" s="20">
        <v>236.0</v>
      </c>
      <c r="AH238" s="20" t="s">
        <v>14</v>
      </c>
      <c r="AI238" s="20">
        <v>-1.93</v>
      </c>
      <c r="AJ238" s="20">
        <v>22.06</v>
      </c>
      <c r="AM238" s="20">
        <v>118.0</v>
      </c>
      <c r="AN238" s="20" t="s">
        <v>17</v>
      </c>
      <c r="AO238" s="20">
        <v>-26.78</v>
      </c>
      <c r="AP238" s="20">
        <v>-45.81</v>
      </c>
      <c r="AS238" s="20">
        <v>118.0</v>
      </c>
      <c r="AT238" s="20" t="s">
        <v>17</v>
      </c>
      <c r="AU238" s="20">
        <v>-39.79</v>
      </c>
      <c r="AV238" s="20">
        <v>-57.14</v>
      </c>
      <c r="BE238" s="20">
        <v>236.0</v>
      </c>
      <c r="BF238" s="20" t="s">
        <v>14</v>
      </c>
      <c r="BG238" s="20">
        <v>-20.51</v>
      </c>
      <c r="BH238" s="20">
        <v>32.85</v>
      </c>
      <c r="BK238" s="20">
        <v>118.0</v>
      </c>
      <c r="BL238" s="20" t="s">
        <v>17</v>
      </c>
      <c r="BM238" s="20">
        <v>106.56</v>
      </c>
      <c r="BN238" s="20">
        <v>141.19</v>
      </c>
      <c r="BW238" s="20">
        <v>-36.24</v>
      </c>
      <c r="BX238" s="20">
        <v>-2.08</v>
      </c>
      <c r="BZ238" s="20">
        <v>-61.41</v>
      </c>
      <c r="CA238" s="20">
        <v>8.16</v>
      </c>
      <c r="CI238" s="20">
        <v>-49.41</v>
      </c>
      <c r="CJ238" s="20">
        <v>-46.89</v>
      </c>
      <c r="CO238" s="20">
        <v>0.82</v>
      </c>
      <c r="CP238" s="20">
        <v>-21.94</v>
      </c>
    </row>
    <row r="239">
      <c r="A239" s="20">
        <v>-58.14</v>
      </c>
      <c r="B239" s="20">
        <v>85.99</v>
      </c>
      <c r="D239" s="20"/>
      <c r="E239" s="20"/>
      <c r="F239" s="20">
        <v>-0.18</v>
      </c>
      <c r="G239" s="20">
        <v>0.09</v>
      </c>
      <c r="I239" s="20"/>
      <c r="J239" s="20"/>
      <c r="K239" s="20">
        <v>119.0</v>
      </c>
      <c r="L239" s="20" t="s">
        <v>14</v>
      </c>
      <c r="M239" s="20">
        <v>-25.73</v>
      </c>
      <c r="N239" s="20">
        <v>35.45</v>
      </c>
      <c r="P239" s="20">
        <v>0.74</v>
      </c>
      <c r="Q239" s="20">
        <v>17.08</v>
      </c>
      <c r="AG239" s="20">
        <v>237.0</v>
      </c>
      <c r="AH239" s="20" t="s">
        <v>14</v>
      </c>
      <c r="AI239" s="20">
        <v>-10.51</v>
      </c>
      <c r="AJ239" s="20">
        <v>-7.13</v>
      </c>
      <c r="AM239" s="20">
        <v>119.0</v>
      </c>
      <c r="AN239" s="20" t="s">
        <v>14</v>
      </c>
      <c r="AO239" s="20">
        <v>-3.05</v>
      </c>
      <c r="AP239" s="20">
        <v>-16.5</v>
      </c>
      <c r="AS239" s="20">
        <v>119.0</v>
      </c>
      <c r="AT239" s="20" t="s">
        <v>14</v>
      </c>
      <c r="AU239" s="20">
        <v>-2.97</v>
      </c>
      <c r="AV239" s="20">
        <v>-54.79</v>
      </c>
      <c r="BE239" s="20">
        <v>237.0</v>
      </c>
      <c r="BF239" s="20" t="s">
        <v>14</v>
      </c>
      <c r="BG239" s="20">
        <v>-14.98</v>
      </c>
      <c r="BH239" s="20">
        <v>4.03</v>
      </c>
      <c r="BK239" s="20">
        <v>119.0</v>
      </c>
      <c r="BL239" s="20" t="s">
        <v>14</v>
      </c>
      <c r="BM239" s="20">
        <v>51.0</v>
      </c>
      <c r="BN239" s="20">
        <v>32.29</v>
      </c>
      <c r="BW239" s="20">
        <v>-36.44</v>
      </c>
      <c r="BX239" s="20">
        <v>-8.75</v>
      </c>
      <c r="BZ239" s="20">
        <v>-35.62</v>
      </c>
      <c r="CA239" s="20">
        <v>17.32</v>
      </c>
      <c r="CI239" s="20">
        <v>-33.01</v>
      </c>
      <c r="CJ239" s="20">
        <v>-23.62</v>
      </c>
      <c r="CO239" s="20">
        <v>10.45</v>
      </c>
      <c r="CP239" s="20">
        <v>-51.68</v>
      </c>
    </row>
    <row r="240">
      <c r="A240" s="20">
        <v>-43.18</v>
      </c>
      <c r="B240" s="20">
        <v>-0.49</v>
      </c>
      <c r="D240" s="20"/>
      <c r="E240" s="20"/>
      <c r="F240" s="20">
        <v>-14.03</v>
      </c>
      <c r="G240" s="20">
        <v>34.78</v>
      </c>
      <c r="I240" s="20"/>
      <c r="J240" s="20"/>
      <c r="K240" s="20">
        <v>119.0</v>
      </c>
      <c r="L240" s="20" t="s">
        <v>17</v>
      </c>
      <c r="M240" s="20">
        <v>-43.7</v>
      </c>
      <c r="N240" s="20">
        <v>-22.04</v>
      </c>
      <c r="P240" s="20">
        <v>19.55</v>
      </c>
      <c r="Q240" s="20">
        <v>52.99</v>
      </c>
      <c r="AG240" s="20">
        <v>238.0</v>
      </c>
      <c r="AH240" s="20" t="s">
        <v>14</v>
      </c>
      <c r="AI240" s="20">
        <v>-48.84</v>
      </c>
      <c r="AJ240" s="20">
        <v>-66.13</v>
      </c>
      <c r="AM240" s="20">
        <v>119.0</v>
      </c>
      <c r="AN240" s="20" t="s">
        <v>17</v>
      </c>
      <c r="AO240" s="20">
        <v>3.54</v>
      </c>
      <c r="AP240" s="20">
        <v>-0.12</v>
      </c>
      <c r="AS240" s="20">
        <v>119.0</v>
      </c>
      <c r="AT240" s="20" t="s">
        <v>17</v>
      </c>
      <c r="AU240" s="20">
        <v>-41.12</v>
      </c>
      <c r="AV240" s="20">
        <v>-13.09</v>
      </c>
      <c r="BE240" s="20">
        <v>238.0</v>
      </c>
      <c r="BF240" s="20" t="s">
        <v>14</v>
      </c>
      <c r="BG240" s="20">
        <v>-29.37</v>
      </c>
      <c r="BH240" s="20">
        <v>-4.34</v>
      </c>
      <c r="BK240" s="20">
        <v>119.0</v>
      </c>
      <c r="BL240" s="20" t="s">
        <v>17</v>
      </c>
      <c r="BM240" s="20">
        <v>47.93</v>
      </c>
      <c r="BN240" s="20">
        <v>64.19</v>
      </c>
      <c r="BW240" s="20">
        <v>-55.11</v>
      </c>
      <c r="BX240" s="20">
        <v>-36.46</v>
      </c>
      <c r="BZ240" s="20">
        <v>-35.4</v>
      </c>
      <c r="CA240" s="20">
        <v>25.99</v>
      </c>
      <c r="CI240" s="20">
        <v>-53.46</v>
      </c>
      <c r="CJ240" s="20">
        <v>-45.29</v>
      </c>
      <c r="CO240" s="20">
        <v>-23.59</v>
      </c>
      <c r="CP240" s="20">
        <v>-13.13</v>
      </c>
    </row>
    <row r="241">
      <c r="A241" s="20">
        <v>-30.87</v>
      </c>
      <c r="B241" s="20">
        <v>21.22</v>
      </c>
      <c r="D241" s="20"/>
      <c r="E241" s="20"/>
      <c r="F241" s="20">
        <v>2.91</v>
      </c>
      <c r="G241" s="20">
        <v>-33.76</v>
      </c>
      <c r="I241" s="20"/>
      <c r="J241" s="20"/>
      <c r="K241" s="20">
        <v>120.0</v>
      </c>
      <c r="L241" s="20" t="s">
        <v>14</v>
      </c>
      <c r="M241" s="20">
        <v>-41.88</v>
      </c>
      <c r="N241" s="20">
        <v>3.5</v>
      </c>
      <c r="P241" s="20">
        <v>3.36</v>
      </c>
      <c r="Q241" s="20">
        <v>94.81</v>
      </c>
      <c r="AG241" s="20">
        <v>239.0</v>
      </c>
      <c r="AH241" s="20" t="s">
        <v>14</v>
      </c>
      <c r="AI241" s="20">
        <v>-26.22</v>
      </c>
      <c r="AJ241" s="20">
        <v>-14.99</v>
      </c>
      <c r="AM241" s="20">
        <v>120.0</v>
      </c>
      <c r="AN241" s="20" t="s">
        <v>14</v>
      </c>
      <c r="AO241" s="20">
        <v>-23.89</v>
      </c>
      <c r="AP241" s="20">
        <v>-26.93</v>
      </c>
      <c r="AS241" s="20">
        <v>120.0</v>
      </c>
      <c r="AT241" s="20" t="s">
        <v>14</v>
      </c>
      <c r="AU241" s="20">
        <v>-28.37</v>
      </c>
      <c r="AV241" s="20">
        <v>-35.97</v>
      </c>
      <c r="BE241" s="20">
        <v>239.0</v>
      </c>
      <c r="BF241" s="20" t="s">
        <v>14</v>
      </c>
      <c r="BG241" s="20">
        <v>-17.72</v>
      </c>
      <c r="BH241" s="20">
        <v>7.31</v>
      </c>
      <c r="BK241" s="20">
        <v>120.0</v>
      </c>
      <c r="BL241" s="20" t="s">
        <v>14</v>
      </c>
      <c r="BM241" s="20">
        <v>50.87</v>
      </c>
      <c r="BN241" s="20">
        <v>215.09</v>
      </c>
      <c r="BW241" s="20">
        <v>-41.01</v>
      </c>
      <c r="BX241" s="20">
        <v>-3.84</v>
      </c>
      <c r="BZ241" s="20">
        <v>-6.76</v>
      </c>
      <c r="CA241" s="20">
        <v>-11.62</v>
      </c>
      <c r="CI241" s="20">
        <v>-63.99</v>
      </c>
      <c r="CJ241" s="20">
        <v>-52.17</v>
      </c>
      <c r="CO241" s="20">
        <v>-13.75</v>
      </c>
      <c r="CP241" s="20">
        <v>-44.49</v>
      </c>
    </row>
    <row r="242">
      <c r="A242" s="20">
        <v>-71.55</v>
      </c>
      <c r="B242" s="20">
        <v>-4.31</v>
      </c>
      <c r="D242" s="20"/>
      <c r="E242" s="20"/>
      <c r="F242" s="20">
        <v>-24.62</v>
      </c>
      <c r="G242" s="20">
        <v>-2.08</v>
      </c>
      <c r="I242" s="20"/>
      <c r="J242" s="20"/>
      <c r="K242" s="20">
        <v>120.0</v>
      </c>
      <c r="L242" s="20" t="s">
        <v>17</v>
      </c>
      <c r="M242" s="20">
        <v>-6.28</v>
      </c>
      <c r="N242" s="20">
        <v>75.45</v>
      </c>
      <c r="P242" s="20">
        <v>-32.92</v>
      </c>
      <c r="Q242" s="20">
        <v>27.11</v>
      </c>
      <c r="AG242" s="20">
        <v>240.0</v>
      </c>
      <c r="AH242" s="20" t="s">
        <v>14</v>
      </c>
      <c r="AI242" s="20">
        <v>17.14</v>
      </c>
      <c r="AJ242" s="20">
        <v>1.26</v>
      </c>
      <c r="AM242" s="20">
        <v>120.0</v>
      </c>
      <c r="AN242" s="20" t="s">
        <v>17</v>
      </c>
      <c r="AO242" s="20">
        <v>-31.58</v>
      </c>
      <c r="AP242" s="20">
        <v>-43.98</v>
      </c>
      <c r="AS242" s="20">
        <v>120.0</v>
      </c>
      <c r="AT242" s="20" t="s">
        <v>17</v>
      </c>
      <c r="AU242" s="20">
        <v>-39.72</v>
      </c>
      <c r="AV242" s="20">
        <v>-32.1</v>
      </c>
      <c r="BE242" s="20">
        <v>240.0</v>
      </c>
      <c r="BF242" s="20" t="s">
        <v>14</v>
      </c>
      <c r="BG242" s="20">
        <v>1.61</v>
      </c>
      <c r="BH242" s="20">
        <v>-17.21</v>
      </c>
      <c r="BK242" s="20">
        <v>120.0</v>
      </c>
      <c r="BL242" s="20" t="s">
        <v>17</v>
      </c>
      <c r="BM242" s="20">
        <v>29.16</v>
      </c>
      <c r="BN242" s="20">
        <v>124.14</v>
      </c>
      <c r="BW242" s="20">
        <v>-39.15</v>
      </c>
      <c r="BX242" s="20">
        <v>-15.44</v>
      </c>
      <c r="BZ242" s="20">
        <v>-68.87</v>
      </c>
      <c r="CA242" s="20">
        <v>-34.2</v>
      </c>
      <c r="CI242" s="20">
        <v>-32.11</v>
      </c>
      <c r="CJ242" s="20">
        <v>-3.47</v>
      </c>
      <c r="CO242" s="20">
        <v>31.92</v>
      </c>
      <c r="CP242" s="20">
        <v>-36.6</v>
      </c>
    </row>
    <row r="243">
      <c r="A243" s="20">
        <v>-52.8</v>
      </c>
      <c r="B243" s="20">
        <v>-42.11</v>
      </c>
      <c r="D243" s="20"/>
      <c r="E243" s="20"/>
      <c r="F243" s="20">
        <v>7.43</v>
      </c>
      <c r="G243" s="20">
        <v>10.89</v>
      </c>
      <c r="I243" s="20"/>
      <c r="J243" s="20"/>
      <c r="K243" s="20">
        <v>121.0</v>
      </c>
      <c r="L243" s="20" t="s">
        <v>14</v>
      </c>
      <c r="M243" s="20">
        <v>-4.35</v>
      </c>
      <c r="N243" s="20">
        <v>-55.87</v>
      </c>
      <c r="P243" s="20">
        <v>-12.82</v>
      </c>
      <c r="Q243" s="20">
        <v>4.12</v>
      </c>
      <c r="AG243" s="20">
        <v>241.0</v>
      </c>
      <c r="AH243" s="20" t="s">
        <v>14</v>
      </c>
      <c r="AI243" s="20">
        <v>-41.98</v>
      </c>
      <c r="AJ243" s="20">
        <v>-25.57</v>
      </c>
      <c r="AM243" s="20">
        <v>121.0</v>
      </c>
      <c r="AN243" s="20" t="s">
        <v>14</v>
      </c>
      <c r="AO243" s="20">
        <v>-16.63</v>
      </c>
      <c r="AP243" s="20">
        <v>-42.98</v>
      </c>
      <c r="AS243" s="20">
        <v>121.0</v>
      </c>
      <c r="AT243" s="20" t="s">
        <v>14</v>
      </c>
      <c r="AU243" s="20">
        <v>19.13</v>
      </c>
      <c r="AV243" s="20">
        <v>-27.82</v>
      </c>
      <c r="BE243" s="20">
        <v>241.0</v>
      </c>
      <c r="BF243" s="20" t="s">
        <v>14</v>
      </c>
      <c r="BG243" s="20">
        <v>0.84</v>
      </c>
      <c r="BH243" s="20">
        <v>62.78</v>
      </c>
      <c r="BK243" s="20">
        <v>121.0</v>
      </c>
      <c r="BL243" s="20" t="s">
        <v>14</v>
      </c>
      <c r="BM243" s="20">
        <v>65.18</v>
      </c>
      <c r="BN243" s="20">
        <v>97.64</v>
      </c>
      <c r="BW243" s="20">
        <v>-53.03</v>
      </c>
      <c r="BX243" s="20">
        <v>-64.81</v>
      </c>
      <c r="BZ243" s="20">
        <v>-34.88</v>
      </c>
      <c r="CA243" s="20">
        <v>88.37</v>
      </c>
      <c r="CI243" s="20">
        <v>12.31</v>
      </c>
      <c r="CJ243" s="20">
        <v>-26.95</v>
      </c>
      <c r="CO243" s="20">
        <v>-44.53</v>
      </c>
      <c r="CP243" s="20">
        <v>-53.38</v>
      </c>
    </row>
    <row r="244">
      <c r="A244" s="20">
        <v>-29.28</v>
      </c>
      <c r="B244" s="20">
        <v>35.7</v>
      </c>
      <c r="D244" s="20"/>
      <c r="E244" s="20"/>
      <c r="F244" s="20">
        <v>-30.57</v>
      </c>
      <c r="G244" s="20">
        <v>-28.11</v>
      </c>
      <c r="I244" s="20"/>
      <c r="J244" s="20"/>
      <c r="K244" s="20">
        <v>121.0</v>
      </c>
      <c r="L244" s="20" t="s">
        <v>17</v>
      </c>
      <c r="M244" s="20">
        <v>-53.54</v>
      </c>
      <c r="N244" s="20">
        <v>-57.31</v>
      </c>
      <c r="P244" s="20">
        <v>4.06</v>
      </c>
      <c r="Q244" s="20">
        <v>-20.65</v>
      </c>
      <c r="AG244" s="20">
        <v>242.0</v>
      </c>
      <c r="AH244" s="20" t="s">
        <v>14</v>
      </c>
      <c r="AI244" s="20">
        <v>-27.1</v>
      </c>
      <c r="AJ244" s="20">
        <v>-22.36</v>
      </c>
      <c r="AM244" s="20">
        <v>121.0</v>
      </c>
      <c r="AN244" s="20" t="s">
        <v>17</v>
      </c>
      <c r="AO244" s="20">
        <v>-43.61</v>
      </c>
      <c r="AP244" s="20">
        <v>-26.89</v>
      </c>
      <c r="AS244" s="20">
        <v>121.0</v>
      </c>
      <c r="AT244" s="20" t="s">
        <v>17</v>
      </c>
      <c r="AU244" s="20">
        <v>41.33</v>
      </c>
      <c r="AV244" s="20">
        <v>-2.72</v>
      </c>
      <c r="BE244" s="20">
        <v>242.0</v>
      </c>
      <c r="BF244" s="20" t="s">
        <v>14</v>
      </c>
      <c r="BG244" s="20">
        <v>16.63</v>
      </c>
      <c r="BH244" s="20">
        <v>28.61</v>
      </c>
      <c r="BK244" s="20">
        <v>121.0</v>
      </c>
      <c r="BL244" s="20" t="s">
        <v>17</v>
      </c>
      <c r="BM244" s="20">
        <v>106.19</v>
      </c>
      <c r="BN244" s="20">
        <v>53.61</v>
      </c>
      <c r="BW244" s="20">
        <v>-47.45</v>
      </c>
      <c r="BX244" s="20">
        <v>-42.17</v>
      </c>
      <c r="BZ244" s="20">
        <v>-55.06</v>
      </c>
      <c r="CA244" s="20">
        <v>66.27</v>
      </c>
      <c r="CI244" s="20">
        <v>-41.79</v>
      </c>
      <c r="CJ244" s="20">
        <v>-54.33</v>
      </c>
      <c r="CO244" s="20">
        <v>44.06</v>
      </c>
      <c r="CP244" s="20">
        <v>-28.06</v>
      </c>
    </row>
    <row r="245">
      <c r="A245" s="20">
        <v>-65.98</v>
      </c>
      <c r="B245" s="20">
        <v>-45.49</v>
      </c>
      <c r="D245" s="20"/>
      <c r="E245" s="20"/>
      <c r="F245" s="20">
        <v>-22.9</v>
      </c>
      <c r="G245" s="20">
        <v>46.66</v>
      </c>
      <c r="I245" s="20"/>
      <c r="J245" s="20"/>
      <c r="K245" s="20">
        <v>122.0</v>
      </c>
      <c r="L245" s="20" t="s">
        <v>14</v>
      </c>
      <c r="M245" s="20">
        <v>-21.59</v>
      </c>
      <c r="N245" s="20">
        <v>-36.37</v>
      </c>
      <c r="P245" s="20">
        <v>-41.31</v>
      </c>
      <c r="Q245" s="20">
        <v>-2.28</v>
      </c>
      <c r="AG245" s="20">
        <v>243.0</v>
      </c>
      <c r="AH245" s="20" t="s">
        <v>14</v>
      </c>
      <c r="AI245" s="20">
        <v>-24.01</v>
      </c>
      <c r="AJ245" s="20">
        <v>-14.54</v>
      </c>
      <c r="AM245" s="20">
        <v>122.0</v>
      </c>
      <c r="AN245" s="20" t="s">
        <v>14</v>
      </c>
      <c r="AO245" s="20">
        <v>-5.09</v>
      </c>
      <c r="AP245" s="20">
        <v>-29.73</v>
      </c>
      <c r="AS245" s="20">
        <v>122.0</v>
      </c>
      <c r="AT245" s="20" t="s">
        <v>14</v>
      </c>
      <c r="AU245" s="20">
        <v>22.61</v>
      </c>
      <c r="AV245" s="20">
        <v>-12.59</v>
      </c>
      <c r="BE245" s="20">
        <v>243.0</v>
      </c>
      <c r="BF245" s="20" t="s">
        <v>14</v>
      </c>
      <c r="BG245" s="20">
        <v>20.26</v>
      </c>
      <c r="BH245" s="20">
        <v>92.27</v>
      </c>
      <c r="BK245" s="20">
        <v>122.0</v>
      </c>
      <c r="BL245" s="20" t="s">
        <v>14</v>
      </c>
      <c r="BM245" s="20">
        <v>87.24</v>
      </c>
      <c r="BN245" s="20">
        <v>103.5</v>
      </c>
      <c r="BW245" s="20">
        <v>-59.6</v>
      </c>
      <c r="BX245" s="20">
        <v>-24.49</v>
      </c>
      <c r="BZ245" s="20">
        <v>-45.01</v>
      </c>
      <c r="CA245" s="20">
        <v>40.07</v>
      </c>
      <c r="CI245" s="20">
        <v>-33.85</v>
      </c>
      <c r="CJ245" s="20">
        <v>-50.41</v>
      </c>
      <c r="CO245" s="20">
        <v>-49.7</v>
      </c>
      <c r="CP245" s="20">
        <v>-55.3</v>
      </c>
    </row>
    <row r="246">
      <c r="A246" s="20">
        <v>-67.17</v>
      </c>
      <c r="B246" s="20">
        <v>-59.9</v>
      </c>
      <c r="D246" s="20"/>
      <c r="E246" s="20"/>
      <c r="F246" s="20">
        <v>-2.12</v>
      </c>
      <c r="G246" s="20">
        <v>19.2</v>
      </c>
      <c r="I246" s="20"/>
      <c r="J246" s="20"/>
      <c r="K246" s="20">
        <v>122.0</v>
      </c>
      <c r="L246" s="20" t="s">
        <v>17</v>
      </c>
      <c r="M246" s="20">
        <v>-42.2</v>
      </c>
      <c r="N246" s="20">
        <v>-59.34</v>
      </c>
      <c r="P246" s="20">
        <v>-58.37</v>
      </c>
      <c r="Q246" s="20">
        <v>-74.96</v>
      </c>
      <c r="AG246" s="20">
        <v>244.0</v>
      </c>
      <c r="AH246" s="20" t="s">
        <v>14</v>
      </c>
      <c r="AI246" s="20">
        <v>-14.31</v>
      </c>
      <c r="AJ246" s="20">
        <v>11.25</v>
      </c>
      <c r="AM246" s="20">
        <v>122.0</v>
      </c>
      <c r="AN246" s="20" t="s">
        <v>17</v>
      </c>
      <c r="AO246" s="20">
        <v>38.47</v>
      </c>
      <c r="AP246" s="20">
        <v>-5.6</v>
      </c>
      <c r="AS246" s="20">
        <v>122.0</v>
      </c>
      <c r="AT246" s="20" t="s">
        <v>17</v>
      </c>
      <c r="AU246" s="20">
        <v>-49.3</v>
      </c>
      <c r="AV246" s="20">
        <v>-50.67</v>
      </c>
      <c r="BE246" s="20">
        <v>244.0</v>
      </c>
      <c r="BF246" s="20" t="s">
        <v>14</v>
      </c>
      <c r="BG246" s="20">
        <v>-0.75</v>
      </c>
      <c r="BH246" s="20">
        <v>1.52</v>
      </c>
      <c r="BK246" s="20">
        <v>122.0</v>
      </c>
      <c r="BL246" s="20" t="s">
        <v>17</v>
      </c>
      <c r="BM246" s="20">
        <v>118.01</v>
      </c>
      <c r="BN246" s="20">
        <v>50.5</v>
      </c>
      <c r="BW246" s="20">
        <v>-62.68</v>
      </c>
      <c r="BX246" s="20">
        <v>-48.27</v>
      </c>
      <c r="BZ246" s="20">
        <v>27.13</v>
      </c>
      <c r="CA246" s="20">
        <v>197.0</v>
      </c>
      <c r="CI246" s="20">
        <v>-15.07</v>
      </c>
      <c r="CJ246" s="20">
        <v>-26.92</v>
      </c>
      <c r="CO246" s="20">
        <v>-9.58</v>
      </c>
      <c r="CP246" s="20">
        <v>-44.47</v>
      </c>
    </row>
    <row r="247">
      <c r="A247" s="20">
        <v>-67.83</v>
      </c>
      <c r="B247" s="20">
        <v>-46.99</v>
      </c>
      <c r="D247" s="20"/>
      <c r="E247" s="20"/>
      <c r="F247" s="20">
        <v>-14.47</v>
      </c>
      <c r="G247" s="20">
        <v>-9.97</v>
      </c>
      <c r="I247" s="20"/>
      <c r="J247" s="20"/>
      <c r="K247" s="20">
        <v>123.0</v>
      </c>
      <c r="L247" s="20" t="s">
        <v>14</v>
      </c>
      <c r="M247" s="20">
        <v>207.37</v>
      </c>
      <c r="N247" s="20">
        <v>-9.43</v>
      </c>
      <c r="P247" s="20">
        <v>2.23</v>
      </c>
      <c r="Q247" s="20">
        <v>5.59</v>
      </c>
      <c r="AG247" s="20">
        <v>245.0</v>
      </c>
      <c r="AH247" s="20" t="s">
        <v>14</v>
      </c>
      <c r="AI247" s="20">
        <v>-22.74</v>
      </c>
      <c r="AJ247" s="20">
        <v>-3.77</v>
      </c>
      <c r="AM247" s="20">
        <v>124.0</v>
      </c>
      <c r="AN247" s="20" t="s">
        <v>14</v>
      </c>
      <c r="AO247" s="20">
        <v>-28.83</v>
      </c>
      <c r="AP247" s="20">
        <v>-33.28</v>
      </c>
      <c r="AS247" s="20">
        <v>123.0</v>
      </c>
      <c r="AT247" s="20" t="s">
        <v>14</v>
      </c>
      <c r="AU247" s="20">
        <v>-36.16</v>
      </c>
      <c r="AV247" s="20">
        <v>-76.96</v>
      </c>
      <c r="BE247" s="20">
        <v>245.0</v>
      </c>
      <c r="BF247" s="20" t="s">
        <v>14</v>
      </c>
      <c r="BG247" s="20">
        <v>11.49</v>
      </c>
      <c r="BH247" s="20">
        <v>8.09</v>
      </c>
      <c r="BK247" s="20">
        <v>123.0</v>
      </c>
      <c r="BL247" s="20" t="s">
        <v>14</v>
      </c>
      <c r="BM247" s="20">
        <v>-16.89</v>
      </c>
      <c r="BN247" s="20">
        <v>-50.29</v>
      </c>
      <c r="BW247" s="20">
        <v>-16.43</v>
      </c>
      <c r="BX247" s="20">
        <v>-56.67</v>
      </c>
      <c r="BZ247" s="20">
        <v>-21.37</v>
      </c>
      <c r="CA247" s="20">
        <v>95.14</v>
      </c>
      <c r="CI247" s="20">
        <v>-31.37</v>
      </c>
      <c r="CJ247" s="20">
        <v>-45.62</v>
      </c>
      <c r="CO247" s="20">
        <v>-21.51</v>
      </c>
      <c r="CP247" s="20">
        <v>-46.71</v>
      </c>
    </row>
    <row r="248">
      <c r="A248" s="20">
        <v>-61.79</v>
      </c>
      <c r="B248" s="20">
        <v>-13.41</v>
      </c>
      <c r="D248" s="20"/>
      <c r="E248" s="20"/>
      <c r="F248" s="20">
        <v>-7.15</v>
      </c>
      <c r="G248" s="20">
        <v>17.71</v>
      </c>
      <c r="I248" s="20"/>
      <c r="J248" s="20"/>
      <c r="K248" s="20">
        <v>123.0</v>
      </c>
      <c r="L248" s="20" t="s">
        <v>17</v>
      </c>
      <c r="M248" s="20">
        <v>47.24</v>
      </c>
      <c r="N248" s="20">
        <v>-24.99</v>
      </c>
      <c r="P248" s="20">
        <v>58.37</v>
      </c>
      <c r="Q248" s="20">
        <v>122.41</v>
      </c>
      <c r="AG248" s="20">
        <v>246.0</v>
      </c>
      <c r="AH248" s="20" t="s">
        <v>14</v>
      </c>
      <c r="AI248" s="20">
        <v>-20.38</v>
      </c>
      <c r="AJ248" s="20">
        <v>-14.82</v>
      </c>
      <c r="AM248" s="20">
        <v>124.0</v>
      </c>
      <c r="AN248" s="20" t="s">
        <v>17</v>
      </c>
      <c r="AO248" s="20">
        <v>-12.29</v>
      </c>
      <c r="AP248" s="20">
        <v>16.0</v>
      </c>
      <c r="AS248" s="20">
        <v>123.0</v>
      </c>
      <c r="AT248" s="20" t="s">
        <v>17</v>
      </c>
      <c r="AU248" s="20">
        <v>-26.29</v>
      </c>
      <c r="AV248" s="20">
        <v>-40.73</v>
      </c>
      <c r="BE248" s="20">
        <v>246.0</v>
      </c>
      <c r="BF248" s="20" t="s">
        <v>14</v>
      </c>
      <c r="BG248" s="20">
        <v>78.79</v>
      </c>
      <c r="BH248" s="20">
        <v>90.31</v>
      </c>
      <c r="BK248" s="20">
        <v>123.0</v>
      </c>
      <c r="BL248" s="20" t="s">
        <v>17</v>
      </c>
      <c r="BM248" s="20">
        <v>-13.44</v>
      </c>
      <c r="BN248" s="20">
        <v>-15.42</v>
      </c>
      <c r="BW248" s="20">
        <v>-45.24</v>
      </c>
      <c r="BX248" s="20">
        <v>-1.47</v>
      </c>
      <c r="BZ248" s="20">
        <v>-47.37</v>
      </c>
      <c r="CA248" s="20">
        <v>40.31</v>
      </c>
      <c r="CI248" s="20">
        <v>-50.7</v>
      </c>
      <c r="CJ248" s="20">
        <v>-62.88</v>
      </c>
      <c r="CO248" s="20">
        <v>-20.04</v>
      </c>
      <c r="CP248" s="20">
        <v>-21.82</v>
      </c>
    </row>
    <row r="249">
      <c r="A249" s="20">
        <v>-39.58</v>
      </c>
      <c r="B249" s="20">
        <v>-50.05</v>
      </c>
      <c r="D249" s="20"/>
      <c r="E249" s="20"/>
      <c r="F249" s="20">
        <v>21.1</v>
      </c>
      <c r="G249" s="20">
        <v>-0.77</v>
      </c>
      <c r="I249" s="20"/>
      <c r="J249" s="20"/>
      <c r="K249" s="20">
        <v>124.0</v>
      </c>
      <c r="L249" s="20" t="s">
        <v>14</v>
      </c>
      <c r="M249" s="20">
        <v>136.56</v>
      </c>
      <c r="N249" s="20">
        <v>109.0</v>
      </c>
      <c r="P249" s="20">
        <v>-3.0</v>
      </c>
      <c r="Q249" s="20">
        <v>5.43</v>
      </c>
      <c r="AG249" s="20">
        <v>247.0</v>
      </c>
      <c r="AH249" s="20" t="s">
        <v>14</v>
      </c>
      <c r="AI249" s="20">
        <v>-40.3</v>
      </c>
      <c r="AJ249" s="20">
        <v>-34.37</v>
      </c>
      <c r="AM249" s="20">
        <v>125.0</v>
      </c>
      <c r="AN249" s="20" t="s">
        <v>14</v>
      </c>
      <c r="AO249" s="20">
        <v>-21.68</v>
      </c>
      <c r="AP249" s="20">
        <v>-51.71</v>
      </c>
      <c r="AS249" s="20">
        <v>124.0</v>
      </c>
      <c r="AT249" s="20" t="s">
        <v>14</v>
      </c>
      <c r="AU249" s="20">
        <v>46.43</v>
      </c>
      <c r="AV249" s="20">
        <v>-64.3</v>
      </c>
      <c r="BE249" s="20">
        <v>247.0</v>
      </c>
      <c r="BF249" s="20" t="s">
        <v>14</v>
      </c>
      <c r="BG249" s="20">
        <v>0.8</v>
      </c>
      <c r="BH249" s="20">
        <v>127.68</v>
      </c>
      <c r="BK249" s="20">
        <v>124.0</v>
      </c>
      <c r="BL249" s="20" t="s">
        <v>14</v>
      </c>
      <c r="BM249" s="20">
        <v>253.01</v>
      </c>
      <c r="BN249" s="20">
        <v>51.0</v>
      </c>
      <c r="BW249" s="20">
        <v>-50.72</v>
      </c>
      <c r="BX249" s="20">
        <v>-55.18</v>
      </c>
      <c r="BZ249" s="20">
        <v>-30.87</v>
      </c>
      <c r="CA249" s="20">
        <v>85.78</v>
      </c>
      <c r="CI249" s="20">
        <v>-45.45</v>
      </c>
      <c r="CJ249" s="20">
        <v>-48.94</v>
      </c>
      <c r="CO249" s="20">
        <v>-50.55</v>
      </c>
      <c r="CP249" s="20">
        <v>-63.41</v>
      </c>
    </row>
    <row r="250">
      <c r="A250" s="20">
        <v>-26.26</v>
      </c>
      <c r="B250" s="20">
        <v>24.46</v>
      </c>
      <c r="D250" s="20"/>
      <c r="E250" s="20"/>
      <c r="F250" s="20">
        <v>7.46</v>
      </c>
      <c r="G250" s="20">
        <v>-6.16</v>
      </c>
      <c r="I250" s="20"/>
      <c r="J250" s="20"/>
      <c r="K250" s="20">
        <v>124.0</v>
      </c>
      <c r="L250" s="20" t="s">
        <v>17</v>
      </c>
      <c r="M250" s="20">
        <v>-51.47</v>
      </c>
      <c r="N250" s="20">
        <v>-58.99</v>
      </c>
      <c r="P250" s="20">
        <v>-8.41</v>
      </c>
      <c r="Q250" s="20">
        <v>-0.63</v>
      </c>
      <c r="AG250" s="20">
        <v>248.0</v>
      </c>
      <c r="AH250" s="20" t="s">
        <v>14</v>
      </c>
      <c r="AI250" s="20">
        <v>-1.99</v>
      </c>
      <c r="AJ250" s="20">
        <v>-28.94</v>
      </c>
      <c r="AM250" s="20">
        <v>125.0</v>
      </c>
      <c r="AN250" s="20" t="s">
        <v>17</v>
      </c>
      <c r="AO250" s="20">
        <v>18.6</v>
      </c>
      <c r="AP250" s="20">
        <v>-24.17</v>
      </c>
      <c r="AS250" s="20">
        <v>124.0</v>
      </c>
      <c r="AT250" s="20" t="s">
        <v>17</v>
      </c>
      <c r="AU250" s="20">
        <v>-59.98</v>
      </c>
      <c r="AV250" s="20">
        <v>-41.3</v>
      </c>
      <c r="BE250" s="20">
        <v>248.0</v>
      </c>
      <c r="BF250" s="20" t="s">
        <v>14</v>
      </c>
      <c r="BG250" s="20">
        <v>-6.89</v>
      </c>
      <c r="BH250" s="20">
        <v>2.74</v>
      </c>
      <c r="BK250" s="20">
        <v>124.0</v>
      </c>
      <c r="BL250" s="20" t="s">
        <v>17</v>
      </c>
      <c r="BM250" s="20">
        <v>140.98</v>
      </c>
      <c r="BN250" s="20">
        <v>-27.64</v>
      </c>
      <c r="BW250" s="20">
        <v>-47.94</v>
      </c>
      <c r="BX250" s="20">
        <v>-34.68</v>
      </c>
      <c r="BZ250" s="20">
        <v>-48.33</v>
      </c>
      <c r="CA250" s="20">
        <v>-7.91</v>
      </c>
      <c r="CI250" s="20">
        <v>-61.42</v>
      </c>
      <c r="CJ250" s="20">
        <v>-65.08</v>
      </c>
      <c r="CO250" s="20">
        <v>-18.78</v>
      </c>
      <c r="CP250" s="20">
        <v>-39.34</v>
      </c>
    </row>
    <row r="251">
      <c r="A251" s="20">
        <v>-13.92</v>
      </c>
      <c r="B251" s="20">
        <v>13.22</v>
      </c>
      <c r="D251" s="20"/>
      <c r="E251" s="20"/>
      <c r="F251" s="20">
        <v>-23.03</v>
      </c>
      <c r="G251" s="20">
        <v>-5.5</v>
      </c>
      <c r="I251" s="20"/>
      <c r="J251" s="20"/>
      <c r="K251" s="20">
        <v>125.0</v>
      </c>
      <c r="L251" s="20" t="s">
        <v>14</v>
      </c>
      <c r="M251" s="20">
        <v>-12.19</v>
      </c>
      <c r="N251" s="20">
        <v>-14.2</v>
      </c>
      <c r="P251" s="20">
        <v>-22.75</v>
      </c>
      <c r="Q251" s="20">
        <v>0.38</v>
      </c>
      <c r="AG251" s="20">
        <v>249.0</v>
      </c>
      <c r="AH251" s="20" t="s">
        <v>14</v>
      </c>
      <c r="AI251" s="20">
        <v>19.52</v>
      </c>
      <c r="AJ251" s="20">
        <v>-19.07</v>
      </c>
      <c r="AM251" s="20">
        <v>126.0</v>
      </c>
      <c r="AN251" s="20" t="s">
        <v>14</v>
      </c>
      <c r="AO251" s="20">
        <v>11.02</v>
      </c>
      <c r="AP251" s="20">
        <v>-36.45</v>
      </c>
      <c r="AS251" s="20">
        <v>125.0</v>
      </c>
      <c r="AT251" s="20" t="s">
        <v>14</v>
      </c>
      <c r="AU251" s="20">
        <v>-32.59</v>
      </c>
      <c r="AV251" s="20">
        <v>-51.98</v>
      </c>
      <c r="BE251" s="20">
        <v>249.0</v>
      </c>
      <c r="BF251" s="20" t="s">
        <v>14</v>
      </c>
      <c r="BG251" s="20">
        <v>8.0</v>
      </c>
      <c r="BH251" s="20">
        <v>16.24</v>
      </c>
      <c r="BK251" s="20">
        <v>125.0</v>
      </c>
      <c r="BL251" s="20" t="s">
        <v>14</v>
      </c>
      <c r="BM251" s="20">
        <v>-39.62</v>
      </c>
      <c r="BN251" s="20">
        <v>81.19</v>
      </c>
      <c r="BW251" s="20">
        <v>-22.08</v>
      </c>
      <c r="BX251" s="20">
        <v>38.58</v>
      </c>
      <c r="BZ251" s="20">
        <v>-48.5</v>
      </c>
      <c r="CA251" s="20">
        <v>62.27</v>
      </c>
      <c r="CI251" s="20">
        <v>-55.06</v>
      </c>
      <c r="CJ251" s="20">
        <v>-61.01</v>
      </c>
      <c r="CO251" s="20">
        <v>3.27</v>
      </c>
      <c r="CP251" s="20">
        <v>-40.69</v>
      </c>
    </row>
    <row r="252">
      <c r="A252" s="20">
        <v>-47.72</v>
      </c>
      <c r="B252" s="20">
        <v>80.28</v>
      </c>
      <c r="D252" s="20"/>
      <c r="E252" s="20"/>
      <c r="F252" s="20">
        <v>-45.61</v>
      </c>
      <c r="G252" s="20">
        <v>-8.51</v>
      </c>
      <c r="I252" s="20"/>
      <c r="J252" s="20"/>
      <c r="K252" s="20">
        <v>125.0</v>
      </c>
      <c r="L252" s="20" t="s">
        <v>17</v>
      </c>
      <c r="M252" s="20">
        <v>-40.99</v>
      </c>
      <c r="N252" s="20">
        <v>-29.77</v>
      </c>
      <c r="P252" s="20">
        <v>9.58</v>
      </c>
      <c r="Q252" s="20">
        <v>2.92</v>
      </c>
      <c r="AG252" s="20">
        <v>250.0</v>
      </c>
      <c r="AH252" s="20" t="s">
        <v>14</v>
      </c>
      <c r="AI252" s="20">
        <v>-41.92</v>
      </c>
      <c r="AJ252" s="20">
        <v>-45.43</v>
      </c>
      <c r="AM252" s="20">
        <v>126.0</v>
      </c>
      <c r="AN252" s="20" t="s">
        <v>17</v>
      </c>
      <c r="AO252" s="20">
        <v>-12.65</v>
      </c>
      <c r="AP252" s="20">
        <v>-22.82</v>
      </c>
      <c r="AS252" s="20">
        <v>125.0</v>
      </c>
      <c r="AT252" s="20" t="s">
        <v>17</v>
      </c>
      <c r="AU252" s="20">
        <v>-35.97</v>
      </c>
      <c r="AV252" s="20">
        <v>-61.15</v>
      </c>
      <c r="BE252" s="20">
        <v>250.0</v>
      </c>
      <c r="BF252" s="20" t="s">
        <v>14</v>
      </c>
      <c r="BG252" s="20">
        <v>37.14</v>
      </c>
      <c r="BH252" s="20">
        <v>14.59</v>
      </c>
      <c r="BK252" s="20">
        <v>125.0</v>
      </c>
      <c r="BL252" s="20" t="s">
        <v>17</v>
      </c>
      <c r="BM252" s="20">
        <v>110.25</v>
      </c>
      <c r="BN252" s="20">
        <v>79.88</v>
      </c>
      <c r="BW252" s="20">
        <v>-41.04</v>
      </c>
      <c r="BX252" s="20">
        <v>-44.52</v>
      </c>
      <c r="BZ252" s="20">
        <v>-59.63</v>
      </c>
      <c r="CA252" s="20">
        <v>123.84</v>
      </c>
      <c r="CI252" s="20">
        <v>-32.7</v>
      </c>
      <c r="CJ252" s="20">
        <v>-22.09</v>
      </c>
      <c r="CO252" s="20">
        <v>13.07</v>
      </c>
      <c r="CP252" s="20">
        <v>-41.66</v>
      </c>
    </row>
    <row r="253">
      <c r="A253" s="20">
        <v>7.13</v>
      </c>
      <c r="B253" s="20">
        <v>97.92</v>
      </c>
      <c r="D253" s="20"/>
      <c r="E253" s="20"/>
      <c r="F253" s="20">
        <v>-42.15</v>
      </c>
      <c r="G253" s="20">
        <v>1.43</v>
      </c>
      <c r="I253" s="20"/>
      <c r="J253" s="20"/>
      <c r="K253" s="20">
        <v>126.0</v>
      </c>
      <c r="L253" s="20" t="s">
        <v>14</v>
      </c>
      <c r="M253" s="20">
        <v>-20.26</v>
      </c>
      <c r="N253" s="20">
        <v>-20.76</v>
      </c>
      <c r="P253" s="20">
        <v>-30.63</v>
      </c>
      <c r="Q253" s="20">
        <v>33.38</v>
      </c>
      <c r="AG253" s="20">
        <v>251.0</v>
      </c>
      <c r="AH253" s="20" t="s">
        <v>14</v>
      </c>
      <c r="AI253" s="20">
        <v>-17.56</v>
      </c>
      <c r="AJ253" s="20">
        <v>-11.41</v>
      </c>
      <c r="AM253" s="20">
        <v>127.0</v>
      </c>
      <c r="AN253" s="20" t="s">
        <v>14</v>
      </c>
      <c r="AO253" s="20">
        <v>45.67</v>
      </c>
      <c r="AP253" s="20">
        <v>-33.6</v>
      </c>
      <c r="AS253" s="20">
        <v>126.0</v>
      </c>
      <c r="AT253" s="20" t="s">
        <v>14</v>
      </c>
      <c r="AU253" s="20">
        <v>-33.8</v>
      </c>
      <c r="AV253" s="20">
        <v>-4.51</v>
      </c>
      <c r="BE253" s="20">
        <v>251.0</v>
      </c>
      <c r="BF253" s="20" t="s">
        <v>14</v>
      </c>
      <c r="BG253" s="20">
        <v>8.63</v>
      </c>
      <c r="BH253" s="20">
        <v>14.63</v>
      </c>
      <c r="BK253" s="20">
        <v>126.0</v>
      </c>
      <c r="BL253" s="20" t="s">
        <v>14</v>
      </c>
      <c r="BM253" s="20">
        <v>132.32</v>
      </c>
      <c r="BN253" s="20">
        <v>67.4</v>
      </c>
      <c r="BW253" s="20">
        <v>-19.48</v>
      </c>
      <c r="BX253" s="20">
        <v>-22.38</v>
      </c>
      <c r="BZ253" s="20">
        <v>-42.41</v>
      </c>
      <c r="CA253" s="20">
        <v>60.05</v>
      </c>
      <c r="CI253" s="20">
        <v>-25.91</v>
      </c>
      <c r="CJ253" s="20">
        <v>-51.94</v>
      </c>
      <c r="CO253" s="20">
        <v>2.56</v>
      </c>
      <c r="CP253" s="20">
        <v>-34.68</v>
      </c>
    </row>
    <row r="254">
      <c r="A254" s="20">
        <v>29.8</v>
      </c>
      <c r="B254" s="20">
        <v>40.7</v>
      </c>
      <c r="D254" s="20"/>
      <c r="E254" s="20"/>
      <c r="F254" s="20">
        <v>-40.51</v>
      </c>
      <c r="G254" s="20">
        <v>11.87</v>
      </c>
      <c r="I254" s="20"/>
      <c r="J254" s="20"/>
      <c r="K254" s="20">
        <v>126.0</v>
      </c>
      <c r="L254" s="20" t="s">
        <v>17</v>
      </c>
      <c r="M254" s="20">
        <v>-29.52</v>
      </c>
      <c r="N254" s="20">
        <v>-19.74</v>
      </c>
      <c r="P254" s="20">
        <v>15.87</v>
      </c>
      <c r="Q254" s="20">
        <v>47.33</v>
      </c>
      <c r="AG254" s="20">
        <v>252.0</v>
      </c>
      <c r="AH254" s="20" t="s">
        <v>14</v>
      </c>
      <c r="AI254" s="20">
        <v>-37.49</v>
      </c>
      <c r="AJ254" s="20">
        <v>-24.96</v>
      </c>
      <c r="AM254" s="20">
        <v>127.0</v>
      </c>
      <c r="AN254" s="20" t="s">
        <v>17</v>
      </c>
      <c r="AO254" s="20">
        <v>-30.38</v>
      </c>
      <c r="AP254" s="20">
        <v>40.12</v>
      </c>
      <c r="AS254" s="20">
        <v>126.0</v>
      </c>
      <c r="AT254" s="20" t="s">
        <v>17</v>
      </c>
      <c r="AU254" s="20">
        <v>11.1</v>
      </c>
      <c r="AV254" s="20">
        <v>-53.76</v>
      </c>
      <c r="BE254" s="20">
        <v>252.0</v>
      </c>
      <c r="BF254" s="20" t="s">
        <v>14</v>
      </c>
      <c r="BG254" s="20">
        <v>47.21</v>
      </c>
      <c r="BH254" s="20">
        <v>-0.24</v>
      </c>
      <c r="BK254" s="20">
        <v>126.0</v>
      </c>
      <c r="BL254" s="20" t="s">
        <v>17</v>
      </c>
      <c r="BM254" s="20">
        <v>239.81</v>
      </c>
      <c r="BN254" s="20">
        <v>90.5</v>
      </c>
      <c r="BW254" s="20">
        <v>-49.38</v>
      </c>
      <c r="BX254" s="20">
        <v>21.43</v>
      </c>
      <c r="BZ254" s="20">
        <v>-55.91</v>
      </c>
      <c r="CA254" s="20">
        <v>19.63</v>
      </c>
      <c r="CI254" s="20">
        <v>-60.49</v>
      </c>
      <c r="CJ254" s="20">
        <v>-38.15</v>
      </c>
      <c r="CO254" s="20">
        <v>0.57</v>
      </c>
      <c r="CP254" s="20">
        <v>-27.32</v>
      </c>
    </row>
    <row r="255">
      <c r="A255" s="20">
        <v>4.97</v>
      </c>
      <c r="B255" s="20">
        <v>-9.73</v>
      </c>
      <c r="D255" s="20"/>
      <c r="E255" s="20"/>
      <c r="F255" s="20">
        <v>-5.68</v>
      </c>
      <c r="G255" s="20">
        <v>39.5</v>
      </c>
      <c r="I255" s="20"/>
      <c r="J255" s="20"/>
      <c r="K255" s="20">
        <v>127.0</v>
      </c>
      <c r="L255" s="20" t="s">
        <v>14</v>
      </c>
      <c r="M255" s="20">
        <v>3.57</v>
      </c>
      <c r="N255" s="20">
        <v>-1.61</v>
      </c>
      <c r="P255" s="20">
        <v>-2.64</v>
      </c>
      <c r="Q255" s="20">
        <v>33.0</v>
      </c>
      <c r="AG255" s="20">
        <v>253.0</v>
      </c>
      <c r="AH255" s="20" t="s">
        <v>14</v>
      </c>
      <c r="AI255" s="20">
        <v>-0.81</v>
      </c>
      <c r="AJ255" s="20">
        <v>-29.66</v>
      </c>
      <c r="AM255" s="20">
        <v>128.0</v>
      </c>
      <c r="AN255" s="20" t="s">
        <v>14</v>
      </c>
      <c r="AO255" s="20">
        <v>19.81</v>
      </c>
      <c r="AP255" s="20">
        <v>-36.99</v>
      </c>
      <c r="AS255" s="20">
        <v>127.0</v>
      </c>
      <c r="AT255" s="20" t="s">
        <v>14</v>
      </c>
      <c r="AU255" s="20">
        <v>-37.69</v>
      </c>
      <c r="AV255" s="20">
        <v>-62.53</v>
      </c>
      <c r="BE255" s="20">
        <v>253.0</v>
      </c>
      <c r="BF255" s="20" t="s">
        <v>14</v>
      </c>
      <c r="BG255" s="20">
        <v>39.74</v>
      </c>
      <c r="BH255" s="20">
        <v>53.21</v>
      </c>
      <c r="BK255" s="20">
        <v>127.0</v>
      </c>
      <c r="BL255" s="20" t="s">
        <v>14</v>
      </c>
      <c r="BM255" s="20">
        <v>7.98</v>
      </c>
      <c r="BN255" s="20">
        <v>98.38</v>
      </c>
      <c r="BW255" s="20">
        <v>-54.57</v>
      </c>
      <c r="BX255" s="20">
        <v>-43.89</v>
      </c>
      <c r="BZ255" s="20">
        <v>-9.32</v>
      </c>
      <c r="CA255" s="20">
        <v>264.06</v>
      </c>
      <c r="CI255" s="20">
        <v>-50.31</v>
      </c>
      <c r="CJ255" s="20">
        <v>-59.38</v>
      </c>
      <c r="CO255" s="20">
        <v>-48.45</v>
      </c>
      <c r="CP255" s="20">
        <v>-13.43</v>
      </c>
    </row>
    <row r="256">
      <c r="A256" s="20">
        <v>6.12</v>
      </c>
      <c r="B256" s="20">
        <v>98.27</v>
      </c>
      <c r="D256" s="20"/>
      <c r="E256" s="20"/>
      <c r="F256" s="20">
        <v>-18.87</v>
      </c>
      <c r="G256" s="20">
        <v>30.35</v>
      </c>
      <c r="I256" s="20"/>
      <c r="J256" s="20"/>
      <c r="K256" s="20">
        <v>127.0</v>
      </c>
      <c r="L256" s="20" t="s">
        <v>17</v>
      </c>
      <c r="M256" s="20">
        <v>-58.15</v>
      </c>
      <c r="N256" s="20">
        <v>-41.88</v>
      </c>
      <c r="P256" s="20">
        <v>-13.81</v>
      </c>
      <c r="Q256" s="20">
        <v>47.55</v>
      </c>
      <c r="AG256" s="20">
        <v>254.0</v>
      </c>
      <c r="AH256" s="20" t="s">
        <v>14</v>
      </c>
      <c r="AI256" s="20">
        <v>-13.45</v>
      </c>
      <c r="AJ256" s="20">
        <v>-3.54</v>
      </c>
      <c r="AM256" s="20">
        <v>128.0</v>
      </c>
      <c r="AN256" s="20" t="s">
        <v>17</v>
      </c>
      <c r="AO256" s="20">
        <v>22.76</v>
      </c>
      <c r="AP256" s="20">
        <v>-22.42</v>
      </c>
      <c r="AS256" s="20">
        <v>127.0</v>
      </c>
      <c r="AT256" s="20" t="s">
        <v>17</v>
      </c>
      <c r="AU256" s="20">
        <v>34.32</v>
      </c>
      <c r="AV256" s="20">
        <v>-32.98</v>
      </c>
      <c r="BE256" s="20">
        <v>254.0</v>
      </c>
      <c r="BF256" s="20" t="s">
        <v>14</v>
      </c>
      <c r="BG256" s="20">
        <v>5.17</v>
      </c>
      <c r="BH256" s="20">
        <v>36.0</v>
      </c>
      <c r="BK256" s="20">
        <v>127.0</v>
      </c>
      <c r="BL256" s="20" t="s">
        <v>17</v>
      </c>
      <c r="BM256" s="20">
        <v>78.4</v>
      </c>
      <c r="BN256" s="20">
        <v>60.24</v>
      </c>
      <c r="BW256" s="20">
        <v>-58.55</v>
      </c>
      <c r="BX256" s="20">
        <v>2.08</v>
      </c>
      <c r="BZ256" s="20">
        <v>-51.92</v>
      </c>
      <c r="CA256" s="20">
        <v>82.72</v>
      </c>
      <c r="CI256" s="20">
        <v>-43.77</v>
      </c>
      <c r="CJ256" s="20">
        <v>-49.41</v>
      </c>
      <c r="CO256" s="20">
        <v>19.16</v>
      </c>
      <c r="CP256" s="20">
        <v>-54.63</v>
      </c>
    </row>
    <row r="257">
      <c r="A257" s="20">
        <v>13.24</v>
      </c>
      <c r="B257" s="20">
        <v>44.8</v>
      </c>
      <c r="D257" s="20"/>
      <c r="E257" s="20"/>
      <c r="F257" s="20">
        <v>-8.43</v>
      </c>
      <c r="G257" s="20">
        <v>-19.47</v>
      </c>
      <c r="I257" s="20"/>
      <c r="J257" s="20"/>
      <c r="K257" s="20">
        <v>128.0</v>
      </c>
      <c r="L257" s="20" t="s">
        <v>14</v>
      </c>
      <c r="M257" s="20">
        <v>-57.75</v>
      </c>
      <c r="N257" s="20">
        <v>-22.32</v>
      </c>
      <c r="P257" s="20">
        <v>11.09</v>
      </c>
      <c r="Q257" s="20">
        <v>-5.6</v>
      </c>
      <c r="AG257" s="20">
        <v>255.0</v>
      </c>
      <c r="AH257" s="20" t="s">
        <v>14</v>
      </c>
      <c r="AI257" s="20">
        <v>5.49</v>
      </c>
      <c r="AJ257" s="20">
        <v>27.46</v>
      </c>
      <c r="AM257" s="20">
        <v>129.0</v>
      </c>
      <c r="AN257" s="20" t="s">
        <v>14</v>
      </c>
      <c r="AO257" s="20">
        <v>33.91</v>
      </c>
      <c r="AP257" s="20">
        <v>-24.94</v>
      </c>
      <c r="AS257" s="20">
        <v>128.0</v>
      </c>
      <c r="AT257" s="20" t="s">
        <v>14</v>
      </c>
      <c r="AU257" s="20">
        <v>-39.21</v>
      </c>
      <c r="AV257" s="20">
        <v>-64.78</v>
      </c>
      <c r="BE257" s="20">
        <v>255.0</v>
      </c>
      <c r="BF257" s="20" t="s">
        <v>14</v>
      </c>
      <c r="BG257" s="20">
        <v>14.07</v>
      </c>
      <c r="BH257" s="20">
        <v>0.94</v>
      </c>
      <c r="BK257" s="20">
        <v>128.0</v>
      </c>
      <c r="BL257" s="20" t="s">
        <v>14</v>
      </c>
      <c r="BM257" s="20">
        <v>93.29</v>
      </c>
      <c r="BN257" s="20">
        <v>104.62</v>
      </c>
      <c r="BW257" s="20">
        <v>-40.62</v>
      </c>
      <c r="BX257" s="20">
        <v>-37.46</v>
      </c>
      <c r="BZ257" s="20">
        <v>-52.17</v>
      </c>
      <c r="CA257" s="20">
        <v>21.32</v>
      </c>
      <c r="CI257" s="20">
        <v>-55.51</v>
      </c>
      <c r="CJ257" s="20">
        <v>-57.81</v>
      </c>
      <c r="CO257" s="20">
        <v>-73.18</v>
      </c>
      <c r="CP257" s="20">
        <v>-48.09</v>
      </c>
    </row>
    <row r="258">
      <c r="A258" s="20">
        <v>-56.27</v>
      </c>
      <c r="B258" s="20">
        <v>100.96</v>
      </c>
      <c r="D258" s="20"/>
      <c r="E258" s="20"/>
      <c r="F258" s="20">
        <v>62.09</v>
      </c>
      <c r="G258" s="20">
        <v>68.07</v>
      </c>
      <c r="I258" s="20"/>
      <c r="J258" s="20"/>
      <c r="K258" s="20">
        <v>128.0</v>
      </c>
      <c r="L258" s="20" t="s">
        <v>17</v>
      </c>
      <c r="M258" s="20">
        <v>-22.89</v>
      </c>
      <c r="N258" s="20">
        <v>-11.46</v>
      </c>
      <c r="P258" s="20">
        <v>63.61</v>
      </c>
      <c r="Q258" s="20">
        <v>111.38</v>
      </c>
      <c r="AG258" s="20">
        <v>256.0</v>
      </c>
      <c r="AH258" s="20" t="s">
        <v>14</v>
      </c>
      <c r="AI258" s="20">
        <v>-49.21</v>
      </c>
      <c r="AJ258" s="20">
        <v>-48.28</v>
      </c>
      <c r="AM258" s="20">
        <v>129.0</v>
      </c>
      <c r="AN258" s="20" t="s">
        <v>17</v>
      </c>
      <c r="AO258" s="20">
        <v>-6.85</v>
      </c>
      <c r="AP258" s="20">
        <v>-18.37</v>
      </c>
      <c r="AS258" s="20">
        <v>128.0</v>
      </c>
      <c r="AT258" s="20" t="s">
        <v>17</v>
      </c>
      <c r="AU258" s="20">
        <v>-28.33</v>
      </c>
      <c r="AV258" s="20">
        <v>7.75</v>
      </c>
      <c r="BE258" s="20">
        <v>256.0</v>
      </c>
      <c r="BF258" s="20" t="s">
        <v>14</v>
      </c>
      <c r="BG258" s="20">
        <v>25.14</v>
      </c>
      <c r="BH258" s="20">
        <v>-7.51</v>
      </c>
      <c r="BK258" s="20">
        <v>128.0</v>
      </c>
      <c r="BL258" s="20" t="s">
        <v>17</v>
      </c>
      <c r="BM258" s="20">
        <v>115.04</v>
      </c>
      <c r="BN258" s="20">
        <v>63.77</v>
      </c>
      <c r="BW258" s="20">
        <v>-62.12</v>
      </c>
      <c r="BX258" s="20">
        <v>-17.29</v>
      </c>
      <c r="BZ258" s="20">
        <v>-69.31</v>
      </c>
      <c r="CA258" s="20">
        <v>105.16</v>
      </c>
      <c r="CI258" s="20">
        <v>-26.47</v>
      </c>
      <c r="CJ258" s="20">
        <v>-20.7</v>
      </c>
      <c r="CO258" s="20">
        <v>-37.71</v>
      </c>
      <c r="CP258" s="20">
        <v>-30.02</v>
      </c>
    </row>
    <row r="259">
      <c r="A259" s="20">
        <v>-51.21</v>
      </c>
      <c r="B259" s="20">
        <v>7.18</v>
      </c>
      <c r="D259" s="20"/>
      <c r="E259" s="20"/>
      <c r="F259" s="20">
        <v>-32.79</v>
      </c>
      <c r="G259" s="20">
        <v>-1.13</v>
      </c>
      <c r="I259" s="20"/>
      <c r="J259" s="20"/>
      <c r="K259" s="20">
        <v>129.0</v>
      </c>
      <c r="L259" s="20" t="s">
        <v>14</v>
      </c>
      <c r="M259" s="20">
        <v>31.77</v>
      </c>
      <c r="N259" s="20">
        <v>-13.45</v>
      </c>
      <c r="P259" s="20">
        <v>-16.65</v>
      </c>
      <c r="Q259" s="20">
        <v>27.82</v>
      </c>
      <c r="AG259" s="20">
        <v>257.0</v>
      </c>
      <c r="AH259" s="20" t="s">
        <v>14</v>
      </c>
      <c r="AI259" s="20">
        <v>-17.65</v>
      </c>
      <c r="AJ259" s="20">
        <v>7.23</v>
      </c>
      <c r="AM259" s="20">
        <v>130.0</v>
      </c>
      <c r="AN259" s="20" t="s">
        <v>14</v>
      </c>
      <c r="AO259" s="20">
        <v>-15.19</v>
      </c>
      <c r="AP259" s="20">
        <v>-11.2</v>
      </c>
      <c r="AS259" s="20">
        <v>129.0</v>
      </c>
      <c r="AT259" s="20" t="s">
        <v>14</v>
      </c>
      <c r="AU259" s="20">
        <v>-31.65</v>
      </c>
      <c r="AV259" s="20">
        <v>-35.03</v>
      </c>
      <c r="BE259" s="20">
        <v>257.0</v>
      </c>
      <c r="BF259" s="20" t="s">
        <v>14</v>
      </c>
      <c r="BG259" s="20">
        <v>-23.77</v>
      </c>
      <c r="BH259" s="20">
        <v>6.96</v>
      </c>
      <c r="BK259" s="20">
        <v>129.0</v>
      </c>
      <c r="BL259" s="20" t="s">
        <v>14</v>
      </c>
      <c r="BM259" s="20">
        <v>10.18</v>
      </c>
      <c r="BN259" s="20">
        <v>47.07</v>
      </c>
      <c r="BW259" s="20">
        <v>-61.12</v>
      </c>
      <c r="BX259" s="20">
        <v>-21.81</v>
      </c>
      <c r="BZ259" s="20">
        <v>-61.03</v>
      </c>
      <c r="CA259" s="20">
        <v>83.14</v>
      </c>
      <c r="CI259" s="20">
        <v>-49.86</v>
      </c>
      <c r="CJ259" s="20">
        <v>-50.01</v>
      </c>
      <c r="CO259" s="20">
        <v>18.25</v>
      </c>
      <c r="CP259" s="20">
        <v>-50.18</v>
      </c>
    </row>
    <row r="260">
      <c r="A260" s="20">
        <v>-32.64</v>
      </c>
      <c r="B260" s="20">
        <v>85.57</v>
      </c>
      <c r="D260" s="20"/>
      <c r="E260" s="20"/>
      <c r="F260" s="20">
        <v>-27.85</v>
      </c>
      <c r="G260" s="20">
        <v>-9.1</v>
      </c>
      <c r="I260" s="20"/>
      <c r="J260" s="20"/>
      <c r="K260" s="20">
        <v>129.0</v>
      </c>
      <c r="L260" s="20" t="s">
        <v>17</v>
      </c>
      <c r="M260" s="20">
        <v>-17.21</v>
      </c>
      <c r="N260" s="20">
        <v>-34.72</v>
      </c>
      <c r="P260" s="20">
        <v>-73.01</v>
      </c>
      <c r="Q260" s="20">
        <v>-81.93</v>
      </c>
      <c r="AG260" s="20">
        <v>258.0</v>
      </c>
      <c r="AH260" s="20" t="s">
        <v>14</v>
      </c>
      <c r="AI260" s="20">
        <v>-23.78</v>
      </c>
      <c r="AJ260" s="20">
        <v>-22.97</v>
      </c>
      <c r="AM260" s="20">
        <v>130.0</v>
      </c>
      <c r="AN260" s="20" t="s">
        <v>17</v>
      </c>
      <c r="AO260" s="20">
        <v>-6.12</v>
      </c>
      <c r="AP260" s="20">
        <v>-19.6</v>
      </c>
      <c r="AS260" s="20">
        <v>129.0</v>
      </c>
      <c r="AT260" s="20" t="s">
        <v>17</v>
      </c>
      <c r="AU260" s="20">
        <v>-18.59</v>
      </c>
      <c r="AV260" s="20">
        <v>-31.49</v>
      </c>
      <c r="BE260" s="20">
        <v>258.0</v>
      </c>
      <c r="BF260" s="20" t="s">
        <v>14</v>
      </c>
      <c r="BG260" s="20">
        <v>20.06</v>
      </c>
      <c r="BH260" s="20">
        <v>-7.21</v>
      </c>
      <c r="BK260" s="20">
        <v>129.0</v>
      </c>
      <c r="BL260" s="20" t="s">
        <v>17</v>
      </c>
      <c r="BM260" s="20">
        <v>111.58</v>
      </c>
      <c r="BN260" s="20">
        <v>124.05</v>
      </c>
      <c r="BW260" s="20">
        <v>-48.04</v>
      </c>
      <c r="BX260" s="20">
        <v>-26.71</v>
      </c>
      <c r="BZ260" s="20">
        <v>-70.57</v>
      </c>
      <c r="CA260" s="20">
        <v>111.54</v>
      </c>
      <c r="CI260" s="20">
        <v>-33.27</v>
      </c>
      <c r="CJ260" s="20">
        <v>-11.5</v>
      </c>
      <c r="CO260" s="20">
        <v>-24.79</v>
      </c>
      <c r="CP260" s="20">
        <v>-52.63</v>
      </c>
    </row>
    <row r="261">
      <c r="A261" s="20">
        <v>-38.11</v>
      </c>
      <c r="B261" s="20">
        <v>32.02</v>
      </c>
      <c r="D261" s="20"/>
      <c r="E261" s="20"/>
      <c r="F261" s="20">
        <v>68.55</v>
      </c>
      <c r="G261" s="20">
        <v>-15.08</v>
      </c>
      <c r="I261" s="20"/>
      <c r="J261" s="20"/>
      <c r="K261" s="20">
        <v>130.0</v>
      </c>
      <c r="L261" s="20" t="s">
        <v>14</v>
      </c>
      <c r="M261" s="20">
        <v>-41.23</v>
      </c>
      <c r="N261" s="20">
        <v>-13.57</v>
      </c>
      <c r="P261" s="20">
        <v>22.63</v>
      </c>
      <c r="Q261" s="20">
        <v>13.25</v>
      </c>
      <c r="AG261" s="20">
        <v>259.0</v>
      </c>
      <c r="AH261" s="20" t="s">
        <v>14</v>
      </c>
      <c r="AI261" s="20">
        <v>-55.08</v>
      </c>
      <c r="AJ261" s="20">
        <v>-69.64</v>
      </c>
      <c r="AM261" s="20">
        <v>131.0</v>
      </c>
      <c r="AN261" s="20" t="s">
        <v>14</v>
      </c>
      <c r="AO261" s="20">
        <v>8.21</v>
      </c>
      <c r="AP261" s="20">
        <v>-48.61</v>
      </c>
      <c r="AS261" s="20">
        <v>130.0</v>
      </c>
      <c r="AT261" s="20" t="s">
        <v>14</v>
      </c>
      <c r="AU261" s="20">
        <v>-28.51</v>
      </c>
      <c r="AV261" s="20">
        <v>-50.46</v>
      </c>
      <c r="BE261" s="20">
        <v>259.0</v>
      </c>
      <c r="BF261" s="20" t="s">
        <v>14</v>
      </c>
      <c r="BG261" s="20">
        <v>9.07</v>
      </c>
      <c r="BH261" s="20">
        <v>32.31</v>
      </c>
      <c r="BK261" s="20">
        <v>130.0</v>
      </c>
      <c r="BL261" s="20" t="s">
        <v>14</v>
      </c>
      <c r="BM261" s="20">
        <v>158.49</v>
      </c>
      <c r="BN261" s="20">
        <v>235.51</v>
      </c>
      <c r="BW261" s="20">
        <v>-30.95</v>
      </c>
      <c r="BX261" s="20">
        <v>-44.19</v>
      </c>
      <c r="BZ261" s="20">
        <v>-53.95</v>
      </c>
      <c r="CA261" s="20">
        <v>36.04</v>
      </c>
      <c r="CI261" s="20">
        <v>-10.31</v>
      </c>
      <c r="CJ261" s="20">
        <v>-13.04</v>
      </c>
      <c r="CO261" s="20">
        <v>-6.52</v>
      </c>
      <c r="CP261" s="20">
        <v>-43.9</v>
      </c>
    </row>
    <row r="262">
      <c r="A262" s="20">
        <v>88.94</v>
      </c>
      <c r="B262" s="20">
        <v>-7.69</v>
      </c>
      <c r="D262" s="20"/>
      <c r="E262" s="20"/>
      <c r="F262" s="20">
        <v>4.3</v>
      </c>
      <c r="G262" s="20">
        <v>-26.17</v>
      </c>
      <c r="I262" s="20"/>
      <c r="J262" s="20"/>
      <c r="K262" s="20">
        <v>130.0</v>
      </c>
      <c r="L262" s="20" t="s">
        <v>17</v>
      </c>
      <c r="M262" s="20">
        <v>-33.34</v>
      </c>
      <c r="N262" s="20">
        <v>14.99</v>
      </c>
      <c r="P262" s="20">
        <v>-10.52</v>
      </c>
      <c r="Q262" s="20">
        <v>4.47</v>
      </c>
      <c r="AG262" s="20">
        <v>260.0</v>
      </c>
      <c r="AH262" s="20" t="s">
        <v>14</v>
      </c>
      <c r="AI262" s="20">
        <v>-41.4</v>
      </c>
      <c r="AJ262" s="20">
        <v>-41.58</v>
      </c>
      <c r="AM262" s="20">
        <v>131.0</v>
      </c>
      <c r="AN262" s="20" t="s">
        <v>17</v>
      </c>
      <c r="AO262" s="20">
        <v>-63.77</v>
      </c>
      <c r="AP262" s="20">
        <v>-5.21</v>
      </c>
      <c r="AS262" s="20">
        <v>130.0</v>
      </c>
      <c r="AT262" s="20" t="s">
        <v>17</v>
      </c>
      <c r="AU262" s="20">
        <v>-0.21</v>
      </c>
      <c r="AV262" s="20">
        <v>-49.39</v>
      </c>
      <c r="BE262" s="20">
        <v>260.0</v>
      </c>
      <c r="BF262" s="20" t="s">
        <v>14</v>
      </c>
      <c r="BG262" s="20">
        <v>13.69</v>
      </c>
      <c r="BH262" s="20">
        <v>86.49</v>
      </c>
      <c r="BK262" s="20">
        <v>130.0</v>
      </c>
      <c r="BL262" s="20" t="s">
        <v>17</v>
      </c>
      <c r="BM262" s="20">
        <v>343.03</v>
      </c>
      <c r="BN262" s="20">
        <v>199.09</v>
      </c>
      <c r="BW262" s="20">
        <v>-39.45</v>
      </c>
      <c r="BX262" s="20">
        <v>2.24</v>
      </c>
      <c r="BZ262" s="20">
        <v>-60.35</v>
      </c>
      <c r="CA262" s="20">
        <v>40.94</v>
      </c>
      <c r="CI262" s="20">
        <v>-28.44</v>
      </c>
      <c r="CJ262" s="20">
        <v>-25.23</v>
      </c>
      <c r="CO262" s="20">
        <v>-49.6</v>
      </c>
      <c r="CP262" s="20">
        <v>-30.35</v>
      </c>
    </row>
    <row r="263">
      <c r="A263" s="20">
        <v>45.22</v>
      </c>
      <c r="B263" s="20">
        <v>41.45</v>
      </c>
      <c r="D263" s="20"/>
      <c r="E263" s="20"/>
      <c r="F263" s="20">
        <v>-12.54</v>
      </c>
      <c r="G263" s="20">
        <v>-9.12</v>
      </c>
      <c r="I263" s="20"/>
      <c r="J263" s="20"/>
      <c r="K263" s="20">
        <v>131.0</v>
      </c>
      <c r="L263" s="20" t="s">
        <v>14</v>
      </c>
      <c r="M263" s="20">
        <v>10.75</v>
      </c>
      <c r="N263" s="20">
        <v>11.05</v>
      </c>
      <c r="P263" s="20">
        <v>-23.44</v>
      </c>
      <c r="Q263" s="20">
        <v>9.52</v>
      </c>
      <c r="AG263" s="20">
        <v>261.0</v>
      </c>
      <c r="AH263" s="20" t="s">
        <v>14</v>
      </c>
      <c r="AI263" s="20">
        <v>-26.3</v>
      </c>
      <c r="AJ263" s="20">
        <v>-26.58</v>
      </c>
      <c r="AM263" s="20">
        <v>132.0</v>
      </c>
      <c r="AN263" s="20" t="s">
        <v>14</v>
      </c>
      <c r="AO263" s="20">
        <v>-8.76</v>
      </c>
      <c r="AP263" s="20">
        <v>-18.98</v>
      </c>
      <c r="AS263" s="20">
        <v>131.0</v>
      </c>
      <c r="AT263" s="20" t="s">
        <v>14</v>
      </c>
      <c r="AU263" s="20">
        <v>6.18</v>
      </c>
      <c r="AV263" s="20">
        <v>-31.96</v>
      </c>
      <c r="BE263" s="20">
        <v>261.0</v>
      </c>
      <c r="BF263" s="20" t="s">
        <v>14</v>
      </c>
      <c r="BG263" s="20">
        <v>-8.47</v>
      </c>
      <c r="BH263" s="20">
        <v>12.11</v>
      </c>
      <c r="BK263" s="20">
        <v>131.0</v>
      </c>
      <c r="BL263" s="20" t="s">
        <v>14</v>
      </c>
      <c r="BM263" s="20">
        <v>40.17</v>
      </c>
      <c r="BN263" s="20">
        <v>117.19</v>
      </c>
      <c r="BW263" s="20">
        <v>-24.13</v>
      </c>
      <c r="BX263" s="20">
        <v>-31.19</v>
      </c>
      <c r="BZ263" s="20">
        <v>-38.57</v>
      </c>
      <c r="CA263" s="20">
        <v>101.96</v>
      </c>
      <c r="CI263" s="20">
        <v>1.78</v>
      </c>
      <c r="CJ263" s="20">
        <v>11.23</v>
      </c>
      <c r="CO263" s="20">
        <v>-50.42</v>
      </c>
      <c r="CP263" s="20">
        <v>-52.73</v>
      </c>
    </row>
    <row r="264">
      <c r="A264" s="20">
        <v>39.56</v>
      </c>
      <c r="B264" s="20">
        <v>127.38</v>
      </c>
      <c r="D264" s="20"/>
      <c r="E264" s="20"/>
      <c r="F264" s="20">
        <v>-24.98</v>
      </c>
      <c r="G264" s="20">
        <v>-30.11</v>
      </c>
      <c r="I264" s="20"/>
      <c r="J264" s="20"/>
      <c r="K264" s="20">
        <v>131.0</v>
      </c>
      <c r="L264" s="20" t="s">
        <v>17</v>
      </c>
      <c r="M264" s="20">
        <v>-19.1</v>
      </c>
      <c r="N264" s="20">
        <v>37.93</v>
      </c>
      <c r="P264" s="20">
        <v>15.98</v>
      </c>
      <c r="Q264" s="20">
        <v>52.66</v>
      </c>
      <c r="AG264" s="20">
        <v>262.0</v>
      </c>
      <c r="AH264" s="20" t="s">
        <v>14</v>
      </c>
      <c r="AI264" s="20">
        <v>-45.58</v>
      </c>
      <c r="AJ264" s="20">
        <v>-57.96</v>
      </c>
      <c r="AM264" s="20">
        <v>132.0</v>
      </c>
      <c r="AN264" s="20" t="s">
        <v>17</v>
      </c>
      <c r="AO264" s="20">
        <v>-20.18</v>
      </c>
      <c r="AP264" s="20">
        <v>-9.52</v>
      </c>
      <c r="AS264" s="20">
        <v>131.0</v>
      </c>
      <c r="AT264" s="20" t="s">
        <v>17</v>
      </c>
      <c r="AU264" s="20">
        <v>-21.96</v>
      </c>
      <c r="AV264" s="20">
        <v>-23.05</v>
      </c>
      <c r="BE264" s="20">
        <v>262.0</v>
      </c>
      <c r="BF264" s="20" t="s">
        <v>14</v>
      </c>
      <c r="BG264" s="20">
        <v>25.88</v>
      </c>
      <c r="BH264" s="20">
        <v>36.07</v>
      </c>
      <c r="BK264" s="20">
        <v>131.0</v>
      </c>
      <c r="BL264" s="20" t="s">
        <v>17</v>
      </c>
      <c r="BM264" s="20">
        <v>85.55</v>
      </c>
      <c r="BN264" s="20">
        <v>20.13</v>
      </c>
      <c r="BW264" s="20">
        <v>-45.14</v>
      </c>
      <c r="BX264" s="20">
        <v>-3.82</v>
      </c>
      <c r="BZ264" s="20">
        <v>-32.42</v>
      </c>
      <c r="CA264" s="20">
        <v>119.2</v>
      </c>
      <c r="CI264" s="20">
        <v>22.24</v>
      </c>
      <c r="CJ264" s="20">
        <v>-9.87</v>
      </c>
      <c r="CO264" s="20">
        <v>-64.35</v>
      </c>
      <c r="CP264" s="20">
        <v>-51.09</v>
      </c>
    </row>
    <row r="265">
      <c r="A265" s="20">
        <v>-23.61</v>
      </c>
      <c r="B265" s="20">
        <v>10.54</v>
      </c>
      <c r="D265" s="20"/>
      <c r="E265" s="20"/>
      <c r="F265" s="20">
        <v>-9.51</v>
      </c>
      <c r="G265" s="20">
        <v>-1.31</v>
      </c>
      <c r="I265" s="20"/>
      <c r="J265" s="20"/>
      <c r="K265" s="20">
        <v>132.0</v>
      </c>
      <c r="L265" s="20" t="s">
        <v>14</v>
      </c>
      <c r="M265" s="20">
        <v>30.98</v>
      </c>
      <c r="N265" s="20">
        <v>25.71</v>
      </c>
      <c r="P265" s="20">
        <v>-25.58</v>
      </c>
      <c r="Q265" s="20">
        <v>-12.36</v>
      </c>
      <c r="AG265" s="20">
        <v>263.0</v>
      </c>
      <c r="AH265" s="20" t="s">
        <v>14</v>
      </c>
      <c r="AI265" s="20">
        <v>-11.72</v>
      </c>
      <c r="AJ265" s="20">
        <v>-28.21</v>
      </c>
      <c r="AM265" s="20">
        <v>133.0</v>
      </c>
      <c r="AN265" s="20" t="s">
        <v>14</v>
      </c>
      <c r="AO265" s="20">
        <v>-14.8</v>
      </c>
      <c r="AP265" s="20">
        <v>4.95</v>
      </c>
      <c r="AS265" s="20">
        <v>132.0</v>
      </c>
      <c r="AT265" s="20" t="s">
        <v>14</v>
      </c>
      <c r="AU265" s="20">
        <v>43.04</v>
      </c>
      <c r="AV265" s="20">
        <v>-14.55</v>
      </c>
      <c r="BE265" s="20">
        <v>263.0</v>
      </c>
      <c r="BF265" s="20" t="s">
        <v>14</v>
      </c>
      <c r="BG265" s="20">
        <v>49.51</v>
      </c>
      <c r="BH265" s="20">
        <v>27.24</v>
      </c>
      <c r="BK265" s="20">
        <v>132.0</v>
      </c>
      <c r="BL265" s="20" t="s">
        <v>14</v>
      </c>
      <c r="BM265" s="20">
        <v>97.35</v>
      </c>
      <c r="BN265" s="20">
        <v>131.52</v>
      </c>
      <c r="BW265" s="20">
        <v>-44.45</v>
      </c>
      <c r="BX265" s="20">
        <v>-45.73</v>
      </c>
      <c r="BZ265" s="20">
        <v>-18.23</v>
      </c>
      <c r="CA265" s="20">
        <v>50.52</v>
      </c>
      <c r="CI265" s="20">
        <v>-46.62</v>
      </c>
      <c r="CJ265" s="20">
        <v>-58.82</v>
      </c>
      <c r="CO265" s="20">
        <v>-27.3</v>
      </c>
      <c r="CP265" s="20">
        <v>-40.29</v>
      </c>
    </row>
    <row r="266">
      <c r="A266" s="20">
        <v>-31.81</v>
      </c>
      <c r="B266" s="20">
        <v>-7.92</v>
      </c>
      <c r="D266" s="20"/>
      <c r="E266" s="20"/>
      <c r="F266" s="20">
        <v>-5.25</v>
      </c>
      <c r="G266" s="20">
        <v>-14.96</v>
      </c>
      <c r="I266" s="20"/>
      <c r="J266" s="20"/>
      <c r="K266" s="20">
        <v>132.0</v>
      </c>
      <c r="L266" s="20" t="s">
        <v>17</v>
      </c>
      <c r="M266" s="20">
        <v>-12.87</v>
      </c>
      <c r="N266" s="20">
        <v>29.97</v>
      </c>
      <c r="P266" s="20">
        <v>27.35</v>
      </c>
      <c r="Q266" s="20">
        <v>56.76</v>
      </c>
      <c r="AG266" s="20">
        <v>264.0</v>
      </c>
      <c r="AH266" s="20" t="s">
        <v>14</v>
      </c>
      <c r="AI266" s="20">
        <v>-5.13</v>
      </c>
      <c r="AJ266" s="20">
        <v>-30.76</v>
      </c>
      <c r="AM266" s="20">
        <v>133.0</v>
      </c>
      <c r="AN266" s="20" t="s">
        <v>17</v>
      </c>
      <c r="AO266" s="20">
        <v>28.74</v>
      </c>
      <c r="AP266" s="20">
        <v>22.37</v>
      </c>
      <c r="AS266" s="20">
        <v>132.0</v>
      </c>
      <c r="AT266" s="20" t="s">
        <v>17</v>
      </c>
      <c r="AU266" s="20">
        <v>-2.33</v>
      </c>
      <c r="AV266" s="20">
        <v>-43.25</v>
      </c>
      <c r="BE266" s="20">
        <v>264.0</v>
      </c>
      <c r="BF266" s="20" t="s">
        <v>14</v>
      </c>
      <c r="BG266" s="20">
        <v>49.64</v>
      </c>
      <c r="BH266" s="20">
        <v>14.6</v>
      </c>
      <c r="BK266" s="20">
        <v>132.0</v>
      </c>
      <c r="BL266" s="20" t="s">
        <v>17</v>
      </c>
      <c r="BM266" s="20">
        <v>109.98</v>
      </c>
      <c r="BN266" s="20">
        <v>160.61</v>
      </c>
      <c r="BW266" s="20">
        <v>-46.76</v>
      </c>
      <c r="BX266" s="20">
        <v>-6.83</v>
      </c>
      <c r="BZ266" s="20">
        <v>-39.0</v>
      </c>
      <c r="CA266" s="20">
        <v>9.27</v>
      </c>
      <c r="CI266" s="20">
        <v>-27.24</v>
      </c>
      <c r="CJ266" s="20">
        <v>-32.52</v>
      </c>
      <c r="CO266" s="20">
        <v>-26.58</v>
      </c>
      <c r="CP266" s="20">
        <v>-29.18</v>
      </c>
    </row>
    <row r="267">
      <c r="A267" s="20">
        <v>26.55</v>
      </c>
      <c r="B267" s="20">
        <v>-8.28</v>
      </c>
      <c r="D267" s="20"/>
      <c r="E267" s="20"/>
      <c r="F267" s="20">
        <v>-0.64</v>
      </c>
      <c r="G267" s="20">
        <v>72.84</v>
      </c>
      <c r="I267" s="20"/>
      <c r="J267" s="20"/>
      <c r="K267" s="20">
        <v>133.0</v>
      </c>
      <c r="L267" s="20" t="s">
        <v>14</v>
      </c>
      <c r="M267" s="20">
        <v>-29.85</v>
      </c>
      <c r="N267" s="20">
        <v>-17.76</v>
      </c>
      <c r="P267" s="20">
        <v>-27.93</v>
      </c>
      <c r="Q267" s="20">
        <v>-16.99</v>
      </c>
      <c r="AG267" s="20">
        <v>265.0</v>
      </c>
      <c r="AH267" s="20" t="s">
        <v>14</v>
      </c>
      <c r="AI267" s="20">
        <v>-46.08</v>
      </c>
      <c r="AJ267" s="20">
        <v>-50.19</v>
      </c>
      <c r="AM267" s="20">
        <v>134.0</v>
      </c>
      <c r="AN267" s="20" t="s">
        <v>14</v>
      </c>
      <c r="AO267" s="20">
        <v>-25.43</v>
      </c>
      <c r="AP267" s="20">
        <v>-37.97</v>
      </c>
      <c r="AS267" s="20">
        <v>133.0</v>
      </c>
      <c r="AT267" s="20" t="s">
        <v>14</v>
      </c>
      <c r="AU267" s="20">
        <v>-25.76</v>
      </c>
      <c r="AV267" s="20">
        <v>-45.87</v>
      </c>
      <c r="BE267" s="20">
        <v>265.0</v>
      </c>
      <c r="BF267" s="20" t="s">
        <v>14</v>
      </c>
      <c r="BG267" s="20">
        <v>-11.52</v>
      </c>
      <c r="BH267" s="20">
        <v>53.38</v>
      </c>
      <c r="BK267" s="20">
        <v>133.0</v>
      </c>
      <c r="BL267" s="20" t="s">
        <v>14</v>
      </c>
      <c r="BM267" s="20">
        <v>58.71</v>
      </c>
      <c r="BN267" s="20">
        <v>67.87</v>
      </c>
      <c r="BW267" s="20">
        <v>7.97</v>
      </c>
      <c r="BX267" s="20">
        <v>-8.82</v>
      </c>
      <c r="BZ267" s="20">
        <v>-39.8</v>
      </c>
      <c r="CA267" s="20">
        <v>21.55</v>
      </c>
      <c r="CI267" s="20">
        <v>-47.25</v>
      </c>
      <c r="CJ267" s="20">
        <v>-39.87</v>
      </c>
      <c r="CO267" s="20">
        <v>-28.5</v>
      </c>
      <c r="CP267" s="20">
        <v>-42.35</v>
      </c>
    </row>
    <row r="268">
      <c r="A268" s="20">
        <v>-39.97</v>
      </c>
      <c r="B268" s="20">
        <v>15.9</v>
      </c>
      <c r="D268" s="20"/>
      <c r="E268" s="20"/>
      <c r="F268" s="20">
        <v>-22.42</v>
      </c>
      <c r="G268" s="20">
        <v>-2.57</v>
      </c>
      <c r="I268" s="20"/>
      <c r="J268" s="20"/>
      <c r="K268" s="20">
        <v>133.0</v>
      </c>
      <c r="L268" s="20" t="s">
        <v>17</v>
      </c>
      <c r="M268" s="20">
        <v>-17.56</v>
      </c>
      <c r="N268" s="20">
        <v>8.68</v>
      </c>
      <c r="P268" s="20">
        <v>-50.04</v>
      </c>
      <c r="Q268" s="20">
        <v>-22.04</v>
      </c>
      <c r="AG268" s="20">
        <v>266.0</v>
      </c>
      <c r="AH268" s="20" t="s">
        <v>14</v>
      </c>
      <c r="AI268" s="20">
        <v>-17.53</v>
      </c>
      <c r="AJ268" s="20">
        <v>-32.37</v>
      </c>
      <c r="AM268" s="20">
        <v>134.0</v>
      </c>
      <c r="AN268" s="20" t="s">
        <v>17</v>
      </c>
      <c r="AO268" s="20">
        <v>-26.9</v>
      </c>
      <c r="AP268" s="20">
        <v>-32.27</v>
      </c>
      <c r="AS268" s="20">
        <v>133.0</v>
      </c>
      <c r="AT268" s="20" t="s">
        <v>17</v>
      </c>
      <c r="AU268" s="20">
        <v>-18.23</v>
      </c>
      <c r="AV268" s="20">
        <v>-31.37</v>
      </c>
      <c r="BE268" s="20">
        <v>266.0</v>
      </c>
      <c r="BF268" s="20" t="s">
        <v>14</v>
      </c>
      <c r="BG268" s="20">
        <v>-37.3</v>
      </c>
      <c r="BH268" s="20">
        <v>0.26</v>
      </c>
      <c r="BK268" s="20">
        <v>133.0</v>
      </c>
      <c r="BL268" s="20" t="s">
        <v>17</v>
      </c>
      <c r="BM268" s="20">
        <v>18.26</v>
      </c>
      <c r="BN268" s="20">
        <v>39.89</v>
      </c>
      <c r="BW268" s="20">
        <v>19.38</v>
      </c>
      <c r="BX268" s="20">
        <v>128.45</v>
      </c>
      <c r="BZ268" s="20">
        <v>-62.58</v>
      </c>
      <c r="CA268" s="20">
        <v>47.05</v>
      </c>
      <c r="CI268" s="20">
        <v>-47.78</v>
      </c>
      <c r="CJ268" s="20">
        <v>-60.35</v>
      </c>
      <c r="CO268" s="20">
        <v>-49.1</v>
      </c>
      <c r="CP268" s="20">
        <v>-46.56</v>
      </c>
    </row>
    <row r="269">
      <c r="A269" s="20">
        <v>-72.03</v>
      </c>
      <c r="B269" s="20">
        <v>-48.51</v>
      </c>
      <c r="D269" s="20"/>
      <c r="E269" s="20"/>
      <c r="F269" s="20">
        <v>-30.67</v>
      </c>
      <c r="G269" s="20">
        <v>-14.19</v>
      </c>
      <c r="I269" s="20"/>
      <c r="J269" s="20"/>
      <c r="K269" s="20">
        <v>134.0</v>
      </c>
      <c r="L269" s="20" t="s">
        <v>14</v>
      </c>
      <c r="M269" s="20">
        <v>-8.85</v>
      </c>
      <c r="N269" s="20">
        <v>-1.9</v>
      </c>
      <c r="P269" s="20">
        <v>-15.58</v>
      </c>
      <c r="Q269" s="20">
        <v>5.94</v>
      </c>
      <c r="AG269" s="20">
        <v>267.0</v>
      </c>
      <c r="AH269" s="20" t="s">
        <v>14</v>
      </c>
      <c r="AI269" s="20">
        <v>-19.58</v>
      </c>
      <c r="AJ269" s="20">
        <v>-30.32</v>
      </c>
      <c r="AM269" s="20">
        <v>135.0</v>
      </c>
      <c r="AN269" s="20" t="s">
        <v>14</v>
      </c>
      <c r="AO269" s="20">
        <v>-12.69</v>
      </c>
      <c r="AP269" s="20">
        <v>-29.69</v>
      </c>
      <c r="AS269" s="20">
        <v>134.0</v>
      </c>
      <c r="AT269" s="20" t="s">
        <v>14</v>
      </c>
      <c r="AU269" s="20">
        <v>-9.74</v>
      </c>
      <c r="AV269" s="20">
        <v>-32.43</v>
      </c>
      <c r="BE269" s="20">
        <v>267.0</v>
      </c>
      <c r="BF269" s="20" t="s">
        <v>14</v>
      </c>
      <c r="BG269" s="20">
        <v>-9.65</v>
      </c>
      <c r="BH269" s="20">
        <v>32.94</v>
      </c>
      <c r="BK269" s="20">
        <v>134.0</v>
      </c>
      <c r="BL269" s="20" t="s">
        <v>14</v>
      </c>
      <c r="BM269" s="20">
        <v>65.23</v>
      </c>
      <c r="BN269" s="20">
        <v>129.75</v>
      </c>
      <c r="BW269" s="20">
        <v>-44.93</v>
      </c>
      <c r="BX269" s="20">
        <v>-15.02</v>
      </c>
      <c r="BZ269" s="20">
        <v>-23.22</v>
      </c>
      <c r="CA269" s="20">
        <v>74.67</v>
      </c>
      <c r="CI269" s="20">
        <v>-55.94</v>
      </c>
      <c r="CJ269" s="20">
        <v>-53.47</v>
      </c>
      <c r="CO269" s="20">
        <v>-23.15</v>
      </c>
      <c r="CP269" s="20">
        <v>-22.17</v>
      </c>
    </row>
    <row r="270">
      <c r="A270" s="20">
        <v>-20.65</v>
      </c>
      <c r="B270" s="20">
        <v>-35.6</v>
      </c>
      <c r="D270" s="20"/>
      <c r="E270" s="20"/>
      <c r="F270" s="20">
        <v>-11.27</v>
      </c>
      <c r="G270" s="20">
        <v>18.06</v>
      </c>
      <c r="I270" s="20"/>
      <c r="J270" s="20"/>
      <c r="K270" s="20">
        <v>134.0</v>
      </c>
      <c r="L270" s="20" t="s">
        <v>17</v>
      </c>
      <c r="M270" s="20">
        <v>-19.13</v>
      </c>
      <c r="N270" s="20">
        <v>13.71</v>
      </c>
      <c r="P270" s="20">
        <v>-5.87</v>
      </c>
      <c r="Q270" s="20">
        <v>42.95</v>
      </c>
      <c r="AG270" s="20">
        <v>268.0</v>
      </c>
      <c r="AH270" s="20" t="s">
        <v>14</v>
      </c>
      <c r="AI270" s="20">
        <v>-56.91</v>
      </c>
      <c r="AJ270" s="20">
        <v>-56.15</v>
      </c>
      <c r="AM270" s="20">
        <v>135.0</v>
      </c>
      <c r="AN270" s="20" t="s">
        <v>17</v>
      </c>
      <c r="AO270" s="20">
        <v>-17.6</v>
      </c>
      <c r="AP270" s="20">
        <v>-19.91</v>
      </c>
      <c r="AS270" s="20">
        <v>134.0</v>
      </c>
      <c r="AT270" s="20" t="s">
        <v>17</v>
      </c>
      <c r="AU270" s="20">
        <v>-0.85</v>
      </c>
      <c r="AV270" s="20">
        <v>-45.94</v>
      </c>
      <c r="BE270" s="20">
        <v>268.0</v>
      </c>
      <c r="BF270" s="20" t="s">
        <v>14</v>
      </c>
      <c r="BG270" s="20">
        <v>50.71</v>
      </c>
      <c r="BH270" s="20">
        <v>29.37</v>
      </c>
      <c r="BK270" s="20">
        <v>134.0</v>
      </c>
      <c r="BL270" s="20" t="s">
        <v>17</v>
      </c>
      <c r="BM270" s="20">
        <v>9.44</v>
      </c>
      <c r="BN270" s="20">
        <v>139.71</v>
      </c>
      <c r="BW270" s="20">
        <v>-54.41</v>
      </c>
      <c r="BX270" s="20">
        <v>-27.64</v>
      </c>
      <c r="BZ270" s="20">
        <v>-62.02</v>
      </c>
      <c r="CA270" s="20">
        <v>-7.98</v>
      </c>
      <c r="CI270" s="20">
        <v>-21.11</v>
      </c>
      <c r="CJ270" s="20">
        <v>-19.04</v>
      </c>
      <c r="CO270" s="20">
        <v>-15.1</v>
      </c>
      <c r="CP270" s="20">
        <v>-35.13</v>
      </c>
    </row>
    <row r="271">
      <c r="A271" s="20">
        <v>-22.38</v>
      </c>
      <c r="B271" s="20">
        <v>11.72</v>
      </c>
      <c r="D271" s="20"/>
      <c r="E271" s="20"/>
      <c r="F271" s="20">
        <v>-19.35</v>
      </c>
      <c r="G271" s="20">
        <v>-5.45</v>
      </c>
      <c r="I271" s="20"/>
      <c r="J271" s="20"/>
      <c r="K271" s="20">
        <v>135.0</v>
      </c>
      <c r="L271" s="20" t="s">
        <v>14</v>
      </c>
      <c r="M271" s="20">
        <v>-23.89</v>
      </c>
      <c r="N271" s="20">
        <v>-21.01</v>
      </c>
      <c r="P271" s="20">
        <v>-16.92</v>
      </c>
      <c r="Q271" s="20">
        <v>6.99</v>
      </c>
      <c r="AG271" s="20">
        <v>269.0</v>
      </c>
      <c r="AH271" s="20" t="s">
        <v>14</v>
      </c>
      <c r="AI271" s="20">
        <v>-35.46</v>
      </c>
      <c r="AJ271" s="20">
        <v>-21.38</v>
      </c>
      <c r="AM271" s="20">
        <v>136.0</v>
      </c>
      <c r="AN271" s="20" t="s">
        <v>14</v>
      </c>
      <c r="AO271" s="20">
        <v>-25.05</v>
      </c>
      <c r="AP271" s="20">
        <v>-35.62</v>
      </c>
      <c r="AS271" s="20">
        <v>135.0</v>
      </c>
      <c r="AT271" s="20" t="s">
        <v>14</v>
      </c>
      <c r="AU271" s="20">
        <v>23.2</v>
      </c>
      <c r="AV271" s="20">
        <v>-40.7</v>
      </c>
      <c r="BE271" s="20">
        <v>269.0</v>
      </c>
      <c r="BF271" s="20" t="s">
        <v>14</v>
      </c>
      <c r="BG271" s="20">
        <v>-2.4</v>
      </c>
      <c r="BH271" s="20">
        <v>24.29</v>
      </c>
      <c r="BK271" s="20">
        <v>135.0</v>
      </c>
      <c r="BL271" s="20" t="s">
        <v>14</v>
      </c>
      <c r="BM271" s="20">
        <v>9.86</v>
      </c>
      <c r="BN271" s="20">
        <v>31.97</v>
      </c>
      <c r="BW271" s="20">
        <v>-15.9</v>
      </c>
      <c r="BX271" s="20">
        <v>-39.38</v>
      </c>
      <c r="BZ271" s="20">
        <v>-40.95</v>
      </c>
      <c r="CA271" s="20">
        <v>58.75</v>
      </c>
      <c r="CI271" s="20">
        <v>-32.45</v>
      </c>
      <c r="CJ271" s="20">
        <v>-51.76</v>
      </c>
      <c r="CO271" s="20">
        <v>-30.33</v>
      </c>
      <c r="CP271" s="20">
        <v>-62.73</v>
      </c>
    </row>
    <row r="272">
      <c r="A272" s="20">
        <v>-50.1</v>
      </c>
      <c r="B272" s="20">
        <v>105.4</v>
      </c>
      <c r="D272" s="20"/>
      <c r="E272" s="20"/>
      <c r="F272" s="20">
        <v>-35.3</v>
      </c>
      <c r="G272" s="20">
        <v>3.12</v>
      </c>
      <c r="I272" s="20"/>
      <c r="J272" s="20"/>
      <c r="K272" s="20">
        <v>135.0</v>
      </c>
      <c r="L272" s="20" t="s">
        <v>17</v>
      </c>
      <c r="M272" s="20">
        <v>-41.25</v>
      </c>
      <c r="N272" s="20">
        <v>8.59</v>
      </c>
      <c r="P272" s="20">
        <v>1.19</v>
      </c>
      <c r="Q272" s="20">
        <v>28.95</v>
      </c>
      <c r="AG272" s="20">
        <v>270.0</v>
      </c>
      <c r="AH272" s="20" t="s">
        <v>14</v>
      </c>
      <c r="AI272" s="20">
        <v>-40.67</v>
      </c>
      <c r="AJ272" s="20">
        <v>-48.21</v>
      </c>
      <c r="AM272" s="20">
        <v>136.0</v>
      </c>
      <c r="AN272" s="20" t="s">
        <v>17</v>
      </c>
      <c r="AO272" s="20">
        <v>-13.98</v>
      </c>
      <c r="AP272" s="20">
        <v>-23.84</v>
      </c>
      <c r="AS272" s="20">
        <v>135.0</v>
      </c>
      <c r="AT272" s="20" t="s">
        <v>17</v>
      </c>
      <c r="AU272" s="20">
        <v>5.06</v>
      </c>
      <c r="AV272" s="20">
        <v>31.03</v>
      </c>
      <c r="BE272" s="20">
        <v>270.0</v>
      </c>
      <c r="BF272" s="20" t="s">
        <v>14</v>
      </c>
      <c r="BG272" s="20">
        <v>10.08</v>
      </c>
      <c r="BH272" s="20">
        <v>31.45</v>
      </c>
      <c r="BK272" s="20">
        <v>135.0</v>
      </c>
      <c r="BL272" s="20" t="s">
        <v>17</v>
      </c>
      <c r="BM272" s="20">
        <v>20.82</v>
      </c>
      <c r="BN272" s="20">
        <v>49.17</v>
      </c>
      <c r="BW272" s="20">
        <v>-51.18</v>
      </c>
      <c r="BX272" s="20">
        <v>-20.49</v>
      </c>
      <c r="BZ272" s="20">
        <v>-39.1</v>
      </c>
      <c r="CA272" s="20">
        <v>91.31</v>
      </c>
      <c r="CI272" s="20">
        <v>-32.82</v>
      </c>
      <c r="CJ272" s="20">
        <v>-50.75</v>
      </c>
      <c r="CO272" s="20">
        <v>-16.06</v>
      </c>
      <c r="CP272" s="20">
        <v>-30.12</v>
      </c>
    </row>
    <row r="273">
      <c r="A273" s="20">
        <v>-30.04</v>
      </c>
      <c r="B273" s="20">
        <v>-52.33</v>
      </c>
      <c r="D273" s="20"/>
      <c r="E273" s="20"/>
      <c r="F273" s="20">
        <v>-6.7</v>
      </c>
      <c r="G273" s="20">
        <v>15.86</v>
      </c>
      <c r="I273" s="20"/>
      <c r="J273" s="20"/>
      <c r="K273" s="20">
        <v>136.0</v>
      </c>
      <c r="L273" s="20" t="s">
        <v>14</v>
      </c>
      <c r="M273" s="20">
        <v>-27.09</v>
      </c>
      <c r="N273" s="20">
        <v>47.2</v>
      </c>
      <c r="P273" s="20">
        <v>26.09</v>
      </c>
      <c r="Q273" s="20">
        <v>62.89</v>
      </c>
      <c r="AG273" s="20">
        <v>271.0</v>
      </c>
      <c r="AH273" s="20" t="s">
        <v>14</v>
      </c>
      <c r="AI273" s="20">
        <v>-40.48</v>
      </c>
      <c r="AJ273" s="20">
        <v>-39.3</v>
      </c>
      <c r="AM273" s="20">
        <v>137.0</v>
      </c>
      <c r="AN273" s="20" t="s">
        <v>14</v>
      </c>
      <c r="AO273" s="20">
        <v>15.72</v>
      </c>
      <c r="AP273" s="20">
        <v>-14.24</v>
      </c>
      <c r="AS273" s="20">
        <v>136.0</v>
      </c>
      <c r="AT273" s="20" t="s">
        <v>14</v>
      </c>
      <c r="AU273" s="20">
        <v>7.82</v>
      </c>
      <c r="AV273" s="20">
        <v>-8.44</v>
      </c>
      <c r="BE273" s="20">
        <v>271.0</v>
      </c>
      <c r="BF273" s="20" t="s">
        <v>14</v>
      </c>
      <c r="BG273" s="20">
        <v>9.83</v>
      </c>
      <c r="BH273" s="20">
        <v>38.58</v>
      </c>
      <c r="BK273" s="20">
        <v>136.0</v>
      </c>
      <c r="BL273" s="20" t="s">
        <v>14</v>
      </c>
      <c r="BM273" s="20">
        <v>95.36</v>
      </c>
      <c r="BN273" s="20">
        <v>98.65</v>
      </c>
      <c r="BW273" s="20">
        <v>-19.47</v>
      </c>
      <c r="BX273" s="20">
        <v>-38.87</v>
      </c>
      <c r="BZ273" s="20">
        <v>-33.5</v>
      </c>
      <c r="CA273" s="20">
        <v>11.7</v>
      </c>
      <c r="CI273" s="20">
        <v>-31.29</v>
      </c>
      <c r="CJ273" s="20">
        <v>-64.19</v>
      </c>
      <c r="CO273" s="20">
        <v>-18.6</v>
      </c>
      <c r="CP273" s="20">
        <v>-57.33</v>
      </c>
    </row>
    <row r="274">
      <c r="A274" s="20">
        <v>-59.24</v>
      </c>
      <c r="B274" s="20">
        <v>-38.01</v>
      </c>
      <c r="D274" s="20"/>
      <c r="E274" s="20"/>
      <c r="F274" s="20">
        <v>64.84</v>
      </c>
      <c r="G274" s="20">
        <v>62.52</v>
      </c>
      <c r="I274" s="20"/>
      <c r="J274" s="20"/>
      <c r="K274" s="20">
        <v>136.0</v>
      </c>
      <c r="L274" s="20" t="s">
        <v>17</v>
      </c>
      <c r="M274" s="20">
        <v>-16.14</v>
      </c>
      <c r="N274" s="20">
        <v>18.84</v>
      </c>
      <c r="P274" s="20">
        <v>-2.63</v>
      </c>
      <c r="Q274" s="20">
        <v>45.11</v>
      </c>
      <c r="AG274" s="20">
        <v>272.0</v>
      </c>
      <c r="AH274" s="20" t="s">
        <v>14</v>
      </c>
      <c r="AI274" s="20">
        <v>-34.14</v>
      </c>
      <c r="AJ274" s="20">
        <v>-42.69</v>
      </c>
      <c r="AM274" s="20">
        <v>137.0</v>
      </c>
      <c r="AN274" s="20" t="s">
        <v>17</v>
      </c>
      <c r="AO274" s="20">
        <v>-4.27</v>
      </c>
      <c r="AP274" s="20">
        <v>-5.89</v>
      </c>
      <c r="AS274" s="20">
        <v>136.0</v>
      </c>
      <c r="AT274" s="20" t="s">
        <v>17</v>
      </c>
      <c r="AU274" s="20">
        <v>8.06</v>
      </c>
      <c r="AV274" s="20">
        <v>1.7</v>
      </c>
      <c r="BE274" s="20">
        <v>272.0</v>
      </c>
      <c r="BF274" s="20" t="s">
        <v>14</v>
      </c>
      <c r="BG274" s="20">
        <v>-9.38</v>
      </c>
      <c r="BH274" s="20">
        <v>32.31</v>
      </c>
      <c r="BK274" s="20">
        <v>136.0</v>
      </c>
      <c r="BL274" s="20" t="s">
        <v>17</v>
      </c>
      <c r="BM274" s="20">
        <v>46.76</v>
      </c>
      <c r="BN274" s="20">
        <v>74.01</v>
      </c>
      <c r="BW274" s="20">
        <v>-52.53</v>
      </c>
      <c r="BX274" s="20">
        <v>-5.28</v>
      </c>
      <c r="BZ274" s="20">
        <v>-62.82</v>
      </c>
      <c r="CA274" s="20">
        <v>-11.79</v>
      </c>
      <c r="CI274" s="20">
        <v>-52.6</v>
      </c>
      <c r="CJ274" s="20">
        <v>-57.66</v>
      </c>
      <c r="CO274" s="20">
        <v>-8.32</v>
      </c>
      <c r="CP274" s="20">
        <v>-59.88</v>
      </c>
    </row>
    <row r="275">
      <c r="A275" s="20">
        <v>-4.91</v>
      </c>
      <c r="B275" s="20">
        <v>107.82</v>
      </c>
      <c r="D275" s="20"/>
      <c r="E275" s="20"/>
      <c r="F275" s="20">
        <v>20.04</v>
      </c>
      <c r="G275" s="20">
        <v>20.75</v>
      </c>
      <c r="I275" s="20"/>
      <c r="J275" s="20"/>
      <c r="K275" s="20">
        <v>137.0</v>
      </c>
      <c r="L275" s="20" t="s">
        <v>14</v>
      </c>
      <c r="M275" s="20">
        <v>61.73</v>
      </c>
      <c r="N275" s="20">
        <v>-40.6</v>
      </c>
      <c r="P275" s="20">
        <v>-15.31</v>
      </c>
      <c r="Q275" s="20">
        <v>-12.26</v>
      </c>
      <c r="AG275" s="20">
        <v>273.0</v>
      </c>
      <c r="AH275" s="20" t="s">
        <v>14</v>
      </c>
      <c r="AI275" s="20">
        <v>-18.46</v>
      </c>
      <c r="AJ275" s="20">
        <v>9.93</v>
      </c>
      <c r="AM275" s="20">
        <v>138.0</v>
      </c>
      <c r="AN275" s="20" t="s">
        <v>14</v>
      </c>
      <c r="AO275" s="20">
        <v>-18.61</v>
      </c>
      <c r="AP275" s="20">
        <v>-21.37</v>
      </c>
      <c r="AS275" s="20">
        <v>137.0</v>
      </c>
      <c r="AT275" s="20" t="s">
        <v>14</v>
      </c>
      <c r="AU275" s="20">
        <v>18.64</v>
      </c>
      <c r="AV275" s="20">
        <v>-3.76</v>
      </c>
      <c r="BE275" s="20">
        <v>273.0</v>
      </c>
      <c r="BF275" s="20" t="s">
        <v>14</v>
      </c>
      <c r="BG275" s="20">
        <v>5.16</v>
      </c>
      <c r="BH275" s="20">
        <v>6.53</v>
      </c>
      <c r="BK275" s="20">
        <v>137.0</v>
      </c>
      <c r="BL275" s="20" t="s">
        <v>14</v>
      </c>
      <c r="BM275" s="20">
        <v>54.09</v>
      </c>
      <c r="BN275" s="20">
        <v>38.15</v>
      </c>
      <c r="BW275" s="20">
        <v>-44.33</v>
      </c>
      <c r="BX275" s="20">
        <v>-30.74</v>
      </c>
      <c r="BZ275" s="20">
        <v>-26.55</v>
      </c>
      <c r="CA275" s="20">
        <v>73.74</v>
      </c>
      <c r="CI275" s="20">
        <v>-22.94</v>
      </c>
      <c r="CJ275" s="20">
        <v>-58.1</v>
      </c>
      <c r="CO275" s="20">
        <v>-48.86</v>
      </c>
      <c r="CP275" s="20">
        <v>-46.56</v>
      </c>
    </row>
    <row r="276">
      <c r="A276" s="20">
        <v>-35.22</v>
      </c>
      <c r="B276" s="20">
        <v>-43.16</v>
      </c>
      <c r="D276" s="20"/>
      <c r="E276" s="20"/>
      <c r="F276" s="20">
        <v>-26.09</v>
      </c>
      <c r="G276" s="20">
        <v>54.25</v>
      </c>
      <c r="I276" s="20"/>
      <c r="J276" s="20"/>
      <c r="K276" s="20">
        <v>137.0</v>
      </c>
      <c r="L276" s="20" t="s">
        <v>17</v>
      </c>
      <c r="M276" s="20">
        <v>7.79</v>
      </c>
      <c r="N276" s="20">
        <v>-17.94</v>
      </c>
      <c r="P276" s="20">
        <v>-16.99</v>
      </c>
      <c r="Q276" s="20">
        <v>-41.13</v>
      </c>
      <c r="AG276" s="20">
        <v>274.0</v>
      </c>
      <c r="AH276" s="20" t="s">
        <v>14</v>
      </c>
      <c r="AI276" s="20">
        <v>-20.91</v>
      </c>
      <c r="AJ276" s="20">
        <v>-19.29</v>
      </c>
      <c r="AM276" s="20">
        <v>138.0</v>
      </c>
      <c r="AN276" s="20" t="s">
        <v>17</v>
      </c>
      <c r="AO276" s="20">
        <v>-4.74</v>
      </c>
      <c r="AP276" s="20">
        <v>-26.28</v>
      </c>
      <c r="AS276" s="20">
        <v>137.0</v>
      </c>
      <c r="AT276" s="20" t="s">
        <v>17</v>
      </c>
      <c r="AU276" s="20">
        <v>-40.74</v>
      </c>
      <c r="AV276" s="20">
        <v>-39.78</v>
      </c>
      <c r="BE276" s="20">
        <v>274.0</v>
      </c>
      <c r="BF276" s="20" t="s">
        <v>14</v>
      </c>
      <c r="BG276" s="20">
        <v>-7.21</v>
      </c>
      <c r="BH276" s="20">
        <v>26.73</v>
      </c>
      <c r="BK276" s="20">
        <v>137.0</v>
      </c>
      <c r="BL276" s="20" t="s">
        <v>17</v>
      </c>
      <c r="BM276" s="20">
        <v>102.49</v>
      </c>
      <c r="BN276" s="20">
        <v>79.2</v>
      </c>
      <c r="BW276" s="20">
        <v>-42.23</v>
      </c>
      <c r="BX276" s="20">
        <v>-23.55</v>
      </c>
      <c r="BZ276" s="20">
        <v>-72.04</v>
      </c>
      <c r="CA276" s="20">
        <v>45.14</v>
      </c>
      <c r="CI276" s="20">
        <v>-15.48</v>
      </c>
      <c r="CJ276" s="20">
        <v>31.67</v>
      </c>
      <c r="CO276" s="20">
        <v>-10.54</v>
      </c>
      <c r="CP276" s="20">
        <v>-36.42</v>
      </c>
    </row>
    <row r="277">
      <c r="A277" s="20">
        <v>-59.56</v>
      </c>
      <c r="B277" s="20">
        <v>37.05</v>
      </c>
      <c r="D277" s="20"/>
      <c r="E277" s="20"/>
      <c r="F277" s="20">
        <v>-50.37</v>
      </c>
      <c r="G277" s="20">
        <v>-9.95</v>
      </c>
      <c r="I277" s="20"/>
      <c r="J277" s="20"/>
      <c r="K277" s="20">
        <v>138.0</v>
      </c>
      <c r="L277" s="20" t="s">
        <v>14</v>
      </c>
      <c r="M277" s="20">
        <v>-39.23</v>
      </c>
      <c r="N277" s="20">
        <v>-10.81</v>
      </c>
      <c r="P277" s="20">
        <v>54.23</v>
      </c>
      <c r="Q277" s="20">
        <v>31.44</v>
      </c>
      <c r="AG277" s="20">
        <v>275.0</v>
      </c>
      <c r="AH277" s="20" t="s">
        <v>14</v>
      </c>
      <c r="AI277" s="20">
        <v>-2.18</v>
      </c>
      <c r="AJ277" s="20">
        <v>-2.61</v>
      </c>
      <c r="AM277" s="20">
        <v>139.0</v>
      </c>
      <c r="AN277" s="20" t="s">
        <v>14</v>
      </c>
      <c r="AO277" s="20">
        <v>-14.15</v>
      </c>
      <c r="AP277" s="20">
        <v>-46.37</v>
      </c>
      <c r="AS277" s="20">
        <v>138.0</v>
      </c>
      <c r="AT277" s="20" t="s">
        <v>14</v>
      </c>
      <c r="AU277" s="20">
        <v>-20.1</v>
      </c>
      <c r="AV277" s="20">
        <v>-46.88</v>
      </c>
      <c r="BE277" s="20">
        <v>275.0</v>
      </c>
      <c r="BF277" s="20" t="s">
        <v>14</v>
      </c>
      <c r="BG277" s="20">
        <v>-11.24</v>
      </c>
      <c r="BH277" s="20">
        <v>-11.61</v>
      </c>
      <c r="BK277" s="20">
        <v>138.0</v>
      </c>
      <c r="BL277" s="20" t="s">
        <v>14</v>
      </c>
      <c r="BM277" s="20">
        <v>60.3</v>
      </c>
      <c r="BN277" s="20">
        <v>73.29</v>
      </c>
      <c r="BW277" s="20">
        <v>-19.2</v>
      </c>
      <c r="BX277" s="20">
        <v>-25.82</v>
      </c>
      <c r="BZ277" s="20">
        <v>-28.79</v>
      </c>
      <c r="CA277" s="20">
        <v>13.23</v>
      </c>
      <c r="CI277" s="20">
        <v>-56.18</v>
      </c>
      <c r="CJ277" s="20">
        <v>-59.16</v>
      </c>
      <c r="CO277" s="20">
        <v>28.01</v>
      </c>
      <c r="CP277" s="20">
        <v>-47.78</v>
      </c>
    </row>
    <row r="278">
      <c r="A278" s="20">
        <v>-53.04</v>
      </c>
      <c r="B278" s="20">
        <v>25.63</v>
      </c>
      <c r="D278" s="20"/>
      <c r="E278" s="20"/>
      <c r="F278" s="20">
        <v>-14.73</v>
      </c>
      <c r="G278" s="20">
        <v>11.79</v>
      </c>
      <c r="I278" s="20"/>
      <c r="J278" s="20"/>
      <c r="K278" s="20">
        <v>138.0</v>
      </c>
      <c r="L278" s="20" t="s">
        <v>17</v>
      </c>
      <c r="M278" s="20">
        <v>80.55</v>
      </c>
      <c r="N278" s="20">
        <v>-3.47</v>
      </c>
      <c r="P278" s="20">
        <v>13.32</v>
      </c>
      <c r="Q278" s="20">
        <v>120.32</v>
      </c>
      <c r="AG278" s="20">
        <v>276.0</v>
      </c>
      <c r="AH278" s="20" t="s">
        <v>14</v>
      </c>
      <c r="AI278" s="20">
        <v>-23.4</v>
      </c>
      <c r="AJ278" s="20">
        <v>-20.94</v>
      </c>
      <c r="AM278" s="20">
        <v>139.0</v>
      </c>
      <c r="AN278" s="20" t="s">
        <v>17</v>
      </c>
      <c r="AO278" s="20">
        <v>-31.8</v>
      </c>
      <c r="AP278" s="20">
        <v>-25.51</v>
      </c>
      <c r="AS278" s="20">
        <v>138.0</v>
      </c>
      <c r="AT278" s="20" t="s">
        <v>17</v>
      </c>
      <c r="AU278" s="20">
        <v>-37.33</v>
      </c>
      <c r="AV278" s="20">
        <v>-34.97</v>
      </c>
      <c r="BE278" s="20">
        <v>276.0</v>
      </c>
      <c r="BF278" s="20" t="s">
        <v>14</v>
      </c>
      <c r="BG278" s="20">
        <v>-27.84</v>
      </c>
      <c r="BH278" s="20">
        <v>-37.24</v>
      </c>
      <c r="BK278" s="20">
        <v>138.0</v>
      </c>
      <c r="BL278" s="20" t="s">
        <v>17</v>
      </c>
      <c r="BM278" s="20">
        <v>47.43</v>
      </c>
      <c r="BN278" s="20">
        <v>137.62</v>
      </c>
      <c r="BW278" s="20">
        <v>-34.78</v>
      </c>
      <c r="BX278" s="20">
        <v>-28.81</v>
      </c>
      <c r="BZ278" s="20">
        <v>-51.58</v>
      </c>
      <c r="CA278" s="20">
        <v>-1.53</v>
      </c>
      <c r="CI278" s="20">
        <v>-59.18</v>
      </c>
      <c r="CJ278" s="20">
        <v>-64.35</v>
      </c>
      <c r="CO278" s="20">
        <v>-8.49</v>
      </c>
      <c r="CP278" s="20">
        <v>-57.51</v>
      </c>
    </row>
    <row r="279">
      <c r="A279" s="20">
        <v>-49.02</v>
      </c>
      <c r="B279" s="20">
        <v>80.99</v>
      </c>
      <c r="D279" s="20"/>
      <c r="E279" s="20"/>
      <c r="F279" s="20">
        <v>1.63</v>
      </c>
      <c r="G279" s="20">
        <v>55.67</v>
      </c>
      <c r="I279" s="20"/>
      <c r="J279" s="20"/>
      <c r="K279" s="20">
        <v>139.0</v>
      </c>
      <c r="L279" s="20" t="s">
        <v>14</v>
      </c>
      <c r="M279" s="20">
        <v>40.36</v>
      </c>
      <c r="N279" s="20">
        <v>-10.21</v>
      </c>
      <c r="P279" s="20">
        <v>3.2</v>
      </c>
      <c r="Q279" s="20">
        <v>-16.5</v>
      </c>
      <c r="AG279" s="20">
        <v>277.0</v>
      </c>
      <c r="AH279" s="20" t="s">
        <v>14</v>
      </c>
      <c r="AI279" s="20">
        <v>-20.45</v>
      </c>
      <c r="AJ279" s="20">
        <v>-25.02</v>
      </c>
      <c r="AM279" s="20">
        <v>140.0</v>
      </c>
      <c r="AN279" s="20" t="s">
        <v>14</v>
      </c>
      <c r="AO279" s="20">
        <v>-22.61</v>
      </c>
      <c r="AP279" s="20">
        <v>-34.15</v>
      </c>
      <c r="AS279" s="20">
        <v>139.0</v>
      </c>
      <c r="AT279" s="20" t="s">
        <v>14</v>
      </c>
      <c r="AU279" s="20">
        <v>-2.3</v>
      </c>
      <c r="AV279" s="20">
        <v>-26.46</v>
      </c>
      <c r="BE279" s="20">
        <v>277.0</v>
      </c>
      <c r="BF279" s="20" t="s">
        <v>14</v>
      </c>
      <c r="BG279" s="20">
        <v>24.42</v>
      </c>
      <c r="BH279" s="20">
        <v>27.3</v>
      </c>
      <c r="BK279" s="20">
        <v>139.0</v>
      </c>
      <c r="BL279" s="20" t="s">
        <v>14</v>
      </c>
      <c r="BM279" s="20">
        <v>35.07</v>
      </c>
      <c r="BN279" s="20">
        <v>120.56</v>
      </c>
      <c r="BW279" s="20">
        <v>-68.12</v>
      </c>
      <c r="BX279" s="20">
        <v>-35.53</v>
      </c>
      <c r="BZ279" s="20">
        <v>-34.18</v>
      </c>
      <c r="CA279" s="20">
        <v>70.41</v>
      </c>
      <c r="CI279" s="20">
        <v>-58.48</v>
      </c>
      <c r="CJ279" s="20">
        <v>-60.86</v>
      </c>
      <c r="CO279" s="20">
        <v>-38.52</v>
      </c>
      <c r="CP279" s="20">
        <v>-48.89</v>
      </c>
    </row>
    <row r="280">
      <c r="A280" s="20">
        <v>-50.87</v>
      </c>
      <c r="B280" s="20">
        <v>-7.85</v>
      </c>
      <c r="D280" s="20"/>
      <c r="E280" s="20"/>
      <c r="F280" s="20">
        <v>-30.53</v>
      </c>
      <c r="G280" s="20">
        <v>15.04</v>
      </c>
      <c r="I280" s="20"/>
      <c r="J280" s="20"/>
      <c r="K280" s="20">
        <v>139.0</v>
      </c>
      <c r="L280" s="20" t="s">
        <v>17</v>
      </c>
      <c r="M280" s="20">
        <v>-7.26</v>
      </c>
      <c r="N280" s="20">
        <v>29.78</v>
      </c>
      <c r="P280" s="20">
        <v>-37.31</v>
      </c>
      <c r="Q280" s="20">
        <v>-24.84</v>
      </c>
      <c r="AG280" s="20">
        <v>278.0</v>
      </c>
      <c r="AH280" s="20" t="s">
        <v>14</v>
      </c>
      <c r="AI280" s="20">
        <v>-20.89</v>
      </c>
      <c r="AJ280" s="20">
        <v>47.07</v>
      </c>
      <c r="AM280" s="20">
        <v>140.0</v>
      </c>
      <c r="AN280" s="20" t="s">
        <v>17</v>
      </c>
      <c r="AO280" s="20">
        <v>24.87</v>
      </c>
      <c r="AP280" s="20">
        <v>-24.88</v>
      </c>
      <c r="AS280" s="20">
        <v>139.0</v>
      </c>
      <c r="AT280" s="20" t="s">
        <v>17</v>
      </c>
      <c r="AU280" s="20">
        <v>-52.76</v>
      </c>
      <c r="AV280" s="20">
        <v>-37.58</v>
      </c>
      <c r="BE280" s="20">
        <v>278.0</v>
      </c>
      <c r="BF280" s="20" t="s">
        <v>14</v>
      </c>
      <c r="BG280" s="20">
        <v>-3.92</v>
      </c>
      <c r="BH280" s="20">
        <v>0.18</v>
      </c>
      <c r="BK280" s="20">
        <v>139.0</v>
      </c>
      <c r="BL280" s="20" t="s">
        <v>17</v>
      </c>
      <c r="BM280" s="20">
        <v>46.79</v>
      </c>
      <c r="BN280" s="20">
        <v>48.48</v>
      </c>
      <c r="BW280" s="20">
        <v>-74.85</v>
      </c>
      <c r="BX280" s="20">
        <v>-29.49</v>
      </c>
      <c r="BZ280" s="20">
        <v>-56.7</v>
      </c>
      <c r="CA280" s="20">
        <v>10.35</v>
      </c>
      <c r="CI280" s="20">
        <v>-50.21</v>
      </c>
      <c r="CJ280" s="20">
        <v>-58.9</v>
      </c>
      <c r="CO280" s="20">
        <v>-34.6</v>
      </c>
      <c r="CP280" s="20">
        <v>-60.5</v>
      </c>
    </row>
    <row r="281">
      <c r="A281" s="20">
        <v>-58.83</v>
      </c>
      <c r="B281" s="20">
        <v>-30.06</v>
      </c>
      <c r="D281" s="20"/>
      <c r="E281" s="20"/>
      <c r="F281" s="20">
        <v>-37.45</v>
      </c>
      <c r="G281" s="20">
        <v>-7.79</v>
      </c>
      <c r="I281" s="20"/>
      <c r="J281" s="20"/>
      <c r="K281" s="20">
        <v>140.0</v>
      </c>
      <c r="L281" s="20" t="s">
        <v>14</v>
      </c>
      <c r="M281" s="20">
        <v>-15.8</v>
      </c>
      <c r="N281" s="20">
        <v>-0.9</v>
      </c>
      <c r="P281" s="20">
        <v>15.61</v>
      </c>
      <c r="Q281" s="20">
        <v>4.74</v>
      </c>
      <c r="AG281" s="20">
        <v>279.0</v>
      </c>
      <c r="AH281" s="20" t="s">
        <v>14</v>
      </c>
      <c r="AI281" s="20">
        <v>-35.48</v>
      </c>
      <c r="AJ281" s="20">
        <v>-22.46</v>
      </c>
      <c r="AM281" s="20">
        <v>141.0</v>
      </c>
      <c r="AN281" s="20" t="s">
        <v>14</v>
      </c>
      <c r="AO281" s="20">
        <v>-21.93</v>
      </c>
      <c r="AP281" s="20">
        <v>-18.14</v>
      </c>
      <c r="AS281" s="20">
        <v>140.0</v>
      </c>
      <c r="AT281" s="20" t="s">
        <v>14</v>
      </c>
      <c r="AU281" s="20">
        <v>-34.68</v>
      </c>
      <c r="AV281" s="20">
        <v>-46.96</v>
      </c>
      <c r="BE281" s="20">
        <v>279.0</v>
      </c>
      <c r="BF281" s="20" t="s">
        <v>14</v>
      </c>
      <c r="BG281" s="20">
        <v>-8.96</v>
      </c>
      <c r="BH281" s="20">
        <v>26.99</v>
      </c>
      <c r="BK281" s="20">
        <v>140.0</v>
      </c>
      <c r="BL281" s="20" t="s">
        <v>14</v>
      </c>
      <c r="BM281" s="20">
        <v>96.28</v>
      </c>
      <c r="BN281" s="20">
        <v>101.96</v>
      </c>
      <c r="BW281" s="20">
        <v>-41.57</v>
      </c>
      <c r="BX281" s="20">
        <v>-22.75</v>
      </c>
      <c r="BZ281" s="20">
        <v>-50.33</v>
      </c>
      <c r="CA281" s="20">
        <v>56.1</v>
      </c>
      <c r="CI281" s="20">
        <v>-41.93</v>
      </c>
      <c r="CJ281" s="20">
        <v>-55.8</v>
      </c>
      <c r="CO281" s="20">
        <v>-16.1</v>
      </c>
      <c r="CP281" s="20">
        <v>-50.16</v>
      </c>
    </row>
    <row r="282">
      <c r="A282" s="20">
        <v>-52.04</v>
      </c>
      <c r="B282" s="20">
        <v>-38.11</v>
      </c>
      <c r="D282" s="20"/>
      <c r="E282" s="20"/>
      <c r="F282" s="20">
        <v>6.21</v>
      </c>
      <c r="G282" s="20">
        <v>95.52</v>
      </c>
      <c r="I282" s="20"/>
      <c r="J282" s="20"/>
      <c r="K282" s="20">
        <v>140.0</v>
      </c>
      <c r="L282" s="20" t="s">
        <v>17</v>
      </c>
      <c r="M282" s="20">
        <v>-11.17</v>
      </c>
      <c r="N282" s="20">
        <v>4.23</v>
      </c>
      <c r="P282" s="20">
        <v>3.52</v>
      </c>
      <c r="Q282" s="20">
        <v>11.23</v>
      </c>
      <c r="AG282" s="20">
        <v>280.0</v>
      </c>
      <c r="AH282" s="20" t="s">
        <v>14</v>
      </c>
      <c r="AI282" s="20">
        <v>-16.19</v>
      </c>
      <c r="AJ282" s="20">
        <v>-37.46</v>
      </c>
      <c r="AM282" s="20">
        <v>141.0</v>
      </c>
      <c r="AN282" s="20" t="s">
        <v>17</v>
      </c>
      <c r="AO282" s="20">
        <v>7.66</v>
      </c>
      <c r="AP282" s="20">
        <v>-15.13</v>
      </c>
      <c r="AS282" s="20">
        <v>140.0</v>
      </c>
      <c r="AT282" s="20" t="s">
        <v>17</v>
      </c>
      <c r="AU282" s="20">
        <v>-19.7</v>
      </c>
      <c r="AV282" s="20">
        <v>-23.2</v>
      </c>
      <c r="BE282" s="20">
        <v>280.0</v>
      </c>
      <c r="BF282" s="20" t="s">
        <v>14</v>
      </c>
      <c r="BG282" s="20">
        <v>41.25</v>
      </c>
      <c r="BH282" s="20">
        <v>27.3</v>
      </c>
      <c r="BK282" s="20">
        <v>140.0</v>
      </c>
      <c r="BL282" s="20" t="s">
        <v>17</v>
      </c>
      <c r="BM282" s="20">
        <v>214.24</v>
      </c>
      <c r="BN282" s="20">
        <v>150.65</v>
      </c>
      <c r="BW282" s="20">
        <v>-48.76</v>
      </c>
      <c r="BX282" s="20">
        <v>-37.66</v>
      </c>
      <c r="BZ282" s="20">
        <v>-40.14</v>
      </c>
      <c r="CA282" s="20">
        <v>0.06</v>
      </c>
      <c r="CI282" s="20">
        <v>-55.23</v>
      </c>
      <c r="CJ282" s="20">
        <v>-42.73</v>
      </c>
      <c r="CO282" s="20">
        <v>-22.73</v>
      </c>
      <c r="CP282" s="20">
        <v>-39.94</v>
      </c>
    </row>
    <row r="283">
      <c r="A283" s="20">
        <v>-54.55</v>
      </c>
      <c r="B283" s="20">
        <v>17.29</v>
      </c>
      <c r="D283" s="20"/>
      <c r="E283" s="20"/>
      <c r="F283" s="20">
        <v>-20.05</v>
      </c>
      <c r="G283" s="20">
        <v>32.22</v>
      </c>
      <c r="I283" s="20"/>
      <c r="J283" s="20"/>
      <c r="K283" s="20">
        <v>141.0</v>
      </c>
      <c r="L283" s="20" t="s">
        <v>14</v>
      </c>
      <c r="M283" s="20">
        <v>-18.36</v>
      </c>
      <c r="N283" s="20">
        <v>8.87</v>
      </c>
      <c r="P283" s="20">
        <v>3.57</v>
      </c>
      <c r="Q283" s="20">
        <v>-1.79</v>
      </c>
      <c r="AG283" s="20">
        <v>281.0</v>
      </c>
      <c r="AH283" s="20" t="s">
        <v>14</v>
      </c>
      <c r="AI283" s="20">
        <v>1.25</v>
      </c>
      <c r="AJ283" s="20">
        <v>-17.59</v>
      </c>
      <c r="AM283" s="20">
        <v>142.0</v>
      </c>
      <c r="AN283" s="20" t="s">
        <v>14</v>
      </c>
      <c r="AO283" s="20">
        <v>-18.5</v>
      </c>
      <c r="AP283" s="20">
        <v>-27.07</v>
      </c>
      <c r="AS283" s="20">
        <v>141.0</v>
      </c>
      <c r="AT283" s="20" t="s">
        <v>14</v>
      </c>
      <c r="AU283" s="20">
        <v>-19.58</v>
      </c>
      <c r="AV283" s="20">
        <v>-31.78</v>
      </c>
      <c r="BE283" s="20">
        <v>281.0</v>
      </c>
      <c r="BF283" s="20" t="s">
        <v>14</v>
      </c>
      <c r="BG283" s="20">
        <v>23.8</v>
      </c>
      <c r="BH283" s="20">
        <v>15.63</v>
      </c>
      <c r="BK283" s="20">
        <v>141.0</v>
      </c>
      <c r="BL283" s="20" t="s">
        <v>14</v>
      </c>
      <c r="BM283" s="20">
        <v>22.28</v>
      </c>
      <c r="BN283" s="20">
        <v>78.76</v>
      </c>
      <c r="BW283" s="20">
        <v>-57.83</v>
      </c>
      <c r="BX283" s="20">
        <v>-24.69</v>
      </c>
      <c r="BZ283" s="20">
        <v>-52.32</v>
      </c>
      <c r="CA283" s="20">
        <v>18.76</v>
      </c>
      <c r="CI283" s="20">
        <v>-39.26</v>
      </c>
      <c r="CJ283" s="20">
        <v>-43.68</v>
      </c>
      <c r="CO283" s="20">
        <v>11.51</v>
      </c>
      <c r="CP283" s="20">
        <v>-56.34</v>
      </c>
    </row>
    <row r="284">
      <c r="A284" s="20">
        <v>-57.53</v>
      </c>
      <c r="B284" s="20">
        <v>-24.01</v>
      </c>
      <c r="D284" s="20"/>
      <c r="E284" s="20"/>
      <c r="F284" s="20">
        <v>-42.11</v>
      </c>
      <c r="G284" s="20">
        <v>37.47</v>
      </c>
      <c r="I284" s="20"/>
      <c r="J284" s="20"/>
      <c r="K284" s="20">
        <v>141.0</v>
      </c>
      <c r="L284" s="20" t="s">
        <v>17</v>
      </c>
      <c r="M284" s="20">
        <v>0.7</v>
      </c>
      <c r="N284" s="20">
        <v>-2.14</v>
      </c>
      <c r="P284" s="20">
        <v>6.87</v>
      </c>
      <c r="Q284" s="20">
        <v>43.2</v>
      </c>
      <c r="AG284" s="20">
        <v>282.0</v>
      </c>
      <c r="AH284" s="20" t="s">
        <v>14</v>
      </c>
      <c r="AI284" s="20">
        <v>-16.95</v>
      </c>
      <c r="AJ284" s="20">
        <v>-35.0</v>
      </c>
      <c r="AM284" s="20">
        <v>142.0</v>
      </c>
      <c r="AN284" s="20" t="s">
        <v>17</v>
      </c>
      <c r="AO284" s="20">
        <v>-4.04</v>
      </c>
      <c r="AP284" s="20">
        <v>-12.23</v>
      </c>
      <c r="AS284" s="20">
        <v>141.0</v>
      </c>
      <c r="AT284" s="20" t="s">
        <v>17</v>
      </c>
      <c r="AU284" s="20">
        <v>11.41</v>
      </c>
      <c r="AV284" s="20">
        <v>-17.41</v>
      </c>
      <c r="BE284" s="20">
        <v>282.0</v>
      </c>
      <c r="BF284" s="20" t="s">
        <v>14</v>
      </c>
      <c r="BG284" s="20">
        <v>23.7</v>
      </c>
      <c r="BH284" s="20">
        <v>43.84</v>
      </c>
      <c r="BK284" s="20">
        <v>141.0</v>
      </c>
      <c r="BL284" s="20" t="s">
        <v>17</v>
      </c>
      <c r="BM284" s="20">
        <v>62.23</v>
      </c>
      <c r="BN284" s="20">
        <v>106.08</v>
      </c>
      <c r="BW284" s="20">
        <v>-61.93</v>
      </c>
      <c r="BX284" s="20">
        <v>26.42</v>
      </c>
      <c r="BZ284" s="20">
        <v>-58.77</v>
      </c>
      <c r="CA284" s="20">
        <v>-0.71</v>
      </c>
      <c r="CI284" s="20">
        <v>-47.44</v>
      </c>
      <c r="CJ284" s="20">
        <v>-34.42</v>
      </c>
      <c r="CO284" s="20">
        <v>-32.99</v>
      </c>
      <c r="CP284" s="20">
        <v>-62.86</v>
      </c>
    </row>
    <row r="285">
      <c r="A285" s="20">
        <v>-36.91</v>
      </c>
      <c r="B285" s="20">
        <v>37.15</v>
      </c>
      <c r="D285" s="20"/>
      <c r="E285" s="20"/>
      <c r="F285" s="20">
        <v>56.89</v>
      </c>
      <c r="G285" s="20">
        <v>17.87</v>
      </c>
      <c r="I285" s="20"/>
      <c r="J285" s="20"/>
      <c r="K285" s="20">
        <v>142.0</v>
      </c>
      <c r="L285" s="20" t="s">
        <v>14</v>
      </c>
      <c r="M285" s="20">
        <v>-23.8</v>
      </c>
      <c r="N285" s="20">
        <v>-24.14</v>
      </c>
      <c r="P285" s="20">
        <v>-9.97</v>
      </c>
      <c r="Q285" s="20">
        <v>28.69</v>
      </c>
      <c r="AG285" s="20">
        <v>283.0</v>
      </c>
      <c r="AH285" s="20" t="s">
        <v>14</v>
      </c>
      <c r="AI285" s="20">
        <v>-19.9</v>
      </c>
      <c r="AJ285" s="20">
        <v>-28.98</v>
      </c>
      <c r="AM285" s="20">
        <v>143.0</v>
      </c>
      <c r="AN285" s="20" t="s">
        <v>14</v>
      </c>
      <c r="AO285" s="20">
        <v>-0.85</v>
      </c>
      <c r="AP285" s="20">
        <v>-20.73</v>
      </c>
      <c r="AS285" s="20">
        <v>142.0</v>
      </c>
      <c r="AT285" s="20" t="s">
        <v>14</v>
      </c>
      <c r="AU285" s="20">
        <v>-32.74</v>
      </c>
      <c r="AV285" s="20">
        <v>-39.94</v>
      </c>
      <c r="BE285" s="20">
        <v>283.0</v>
      </c>
      <c r="BF285" s="20" t="s">
        <v>14</v>
      </c>
      <c r="BG285" s="20">
        <v>-31.93</v>
      </c>
      <c r="BH285" s="20">
        <v>27.91</v>
      </c>
      <c r="BK285" s="20">
        <v>142.0</v>
      </c>
      <c r="BL285" s="20" t="s">
        <v>14</v>
      </c>
      <c r="BM285" s="20">
        <v>52.76</v>
      </c>
      <c r="BN285" s="20">
        <v>132.99</v>
      </c>
      <c r="BW285" s="20">
        <v>-48.3</v>
      </c>
      <c r="BX285" s="20">
        <v>-3.03</v>
      </c>
      <c r="BZ285" s="20">
        <v>-38.47</v>
      </c>
      <c r="CA285" s="20">
        <v>51.36</v>
      </c>
      <c r="CI285" s="20">
        <v>-42.63</v>
      </c>
      <c r="CJ285" s="20">
        <v>-51.02</v>
      </c>
      <c r="CO285" s="20">
        <v>-31.42</v>
      </c>
      <c r="CP285" s="20">
        <v>-38.53</v>
      </c>
    </row>
    <row r="286">
      <c r="A286" s="20">
        <v>-51.56</v>
      </c>
      <c r="B286" s="20">
        <v>57.88</v>
      </c>
      <c r="D286" s="20"/>
      <c r="E286" s="20"/>
      <c r="F286" s="20">
        <v>0.01</v>
      </c>
      <c r="G286" s="20">
        <v>-20.01</v>
      </c>
      <c r="I286" s="20"/>
      <c r="J286" s="20"/>
      <c r="K286" s="20">
        <v>142.0</v>
      </c>
      <c r="L286" s="20" t="s">
        <v>17</v>
      </c>
      <c r="M286" s="20">
        <v>-74.85</v>
      </c>
      <c r="N286" s="20">
        <v>-64.05</v>
      </c>
      <c r="P286" s="20">
        <v>35.71</v>
      </c>
      <c r="Q286" s="20">
        <v>75.23</v>
      </c>
      <c r="AG286" s="20">
        <v>284.0</v>
      </c>
      <c r="AH286" s="20" t="s">
        <v>14</v>
      </c>
      <c r="AI286" s="20">
        <v>-1.0</v>
      </c>
      <c r="AJ286" s="20">
        <v>1.27</v>
      </c>
      <c r="AM286" s="20">
        <v>143.0</v>
      </c>
      <c r="AN286" s="20" t="s">
        <v>17</v>
      </c>
      <c r="AO286" s="20">
        <v>32.57</v>
      </c>
      <c r="AP286" s="20">
        <v>-11.25</v>
      </c>
      <c r="AS286" s="20">
        <v>142.0</v>
      </c>
      <c r="AT286" s="20" t="s">
        <v>17</v>
      </c>
      <c r="AU286" s="20">
        <v>-46.39</v>
      </c>
      <c r="AV286" s="20">
        <v>-52.48</v>
      </c>
      <c r="BE286" s="20">
        <v>284.0</v>
      </c>
      <c r="BF286" s="20" t="s">
        <v>14</v>
      </c>
      <c r="BG286" s="20">
        <v>14.71</v>
      </c>
      <c r="BH286" s="20">
        <v>12.73</v>
      </c>
      <c r="BK286" s="20">
        <v>142.0</v>
      </c>
      <c r="BL286" s="20" t="s">
        <v>17</v>
      </c>
      <c r="BM286" s="20">
        <v>70.11</v>
      </c>
      <c r="BN286" s="20">
        <v>93.54</v>
      </c>
      <c r="BW286" s="20">
        <v>-42.66</v>
      </c>
      <c r="BX286" s="20">
        <v>-26.85</v>
      </c>
      <c r="BZ286" s="20">
        <v>-52.19</v>
      </c>
      <c r="CA286" s="20">
        <v>-3.36</v>
      </c>
      <c r="CI286" s="20">
        <v>-37.8</v>
      </c>
      <c r="CJ286" s="20">
        <v>-28.79</v>
      </c>
      <c r="CO286" s="20">
        <v>0.38</v>
      </c>
      <c r="CP286" s="20">
        <v>-37.16</v>
      </c>
    </row>
    <row r="287">
      <c r="A287" s="20">
        <v>-38.53</v>
      </c>
      <c r="B287" s="20">
        <v>45.36</v>
      </c>
      <c r="D287" s="20"/>
      <c r="E287" s="20"/>
      <c r="F287" s="20">
        <v>10.14</v>
      </c>
      <c r="G287" s="20">
        <v>-13.31</v>
      </c>
      <c r="I287" s="20"/>
      <c r="J287" s="20"/>
      <c r="K287" s="20">
        <v>143.0</v>
      </c>
      <c r="L287" s="20" t="s">
        <v>14</v>
      </c>
      <c r="M287" s="20">
        <v>16.54</v>
      </c>
      <c r="N287" s="20">
        <v>17.19</v>
      </c>
      <c r="P287" s="20">
        <v>46.97</v>
      </c>
      <c r="Q287" s="20">
        <v>126.28</v>
      </c>
      <c r="AG287" s="20">
        <v>285.0</v>
      </c>
      <c r="AH287" s="20" t="s">
        <v>14</v>
      </c>
      <c r="AI287" s="20">
        <v>-25.78</v>
      </c>
      <c r="AJ287" s="20">
        <v>-14.64</v>
      </c>
      <c r="AM287" s="20">
        <v>144.0</v>
      </c>
      <c r="AN287" s="20" t="s">
        <v>14</v>
      </c>
      <c r="AO287" s="20">
        <v>-37.03</v>
      </c>
      <c r="AP287" s="20">
        <v>-33.64</v>
      </c>
      <c r="AS287" s="20">
        <v>143.0</v>
      </c>
      <c r="AT287" s="20" t="s">
        <v>14</v>
      </c>
      <c r="AU287" s="20">
        <v>-3.23</v>
      </c>
      <c r="AV287" s="20">
        <v>-21.19</v>
      </c>
      <c r="BE287" s="20">
        <v>285.0</v>
      </c>
      <c r="BF287" s="20" t="s">
        <v>14</v>
      </c>
      <c r="BG287" s="20">
        <v>-0.39</v>
      </c>
      <c r="BH287" s="20">
        <v>6.55</v>
      </c>
      <c r="BK287" s="20">
        <v>143.0</v>
      </c>
      <c r="BL287" s="20" t="s">
        <v>14</v>
      </c>
      <c r="BM287" s="20">
        <v>76.74</v>
      </c>
      <c r="BN287" s="20">
        <v>119.2</v>
      </c>
      <c r="BW287" s="20">
        <v>-34.34</v>
      </c>
      <c r="BX287" s="20">
        <v>-13.82</v>
      </c>
      <c r="BZ287" s="20">
        <v>-28.5</v>
      </c>
      <c r="CA287" s="20">
        <v>6.79</v>
      </c>
      <c r="CI287" s="20">
        <v>-42.25</v>
      </c>
      <c r="CJ287" s="20">
        <v>-51.57</v>
      </c>
      <c r="CO287" s="20">
        <v>-17.94</v>
      </c>
      <c r="CP287" s="20">
        <v>-47.09</v>
      </c>
    </row>
    <row r="288">
      <c r="A288" s="20">
        <v>-47.28</v>
      </c>
      <c r="B288" s="20">
        <v>-21.67</v>
      </c>
      <c r="D288" s="20"/>
      <c r="E288" s="20"/>
      <c r="F288" s="20">
        <v>-18.41</v>
      </c>
      <c r="G288" s="20">
        <v>52.65</v>
      </c>
      <c r="I288" s="20"/>
      <c r="J288" s="20"/>
      <c r="K288" s="20">
        <v>143.0</v>
      </c>
      <c r="L288" s="20" t="s">
        <v>17</v>
      </c>
      <c r="M288" s="20">
        <v>-32.86</v>
      </c>
      <c r="N288" s="20">
        <v>4.43</v>
      </c>
      <c r="P288" s="20">
        <v>46.97</v>
      </c>
      <c r="Q288" s="20">
        <v>119.96</v>
      </c>
      <c r="AG288" s="20">
        <v>286.0</v>
      </c>
      <c r="AH288" s="20" t="s">
        <v>14</v>
      </c>
      <c r="AI288" s="20">
        <v>-28.49</v>
      </c>
      <c r="AJ288" s="20">
        <v>-33.72</v>
      </c>
      <c r="AM288" s="20">
        <v>144.0</v>
      </c>
      <c r="AN288" s="20" t="s">
        <v>17</v>
      </c>
      <c r="AO288" s="20">
        <v>-15.27</v>
      </c>
      <c r="AP288" s="20">
        <v>-30.48</v>
      </c>
      <c r="AS288" s="20">
        <v>143.0</v>
      </c>
      <c r="AT288" s="20" t="s">
        <v>17</v>
      </c>
      <c r="AU288" s="20">
        <v>-38.48</v>
      </c>
      <c r="AV288" s="20">
        <v>-27.23</v>
      </c>
      <c r="BE288" s="20">
        <v>286.0</v>
      </c>
      <c r="BF288" s="20" t="s">
        <v>14</v>
      </c>
      <c r="BG288" s="20">
        <v>-21.51</v>
      </c>
      <c r="BH288" s="20">
        <v>11.55</v>
      </c>
      <c r="BK288" s="20">
        <v>143.0</v>
      </c>
      <c r="BL288" s="20" t="s">
        <v>17</v>
      </c>
      <c r="BM288" s="20">
        <v>135.17</v>
      </c>
      <c r="BN288" s="20">
        <v>116.44</v>
      </c>
      <c r="BW288" s="20">
        <v>-44.01</v>
      </c>
      <c r="BX288" s="20">
        <v>-45.82</v>
      </c>
      <c r="BZ288" s="20">
        <v>-57.35</v>
      </c>
      <c r="CA288" s="20">
        <v>-30.13</v>
      </c>
      <c r="CI288" s="20">
        <v>21.68</v>
      </c>
      <c r="CJ288" s="20">
        <v>-15.19</v>
      </c>
      <c r="CO288" s="20">
        <v>-32.76</v>
      </c>
      <c r="CP288" s="20">
        <v>-47.29</v>
      </c>
    </row>
    <row r="289">
      <c r="A289" s="20">
        <v>-53.97</v>
      </c>
      <c r="B289" s="20">
        <v>-10.39</v>
      </c>
      <c r="D289" s="20"/>
      <c r="E289" s="20"/>
      <c r="F289" s="20">
        <v>-33.4</v>
      </c>
      <c r="G289" s="20">
        <v>28.92</v>
      </c>
      <c r="I289" s="20"/>
      <c r="J289" s="20"/>
      <c r="K289" s="20">
        <v>144.0</v>
      </c>
      <c r="L289" s="20" t="s">
        <v>14</v>
      </c>
      <c r="M289" s="20">
        <v>10.04</v>
      </c>
      <c r="N289" s="20">
        <v>-14.54</v>
      </c>
      <c r="P289" s="20">
        <v>12.61</v>
      </c>
      <c r="Q289" s="20">
        <v>-4.62</v>
      </c>
      <c r="AG289" s="20">
        <v>287.0</v>
      </c>
      <c r="AH289" s="20" t="s">
        <v>14</v>
      </c>
      <c r="AI289" s="20">
        <v>-14.11</v>
      </c>
      <c r="AJ289" s="20">
        <v>-18.06</v>
      </c>
      <c r="AM289" s="20">
        <v>145.0</v>
      </c>
      <c r="AN289" s="20" t="s">
        <v>14</v>
      </c>
      <c r="AO289" s="20">
        <v>-22.44</v>
      </c>
      <c r="AP289" s="20">
        <v>-10.46</v>
      </c>
      <c r="AS289" s="20">
        <v>144.0</v>
      </c>
      <c r="AT289" s="20" t="s">
        <v>14</v>
      </c>
      <c r="AU289" s="20">
        <v>-10.96</v>
      </c>
      <c r="AV289" s="20">
        <v>-35.41</v>
      </c>
      <c r="BE289" s="20">
        <v>287.0</v>
      </c>
      <c r="BF289" s="20" t="s">
        <v>14</v>
      </c>
      <c r="BG289" s="20">
        <v>-34.62</v>
      </c>
      <c r="BH289" s="20">
        <v>19.12</v>
      </c>
      <c r="BK289" s="20">
        <v>144.0</v>
      </c>
      <c r="BL289" s="20" t="s">
        <v>14</v>
      </c>
      <c r="BM289" s="20">
        <v>153.95</v>
      </c>
      <c r="BN289" s="20">
        <v>124.44</v>
      </c>
      <c r="BW289" s="20">
        <v>-61.27</v>
      </c>
      <c r="BX289" s="20">
        <v>-34.09</v>
      </c>
      <c r="BZ289" s="20">
        <v>-19.8</v>
      </c>
      <c r="CA289" s="20">
        <v>168.59</v>
      </c>
      <c r="CI289" s="20">
        <v>-44.5</v>
      </c>
      <c r="CJ289" s="20">
        <v>-41.92</v>
      </c>
      <c r="CO289" s="20">
        <v>4.21</v>
      </c>
      <c r="CP289" s="20">
        <v>-54.02</v>
      </c>
    </row>
    <row r="290">
      <c r="A290" s="20">
        <v>-45.52</v>
      </c>
      <c r="B290" s="20">
        <v>22.45</v>
      </c>
      <c r="D290" s="20"/>
      <c r="E290" s="20"/>
      <c r="F290" s="20">
        <v>-5.53</v>
      </c>
      <c r="G290" s="20">
        <v>32.96</v>
      </c>
      <c r="I290" s="20"/>
      <c r="J290" s="20"/>
      <c r="K290" s="20">
        <v>144.0</v>
      </c>
      <c r="L290" s="20" t="s">
        <v>17</v>
      </c>
      <c r="M290" s="20">
        <v>-27.43</v>
      </c>
      <c r="N290" s="20">
        <v>12.86</v>
      </c>
      <c r="P290" s="20">
        <v>-11.03</v>
      </c>
      <c r="Q290" s="20">
        <v>45.48</v>
      </c>
      <c r="AG290" s="20">
        <v>288.0</v>
      </c>
      <c r="AH290" s="20" t="s">
        <v>14</v>
      </c>
      <c r="AI290" s="20">
        <v>-5.74</v>
      </c>
      <c r="AJ290" s="20">
        <v>-8.17</v>
      </c>
      <c r="AM290" s="20">
        <v>145.0</v>
      </c>
      <c r="AN290" s="20" t="s">
        <v>17</v>
      </c>
      <c r="AO290" s="20">
        <v>-31.62</v>
      </c>
      <c r="AP290" s="20">
        <v>-3.67</v>
      </c>
      <c r="AS290" s="20">
        <v>144.0</v>
      </c>
      <c r="AT290" s="20" t="s">
        <v>17</v>
      </c>
      <c r="AU290" s="20">
        <v>-32.76</v>
      </c>
      <c r="AV290" s="20">
        <v>-46.87</v>
      </c>
      <c r="BE290" s="20">
        <v>288.0</v>
      </c>
      <c r="BF290" s="20" t="s">
        <v>14</v>
      </c>
      <c r="BG290" s="20">
        <v>58.5</v>
      </c>
      <c r="BH290" s="20">
        <v>26.89</v>
      </c>
      <c r="BK290" s="20">
        <v>144.0</v>
      </c>
      <c r="BL290" s="20" t="s">
        <v>17</v>
      </c>
      <c r="BM290" s="20">
        <v>99.72</v>
      </c>
      <c r="BN290" s="20">
        <v>130.67</v>
      </c>
      <c r="BW290" s="20">
        <v>-51.9</v>
      </c>
      <c r="BX290" s="20">
        <v>4.8</v>
      </c>
      <c r="BZ290" s="20">
        <v>-66.73</v>
      </c>
      <c r="CA290" s="20">
        <v>-7.62</v>
      </c>
      <c r="CI290" s="20">
        <v>-59.96</v>
      </c>
      <c r="CJ290" s="20">
        <v>-47.91</v>
      </c>
      <c r="CO290" s="20">
        <v>2.74</v>
      </c>
      <c r="CP290" s="20">
        <v>-36.59</v>
      </c>
    </row>
    <row r="291">
      <c r="A291" s="20">
        <v>-53.16</v>
      </c>
      <c r="B291" s="20">
        <v>53.34</v>
      </c>
      <c r="D291" s="20"/>
      <c r="E291" s="20"/>
      <c r="F291" s="20">
        <v>10.7</v>
      </c>
      <c r="G291" s="20">
        <v>41.29</v>
      </c>
      <c r="I291" s="20"/>
      <c r="J291" s="20"/>
      <c r="K291" s="20">
        <v>145.0</v>
      </c>
      <c r="L291" s="20" t="s">
        <v>14</v>
      </c>
      <c r="M291" s="20">
        <v>9.24</v>
      </c>
      <c r="N291" s="20">
        <v>8.26</v>
      </c>
      <c r="P291" s="20">
        <v>0.51</v>
      </c>
      <c r="Q291" s="20">
        <v>11.7</v>
      </c>
      <c r="AG291" s="20">
        <v>289.0</v>
      </c>
      <c r="AH291" s="20" t="s">
        <v>14</v>
      </c>
      <c r="AI291" s="20">
        <v>16.4</v>
      </c>
      <c r="AJ291" s="20">
        <v>3.42</v>
      </c>
      <c r="AM291" s="20">
        <v>146.0</v>
      </c>
      <c r="AN291" s="20" t="s">
        <v>14</v>
      </c>
      <c r="AO291" s="20">
        <v>-18.48</v>
      </c>
      <c r="AP291" s="20">
        <v>79.97</v>
      </c>
      <c r="AS291" s="20">
        <v>145.0</v>
      </c>
      <c r="AT291" s="20" t="s">
        <v>14</v>
      </c>
      <c r="AU291" s="20">
        <v>12.85</v>
      </c>
      <c r="AV291" s="20">
        <v>-25.02</v>
      </c>
      <c r="BE291" s="20">
        <v>289.0</v>
      </c>
      <c r="BF291" s="20" t="s">
        <v>14</v>
      </c>
      <c r="BG291" s="20">
        <v>121.4</v>
      </c>
      <c r="BH291" s="20">
        <v>13.62</v>
      </c>
      <c r="BK291" s="20">
        <v>145.0</v>
      </c>
      <c r="BL291" s="20" t="s">
        <v>14</v>
      </c>
      <c r="BM291" s="20">
        <v>7.28</v>
      </c>
      <c r="BN291" s="20">
        <v>-6.78</v>
      </c>
      <c r="BW291" s="20">
        <v>-53.77</v>
      </c>
      <c r="BX291" s="20">
        <v>-22.54</v>
      </c>
      <c r="BZ291" s="20">
        <v>-35.89</v>
      </c>
      <c r="CA291" s="20">
        <v>53.73</v>
      </c>
      <c r="CI291" s="20">
        <v>-49.32</v>
      </c>
      <c r="CJ291" s="20">
        <v>-14.03</v>
      </c>
      <c r="CO291" s="20">
        <v>0.19</v>
      </c>
      <c r="CP291" s="20">
        <v>-59.3</v>
      </c>
    </row>
    <row r="292">
      <c r="A292" s="20">
        <v>-22.64</v>
      </c>
      <c r="B292" s="20">
        <v>-34.97</v>
      </c>
      <c r="D292" s="20"/>
      <c r="E292" s="20"/>
      <c r="F292" s="20">
        <v>27.44</v>
      </c>
      <c r="G292" s="20">
        <v>-3.99</v>
      </c>
      <c r="I292" s="20"/>
      <c r="J292" s="20"/>
      <c r="K292" s="20">
        <v>145.0</v>
      </c>
      <c r="L292" s="20" t="s">
        <v>17</v>
      </c>
      <c r="M292" s="20">
        <v>-45.8</v>
      </c>
      <c r="N292" s="20">
        <v>-29.36</v>
      </c>
      <c r="P292" s="20">
        <v>18.63</v>
      </c>
      <c r="Q292" s="20">
        <v>36.6</v>
      </c>
      <c r="AG292" s="20">
        <v>290.0</v>
      </c>
      <c r="AH292" s="20" t="s">
        <v>14</v>
      </c>
      <c r="AI292" s="20">
        <v>-45.64</v>
      </c>
      <c r="AJ292" s="20">
        <v>-33.05</v>
      </c>
      <c r="AM292" s="20">
        <v>146.0</v>
      </c>
      <c r="AN292" s="20" t="s">
        <v>17</v>
      </c>
      <c r="AO292" s="20">
        <v>-6.47</v>
      </c>
      <c r="AP292" s="20">
        <v>55.96</v>
      </c>
      <c r="AS292" s="20">
        <v>145.0</v>
      </c>
      <c r="AT292" s="20" t="s">
        <v>17</v>
      </c>
      <c r="AU292" s="20">
        <v>-30.76</v>
      </c>
      <c r="AV292" s="20">
        <v>-2.05</v>
      </c>
      <c r="BE292" s="20">
        <v>290.0</v>
      </c>
      <c r="BF292" s="20" t="s">
        <v>14</v>
      </c>
      <c r="BG292" s="20">
        <v>54.43</v>
      </c>
      <c r="BH292" s="20">
        <v>20.04</v>
      </c>
      <c r="BK292" s="20">
        <v>145.0</v>
      </c>
      <c r="BL292" s="20" t="s">
        <v>17</v>
      </c>
      <c r="BM292" s="20">
        <v>35.81</v>
      </c>
      <c r="BN292" s="20">
        <v>13.14</v>
      </c>
      <c r="BW292" s="20">
        <v>-71.4</v>
      </c>
      <c r="BX292" s="20">
        <v>-12.57</v>
      </c>
      <c r="BZ292" s="20">
        <v>-65.56</v>
      </c>
      <c r="CA292" s="20">
        <v>-19.36</v>
      </c>
      <c r="CI292" s="20">
        <v>-52.51</v>
      </c>
      <c r="CJ292" s="20">
        <v>-47.73</v>
      </c>
      <c r="CO292" s="20">
        <v>-33.75</v>
      </c>
      <c r="CP292" s="20">
        <v>-60.27</v>
      </c>
    </row>
    <row r="293">
      <c r="A293" s="20">
        <v>-51.09</v>
      </c>
      <c r="B293" s="20">
        <v>-21.51</v>
      </c>
      <c r="D293" s="20"/>
      <c r="E293" s="20"/>
      <c r="F293" s="20">
        <v>0.0</v>
      </c>
      <c r="G293" s="20">
        <v>12.46</v>
      </c>
      <c r="I293" s="20"/>
      <c r="J293" s="20"/>
      <c r="K293" s="20">
        <v>146.0</v>
      </c>
      <c r="L293" s="20" t="s">
        <v>14</v>
      </c>
      <c r="M293" s="20">
        <v>-15.19</v>
      </c>
      <c r="N293" s="20">
        <v>-5.61</v>
      </c>
      <c r="P293" s="20">
        <v>-41.91</v>
      </c>
      <c r="Q293" s="20">
        <v>-8.94</v>
      </c>
      <c r="AG293" s="20">
        <v>291.0</v>
      </c>
      <c r="AH293" s="20" t="s">
        <v>14</v>
      </c>
      <c r="AI293" s="20">
        <v>-14.64</v>
      </c>
      <c r="AJ293" s="20">
        <v>4.56</v>
      </c>
      <c r="AM293" s="20">
        <v>147.0</v>
      </c>
      <c r="AN293" s="20" t="s">
        <v>14</v>
      </c>
      <c r="AO293" s="20">
        <v>-1.08</v>
      </c>
      <c r="AP293" s="20">
        <v>83.98</v>
      </c>
      <c r="AS293" s="20">
        <v>146.0</v>
      </c>
      <c r="AT293" s="20" t="s">
        <v>14</v>
      </c>
      <c r="AU293" s="20">
        <v>-8.54</v>
      </c>
      <c r="AV293" s="20">
        <v>-63.89</v>
      </c>
      <c r="BE293" s="20">
        <v>291.0</v>
      </c>
      <c r="BF293" s="20" t="s">
        <v>14</v>
      </c>
      <c r="BG293" s="20">
        <v>34.5</v>
      </c>
      <c r="BH293" s="20">
        <v>28.66</v>
      </c>
      <c r="BK293" s="20">
        <v>146.0</v>
      </c>
      <c r="BL293" s="20" t="s">
        <v>14</v>
      </c>
      <c r="BM293" s="20">
        <v>80.97</v>
      </c>
      <c r="BN293" s="20">
        <v>-26.0</v>
      </c>
      <c r="BW293" s="20">
        <v>-72.66</v>
      </c>
      <c r="BX293" s="20">
        <v>-3.6</v>
      </c>
      <c r="BZ293" s="20">
        <v>-35.67</v>
      </c>
      <c r="CA293" s="20">
        <v>70.29</v>
      </c>
      <c r="CI293" s="20">
        <v>-41.4</v>
      </c>
      <c r="CJ293" s="20">
        <v>-66.02</v>
      </c>
      <c r="CO293" s="20">
        <v>-36.26</v>
      </c>
      <c r="CP293" s="20">
        <v>-32.02</v>
      </c>
    </row>
    <row r="294">
      <c r="A294" s="20">
        <v>-32.31</v>
      </c>
      <c r="B294" s="20">
        <v>-2.39</v>
      </c>
      <c r="D294" s="20"/>
      <c r="E294" s="20"/>
      <c r="F294" s="20">
        <v>-24.41</v>
      </c>
      <c r="G294" s="20">
        <v>4.92</v>
      </c>
      <c r="I294" s="20"/>
      <c r="J294" s="20"/>
      <c r="K294" s="20">
        <v>146.0</v>
      </c>
      <c r="L294" s="20" t="s">
        <v>17</v>
      </c>
      <c r="M294" s="20">
        <v>-43.92</v>
      </c>
      <c r="N294" s="20">
        <v>-40.28</v>
      </c>
      <c r="P294" s="20">
        <v>-20.33</v>
      </c>
      <c r="Q294" s="20">
        <v>-13.94</v>
      </c>
      <c r="AG294" s="20">
        <v>292.0</v>
      </c>
      <c r="AH294" s="20" t="s">
        <v>14</v>
      </c>
      <c r="AI294" s="20">
        <v>35.97</v>
      </c>
      <c r="AJ294" s="20">
        <v>42.76</v>
      </c>
      <c r="AM294" s="20">
        <v>147.0</v>
      </c>
      <c r="AN294" s="20" t="s">
        <v>17</v>
      </c>
      <c r="AO294" s="20">
        <v>46.19</v>
      </c>
      <c r="AP294" s="20">
        <v>-3.11</v>
      </c>
      <c r="AS294" s="20">
        <v>146.0</v>
      </c>
      <c r="AT294" s="20" t="s">
        <v>17</v>
      </c>
      <c r="AU294" s="20">
        <v>-60.67</v>
      </c>
      <c r="AV294" s="20">
        <v>-9.97</v>
      </c>
      <c r="BE294" s="20">
        <v>292.0</v>
      </c>
      <c r="BF294" s="20" t="s">
        <v>14</v>
      </c>
      <c r="BG294" s="20">
        <v>42.04</v>
      </c>
      <c r="BH294" s="20">
        <v>19.12</v>
      </c>
      <c r="BK294" s="20">
        <v>146.0</v>
      </c>
      <c r="BL294" s="20" t="s">
        <v>17</v>
      </c>
      <c r="BM294" s="20">
        <v>34.99</v>
      </c>
      <c r="BN294" s="20">
        <v>-38.65</v>
      </c>
      <c r="BW294" s="20">
        <v>-48.68</v>
      </c>
      <c r="BX294" s="20">
        <v>-22.66</v>
      </c>
      <c r="BZ294" s="20">
        <v>-61.72</v>
      </c>
      <c r="CA294" s="20">
        <v>19.22</v>
      </c>
      <c r="CI294" s="20">
        <v>-25.27</v>
      </c>
      <c r="CJ294" s="20">
        <v>-17.05</v>
      </c>
      <c r="CO294" s="20">
        <v>-28.61</v>
      </c>
      <c r="CP294" s="20">
        <v>-31.15</v>
      </c>
    </row>
    <row r="295">
      <c r="A295" s="20">
        <v>-49.5</v>
      </c>
      <c r="B295" s="20">
        <v>29.63</v>
      </c>
      <c r="D295" s="20"/>
      <c r="E295" s="20"/>
      <c r="F295" s="20">
        <v>-10.17</v>
      </c>
      <c r="G295" s="20">
        <v>38.94</v>
      </c>
      <c r="I295" s="20"/>
      <c r="J295" s="20"/>
      <c r="K295" s="20">
        <v>147.0</v>
      </c>
      <c r="L295" s="20" t="s">
        <v>14</v>
      </c>
      <c r="M295" s="20">
        <v>15.8</v>
      </c>
      <c r="N295" s="20">
        <v>-1.76</v>
      </c>
      <c r="P295" s="20">
        <v>-27.81</v>
      </c>
      <c r="Q295" s="20">
        <v>-10.15</v>
      </c>
      <c r="AG295" s="20">
        <v>293.0</v>
      </c>
      <c r="AH295" s="20" t="s">
        <v>14</v>
      </c>
      <c r="AI295" s="20">
        <v>-16.4</v>
      </c>
      <c r="AJ295" s="20">
        <v>-27.57</v>
      </c>
      <c r="AM295" s="20">
        <v>148.0</v>
      </c>
      <c r="AN295" s="20" t="s">
        <v>14</v>
      </c>
      <c r="AO295" s="20">
        <v>-19.96</v>
      </c>
      <c r="AP295" s="20">
        <v>27.04</v>
      </c>
      <c r="AS295" s="20">
        <v>147.0</v>
      </c>
      <c r="AT295" s="20" t="s">
        <v>14</v>
      </c>
      <c r="AU295" s="20">
        <v>-12.62</v>
      </c>
      <c r="AV295" s="20">
        <v>-67.83</v>
      </c>
      <c r="BE295" s="20">
        <v>293.0</v>
      </c>
      <c r="BF295" s="20" t="s">
        <v>14</v>
      </c>
      <c r="BG295" s="20">
        <v>8.85</v>
      </c>
      <c r="BH295" s="20">
        <v>16.68</v>
      </c>
      <c r="BK295" s="20">
        <v>147.0</v>
      </c>
      <c r="BL295" s="20" t="s">
        <v>14</v>
      </c>
      <c r="BM295" s="20">
        <v>75.14</v>
      </c>
      <c r="BN295" s="20">
        <v>25.73</v>
      </c>
      <c r="BW295" s="20">
        <v>-70.46</v>
      </c>
      <c r="BX295" s="20">
        <v>15.73</v>
      </c>
      <c r="BZ295" s="20">
        <v>-36.0</v>
      </c>
      <c r="CA295" s="20">
        <v>94.58</v>
      </c>
      <c r="CI295" s="20">
        <v>-35.77</v>
      </c>
      <c r="CJ295" s="20">
        <v>-34.7</v>
      </c>
      <c r="CO295" s="20">
        <v>-30.37</v>
      </c>
      <c r="CP295" s="20">
        <v>-40.99</v>
      </c>
    </row>
    <row r="296">
      <c r="A296" s="20">
        <v>-48.24</v>
      </c>
      <c r="B296" s="20">
        <v>-21.07</v>
      </c>
      <c r="D296" s="20"/>
      <c r="E296" s="20"/>
      <c r="F296" s="20">
        <v>35.31</v>
      </c>
      <c r="G296" s="20">
        <v>11.42</v>
      </c>
      <c r="I296" s="20"/>
      <c r="J296" s="20"/>
      <c r="K296" s="20">
        <v>147.0</v>
      </c>
      <c r="L296" s="20" t="s">
        <v>17</v>
      </c>
      <c r="M296" s="20">
        <v>20.13</v>
      </c>
      <c r="N296" s="20">
        <v>19.47</v>
      </c>
      <c r="P296" s="20">
        <v>-6.32</v>
      </c>
      <c r="Q296" s="20">
        <v>2.17</v>
      </c>
      <c r="AG296" s="20">
        <v>294.0</v>
      </c>
      <c r="AH296" s="20" t="s">
        <v>14</v>
      </c>
      <c r="AI296" s="20">
        <v>-15.31</v>
      </c>
      <c r="AJ296" s="20">
        <v>18.44</v>
      </c>
      <c r="AM296" s="20">
        <v>148.0</v>
      </c>
      <c r="AN296" s="20" t="s">
        <v>17</v>
      </c>
      <c r="AO296" s="20">
        <v>-36.77</v>
      </c>
      <c r="AP296" s="20">
        <v>-26.87</v>
      </c>
      <c r="AS296" s="20">
        <v>147.0</v>
      </c>
      <c r="AT296" s="20" t="s">
        <v>17</v>
      </c>
      <c r="AU296" s="20">
        <v>14.56</v>
      </c>
      <c r="AV296" s="20">
        <v>6.75</v>
      </c>
      <c r="BE296" s="20">
        <v>294.0</v>
      </c>
      <c r="BF296" s="20" t="s">
        <v>14</v>
      </c>
      <c r="BG296" s="20">
        <v>-10.6</v>
      </c>
      <c r="BH296" s="20">
        <v>14.71</v>
      </c>
      <c r="BK296" s="20">
        <v>147.0</v>
      </c>
      <c r="BL296" s="20" t="s">
        <v>17</v>
      </c>
      <c r="BM296" s="20">
        <v>12.43</v>
      </c>
      <c r="BN296" s="20">
        <v>-9.7</v>
      </c>
      <c r="BW296" s="20">
        <v>-40.09</v>
      </c>
      <c r="BX296" s="20">
        <v>-19.5</v>
      </c>
      <c r="BZ296" s="20">
        <v>-36.58</v>
      </c>
      <c r="CA296" s="20">
        <v>23.39</v>
      </c>
      <c r="CI296" s="20">
        <v>-65.1</v>
      </c>
      <c r="CJ296" s="20">
        <v>-45.21</v>
      </c>
      <c r="CO296" s="20">
        <v>-20.33</v>
      </c>
      <c r="CP296" s="20">
        <v>-46.52</v>
      </c>
    </row>
    <row r="297">
      <c r="A297" s="20">
        <v>-53.92</v>
      </c>
      <c r="B297" s="20">
        <v>-28.3</v>
      </c>
      <c r="D297" s="20"/>
      <c r="E297" s="20"/>
      <c r="F297" s="20">
        <v>15.98</v>
      </c>
      <c r="G297" s="20">
        <v>19.92</v>
      </c>
      <c r="I297" s="20"/>
      <c r="J297" s="20"/>
      <c r="K297" s="20">
        <v>148.0</v>
      </c>
      <c r="L297" s="20" t="s">
        <v>14</v>
      </c>
      <c r="M297" s="20">
        <v>-35.22</v>
      </c>
      <c r="N297" s="20">
        <v>-30.45</v>
      </c>
      <c r="P297" s="20">
        <v>-8.34</v>
      </c>
      <c r="Q297" s="20">
        <v>6.8</v>
      </c>
      <c r="AG297" s="20">
        <v>295.0</v>
      </c>
      <c r="AH297" s="20" t="s">
        <v>14</v>
      </c>
      <c r="AI297" s="20">
        <v>-58.66</v>
      </c>
      <c r="AJ297" s="20">
        <v>-43.53</v>
      </c>
      <c r="AM297" s="20">
        <v>149.0</v>
      </c>
      <c r="AN297" s="20" t="s">
        <v>14</v>
      </c>
      <c r="AO297" s="20">
        <v>-41.05</v>
      </c>
      <c r="AP297" s="20">
        <v>14.99</v>
      </c>
      <c r="AS297" s="20">
        <v>148.0</v>
      </c>
      <c r="AT297" s="20" t="s">
        <v>14</v>
      </c>
      <c r="AU297" s="20">
        <v>8.44</v>
      </c>
      <c r="AV297" s="20">
        <v>8.45</v>
      </c>
      <c r="BE297" s="20">
        <v>295.0</v>
      </c>
      <c r="BF297" s="20" t="s">
        <v>14</v>
      </c>
      <c r="BG297" s="20">
        <v>0.84</v>
      </c>
      <c r="BH297" s="20">
        <v>7.61</v>
      </c>
      <c r="BK297" s="20">
        <v>148.0</v>
      </c>
      <c r="BL297" s="20" t="s">
        <v>14</v>
      </c>
      <c r="BM297" s="20">
        <v>118.23</v>
      </c>
      <c r="BN297" s="20">
        <v>30.0</v>
      </c>
      <c r="BW297" s="20">
        <v>-48.36</v>
      </c>
      <c r="BX297" s="20">
        <v>-23.73</v>
      </c>
      <c r="BZ297" s="20">
        <v>-42.08</v>
      </c>
      <c r="CA297" s="20">
        <v>5.07</v>
      </c>
      <c r="CI297" s="20">
        <v>-44.38</v>
      </c>
      <c r="CJ297" s="20">
        <v>-21.77</v>
      </c>
      <c r="CO297" s="20">
        <v>-58.64</v>
      </c>
      <c r="CP297" s="20">
        <v>-43.88</v>
      </c>
    </row>
    <row r="298">
      <c r="A298" s="20">
        <v>-64.18</v>
      </c>
      <c r="B298" s="20">
        <v>-1.0</v>
      </c>
      <c r="D298" s="20"/>
      <c r="E298" s="20"/>
      <c r="F298" s="20">
        <v>1.83</v>
      </c>
      <c r="G298" s="20">
        <v>-11.93</v>
      </c>
      <c r="I298" s="20"/>
      <c r="J298" s="20"/>
      <c r="K298" s="20">
        <v>148.0</v>
      </c>
      <c r="L298" s="20" t="s">
        <v>17</v>
      </c>
      <c r="M298" s="20">
        <v>-10.61</v>
      </c>
      <c r="N298" s="20">
        <v>5.06</v>
      </c>
      <c r="P298" s="20">
        <v>16.81</v>
      </c>
      <c r="Q298" s="20">
        <v>14.84</v>
      </c>
      <c r="AG298" s="20">
        <v>296.0</v>
      </c>
      <c r="AH298" s="20" t="s">
        <v>14</v>
      </c>
      <c r="AI298" s="20">
        <v>-32.17</v>
      </c>
      <c r="AJ298" s="20">
        <v>-24.18</v>
      </c>
      <c r="AM298" s="20">
        <v>149.0</v>
      </c>
      <c r="AN298" s="20" t="s">
        <v>17</v>
      </c>
      <c r="AO298" s="20">
        <v>-35.47</v>
      </c>
      <c r="AP298" s="20">
        <v>9.34</v>
      </c>
      <c r="AS298" s="20">
        <v>148.0</v>
      </c>
      <c r="AT298" s="20" t="s">
        <v>17</v>
      </c>
      <c r="AU298" s="20">
        <v>-44.12</v>
      </c>
      <c r="AV298" s="20">
        <v>-18.23</v>
      </c>
      <c r="BE298" s="20">
        <v>296.0</v>
      </c>
      <c r="BF298" s="20" t="s">
        <v>14</v>
      </c>
      <c r="BG298" s="20">
        <v>33.91</v>
      </c>
      <c r="BH298" s="20">
        <v>37.17</v>
      </c>
      <c r="BK298" s="20">
        <v>148.0</v>
      </c>
      <c r="BL298" s="20" t="s">
        <v>17</v>
      </c>
      <c r="BM298" s="20">
        <v>17.28</v>
      </c>
      <c r="BN298" s="20">
        <v>-2.64</v>
      </c>
      <c r="BW298" s="20">
        <v>-44.27</v>
      </c>
      <c r="BX298" s="20">
        <v>-15.47</v>
      </c>
      <c r="BZ298" s="20">
        <v>-48.01</v>
      </c>
      <c r="CA298" s="20">
        <v>31.37</v>
      </c>
      <c r="CI298" s="20">
        <v>-30.69</v>
      </c>
      <c r="CJ298" s="20">
        <v>-31.32</v>
      </c>
      <c r="CO298" s="20">
        <v>-36.93</v>
      </c>
      <c r="CP298" s="20">
        <v>-59.4</v>
      </c>
    </row>
    <row r="299">
      <c r="A299" s="20">
        <v>-42.04</v>
      </c>
      <c r="B299" s="20">
        <v>48.16</v>
      </c>
      <c r="D299" s="20"/>
      <c r="E299" s="20"/>
      <c r="F299" s="20">
        <v>-8.48</v>
      </c>
      <c r="G299" s="20">
        <v>-5.96</v>
      </c>
      <c r="I299" s="20"/>
      <c r="J299" s="20"/>
      <c r="K299" s="20">
        <v>149.0</v>
      </c>
      <c r="L299" s="20" t="s">
        <v>14</v>
      </c>
      <c r="M299" s="20">
        <v>-10.02</v>
      </c>
      <c r="N299" s="20">
        <v>11.14</v>
      </c>
      <c r="P299" s="20">
        <v>-39.84</v>
      </c>
      <c r="Q299" s="20">
        <v>-13.55</v>
      </c>
      <c r="AG299" s="20">
        <v>297.0</v>
      </c>
      <c r="AH299" s="20" t="s">
        <v>14</v>
      </c>
      <c r="AI299" s="20">
        <v>13.68</v>
      </c>
      <c r="AJ299" s="20">
        <v>0.65</v>
      </c>
      <c r="AM299" s="20">
        <v>150.0</v>
      </c>
      <c r="AN299" s="20" t="s">
        <v>14</v>
      </c>
      <c r="AO299" s="20">
        <v>-6.13</v>
      </c>
      <c r="AP299" s="20">
        <v>-12.4</v>
      </c>
      <c r="AS299" s="20">
        <v>149.0</v>
      </c>
      <c r="AT299" s="20" t="s">
        <v>14</v>
      </c>
      <c r="AU299" s="20">
        <v>-25.12</v>
      </c>
      <c r="AV299" s="20">
        <v>-60.76</v>
      </c>
      <c r="BE299" s="20">
        <v>297.0</v>
      </c>
      <c r="BF299" s="20" t="s">
        <v>14</v>
      </c>
      <c r="BG299" s="20">
        <v>-10.77</v>
      </c>
      <c r="BH299" s="20">
        <v>6.05</v>
      </c>
      <c r="BK299" s="20">
        <v>149.0</v>
      </c>
      <c r="BL299" s="20" t="s">
        <v>14</v>
      </c>
      <c r="BM299" s="20">
        <v>-7.63</v>
      </c>
      <c r="BN299" s="20">
        <v>11.36</v>
      </c>
      <c r="BW299" s="20">
        <v>-28.11</v>
      </c>
      <c r="BX299" s="20">
        <v>-21.93</v>
      </c>
      <c r="BZ299" s="20">
        <v>-12.62</v>
      </c>
      <c r="CA299" s="20">
        <v>117.21</v>
      </c>
      <c r="CI299" s="20">
        <v>-62.08</v>
      </c>
      <c r="CJ299" s="20">
        <v>-52.4</v>
      </c>
      <c r="CO299" s="20">
        <v>-24.72</v>
      </c>
      <c r="CP299" s="20">
        <v>-53.45</v>
      </c>
    </row>
    <row r="300">
      <c r="A300" s="20">
        <v>-56.78</v>
      </c>
      <c r="B300" s="20">
        <v>21.94</v>
      </c>
      <c r="D300" s="20"/>
      <c r="E300" s="20"/>
      <c r="F300" s="20">
        <v>-5.2</v>
      </c>
      <c r="G300" s="20">
        <v>-6.74</v>
      </c>
      <c r="I300" s="20"/>
      <c r="J300" s="20"/>
      <c r="K300" s="20">
        <v>149.0</v>
      </c>
      <c r="L300" s="20" t="s">
        <v>17</v>
      </c>
      <c r="M300" s="20">
        <v>-33.66</v>
      </c>
      <c r="N300" s="20">
        <v>-17.22</v>
      </c>
      <c r="P300" s="20">
        <v>6.47</v>
      </c>
      <c r="Q300" s="20">
        <v>7.67</v>
      </c>
      <c r="AG300" s="20">
        <v>298.0</v>
      </c>
      <c r="AH300" s="20" t="s">
        <v>14</v>
      </c>
      <c r="AI300" s="20">
        <v>-27.38</v>
      </c>
      <c r="AJ300" s="20">
        <v>25.48</v>
      </c>
      <c r="AM300" s="20">
        <v>150.0</v>
      </c>
      <c r="AN300" s="20" t="s">
        <v>17</v>
      </c>
      <c r="AO300" s="20">
        <v>-20.24</v>
      </c>
      <c r="AP300" s="20">
        <v>-42.09</v>
      </c>
      <c r="AS300" s="20">
        <v>149.0</v>
      </c>
      <c r="AT300" s="20" t="s">
        <v>17</v>
      </c>
      <c r="AU300" s="20">
        <v>-26.87</v>
      </c>
      <c r="AV300" s="20">
        <v>-34.59</v>
      </c>
      <c r="BE300" s="20">
        <v>298.0</v>
      </c>
      <c r="BF300" s="20" t="s">
        <v>14</v>
      </c>
      <c r="BG300" s="20">
        <v>1.48</v>
      </c>
      <c r="BH300" s="20">
        <v>-4.72</v>
      </c>
      <c r="BK300" s="20">
        <v>149.0</v>
      </c>
      <c r="BL300" s="20" t="s">
        <v>17</v>
      </c>
      <c r="BM300" s="20">
        <v>-25.13</v>
      </c>
      <c r="BN300" s="20">
        <v>75.53</v>
      </c>
      <c r="BW300" s="20">
        <v>-45.13</v>
      </c>
      <c r="BX300" s="20">
        <v>-48.59</v>
      </c>
      <c r="BZ300" s="20">
        <v>-21.38</v>
      </c>
      <c r="CA300" s="20">
        <v>188.93</v>
      </c>
      <c r="CI300" s="20">
        <v>-53.15</v>
      </c>
      <c r="CJ300" s="20">
        <v>-53.76</v>
      </c>
      <c r="CO300" s="20">
        <v>-37.31</v>
      </c>
      <c r="CP300" s="20">
        <v>-27.77</v>
      </c>
    </row>
    <row r="301">
      <c r="A301" s="20">
        <v>-36.17</v>
      </c>
      <c r="B301" s="20">
        <v>8.56</v>
      </c>
      <c r="D301" s="20"/>
      <c r="E301" s="20"/>
      <c r="F301" s="20">
        <v>-49.45</v>
      </c>
      <c r="G301" s="20">
        <v>-15.4</v>
      </c>
      <c r="I301" s="20"/>
      <c r="J301" s="20"/>
      <c r="K301" s="20">
        <v>150.0</v>
      </c>
      <c r="L301" s="20" t="s">
        <v>14</v>
      </c>
      <c r="M301" s="20">
        <v>-22.83</v>
      </c>
      <c r="N301" s="20">
        <v>-59.73</v>
      </c>
      <c r="P301" s="20">
        <v>-12.09</v>
      </c>
      <c r="Q301" s="20">
        <v>1.77</v>
      </c>
      <c r="AG301" s="20">
        <v>299.0</v>
      </c>
      <c r="AH301" s="20" t="s">
        <v>14</v>
      </c>
      <c r="AI301" s="20">
        <v>-27.9</v>
      </c>
      <c r="AJ301" s="20">
        <v>-28.89</v>
      </c>
      <c r="AM301" s="20">
        <v>151.0</v>
      </c>
      <c r="AN301" s="20" t="s">
        <v>14</v>
      </c>
      <c r="AO301" s="20">
        <v>-26.12</v>
      </c>
      <c r="AP301" s="20">
        <v>7.94</v>
      </c>
      <c r="AS301" s="20">
        <v>150.0</v>
      </c>
      <c r="AT301" s="20" t="s">
        <v>14</v>
      </c>
      <c r="AU301" s="20">
        <v>-29.14</v>
      </c>
      <c r="AV301" s="20">
        <v>-51.89</v>
      </c>
      <c r="BE301" s="20">
        <v>299.0</v>
      </c>
      <c r="BF301" s="20" t="s">
        <v>14</v>
      </c>
      <c r="BG301" s="20">
        <v>2.55</v>
      </c>
      <c r="BH301" s="20">
        <v>-5.38</v>
      </c>
      <c r="BK301" s="20">
        <v>150.0</v>
      </c>
      <c r="BL301" s="20" t="s">
        <v>14</v>
      </c>
      <c r="BM301" s="20">
        <v>-7.89</v>
      </c>
      <c r="BN301" s="20">
        <v>8.08</v>
      </c>
      <c r="BW301" s="20">
        <v>-29.41</v>
      </c>
      <c r="BX301" s="20">
        <v>-26.97</v>
      </c>
      <c r="BZ301" s="20">
        <v>-54.07</v>
      </c>
      <c r="CA301" s="20">
        <v>70.79</v>
      </c>
      <c r="CI301" s="20">
        <v>-56.54</v>
      </c>
      <c r="CJ301" s="20">
        <v>-52.76</v>
      </c>
      <c r="CO301" s="20">
        <v>-31.09</v>
      </c>
      <c r="CP301" s="20">
        <v>-62.48</v>
      </c>
    </row>
    <row r="302">
      <c r="A302" s="20">
        <v>-70.62</v>
      </c>
      <c r="B302" s="20">
        <v>-12.82</v>
      </c>
      <c r="D302" s="20"/>
      <c r="E302" s="20"/>
      <c r="F302" s="20">
        <v>-43.47</v>
      </c>
      <c r="G302" s="20">
        <v>-5.97</v>
      </c>
      <c r="I302" s="20"/>
      <c r="J302" s="20"/>
      <c r="K302" s="20">
        <v>150.0</v>
      </c>
      <c r="L302" s="20" t="s">
        <v>17</v>
      </c>
      <c r="M302" s="20">
        <v>-39.17</v>
      </c>
      <c r="N302" s="20">
        <v>-60.47</v>
      </c>
      <c r="P302" s="20">
        <v>21.49</v>
      </c>
      <c r="Q302" s="20">
        <v>22.68</v>
      </c>
      <c r="AG302" s="20">
        <v>300.0</v>
      </c>
      <c r="AH302" s="20" t="s">
        <v>14</v>
      </c>
      <c r="AI302" s="20">
        <v>-37.55</v>
      </c>
      <c r="AJ302" s="20">
        <v>-17.99</v>
      </c>
      <c r="AM302" s="20">
        <v>151.0</v>
      </c>
      <c r="AN302" s="20" t="s">
        <v>17</v>
      </c>
      <c r="AO302" s="20">
        <v>-37.28</v>
      </c>
      <c r="AP302" s="20">
        <v>-9.47</v>
      </c>
      <c r="AS302" s="20">
        <v>150.0</v>
      </c>
      <c r="AT302" s="20" t="s">
        <v>17</v>
      </c>
      <c r="AU302" s="20">
        <v>7.62</v>
      </c>
      <c r="AV302" s="20">
        <v>-63.42</v>
      </c>
      <c r="BE302" s="20">
        <v>300.0</v>
      </c>
      <c r="BF302" s="20" t="s">
        <v>14</v>
      </c>
      <c r="BG302" s="20">
        <v>4.69</v>
      </c>
      <c r="BH302" s="20">
        <v>5.87</v>
      </c>
      <c r="BK302" s="20">
        <v>150.0</v>
      </c>
      <c r="BL302" s="20" t="s">
        <v>17</v>
      </c>
      <c r="BM302" s="20">
        <v>-9.88</v>
      </c>
      <c r="BN302" s="20">
        <v>17.43</v>
      </c>
      <c r="BW302" s="20">
        <v>-17.96</v>
      </c>
      <c r="BX302" s="20">
        <v>-6.63</v>
      </c>
      <c r="BZ302" s="20">
        <v>-66.4</v>
      </c>
      <c r="CA302" s="20">
        <v>193.73</v>
      </c>
      <c r="CI302" s="20">
        <v>-63.2</v>
      </c>
      <c r="CJ302" s="20">
        <v>-66.08</v>
      </c>
      <c r="CO302" s="20">
        <v>-31.36</v>
      </c>
      <c r="CP302" s="20">
        <v>-65.88</v>
      </c>
    </row>
    <row r="303">
      <c r="A303" s="20">
        <v>-37.2</v>
      </c>
      <c r="B303" s="20">
        <v>-5.39</v>
      </c>
      <c r="D303" s="20"/>
      <c r="E303" s="20"/>
      <c r="F303" s="20">
        <v>37.68</v>
      </c>
      <c r="G303" s="20">
        <v>-12.85</v>
      </c>
      <c r="I303" s="20"/>
      <c r="J303" s="20"/>
      <c r="K303" s="20">
        <v>151.0</v>
      </c>
      <c r="L303" s="20" t="s">
        <v>14</v>
      </c>
      <c r="M303" s="20">
        <v>-34.91</v>
      </c>
      <c r="N303" s="20">
        <v>-6.03</v>
      </c>
      <c r="P303" s="20">
        <v>28.38</v>
      </c>
      <c r="Q303" s="20">
        <v>33.61</v>
      </c>
      <c r="AG303" s="20">
        <v>301.0</v>
      </c>
      <c r="AH303" s="20" t="s">
        <v>14</v>
      </c>
      <c r="AI303" s="20">
        <v>-53.17</v>
      </c>
      <c r="AJ303" s="20">
        <v>-36.84</v>
      </c>
      <c r="AM303" s="20">
        <v>152.0</v>
      </c>
      <c r="AN303" s="20" t="s">
        <v>14</v>
      </c>
      <c r="AO303" s="20">
        <v>-15.96</v>
      </c>
      <c r="AP303" s="20">
        <v>6.47</v>
      </c>
      <c r="AS303" s="20">
        <v>151.0</v>
      </c>
      <c r="AT303" s="20" t="s">
        <v>14</v>
      </c>
      <c r="AU303" s="20">
        <v>-2.3</v>
      </c>
      <c r="AV303" s="20">
        <v>-15.01</v>
      </c>
      <c r="BE303" s="20">
        <v>301.0</v>
      </c>
      <c r="BF303" s="20" t="s">
        <v>14</v>
      </c>
      <c r="BG303" s="20">
        <v>90.46</v>
      </c>
      <c r="BH303" s="20">
        <v>18.76</v>
      </c>
      <c r="BK303" s="20">
        <v>151.0</v>
      </c>
      <c r="BL303" s="20" t="s">
        <v>14</v>
      </c>
      <c r="BM303" s="20">
        <v>1.1</v>
      </c>
      <c r="BN303" s="20">
        <v>0.78</v>
      </c>
      <c r="BW303" s="20">
        <v>-64.51</v>
      </c>
      <c r="BX303" s="20">
        <v>-37.79</v>
      </c>
      <c r="BZ303" s="20">
        <v>-38.43</v>
      </c>
      <c r="CA303" s="20">
        <v>22.93</v>
      </c>
      <c r="CI303" s="20">
        <v>-32.09</v>
      </c>
      <c r="CJ303" s="20">
        <v>10.44</v>
      </c>
      <c r="CO303" s="20">
        <v>-36.18</v>
      </c>
      <c r="CP303" s="20">
        <v>-62.93</v>
      </c>
    </row>
    <row r="304">
      <c r="A304" s="20">
        <v>-36.55</v>
      </c>
      <c r="B304" s="20">
        <v>48.33</v>
      </c>
      <c r="D304" s="20"/>
      <c r="E304" s="20"/>
      <c r="F304" s="20">
        <v>-1.69</v>
      </c>
      <c r="G304" s="20">
        <v>-35.08</v>
      </c>
      <c r="I304" s="20"/>
      <c r="J304" s="20"/>
      <c r="K304" s="20">
        <v>151.0</v>
      </c>
      <c r="L304" s="20" t="s">
        <v>17</v>
      </c>
      <c r="M304" s="20">
        <v>-38.3</v>
      </c>
      <c r="N304" s="20">
        <v>-24.19</v>
      </c>
      <c r="P304" s="20">
        <v>-9.82</v>
      </c>
      <c r="Q304" s="20">
        <v>-1.28</v>
      </c>
      <c r="AG304" s="20">
        <v>302.0</v>
      </c>
      <c r="AH304" s="20" t="s">
        <v>14</v>
      </c>
      <c r="AI304" s="20">
        <v>27.5</v>
      </c>
      <c r="AJ304" s="20">
        <v>52.11</v>
      </c>
      <c r="AM304" s="20">
        <v>152.0</v>
      </c>
      <c r="AN304" s="20" t="s">
        <v>17</v>
      </c>
      <c r="AO304" s="20">
        <v>35.91</v>
      </c>
      <c r="AP304" s="20">
        <v>-38.62</v>
      </c>
      <c r="AS304" s="20">
        <v>151.0</v>
      </c>
      <c r="AT304" s="20" t="s">
        <v>17</v>
      </c>
      <c r="AU304" s="20">
        <v>-35.68</v>
      </c>
      <c r="AV304" s="20">
        <v>-39.27</v>
      </c>
      <c r="BE304" s="20">
        <v>302.0</v>
      </c>
      <c r="BF304" s="20" t="s">
        <v>14</v>
      </c>
      <c r="BG304" s="20">
        <v>43.89</v>
      </c>
      <c r="BH304" s="20">
        <v>-2.42</v>
      </c>
      <c r="BK304" s="20">
        <v>151.0</v>
      </c>
      <c r="BL304" s="20" t="s">
        <v>17</v>
      </c>
      <c r="BM304" s="20">
        <v>39.88</v>
      </c>
      <c r="BN304" s="20">
        <v>40.75</v>
      </c>
      <c r="BW304" s="20">
        <v>-31.47</v>
      </c>
      <c r="BX304" s="20">
        <v>3.92</v>
      </c>
      <c r="BZ304" s="20">
        <v>-21.48</v>
      </c>
      <c r="CA304" s="20">
        <v>192.12</v>
      </c>
      <c r="CI304" s="20">
        <v>-19.14</v>
      </c>
      <c r="CJ304" s="20">
        <v>-31.25</v>
      </c>
      <c r="CO304" s="20">
        <v>-15.96</v>
      </c>
      <c r="CP304" s="20">
        <v>-52.19</v>
      </c>
    </row>
    <row r="305">
      <c r="A305" s="20">
        <v>-21.39</v>
      </c>
      <c r="B305" s="20">
        <v>68.09</v>
      </c>
      <c r="D305" s="20"/>
      <c r="E305" s="20"/>
      <c r="F305" s="20">
        <v>-5.08</v>
      </c>
      <c r="G305" s="20">
        <v>-21.56</v>
      </c>
      <c r="I305" s="20"/>
      <c r="J305" s="20"/>
      <c r="K305" s="20">
        <v>152.0</v>
      </c>
      <c r="L305" s="20" t="s">
        <v>14</v>
      </c>
      <c r="M305" s="20">
        <v>-31.53</v>
      </c>
      <c r="N305" s="20">
        <v>-9.16</v>
      </c>
      <c r="P305" s="20">
        <v>25.98</v>
      </c>
      <c r="Q305" s="20">
        <v>8.36</v>
      </c>
      <c r="AG305" s="20">
        <v>303.0</v>
      </c>
      <c r="AH305" s="20" t="s">
        <v>14</v>
      </c>
      <c r="AI305" s="20">
        <v>-17.23</v>
      </c>
      <c r="AJ305" s="20">
        <v>-2.44</v>
      </c>
      <c r="AM305" s="20">
        <v>153.0</v>
      </c>
      <c r="AN305" s="20" t="s">
        <v>14</v>
      </c>
      <c r="AO305" s="20">
        <v>3.64</v>
      </c>
      <c r="AP305" s="20">
        <v>-0.26</v>
      </c>
      <c r="AS305" s="20">
        <v>152.0</v>
      </c>
      <c r="AT305" s="20" t="s">
        <v>14</v>
      </c>
      <c r="AU305" s="20">
        <v>-24.12</v>
      </c>
      <c r="AV305" s="20">
        <v>-68.16</v>
      </c>
      <c r="BE305" s="20">
        <v>303.0</v>
      </c>
      <c r="BF305" s="20" t="s">
        <v>14</v>
      </c>
      <c r="BG305" s="20">
        <v>65.13</v>
      </c>
      <c r="BH305" s="20">
        <v>-1.96</v>
      </c>
      <c r="BK305" s="20">
        <v>152.0</v>
      </c>
      <c r="BL305" s="20" t="s">
        <v>14</v>
      </c>
      <c r="BM305" s="20">
        <v>55.05</v>
      </c>
      <c r="BN305" s="20">
        <v>55.83</v>
      </c>
      <c r="BW305" s="20">
        <v>-31.67</v>
      </c>
      <c r="BX305" s="20">
        <v>6.58</v>
      </c>
      <c r="BZ305" s="20">
        <v>-45.54</v>
      </c>
      <c r="CA305" s="20">
        <v>22.48</v>
      </c>
      <c r="CI305" s="20">
        <v>-43.46</v>
      </c>
      <c r="CJ305" s="20">
        <v>1.7</v>
      </c>
      <c r="CO305" s="20">
        <v>-35.72</v>
      </c>
      <c r="CP305" s="20">
        <v>-46.0</v>
      </c>
    </row>
    <row r="306">
      <c r="A306" s="20">
        <v>-8.06</v>
      </c>
      <c r="B306" s="20">
        <v>91.56</v>
      </c>
      <c r="D306" s="20"/>
      <c r="E306" s="20"/>
      <c r="F306" s="20">
        <v>-33.98</v>
      </c>
      <c r="G306" s="20">
        <v>-27.26</v>
      </c>
      <c r="I306" s="20"/>
      <c r="J306" s="20"/>
      <c r="K306" s="20">
        <v>152.0</v>
      </c>
      <c r="L306" s="20" t="s">
        <v>17</v>
      </c>
      <c r="M306" s="20">
        <v>-9.74</v>
      </c>
      <c r="N306" s="20">
        <v>10.7</v>
      </c>
      <c r="P306" s="20">
        <v>14.09</v>
      </c>
      <c r="Q306" s="20">
        <v>27.05</v>
      </c>
      <c r="AG306" s="20">
        <v>304.0</v>
      </c>
      <c r="AH306" s="20" t="s">
        <v>14</v>
      </c>
      <c r="AI306" s="20">
        <v>-31.2</v>
      </c>
      <c r="AJ306" s="20">
        <v>-42.39</v>
      </c>
      <c r="AM306" s="20">
        <v>153.0</v>
      </c>
      <c r="AN306" s="20" t="s">
        <v>17</v>
      </c>
      <c r="AO306" s="20">
        <v>-13.37</v>
      </c>
      <c r="AP306" s="20">
        <v>-23.63</v>
      </c>
      <c r="AS306" s="20">
        <v>152.0</v>
      </c>
      <c r="AT306" s="20" t="s">
        <v>17</v>
      </c>
      <c r="AU306" s="20">
        <v>-45.1</v>
      </c>
      <c r="AV306" s="20">
        <v>-35.37</v>
      </c>
      <c r="BE306" s="20">
        <v>304.0</v>
      </c>
      <c r="BF306" s="20" t="s">
        <v>14</v>
      </c>
      <c r="BG306" s="20">
        <v>6.65</v>
      </c>
      <c r="BH306" s="20">
        <v>21.04</v>
      </c>
      <c r="BK306" s="20">
        <v>152.0</v>
      </c>
      <c r="BL306" s="20" t="s">
        <v>17</v>
      </c>
      <c r="BM306" s="20">
        <v>2.08</v>
      </c>
      <c r="BN306" s="20">
        <v>48.46</v>
      </c>
      <c r="BW306" s="20">
        <v>-56.6</v>
      </c>
      <c r="BX306" s="20">
        <v>-34.92</v>
      </c>
      <c r="BZ306" s="20">
        <v>-42.36</v>
      </c>
      <c r="CA306" s="20">
        <v>-1.82</v>
      </c>
      <c r="CI306" s="20">
        <v>-46.64</v>
      </c>
      <c r="CJ306" s="20">
        <v>-13.28</v>
      </c>
      <c r="CO306" s="20">
        <v>-1.26</v>
      </c>
      <c r="CP306" s="20">
        <v>-55.31</v>
      </c>
    </row>
    <row r="307">
      <c r="A307" s="20">
        <v>-22.26</v>
      </c>
      <c r="B307" s="20">
        <v>38.12</v>
      </c>
      <c r="D307" s="20"/>
      <c r="E307" s="20"/>
      <c r="F307" s="20">
        <v>-4.98</v>
      </c>
      <c r="G307" s="20">
        <v>45.2</v>
      </c>
      <c r="I307" s="20"/>
      <c r="J307" s="20"/>
      <c r="K307" s="20">
        <v>153.0</v>
      </c>
      <c r="L307" s="20" t="s">
        <v>14</v>
      </c>
      <c r="M307" s="20">
        <v>2.72</v>
      </c>
      <c r="N307" s="20">
        <v>-23.73</v>
      </c>
      <c r="P307" s="20">
        <v>16.64</v>
      </c>
      <c r="Q307" s="20">
        <v>41.32</v>
      </c>
      <c r="AG307" s="20">
        <v>305.0</v>
      </c>
      <c r="AH307" s="20" t="s">
        <v>14</v>
      </c>
      <c r="AI307" s="20">
        <v>-6.64</v>
      </c>
      <c r="AJ307" s="20">
        <v>-17.44</v>
      </c>
      <c r="AM307" s="20">
        <v>154.0</v>
      </c>
      <c r="AN307" s="20" t="s">
        <v>14</v>
      </c>
      <c r="AO307" s="20">
        <v>-21.07</v>
      </c>
      <c r="AP307" s="20">
        <v>-13.67</v>
      </c>
      <c r="AS307" s="20">
        <v>153.0</v>
      </c>
      <c r="AT307" s="20" t="s">
        <v>14</v>
      </c>
      <c r="AU307" s="20">
        <v>-18.99</v>
      </c>
      <c r="AV307" s="20">
        <v>-40.55</v>
      </c>
      <c r="BE307" s="20">
        <v>305.0</v>
      </c>
      <c r="BF307" s="20" t="s">
        <v>14</v>
      </c>
      <c r="BG307" s="20">
        <v>29.02</v>
      </c>
      <c r="BH307" s="20">
        <v>-25.05</v>
      </c>
      <c r="BK307" s="20">
        <v>153.0</v>
      </c>
      <c r="BL307" s="20" t="s">
        <v>14</v>
      </c>
      <c r="BM307" s="20">
        <v>31.88</v>
      </c>
      <c r="BN307" s="20">
        <v>28.66</v>
      </c>
      <c r="BW307" s="20">
        <v>-53.71</v>
      </c>
      <c r="BX307" s="20">
        <v>-38.06</v>
      </c>
      <c r="BZ307" s="20">
        <v>-16.47</v>
      </c>
      <c r="CA307" s="20">
        <v>29.71</v>
      </c>
      <c r="CI307" s="20">
        <v>-50.11</v>
      </c>
      <c r="CJ307" s="20">
        <v>-38.62</v>
      </c>
      <c r="CO307" s="20">
        <v>-15.65</v>
      </c>
      <c r="CP307" s="20">
        <v>-50.9</v>
      </c>
    </row>
    <row r="308">
      <c r="A308" s="20">
        <v>-50.61</v>
      </c>
      <c r="B308" s="20">
        <v>63.68</v>
      </c>
      <c r="D308" s="20"/>
      <c r="E308" s="20"/>
      <c r="F308" s="20">
        <v>-22.28</v>
      </c>
      <c r="G308" s="20">
        <v>17.77</v>
      </c>
      <c r="I308" s="20"/>
      <c r="J308" s="20"/>
      <c r="K308" s="20">
        <v>153.0</v>
      </c>
      <c r="L308" s="20" t="s">
        <v>17</v>
      </c>
      <c r="M308" s="20">
        <v>19.8</v>
      </c>
      <c r="N308" s="20">
        <v>39.03</v>
      </c>
      <c r="P308" s="20">
        <v>1.02</v>
      </c>
      <c r="Q308" s="20">
        <v>3.12</v>
      </c>
      <c r="AG308" s="20">
        <v>306.0</v>
      </c>
      <c r="AH308" s="20" t="s">
        <v>14</v>
      </c>
      <c r="AI308" s="20">
        <v>-13.51</v>
      </c>
      <c r="AJ308" s="20">
        <v>-21.89</v>
      </c>
      <c r="AM308" s="20">
        <v>154.0</v>
      </c>
      <c r="AN308" s="20" t="s">
        <v>17</v>
      </c>
      <c r="AO308" s="20">
        <v>-40.93</v>
      </c>
      <c r="AP308" s="20">
        <v>-11.17</v>
      </c>
      <c r="AS308" s="20">
        <v>153.0</v>
      </c>
      <c r="AT308" s="20" t="s">
        <v>17</v>
      </c>
      <c r="AU308" s="20">
        <v>-40.89</v>
      </c>
      <c r="AV308" s="20">
        <v>-48.39</v>
      </c>
      <c r="BE308" s="20">
        <v>306.0</v>
      </c>
      <c r="BF308" s="20" t="s">
        <v>14</v>
      </c>
      <c r="BG308" s="20">
        <v>25.43</v>
      </c>
      <c r="BH308" s="20">
        <v>3.75</v>
      </c>
      <c r="BK308" s="20">
        <v>153.0</v>
      </c>
      <c r="BL308" s="20" t="s">
        <v>17</v>
      </c>
      <c r="BM308" s="20">
        <v>10.69</v>
      </c>
      <c r="BN308" s="20">
        <v>55.85</v>
      </c>
      <c r="BW308" s="20">
        <v>-59.36</v>
      </c>
      <c r="BX308" s="20">
        <v>-0.2</v>
      </c>
      <c r="BZ308" s="20">
        <v>-60.53</v>
      </c>
      <c r="CA308" s="20">
        <v>47.25</v>
      </c>
      <c r="CI308" s="20">
        <v>-57.45</v>
      </c>
      <c r="CJ308" s="20">
        <v>-2.38</v>
      </c>
      <c r="CO308" s="20">
        <v>6.32</v>
      </c>
      <c r="CP308" s="20">
        <v>-45.11</v>
      </c>
    </row>
    <row r="309">
      <c r="A309" s="20">
        <v>-35.12</v>
      </c>
      <c r="B309" s="20">
        <v>64.14</v>
      </c>
      <c r="D309" s="20"/>
      <c r="E309" s="20"/>
      <c r="F309" s="20">
        <v>68.95</v>
      </c>
      <c r="G309" s="20">
        <v>52.75</v>
      </c>
      <c r="I309" s="20"/>
      <c r="J309" s="20"/>
      <c r="K309" s="20">
        <v>154.0</v>
      </c>
      <c r="L309" s="20" t="s">
        <v>14</v>
      </c>
      <c r="M309" s="20">
        <v>-32.13</v>
      </c>
      <c r="N309" s="20">
        <v>13.14</v>
      </c>
      <c r="P309" s="20">
        <v>37.34</v>
      </c>
      <c r="Q309" s="20">
        <v>36.58</v>
      </c>
      <c r="AG309" s="20">
        <v>307.0</v>
      </c>
      <c r="AH309" s="20" t="s">
        <v>14</v>
      </c>
      <c r="AI309" s="20">
        <v>-68.28</v>
      </c>
      <c r="AJ309" s="20">
        <v>-58.31</v>
      </c>
      <c r="AM309" s="20">
        <v>155.0</v>
      </c>
      <c r="AN309" s="20" t="s">
        <v>14</v>
      </c>
      <c r="AO309" s="20">
        <v>7.89</v>
      </c>
      <c r="AP309" s="20">
        <v>-17.26</v>
      </c>
      <c r="AS309" s="20">
        <v>154.0</v>
      </c>
      <c r="AT309" s="20" t="s">
        <v>14</v>
      </c>
      <c r="AU309" s="20">
        <v>-29.35</v>
      </c>
      <c r="AV309" s="20">
        <v>-52.27</v>
      </c>
      <c r="BE309" s="20">
        <v>307.0</v>
      </c>
      <c r="BF309" s="20" t="s">
        <v>14</v>
      </c>
      <c r="BG309" s="20">
        <v>45.54</v>
      </c>
      <c r="BH309" s="20">
        <v>41.42</v>
      </c>
      <c r="BK309" s="20">
        <v>154.0</v>
      </c>
      <c r="BL309" s="20" t="s">
        <v>14</v>
      </c>
      <c r="BM309" s="20">
        <v>-11.62</v>
      </c>
      <c r="BN309" s="20">
        <v>-9.9</v>
      </c>
      <c r="BW309" s="20">
        <v>-63.85</v>
      </c>
      <c r="BX309" s="20">
        <v>-49.05</v>
      </c>
      <c r="BZ309" s="20">
        <v>-47.28</v>
      </c>
      <c r="CA309" s="20">
        <v>74.39</v>
      </c>
      <c r="CI309" s="20">
        <v>-6.01</v>
      </c>
      <c r="CJ309" s="20">
        <v>-19.6</v>
      </c>
      <c r="CO309" s="20">
        <v>-32.93</v>
      </c>
      <c r="CP309" s="20">
        <v>-41.81</v>
      </c>
    </row>
    <row r="310">
      <c r="A310" s="20">
        <v>-64.24</v>
      </c>
      <c r="B310" s="20">
        <v>111.32</v>
      </c>
      <c r="D310" s="20"/>
      <c r="E310" s="20"/>
      <c r="F310" s="20">
        <v>15.85</v>
      </c>
      <c r="G310" s="20">
        <v>-26.11</v>
      </c>
      <c r="I310" s="20"/>
      <c r="J310" s="20"/>
      <c r="K310" s="20">
        <v>154.0</v>
      </c>
      <c r="L310" s="20" t="s">
        <v>17</v>
      </c>
      <c r="M310" s="20">
        <v>33.75</v>
      </c>
      <c r="N310" s="20">
        <v>92.33</v>
      </c>
      <c r="P310" s="20">
        <v>-12.6</v>
      </c>
      <c r="Q310" s="20">
        <v>-8.45</v>
      </c>
      <c r="AG310" s="20">
        <v>308.0</v>
      </c>
      <c r="AH310" s="20" t="s">
        <v>14</v>
      </c>
      <c r="AI310" s="20">
        <v>-38.26</v>
      </c>
      <c r="AJ310" s="20">
        <v>-44.46</v>
      </c>
      <c r="AM310" s="20">
        <v>155.0</v>
      </c>
      <c r="AN310" s="20" t="s">
        <v>17</v>
      </c>
      <c r="AO310" s="20">
        <v>6.0</v>
      </c>
      <c r="AP310" s="20">
        <v>-54.43</v>
      </c>
      <c r="AS310" s="20">
        <v>154.0</v>
      </c>
      <c r="AT310" s="20" t="s">
        <v>17</v>
      </c>
      <c r="AU310" s="20">
        <v>-10.34</v>
      </c>
      <c r="AV310" s="20">
        <v>-38.45</v>
      </c>
      <c r="BE310" s="20">
        <v>308.0</v>
      </c>
      <c r="BF310" s="20" t="s">
        <v>14</v>
      </c>
      <c r="BG310" s="20">
        <v>3.13</v>
      </c>
      <c r="BH310" s="20">
        <v>5.23</v>
      </c>
      <c r="BK310" s="20">
        <v>154.0</v>
      </c>
      <c r="BL310" s="20" t="s">
        <v>17</v>
      </c>
      <c r="BM310" s="20">
        <v>-25.77</v>
      </c>
      <c r="BN310" s="20">
        <v>56.66</v>
      </c>
      <c r="BW310" s="20">
        <v>-61.58</v>
      </c>
      <c r="BX310" s="20">
        <v>-35.39</v>
      </c>
      <c r="BZ310" s="20">
        <v>-47.35</v>
      </c>
      <c r="CA310" s="20">
        <v>0.39</v>
      </c>
      <c r="CI310" s="20">
        <v>-50.73</v>
      </c>
      <c r="CJ310" s="20">
        <v>-24.74</v>
      </c>
      <c r="CO310" s="20">
        <v>-21.18</v>
      </c>
      <c r="CP310" s="20">
        <v>-50.29</v>
      </c>
    </row>
    <row r="311">
      <c r="A311" s="20">
        <v>-45.26</v>
      </c>
      <c r="B311" s="20">
        <v>-20.71</v>
      </c>
      <c r="D311" s="20"/>
      <c r="E311" s="20"/>
      <c r="F311" s="20">
        <v>-14.47</v>
      </c>
      <c r="G311" s="20">
        <v>-11.95</v>
      </c>
      <c r="I311" s="20"/>
      <c r="J311" s="20"/>
      <c r="K311" s="20">
        <v>155.0</v>
      </c>
      <c r="L311" s="20" t="s">
        <v>14</v>
      </c>
      <c r="M311" s="20">
        <v>-31.46</v>
      </c>
      <c r="N311" s="20">
        <v>32.69</v>
      </c>
      <c r="P311" s="20">
        <v>-23.23</v>
      </c>
      <c r="Q311" s="20">
        <v>-14.09</v>
      </c>
      <c r="AG311" s="20">
        <v>309.0</v>
      </c>
      <c r="AH311" s="20" t="s">
        <v>14</v>
      </c>
      <c r="AI311" s="20">
        <v>-42.84</v>
      </c>
      <c r="AJ311" s="20">
        <v>-32.95</v>
      </c>
      <c r="AM311" s="20">
        <v>156.0</v>
      </c>
      <c r="AN311" s="20" t="s">
        <v>14</v>
      </c>
      <c r="AO311" s="20">
        <v>-12.2</v>
      </c>
      <c r="AP311" s="20">
        <v>-31.2</v>
      </c>
      <c r="AS311" s="20">
        <v>155.0</v>
      </c>
      <c r="AT311" s="20" t="s">
        <v>14</v>
      </c>
      <c r="AU311" s="20">
        <v>-17.17</v>
      </c>
      <c r="AV311" s="20">
        <v>-37.21</v>
      </c>
      <c r="BE311" s="20">
        <v>309.0</v>
      </c>
      <c r="BF311" s="20" t="s">
        <v>14</v>
      </c>
      <c r="BG311" s="20">
        <v>21.4</v>
      </c>
      <c r="BH311" s="20">
        <v>-0.36</v>
      </c>
      <c r="BK311" s="20">
        <v>155.0</v>
      </c>
      <c r="BL311" s="20" t="s">
        <v>14</v>
      </c>
      <c r="BM311" s="20">
        <v>29.15</v>
      </c>
      <c r="BN311" s="20">
        <v>18.99</v>
      </c>
      <c r="BW311" s="20">
        <v>-38.72</v>
      </c>
      <c r="BX311" s="20">
        <v>-11.42</v>
      </c>
      <c r="BZ311" s="20">
        <v>-46.1</v>
      </c>
      <c r="CA311" s="20">
        <v>15.71</v>
      </c>
      <c r="CI311" s="20">
        <v>-45.82</v>
      </c>
      <c r="CJ311" s="20">
        <v>-13.12</v>
      </c>
      <c r="CO311" s="20">
        <v>-13.7</v>
      </c>
      <c r="CP311" s="20">
        <v>-51.37</v>
      </c>
    </row>
    <row r="312">
      <c r="A312" s="20">
        <v>-53.88</v>
      </c>
      <c r="B312" s="20">
        <v>-17.15</v>
      </c>
      <c r="D312" s="20"/>
      <c r="E312" s="20"/>
      <c r="F312" s="20">
        <v>-25.02</v>
      </c>
      <c r="G312" s="20">
        <v>-29.96</v>
      </c>
      <c r="I312" s="20"/>
      <c r="J312" s="20"/>
      <c r="K312" s="20">
        <v>155.0</v>
      </c>
      <c r="L312" s="20" t="s">
        <v>17</v>
      </c>
      <c r="M312" s="20">
        <v>86.73</v>
      </c>
      <c r="N312" s="20">
        <v>22.99</v>
      </c>
      <c r="P312" s="20">
        <v>-11.03</v>
      </c>
      <c r="Q312" s="20">
        <v>4.05</v>
      </c>
      <c r="AG312" s="20">
        <v>310.0</v>
      </c>
      <c r="AH312" s="20" t="s">
        <v>14</v>
      </c>
      <c r="AI312" s="20">
        <v>-2.29</v>
      </c>
      <c r="AJ312" s="20">
        <v>5.78</v>
      </c>
      <c r="AM312" s="20">
        <v>156.0</v>
      </c>
      <c r="AN312" s="20" t="s">
        <v>17</v>
      </c>
      <c r="AO312" s="20">
        <v>-30.32</v>
      </c>
      <c r="AP312" s="20">
        <v>-36.22</v>
      </c>
      <c r="AS312" s="20">
        <v>155.0</v>
      </c>
      <c r="AT312" s="20" t="s">
        <v>17</v>
      </c>
      <c r="AU312" s="20">
        <v>-13.93</v>
      </c>
      <c r="AV312" s="20">
        <v>-31.96</v>
      </c>
      <c r="BE312" s="20">
        <v>310.0</v>
      </c>
      <c r="BF312" s="20" t="s">
        <v>14</v>
      </c>
      <c r="BG312" s="20">
        <v>41.88</v>
      </c>
      <c r="BH312" s="20">
        <v>24.34</v>
      </c>
      <c r="BK312" s="20">
        <v>155.0</v>
      </c>
      <c r="BL312" s="20" t="s">
        <v>17</v>
      </c>
      <c r="BM312" s="20">
        <v>35.07</v>
      </c>
      <c r="BN312" s="20">
        <v>44.17</v>
      </c>
      <c r="BW312" s="20">
        <v>-38.62</v>
      </c>
      <c r="BX312" s="20">
        <v>-35.58</v>
      </c>
      <c r="BZ312" s="20">
        <v>-59.58</v>
      </c>
      <c r="CA312" s="20">
        <v>30.13</v>
      </c>
      <c r="CI312" s="20">
        <v>-21.68</v>
      </c>
      <c r="CJ312" s="20">
        <v>-38.41</v>
      </c>
      <c r="CO312" s="20">
        <v>-13.65</v>
      </c>
      <c r="CP312" s="20">
        <v>-48.06</v>
      </c>
    </row>
    <row r="313">
      <c r="A313" s="20">
        <v>-18.46</v>
      </c>
      <c r="B313" s="20">
        <v>43.01</v>
      </c>
      <c r="D313" s="20"/>
      <c r="E313" s="20"/>
      <c r="F313" s="20">
        <v>-11.5</v>
      </c>
      <c r="G313" s="20">
        <v>-7.72</v>
      </c>
      <c r="I313" s="20"/>
      <c r="J313" s="20"/>
      <c r="K313" s="20">
        <v>156.0</v>
      </c>
      <c r="L313" s="20" t="s">
        <v>14</v>
      </c>
      <c r="M313" s="20">
        <v>6.99</v>
      </c>
      <c r="N313" s="20">
        <v>31.73</v>
      </c>
      <c r="P313" s="20">
        <v>4.04</v>
      </c>
      <c r="Q313" s="20">
        <v>6.91</v>
      </c>
      <c r="AG313" s="20">
        <v>311.0</v>
      </c>
      <c r="AH313" s="20" t="s">
        <v>14</v>
      </c>
      <c r="AI313" s="20">
        <v>-1.67</v>
      </c>
      <c r="AJ313" s="20">
        <v>10.21</v>
      </c>
      <c r="AM313" s="20">
        <v>157.0</v>
      </c>
      <c r="AN313" s="20" t="s">
        <v>14</v>
      </c>
      <c r="AO313" s="20">
        <v>-3.34</v>
      </c>
      <c r="AP313" s="20">
        <v>-1.75</v>
      </c>
      <c r="AS313" s="20">
        <v>156.0</v>
      </c>
      <c r="AT313" s="20" t="s">
        <v>14</v>
      </c>
      <c r="AU313" s="20">
        <v>-23.63</v>
      </c>
      <c r="AV313" s="20">
        <v>-56.48</v>
      </c>
      <c r="BE313" s="20">
        <v>311.0</v>
      </c>
      <c r="BF313" s="20" t="s">
        <v>14</v>
      </c>
      <c r="BG313" s="20">
        <v>32.16</v>
      </c>
      <c r="BH313" s="20">
        <v>-13.51</v>
      </c>
      <c r="BK313" s="20">
        <v>156.0</v>
      </c>
      <c r="BL313" s="20" t="s">
        <v>14</v>
      </c>
      <c r="BM313" s="20">
        <v>3.03</v>
      </c>
      <c r="BN313" s="20">
        <v>6.49</v>
      </c>
      <c r="BW313" s="20">
        <v>-58.47</v>
      </c>
      <c r="BX313" s="20">
        <v>-29.6</v>
      </c>
      <c r="BZ313" s="20">
        <v>-27.47</v>
      </c>
      <c r="CA313" s="20">
        <v>6.17</v>
      </c>
      <c r="CI313" s="20">
        <v>-48.02</v>
      </c>
      <c r="CJ313" s="20">
        <v>-38.92</v>
      </c>
      <c r="CO313" s="20">
        <v>-41.2</v>
      </c>
      <c r="CP313" s="20">
        <v>-38.99</v>
      </c>
    </row>
    <row r="314">
      <c r="A314" s="20">
        <v>-9.64</v>
      </c>
      <c r="B314" s="20">
        <v>131.06</v>
      </c>
      <c r="D314" s="20"/>
      <c r="E314" s="20"/>
      <c r="F314" s="20">
        <v>-31.16</v>
      </c>
      <c r="G314" s="20">
        <v>18.74</v>
      </c>
      <c r="I314" s="20"/>
      <c r="J314" s="20"/>
      <c r="K314" s="20">
        <v>156.0</v>
      </c>
      <c r="L314" s="20" t="s">
        <v>17</v>
      </c>
      <c r="M314" s="20">
        <v>-8.27</v>
      </c>
      <c r="N314" s="20">
        <v>46.2</v>
      </c>
      <c r="P314" s="20">
        <v>30.29</v>
      </c>
      <c r="Q314" s="20">
        <v>19.0</v>
      </c>
      <c r="AG314" s="20">
        <v>312.0</v>
      </c>
      <c r="AH314" s="20" t="s">
        <v>14</v>
      </c>
      <c r="AI314" s="20">
        <v>14.43</v>
      </c>
      <c r="AJ314" s="20">
        <v>15.82</v>
      </c>
      <c r="AM314" s="20">
        <v>157.0</v>
      </c>
      <c r="AN314" s="20" t="s">
        <v>17</v>
      </c>
      <c r="AO314" s="20">
        <v>-8.83</v>
      </c>
      <c r="AP314" s="20">
        <v>-21.06</v>
      </c>
      <c r="AS314" s="20">
        <v>156.0</v>
      </c>
      <c r="AT314" s="20" t="s">
        <v>17</v>
      </c>
      <c r="AU314" s="20">
        <v>-49.76</v>
      </c>
      <c r="AV314" s="20">
        <v>-27.03</v>
      </c>
      <c r="BE314" s="20">
        <v>312.0</v>
      </c>
      <c r="BF314" s="20" t="s">
        <v>14</v>
      </c>
      <c r="BG314" s="20">
        <v>30.31</v>
      </c>
      <c r="BH314" s="20">
        <v>19.3</v>
      </c>
      <c r="BK314" s="20">
        <v>156.0</v>
      </c>
      <c r="BL314" s="20" t="s">
        <v>17</v>
      </c>
      <c r="BM314" s="20">
        <v>12.32</v>
      </c>
      <c r="BN314" s="20">
        <v>21.51</v>
      </c>
      <c r="BW314" s="20">
        <v>-46.0</v>
      </c>
      <c r="BX314" s="20">
        <v>-7.34</v>
      </c>
      <c r="BZ314" s="20">
        <v>-48.2</v>
      </c>
      <c r="CA314" s="20">
        <v>2.17</v>
      </c>
      <c r="CI314" s="20">
        <v>-58.1</v>
      </c>
      <c r="CJ314" s="20">
        <v>-41.52</v>
      </c>
      <c r="CO314" s="20">
        <v>-20.19</v>
      </c>
      <c r="CP314" s="20">
        <v>-39.07</v>
      </c>
    </row>
    <row r="315">
      <c r="A315" s="20">
        <v>-39.35</v>
      </c>
      <c r="B315" s="20">
        <v>60.72</v>
      </c>
      <c r="D315" s="20"/>
      <c r="E315" s="20"/>
      <c r="F315" s="20">
        <v>35.69</v>
      </c>
      <c r="G315" s="20">
        <v>52.16</v>
      </c>
      <c r="I315" s="20"/>
      <c r="J315" s="20"/>
      <c r="K315" s="20">
        <v>157.0</v>
      </c>
      <c r="L315" s="20" t="s">
        <v>14</v>
      </c>
      <c r="M315" s="20">
        <v>-28.1</v>
      </c>
      <c r="N315" s="20">
        <v>72.46</v>
      </c>
      <c r="P315" s="20">
        <v>-33.32</v>
      </c>
      <c r="Q315" s="20">
        <v>-10.46</v>
      </c>
      <c r="AG315" s="20">
        <v>313.0</v>
      </c>
      <c r="AH315" s="20" t="s">
        <v>14</v>
      </c>
      <c r="AI315" s="20">
        <v>-25.27</v>
      </c>
      <c r="AJ315" s="20">
        <v>-13.68</v>
      </c>
      <c r="AM315" s="20">
        <v>158.0</v>
      </c>
      <c r="AN315" s="20" t="s">
        <v>14</v>
      </c>
      <c r="AO315" s="20">
        <v>2.21</v>
      </c>
      <c r="AP315" s="20">
        <v>-4.28</v>
      </c>
      <c r="AS315" s="20">
        <v>157.0</v>
      </c>
      <c r="AT315" s="20" t="s">
        <v>14</v>
      </c>
      <c r="AU315" s="20">
        <v>-28.15</v>
      </c>
      <c r="AV315" s="20">
        <v>-47.76</v>
      </c>
      <c r="BE315" s="20">
        <v>313.0</v>
      </c>
      <c r="BF315" s="20" t="s">
        <v>14</v>
      </c>
      <c r="BG315" s="20">
        <v>51.55</v>
      </c>
      <c r="BH315" s="20">
        <v>-16.36</v>
      </c>
      <c r="BK315" s="20">
        <v>157.0</v>
      </c>
      <c r="BL315" s="20" t="s">
        <v>14</v>
      </c>
      <c r="BM315" s="20">
        <v>1.16</v>
      </c>
      <c r="BN315" s="20">
        <v>43.2</v>
      </c>
      <c r="BW315" s="20">
        <v>-53.31</v>
      </c>
      <c r="BX315" s="20">
        <v>2.54</v>
      </c>
      <c r="BZ315" s="20">
        <v>-27.83</v>
      </c>
      <c r="CA315" s="20">
        <v>16.65</v>
      </c>
      <c r="CI315" s="20">
        <v>-30.96</v>
      </c>
      <c r="CJ315" s="20">
        <v>-23.65</v>
      </c>
      <c r="CO315" s="20">
        <v>-28.78</v>
      </c>
      <c r="CP315" s="20">
        <v>-57.68</v>
      </c>
    </row>
    <row r="316">
      <c r="A316" s="20">
        <v>-43.48</v>
      </c>
      <c r="B316" s="20">
        <v>32.26</v>
      </c>
      <c r="D316" s="20"/>
      <c r="E316" s="20"/>
      <c r="F316" s="20">
        <v>49.15</v>
      </c>
      <c r="G316" s="20">
        <v>-10.24</v>
      </c>
      <c r="I316" s="20"/>
      <c r="J316" s="20"/>
      <c r="K316" s="20">
        <v>157.0</v>
      </c>
      <c r="L316" s="20" t="s">
        <v>17</v>
      </c>
      <c r="M316" s="20">
        <v>-10.27</v>
      </c>
      <c r="N316" s="20">
        <v>57.85</v>
      </c>
      <c r="P316" s="20">
        <v>-18.78</v>
      </c>
      <c r="Q316" s="20">
        <v>-15.99</v>
      </c>
      <c r="AG316" s="20">
        <v>314.0</v>
      </c>
      <c r="AH316" s="20" t="s">
        <v>14</v>
      </c>
      <c r="AI316" s="20">
        <v>6.62</v>
      </c>
      <c r="AJ316" s="20">
        <v>0.46</v>
      </c>
      <c r="AM316" s="20">
        <v>158.0</v>
      </c>
      <c r="AN316" s="20" t="s">
        <v>17</v>
      </c>
      <c r="AO316" s="20">
        <v>2.7</v>
      </c>
      <c r="AP316" s="20">
        <v>-9.1</v>
      </c>
      <c r="AS316" s="20">
        <v>157.0</v>
      </c>
      <c r="AT316" s="20" t="s">
        <v>17</v>
      </c>
      <c r="AU316" s="20">
        <v>-14.08</v>
      </c>
      <c r="AV316" s="20">
        <v>-37.71</v>
      </c>
      <c r="BE316" s="20">
        <v>314.0</v>
      </c>
      <c r="BF316" s="20" t="s">
        <v>14</v>
      </c>
      <c r="BG316" s="20">
        <v>35.68</v>
      </c>
      <c r="BH316" s="20">
        <v>-13.15</v>
      </c>
      <c r="BK316" s="20">
        <v>157.0</v>
      </c>
      <c r="BL316" s="20" t="s">
        <v>17</v>
      </c>
      <c r="BM316" s="20">
        <v>-7.57</v>
      </c>
      <c r="BN316" s="20">
        <v>57.05</v>
      </c>
      <c r="BW316" s="20">
        <v>-66.16</v>
      </c>
      <c r="BX316" s="20">
        <v>7.16</v>
      </c>
      <c r="BZ316" s="20">
        <v>-53.72</v>
      </c>
      <c r="CA316" s="20">
        <v>35.63</v>
      </c>
      <c r="CI316" s="20">
        <v>-56.72</v>
      </c>
      <c r="CJ316" s="20">
        <v>-66.5</v>
      </c>
      <c r="CO316" s="20">
        <v>12.94</v>
      </c>
      <c r="CP316" s="20">
        <v>-58.48</v>
      </c>
    </row>
    <row r="317">
      <c r="A317" s="20">
        <v>-22.87</v>
      </c>
      <c r="B317" s="20">
        <v>108.91</v>
      </c>
      <c r="D317" s="20"/>
      <c r="E317" s="20"/>
      <c r="F317" s="20">
        <v>-22.03</v>
      </c>
      <c r="G317" s="20">
        <v>-7.29</v>
      </c>
      <c r="I317" s="20"/>
      <c r="J317" s="20"/>
      <c r="K317" s="20">
        <v>158.0</v>
      </c>
      <c r="L317" s="20" t="s">
        <v>14</v>
      </c>
      <c r="M317" s="20">
        <v>-14.84</v>
      </c>
      <c r="N317" s="20">
        <v>20.38</v>
      </c>
      <c r="P317" s="20">
        <v>-3.02</v>
      </c>
      <c r="Q317" s="20">
        <v>11.78</v>
      </c>
      <c r="AG317" s="20">
        <v>315.0</v>
      </c>
      <c r="AH317" s="20" t="s">
        <v>14</v>
      </c>
      <c r="AI317" s="20">
        <v>-4.29</v>
      </c>
      <c r="AJ317" s="20">
        <v>3.5</v>
      </c>
      <c r="AM317" s="20">
        <v>159.0</v>
      </c>
      <c r="AN317" s="20" t="s">
        <v>14</v>
      </c>
      <c r="AO317" s="20">
        <v>12.83</v>
      </c>
      <c r="AP317" s="20">
        <v>16.12</v>
      </c>
      <c r="AS317" s="20">
        <v>158.0</v>
      </c>
      <c r="AT317" s="20" t="s">
        <v>14</v>
      </c>
      <c r="AU317" s="20">
        <v>-22.57</v>
      </c>
      <c r="AV317" s="20">
        <v>-52.01</v>
      </c>
      <c r="BE317" s="20">
        <v>315.0</v>
      </c>
      <c r="BF317" s="20" t="s">
        <v>14</v>
      </c>
      <c r="BG317" s="20">
        <v>2.72</v>
      </c>
      <c r="BH317" s="20">
        <v>-21.74</v>
      </c>
      <c r="BK317" s="20">
        <v>158.0</v>
      </c>
      <c r="BL317" s="20" t="s">
        <v>14</v>
      </c>
      <c r="BM317" s="20">
        <v>-19.53</v>
      </c>
      <c r="BN317" s="20">
        <v>35.62</v>
      </c>
      <c r="BW317" s="20">
        <v>-64.41</v>
      </c>
      <c r="BX317" s="20">
        <v>7.96</v>
      </c>
      <c r="BZ317" s="20">
        <v>-30.23</v>
      </c>
      <c r="CA317" s="20">
        <v>79.49</v>
      </c>
      <c r="CI317" s="20">
        <v>-44.13</v>
      </c>
      <c r="CJ317" s="20">
        <v>-15.88</v>
      </c>
      <c r="CO317" s="20">
        <v>-22.37</v>
      </c>
      <c r="CP317" s="20">
        <v>-58.63</v>
      </c>
    </row>
    <row r="318">
      <c r="A318" s="20">
        <v>-20.9</v>
      </c>
      <c r="B318" s="20">
        <v>48.03</v>
      </c>
      <c r="D318" s="20"/>
      <c r="E318" s="20"/>
      <c r="F318" s="20">
        <v>-4.78</v>
      </c>
      <c r="G318" s="20">
        <v>47.07</v>
      </c>
      <c r="I318" s="20"/>
      <c r="J318" s="20"/>
      <c r="K318" s="20">
        <v>158.0</v>
      </c>
      <c r="L318" s="20" t="s">
        <v>17</v>
      </c>
      <c r="M318" s="20">
        <v>-10.79</v>
      </c>
      <c r="N318" s="20">
        <v>8.55</v>
      </c>
      <c r="P318" s="20">
        <v>21.03</v>
      </c>
      <c r="Q318" s="20">
        <v>37.61</v>
      </c>
      <c r="AG318" s="20">
        <v>316.0</v>
      </c>
      <c r="AH318" s="20" t="s">
        <v>14</v>
      </c>
      <c r="AI318" s="20">
        <v>-24.46</v>
      </c>
      <c r="AJ318" s="20">
        <v>-8.4</v>
      </c>
      <c r="AM318" s="20">
        <v>159.0</v>
      </c>
      <c r="AN318" s="20" t="s">
        <v>17</v>
      </c>
      <c r="AO318" s="20">
        <v>24.07</v>
      </c>
      <c r="AP318" s="20">
        <v>1.36</v>
      </c>
      <c r="AS318" s="20">
        <v>158.0</v>
      </c>
      <c r="AT318" s="20" t="s">
        <v>17</v>
      </c>
      <c r="AU318" s="20">
        <v>-13.72</v>
      </c>
      <c r="AV318" s="20">
        <v>-46.75</v>
      </c>
      <c r="BE318" s="20">
        <v>316.0</v>
      </c>
      <c r="BF318" s="20" t="s">
        <v>14</v>
      </c>
      <c r="BG318" s="20">
        <v>35.94</v>
      </c>
      <c r="BH318" s="20">
        <v>24.32</v>
      </c>
      <c r="BK318" s="20">
        <v>158.0</v>
      </c>
      <c r="BL318" s="20" t="s">
        <v>17</v>
      </c>
      <c r="BM318" s="20">
        <v>13.1</v>
      </c>
      <c r="BN318" s="20">
        <v>44.69</v>
      </c>
      <c r="BW318" s="20">
        <v>-57.14</v>
      </c>
      <c r="BX318" s="20">
        <v>3.76</v>
      </c>
      <c r="BZ318" s="20">
        <v>-44.63</v>
      </c>
      <c r="CA318" s="20">
        <v>-14.33</v>
      </c>
      <c r="CI318" s="20">
        <v>-22.56</v>
      </c>
      <c r="CJ318" s="20">
        <v>-20.75</v>
      </c>
      <c r="CO318" s="20">
        <v>-22.74</v>
      </c>
      <c r="CP318" s="20">
        <v>-58.54</v>
      </c>
    </row>
    <row r="319">
      <c r="A319" s="20">
        <v>-52.99</v>
      </c>
      <c r="B319" s="20">
        <v>0.51</v>
      </c>
      <c r="D319" s="20"/>
      <c r="E319" s="20"/>
      <c r="F319" s="20">
        <v>-31.76</v>
      </c>
      <c r="G319" s="20">
        <v>9.28</v>
      </c>
      <c r="I319" s="20"/>
      <c r="J319" s="20"/>
      <c r="K319" s="20">
        <v>159.0</v>
      </c>
      <c r="L319" s="20" t="s">
        <v>14</v>
      </c>
      <c r="M319" s="20">
        <v>-37.99</v>
      </c>
      <c r="N319" s="20">
        <v>-8.59</v>
      </c>
      <c r="P319" s="20">
        <v>-16.43</v>
      </c>
      <c r="Q319" s="20">
        <v>-17.27</v>
      </c>
      <c r="AG319" s="20">
        <v>317.0</v>
      </c>
      <c r="AH319" s="20" t="s">
        <v>14</v>
      </c>
      <c r="AI319" s="20">
        <v>17.96</v>
      </c>
      <c r="AJ319" s="20">
        <v>27.65</v>
      </c>
      <c r="AM319" s="20">
        <v>160.0</v>
      </c>
      <c r="AN319" s="20" t="s">
        <v>14</v>
      </c>
      <c r="AO319" s="20">
        <v>-1.25</v>
      </c>
      <c r="AP319" s="20">
        <v>-9.11</v>
      </c>
      <c r="AS319" s="20">
        <v>159.0</v>
      </c>
      <c r="AT319" s="20" t="s">
        <v>14</v>
      </c>
      <c r="AU319" s="20">
        <v>-18.68</v>
      </c>
      <c r="AV319" s="20">
        <v>-29.47</v>
      </c>
      <c r="BE319" s="20">
        <v>317.0</v>
      </c>
      <c r="BF319" s="20" t="s">
        <v>14</v>
      </c>
      <c r="BG319" s="20">
        <v>-8.42</v>
      </c>
      <c r="BH319" s="20">
        <v>31.13</v>
      </c>
      <c r="BK319" s="20">
        <v>159.0</v>
      </c>
      <c r="BL319" s="20" t="s">
        <v>14</v>
      </c>
      <c r="BM319" s="20">
        <v>29.75</v>
      </c>
      <c r="BN319" s="20">
        <v>32.4</v>
      </c>
      <c r="BW319" s="20">
        <v>-67.93</v>
      </c>
      <c r="BX319" s="20">
        <v>101.03</v>
      </c>
      <c r="BZ319" s="20">
        <v>-5.84</v>
      </c>
      <c r="CA319" s="20">
        <v>112.35</v>
      </c>
      <c r="CI319" s="20">
        <v>-45.5</v>
      </c>
      <c r="CJ319" s="20">
        <v>-25.29</v>
      </c>
      <c r="CO319" s="20">
        <v>6.33</v>
      </c>
      <c r="CP319" s="20">
        <v>-59.25</v>
      </c>
    </row>
    <row r="320">
      <c r="A320" s="20">
        <v>-35.93</v>
      </c>
      <c r="B320" s="20">
        <v>200.59</v>
      </c>
      <c r="D320" s="20"/>
      <c r="E320" s="20"/>
      <c r="F320" s="20">
        <v>-19.05</v>
      </c>
      <c r="G320" s="20">
        <v>-42.38</v>
      </c>
      <c r="I320" s="20"/>
      <c r="J320" s="20"/>
      <c r="K320" s="20">
        <v>159.0</v>
      </c>
      <c r="L320" s="20" t="s">
        <v>17</v>
      </c>
      <c r="M320" s="20">
        <v>-29.83</v>
      </c>
      <c r="N320" s="20">
        <v>3.08</v>
      </c>
      <c r="P320" s="20">
        <v>-13.47</v>
      </c>
      <c r="Q320" s="20">
        <v>-18.31</v>
      </c>
      <c r="AG320" s="20">
        <v>318.0</v>
      </c>
      <c r="AH320" s="20" t="s">
        <v>14</v>
      </c>
      <c r="AI320" s="20">
        <v>2.75</v>
      </c>
      <c r="AJ320" s="20">
        <v>26.95</v>
      </c>
      <c r="AM320" s="20">
        <v>160.0</v>
      </c>
      <c r="AN320" s="20" t="s">
        <v>17</v>
      </c>
      <c r="AO320" s="20">
        <v>-4.6</v>
      </c>
      <c r="AP320" s="20">
        <v>-45.1</v>
      </c>
      <c r="AS320" s="20">
        <v>159.0</v>
      </c>
      <c r="AT320" s="20" t="s">
        <v>17</v>
      </c>
      <c r="AU320" s="20">
        <v>3.86</v>
      </c>
      <c r="AV320" s="20">
        <v>-56.84</v>
      </c>
      <c r="BE320" s="20">
        <v>318.0</v>
      </c>
      <c r="BF320" s="20" t="s">
        <v>14</v>
      </c>
      <c r="BG320" s="20">
        <v>94.57</v>
      </c>
      <c r="BH320" s="20">
        <v>-15.36</v>
      </c>
      <c r="BK320" s="20">
        <v>159.0</v>
      </c>
      <c r="BL320" s="20" t="s">
        <v>17</v>
      </c>
      <c r="BM320" s="20">
        <v>27.75</v>
      </c>
      <c r="BN320" s="20">
        <v>64.43</v>
      </c>
      <c r="BW320" s="20">
        <v>-26.9</v>
      </c>
      <c r="BX320" s="20">
        <v>-39.58</v>
      </c>
      <c r="BZ320" s="20">
        <v>-50.82</v>
      </c>
      <c r="CA320" s="20">
        <v>60.8</v>
      </c>
      <c r="CI320" s="20">
        <v>-62.85</v>
      </c>
      <c r="CJ320" s="20">
        <v>-57.25</v>
      </c>
      <c r="CO320" s="20">
        <v>-15.02</v>
      </c>
      <c r="CP320" s="20">
        <v>-54.34</v>
      </c>
    </row>
    <row r="321">
      <c r="A321" s="20">
        <v>-45.49</v>
      </c>
      <c r="B321" s="20">
        <v>24.25</v>
      </c>
      <c r="D321" s="20"/>
      <c r="E321" s="20"/>
      <c r="F321" s="20">
        <v>8.83</v>
      </c>
      <c r="G321" s="20">
        <v>11.47</v>
      </c>
      <c r="I321" s="20"/>
      <c r="J321" s="20"/>
      <c r="K321" s="20">
        <v>160.0</v>
      </c>
      <c r="L321" s="20" t="s">
        <v>14</v>
      </c>
      <c r="M321" s="20">
        <v>-44.69</v>
      </c>
      <c r="N321" s="20">
        <v>-19.74</v>
      </c>
      <c r="P321" s="20">
        <v>-16.61</v>
      </c>
      <c r="Q321" s="20">
        <v>-23.24</v>
      </c>
      <c r="AG321" s="20">
        <v>319.0</v>
      </c>
      <c r="AH321" s="20" t="s">
        <v>14</v>
      </c>
      <c r="AI321" s="20">
        <v>-34.76</v>
      </c>
      <c r="AJ321" s="20">
        <v>-41.26</v>
      </c>
      <c r="AM321" s="20">
        <v>161.0</v>
      </c>
      <c r="AN321" s="20" t="s">
        <v>14</v>
      </c>
      <c r="AO321" s="20">
        <v>-17.77</v>
      </c>
      <c r="AP321" s="20">
        <v>-29.04</v>
      </c>
      <c r="AS321" s="20">
        <v>160.0</v>
      </c>
      <c r="AT321" s="20" t="s">
        <v>14</v>
      </c>
      <c r="AU321" s="20">
        <v>-4.21</v>
      </c>
      <c r="AV321" s="20">
        <v>-40.37</v>
      </c>
      <c r="BE321" s="20">
        <v>319.0</v>
      </c>
      <c r="BF321" s="20" t="s">
        <v>14</v>
      </c>
      <c r="BG321" s="20">
        <v>-12.25</v>
      </c>
      <c r="BH321" s="20">
        <v>14.81</v>
      </c>
      <c r="BK321" s="20">
        <v>160.0</v>
      </c>
      <c r="BL321" s="20" t="s">
        <v>14</v>
      </c>
      <c r="BM321" s="20">
        <v>-16.2</v>
      </c>
      <c r="BN321" s="20">
        <v>13.09</v>
      </c>
      <c r="BW321" s="20">
        <v>-62.58</v>
      </c>
      <c r="BX321" s="20">
        <v>-50.25</v>
      </c>
      <c r="BZ321" s="20">
        <v>-14.0</v>
      </c>
      <c r="CA321" s="20">
        <v>53.88</v>
      </c>
      <c r="CI321" s="20">
        <v>-50.88</v>
      </c>
      <c r="CJ321" s="20">
        <v>-38.1</v>
      </c>
      <c r="CO321" s="20">
        <v>-20.77</v>
      </c>
      <c r="CP321" s="20">
        <v>-58.6</v>
      </c>
    </row>
    <row r="322">
      <c r="A322" s="20">
        <v>-13.44</v>
      </c>
      <c r="B322" s="20">
        <v>-25.29</v>
      </c>
      <c r="D322" s="20"/>
      <c r="E322" s="20"/>
      <c r="F322" s="20">
        <v>-10.08</v>
      </c>
      <c r="G322" s="20">
        <v>-12.84</v>
      </c>
      <c r="I322" s="20"/>
      <c r="J322" s="20"/>
      <c r="K322" s="20">
        <v>160.0</v>
      </c>
      <c r="L322" s="20" t="s">
        <v>17</v>
      </c>
      <c r="M322" s="20">
        <v>-19.02</v>
      </c>
      <c r="N322" s="20">
        <v>50.57</v>
      </c>
      <c r="P322" s="20">
        <v>8.24</v>
      </c>
      <c r="Q322" s="20">
        <v>-13.0</v>
      </c>
      <c r="AG322" s="20">
        <v>320.0</v>
      </c>
      <c r="AH322" s="20" t="s">
        <v>14</v>
      </c>
      <c r="AI322" s="20">
        <v>-38.08</v>
      </c>
      <c r="AJ322" s="20">
        <v>-36.57</v>
      </c>
      <c r="AM322" s="20">
        <v>161.0</v>
      </c>
      <c r="AN322" s="20" t="s">
        <v>17</v>
      </c>
      <c r="AO322" s="20">
        <v>-27.57</v>
      </c>
      <c r="AP322" s="20">
        <v>-12.86</v>
      </c>
      <c r="AS322" s="20">
        <v>160.0</v>
      </c>
      <c r="AT322" s="20" t="s">
        <v>17</v>
      </c>
      <c r="AU322" s="20">
        <v>6.64</v>
      </c>
      <c r="AV322" s="20">
        <v>-48.81</v>
      </c>
      <c r="BE322" s="20">
        <v>320.0</v>
      </c>
      <c r="BF322" s="20" t="s">
        <v>14</v>
      </c>
      <c r="BG322" s="20">
        <v>21.74</v>
      </c>
      <c r="BH322" s="20">
        <v>28.83</v>
      </c>
      <c r="BK322" s="20">
        <v>160.0</v>
      </c>
      <c r="BL322" s="20" t="s">
        <v>17</v>
      </c>
      <c r="BM322" s="20">
        <v>47.49</v>
      </c>
      <c r="BN322" s="20">
        <v>69.34</v>
      </c>
      <c r="BW322" s="20">
        <v>-56.86</v>
      </c>
      <c r="BX322" s="20">
        <v>-28.75</v>
      </c>
      <c r="BZ322" s="20">
        <v>-38.78</v>
      </c>
      <c r="CA322" s="20">
        <v>88.37</v>
      </c>
      <c r="CI322" s="20">
        <v>-65.1</v>
      </c>
      <c r="CJ322" s="20">
        <v>-60.22</v>
      </c>
      <c r="CO322" s="20">
        <v>-7.22</v>
      </c>
      <c r="CP322" s="20">
        <v>-51.0</v>
      </c>
    </row>
    <row r="323">
      <c r="A323" s="20">
        <v>-19.58</v>
      </c>
      <c r="B323" s="20">
        <v>18.17</v>
      </c>
      <c r="D323" s="20"/>
      <c r="E323" s="20"/>
      <c r="F323" s="20">
        <v>7.42</v>
      </c>
      <c r="G323" s="20">
        <v>8.11</v>
      </c>
      <c r="I323" s="20"/>
      <c r="J323" s="20"/>
      <c r="K323" s="20">
        <v>161.0</v>
      </c>
      <c r="L323" s="20" t="s">
        <v>14</v>
      </c>
      <c r="M323" s="20">
        <v>-14.67</v>
      </c>
      <c r="N323" s="20">
        <v>-11.89</v>
      </c>
      <c r="P323" s="20">
        <v>20.45</v>
      </c>
      <c r="Q323" s="20">
        <v>15.96</v>
      </c>
      <c r="AG323" s="20">
        <v>321.0</v>
      </c>
      <c r="AH323" s="20" t="s">
        <v>14</v>
      </c>
      <c r="AI323" s="20">
        <v>-3.82</v>
      </c>
      <c r="AJ323" s="20">
        <v>-8.41</v>
      </c>
      <c r="AM323" s="20">
        <v>162.0</v>
      </c>
      <c r="AN323" s="20" t="s">
        <v>14</v>
      </c>
      <c r="AO323" s="20">
        <v>-8.87</v>
      </c>
      <c r="AP323" s="20">
        <v>-12.55</v>
      </c>
      <c r="AS323" s="20">
        <v>161.0</v>
      </c>
      <c r="AT323" s="20" t="s">
        <v>14</v>
      </c>
      <c r="AU323" s="20">
        <v>-8.89</v>
      </c>
      <c r="AV323" s="20">
        <v>-50.4</v>
      </c>
      <c r="BE323" s="20">
        <v>321.0</v>
      </c>
      <c r="BF323" s="20" t="s">
        <v>14</v>
      </c>
      <c r="BG323" s="20">
        <v>-19.81</v>
      </c>
      <c r="BH323" s="20">
        <v>-5.41</v>
      </c>
      <c r="BK323" s="20">
        <v>161.0</v>
      </c>
      <c r="BL323" s="20" t="s">
        <v>14</v>
      </c>
      <c r="BM323" s="20">
        <v>17.78</v>
      </c>
      <c r="BN323" s="20">
        <v>19.03</v>
      </c>
      <c r="BW323" s="20">
        <v>-25.02</v>
      </c>
      <c r="BX323" s="20">
        <v>22.1</v>
      </c>
      <c r="BZ323" s="20">
        <v>-41.38</v>
      </c>
      <c r="CA323" s="20">
        <v>11.69</v>
      </c>
      <c r="CI323" s="20">
        <v>-55.14</v>
      </c>
      <c r="CJ323" s="20">
        <v>-47.84</v>
      </c>
      <c r="CO323" s="20">
        <v>20.53</v>
      </c>
      <c r="CP323" s="20">
        <v>-50.84</v>
      </c>
    </row>
    <row r="324">
      <c r="A324" s="20">
        <v>2.9</v>
      </c>
      <c r="B324" s="20">
        <v>34.78</v>
      </c>
      <c r="D324" s="20"/>
      <c r="E324" s="20"/>
      <c r="F324" s="20">
        <v>-29.91</v>
      </c>
      <c r="G324" s="20">
        <v>13.72</v>
      </c>
      <c r="I324" s="20"/>
      <c r="J324" s="20"/>
      <c r="K324" s="20">
        <v>161.0</v>
      </c>
      <c r="L324" s="20" t="s">
        <v>17</v>
      </c>
      <c r="M324" s="20">
        <v>-7.85</v>
      </c>
      <c r="N324" s="20">
        <v>6.36</v>
      </c>
      <c r="P324" s="20">
        <v>16.78</v>
      </c>
      <c r="Q324" s="20">
        <v>45.62</v>
      </c>
      <c r="AG324" s="20">
        <v>322.0</v>
      </c>
      <c r="AH324" s="20" t="s">
        <v>14</v>
      </c>
      <c r="AI324" s="20">
        <v>-43.59</v>
      </c>
      <c r="AJ324" s="20">
        <v>-41.89</v>
      </c>
      <c r="AM324" s="20">
        <v>162.0</v>
      </c>
      <c r="AN324" s="20" t="s">
        <v>17</v>
      </c>
      <c r="AO324" s="20">
        <v>-20.16</v>
      </c>
      <c r="AP324" s="20">
        <v>6.08</v>
      </c>
      <c r="AS324" s="20">
        <v>161.0</v>
      </c>
      <c r="AT324" s="20" t="s">
        <v>17</v>
      </c>
      <c r="AU324" s="20">
        <v>-41.69</v>
      </c>
      <c r="AV324" s="20">
        <v>15.75</v>
      </c>
      <c r="BE324" s="20">
        <v>322.0</v>
      </c>
      <c r="BF324" s="20" t="s">
        <v>14</v>
      </c>
      <c r="BG324" s="20">
        <v>-9.27</v>
      </c>
      <c r="BH324" s="20">
        <v>-10.1</v>
      </c>
      <c r="BK324" s="20">
        <v>161.0</v>
      </c>
      <c r="BL324" s="20" t="s">
        <v>17</v>
      </c>
      <c r="BM324" s="20">
        <v>13.25</v>
      </c>
      <c r="BN324" s="20">
        <v>56.98</v>
      </c>
      <c r="BW324" s="20">
        <v>-51.85</v>
      </c>
      <c r="BX324" s="20">
        <v>-29.67</v>
      </c>
      <c r="BZ324" s="20">
        <v>-43.68</v>
      </c>
      <c r="CA324" s="20">
        <v>61.43</v>
      </c>
      <c r="CI324" s="20">
        <v>-47.37</v>
      </c>
      <c r="CJ324" s="20">
        <v>-58.07</v>
      </c>
      <c r="CO324" s="20">
        <v>-4.13</v>
      </c>
      <c r="CP324" s="20">
        <v>-61.18</v>
      </c>
    </row>
    <row r="325">
      <c r="A325" s="20">
        <v>19.24</v>
      </c>
      <c r="B325" s="20">
        <v>14.56</v>
      </c>
      <c r="D325" s="20"/>
      <c r="E325" s="20"/>
      <c r="F325" s="20">
        <v>-20.16</v>
      </c>
      <c r="G325" s="20">
        <v>-34.14</v>
      </c>
      <c r="I325" s="20"/>
      <c r="J325" s="20"/>
      <c r="K325" s="20">
        <v>162.0</v>
      </c>
      <c r="L325" s="20" t="s">
        <v>14</v>
      </c>
      <c r="M325" s="20">
        <v>-16.7</v>
      </c>
      <c r="N325" s="20">
        <v>-14.09</v>
      </c>
      <c r="P325" s="20">
        <v>28.6</v>
      </c>
      <c r="Q325" s="20">
        <v>15.88</v>
      </c>
      <c r="AG325" s="20">
        <v>323.0</v>
      </c>
      <c r="AH325" s="20" t="s">
        <v>14</v>
      </c>
      <c r="AI325" s="20">
        <v>-16.95</v>
      </c>
      <c r="AJ325" s="20">
        <v>-23.76</v>
      </c>
      <c r="AM325" s="20">
        <v>163.0</v>
      </c>
      <c r="AN325" s="20" t="s">
        <v>14</v>
      </c>
      <c r="AO325" s="20">
        <v>-17.11</v>
      </c>
      <c r="AP325" s="20">
        <v>-2.87</v>
      </c>
      <c r="AS325" s="20">
        <v>162.0</v>
      </c>
      <c r="AT325" s="20" t="s">
        <v>14</v>
      </c>
      <c r="AU325" s="20">
        <v>-16.34</v>
      </c>
      <c r="AV325" s="20">
        <v>-32.38</v>
      </c>
      <c r="BE325" s="20">
        <v>323.0</v>
      </c>
      <c r="BF325" s="20" t="s">
        <v>14</v>
      </c>
      <c r="BG325" s="20">
        <v>-35.67</v>
      </c>
      <c r="BH325" s="20">
        <v>6.43</v>
      </c>
      <c r="BK325" s="20">
        <v>162.0</v>
      </c>
      <c r="BL325" s="20" t="s">
        <v>14</v>
      </c>
      <c r="BM325" s="20">
        <v>9.2</v>
      </c>
      <c r="BN325" s="20">
        <v>12.19</v>
      </c>
      <c r="BW325" s="20">
        <v>-43.24</v>
      </c>
      <c r="BX325" s="20">
        <v>-40.1</v>
      </c>
      <c r="BZ325" s="20">
        <v>-24.93</v>
      </c>
      <c r="CA325" s="20">
        <v>90.73</v>
      </c>
      <c r="CI325" s="20">
        <v>-41.53</v>
      </c>
      <c r="CJ325" s="20">
        <v>-58.27</v>
      </c>
      <c r="CO325" s="20">
        <v>-17.48</v>
      </c>
      <c r="CP325" s="20">
        <v>-33.26</v>
      </c>
    </row>
    <row r="326">
      <c r="A326" s="20">
        <v>-11.04</v>
      </c>
      <c r="B326" s="20">
        <v>179.19</v>
      </c>
      <c r="D326" s="20"/>
      <c r="E326" s="20"/>
      <c r="F326" s="20">
        <v>-51.77</v>
      </c>
      <c r="G326" s="20">
        <v>2.13</v>
      </c>
      <c r="I326" s="20"/>
      <c r="J326" s="20"/>
      <c r="K326" s="20">
        <v>162.0</v>
      </c>
      <c r="L326" s="20" t="s">
        <v>17</v>
      </c>
      <c r="M326" s="20">
        <v>21.46</v>
      </c>
      <c r="N326" s="20">
        <v>94.39</v>
      </c>
      <c r="P326" s="20">
        <v>-0.81</v>
      </c>
      <c r="Q326" s="20">
        <v>0.4</v>
      </c>
      <c r="AG326" s="20">
        <v>324.0</v>
      </c>
      <c r="AH326" s="20" t="s">
        <v>14</v>
      </c>
      <c r="AI326" s="20">
        <v>-30.85</v>
      </c>
      <c r="AJ326" s="20">
        <v>1.66</v>
      </c>
      <c r="AM326" s="20">
        <v>163.0</v>
      </c>
      <c r="AN326" s="20" t="s">
        <v>17</v>
      </c>
      <c r="AO326" s="20">
        <v>-27.73</v>
      </c>
      <c r="AP326" s="20">
        <v>36.19</v>
      </c>
      <c r="AS326" s="20">
        <v>162.0</v>
      </c>
      <c r="AT326" s="20" t="s">
        <v>17</v>
      </c>
      <c r="AU326" s="20">
        <v>-45.01</v>
      </c>
      <c r="AV326" s="20">
        <v>-41.8</v>
      </c>
      <c r="BE326" s="20">
        <v>324.0</v>
      </c>
      <c r="BF326" s="20" t="s">
        <v>14</v>
      </c>
      <c r="BG326" s="20">
        <v>17.65</v>
      </c>
      <c r="BH326" s="20">
        <v>5.56</v>
      </c>
      <c r="BK326" s="20">
        <v>162.0</v>
      </c>
      <c r="BL326" s="20" t="s">
        <v>17</v>
      </c>
      <c r="BM326" s="20">
        <v>16.4</v>
      </c>
      <c r="BN326" s="20">
        <v>106.42</v>
      </c>
      <c r="BW326" s="20">
        <v>-24.23</v>
      </c>
      <c r="BX326" s="20">
        <v>-39.97</v>
      </c>
      <c r="BZ326" s="20">
        <v>-56.78</v>
      </c>
      <c r="CA326" s="20">
        <v>6.59</v>
      </c>
      <c r="CI326" s="20">
        <v>-58.54</v>
      </c>
      <c r="CJ326" s="20">
        <v>-61.63</v>
      </c>
      <c r="CO326" s="20">
        <v>-5.52</v>
      </c>
      <c r="CP326" s="20">
        <v>-38.62</v>
      </c>
    </row>
    <row r="327">
      <c r="A327" s="20">
        <v>-45.54</v>
      </c>
      <c r="B327" s="20">
        <v>2.26</v>
      </c>
      <c r="D327" s="20"/>
      <c r="E327" s="20"/>
      <c r="F327" s="20">
        <v>-6.76</v>
      </c>
      <c r="G327" s="20">
        <v>1.48</v>
      </c>
      <c r="I327" s="20"/>
      <c r="J327" s="20"/>
      <c r="K327" s="20">
        <v>163.0</v>
      </c>
      <c r="L327" s="20" t="s">
        <v>14</v>
      </c>
      <c r="M327" s="20">
        <v>47.02</v>
      </c>
      <c r="N327" s="20">
        <v>-7.42</v>
      </c>
      <c r="P327" s="20">
        <v>-0.97</v>
      </c>
      <c r="Q327" s="20">
        <v>-15.67</v>
      </c>
      <c r="AG327" s="20">
        <v>325.0</v>
      </c>
      <c r="AH327" s="20" t="s">
        <v>14</v>
      </c>
      <c r="AI327" s="20">
        <v>-40.63</v>
      </c>
      <c r="AJ327" s="20">
        <v>-29.62</v>
      </c>
      <c r="AM327" s="20">
        <v>164.0</v>
      </c>
      <c r="AN327" s="20" t="s">
        <v>14</v>
      </c>
      <c r="AO327" s="20">
        <v>-9.31</v>
      </c>
      <c r="AP327" s="20">
        <v>-0.31</v>
      </c>
      <c r="AS327" s="20">
        <v>163.0</v>
      </c>
      <c r="AT327" s="20" t="s">
        <v>14</v>
      </c>
      <c r="AU327" s="20">
        <v>-1.68</v>
      </c>
      <c r="AV327" s="20">
        <v>-31.62</v>
      </c>
      <c r="BE327" s="20">
        <v>325.0</v>
      </c>
      <c r="BF327" s="20" t="s">
        <v>14</v>
      </c>
      <c r="BG327" s="20">
        <v>5.07</v>
      </c>
      <c r="BH327" s="20">
        <v>-7.57</v>
      </c>
      <c r="BK327" s="20">
        <v>163.0</v>
      </c>
      <c r="BL327" s="20" t="s">
        <v>14</v>
      </c>
      <c r="BM327" s="20">
        <v>-6.71</v>
      </c>
      <c r="BN327" s="20">
        <v>43.93</v>
      </c>
      <c r="BW327" s="20">
        <v>-60.21</v>
      </c>
      <c r="BX327" s="20">
        <v>-52.28</v>
      </c>
      <c r="BZ327" s="20">
        <v>-34.5</v>
      </c>
      <c r="CA327" s="20">
        <v>17.22</v>
      </c>
      <c r="CI327" s="20">
        <v>-51.97</v>
      </c>
      <c r="CJ327" s="20">
        <v>-42.38</v>
      </c>
      <c r="CO327" s="20">
        <v>-27.43</v>
      </c>
      <c r="CP327" s="20">
        <v>-56.28</v>
      </c>
    </row>
    <row r="328">
      <c r="A328" s="20">
        <v>-23.85</v>
      </c>
      <c r="B328" s="20">
        <v>110.58</v>
      </c>
      <c r="D328" s="20"/>
      <c r="E328" s="20"/>
      <c r="F328" s="20">
        <v>29.71</v>
      </c>
      <c r="G328" s="20">
        <v>-8.59</v>
      </c>
      <c r="I328" s="20"/>
      <c r="J328" s="20"/>
      <c r="K328" s="20">
        <v>163.0</v>
      </c>
      <c r="L328" s="20" t="s">
        <v>17</v>
      </c>
      <c r="M328" s="20">
        <v>40.37</v>
      </c>
      <c r="N328" s="20">
        <v>53.0</v>
      </c>
      <c r="P328" s="20">
        <v>-8.01</v>
      </c>
      <c r="Q328" s="20">
        <v>4.72</v>
      </c>
      <c r="AG328" s="20">
        <v>326.0</v>
      </c>
      <c r="AH328" s="20" t="s">
        <v>14</v>
      </c>
      <c r="AI328" s="20">
        <v>27.94</v>
      </c>
      <c r="AJ328" s="20">
        <v>39.17</v>
      </c>
      <c r="AM328" s="20">
        <v>164.0</v>
      </c>
      <c r="AN328" s="20" t="s">
        <v>17</v>
      </c>
      <c r="AO328" s="20">
        <v>-46.19</v>
      </c>
      <c r="AP328" s="20">
        <v>13.62</v>
      </c>
      <c r="AS328" s="20">
        <v>163.0</v>
      </c>
      <c r="AT328" s="20" t="s">
        <v>17</v>
      </c>
      <c r="AU328" s="20">
        <v>21.69</v>
      </c>
      <c r="AV328" s="20">
        <v>-29.77</v>
      </c>
      <c r="BE328" s="20">
        <v>326.0</v>
      </c>
      <c r="BF328" s="20" t="s">
        <v>14</v>
      </c>
      <c r="BG328" s="20">
        <v>25.95</v>
      </c>
      <c r="BH328" s="20">
        <v>16.03</v>
      </c>
      <c r="BK328" s="20">
        <v>163.0</v>
      </c>
      <c r="BL328" s="20" t="s">
        <v>17</v>
      </c>
      <c r="BM328" s="20">
        <v>86.64</v>
      </c>
      <c r="BN328" s="20">
        <v>127.14</v>
      </c>
      <c r="BW328" s="20">
        <v>-72.16</v>
      </c>
      <c r="BX328" s="20">
        <v>-22.73</v>
      </c>
      <c r="BZ328" s="20">
        <v>-15.88</v>
      </c>
      <c r="CA328" s="20">
        <v>66.18</v>
      </c>
      <c r="CI328" s="20">
        <v>-41.93</v>
      </c>
      <c r="CJ328" s="20">
        <v>3.67</v>
      </c>
      <c r="CO328" s="20">
        <v>-11.9</v>
      </c>
      <c r="CP328" s="20">
        <v>-54.62</v>
      </c>
    </row>
    <row r="329">
      <c r="A329" s="20">
        <v>11.12</v>
      </c>
      <c r="B329" s="20">
        <v>8.43</v>
      </c>
      <c r="D329" s="20"/>
      <c r="E329" s="20"/>
      <c r="F329" s="20">
        <v>30.86</v>
      </c>
      <c r="G329" s="20">
        <v>13.91</v>
      </c>
      <c r="I329" s="20"/>
      <c r="J329" s="20"/>
      <c r="K329" s="20">
        <v>164.0</v>
      </c>
      <c r="L329" s="20" t="s">
        <v>14</v>
      </c>
      <c r="M329" s="20">
        <v>-3.64</v>
      </c>
      <c r="N329" s="20">
        <v>3.39</v>
      </c>
      <c r="P329" s="20">
        <v>22.39</v>
      </c>
      <c r="Q329" s="20">
        <v>8.11</v>
      </c>
      <c r="AG329" s="20">
        <v>327.0</v>
      </c>
      <c r="AH329" s="20" t="s">
        <v>14</v>
      </c>
      <c r="AI329" s="20">
        <v>33.17</v>
      </c>
      <c r="AJ329" s="20">
        <v>28.94</v>
      </c>
      <c r="AM329" s="20">
        <v>165.0</v>
      </c>
      <c r="AN329" s="20" t="s">
        <v>14</v>
      </c>
      <c r="AO329" s="20">
        <v>-18.51</v>
      </c>
      <c r="AP329" s="20">
        <v>-36.11</v>
      </c>
      <c r="AS329" s="20">
        <v>164.0</v>
      </c>
      <c r="AT329" s="20" t="s">
        <v>14</v>
      </c>
      <c r="AU329" s="20">
        <v>2.86</v>
      </c>
      <c r="AV329" s="20">
        <v>-54.78</v>
      </c>
      <c r="BE329" s="20">
        <v>327.0</v>
      </c>
      <c r="BF329" s="20" t="s">
        <v>14</v>
      </c>
      <c r="BG329" s="20">
        <v>13.47</v>
      </c>
      <c r="BH329" s="20">
        <v>29.69</v>
      </c>
      <c r="BK329" s="20">
        <v>164.0</v>
      </c>
      <c r="BL329" s="20" t="s">
        <v>14</v>
      </c>
      <c r="BM329" s="20">
        <v>-12.1</v>
      </c>
      <c r="BN329" s="20">
        <v>34.81</v>
      </c>
      <c r="BW329" s="20">
        <v>-28.05</v>
      </c>
      <c r="BX329" s="20">
        <v>4.97</v>
      </c>
      <c r="BZ329" s="20">
        <v>-52.82</v>
      </c>
      <c r="CA329" s="20">
        <v>35.9</v>
      </c>
      <c r="CI329" s="20">
        <v>-55.19</v>
      </c>
      <c r="CJ329" s="20">
        <v>-3.11</v>
      </c>
      <c r="CO329" s="20">
        <v>-28.19</v>
      </c>
      <c r="CP329" s="20">
        <v>-38.05</v>
      </c>
    </row>
    <row r="330">
      <c r="A330" s="20">
        <v>-30.78</v>
      </c>
      <c r="B330" s="20">
        <v>21.84</v>
      </c>
      <c r="D330" s="20"/>
      <c r="E330" s="20"/>
      <c r="F330" s="20">
        <v>33.35</v>
      </c>
      <c r="G330" s="20">
        <v>1.23</v>
      </c>
      <c r="I330" s="20"/>
      <c r="J330" s="20"/>
      <c r="K330" s="20">
        <v>164.0</v>
      </c>
      <c r="L330" s="20" t="s">
        <v>17</v>
      </c>
      <c r="M330" s="20">
        <v>-2.84</v>
      </c>
      <c r="N330" s="20">
        <v>-9.86</v>
      </c>
      <c r="P330" s="20">
        <v>23.11</v>
      </c>
      <c r="Q330" s="20">
        <v>38.64</v>
      </c>
      <c r="AG330" s="20">
        <v>328.0</v>
      </c>
      <c r="AH330" s="20" t="s">
        <v>14</v>
      </c>
      <c r="AI330" s="20">
        <v>-34.35</v>
      </c>
      <c r="AJ330" s="20">
        <v>-18.05</v>
      </c>
      <c r="AM330" s="20">
        <v>165.0</v>
      </c>
      <c r="AN330" s="20" t="s">
        <v>17</v>
      </c>
      <c r="AO330" s="20">
        <v>-39.85</v>
      </c>
      <c r="AP330" s="20">
        <v>-10.93</v>
      </c>
      <c r="AS330" s="20">
        <v>164.0</v>
      </c>
      <c r="AT330" s="20" t="s">
        <v>17</v>
      </c>
      <c r="AU330" s="20">
        <v>-12.99</v>
      </c>
      <c r="AV330" s="20">
        <v>-10.47</v>
      </c>
      <c r="BE330" s="20">
        <v>328.0</v>
      </c>
      <c r="BF330" s="20" t="s">
        <v>14</v>
      </c>
      <c r="BG330" s="20">
        <v>8.79</v>
      </c>
      <c r="BH330" s="20">
        <v>46.0</v>
      </c>
      <c r="BK330" s="20">
        <v>164.0</v>
      </c>
      <c r="BL330" s="20" t="s">
        <v>17</v>
      </c>
      <c r="BM330" s="20">
        <v>25.87</v>
      </c>
      <c r="BN330" s="20">
        <v>81.1</v>
      </c>
      <c r="BW330" s="20">
        <v>-61.58</v>
      </c>
      <c r="BX330" s="20">
        <v>-23.76</v>
      </c>
      <c r="BZ330" s="20">
        <v>-38.73</v>
      </c>
      <c r="CA330" s="20">
        <v>-1.38</v>
      </c>
      <c r="CI330" s="20">
        <v>-48.59</v>
      </c>
      <c r="CJ330" s="20">
        <v>17.83</v>
      </c>
      <c r="CO330" s="20">
        <v>-18.87</v>
      </c>
      <c r="CP330" s="20">
        <v>-51.7</v>
      </c>
    </row>
    <row r="331">
      <c r="A331" s="20">
        <v>-33.0</v>
      </c>
      <c r="B331" s="20">
        <v>-14.28</v>
      </c>
      <c r="D331" s="20"/>
      <c r="E331" s="20"/>
      <c r="F331" s="20">
        <v>-32.27</v>
      </c>
      <c r="G331" s="20">
        <v>43.64</v>
      </c>
      <c r="I331" s="20"/>
      <c r="J331" s="20"/>
      <c r="K331" s="20">
        <v>165.0</v>
      </c>
      <c r="L331" s="20" t="s">
        <v>14</v>
      </c>
      <c r="M331" s="20">
        <v>14.34</v>
      </c>
      <c r="N331" s="20">
        <v>19.72</v>
      </c>
      <c r="P331" s="20">
        <v>26.03</v>
      </c>
      <c r="Q331" s="20">
        <v>32.06</v>
      </c>
      <c r="AG331" s="20">
        <v>329.0</v>
      </c>
      <c r="AH331" s="20" t="s">
        <v>14</v>
      </c>
      <c r="AI331" s="20">
        <v>-20.81</v>
      </c>
      <c r="AJ331" s="20">
        <v>0.2</v>
      </c>
      <c r="AM331" s="20">
        <v>166.0</v>
      </c>
      <c r="AN331" s="20" t="s">
        <v>14</v>
      </c>
      <c r="AO331" s="20">
        <v>-5.49</v>
      </c>
      <c r="AP331" s="20">
        <v>2.88</v>
      </c>
      <c r="AS331" s="20">
        <v>165.0</v>
      </c>
      <c r="AT331" s="20" t="s">
        <v>14</v>
      </c>
      <c r="AU331" s="20">
        <v>-29.86</v>
      </c>
      <c r="AV331" s="20">
        <v>-37.94</v>
      </c>
      <c r="BE331" s="20">
        <v>329.0</v>
      </c>
      <c r="BF331" s="20" t="s">
        <v>14</v>
      </c>
      <c r="BG331" s="20">
        <v>-18.79</v>
      </c>
      <c r="BH331" s="20">
        <v>-3.09</v>
      </c>
      <c r="BK331" s="20">
        <v>165.0</v>
      </c>
      <c r="BL331" s="20" t="s">
        <v>14</v>
      </c>
      <c r="BM331" s="20">
        <v>61.93</v>
      </c>
      <c r="BN331" s="20">
        <v>56.67</v>
      </c>
      <c r="BW331" s="20">
        <v>-62.2</v>
      </c>
      <c r="BX331" s="20">
        <v>-7.84</v>
      </c>
      <c r="BZ331" s="20">
        <v>-43.28</v>
      </c>
      <c r="CA331" s="20">
        <v>57.24</v>
      </c>
      <c r="CI331" s="20">
        <v>-53.67</v>
      </c>
      <c r="CJ331" s="20">
        <v>-57.31</v>
      </c>
      <c r="CO331" s="20">
        <v>18.6</v>
      </c>
      <c r="CP331" s="20">
        <v>-57.85</v>
      </c>
    </row>
    <row r="332">
      <c r="A332" s="20">
        <v>-23.72</v>
      </c>
      <c r="B332" s="20">
        <v>121.93</v>
      </c>
      <c r="D332" s="20"/>
      <c r="E332" s="20"/>
      <c r="F332" s="20">
        <v>-19.44</v>
      </c>
      <c r="G332" s="20">
        <v>16.89</v>
      </c>
      <c r="I332" s="20"/>
      <c r="J332" s="20"/>
      <c r="K332" s="20">
        <v>165.0</v>
      </c>
      <c r="L332" s="20" t="s">
        <v>17</v>
      </c>
      <c r="M332" s="20">
        <v>-2.51</v>
      </c>
      <c r="N332" s="20">
        <v>-2.38</v>
      </c>
      <c r="P332" s="20">
        <v>12.93</v>
      </c>
      <c r="Q332" s="20">
        <v>19.5</v>
      </c>
      <c r="AG332" s="20">
        <v>330.0</v>
      </c>
      <c r="AH332" s="20" t="s">
        <v>14</v>
      </c>
      <c r="AI332" s="20">
        <v>-26.46</v>
      </c>
      <c r="AJ332" s="20">
        <v>-35.67</v>
      </c>
      <c r="AM332" s="20">
        <v>166.0</v>
      </c>
      <c r="AN332" s="20" t="s">
        <v>17</v>
      </c>
      <c r="AO332" s="20">
        <v>-16.42</v>
      </c>
      <c r="AP332" s="20">
        <v>-14.17</v>
      </c>
      <c r="AS332" s="20">
        <v>165.0</v>
      </c>
      <c r="AT332" s="20" t="s">
        <v>17</v>
      </c>
      <c r="AU332" s="20">
        <v>-35.99</v>
      </c>
      <c r="AV332" s="20">
        <v>-42.11</v>
      </c>
      <c r="BE332" s="20">
        <v>330.0</v>
      </c>
      <c r="BF332" s="20" t="s">
        <v>14</v>
      </c>
      <c r="BG332" s="20">
        <v>61.85</v>
      </c>
      <c r="BH332" s="20">
        <v>-3.14</v>
      </c>
      <c r="BK332" s="20">
        <v>165.0</v>
      </c>
      <c r="BL332" s="20" t="s">
        <v>17</v>
      </c>
      <c r="BM332" s="20">
        <v>52.72</v>
      </c>
      <c r="BN332" s="20">
        <v>118.33</v>
      </c>
      <c r="BW332" s="20">
        <v>-47.51</v>
      </c>
      <c r="BX332" s="20">
        <v>-26.49</v>
      </c>
      <c r="BZ332" s="20">
        <v>-52.47</v>
      </c>
      <c r="CA332" s="20">
        <v>17.33</v>
      </c>
      <c r="CI332" s="20">
        <v>-56.89</v>
      </c>
      <c r="CJ332" s="20">
        <v>-44.11</v>
      </c>
      <c r="CO332" s="20">
        <v>11.99</v>
      </c>
      <c r="CP332" s="20">
        <v>-55.66</v>
      </c>
    </row>
    <row r="333">
      <c r="A333" s="20">
        <v>-25.13</v>
      </c>
      <c r="B333" s="20">
        <v>136.96</v>
      </c>
      <c r="D333" s="20"/>
      <c r="E333" s="20"/>
      <c r="F333" s="20">
        <v>60.18</v>
      </c>
      <c r="G333" s="20">
        <v>-2.24</v>
      </c>
      <c r="I333" s="20"/>
      <c r="J333" s="20"/>
      <c r="K333" s="20">
        <v>166.0</v>
      </c>
      <c r="L333" s="20" t="s">
        <v>14</v>
      </c>
      <c r="M333" s="20">
        <v>-9.96</v>
      </c>
      <c r="N333" s="20">
        <v>2.85</v>
      </c>
      <c r="P333" s="20">
        <v>19.87</v>
      </c>
      <c r="Q333" s="20">
        <v>15.88</v>
      </c>
      <c r="AG333" s="20">
        <v>331.0</v>
      </c>
      <c r="AH333" s="20" t="s">
        <v>14</v>
      </c>
      <c r="AI333" s="20">
        <v>-59.18</v>
      </c>
      <c r="AJ333" s="20">
        <v>-43.22</v>
      </c>
      <c r="AM333" s="20">
        <v>167.0</v>
      </c>
      <c r="AN333" s="20" t="s">
        <v>14</v>
      </c>
      <c r="AO333" s="20">
        <v>-15.54</v>
      </c>
      <c r="AP333" s="20">
        <v>11.63</v>
      </c>
      <c r="AS333" s="20">
        <v>166.0</v>
      </c>
      <c r="AT333" s="20" t="s">
        <v>14</v>
      </c>
      <c r="AU333" s="20">
        <v>-18.01</v>
      </c>
      <c r="AV333" s="20">
        <v>-46.21</v>
      </c>
      <c r="BE333" s="20">
        <v>331.0</v>
      </c>
      <c r="BF333" s="20" t="s">
        <v>14</v>
      </c>
      <c r="BG333" s="20">
        <v>16.79</v>
      </c>
      <c r="BH333" s="20">
        <v>29.08</v>
      </c>
      <c r="BK333" s="20">
        <v>166.0</v>
      </c>
      <c r="BL333" s="20" t="s">
        <v>14</v>
      </c>
      <c r="BM333" s="20">
        <v>69.14</v>
      </c>
      <c r="BN333" s="20">
        <v>87.3</v>
      </c>
      <c r="BW333" s="20">
        <v>-19.05</v>
      </c>
      <c r="BX333" s="20">
        <v>-20.57</v>
      </c>
      <c r="BZ333" s="20">
        <v>-35.38</v>
      </c>
      <c r="CA333" s="20">
        <v>46.66</v>
      </c>
      <c r="CI333" s="20">
        <v>-50.34</v>
      </c>
      <c r="CJ333" s="20">
        <v>-37.49</v>
      </c>
      <c r="CO333" s="20">
        <v>-36.37</v>
      </c>
      <c r="CP333" s="20">
        <v>-47.32</v>
      </c>
    </row>
    <row r="334">
      <c r="A334" s="20">
        <v>-37.35</v>
      </c>
      <c r="B334" s="20">
        <v>-4.42</v>
      </c>
      <c r="D334" s="20"/>
      <c r="E334" s="20"/>
      <c r="F334" s="20">
        <v>38.39</v>
      </c>
      <c r="G334" s="20">
        <v>-13.78</v>
      </c>
      <c r="I334" s="20"/>
      <c r="J334" s="20"/>
      <c r="K334" s="20">
        <v>166.0</v>
      </c>
      <c r="L334" s="20" t="s">
        <v>17</v>
      </c>
      <c r="M334" s="20">
        <v>-31.57</v>
      </c>
      <c r="N334" s="20">
        <v>-20.92</v>
      </c>
      <c r="P334" s="20">
        <v>-18.26</v>
      </c>
      <c r="Q334" s="20">
        <v>-16.83</v>
      </c>
      <c r="AG334" s="20">
        <v>332.0</v>
      </c>
      <c r="AH334" s="20" t="s">
        <v>14</v>
      </c>
      <c r="AI334" s="20">
        <v>-5.74</v>
      </c>
      <c r="AJ334" s="20">
        <v>17.54</v>
      </c>
      <c r="AM334" s="20">
        <v>167.0</v>
      </c>
      <c r="AN334" s="20" t="s">
        <v>17</v>
      </c>
      <c r="AO334" s="20">
        <v>-25.13</v>
      </c>
      <c r="AP334" s="20">
        <v>-0.51</v>
      </c>
      <c r="AS334" s="20">
        <v>166.0</v>
      </c>
      <c r="AT334" s="20" t="s">
        <v>17</v>
      </c>
      <c r="AU334" s="20">
        <v>-37.06</v>
      </c>
      <c r="AV334" s="20">
        <v>-55.2</v>
      </c>
      <c r="BE334" s="20">
        <v>332.0</v>
      </c>
      <c r="BF334" s="20" t="s">
        <v>14</v>
      </c>
      <c r="BG334" s="20">
        <v>-5.19</v>
      </c>
      <c r="BH334" s="20">
        <v>20.81</v>
      </c>
      <c r="BK334" s="20">
        <v>166.0</v>
      </c>
      <c r="BL334" s="20" t="s">
        <v>17</v>
      </c>
      <c r="BM334" s="20">
        <v>32.7</v>
      </c>
      <c r="BN334" s="20">
        <v>94.33</v>
      </c>
      <c r="BW334" s="20">
        <v>-38.77</v>
      </c>
      <c r="BX334" s="20">
        <v>-23.11</v>
      </c>
      <c r="BZ334" s="20">
        <v>-53.18</v>
      </c>
      <c r="CA334" s="20">
        <v>15.8</v>
      </c>
      <c r="CI334" s="20">
        <v>-53.49</v>
      </c>
      <c r="CJ334" s="20">
        <v>-39.2</v>
      </c>
      <c r="CO334" s="20">
        <v>-30.13</v>
      </c>
      <c r="CP334" s="20">
        <v>-13.22</v>
      </c>
    </row>
    <row r="335">
      <c r="A335" s="20">
        <v>-2.78</v>
      </c>
      <c r="B335" s="20">
        <v>109.47</v>
      </c>
      <c r="D335" s="20"/>
      <c r="E335" s="20"/>
      <c r="F335" s="20">
        <v>3.75</v>
      </c>
      <c r="G335" s="20">
        <v>-17.52</v>
      </c>
      <c r="I335" s="20"/>
      <c r="J335" s="20"/>
      <c r="K335" s="20">
        <v>167.0</v>
      </c>
      <c r="L335" s="20" t="s">
        <v>14</v>
      </c>
      <c r="M335" s="20">
        <v>-15.55</v>
      </c>
      <c r="N335" s="20">
        <v>-4.84</v>
      </c>
      <c r="P335" s="20">
        <v>27.21</v>
      </c>
      <c r="Q335" s="20">
        <v>16.59</v>
      </c>
      <c r="AG335" s="20">
        <v>333.0</v>
      </c>
      <c r="AH335" s="20" t="s">
        <v>14</v>
      </c>
      <c r="AI335" s="20">
        <v>-4.09</v>
      </c>
      <c r="AJ335" s="20">
        <v>19.49</v>
      </c>
      <c r="AM335" s="20">
        <v>168.0</v>
      </c>
      <c r="AN335" s="20" t="s">
        <v>14</v>
      </c>
      <c r="AO335" s="20">
        <v>15.53</v>
      </c>
      <c r="AP335" s="20">
        <v>-2.94</v>
      </c>
      <c r="AS335" s="20">
        <v>167.0</v>
      </c>
      <c r="AT335" s="20" t="s">
        <v>14</v>
      </c>
      <c r="AU335" s="20">
        <v>-27.19</v>
      </c>
      <c r="AV335" s="20">
        <v>-55.64</v>
      </c>
      <c r="BE335" s="20">
        <v>333.0</v>
      </c>
      <c r="BF335" s="20" t="s">
        <v>14</v>
      </c>
      <c r="BG335" s="20">
        <v>-1.85</v>
      </c>
      <c r="BH335" s="20">
        <v>9.76</v>
      </c>
      <c r="BK335" s="20">
        <v>167.0</v>
      </c>
      <c r="BL335" s="20" t="s">
        <v>14</v>
      </c>
      <c r="BM335" s="20">
        <v>41.98</v>
      </c>
      <c r="BN335" s="20">
        <v>46.98</v>
      </c>
      <c r="BW335" s="20">
        <v>-26.07</v>
      </c>
      <c r="BX335" s="20">
        <v>-21.16</v>
      </c>
      <c r="BZ335" s="20">
        <v>-13.96</v>
      </c>
      <c r="CA335" s="20">
        <v>50.87</v>
      </c>
      <c r="CI335" s="20">
        <v>-45.25</v>
      </c>
      <c r="CJ335" s="20">
        <v>-52.38</v>
      </c>
      <c r="CO335" s="20">
        <v>-32.03</v>
      </c>
      <c r="CP335" s="20">
        <v>-23.32</v>
      </c>
    </row>
    <row r="336">
      <c r="A336" s="20">
        <v>-52.99</v>
      </c>
      <c r="B336" s="20">
        <v>-1.33</v>
      </c>
      <c r="D336" s="20"/>
      <c r="E336" s="20"/>
      <c r="F336" s="20">
        <v>-26.44</v>
      </c>
      <c r="G336" s="20">
        <v>29.57</v>
      </c>
      <c r="I336" s="20"/>
      <c r="J336" s="20"/>
      <c r="K336" s="20">
        <v>167.0</v>
      </c>
      <c r="L336" s="20" t="s">
        <v>17</v>
      </c>
      <c r="M336" s="20">
        <v>-3.38</v>
      </c>
      <c r="N336" s="20">
        <v>50.93</v>
      </c>
      <c r="P336" s="20">
        <v>-4.8</v>
      </c>
      <c r="Q336" s="20">
        <v>29.9</v>
      </c>
      <c r="AG336" s="20">
        <v>334.0</v>
      </c>
      <c r="AH336" s="20" t="s">
        <v>14</v>
      </c>
      <c r="AI336" s="20">
        <v>-17.88</v>
      </c>
      <c r="AJ336" s="20">
        <v>17.45</v>
      </c>
      <c r="AM336" s="20">
        <v>168.0</v>
      </c>
      <c r="AN336" s="20" t="s">
        <v>17</v>
      </c>
      <c r="AO336" s="20">
        <v>-16.57</v>
      </c>
      <c r="AP336" s="20">
        <v>-28.42</v>
      </c>
      <c r="AS336" s="20">
        <v>167.0</v>
      </c>
      <c r="AT336" s="20" t="s">
        <v>17</v>
      </c>
      <c r="AU336" s="20">
        <v>-37.61</v>
      </c>
      <c r="AV336" s="20">
        <v>-44.1</v>
      </c>
      <c r="BE336" s="20">
        <v>334.0</v>
      </c>
      <c r="BF336" s="20" t="s">
        <v>14</v>
      </c>
      <c r="BG336" s="20">
        <v>33.41</v>
      </c>
      <c r="BH336" s="20">
        <v>26.48</v>
      </c>
      <c r="BK336" s="20">
        <v>167.0</v>
      </c>
      <c r="BL336" s="20" t="s">
        <v>17</v>
      </c>
      <c r="BM336" s="20">
        <v>66.37</v>
      </c>
      <c r="BN336" s="20">
        <v>112.85</v>
      </c>
      <c r="BW336" s="20">
        <v>14.77</v>
      </c>
      <c r="BX336" s="20">
        <v>-51.4</v>
      </c>
      <c r="BZ336" s="20">
        <v>-34.19</v>
      </c>
      <c r="CA336" s="20">
        <v>79.6</v>
      </c>
      <c r="CI336" s="20">
        <v>-0.79</v>
      </c>
      <c r="CJ336" s="20">
        <v>-37.5</v>
      </c>
      <c r="CO336" s="20">
        <v>-35.92</v>
      </c>
      <c r="CP336" s="20">
        <v>-50.72</v>
      </c>
    </row>
    <row r="337">
      <c r="A337" s="20">
        <v>-41.56</v>
      </c>
      <c r="B337" s="20">
        <v>53.48</v>
      </c>
      <c r="D337" s="20"/>
      <c r="E337" s="20"/>
      <c r="F337" s="20">
        <v>-28.48</v>
      </c>
      <c r="G337" s="20">
        <v>-7.44</v>
      </c>
      <c r="I337" s="20"/>
      <c r="J337" s="20"/>
      <c r="K337" s="20">
        <v>168.0</v>
      </c>
      <c r="L337" s="20" t="s">
        <v>14</v>
      </c>
      <c r="M337" s="20">
        <v>-15.21</v>
      </c>
      <c r="N337" s="20">
        <v>-6.37</v>
      </c>
      <c r="P337" s="20">
        <v>16.7</v>
      </c>
      <c r="Q337" s="20">
        <v>-13.3</v>
      </c>
      <c r="AG337" s="20">
        <v>335.0</v>
      </c>
      <c r="AH337" s="20" t="s">
        <v>14</v>
      </c>
      <c r="AI337" s="20">
        <v>-17.65</v>
      </c>
      <c r="AJ337" s="20">
        <v>13.34</v>
      </c>
      <c r="AM337" s="20">
        <v>169.0</v>
      </c>
      <c r="AN337" s="20" t="s">
        <v>14</v>
      </c>
      <c r="AO337" s="20">
        <v>-28.08</v>
      </c>
      <c r="AP337" s="20">
        <v>34.22</v>
      </c>
      <c r="AS337" s="20">
        <v>168.0</v>
      </c>
      <c r="AT337" s="20" t="s">
        <v>14</v>
      </c>
      <c r="AU337" s="20">
        <v>15.03</v>
      </c>
      <c r="AV337" s="20">
        <v>-34.65</v>
      </c>
      <c r="BE337" s="20">
        <v>335.0</v>
      </c>
      <c r="BF337" s="20" t="s">
        <v>14</v>
      </c>
      <c r="BG337" s="20">
        <v>-15.63</v>
      </c>
      <c r="BH337" s="20">
        <v>-18.08</v>
      </c>
      <c r="BK337" s="20">
        <v>168.0</v>
      </c>
      <c r="BL337" s="20" t="s">
        <v>14</v>
      </c>
      <c r="BM337" s="20">
        <v>21.69</v>
      </c>
      <c r="BN337" s="20">
        <v>89.7</v>
      </c>
      <c r="BW337" s="20">
        <v>-33.24</v>
      </c>
      <c r="BX337" s="20">
        <v>-19.62</v>
      </c>
      <c r="BZ337" s="20">
        <v>-61.57</v>
      </c>
      <c r="CA337" s="20">
        <v>91.22</v>
      </c>
      <c r="CI337" s="20">
        <v>-62.81</v>
      </c>
      <c r="CJ337" s="20">
        <v>-50.22</v>
      </c>
      <c r="CO337" s="20">
        <v>-17.72</v>
      </c>
      <c r="CP337" s="20">
        <v>-56.76</v>
      </c>
    </row>
    <row r="338">
      <c r="A338" s="20">
        <v>10.45</v>
      </c>
      <c r="B338" s="20">
        <v>121.62</v>
      </c>
      <c r="D338" s="20"/>
      <c r="E338" s="20"/>
      <c r="F338" s="20">
        <v>-45.06</v>
      </c>
      <c r="G338" s="20">
        <v>2.88</v>
      </c>
      <c r="I338" s="20"/>
      <c r="J338" s="20"/>
      <c r="K338" s="20">
        <v>168.0</v>
      </c>
      <c r="L338" s="20" t="s">
        <v>17</v>
      </c>
      <c r="M338" s="20">
        <v>14.65</v>
      </c>
      <c r="N338" s="20">
        <v>0.7</v>
      </c>
      <c r="P338" s="20">
        <v>-7.16</v>
      </c>
      <c r="Q338" s="20">
        <v>15.29</v>
      </c>
      <c r="AG338" s="20">
        <v>336.0</v>
      </c>
      <c r="AH338" s="20" t="s">
        <v>14</v>
      </c>
      <c r="AI338" s="20">
        <v>-3.02</v>
      </c>
      <c r="AJ338" s="20">
        <v>-2.39</v>
      </c>
      <c r="AM338" s="20">
        <v>169.0</v>
      </c>
      <c r="AN338" s="20" t="s">
        <v>17</v>
      </c>
      <c r="AO338" s="20">
        <v>55.18</v>
      </c>
      <c r="AP338" s="20">
        <v>84.75</v>
      </c>
      <c r="AS338" s="20">
        <v>168.0</v>
      </c>
      <c r="AT338" s="20" t="s">
        <v>17</v>
      </c>
      <c r="AU338" s="20">
        <v>-23.23</v>
      </c>
      <c r="AV338" s="20">
        <v>-27.01</v>
      </c>
      <c r="BE338" s="20">
        <v>336.0</v>
      </c>
      <c r="BF338" s="20" t="s">
        <v>14</v>
      </c>
      <c r="BG338" s="20">
        <v>21.64</v>
      </c>
      <c r="BH338" s="20">
        <v>19.33</v>
      </c>
      <c r="BK338" s="20">
        <v>168.0</v>
      </c>
      <c r="BL338" s="20" t="s">
        <v>17</v>
      </c>
      <c r="BM338" s="20">
        <v>29.62</v>
      </c>
      <c r="BN338" s="20">
        <v>55.29</v>
      </c>
      <c r="BW338" s="20">
        <v>-40.22</v>
      </c>
      <c r="BX338" s="20">
        <v>-38.84</v>
      </c>
      <c r="BZ338" s="20">
        <v>-76.0</v>
      </c>
      <c r="CA338" s="20">
        <v>61.5</v>
      </c>
      <c r="CI338" s="20">
        <v>-55.06</v>
      </c>
      <c r="CJ338" s="20">
        <v>-36.88</v>
      </c>
      <c r="CO338" s="20">
        <v>-37.87</v>
      </c>
      <c r="CP338" s="20">
        <v>-45.36</v>
      </c>
    </row>
    <row r="339">
      <c r="A339" s="20">
        <v>-58.51</v>
      </c>
      <c r="B339" s="20">
        <v>-18.78</v>
      </c>
      <c r="D339" s="20"/>
      <c r="E339" s="20"/>
      <c r="F339" s="20">
        <v>35.95</v>
      </c>
      <c r="G339" s="20">
        <v>30.02</v>
      </c>
      <c r="I339" s="20"/>
      <c r="J339" s="20"/>
      <c r="K339" s="20">
        <v>169.0</v>
      </c>
      <c r="L339" s="20" t="s">
        <v>14</v>
      </c>
      <c r="M339" s="20">
        <v>-17.49</v>
      </c>
      <c r="N339" s="20">
        <v>-7.63</v>
      </c>
      <c r="P339" s="20">
        <v>-7.43</v>
      </c>
      <c r="Q339" s="20">
        <v>14.88</v>
      </c>
      <c r="AG339" s="20">
        <v>337.0</v>
      </c>
      <c r="AH339" s="20" t="s">
        <v>14</v>
      </c>
      <c r="AI339" s="20">
        <v>-31.18</v>
      </c>
      <c r="AJ339" s="20">
        <v>-21.4</v>
      </c>
      <c r="AM339" s="20">
        <v>170.0</v>
      </c>
      <c r="AN339" s="20" t="s">
        <v>14</v>
      </c>
      <c r="AO339" s="20">
        <v>-12.74</v>
      </c>
      <c r="AP339" s="20">
        <v>-24.54</v>
      </c>
      <c r="AS339" s="20">
        <v>169.0</v>
      </c>
      <c r="AT339" s="20" t="s">
        <v>14</v>
      </c>
      <c r="AU339" s="20">
        <v>0.84</v>
      </c>
      <c r="AV339" s="20">
        <v>-47.34</v>
      </c>
      <c r="BE339" s="20">
        <v>337.0</v>
      </c>
      <c r="BF339" s="20" t="s">
        <v>14</v>
      </c>
      <c r="BG339" s="20">
        <v>55.71</v>
      </c>
      <c r="BH339" s="20">
        <v>18.31</v>
      </c>
      <c r="BK339" s="20">
        <v>169.0</v>
      </c>
      <c r="BL339" s="20" t="s">
        <v>14</v>
      </c>
      <c r="BM339" s="20">
        <v>25.2</v>
      </c>
      <c r="BN339" s="20">
        <v>33.92</v>
      </c>
      <c r="BW339" s="20">
        <v>-44.94</v>
      </c>
      <c r="BX339" s="20">
        <v>-0.02</v>
      </c>
      <c r="BZ339" s="20">
        <v>-53.75</v>
      </c>
      <c r="CA339" s="20">
        <v>52.99</v>
      </c>
      <c r="CI339" s="20">
        <v>-35.62</v>
      </c>
      <c r="CJ339" s="20">
        <v>-25.78</v>
      </c>
      <c r="CO339" s="20">
        <v>-24.71</v>
      </c>
      <c r="CP339" s="20">
        <v>-49.83</v>
      </c>
    </row>
    <row r="340">
      <c r="A340" s="20">
        <v>36.59</v>
      </c>
      <c r="B340" s="20">
        <v>-21.97</v>
      </c>
      <c r="D340" s="20"/>
      <c r="E340" s="20"/>
      <c r="F340" s="20">
        <v>59.5</v>
      </c>
      <c r="G340" s="20">
        <v>17.21</v>
      </c>
      <c r="I340" s="20"/>
      <c r="J340" s="20"/>
      <c r="K340" s="20">
        <v>169.0</v>
      </c>
      <c r="L340" s="20" t="s">
        <v>17</v>
      </c>
      <c r="M340" s="20">
        <v>-27.74</v>
      </c>
      <c r="N340" s="20">
        <v>-38.41</v>
      </c>
      <c r="P340" s="20">
        <v>24.04</v>
      </c>
      <c r="Q340" s="20">
        <v>35.68</v>
      </c>
      <c r="AG340" s="20">
        <v>338.0</v>
      </c>
      <c r="AH340" s="20" t="s">
        <v>14</v>
      </c>
      <c r="AI340" s="20">
        <v>-29.45</v>
      </c>
      <c r="AJ340" s="20">
        <v>-14.03</v>
      </c>
      <c r="AM340" s="20">
        <v>170.0</v>
      </c>
      <c r="AN340" s="20" t="s">
        <v>17</v>
      </c>
      <c r="AO340" s="20">
        <v>-37.68</v>
      </c>
      <c r="AP340" s="20">
        <v>-30.91</v>
      </c>
      <c r="AS340" s="20">
        <v>169.0</v>
      </c>
      <c r="AT340" s="20" t="s">
        <v>17</v>
      </c>
      <c r="AU340" s="20">
        <v>-11.67</v>
      </c>
      <c r="AV340" s="20">
        <v>-30.39</v>
      </c>
      <c r="BE340" s="20">
        <v>338.0</v>
      </c>
      <c r="BF340" s="20" t="s">
        <v>14</v>
      </c>
      <c r="BG340" s="20">
        <v>4.89</v>
      </c>
      <c r="BH340" s="20">
        <v>8.77</v>
      </c>
      <c r="BK340" s="20">
        <v>169.0</v>
      </c>
      <c r="BL340" s="20" t="s">
        <v>17</v>
      </c>
      <c r="BM340" s="20">
        <v>-6.95</v>
      </c>
      <c r="BN340" s="20">
        <v>-47.82</v>
      </c>
      <c r="BW340" s="20">
        <v>-70.66</v>
      </c>
      <c r="BX340" s="20">
        <v>-15.48</v>
      </c>
      <c r="BZ340" s="20">
        <v>-53.42</v>
      </c>
      <c r="CA340" s="20">
        <v>9.08</v>
      </c>
      <c r="CI340" s="20">
        <v>-26.24</v>
      </c>
      <c r="CJ340" s="20">
        <v>-42.39</v>
      </c>
      <c r="CO340" s="20">
        <v>-10.21</v>
      </c>
      <c r="CP340" s="20">
        <v>-56.5</v>
      </c>
    </row>
    <row r="341">
      <c r="A341" s="20">
        <v>-55.49</v>
      </c>
      <c r="B341" s="20">
        <v>21.33</v>
      </c>
      <c r="D341" s="20"/>
      <c r="E341" s="20"/>
      <c r="F341" s="20">
        <v>10.87</v>
      </c>
      <c r="G341" s="20">
        <v>-1.56</v>
      </c>
      <c r="I341" s="20"/>
      <c r="J341" s="20"/>
      <c r="K341" s="20">
        <v>170.0</v>
      </c>
      <c r="L341" s="20" t="s">
        <v>14</v>
      </c>
      <c r="M341" s="20">
        <v>2.93</v>
      </c>
      <c r="N341" s="20">
        <v>-9.87</v>
      </c>
      <c r="P341" s="20">
        <v>-0.06</v>
      </c>
      <c r="Q341" s="20">
        <v>3.82</v>
      </c>
      <c r="AG341" s="20">
        <v>339.0</v>
      </c>
      <c r="AH341" s="20" t="s">
        <v>14</v>
      </c>
      <c r="AI341" s="20">
        <v>-19.28</v>
      </c>
      <c r="AJ341" s="20">
        <v>-16.67</v>
      </c>
      <c r="AM341" s="20">
        <v>171.0</v>
      </c>
      <c r="AN341" s="20" t="s">
        <v>14</v>
      </c>
      <c r="AO341" s="20">
        <v>-27.31</v>
      </c>
      <c r="AP341" s="20">
        <v>-4.68</v>
      </c>
      <c r="AS341" s="20">
        <v>170.0</v>
      </c>
      <c r="AT341" s="20" t="s">
        <v>14</v>
      </c>
      <c r="AU341" s="20">
        <v>-31.66</v>
      </c>
      <c r="AV341" s="20">
        <v>-30.78</v>
      </c>
      <c r="BE341" s="20">
        <v>339.0</v>
      </c>
      <c r="BF341" s="20" t="s">
        <v>14</v>
      </c>
      <c r="BG341" s="20">
        <v>35.73</v>
      </c>
      <c r="BH341" s="20">
        <v>29.58</v>
      </c>
      <c r="BK341" s="20">
        <v>170.0</v>
      </c>
      <c r="BL341" s="20" t="s">
        <v>14</v>
      </c>
      <c r="BM341" s="20">
        <v>36.58</v>
      </c>
      <c r="BN341" s="20">
        <v>18.36</v>
      </c>
      <c r="BW341" s="20">
        <v>-58.42</v>
      </c>
      <c r="BX341" s="20">
        <v>14.01</v>
      </c>
      <c r="BZ341" s="20">
        <v>-68.53</v>
      </c>
      <c r="CA341" s="20">
        <v>49.46</v>
      </c>
      <c r="CI341" s="20">
        <v>-52.02</v>
      </c>
      <c r="CJ341" s="20">
        <v>-45.06</v>
      </c>
      <c r="CO341" s="20">
        <v>31.0</v>
      </c>
      <c r="CP341" s="20">
        <v>-58.53</v>
      </c>
    </row>
    <row r="342">
      <c r="A342" s="20">
        <v>-28.21</v>
      </c>
      <c r="B342" s="20">
        <v>32.33</v>
      </c>
      <c r="D342" s="20"/>
      <c r="E342" s="20"/>
      <c r="F342" s="20">
        <v>28.6</v>
      </c>
      <c r="G342" s="20">
        <v>0.56</v>
      </c>
      <c r="I342" s="20"/>
      <c r="J342" s="20"/>
      <c r="K342" s="20">
        <v>170.0</v>
      </c>
      <c r="L342" s="20" t="s">
        <v>17</v>
      </c>
      <c r="M342" s="20">
        <v>-44.31</v>
      </c>
      <c r="N342" s="20">
        <v>-35.55</v>
      </c>
      <c r="P342" s="20">
        <v>28.6</v>
      </c>
      <c r="Q342" s="20">
        <v>46.89</v>
      </c>
      <c r="AG342" s="20">
        <v>340.0</v>
      </c>
      <c r="AH342" s="20" t="s">
        <v>14</v>
      </c>
      <c r="AI342" s="20">
        <v>-21.47</v>
      </c>
      <c r="AJ342" s="20">
        <v>-15.6</v>
      </c>
      <c r="AM342" s="20">
        <v>171.0</v>
      </c>
      <c r="AN342" s="20" t="s">
        <v>17</v>
      </c>
      <c r="AO342" s="20">
        <v>-10.84</v>
      </c>
      <c r="AP342" s="20">
        <v>72.22</v>
      </c>
      <c r="AS342" s="20">
        <v>170.0</v>
      </c>
      <c r="AT342" s="20" t="s">
        <v>17</v>
      </c>
      <c r="AU342" s="20">
        <v>-59.58</v>
      </c>
      <c r="AV342" s="20">
        <v>-60.8</v>
      </c>
      <c r="BE342" s="20">
        <v>340.0</v>
      </c>
      <c r="BF342" s="20" t="s">
        <v>14</v>
      </c>
      <c r="BG342" s="20">
        <v>15.06</v>
      </c>
      <c r="BH342" s="20">
        <v>72.48</v>
      </c>
      <c r="BK342" s="20">
        <v>170.0</v>
      </c>
      <c r="BL342" s="20" t="s">
        <v>17</v>
      </c>
      <c r="BM342" s="20">
        <v>45.04</v>
      </c>
      <c r="BN342" s="20">
        <v>1.69</v>
      </c>
      <c r="BW342" s="20">
        <v>-50.7</v>
      </c>
      <c r="BX342" s="20">
        <v>1.97</v>
      </c>
      <c r="BZ342" s="20">
        <v>-75.05</v>
      </c>
      <c r="CA342" s="20">
        <v>15.73</v>
      </c>
      <c r="CI342" s="20">
        <v>-40.03</v>
      </c>
      <c r="CJ342" s="20">
        <v>-23.53</v>
      </c>
      <c r="CO342" s="20">
        <v>-7.03</v>
      </c>
      <c r="CP342" s="20">
        <v>-51.63</v>
      </c>
    </row>
    <row r="343">
      <c r="A343" s="20">
        <v>-2.83</v>
      </c>
      <c r="B343" s="20">
        <v>90.84</v>
      </c>
      <c r="D343" s="20"/>
      <c r="E343" s="20"/>
      <c r="F343" s="20">
        <v>21.26</v>
      </c>
      <c r="G343" s="20">
        <v>2.44</v>
      </c>
      <c r="I343" s="20"/>
      <c r="J343" s="20"/>
      <c r="K343" s="20">
        <v>171.0</v>
      </c>
      <c r="L343" s="20" t="s">
        <v>14</v>
      </c>
      <c r="M343" s="20">
        <v>87.52</v>
      </c>
      <c r="N343" s="20">
        <v>-4.52</v>
      </c>
      <c r="P343" s="20">
        <v>-0.87</v>
      </c>
      <c r="Q343" s="20">
        <v>5.58</v>
      </c>
      <c r="AG343" s="20">
        <v>341.0</v>
      </c>
      <c r="AH343" s="20" t="s">
        <v>14</v>
      </c>
      <c r="AI343" s="20">
        <v>10.04</v>
      </c>
      <c r="AJ343" s="20">
        <v>21.32</v>
      </c>
      <c r="AM343" s="20">
        <v>172.0</v>
      </c>
      <c r="AN343" s="20" t="s">
        <v>14</v>
      </c>
      <c r="AO343" s="20">
        <v>-16.48</v>
      </c>
      <c r="AP343" s="20">
        <v>4.19</v>
      </c>
      <c r="AS343" s="20">
        <v>171.0</v>
      </c>
      <c r="AT343" s="20" t="s">
        <v>14</v>
      </c>
      <c r="AU343" s="20">
        <v>-50.04</v>
      </c>
      <c r="AV343" s="20">
        <v>-55.93</v>
      </c>
      <c r="BE343" s="20">
        <v>341.0</v>
      </c>
      <c r="BF343" s="20" t="s">
        <v>14</v>
      </c>
      <c r="BG343" s="20">
        <v>30.52</v>
      </c>
      <c r="BH343" s="20">
        <v>-20.73</v>
      </c>
      <c r="BK343" s="20">
        <v>171.0</v>
      </c>
      <c r="BL343" s="20" t="s">
        <v>14</v>
      </c>
      <c r="BM343" s="20">
        <v>41.51</v>
      </c>
      <c r="BN343" s="20">
        <v>63.27</v>
      </c>
      <c r="BW343" s="20">
        <v>-69.74</v>
      </c>
      <c r="BX343" s="20">
        <v>-25.23</v>
      </c>
      <c r="BZ343" s="20">
        <v>-50.32</v>
      </c>
      <c r="CA343" s="20">
        <v>35.6</v>
      </c>
      <c r="CI343" s="20">
        <v>-53.71</v>
      </c>
      <c r="CJ343" s="20">
        <v>-36.03</v>
      </c>
      <c r="CO343" s="20">
        <v>-17.74</v>
      </c>
      <c r="CP343" s="20">
        <v>-67.66</v>
      </c>
    </row>
    <row r="344">
      <c r="A344" s="20">
        <v>5.18</v>
      </c>
      <c r="B344" s="20">
        <v>82.94</v>
      </c>
      <c r="D344" s="20"/>
      <c r="E344" s="20"/>
      <c r="F344" s="20">
        <v>-7.44</v>
      </c>
      <c r="G344" s="20">
        <v>9.83</v>
      </c>
      <c r="I344" s="20"/>
      <c r="J344" s="20"/>
      <c r="K344" s="20">
        <v>171.0</v>
      </c>
      <c r="L344" s="20" t="s">
        <v>17</v>
      </c>
      <c r="M344" s="20">
        <v>55.8</v>
      </c>
      <c r="N344" s="20">
        <v>1.63</v>
      </c>
      <c r="P344" s="20">
        <v>0.56</v>
      </c>
      <c r="Q344" s="20">
        <v>-3.71</v>
      </c>
      <c r="AG344" s="20">
        <v>342.0</v>
      </c>
      <c r="AH344" s="20" t="s">
        <v>14</v>
      </c>
      <c r="AI344" s="20">
        <v>14.24</v>
      </c>
      <c r="AJ344" s="20">
        <v>4.6</v>
      </c>
      <c r="AM344" s="20">
        <v>172.0</v>
      </c>
      <c r="AN344" s="20" t="s">
        <v>17</v>
      </c>
      <c r="AO344" s="20">
        <v>-8.83</v>
      </c>
      <c r="AP344" s="20">
        <v>27.28</v>
      </c>
      <c r="AS344" s="20">
        <v>171.0</v>
      </c>
      <c r="AT344" s="20" t="s">
        <v>17</v>
      </c>
      <c r="AU344" s="20">
        <v>-26.26</v>
      </c>
      <c r="AV344" s="20">
        <v>-14.46</v>
      </c>
      <c r="BE344" s="20">
        <v>342.0</v>
      </c>
      <c r="BF344" s="20" t="s">
        <v>14</v>
      </c>
      <c r="BG344" s="20">
        <v>17.32</v>
      </c>
      <c r="BH344" s="20">
        <v>-16.99</v>
      </c>
      <c r="BK344" s="20">
        <v>171.0</v>
      </c>
      <c r="BL344" s="20" t="s">
        <v>17</v>
      </c>
      <c r="BM344" s="20">
        <v>115.85</v>
      </c>
      <c r="BN344" s="20">
        <v>99.56</v>
      </c>
      <c r="BW344" s="20">
        <v>-38.73</v>
      </c>
      <c r="BX344" s="20">
        <v>15.62</v>
      </c>
      <c r="BZ344" s="20">
        <v>2.98</v>
      </c>
      <c r="CA344" s="20">
        <v>-23.75</v>
      </c>
      <c r="CI344" s="20">
        <v>-50.25</v>
      </c>
      <c r="CJ344" s="20">
        <v>-42.22</v>
      </c>
      <c r="CO344" s="20">
        <v>-7.04</v>
      </c>
      <c r="CP344" s="20">
        <v>-64.82</v>
      </c>
    </row>
    <row r="345">
      <c r="A345" s="20">
        <v>-29.33</v>
      </c>
      <c r="B345" s="20">
        <v>148.1</v>
      </c>
      <c r="D345" s="20"/>
      <c r="E345" s="20"/>
      <c r="F345" s="20">
        <v>10.85</v>
      </c>
      <c r="G345" s="20">
        <v>-5.31</v>
      </c>
      <c r="I345" s="20"/>
      <c r="J345" s="20"/>
      <c r="K345" s="20">
        <v>172.0</v>
      </c>
      <c r="L345" s="20" t="s">
        <v>14</v>
      </c>
      <c r="M345" s="20">
        <v>-20.15</v>
      </c>
      <c r="N345" s="20">
        <v>-26.66</v>
      </c>
      <c r="P345" s="20">
        <v>-25.13</v>
      </c>
      <c r="Q345" s="20">
        <v>6.31</v>
      </c>
      <c r="AG345" s="20">
        <v>343.0</v>
      </c>
      <c r="AH345" s="20" t="s">
        <v>14</v>
      </c>
      <c r="AI345" s="20">
        <v>1.84</v>
      </c>
      <c r="AJ345" s="20">
        <v>12.23</v>
      </c>
      <c r="AM345" s="20">
        <v>173.0</v>
      </c>
      <c r="AN345" s="20" t="s">
        <v>14</v>
      </c>
      <c r="AO345" s="20">
        <v>-32.98</v>
      </c>
      <c r="AP345" s="20">
        <v>-42.95</v>
      </c>
      <c r="AS345" s="20">
        <v>172.0</v>
      </c>
      <c r="AT345" s="20" t="s">
        <v>14</v>
      </c>
      <c r="AU345" s="20">
        <v>-24.91</v>
      </c>
      <c r="AV345" s="20">
        <v>-69.46</v>
      </c>
      <c r="BE345" s="20">
        <v>343.0</v>
      </c>
      <c r="BF345" s="20" t="s">
        <v>14</v>
      </c>
      <c r="BG345" s="20">
        <v>15.73</v>
      </c>
      <c r="BH345" s="20">
        <v>13.23</v>
      </c>
      <c r="BK345" s="20">
        <v>172.0</v>
      </c>
      <c r="BL345" s="20" t="s">
        <v>14</v>
      </c>
      <c r="BM345" s="20">
        <v>81.4</v>
      </c>
      <c r="BN345" s="20">
        <v>135.84</v>
      </c>
      <c r="BW345" s="20">
        <v>-62.6</v>
      </c>
      <c r="BX345" s="20">
        <v>-35.5</v>
      </c>
      <c r="BZ345" s="20">
        <v>-34.0</v>
      </c>
      <c r="CA345" s="20">
        <v>77.58</v>
      </c>
      <c r="CI345" s="20">
        <v>-46.18</v>
      </c>
      <c r="CJ345" s="20">
        <v>50.58</v>
      </c>
      <c r="CO345" s="20">
        <v>-22.55</v>
      </c>
      <c r="CP345" s="20">
        <v>-60.3</v>
      </c>
    </row>
    <row r="346">
      <c r="A346" s="20">
        <v>-31.12</v>
      </c>
      <c r="B346" s="20">
        <v>37.31</v>
      </c>
      <c r="D346" s="20"/>
      <c r="E346" s="20"/>
      <c r="F346" s="20">
        <v>12.39</v>
      </c>
      <c r="G346" s="20">
        <v>-6.85</v>
      </c>
      <c r="I346" s="20"/>
      <c r="J346" s="20"/>
      <c r="K346" s="20">
        <v>172.0</v>
      </c>
      <c r="L346" s="20" t="s">
        <v>17</v>
      </c>
      <c r="M346" s="20">
        <v>48.55</v>
      </c>
      <c r="N346" s="20">
        <v>10.53</v>
      </c>
      <c r="P346" s="20">
        <v>-12.67</v>
      </c>
      <c r="Q346" s="20">
        <v>-6.34</v>
      </c>
      <c r="AG346" s="20">
        <v>344.0</v>
      </c>
      <c r="AH346" s="20" t="s">
        <v>14</v>
      </c>
      <c r="AI346" s="20">
        <v>-8.66</v>
      </c>
      <c r="AJ346" s="20">
        <v>-24.64</v>
      </c>
      <c r="AM346" s="20">
        <v>173.0</v>
      </c>
      <c r="AN346" s="20" t="s">
        <v>17</v>
      </c>
      <c r="AO346" s="20">
        <v>-32.47</v>
      </c>
      <c r="AP346" s="20">
        <v>-27.1</v>
      </c>
      <c r="AS346" s="20">
        <v>172.0</v>
      </c>
      <c r="AT346" s="20" t="s">
        <v>17</v>
      </c>
      <c r="AU346" s="20">
        <v>-9.21</v>
      </c>
      <c r="AV346" s="20">
        <v>-12.98</v>
      </c>
      <c r="BE346" s="20">
        <v>344.0</v>
      </c>
      <c r="BF346" s="20" t="s">
        <v>14</v>
      </c>
      <c r="BG346" s="20">
        <v>22.9</v>
      </c>
      <c r="BH346" s="20">
        <v>45.4</v>
      </c>
      <c r="BK346" s="20">
        <v>172.0</v>
      </c>
      <c r="BL346" s="20" t="s">
        <v>17</v>
      </c>
      <c r="BM346" s="20">
        <v>50.99</v>
      </c>
      <c r="BN346" s="20">
        <v>18.45</v>
      </c>
      <c r="BW346" s="20">
        <v>-60.19</v>
      </c>
      <c r="BX346" s="20">
        <v>-31.49</v>
      </c>
      <c r="BZ346" s="20">
        <v>12.16</v>
      </c>
      <c r="CA346" s="20">
        <v>-41.6</v>
      </c>
      <c r="CI346" s="20">
        <v>-53.01</v>
      </c>
      <c r="CJ346" s="20">
        <v>-62.11</v>
      </c>
      <c r="CO346" s="20">
        <v>-33.09</v>
      </c>
      <c r="CP346" s="20">
        <v>-66.65</v>
      </c>
    </row>
    <row r="347">
      <c r="A347" s="20">
        <v>61.28</v>
      </c>
      <c r="B347" s="20">
        <v>134.34</v>
      </c>
      <c r="D347" s="20"/>
      <c r="E347" s="20"/>
      <c r="F347" s="20">
        <v>4.83</v>
      </c>
      <c r="G347" s="20">
        <v>-4.66</v>
      </c>
      <c r="I347" s="20"/>
      <c r="J347" s="20"/>
      <c r="K347" s="20">
        <v>173.0</v>
      </c>
      <c r="L347" s="20" t="s">
        <v>14</v>
      </c>
      <c r="M347" s="20">
        <v>3.1</v>
      </c>
      <c r="N347" s="20">
        <v>-7.51</v>
      </c>
      <c r="P347" s="20">
        <v>-6.61</v>
      </c>
      <c r="Q347" s="20">
        <v>-2.45</v>
      </c>
      <c r="AG347" s="20">
        <v>345.0</v>
      </c>
      <c r="AH347" s="20" t="s">
        <v>14</v>
      </c>
      <c r="AI347" s="20">
        <v>30.78</v>
      </c>
      <c r="AJ347" s="20">
        <v>27.78</v>
      </c>
      <c r="AM347" s="20">
        <v>174.0</v>
      </c>
      <c r="AN347" s="20" t="s">
        <v>14</v>
      </c>
      <c r="AO347" s="20">
        <v>-10.23</v>
      </c>
      <c r="AP347" s="20">
        <v>-18.19</v>
      </c>
      <c r="AS347" s="20">
        <v>173.0</v>
      </c>
      <c r="AT347" s="20" t="s">
        <v>14</v>
      </c>
      <c r="AU347" s="20">
        <v>-4.74</v>
      </c>
      <c r="AV347" s="20">
        <v>-46.86</v>
      </c>
      <c r="BE347" s="20">
        <v>345.0</v>
      </c>
      <c r="BF347" s="20" t="s">
        <v>14</v>
      </c>
      <c r="BG347" s="20">
        <v>-1.33</v>
      </c>
      <c r="BH347" s="20">
        <v>48.63</v>
      </c>
      <c r="BK347" s="20">
        <v>173.0</v>
      </c>
      <c r="BL347" s="20" t="s">
        <v>14</v>
      </c>
      <c r="BM347" s="20">
        <v>95.8</v>
      </c>
      <c r="BN347" s="20">
        <v>68.22</v>
      </c>
      <c r="BW347" s="20">
        <v>-16.78</v>
      </c>
      <c r="BX347" s="20">
        <v>-35.23</v>
      </c>
      <c r="BZ347" s="20">
        <v>-60.16</v>
      </c>
      <c r="CA347" s="20">
        <v>126.71</v>
      </c>
      <c r="CI347" s="20">
        <v>-65.33</v>
      </c>
      <c r="CJ347" s="20">
        <v>-45.4</v>
      </c>
      <c r="CO347" s="20">
        <v>-17.22</v>
      </c>
      <c r="CP347" s="20">
        <v>-58.87</v>
      </c>
    </row>
    <row r="348">
      <c r="A348" s="20">
        <v>-29.42</v>
      </c>
      <c r="B348" s="20">
        <v>87.69</v>
      </c>
      <c r="D348" s="20"/>
      <c r="E348" s="20"/>
      <c r="F348" s="20">
        <v>-3.26</v>
      </c>
      <c r="G348" s="20">
        <v>23.17</v>
      </c>
      <c r="I348" s="20"/>
      <c r="J348" s="20"/>
      <c r="K348" s="20">
        <v>173.0</v>
      </c>
      <c r="L348" s="20" t="s">
        <v>17</v>
      </c>
      <c r="M348" s="20">
        <v>-17.23</v>
      </c>
      <c r="N348" s="20">
        <v>-34.43</v>
      </c>
      <c r="P348" s="20">
        <v>-6.65</v>
      </c>
      <c r="Q348" s="20">
        <v>21.64</v>
      </c>
      <c r="AG348" s="20">
        <v>346.0</v>
      </c>
      <c r="AH348" s="20" t="s">
        <v>14</v>
      </c>
      <c r="AI348" s="20">
        <v>-40.14</v>
      </c>
      <c r="AJ348" s="20">
        <v>-37.67</v>
      </c>
      <c r="AM348" s="20">
        <v>174.0</v>
      </c>
      <c r="AN348" s="20" t="s">
        <v>17</v>
      </c>
      <c r="AO348" s="20">
        <v>-34.24</v>
      </c>
      <c r="AP348" s="20">
        <v>-29.4</v>
      </c>
      <c r="AS348" s="20">
        <v>173.0</v>
      </c>
      <c r="AT348" s="20" t="s">
        <v>17</v>
      </c>
      <c r="AU348" s="20">
        <v>-7.5</v>
      </c>
      <c r="AV348" s="20">
        <v>-4.84</v>
      </c>
      <c r="BE348" s="20">
        <v>346.0</v>
      </c>
      <c r="BF348" s="20" t="s">
        <v>14</v>
      </c>
      <c r="BG348" s="20">
        <v>-22.04</v>
      </c>
      <c r="BH348" s="20">
        <v>45.25</v>
      </c>
      <c r="BK348" s="20">
        <v>173.0</v>
      </c>
      <c r="BL348" s="20" t="s">
        <v>17</v>
      </c>
      <c r="BM348" s="20">
        <v>-18.34</v>
      </c>
      <c r="BN348" s="20">
        <v>-38.85</v>
      </c>
      <c r="BW348" s="20">
        <v>-53.79</v>
      </c>
      <c r="BX348" s="20">
        <v>-26.93</v>
      </c>
      <c r="BZ348" s="20">
        <v>-74.7</v>
      </c>
      <c r="CA348" s="20">
        <v>1.97</v>
      </c>
      <c r="CI348" s="20">
        <v>-57.62</v>
      </c>
      <c r="CJ348" s="20">
        <v>-52.41</v>
      </c>
      <c r="CO348" s="20">
        <v>-21.38</v>
      </c>
      <c r="CP348" s="20">
        <v>-51.41</v>
      </c>
    </row>
    <row r="349">
      <c r="A349" s="20">
        <v>-25.06</v>
      </c>
      <c r="B349" s="20">
        <v>41.68</v>
      </c>
      <c r="D349" s="20"/>
      <c r="E349" s="20"/>
      <c r="F349" s="20">
        <v>-46.28</v>
      </c>
      <c r="G349" s="20">
        <v>-19.64</v>
      </c>
      <c r="I349" s="20"/>
      <c r="J349" s="20"/>
      <c r="K349" s="20">
        <v>174.0</v>
      </c>
      <c r="L349" s="20" t="s">
        <v>14</v>
      </c>
      <c r="M349" s="20">
        <v>9.61</v>
      </c>
      <c r="N349" s="20">
        <v>202.82</v>
      </c>
      <c r="P349" s="20">
        <v>-18.34</v>
      </c>
      <c r="Q349" s="20">
        <v>1.51</v>
      </c>
      <c r="AG349" s="20">
        <v>347.0</v>
      </c>
      <c r="AH349" s="20" t="s">
        <v>14</v>
      </c>
      <c r="AI349" s="20">
        <v>-14.62</v>
      </c>
      <c r="AJ349" s="20">
        <v>-0.32</v>
      </c>
      <c r="AM349" s="20">
        <v>175.0</v>
      </c>
      <c r="AN349" s="20" t="s">
        <v>14</v>
      </c>
      <c r="AO349" s="20">
        <v>-45.18</v>
      </c>
      <c r="AP349" s="20">
        <v>-4.98</v>
      </c>
      <c r="AS349" s="20">
        <v>174.0</v>
      </c>
      <c r="AT349" s="20" t="s">
        <v>14</v>
      </c>
      <c r="AU349" s="20">
        <v>-18.35</v>
      </c>
      <c r="AV349" s="20">
        <v>-45.52</v>
      </c>
      <c r="BE349" s="20">
        <v>347.0</v>
      </c>
      <c r="BF349" s="20" t="s">
        <v>14</v>
      </c>
      <c r="BG349" s="20">
        <v>18.21</v>
      </c>
      <c r="BH349" s="20">
        <v>45.37</v>
      </c>
      <c r="BK349" s="20">
        <v>174.0</v>
      </c>
      <c r="BL349" s="20" t="s">
        <v>14</v>
      </c>
      <c r="BM349" s="20">
        <v>58.48</v>
      </c>
      <c r="BN349" s="20">
        <v>48.13</v>
      </c>
      <c r="BW349" s="20">
        <v>-34.25</v>
      </c>
      <c r="BX349" s="20">
        <v>-24.93</v>
      </c>
      <c r="BZ349" s="20">
        <v>-24.3</v>
      </c>
      <c r="CA349" s="20">
        <v>46.81</v>
      </c>
      <c r="CI349" s="20">
        <v>-48.62</v>
      </c>
      <c r="CJ349" s="20">
        <v>-49.06</v>
      </c>
      <c r="CO349" s="20">
        <v>-37.22</v>
      </c>
      <c r="CP349" s="20">
        <v>-57.24</v>
      </c>
    </row>
    <row r="350">
      <c r="A350" s="20">
        <v>-26.79</v>
      </c>
      <c r="B350" s="20">
        <v>42.98</v>
      </c>
      <c r="D350" s="20"/>
      <c r="E350" s="20"/>
      <c r="F350" s="20">
        <v>-50.83</v>
      </c>
      <c r="G350" s="20">
        <v>0.8</v>
      </c>
      <c r="I350" s="20"/>
      <c r="J350" s="20"/>
      <c r="K350" s="20">
        <v>174.0</v>
      </c>
      <c r="L350" s="20" t="s">
        <v>17</v>
      </c>
      <c r="M350" s="20">
        <v>-19.63</v>
      </c>
      <c r="N350" s="20">
        <v>3.07</v>
      </c>
      <c r="P350" s="20">
        <v>-28.97</v>
      </c>
      <c r="Q350" s="20">
        <v>-18.27</v>
      </c>
      <c r="AG350" s="20">
        <v>348.0</v>
      </c>
      <c r="AH350" s="20" t="s">
        <v>14</v>
      </c>
      <c r="AI350" s="20">
        <v>-42.96</v>
      </c>
      <c r="AJ350" s="20">
        <v>-41.46</v>
      </c>
      <c r="AM350" s="20">
        <v>175.0</v>
      </c>
      <c r="AN350" s="20" t="s">
        <v>17</v>
      </c>
      <c r="AO350" s="20">
        <v>-29.78</v>
      </c>
      <c r="AP350" s="20">
        <v>4.82</v>
      </c>
      <c r="AS350" s="20">
        <v>174.0</v>
      </c>
      <c r="AT350" s="20" t="s">
        <v>17</v>
      </c>
      <c r="AU350" s="20">
        <v>-34.46</v>
      </c>
      <c r="AV350" s="20">
        <v>-52.18</v>
      </c>
      <c r="BE350" s="20">
        <v>348.0</v>
      </c>
      <c r="BF350" s="20" t="s">
        <v>14</v>
      </c>
      <c r="BG350" s="20">
        <v>-8.06</v>
      </c>
      <c r="BH350" s="20">
        <v>55.75</v>
      </c>
      <c r="BK350" s="20">
        <v>174.0</v>
      </c>
      <c r="BL350" s="20" t="s">
        <v>17</v>
      </c>
      <c r="BM350" s="20">
        <v>-23.44</v>
      </c>
      <c r="BN350" s="20">
        <v>-7.36</v>
      </c>
      <c r="BW350" s="20">
        <v>-44.59</v>
      </c>
      <c r="BX350" s="20">
        <v>-0.68</v>
      </c>
      <c r="BZ350" s="20">
        <v>-69.11</v>
      </c>
      <c r="CA350" s="20">
        <v>23.42</v>
      </c>
      <c r="CI350" s="20">
        <v>-54.72</v>
      </c>
      <c r="CJ350" s="20">
        <v>-53.82</v>
      </c>
      <c r="CO350" s="20">
        <v>-14.76</v>
      </c>
      <c r="CP350" s="20">
        <v>-60.91</v>
      </c>
    </row>
    <row r="351">
      <c r="A351" s="20">
        <v>-15.51</v>
      </c>
      <c r="B351" s="20">
        <v>88.81</v>
      </c>
      <c r="D351" s="20"/>
      <c r="E351" s="20"/>
      <c r="F351" s="20">
        <v>54.09</v>
      </c>
      <c r="G351" s="20">
        <v>40.14</v>
      </c>
      <c r="I351" s="20"/>
      <c r="J351" s="20"/>
      <c r="K351" s="20">
        <v>175.0</v>
      </c>
      <c r="L351" s="20" t="s">
        <v>14</v>
      </c>
      <c r="M351" s="20">
        <v>-13.26</v>
      </c>
      <c r="N351" s="20">
        <v>-19.82</v>
      </c>
      <c r="P351" s="20">
        <v>50.84</v>
      </c>
      <c r="Q351" s="20">
        <v>92.87</v>
      </c>
      <c r="AG351" s="20">
        <v>349.0</v>
      </c>
      <c r="AH351" s="20" t="s">
        <v>14</v>
      </c>
      <c r="AI351" s="20">
        <v>-31.58</v>
      </c>
      <c r="AJ351" s="20">
        <v>-50.46</v>
      </c>
      <c r="AM351" s="20">
        <v>176.0</v>
      </c>
      <c r="AN351" s="20" t="s">
        <v>14</v>
      </c>
      <c r="AO351" s="20">
        <v>31.33</v>
      </c>
      <c r="AP351" s="20">
        <v>-22.1</v>
      </c>
      <c r="AS351" s="20">
        <v>175.0</v>
      </c>
      <c r="AT351" s="20" t="s">
        <v>14</v>
      </c>
      <c r="AU351" s="20">
        <v>6.08</v>
      </c>
      <c r="AV351" s="20">
        <v>-54.18</v>
      </c>
      <c r="BE351" s="20">
        <v>349.0</v>
      </c>
      <c r="BF351" s="20" t="s">
        <v>14</v>
      </c>
      <c r="BG351" s="20">
        <v>105.55</v>
      </c>
      <c r="BH351" s="20">
        <v>16.56</v>
      </c>
      <c r="BK351" s="20">
        <v>175.0</v>
      </c>
      <c r="BL351" s="20" t="s">
        <v>14</v>
      </c>
      <c r="BM351" s="20">
        <v>30.29</v>
      </c>
      <c r="BN351" s="20">
        <v>89.7</v>
      </c>
      <c r="BW351" s="20">
        <v>-65.06</v>
      </c>
      <c r="BX351" s="20">
        <v>-34.17</v>
      </c>
      <c r="BZ351" s="20">
        <v>-14.8</v>
      </c>
      <c r="CA351" s="20">
        <v>18.14</v>
      </c>
      <c r="CI351" s="20">
        <v>-30.77</v>
      </c>
      <c r="CJ351" s="20">
        <v>26.07</v>
      </c>
      <c r="CO351" s="20">
        <v>-16.92</v>
      </c>
      <c r="CP351" s="20">
        <v>-63.35</v>
      </c>
    </row>
    <row r="352">
      <c r="A352" s="20">
        <v>57.29</v>
      </c>
      <c r="B352" s="20">
        <v>149.26</v>
      </c>
      <c r="D352" s="20"/>
      <c r="E352" s="20"/>
      <c r="F352" s="20">
        <v>12.84</v>
      </c>
      <c r="G352" s="20">
        <v>-19.66</v>
      </c>
      <c r="I352" s="20"/>
      <c r="J352" s="20"/>
      <c r="K352" s="20">
        <v>175.0</v>
      </c>
      <c r="L352" s="20" t="s">
        <v>17</v>
      </c>
      <c r="M352" s="20">
        <v>-32.62</v>
      </c>
      <c r="N352" s="20">
        <v>-19.7</v>
      </c>
      <c r="P352" s="20">
        <v>-26.35</v>
      </c>
      <c r="Q352" s="20">
        <v>9.35</v>
      </c>
      <c r="AG352" s="20">
        <v>350.0</v>
      </c>
      <c r="AH352" s="20" t="s">
        <v>14</v>
      </c>
      <c r="AI352" s="20">
        <v>-25.82</v>
      </c>
      <c r="AJ352" s="20">
        <v>-32.62</v>
      </c>
      <c r="AM352" s="20">
        <v>176.0</v>
      </c>
      <c r="AN352" s="20" t="s">
        <v>17</v>
      </c>
      <c r="AO352" s="20">
        <v>-9.33</v>
      </c>
      <c r="AP352" s="20">
        <v>-17.15</v>
      </c>
      <c r="AS352" s="20">
        <v>175.0</v>
      </c>
      <c r="AT352" s="20" t="s">
        <v>17</v>
      </c>
      <c r="AU352" s="20">
        <v>-46.15</v>
      </c>
      <c r="AV352" s="20">
        <v>-53.76</v>
      </c>
      <c r="BE352" s="20">
        <v>350.0</v>
      </c>
      <c r="BF352" s="20" t="s">
        <v>14</v>
      </c>
      <c r="BG352" s="20">
        <v>58.55</v>
      </c>
      <c r="BH352" s="20">
        <v>1.41</v>
      </c>
      <c r="BK352" s="20">
        <v>175.0</v>
      </c>
      <c r="BL352" s="20" t="s">
        <v>17</v>
      </c>
      <c r="BM352" s="20">
        <v>-21.06</v>
      </c>
      <c r="BN352" s="20">
        <v>33.72</v>
      </c>
      <c r="BW352" s="20">
        <v>-55.8</v>
      </c>
      <c r="BX352" s="20">
        <v>-7.18</v>
      </c>
      <c r="BZ352" s="20">
        <v>-36.94</v>
      </c>
      <c r="CA352" s="20">
        <v>55.5</v>
      </c>
      <c r="CI352" s="20">
        <v>-41.08</v>
      </c>
      <c r="CJ352" s="20">
        <v>-30.94</v>
      </c>
      <c r="CO352" s="20">
        <v>-41.1</v>
      </c>
      <c r="CP352" s="20">
        <v>-55.92</v>
      </c>
    </row>
    <row r="353">
      <c r="A353" s="20">
        <v>-31.0</v>
      </c>
      <c r="B353" s="20">
        <v>99.11</v>
      </c>
      <c r="D353" s="20"/>
      <c r="E353" s="20"/>
      <c r="F353" s="20">
        <v>18.0</v>
      </c>
      <c r="G353" s="20">
        <v>-32.81</v>
      </c>
      <c r="I353" s="20"/>
      <c r="J353" s="20"/>
      <c r="K353" s="20">
        <v>176.0</v>
      </c>
      <c r="L353" s="20" t="s">
        <v>14</v>
      </c>
      <c r="M353" s="20">
        <v>-33.0</v>
      </c>
      <c r="N353" s="20">
        <v>31.21</v>
      </c>
      <c r="P353" s="20">
        <v>54.91</v>
      </c>
      <c r="Q353" s="20">
        <v>16.31</v>
      </c>
      <c r="AG353" s="20">
        <v>351.0</v>
      </c>
      <c r="AH353" s="20" t="s">
        <v>14</v>
      </c>
      <c r="AI353" s="20">
        <v>-30.37</v>
      </c>
      <c r="AJ353" s="20">
        <v>-18.62</v>
      </c>
      <c r="AM353" s="20">
        <v>177.0</v>
      </c>
      <c r="AN353" s="20" t="s">
        <v>14</v>
      </c>
      <c r="AO353" s="20">
        <v>-7.23</v>
      </c>
      <c r="AP353" s="20">
        <v>-21.18</v>
      </c>
      <c r="AS353" s="20">
        <v>176.0</v>
      </c>
      <c r="AT353" s="20" t="s">
        <v>14</v>
      </c>
      <c r="AU353" s="20">
        <v>12.93</v>
      </c>
      <c r="AV353" s="20">
        <v>-16.15</v>
      </c>
      <c r="BE353" s="20">
        <v>351.0</v>
      </c>
      <c r="BF353" s="20" t="s">
        <v>14</v>
      </c>
      <c r="BG353" s="20">
        <v>10.33</v>
      </c>
      <c r="BH353" s="20">
        <v>3.71</v>
      </c>
      <c r="BK353" s="20">
        <v>176.0</v>
      </c>
      <c r="BL353" s="20" t="s">
        <v>14</v>
      </c>
      <c r="BM353" s="20">
        <v>28.84</v>
      </c>
      <c r="BN353" s="20">
        <v>41.59</v>
      </c>
      <c r="BW353" s="20">
        <v>-53.95</v>
      </c>
      <c r="BX353" s="20">
        <v>-26.81</v>
      </c>
      <c r="BZ353" s="20">
        <v>-29.2</v>
      </c>
      <c r="CA353" s="20">
        <v>24.73</v>
      </c>
      <c r="CI353" s="20">
        <v>-34.73</v>
      </c>
      <c r="CJ353" s="20">
        <v>-35.41</v>
      </c>
      <c r="CO353" s="20">
        <v>-19.66</v>
      </c>
      <c r="CP353" s="20">
        <v>-61.94</v>
      </c>
    </row>
    <row r="354">
      <c r="A354" s="20">
        <v>86.73</v>
      </c>
      <c r="B354" s="20">
        <v>182.61</v>
      </c>
      <c r="D354" s="20"/>
      <c r="E354" s="20"/>
      <c r="F354" s="20">
        <v>21.94</v>
      </c>
      <c r="G354" s="20">
        <v>54.15</v>
      </c>
      <c r="I354" s="20"/>
      <c r="J354" s="20"/>
      <c r="K354" s="20">
        <v>176.0</v>
      </c>
      <c r="L354" s="20" t="s">
        <v>17</v>
      </c>
      <c r="M354" s="20">
        <v>-7.07</v>
      </c>
      <c r="N354" s="20">
        <v>-11.84</v>
      </c>
      <c r="P354" s="20">
        <v>-49.23</v>
      </c>
      <c r="Q354" s="20">
        <v>-62.55</v>
      </c>
      <c r="AG354" s="20">
        <v>352.0</v>
      </c>
      <c r="AH354" s="20" t="s">
        <v>14</v>
      </c>
      <c r="AI354" s="20">
        <v>-35.64</v>
      </c>
      <c r="AJ354" s="20">
        <v>-37.92</v>
      </c>
      <c r="AM354" s="20">
        <v>177.0</v>
      </c>
      <c r="AN354" s="20" t="s">
        <v>17</v>
      </c>
      <c r="AO354" s="20">
        <v>-21.99</v>
      </c>
      <c r="AP354" s="20">
        <v>-17.69</v>
      </c>
      <c r="AS354" s="20">
        <v>176.0</v>
      </c>
      <c r="AT354" s="20" t="s">
        <v>17</v>
      </c>
      <c r="AU354" s="20">
        <v>-4.51</v>
      </c>
      <c r="AV354" s="20">
        <v>-16.76</v>
      </c>
      <c r="BE354" s="20">
        <v>352.0</v>
      </c>
      <c r="BF354" s="20" t="s">
        <v>14</v>
      </c>
      <c r="BG354" s="20">
        <v>-0.29</v>
      </c>
      <c r="BH354" s="20">
        <v>5.72</v>
      </c>
      <c r="BK354" s="20">
        <v>176.0</v>
      </c>
      <c r="BL354" s="20" t="s">
        <v>17</v>
      </c>
      <c r="BM354" s="20">
        <v>52.9</v>
      </c>
      <c r="BN354" s="20">
        <v>83.5</v>
      </c>
      <c r="BW354" s="20">
        <v>13.81</v>
      </c>
      <c r="BX354" s="20">
        <v>10.31</v>
      </c>
      <c r="BZ354" s="20">
        <v>-46.79</v>
      </c>
      <c r="CA354" s="20">
        <v>-7.5</v>
      </c>
      <c r="CI354" s="20">
        <v>-64.04</v>
      </c>
      <c r="CJ354" s="20">
        <v>-44.71</v>
      </c>
      <c r="CO354" s="20">
        <v>-31.64</v>
      </c>
      <c r="CP354" s="20">
        <v>-67.31</v>
      </c>
    </row>
    <row r="355">
      <c r="A355" s="20">
        <v>-2.81</v>
      </c>
      <c r="B355" s="20">
        <v>212.59</v>
      </c>
      <c r="D355" s="20"/>
      <c r="E355" s="20"/>
      <c r="F355" s="20">
        <v>-25.27</v>
      </c>
      <c r="G355" s="20">
        <v>42.61</v>
      </c>
      <c r="I355" s="20"/>
      <c r="J355" s="20"/>
      <c r="K355" s="20">
        <v>177.0</v>
      </c>
      <c r="L355" s="20" t="s">
        <v>14</v>
      </c>
      <c r="M355" s="20">
        <v>10.98</v>
      </c>
      <c r="N355" s="20">
        <v>-33.77</v>
      </c>
      <c r="P355" s="20">
        <v>2.38</v>
      </c>
      <c r="Q355" s="20">
        <v>7.13</v>
      </c>
      <c r="AG355" s="20">
        <v>353.0</v>
      </c>
      <c r="AH355" s="20" t="s">
        <v>14</v>
      </c>
      <c r="AI355" s="20">
        <v>-4.6</v>
      </c>
      <c r="AJ355" s="20">
        <v>-16.06</v>
      </c>
      <c r="AM355" s="20">
        <v>178.0</v>
      </c>
      <c r="AN355" s="20" t="s">
        <v>14</v>
      </c>
      <c r="AO355" s="20">
        <v>-13.16</v>
      </c>
      <c r="AP355" s="20">
        <v>-4.02</v>
      </c>
      <c r="AS355" s="20">
        <v>177.0</v>
      </c>
      <c r="AT355" s="20" t="s">
        <v>14</v>
      </c>
      <c r="AU355" s="20">
        <v>-2.65</v>
      </c>
      <c r="AV355" s="20">
        <v>-26.86</v>
      </c>
      <c r="BE355" s="20">
        <v>353.0</v>
      </c>
      <c r="BF355" s="20" t="s">
        <v>14</v>
      </c>
      <c r="BG355" s="20">
        <v>-12.93</v>
      </c>
      <c r="BH355" s="20">
        <v>19.79</v>
      </c>
      <c r="BK355" s="20">
        <v>177.0</v>
      </c>
      <c r="BL355" s="20" t="s">
        <v>14</v>
      </c>
      <c r="BM355" s="20">
        <v>12.09</v>
      </c>
      <c r="BN355" s="20">
        <v>36.29</v>
      </c>
      <c r="BW355" s="20">
        <v>-67.88</v>
      </c>
      <c r="BX355" s="20">
        <v>-40.53</v>
      </c>
      <c r="BZ355" s="20">
        <v>-14.96</v>
      </c>
      <c r="CA355" s="20">
        <v>65.48</v>
      </c>
      <c r="CI355" s="20">
        <v>-58.53</v>
      </c>
      <c r="CJ355" s="20">
        <v>-56.93</v>
      </c>
      <c r="CO355" s="20">
        <v>-24.05</v>
      </c>
      <c r="CP355" s="20">
        <v>-61.84</v>
      </c>
    </row>
    <row r="356">
      <c r="A356" s="20">
        <v>-39.24</v>
      </c>
      <c r="B356" s="20">
        <v>-19.52</v>
      </c>
      <c r="D356" s="20"/>
      <c r="E356" s="20"/>
      <c r="F356" s="20">
        <v>-12.83</v>
      </c>
      <c r="G356" s="20">
        <v>50.64</v>
      </c>
      <c r="I356" s="20"/>
      <c r="J356" s="20"/>
      <c r="K356" s="20">
        <v>177.0</v>
      </c>
      <c r="L356" s="20" t="s">
        <v>17</v>
      </c>
      <c r="M356" s="20">
        <v>-9.25</v>
      </c>
      <c r="N356" s="20">
        <v>-43.14</v>
      </c>
      <c r="P356" s="20">
        <v>-19.53</v>
      </c>
      <c r="Q356" s="20">
        <v>39.92</v>
      </c>
      <c r="AG356" s="20">
        <v>354.0</v>
      </c>
      <c r="AH356" s="20" t="s">
        <v>14</v>
      </c>
      <c r="AI356" s="20">
        <v>-4.92</v>
      </c>
      <c r="AJ356" s="20">
        <v>-24.25</v>
      </c>
      <c r="AM356" s="20">
        <v>178.0</v>
      </c>
      <c r="AN356" s="20" t="s">
        <v>17</v>
      </c>
      <c r="AO356" s="20">
        <v>-18.33</v>
      </c>
      <c r="AP356" s="20">
        <v>41.28</v>
      </c>
      <c r="AS356" s="20">
        <v>177.0</v>
      </c>
      <c r="AT356" s="20" t="s">
        <v>17</v>
      </c>
      <c r="AU356" s="20">
        <v>-30.95</v>
      </c>
      <c r="AV356" s="20">
        <v>-46.19</v>
      </c>
      <c r="BE356" s="20">
        <v>354.0</v>
      </c>
      <c r="BF356" s="20" t="s">
        <v>14</v>
      </c>
      <c r="BG356" s="20">
        <v>4.45</v>
      </c>
      <c r="BH356" s="20">
        <v>-19.09</v>
      </c>
      <c r="BK356" s="20">
        <v>177.0</v>
      </c>
      <c r="BL356" s="20" t="s">
        <v>17</v>
      </c>
      <c r="BM356" s="20">
        <v>12.54</v>
      </c>
      <c r="BN356" s="20">
        <v>35.48</v>
      </c>
      <c r="BW356" s="20">
        <v>-51.61</v>
      </c>
      <c r="BX356" s="20">
        <v>-40.06</v>
      </c>
      <c r="BZ356" s="20">
        <v>-46.15</v>
      </c>
      <c r="CA356" s="20">
        <v>16.0</v>
      </c>
      <c r="CI356" s="20">
        <v>-47.92</v>
      </c>
      <c r="CJ356" s="20">
        <v>4.47</v>
      </c>
      <c r="CO356" s="20">
        <v>-13.24</v>
      </c>
      <c r="CP356" s="20">
        <v>-59.0</v>
      </c>
    </row>
    <row r="357">
      <c r="A357" s="20">
        <v>-52.76</v>
      </c>
      <c r="B357" s="20">
        <v>109.52</v>
      </c>
      <c r="D357" s="20"/>
      <c r="E357" s="20"/>
      <c r="F357" s="20">
        <v>35.63</v>
      </c>
      <c r="G357" s="20">
        <v>29.09</v>
      </c>
      <c r="I357" s="20"/>
      <c r="J357" s="20"/>
      <c r="K357" s="20">
        <v>178.0</v>
      </c>
      <c r="L357" s="20" t="s">
        <v>14</v>
      </c>
      <c r="M357" s="20">
        <v>25.31</v>
      </c>
      <c r="N357" s="20">
        <v>94.51</v>
      </c>
      <c r="P357" s="20">
        <v>-15.73</v>
      </c>
      <c r="Q357" s="20">
        <v>-31.65</v>
      </c>
      <c r="AG357" s="20">
        <v>355.0</v>
      </c>
      <c r="AH357" s="20" t="s">
        <v>14</v>
      </c>
      <c r="AI357" s="20">
        <v>-57.64</v>
      </c>
      <c r="AJ357" s="20">
        <v>-54.3</v>
      </c>
      <c r="AM357" s="20">
        <v>179.0</v>
      </c>
      <c r="AN357" s="20" t="s">
        <v>14</v>
      </c>
      <c r="AO357" s="20">
        <v>0.82</v>
      </c>
      <c r="AP357" s="20">
        <v>-15.4</v>
      </c>
      <c r="AS357" s="20">
        <v>178.0</v>
      </c>
      <c r="AT357" s="20" t="s">
        <v>14</v>
      </c>
      <c r="AU357" s="20">
        <v>-19.94</v>
      </c>
      <c r="AV357" s="20">
        <v>-52.47</v>
      </c>
      <c r="BE357" s="20">
        <v>355.0</v>
      </c>
      <c r="BF357" s="20" t="s">
        <v>14</v>
      </c>
      <c r="BG357" s="20">
        <v>30.78</v>
      </c>
      <c r="BH357" s="20">
        <v>32.42</v>
      </c>
      <c r="BK357" s="20">
        <v>178.0</v>
      </c>
      <c r="BL357" s="20" t="s">
        <v>14</v>
      </c>
      <c r="BM357" s="20">
        <v>31.34</v>
      </c>
      <c r="BN357" s="20">
        <v>44.26</v>
      </c>
      <c r="BW357" s="20">
        <v>-67.56</v>
      </c>
      <c r="BX357" s="20">
        <v>-41.96</v>
      </c>
      <c r="BZ357" s="20">
        <v>-37.56</v>
      </c>
      <c r="CA357" s="20">
        <v>33.24</v>
      </c>
      <c r="CI357" s="20">
        <v>-35.78</v>
      </c>
      <c r="CJ357" s="20">
        <v>37.79</v>
      </c>
      <c r="CO357" s="20">
        <v>-20.53</v>
      </c>
      <c r="CP357" s="20">
        <v>-53.61</v>
      </c>
    </row>
    <row r="358">
      <c r="A358" s="20">
        <v>-8.85</v>
      </c>
      <c r="B358" s="20">
        <v>34.07</v>
      </c>
      <c r="D358" s="20"/>
      <c r="E358" s="20"/>
      <c r="F358" s="20">
        <v>23.7</v>
      </c>
      <c r="G358" s="20">
        <v>-21.98</v>
      </c>
      <c r="I358" s="20"/>
      <c r="J358" s="20"/>
      <c r="K358" s="20">
        <v>178.0</v>
      </c>
      <c r="L358" s="20" t="s">
        <v>17</v>
      </c>
      <c r="M358" s="20">
        <v>23.55</v>
      </c>
      <c r="N358" s="20">
        <v>82.38</v>
      </c>
      <c r="P358" s="20">
        <v>-32.52</v>
      </c>
      <c r="Q358" s="20">
        <v>-9.95</v>
      </c>
      <c r="AG358" s="20">
        <v>356.0</v>
      </c>
      <c r="AH358" s="20" t="s">
        <v>14</v>
      </c>
      <c r="AI358" s="20">
        <v>-34.24</v>
      </c>
      <c r="AJ358" s="20">
        <v>-43.35</v>
      </c>
      <c r="AM358" s="20">
        <v>179.0</v>
      </c>
      <c r="AN358" s="20" t="s">
        <v>17</v>
      </c>
      <c r="AO358" s="20">
        <v>44.97</v>
      </c>
      <c r="AP358" s="20">
        <v>-21.81</v>
      </c>
      <c r="AS358" s="20">
        <v>178.0</v>
      </c>
      <c r="AT358" s="20" t="s">
        <v>17</v>
      </c>
      <c r="AU358" s="20">
        <v>-21.66</v>
      </c>
      <c r="AV358" s="20">
        <v>-40.0</v>
      </c>
      <c r="BE358" s="20">
        <v>356.0</v>
      </c>
      <c r="BF358" s="20" t="s">
        <v>14</v>
      </c>
      <c r="BG358" s="20">
        <v>3.21</v>
      </c>
      <c r="BH358" s="20">
        <v>25.19</v>
      </c>
      <c r="BK358" s="20">
        <v>178.0</v>
      </c>
      <c r="BL358" s="20" t="s">
        <v>17</v>
      </c>
      <c r="BM358" s="20">
        <v>-7.37</v>
      </c>
      <c r="BN358" s="20">
        <v>62.22</v>
      </c>
      <c r="BW358" s="20">
        <v>-48.44</v>
      </c>
      <c r="BX358" s="20">
        <v>-0.5</v>
      </c>
      <c r="BZ358" s="20">
        <v>-58.98</v>
      </c>
      <c r="CA358" s="20">
        <v>-7.64</v>
      </c>
      <c r="CI358" s="20">
        <v>-36.67</v>
      </c>
      <c r="CJ358" s="20">
        <v>-26.48</v>
      </c>
      <c r="CO358" s="20">
        <v>-16.71</v>
      </c>
      <c r="CP358" s="20">
        <v>-60.34</v>
      </c>
    </row>
    <row r="359">
      <c r="A359" s="20">
        <v>24.04</v>
      </c>
      <c r="B359" s="20">
        <v>-7.9</v>
      </c>
      <c r="D359" s="20"/>
      <c r="E359" s="20"/>
      <c r="F359" s="20">
        <v>-19.15</v>
      </c>
      <c r="G359" s="20">
        <v>-0.32</v>
      </c>
      <c r="I359" s="20"/>
      <c r="J359" s="20"/>
      <c r="K359" s="20">
        <v>179.0</v>
      </c>
      <c r="L359" s="20" t="s">
        <v>14</v>
      </c>
      <c r="M359" s="20">
        <v>1.24</v>
      </c>
      <c r="N359" s="20">
        <v>3.09</v>
      </c>
      <c r="P359" s="20">
        <v>8.25</v>
      </c>
      <c r="Q359" s="20">
        <v>-6.99</v>
      </c>
      <c r="AG359" s="20">
        <v>357.0</v>
      </c>
      <c r="AH359" s="20" t="s">
        <v>14</v>
      </c>
      <c r="AI359" s="20">
        <v>-23.75</v>
      </c>
      <c r="AJ359" s="20">
        <v>-22.54</v>
      </c>
      <c r="AM359" s="20">
        <v>180.0</v>
      </c>
      <c r="AN359" s="20" t="s">
        <v>14</v>
      </c>
      <c r="AO359" s="20">
        <v>11.5</v>
      </c>
      <c r="AP359" s="20">
        <v>1.34</v>
      </c>
      <c r="AS359" s="20">
        <v>179.0</v>
      </c>
      <c r="AT359" s="20" t="s">
        <v>14</v>
      </c>
      <c r="AU359" s="20">
        <v>10.74</v>
      </c>
      <c r="AV359" s="20">
        <v>-39.99</v>
      </c>
      <c r="BE359" s="20">
        <v>357.0</v>
      </c>
      <c r="BF359" s="20" t="s">
        <v>14</v>
      </c>
      <c r="BG359" s="20">
        <v>12.73</v>
      </c>
      <c r="BH359" s="20">
        <v>-6.9</v>
      </c>
      <c r="BK359" s="20">
        <v>179.0</v>
      </c>
      <c r="BL359" s="20" t="s">
        <v>14</v>
      </c>
      <c r="BM359" s="20">
        <v>41.86</v>
      </c>
      <c r="BN359" s="20">
        <v>61.66</v>
      </c>
      <c r="BW359" s="20">
        <v>-13.47</v>
      </c>
      <c r="BX359" s="20">
        <v>-5.19</v>
      </c>
      <c r="BZ359" s="20">
        <v>-33.26</v>
      </c>
      <c r="CA359" s="20">
        <v>-16.65</v>
      </c>
      <c r="CI359" s="20">
        <v>-52.3</v>
      </c>
      <c r="CJ359" s="20">
        <v>-27.43</v>
      </c>
      <c r="CO359" s="20">
        <v>-17.51</v>
      </c>
      <c r="CP359" s="20">
        <v>-44.58</v>
      </c>
    </row>
    <row r="360">
      <c r="A360" s="20">
        <v>-6.57</v>
      </c>
      <c r="B360" s="20">
        <v>-27.04</v>
      </c>
      <c r="D360" s="20"/>
      <c r="E360" s="20"/>
      <c r="F360" s="20">
        <v>-35.0</v>
      </c>
      <c r="G360" s="20">
        <v>-18.68</v>
      </c>
      <c r="I360" s="20"/>
      <c r="J360" s="20"/>
      <c r="K360" s="20">
        <v>179.0</v>
      </c>
      <c r="L360" s="20" t="s">
        <v>17</v>
      </c>
      <c r="M360" s="20">
        <v>-35.07</v>
      </c>
      <c r="N360" s="20">
        <v>-26.82</v>
      </c>
      <c r="P360" s="20">
        <v>-39.77</v>
      </c>
      <c r="Q360" s="20">
        <v>-12.03</v>
      </c>
      <c r="AG360" s="20">
        <v>358.0</v>
      </c>
      <c r="AH360" s="20" t="s">
        <v>14</v>
      </c>
      <c r="AI360" s="20">
        <v>-36.26</v>
      </c>
      <c r="AJ360" s="20">
        <v>-14.91</v>
      </c>
      <c r="AM360" s="20">
        <v>180.0</v>
      </c>
      <c r="AN360" s="20" t="s">
        <v>17</v>
      </c>
      <c r="AO360" s="20">
        <v>3.95</v>
      </c>
      <c r="AP360" s="20">
        <v>-9.23</v>
      </c>
      <c r="AS360" s="20">
        <v>179.0</v>
      </c>
      <c r="AT360" s="20" t="s">
        <v>17</v>
      </c>
      <c r="AU360" s="20">
        <v>-33.68</v>
      </c>
      <c r="AV360" s="20">
        <v>-9.56</v>
      </c>
      <c r="BE360" s="20">
        <v>358.0</v>
      </c>
      <c r="BF360" s="20" t="s">
        <v>14</v>
      </c>
      <c r="BG360" s="20">
        <v>24.18</v>
      </c>
      <c r="BH360" s="20">
        <v>15.92</v>
      </c>
      <c r="BK360" s="20">
        <v>179.0</v>
      </c>
      <c r="BL360" s="20" t="s">
        <v>17</v>
      </c>
      <c r="BM360" s="20">
        <v>83.23</v>
      </c>
      <c r="BN360" s="20">
        <v>128.42</v>
      </c>
      <c r="BW360" s="20">
        <v>-70.06</v>
      </c>
      <c r="BX360" s="20">
        <v>-65.43</v>
      </c>
      <c r="BZ360" s="20">
        <v>-62.05</v>
      </c>
      <c r="CA360" s="20">
        <v>17.3</v>
      </c>
      <c r="CI360" s="20">
        <v>-59.05</v>
      </c>
      <c r="CJ360" s="20">
        <v>-48.49</v>
      </c>
      <c r="CO360" s="20">
        <v>12.21</v>
      </c>
      <c r="CP360" s="20">
        <v>-53.76</v>
      </c>
    </row>
    <row r="361">
      <c r="A361" s="20">
        <v>-13.45</v>
      </c>
      <c r="B361" s="20">
        <v>83.44</v>
      </c>
      <c r="D361" s="20"/>
      <c r="E361" s="20"/>
      <c r="F361" s="20">
        <v>-38.46</v>
      </c>
      <c r="G361" s="20">
        <v>-12.22</v>
      </c>
      <c r="I361" s="20"/>
      <c r="J361" s="20"/>
      <c r="K361" s="20">
        <v>180.0</v>
      </c>
      <c r="L361" s="20" t="s">
        <v>14</v>
      </c>
      <c r="M361" s="20">
        <v>-9.83</v>
      </c>
      <c r="N361" s="20">
        <v>-29.27</v>
      </c>
      <c r="P361" s="20">
        <v>29.14</v>
      </c>
      <c r="Q361" s="20">
        <v>14.69</v>
      </c>
      <c r="AG361" s="20">
        <v>359.0</v>
      </c>
      <c r="AH361" s="20" t="s">
        <v>14</v>
      </c>
      <c r="AI361" s="20">
        <v>-17.7</v>
      </c>
      <c r="AJ361" s="20">
        <v>3.16</v>
      </c>
      <c r="AM361" s="20">
        <v>181.0</v>
      </c>
      <c r="AN361" s="20" t="s">
        <v>14</v>
      </c>
      <c r="AO361" s="20">
        <v>-18.24</v>
      </c>
      <c r="AP361" s="20">
        <v>-26.41</v>
      </c>
      <c r="AS361" s="20">
        <v>180.0</v>
      </c>
      <c r="AT361" s="20" t="s">
        <v>14</v>
      </c>
      <c r="AU361" s="20">
        <v>-22.3</v>
      </c>
      <c r="AV361" s="20">
        <v>9.68</v>
      </c>
      <c r="BE361" s="20">
        <v>359.0</v>
      </c>
      <c r="BF361" s="20" t="s">
        <v>14</v>
      </c>
      <c r="BG361" s="20">
        <v>34.77</v>
      </c>
      <c r="BH361" s="20">
        <v>1.28</v>
      </c>
      <c r="BK361" s="20">
        <v>180.0</v>
      </c>
      <c r="BL361" s="20" t="s">
        <v>14</v>
      </c>
      <c r="BM361" s="20">
        <v>58.78</v>
      </c>
      <c r="BN361" s="20">
        <v>58.41</v>
      </c>
      <c r="BW361" s="20">
        <v>-56.21</v>
      </c>
      <c r="BX361" s="20">
        <v>-32.53</v>
      </c>
      <c r="BZ361" s="20">
        <v>-21.87</v>
      </c>
      <c r="CA361" s="20">
        <v>21.48</v>
      </c>
      <c r="CI361" s="20">
        <v>-18.8</v>
      </c>
      <c r="CJ361" s="20">
        <v>-6.68</v>
      </c>
      <c r="CO361" s="20">
        <v>-37.23</v>
      </c>
      <c r="CP361" s="20">
        <v>-51.34</v>
      </c>
    </row>
    <row r="362">
      <c r="A362" s="20">
        <v>-34.56</v>
      </c>
      <c r="B362" s="20">
        <v>36.15</v>
      </c>
      <c r="D362" s="20"/>
      <c r="E362" s="20"/>
      <c r="F362" s="20">
        <v>-29.61</v>
      </c>
      <c r="G362" s="20">
        <v>-23.29</v>
      </c>
      <c r="I362" s="20"/>
      <c r="J362" s="20"/>
      <c r="K362" s="20">
        <v>180.0</v>
      </c>
      <c r="L362" s="20" t="s">
        <v>17</v>
      </c>
      <c r="M362" s="20">
        <v>-25.19</v>
      </c>
      <c r="N362" s="20">
        <v>-39.41</v>
      </c>
      <c r="P362" s="20">
        <v>-23.82</v>
      </c>
      <c r="Q362" s="20">
        <v>-3.11</v>
      </c>
      <c r="AG362" s="20">
        <v>360.0</v>
      </c>
      <c r="AH362" s="20" t="s">
        <v>14</v>
      </c>
      <c r="AI362" s="20">
        <v>-17.42</v>
      </c>
      <c r="AJ362" s="20">
        <v>-17.9</v>
      </c>
      <c r="AM362" s="20">
        <v>181.0</v>
      </c>
      <c r="AN362" s="20" t="s">
        <v>17</v>
      </c>
      <c r="AO362" s="20">
        <v>-17.05</v>
      </c>
      <c r="AP362" s="20">
        <v>-8.42</v>
      </c>
      <c r="AS362" s="20">
        <v>180.0</v>
      </c>
      <c r="AT362" s="20" t="s">
        <v>17</v>
      </c>
      <c r="AU362" s="20">
        <v>-40.24</v>
      </c>
      <c r="AV362" s="20">
        <v>-48.62</v>
      </c>
      <c r="BE362" s="20">
        <v>360.0</v>
      </c>
      <c r="BF362" s="20" t="s">
        <v>14</v>
      </c>
      <c r="BG362" s="20">
        <v>42.99</v>
      </c>
      <c r="BH362" s="20">
        <v>13.86</v>
      </c>
      <c r="BK362" s="20">
        <v>180.0</v>
      </c>
      <c r="BL362" s="20" t="s">
        <v>17</v>
      </c>
      <c r="BM362" s="20">
        <v>17.49</v>
      </c>
      <c r="BN362" s="20">
        <v>67.58</v>
      </c>
      <c r="BW362" s="20">
        <v>-5.82</v>
      </c>
      <c r="BX362" s="20">
        <v>-23.44</v>
      </c>
      <c r="BZ362" s="20">
        <v>-56.37</v>
      </c>
      <c r="CA362" s="20">
        <v>-5.89</v>
      </c>
      <c r="CI362" s="20">
        <v>-58.4</v>
      </c>
      <c r="CJ362" s="20">
        <v>-26.3</v>
      </c>
      <c r="CO362" s="20">
        <v>-32.81</v>
      </c>
      <c r="CP362" s="20">
        <v>-38.5</v>
      </c>
    </row>
    <row r="363">
      <c r="A363" s="20">
        <v>-31.89</v>
      </c>
      <c r="B363" s="20">
        <v>-33.42</v>
      </c>
      <c r="D363" s="20"/>
      <c r="E363" s="20"/>
      <c r="F363" s="20">
        <v>99.77</v>
      </c>
      <c r="G363" s="20">
        <v>2.71</v>
      </c>
      <c r="I363" s="20"/>
      <c r="J363" s="20"/>
      <c r="K363" s="20">
        <v>181.0</v>
      </c>
      <c r="L363" s="20" t="s">
        <v>14</v>
      </c>
      <c r="M363" s="20">
        <v>24.27</v>
      </c>
      <c r="N363" s="20">
        <v>82.72</v>
      </c>
      <c r="P363" s="20">
        <v>-18.41</v>
      </c>
      <c r="Q363" s="20">
        <v>12.44</v>
      </c>
      <c r="AG363" s="20">
        <v>361.0</v>
      </c>
      <c r="AH363" s="20" t="s">
        <v>14</v>
      </c>
      <c r="AI363" s="20">
        <v>-42.84</v>
      </c>
      <c r="AJ363" s="20">
        <v>3.12</v>
      </c>
      <c r="AM363" s="20">
        <v>182.0</v>
      </c>
      <c r="AN363" s="20" t="s">
        <v>14</v>
      </c>
      <c r="AO363" s="20">
        <v>-15.07</v>
      </c>
      <c r="AP363" s="20">
        <v>-12.25</v>
      </c>
      <c r="AS363" s="20">
        <v>181.0</v>
      </c>
      <c r="AT363" s="20" t="s">
        <v>14</v>
      </c>
      <c r="AU363" s="20">
        <v>26.29</v>
      </c>
      <c r="AV363" s="20">
        <v>-15.37</v>
      </c>
      <c r="BE363" s="20">
        <v>361.0</v>
      </c>
      <c r="BF363" s="20" t="s">
        <v>14</v>
      </c>
      <c r="BG363" s="20">
        <v>48.87</v>
      </c>
      <c r="BH363" s="20">
        <v>7.31</v>
      </c>
      <c r="BK363" s="20">
        <v>181.0</v>
      </c>
      <c r="BL363" s="20" t="s">
        <v>14</v>
      </c>
      <c r="BM363" s="20">
        <v>0.95</v>
      </c>
      <c r="BN363" s="20">
        <v>10.21</v>
      </c>
      <c r="BW363" s="20">
        <v>-55.71</v>
      </c>
      <c r="BX363" s="20">
        <v>-10.18</v>
      </c>
      <c r="BZ363" s="20">
        <v>-37.63</v>
      </c>
      <c r="CA363" s="20">
        <v>74.52</v>
      </c>
      <c r="CI363" s="20">
        <v>-52.12</v>
      </c>
      <c r="CJ363" s="20">
        <v>-32.37</v>
      </c>
      <c r="CO363" s="20">
        <v>-15.8</v>
      </c>
      <c r="CP363" s="20">
        <v>-50.86</v>
      </c>
    </row>
    <row r="364">
      <c r="A364" s="20">
        <v>21.27</v>
      </c>
      <c r="B364" s="20">
        <v>-18.12</v>
      </c>
      <c r="D364" s="20"/>
      <c r="E364" s="20"/>
      <c r="F364" s="20">
        <v>-0.62</v>
      </c>
      <c r="G364" s="20">
        <v>11.25</v>
      </c>
      <c r="I364" s="20"/>
      <c r="J364" s="20"/>
      <c r="K364" s="20">
        <v>181.0</v>
      </c>
      <c r="L364" s="20" t="s">
        <v>17</v>
      </c>
      <c r="M364" s="20">
        <v>-12.48</v>
      </c>
      <c r="N364" s="20">
        <v>8.9</v>
      </c>
      <c r="P364" s="20">
        <v>-27.17</v>
      </c>
      <c r="Q364" s="20">
        <v>-11.13</v>
      </c>
      <c r="AG364" s="20">
        <v>362.0</v>
      </c>
      <c r="AH364" s="20" t="s">
        <v>14</v>
      </c>
      <c r="AI364" s="20">
        <v>27.87</v>
      </c>
      <c r="AJ364" s="20">
        <v>23.99</v>
      </c>
      <c r="AM364" s="20">
        <v>182.0</v>
      </c>
      <c r="AN364" s="20" t="s">
        <v>17</v>
      </c>
      <c r="AO364" s="20">
        <v>8.28</v>
      </c>
      <c r="AP364" s="20">
        <v>-25.29</v>
      </c>
      <c r="AS364" s="20">
        <v>181.0</v>
      </c>
      <c r="AT364" s="20" t="s">
        <v>17</v>
      </c>
      <c r="AU364" s="20">
        <v>-32.66</v>
      </c>
      <c r="AV364" s="20">
        <v>-36.07</v>
      </c>
      <c r="BE364" s="20">
        <v>362.0</v>
      </c>
      <c r="BF364" s="20" t="s">
        <v>14</v>
      </c>
      <c r="BG364" s="20">
        <v>-22.19</v>
      </c>
      <c r="BH364" s="20">
        <v>-16.04</v>
      </c>
      <c r="BK364" s="20">
        <v>181.0</v>
      </c>
      <c r="BL364" s="20" t="s">
        <v>17</v>
      </c>
      <c r="BM364" s="20">
        <v>89.87</v>
      </c>
      <c r="BN364" s="20">
        <v>167.23</v>
      </c>
      <c r="BW364" s="20">
        <v>-76.41</v>
      </c>
      <c r="BX364" s="20">
        <v>-44.9</v>
      </c>
      <c r="BZ364" s="20">
        <v>-26.41</v>
      </c>
      <c r="CA364" s="20">
        <v>76.17</v>
      </c>
      <c r="CI364" s="20">
        <v>-54.31</v>
      </c>
      <c r="CJ364" s="20">
        <v>-53.38</v>
      </c>
      <c r="CO364" s="20">
        <v>-4.38</v>
      </c>
      <c r="CP364" s="20">
        <v>-40.18</v>
      </c>
    </row>
    <row r="365">
      <c r="A365" s="20">
        <v>6.68</v>
      </c>
      <c r="B365" s="20">
        <v>13.22</v>
      </c>
      <c r="D365" s="20"/>
      <c r="E365" s="20"/>
      <c r="F365" s="20">
        <v>-11.52</v>
      </c>
      <c r="G365" s="20">
        <v>-27.34</v>
      </c>
      <c r="I365" s="20"/>
      <c r="J365" s="20"/>
      <c r="K365" s="20">
        <v>182.0</v>
      </c>
      <c r="L365" s="20" t="s">
        <v>14</v>
      </c>
      <c r="M365" s="20">
        <v>-18.75</v>
      </c>
      <c r="N365" s="20">
        <v>-6.53</v>
      </c>
      <c r="P365" s="20">
        <v>-38.13</v>
      </c>
      <c r="Q365" s="20">
        <v>-11.76</v>
      </c>
      <c r="AG365" s="20">
        <v>363.0</v>
      </c>
      <c r="AH365" s="20" t="s">
        <v>14</v>
      </c>
      <c r="AI365" s="20">
        <v>16.19</v>
      </c>
      <c r="AJ365" s="20">
        <v>13.72</v>
      </c>
      <c r="AM365" s="20">
        <v>183.0</v>
      </c>
      <c r="AN365" s="20" t="s">
        <v>14</v>
      </c>
      <c r="AO365" s="20">
        <v>-0.53</v>
      </c>
      <c r="AP365" s="20">
        <v>26.0</v>
      </c>
      <c r="AS365" s="20">
        <v>182.0</v>
      </c>
      <c r="AT365" s="20" t="s">
        <v>14</v>
      </c>
      <c r="AU365" s="20">
        <v>-23.53</v>
      </c>
      <c r="AV365" s="20">
        <v>-26.46</v>
      </c>
      <c r="BE365" s="20">
        <v>363.0</v>
      </c>
      <c r="BF365" s="20" t="s">
        <v>14</v>
      </c>
      <c r="BG365" s="20">
        <v>0.12</v>
      </c>
      <c r="BH365" s="20">
        <v>-11.43</v>
      </c>
      <c r="BK365" s="20">
        <v>182.0</v>
      </c>
      <c r="BL365" s="20" t="s">
        <v>14</v>
      </c>
      <c r="BM365" s="20">
        <v>0.25</v>
      </c>
      <c r="BN365" s="20">
        <v>21.53</v>
      </c>
      <c r="BW365" s="20">
        <v>-61.25</v>
      </c>
      <c r="BX365" s="20">
        <v>52.29</v>
      </c>
      <c r="BZ365" s="20">
        <v>-14.22</v>
      </c>
      <c r="CA365" s="20">
        <v>53.34</v>
      </c>
      <c r="CI365" s="20">
        <v>-57.31</v>
      </c>
      <c r="CJ365" s="20">
        <v>-58.85</v>
      </c>
      <c r="CO365" s="20">
        <v>-21.33</v>
      </c>
      <c r="CP365" s="20">
        <v>-54.89</v>
      </c>
    </row>
    <row r="366">
      <c r="A366" s="20">
        <v>-16.61</v>
      </c>
      <c r="B366" s="20">
        <v>35.55</v>
      </c>
      <c r="D366" s="20"/>
      <c r="E366" s="20"/>
      <c r="F366" s="20">
        <v>-31.19</v>
      </c>
      <c r="G366" s="20">
        <v>58.56</v>
      </c>
      <c r="I366" s="20"/>
      <c r="J366" s="20"/>
      <c r="K366" s="20">
        <v>182.0</v>
      </c>
      <c r="L366" s="20" t="s">
        <v>17</v>
      </c>
      <c r="M366" s="20">
        <v>-24.99</v>
      </c>
      <c r="N366" s="20">
        <v>25.55</v>
      </c>
      <c r="P366" s="20">
        <v>-31.52</v>
      </c>
      <c r="Q366" s="20">
        <v>5.95</v>
      </c>
      <c r="AG366" s="20">
        <v>364.0</v>
      </c>
      <c r="AH366" s="20" t="s">
        <v>14</v>
      </c>
      <c r="AI366" s="20">
        <v>-5.96</v>
      </c>
      <c r="AJ366" s="20">
        <v>-8.01</v>
      </c>
      <c r="AM366" s="20">
        <v>183.0</v>
      </c>
      <c r="AN366" s="20" t="s">
        <v>17</v>
      </c>
      <c r="AO366" s="20">
        <v>12.19</v>
      </c>
      <c r="AP366" s="20">
        <v>30.58</v>
      </c>
      <c r="AS366" s="20">
        <v>182.0</v>
      </c>
      <c r="AT366" s="20" t="s">
        <v>17</v>
      </c>
      <c r="AU366" s="20">
        <v>38.78</v>
      </c>
      <c r="AV366" s="20">
        <v>-17.81</v>
      </c>
      <c r="BE366" s="20">
        <v>364.0</v>
      </c>
      <c r="BF366" s="20" t="s">
        <v>14</v>
      </c>
      <c r="BG366" s="20">
        <v>28.59</v>
      </c>
      <c r="BH366" s="20">
        <v>51.45</v>
      </c>
      <c r="BK366" s="20">
        <v>182.0</v>
      </c>
      <c r="BL366" s="20" t="s">
        <v>17</v>
      </c>
      <c r="BM366" s="20">
        <v>-10.82</v>
      </c>
      <c r="BN366" s="20">
        <v>73.65</v>
      </c>
      <c r="BW366" s="20">
        <v>-68.5</v>
      </c>
      <c r="BX366" s="20">
        <v>-0.97</v>
      </c>
      <c r="BZ366" s="20">
        <v>-52.19</v>
      </c>
      <c r="CA366" s="20">
        <v>9.86</v>
      </c>
      <c r="CI366" s="20">
        <v>-20.62</v>
      </c>
      <c r="CJ366" s="20">
        <v>-26.01</v>
      </c>
      <c r="CO366" s="20">
        <v>7.98</v>
      </c>
      <c r="CP366" s="20">
        <v>-52.96</v>
      </c>
    </row>
    <row r="367">
      <c r="A367" s="20">
        <v>-37.18</v>
      </c>
      <c r="B367" s="20">
        <v>34.09</v>
      </c>
      <c r="D367" s="20"/>
      <c r="E367" s="20"/>
      <c r="F367" s="20">
        <v>-6.62</v>
      </c>
      <c r="G367" s="20">
        <v>9.86</v>
      </c>
      <c r="I367" s="20"/>
      <c r="J367" s="20"/>
      <c r="K367" s="20">
        <v>183.0</v>
      </c>
      <c r="L367" s="20" t="s">
        <v>14</v>
      </c>
      <c r="M367" s="20">
        <v>-21.68</v>
      </c>
      <c r="N367" s="20">
        <v>-6.18</v>
      </c>
      <c r="P367" s="20">
        <v>50.43</v>
      </c>
      <c r="Q367" s="20">
        <v>21.43</v>
      </c>
      <c r="AG367" s="20">
        <v>365.0</v>
      </c>
      <c r="AH367" s="20" t="s">
        <v>14</v>
      </c>
      <c r="AI367" s="20">
        <v>12.05</v>
      </c>
      <c r="AJ367" s="20">
        <v>7.53</v>
      </c>
      <c r="AM367" s="20">
        <v>184.0</v>
      </c>
      <c r="AN367" s="20" t="s">
        <v>14</v>
      </c>
      <c r="AO367" s="20">
        <v>8.32</v>
      </c>
      <c r="AP367" s="20">
        <v>-0.48</v>
      </c>
      <c r="AS367" s="20">
        <v>183.0</v>
      </c>
      <c r="AT367" s="20" t="s">
        <v>14</v>
      </c>
      <c r="AU367" s="20">
        <v>-17.2</v>
      </c>
      <c r="AV367" s="20">
        <v>-3.09</v>
      </c>
      <c r="BE367" s="20">
        <v>365.0</v>
      </c>
      <c r="BF367" s="20" t="s">
        <v>14</v>
      </c>
      <c r="BG367" s="20">
        <v>11.13</v>
      </c>
      <c r="BH367" s="20">
        <v>6.36</v>
      </c>
      <c r="BK367" s="20">
        <v>183.0</v>
      </c>
      <c r="BL367" s="20" t="s">
        <v>14</v>
      </c>
      <c r="BM367" s="20">
        <v>-55.12</v>
      </c>
      <c r="BN367" s="20">
        <v>-17.37</v>
      </c>
      <c r="BW367" s="20">
        <v>-44.73</v>
      </c>
      <c r="BX367" s="20">
        <v>71.06</v>
      </c>
      <c r="BZ367" s="20">
        <v>-22.34</v>
      </c>
      <c r="CA367" s="20">
        <v>39.87</v>
      </c>
      <c r="CI367" s="20">
        <v>-51.44</v>
      </c>
      <c r="CJ367" s="20">
        <v>-24.77</v>
      </c>
      <c r="CO367" s="20">
        <v>12.7</v>
      </c>
      <c r="CP367" s="20">
        <v>-50.26</v>
      </c>
    </row>
    <row r="368">
      <c r="A368" s="20">
        <v>14.16</v>
      </c>
      <c r="B368" s="20">
        <v>61.49</v>
      </c>
      <c r="D368" s="20"/>
      <c r="E368" s="20"/>
      <c r="F368" s="20">
        <v>-34.77</v>
      </c>
      <c r="G368" s="20">
        <v>-24.11</v>
      </c>
      <c r="I368" s="20"/>
      <c r="J368" s="20"/>
      <c r="K368" s="20">
        <v>183.0</v>
      </c>
      <c r="L368" s="20" t="s">
        <v>17</v>
      </c>
      <c r="M368" s="20">
        <v>-23.43</v>
      </c>
      <c r="N368" s="20">
        <v>10.33</v>
      </c>
      <c r="P368" s="20">
        <v>-32.13</v>
      </c>
      <c r="Q368" s="20">
        <v>11.11</v>
      </c>
      <c r="AG368" s="20">
        <v>366.0</v>
      </c>
      <c r="AH368" s="20" t="s">
        <v>14</v>
      </c>
      <c r="AI368" s="20">
        <v>20.12</v>
      </c>
      <c r="AJ368" s="20">
        <v>33.47</v>
      </c>
      <c r="AM368" s="20">
        <v>184.0</v>
      </c>
      <c r="AN368" s="20" t="s">
        <v>17</v>
      </c>
      <c r="AO368" s="20">
        <v>8.57</v>
      </c>
      <c r="AP368" s="20">
        <v>-28.59</v>
      </c>
      <c r="AS368" s="20">
        <v>183.0</v>
      </c>
      <c r="AT368" s="20" t="s">
        <v>17</v>
      </c>
      <c r="AU368" s="20">
        <v>35.32</v>
      </c>
      <c r="AV368" s="20">
        <v>1.29</v>
      </c>
      <c r="BE368" s="20">
        <v>366.0</v>
      </c>
      <c r="BF368" s="20" t="s">
        <v>14</v>
      </c>
      <c r="BG368" s="20">
        <v>64.23</v>
      </c>
      <c r="BH368" s="20">
        <v>-19.33</v>
      </c>
      <c r="BK368" s="20">
        <v>183.0</v>
      </c>
      <c r="BL368" s="20" t="s">
        <v>17</v>
      </c>
      <c r="BM368" s="20">
        <v>-31.68</v>
      </c>
      <c r="BN368" s="20">
        <v>57.8</v>
      </c>
      <c r="BW368" s="20">
        <v>-43.68</v>
      </c>
      <c r="BX368" s="20">
        <v>69.71</v>
      </c>
      <c r="BZ368" s="20">
        <v>-56.04</v>
      </c>
      <c r="CA368" s="20">
        <v>-28.65</v>
      </c>
      <c r="CI368" s="20">
        <v>-59.37</v>
      </c>
      <c r="CJ368" s="20">
        <v>-57.82</v>
      </c>
      <c r="CO368" s="20">
        <v>-30.58</v>
      </c>
      <c r="CP368" s="20">
        <v>-54.98</v>
      </c>
    </row>
    <row r="369">
      <c r="A369" s="20">
        <v>2.51</v>
      </c>
      <c r="B369" s="20">
        <v>77.5</v>
      </c>
      <c r="D369" s="20"/>
      <c r="E369" s="20"/>
      <c r="F369" s="20">
        <v>29.24</v>
      </c>
      <c r="G369" s="20">
        <v>18.31</v>
      </c>
      <c r="I369" s="20"/>
      <c r="J369" s="20"/>
      <c r="K369" s="20">
        <v>184.0</v>
      </c>
      <c r="L369" s="20" t="s">
        <v>14</v>
      </c>
      <c r="M369" s="20">
        <v>-21.75</v>
      </c>
      <c r="N369" s="20">
        <v>-1.11</v>
      </c>
      <c r="P369" s="20">
        <v>21.89</v>
      </c>
      <c r="Q369" s="20">
        <v>51.94</v>
      </c>
      <c r="AG369" s="20">
        <v>367.0</v>
      </c>
      <c r="AH369" s="20" t="s">
        <v>14</v>
      </c>
      <c r="AI369" s="20">
        <v>-52.34</v>
      </c>
      <c r="AJ369" s="20">
        <v>-48.99</v>
      </c>
      <c r="AM369" s="20">
        <v>185.0</v>
      </c>
      <c r="AN369" s="20" t="s">
        <v>14</v>
      </c>
      <c r="AO369" s="20">
        <v>-4.0</v>
      </c>
      <c r="AP369" s="20">
        <v>-15.8</v>
      </c>
      <c r="AS369" s="20">
        <v>184.0</v>
      </c>
      <c r="AT369" s="20" t="s">
        <v>14</v>
      </c>
      <c r="AU369" s="20">
        <v>11.59</v>
      </c>
      <c r="AV369" s="20">
        <v>-39.12</v>
      </c>
      <c r="BE369" s="20">
        <v>367.0</v>
      </c>
      <c r="BF369" s="20" t="s">
        <v>14</v>
      </c>
      <c r="BG369" s="20">
        <v>-3.7</v>
      </c>
      <c r="BH369" s="20">
        <v>9.04</v>
      </c>
      <c r="BK369" s="20">
        <v>184.0</v>
      </c>
      <c r="BL369" s="20" t="s">
        <v>14</v>
      </c>
      <c r="BM369" s="20">
        <v>9.57</v>
      </c>
      <c r="BN369" s="20">
        <v>63.89</v>
      </c>
      <c r="BW369" s="20">
        <v>-64.13</v>
      </c>
      <c r="BX369" s="20">
        <v>-40.66</v>
      </c>
      <c r="BZ369" s="20">
        <v>-27.83</v>
      </c>
      <c r="CA369" s="20">
        <v>16.25</v>
      </c>
      <c r="CI369" s="20">
        <v>-50.45</v>
      </c>
      <c r="CJ369" s="20">
        <v>-23.39</v>
      </c>
      <c r="CO369" s="20">
        <v>-19.31</v>
      </c>
      <c r="CP369" s="20">
        <v>-53.08</v>
      </c>
    </row>
    <row r="370">
      <c r="A370" s="20">
        <v>-41.27</v>
      </c>
      <c r="B370" s="20">
        <v>53.61</v>
      </c>
      <c r="D370" s="20"/>
      <c r="E370" s="20"/>
      <c r="F370" s="20">
        <v>37.72</v>
      </c>
      <c r="G370" s="20">
        <v>3.85</v>
      </c>
      <c r="I370" s="20"/>
      <c r="J370" s="20"/>
      <c r="K370" s="20">
        <v>184.0</v>
      </c>
      <c r="L370" s="20" t="s">
        <v>17</v>
      </c>
      <c r="M370" s="20">
        <v>-34.44</v>
      </c>
      <c r="N370" s="20">
        <v>10.45</v>
      </c>
      <c r="P370" s="20">
        <v>4.81</v>
      </c>
      <c r="Q370" s="20">
        <v>10.27</v>
      </c>
      <c r="AG370" s="20">
        <v>368.0</v>
      </c>
      <c r="AH370" s="20" t="s">
        <v>14</v>
      </c>
      <c r="AI370" s="20">
        <v>-48.42</v>
      </c>
      <c r="AJ370" s="20">
        <v>-50.93</v>
      </c>
      <c r="AM370" s="20">
        <v>185.0</v>
      </c>
      <c r="AN370" s="20" t="s">
        <v>17</v>
      </c>
      <c r="AO370" s="20">
        <v>21.01</v>
      </c>
      <c r="AP370" s="20">
        <v>-20.84</v>
      </c>
      <c r="AS370" s="20">
        <v>184.0</v>
      </c>
      <c r="AT370" s="20" t="s">
        <v>17</v>
      </c>
      <c r="AU370" s="20">
        <v>-14.14</v>
      </c>
      <c r="AV370" s="20">
        <v>-31.21</v>
      </c>
      <c r="BE370" s="20">
        <v>368.0</v>
      </c>
      <c r="BF370" s="20" t="s">
        <v>14</v>
      </c>
      <c r="BG370" s="20">
        <v>0.05</v>
      </c>
      <c r="BH370" s="20">
        <v>8.78</v>
      </c>
      <c r="BK370" s="20">
        <v>184.0</v>
      </c>
      <c r="BL370" s="20" t="s">
        <v>17</v>
      </c>
      <c r="BM370" s="20">
        <v>192.54</v>
      </c>
      <c r="BN370" s="20">
        <v>-5.76</v>
      </c>
      <c r="BW370" s="20">
        <v>-36.95</v>
      </c>
      <c r="BX370" s="20">
        <v>20.35</v>
      </c>
      <c r="BZ370" s="20">
        <v>-58.31</v>
      </c>
      <c r="CA370" s="20">
        <v>18.03</v>
      </c>
      <c r="CI370" s="20">
        <v>-38.56</v>
      </c>
      <c r="CJ370" s="20">
        <v>-28.39</v>
      </c>
      <c r="CO370" s="20">
        <v>-20.66</v>
      </c>
      <c r="CP370" s="20">
        <v>-53.83</v>
      </c>
    </row>
    <row r="371">
      <c r="A371" s="20">
        <v>-42.88</v>
      </c>
      <c r="B371" s="20">
        <v>104.28</v>
      </c>
      <c r="D371" s="20"/>
      <c r="E371" s="20"/>
      <c r="F371" s="20">
        <v>-16.07</v>
      </c>
      <c r="G371" s="20">
        <v>26.39</v>
      </c>
      <c r="I371" s="20"/>
      <c r="J371" s="20"/>
      <c r="K371" s="20">
        <v>185.0</v>
      </c>
      <c r="L371" s="20" t="s">
        <v>14</v>
      </c>
      <c r="M371" s="20">
        <v>38.85</v>
      </c>
      <c r="N371" s="20">
        <v>-25.45</v>
      </c>
      <c r="P371" s="20">
        <v>21.21</v>
      </c>
      <c r="Q371" s="20">
        <v>16.82</v>
      </c>
      <c r="AG371" s="20">
        <v>369.0</v>
      </c>
      <c r="AH371" s="20" t="s">
        <v>14</v>
      </c>
      <c r="AI371" s="20">
        <v>-58.08</v>
      </c>
      <c r="AJ371" s="20">
        <v>-32.17</v>
      </c>
      <c r="AM371" s="20">
        <v>186.0</v>
      </c>
      <c r="AN371" s="20" t="s">
        <v>14</v>
      </c>
      <c r="AO371" s="20">
        <v>-16.21</v>
      </c>
      <c r="AP371" s="20">
        <v>5.77</v>
      </c>
      <c r="AS371" s="20">
        <v>185.0</v>
      </c>
      <c r="AT371" s="20" t="s">
        <v>14</v>
      </c>
      <c r="AU371" s="20">
        <v>-12.6</v>
      </c>
      <c r="AV371" s="20">
        <v>-48.29</v>
      </c>
      <c r="BE371" s="20">
        <v>369.0</v>
      </c>
      <c r="BF371" s="20" t="s">
        <v>14</v>
      </c>
      <c r="BG371" s="20">
        <v>11.79</v>
      </c>
      <c r="BH371" s="20">
        <v>21.87</v>
      </c>
      <c r="BK371" s="20">
        <v>185.0</v>
      </c>
      <c r="BL371" s="20" t="s">
        <v>14</v>
      </c>
      <c r="BM371" s="20">
        <v>63.78</v>
      </c>
      <c r="BN371" s="20">
        <v>33.05</v>
      </c>
      <c r="BW371" s="20">
        <v>-13.83</v>
      </c>
      <c r="BX371" s="20">
        <v>9.79</v>
      </c>
      <c r="BZ371" s="20">
        <v>-38.96</v>
      </c>
      <c r="CA371" s="20">
        <v>32.39</v>
      </c>
      <c r="CI371" s="20">
        <v>-60.38</v>
      </c>
      <c r="CJ371" s="20">
        <v>-61.66</v>
      </c>
      <c r="CO371" s="20">
        <v>-20.52</v>
      </c>
      <c r="CP371" s="20">
        <v>-50.16</v>
      </c>
    </row>
    <row r="372">
      <c r="A372" s="20">
        <v>-55.17</v>
      </c>
      <c r="B372" s="20">
        <v>31.7</v>
      </c>
      <c r="D372" s="20"/>
      <c r="E372" s="20"/>
      <c r="F372" s="20">
        <v>-31.49</v>
      </c>
      <c r="G372" s="20">
        <v>15.1</v>
      </c>
      <c r="I372" s="20"/>
      <c r="J372" s="20"/>
      <c r="K372" s="20">
        <v>185.0</v>
      </c>
      <c r="L372" s="20" t="s">
        <v>17</v>
      </c>
      <c r="M372" s="20">
        <v>-18.21</v>
      </c>
      <c r="N372" s="20">
        <v>-36.31</v>
      </c>
      <c r="P372" s="20">
        <v>-4.79</v>
      </c>
      <c r="Q372" s="20">
        <v>0.81</v>
      </c>
      <c r="AG372" s="20">
        <v>370.0</v>
      </c>
      <c r="AH372" s="20" t="s">
        <v>14</v>
      </c>
      <c r="AI372" s="20">
        <v>-53.71</v>
      </c>
      <c r="AJ372" s="20">
        <v>-56.11</v>
      </c>
      <c r="AM372" s="20">
        <v>186.0</v>
      </c>
      <c r="AN372" s="20" t="s">
        <v>17</v>
      </c>
      <c r="AO372" s="20">
        <v>-23.75</v>
      </c>
      <c r="AP372" s="20">
        <v>34.02</v>
      </c>
      <c r="AS372" s="20">
        <v>185.0</v>
      </c>
      <c r="AT372" s="20" t="s">
        <v>17</v>
      </c>
      <c r="AU372" s="20">
        <v>-29.37</v>
      </c>
      <c r="AV372" s="20">
        <v>-34.03</v>
      </c>
      <c r="BE372" s="20">
        <v>370.0</v>
      </c>
      <c r="BF372" s="20" t="s">
        <v>14</v>
      </c>
      <c r="BG372" s="20">
        <v>43.68</v>
      </c>
      <c r="BH372" s="20">
        <v>13.58</v>
      </c>
      <c r="BK372" s="20">
        <v>185.0</v>
      </c>
      <c r="BL372" s="20" t="s">
        <v>17</v>
      </c>
      <c r="BM372" s="20">
        <v>-65.19</v>
      </c>
      <c r="BN372" s="20">
        <v>-57.83</v>
      </c>
      <c r="BW372" s="20">
        <v>-43.22</v>
      </c>
      <c r="BX372" s="20">
        <v>-40.27</v>
      </c>
      <c r="BZ372" s="20">
        <v>-64.97</v>
      </c>
      <c r="CA372" s="20">
        <v>15.84</v>
      </c>
      <c r="CI372" s="20">
        <v>-36.41</v>
      </c>
      <c r="CJ372" s="20">
        <v>-33.09</v>
      </c>
      <c r="CO372" s="20">
        <v>-18.72</v>
      </c>
      <c r="CP372" s="20">
        <v>-59.92</v>
      </c>
    </row>
    <row r="373">
      <c r="A373" s="20">
        <v>-4.85</v>
      </c>
      <c r="B373" s="20">
        <v>81.44</v>
      </c>
      <c r="D373" s="20"/>
      <c r="E373" s="20"/>
      <c r="F373" s="20">
        <v>-44.62</v>
      </c>
      <c r="G373" s="20">
        <v>-8.78</v>
      </c>
      <c r="I373" s="20"/>
      <c r="J373" s="20"/>
      <c r="K373" s="20">
        <v>186.0</v>
      </c>
      <c r="L373" s="20" t="s">
        <v>14</v>
      </c>
      <c r="M373" s="20">
        <v>-27.23</v>
      </c>
      <c r="N373" s="20">
        <v>-27.99</v>
      </c>
      <c r="P373" s="20">
        <v>31.29</v>
      </c>
      <c r="Q373" s="20">
        <v>58.17</v>
      </c>
      <c r="AG373" s="20">
        <v>371.0</v>
      </c>
      <c r="AH373" s="20" t="s">
        <v>14</v>
      </c>
      <c r="AI373" s="20">
        <v>-20.51</v>
      </c>
      <c r="AJ373" s="20">
        <v>0.89</v>
      </c>
      <c r="AM373" s="20">
        <v>187.0</v>
      </c>
      <c r="AN373" s="20" t="s">
        <v>14</v>
      </c>
      <c r="AO373" s="20">
        <v>34.34</v>
      </c>
      <c r="AP373" s="20">
        <v>25.04</v>
      </c>
      <c r="AS373" s="20">
        <v>186.0</v>
      </c>
      <c r="AT373" s="20" t="s">
        <v>14</v>
      </c>
      <c r="AU373" s="20">
        <v>-25.22</v>
      </c>
      <c r="AV373" s="20">
        <v>-51.18</v>
      </c>
      <c r="BE373" s="20">
        <v>371.0</v>
      </c>
      <c r="BF373" s="20" t="s">
        <v>14</v>
      </c>
      <c r="BG373" s="20">
        <v>10.97</v>
      </c>
      <c r="BH373" s="20">
        <v>33.58</v>
      </c>
      <c r="BK373" s="20">
        <v>186.0</v>
      </c>
      <c r="BL373" s="20" t="s">
        <v>14</v>
      </c>
      <c r="BM373" s="20">
        <v>22.57</v>
      </c>
      <c r="BN373" s="20">
        <v>72.7</v>
      </c>
      <c r="BW373" s="20">
        <v>-47.58</v>
      </c>
      <c r="BX373" s="20">
        <v>6.36</v>
      </c>
      <c r="BZ373" s="20">
        <v>-30.74</v>
      </c>
      <c r="CA373" s="20">
        <v>25.04</v>
      </c>
      <c r="CI373" s="20">
        <v>-44.19</v>
      </c>
      <c r="CJ373" s="20">
        <v>-54.34</v>
      </c>
      <c r="CO373" s="20">
        <v>-32.77</v>
      </c>
      <c r="CP373" s="20">
        <v>-54.22</v>
      </c>
    </row>
    <row r="374">
      <c r="A374" s="20">
        <v>-2.04</v>
      </c>
      <c r="B374" s="20">
        <v>110.29</v>
      </c>
      <c r="D374" s="20"/>
      <c r="E374" s="20"/>
      <c r="F374" s="20">
        <v>-38.97</v>
      </c>
      <c r="G374" s="20">
        <v>-41.6</v>
      </c>
      <c r="I374" s="20"/>
      <c r="J374" s="20"/>
      <c r="K374" s="20">
        <v>186.0</v>
      </c>
      <c r="L374" s="20" t="s">
        <v>17</v>
      </c>
      <c r="M374" s="20">
        <v>-62.8</v>
      </c>
      <c r="N374" s="20">
        <v>-39.76</v>
      </c>
      <c r="P374" s="20">
        <v>-2.99</v>
      </c>
      <c r="Q374" s="20">
        <v>41.89</v>
      </c>
      <c r="AG374" s="20">
        <v>372.0</v>
      </c>
      <c r="AH374" s="20" t="s">
        <v>14</v>
      </c>
      <c r="AI374" s="20">
        <v>9.99</v>
      </c>
      <c r="AJ374" s="20">
        <v>8.7</v>
      </c>
      <c r="AM374" s="20">
        <v>187.0</v>
      </c>
      <c r="AN374" s="20" t="s">
        <v>17</v>
      </c>
      <c r="AO374" s="20">
        <v>-25.67</v>
      </c>
      <c r="AP374" s="20">
        <v>40.08</v>
      </c>
      <c r="AS374" s="20">
        <v>186.0</v>
      </c>
      <c r="AT374" s="20" t="s">
        <v>17</v>
      </c>
      <c r="AU374" s="20">
        <v>-32.04</v>
      </c>
      <c r="AV374" s="20">
        <v>-47.16</v>
      </c>
      <c r="BE374" s="20">
        <v>372.0</v>
      </c>
      <c r="BF374" s="20" t="s">
        <v>14</v>
      </c>
      <c r="BG374" s="20">
        <v>-4.14</v>
      </c>
      <c r="BH374" s="20">
        <v>-11.45</v>
      </c>
      <c r="BK374" s="20">
        <v>186.0</v>
      </c>
      <c r="BL374" s="20" t="s">
        <v>17</v>
      </c>
      <c r="BM374" s="20">
        <v>64.84</v>
      </c>
      <c r="BN374" s="20">
        <v>68.1</v>
      </c>
      <c r="BW374" s="20">
        <v>27.7</v>
      </c>
      <c r="BX374" s="20">
        <v>-54.37</v>
      </c>
      <c r="BZ374" s="20">
        <v>-59.79</v>
      </c>
      <c r="CA374" s="20">
        <v>15.22</v>
      </c>
      <c r="CI374" s="20">
        <v>-52.48</v>
      </c>
      <c r="CJ374" s="20">
        <v>-60.79</v>
      </c>
      <c r="CO374" s="20">
        <v>-27.91</v>
      </c>
      <c r="CP374" s="20">
        <v>-67.81</v>
      </c>
    </row>
    <row r="375">
      <c r="A375" s="20">
        <v>-68.15</v>
      </c>
      <c r="B375" s="20">
        <v>-2.12</v>
      </c>
      <c r="D375" s="20"/>
      <c r="E375" s="20"/>
      <c r="F375" s="20">
        <v>21.52</v>
      </c>
      <c r="G375" s="20">
        <v>12.42</v>
      </c>
      <c r="I375" s="20"/>
      <c r="J375" s="20"/>
      <c r="K375" s="20">
        <v>187.0</v>
      </c>
      <c r="L375" s="20" t="s">
        <v>14</v>
      </c>
      <c r="M375" s="20">
        <v>-16.31</v>
      </c>
      <c r="N375" s="20">
        <v>-19.45</v>
      </c>
      <c r="P375" s="20">
        <v>16.1</v>
      </c>
      <c r="Q375" s="20">
        <v>-5.18</v>
      </c>
      <c r="AG375" s="20">
        <v>373.0</v>
      </c>
      <c r="AH375" s="20" t="s">
        <v>14</v>
      </c>
      <c r="AI375" s="20">
        <v>-21.81</v>
      </c>
      <c r="AJ375" s="20">
        <v>5.82</v>
      </c>
      <c r="AM375" s="20">
        <v>188.0</v>
      </c>
      <c r="AN375" s="20" t="s">
        <v>14</v>
      </c>
      <c r="AO375" s="20">
        <v>19.13</v>
      </c>
      <c r="AP375" s="20">
        <v>7.69</v>
      </c>
      <c r="AS375" s="20">
        <v>187.0</v>
      </c>
      <c r="AT375" s="20" t="s">
        <v>14</v>
      </c>
      <c r="AU375" s="20">
        <v>-5.52</v>
      </c>
      <c r="AV375" s="20">
        <v>-35.68</v>
      </c>
      <c r="BE375" s="20">
        <v>373.0</v>
      </c>
      <c r="BF375" s="20" t="s">
        <v>14</v>
      </c>
      <c r="BG375" s="20">
        <v>48.43</v>
      </c>
      <c r="BH375" s="20">
        <v>-19.45</v>
      </c>
      <c r="BK375" s="20">
        <v>187.0</v>
      </c>
      <c r="BL375" s="20" t="s">
        <v>14</v>
      </c>
      <c r="BM375" s="20">
        <v>45.06</v>
      </c>
      <c r="BN375" s="20">
        <v>59.82</v>
      </c>
      <c r="BW375" s="20">
        <v>-49.99</v>
      </c>
      <c r="BX375" s="20">
        <v>10.2</v>
      </c>
      <c r="BZ375" s="20">
        <v>-46.88</v>
      </c>
      <c r="CA375" s="20">
        <v>18.51</v>
      </c>
      <c r="CI375" s="20">
        <v>-50.27</v>
      </c>
      <c r="CJ375" s="20">
        <v>-35.62</v>
      </c>
      <c r="CO375" s="20">
        <v>4.74</v>
      </c>
      <c r="CP375" s="20">
        <v>-57.5</v>
      </c>
    </row>
    <row r="376">
      <c r="A376" s="20">
        <v>-21.63</v>
      </c>
      <c r="B376" s="20">
        <v>47.97</v>
      </c>
      <c r="D376" s="20"/>
      <c r="E376" s="20"/>
      <c r="F376" s="20">
        <v>54.73</v>
      </c>
      <c r="G376" s="20">
        <v>-20.0</v>
      </c>
      <c r="I376" s="20"/>
      <c r="J376" s="20"/>
      <c r="K376" s="20">
        <v>187.0</v>
      </c>
      <c r="L376" s="20" t="s">
        <v>17</v>
      </c>
      <c r="M376" s="20">
        <v>-13.41</v>
      </c>
      <c r="N376" s="20">
        <v>17.23</v>
      </c>
      <c r="P376" s="20">
        <v>-44.55</v>
      </c>
      <c r="Q376" s="20">
        <v>-36.93</v>
      </c>
      <c r="AG376" s="20">
        <v>374.0</v>
      </c>
      <c r="AH376" s="20" t="s">
        <v>14</v>
      </c>
      <c r="AI376" s="20">
        <v>4.15</v>
      </c>
      <c r="AJ376" s="20">
        <v>22.64</v>
      </c>
      <c r="AM376" s="20">
        <v>188.0</v>
      </c>
      <c r="AN376" s="20" t="s">
        <v>17</v>
      </c>
      <c r="AO376" s="20">
        <v>-43.74</v>
      </c>
      <c r="AP376" s="20">
        <v>-15.67</v>
      </c>
      <c r="AS376" s="20">
        <v>187.0</v>
      </c>
      <c r="AT376" s="20" t="s">
        <v>17</v>
      </c>
      <c r="AU376" s="20">
        <v>7.75</v>
      </c>
      <c r="AV376" s="20">
        <v>0.58</v>
      </c>
      <c r="BE376" s="20">
        <v>374.0</v>
      </c>
      <c r="BF376" s="20" t="s">
        <v>14</v>
      </c>
      <c r="BG376" s="20">
        <v>36.66</v>
      </c>
      <c r="BH376" s="20">
        <v>15.97</v>
      </c>
      <c r="BK376" s="20">
        <v>187.0</v>
      </c>
      <c r="BL376" s="20" t="s">
        <v>17</v>
      </c>
      <c r="BM376" s="20">
        <v>78.95</v>
      </c>
      <c r="BN376" s="20">
        <v>143.61</v>
      </c>
      <c r="BW376" s="20">
        <v>-58.59</v>
      </c>
      <c r="BX376" s="20">
        <v>11.48</v>
      </c>
      <c r="BZ376" s="20">
        <v>-43.52</v>
      </c>
      <c r="CA376" s="20">
        <v>-6.47</v>
      </c>
      <c r="CI376" s="20">
        <v>-44.8</v>
      </c>
      <c r="CJ376" s="20">
        <v>-38.56</v>
      </c>
      <c r="CO376" s="20">
        <v>11.82</v>
      </c>
      <c r="CP376" s="20">
        <v>-42.58</v>
      </c>
    </row>
    <row r="377">
      <c r="A377" s="20">
        <v>-35.93</v>
      </c>
      <c r="B377" s="20">
        <v>75.38</v>
      </c>
      <c r="D377" s="20"/>
      <c r="E377" s="20"/>
      <c r="F377" s="20">
        <v>-7.05</v>
      </c>
      <c r="G377" s="20">
        <v>-7.08</v>
      </c>
      <c r="I377" s="20"/>
      <c r="J377" s="20"/>
      <c r="K377" s="20">
        <v>188.0</v>
      </c>
      <c r="L377" s="20" t="s">
        <v>14</v>
      </c>
      <c r="M377" s="20">
        <v>38.53</v>
      </c>
      <c r="N377" s="20">
        <v>6.56</v>
      </c>
      <c r="P377" s="20">
        <v>0.24</v>
      </c>
      <c r="Q377" s="20">
        <v>8.05</v>
      </c>
      <c r="AG377" s="20">
        <v>375.0</v>
      </c>
      <c r="AH377" s="20" t="s">
        <v>14</v>
      </c>
      <c r="AI377" s="20">
        <v>44.42</v>
      </c>
      <c r="AJ377" s="20">
        <v>37.48</v>
      </c>
      <c r="AM377" s="20">
        <v>189.0</v>
      </c>
      <c r="AN377" s="20" t="s">
        <v>14</v>
      </c>
      <c r="AO377" s="20">
        <v>-4.74</v>
      </c>
      <c r="AP377" s="20">
        <v>9.17</v>
      </c>
      <c r="AS377" s="20">
        <v>188.0</v>
      </c>
      <c r="AT377" s="20" t="s">
        <v>14</v>
      </c>
      <c r="AU377" s="20">
        <v>8.8</v>
      </c>
      <c r="AV377" s="20">
        <v>-26.08</v>
      </c>
      <c r="BE377" s="20">
        <v>375.0</v>
      </c>
      <c r="BF377" s="20" t="s">
        <v>14</v>
      </c>
      <c r="BG377" s="20">
        <v>27.08</v>
      </c>
      <c r="BH377" s="20">
        <v>15.1</v>
      </c>
      <c r="BK377" s="20">
        <v>188.0</v>
      </c>
      <c r="BL377" s="20" t="s">
        <v>14</v>
      </c>
      <c r="BM377" s="20">
        <v>8.68</v>
      </c>
      <c r="BN377" s="20">
        <v>87.94</v>
      </c>
      <c r="BW377" s="20">
        <v>-37.14</v>
      </c>
      <c r="BX377" s="20">
        <v>8.03</v>
      </c>
      <c r="BZ377" s="20">
        <v>-47.14</v>
      </c>
      <c r="CA377" s="20">
        <v>43.77</v>
      </c>
      <c r="CI377" s="20">
        <v>-47.35</v>
      </c>
      <c r="CJ377" s="20">
        <v>-31.3</v>
      </c>
      <c r="CO377" s="20">
        <v>-27.36</v>
      </c>
      <c r="CP377" s="20">
        <v>-49.94</v>
      </c>
    </row>
    <row r="378">
      <c r="A378" s="20">
        <v>-10.55</v>
      </c>
      <c r="B378" s="20">
        <v>49.48</v>
      </c>
      <c r="D378" s="20"/>
      <c r="E378" s="20"/>
      <c r="F378" s="20">
        <v>11.63</v>
      </c>
      <c r="G378" s="20">
        <v>9.3</v>
      </c>
      <c r="I378" s="20"/>
      <c r="J378" s="20"/>
      <c r="K378" s="20">
        <v>188.0</v>
      </c>
      <c r="L378" s="20" t="s">
        <v>17</v>
      </c>
      <c r="M378" s="20">
        <v>46.64</v>
      </c>
      <c r="N378" s="20">
        <v>5.41</v>
      </c>
      <c r="P378" s="20">
        <v>-1.11</v>
      </c>
      <c r="Q378" s="20">
        <v>-9.61</v>
      </c>
      <c r="AG378" s="20">
        <v>376.0</v>
      </c>
      <c r="AH378" s="20" t="s">
        <v>14</v>
      </c>
      <c r="AI378" s="20">
        <v>-22.36</v>
      </c>
      <c r="AJ378" s="20">
        <v>-23.81</v>
      </c>
      <c r="AM378" s="20">
        <v>189.0</v>
      </c>
      <c r="AN378" s="20" t="s">
        <v>17</v>
      </c>
      <c r="AO378" s="20">
        <v>-10.6</v>
      </c>
      <c r="AP378" s="20">
        <v>4.95</v>
      </c>
      <c r="AS378" s="20">
        <v>188.0</v>
      </c>
      <c r="AT378" s="20" t="s">
        <v>17</v>
      </c>
      <c r="AU378" s="20">
        <v>-32.08</v>
      </c>
      <c r="AV378" s="20">
        <v>-31.54</v>
      </c>
      <c r="BE378" s="20">
        <v>376.0</v>
      </c>
      <c r="BF378" s="20" t="s">
        <v>14</v>
      </c>
      <c r="BG378" s="20">
        <v>41.48</v>
      </c>
      <c r="BH378" s="20">
        <v>26.0</v>
      </c>
      <c r="BK378" s="20">
        <v>188.0</v>
      </c>
      <c r="BL378" s="20" t="s">
        <v>17</v>
      </c>
      <c r="BM378" s="20">
        <v>89.06</v>
      </c>
      <c r="BN378" s="20">
        <v>160.07</v>
      </c>
      <c r="BW378" s="20">
        <v>-57.31</v>
      </c>
      <c r="BX378" s="20">
        <v>24.18</v>
      </c>
      <c r="BZ378" s="20">
        <v>-51.03</v>
      </c>
      <c r="CA378" s="20">
        <v>14.49</v>
      </c>
      <c r="CI378" s="20">
        <v>-58.08</v>
      </c>
      <c r="CJ378" s="20">
        <v>-53.22</v>
      </c>
      <c r="CO378" s="20">
        <v>-25.81</v>
      </c>
      <c r="CP378" s="20">
        <v>-54.12</v>
      </c>
    </row>
    <row r="379">
      <c r="A379" s="20">
        <v>-39.72</v>
      </c>
      <c r="B379" s="20">
        <v>33.31</v>
      </c>
      <c r="D379" s="20"/>
      <c r="E379" s="20"/>
      <c r="F379" s="20">
        <v>45.81</v>
      </c>
      <c r="G379" s="20">
        <v>31.68</v>
      </c>
      <c r="I379" s="20"/>
      <c r="J379" s="20"/>
      <c r="K379" s="20">
        <v>189.0</v>
      </c>
      <c r="L379" s="20" t="s">
        <v>14</v>
      </c>
      <c r="M379" s="20">
        <v>7.39</v>
      </c>
      <c r="N379" s="20">
        <v>20.18</v>
      </c>
      <c r="P379" s="20">
        <v>-1.96</v>
      </c>
      <c r="Q379" s="20">
        <v>38.43</v>
      </c>
      <c r="AG379" s="20">
        <v>377.0</v>
      </c>
      <c r="AH379" s="20" t="s">
        <v>14</v>
      </c>
      <c r="AI379" s="20">
        <v>-26.12</v>
      </c>
      <c r="AJ379" s="20">
        <v>-27.65</v>
      </c>
      <c r="AM379" s="20">
        <v>190.0</v>
      </c>
      <c r="AN379" s="20" t="s">
        <v>14</v>
      </c>
      <c r="AO379" s="20">
        <v>-9.44</v>
      </c>
      <c r="AP379" s="20">
        <v>-6.85</v>
      </c>
      <c r="AS379" s="20">
        <v>189.0</v>
      </c>
      <c r="AT379" s="20" t="s">
        <v>14</v>
      </c>
      <c r="AU379" s="20">
        <v>-39.1</v>
      </c>
      <c r="AV379" s="20">
        <v>-19.58</v>
      </c>
      <c r="BE379" s="20">
        <v>377.0</v>
      </c>
      <c r="BF379" s="20" t="s">
        <v>14</v>
      </c>
      <c r="BG379" s="20">
        <v>7.36</v>
      </c>
      <c r="BH379" s="20">
        <v>-9.05</v>
      </c>
      <c r="BK379" s="20">
        <v>189.0</v>
      </c>
      <c r="BL379" s="20" t="s">
        <v>14</v>
      </c>
      <c r="BM379" s="20">
        <v>42.33</v>
      </c>
      <c r="BN379" s="20">
        <v>152.89</v>
      </c>
      <c r="BW379" s="20">
        <v>-51.59</v>
      </c>
      <c r="BX379" s="20">
        <v>52.65</v>
      </c>
      <c r="BZ379" s="20">
        <v>-54.51</v>
      </c>
      <c r="CA379" s="20">
        <v>9.45</v>
      </c>
      <c r="CI379" s="20">
        <v>-60.0</v>
      </c>
      <c r="CJ379" s="20">
        <v>-63.16</v>
      </c>
      <c r="CO379" s="20">
        <v>-31.77</v>
      </c>
      <c r="CP379" s="20">
        <v>-62.2</v>
      </c>
    </row>
    <row r="380">
      <c r="A380" s="20">
        <v>-37.0</v>
      </c>
      <c r="B380" s="20">
        <v>59.29</v>
      </c>
      <c r="D380" s="20"/>
      <c r="E380" s="20"/>
      <c r="F380" s="20">
        <v>-14.43</v>
      </c>
      <c r="G380" s="20">
        <v>6.66</v>
      </c>
      <c r="I380" s="20"/>
      <c r="J380" s="20"/>
      <c r="K380" s="20">
        <v>189.0</v>
      </c>
      <c r="L380" s="20" t="s">
        <v>17</v>
      </c>
      <c r="M380" s="20">
        <v>-13.99</v>
      </c>
      <c r="N380" s="20">
        <v>0.01</v>
      </c>
      <c r="P380" s="20">
        <v>-17.89</v>
      </c>
      <c r="Q380" s="20">
        <v>5.76</v>
      </c>
      <c r="AG380" s="20">
        <v>378.0</v>
      </c>
      <c r="AH380" s="20" t="s">
        <v>14</v>
      </c>
      <c r="AI380" s="20">
        <v>-23.48</v>
      </c>
      <c r="AJ380" s="20">
        <v>-40.73</v>
      </c>
      <c r="AM380" s="20">
        <v>190.0</v>
      </c>
      <c r="AN380" s="20" t="s">
        <v>17</v>
      </c>
      <c r="AO380" s="20">
        <v>10.09</v>
      </c>
      <c r="AP380" s="20">
        <v>-17.66</v>
      </c>
      <c r="AS380" s="20">
        <v>189.0</v>
      </c>
      <c r="AT380" s="20" t="s">
        <v>17</v>
      </c>
      <c r="AU380" s="20">
        <v>-27.74</v>
      </c>
      <c r="AV380" s="20">
        <v>-23.75</v>
      </c>
      <c r="BE380" s="20">
        <v>378.0</v>
      </c>
      <c r="BF380" s="20" t="s">
        <v>14</v>
      </c>
      <c r="BG380" s="20">
        <v>69.87</v>
      </c>
      <c r="BH380" s="20">
        <v>-5.69</v>
      </c>
      <c r="BK380" s="20">
        <v>189.0</v>
      </c>
      <c r="BL380" s="20" t="s">
        <v>17</v>
      </c>
      <c r="BM380" s="20">
        <v>33.93</v>
      </c>
      <c r="BN380" s="20">
        <v>99.76</v>
      </c>
      <c r="BW380" s="20">
        <v>-54.4</v>
      </c>
      <c r="BX380" s="20">
        <v>-22.63</v>
      </c>
      <c r="BZ380" s="20">
        <v>-50.78</v>
      </c>
      <c r="CA380" s="20">
        <v>-23.7</v>
      </c>
      <c r="CI380" s="20">
        <v>-61.71</v>
      </c>
      <c r="CJ380" s="20">
        <v>-44.2</v>
      </c>
      <c r="CO380" s="20">
        <v>-25.37</v>
      </c>
      <c r="CP380" s="20">
        <v>-60.47</v>
      </c>
    </row>
    <row r="381">
      <c r="A381" s="20">
        <v>-22.48</v>
      </c>
      <c r="B381" s="20">
        <v>145.45</v>
      </c>
      <c r="D381" s="20"/>
      <c r="E381" s="20"/>
      <c r="F381" s="20">
        <v>56.53</v>
      </c>
      <c r="G381" s="20">
        <v>-26.06</v>
      </c>
      <c r="I381" s="20"/>
      <c r="J381" s="20"/>
      <c r="K381" s="20">
        <v>190.0</v>
      </c>
      <c r="L381" s="20" t="s">
        <v>14</v>
      </c>
      <c r="M381" s="20">
        <v>-12.03</v>
      </c>
      <c r="N381" s="20">
        <v>-2.23</v>
      </c>
      <c r="P381" s="20">
        <v>16.16</v>
      </c>
      <c r="Q381" s="20">
        <v>4.68</v>
      </c>
      <c r="AG381" s="20">
        <v>379.0</v>
      </c>
      <c r="AH381" s="20" t="s">
        <v>14</v>
      </c>
      <c r="AI381" s="20">
        <v>2.64</v>
      </c>
      <c r="AJ381" s="20">
        <v>25.49</v>
      </c>
      <c r="AM381" s="20">
        <v>191.0</v>
      </c>
      <c r="AN381" s="20" t="s">
        <v>14</v>
      </c>
      <c r="AO381" s="20">
        <v>-16.1</v>
      </c>
      <c r="AP381" s="20">
        <v>18.76</v>
      </c>
      <c r="AS381" s="20">
        <v>190.0</v>
      </c>
      <c r="AT381" s="20" t="s">
        <v>14</v>
      </c>
      <c r="AU381" s="20">
        <v>-17.3</v>
      </c>
      <c r="AV381" s="20">
        <v>-26.68</v>
      </c>
      <c r="BE381" s="20">
        <v>379.0</v>
      </c>
      <c r="BF381" s="20" t="s">
        <v>14</v>
      </c>
      <c r="BG381" s="20">
        <v>-13.76</v>
      </c>
      <c r="BH381" s="20">
        <v>45.18</v>
      </c>
      <c r="BK381" s="20">
        <v>190.0</v>
      </c>
      <c r="BL381" s="20" t="s">
        <v>14</v>
      </c>
      <c r="BM381" s="20">
        <v>51.52</v>
      </c>
      <c r="BN381" s="20">
        <v>105.88</v>
      </c>
      <c r="BW381" s="20">
        <v>-64.25</v>
      </c>
      <c r="BX381" s="20">
        <v>-19.43</v>
      </c>
      <c r="BZ381" s="20">
        <v>-43.62</v>
      </c>
      <c r="CA381" s="20">
        <v>33.84</v>
      </c>
      <c r="CI381" s="20">
        <v>-50.95</v>
      </c>
      <c r="CJ381" s="20">
        <v>-38.85</v>
      </c>
      <c r="CO381" s="20">
        <v>-26.64</v>
      </c>
      <c r="CP381" s="20">
        <v>-66.19</v>
      </c>
    </row>
    <row r="382">
      <c r="A382" s="20">
        <v>-32.35</v>
      </c>
      <c r="B382" s="20">
        <v>10.11</v>
      </c>
      <c r="D382" s="20"/>
      <c r="E382" s="20"/>
      <c r="F382" s="20">
        <v>63.09</v>
      </c>
      <c r="G382" s="20">
        <v>6.26</v>
      </c>
      <c r="I382" s="20"/>
      <c r="J382" s="20"/>
      <c r="K382" s="20">
        <v>190.0</v>
      </c>
      <c r="L382" s="20" t="s">
        <v>17</v>
      </c>
      <c r="M382" s="20">
        <v>-20.74</v>
      </c>
      <c r="N382" s="20">
        <v>8.94</v>
      </c>
      <c r="P382" s="20">
        <v>-2.53</v>
      </c>
      <c r="Q382" s="20">
        <v>-4.39</v>
      </c>
      <c r="AG382" s="20">
        <v>380.0</v>
      </c>
      <c r="AH382" s="20" t="s">
        <v>14</v>
      </c>
      <c r="AI382" s="20">
        <v>31.21</v>
      </c>
      <c r="AJ382" s="20">
        <v>33.31</v>
      </c>
      <c r="AM382" s="20">
        <v>191.0</v>
      </c>
      <c r="AN382" s="20" t="s">
        <v>17</v>
      </c>
      <c r="AO382" s="20">
        <v>-15.12</v>
      </c>
      <c r="AP382" s="20">
        <v>9.45</v>
      </c>
      <c r="AS382" s="20">
        <v>190.0</v>
      </c>
      <c r="AT382" s="20" t="s">
        <v>17</v>
      </c>
      <c r="AU382" s="20">
        <v>-4.85</v>
      </c>
      <c r="AV382" s="20">
        <v>-45.17</v>
      </c>
      <c r="BE382" s="20">
        <v>380.0</v>
      </c>
      <c r="BF382" s="20" t="s">
        <v>14</v>
      </c>
      <c r="BG382" s="20">
        <v>17.06</v>
      </c>
      <c r="BH382" s="20">
        <v>30.24</v>
      </c>
      <c r="BK382" s="20">
        <v>190.0</v>
      </c>
      <c r="BL382" s="20" t="s">
        <v>17</v>
      </c>
      <c r="BM382" s="20">
        <v>42.91</v>
      </c>
      <c r="BN382" s="20">
        <v>97.53</v>
      </c>
      <c r="BW382" s="20">
        <v>-45.1</v>
      </c>
      <c r="BX382" s="20">
        <v>-41.58</v>
      </c>
      <c r="BZ382" s="20">
        <v>-64.78</v>
      </c>
      <c r="CA382" s="20">
        <v>-1.18</v>
      </c>
      <c r="CI382" s="20">
        <v>-43.08</v>
      </c>
      <c r="CJ382" s="20">
        <v>-27.93</v>
      </c>
      <c r="CO382" s="20">
        <v>-13.5</v>
      </c>
      <c r="CP382" s="20">
        <v>-56.81</v>
      </c>
    </row>
    <row r="383">
      <c r="A383" s="20">
        <v>-34.29</v>
      </c>
      <c r="B383" s="20">
        <v>20.43</v>
      </c>
      <c r="D383" s="20"/>
      <c r="E383" s="20"/>
      <c r="F383" s="20">
        <v>8.95</v>
      </c>
      <c r="G383" s="20">
        <v>7.3</v>
      </c>
      <c r="I383" s="20"/>
      <c r="J383" s="20"/>
      <c r="K383" s="20">
        <v>191.0</v>
      </c>
      <c r="L383" s="20" t="s">
        <v>14</v>
      </c>
      <c r="M383" s="20">
        <v>-24.28</v>
      </c>
      <c r="N383" s="20">
        <v>-1.12</v>
      </c>
      <c r="P383" s="20">
        <v>-4.75</v>
      </c>
      <c r="Q383" s="20">
        <v>74.42</v>
      </c>
      <c r="AG383" s="20">
        <v>381.0</v>
      </c>
      <c r="AH383" s="20" t="s">
        <v>14</v>
      </c>
      <c r="AI383" s="20">
        <v>-3.62</v>
      </c>
      <c r="AJ383" s="20">
        <v>22.29</v>
      </c>
      <c r="AM383" s="20">
        <v>192.0</v>
      </c>
      <c r="AN383" s="20" t="s">
        <v>14</v>
      </c>
      <c r="AO383" s="20">
        <v>-1.64</v>
      </c>
      <c r="AP383" s="20">
        <v>15.34</v>
      </c>
      <c r="AS383" s="20">
        <v>191.0</v>
      </c>
      <c r="AT383" s="20" t="s">
        <v>14</v>
      </c>
      <c r="AU383" s="20">
        <v>12.7</v>
      </c>
      <c r="AV383" s="20">
        <v>-38.3</v>
      </c>
      <c r="BE383" s="20">
        <v>381.0</v>
      </c>
      <c r="BF383" s="20" t="s">
        <v>14</v>
      </c>
      <c r="BG383" s="20">
        <v>-6.01</v>
      </c>
      <c r="BH383" s="20">
        <v>10.57</v>
      </c>
      <c r="BM383" s="20">
        <v>4.24</v>
      </c>
      <c r="BN383" s="20">
        <v>109.52</v>
      </c>
      <c r="BW383" s="20">
        <v>-51.05</v>
      </c>
      <c r="BX383" s="20">
        <v>-5.53</v>
      </c>
      <c r="BZ383" s="20">
        <v>-57.92</v>
      </c>
      <c r="CA383" s="20">
        <v>91.16</v>
      </c>
      <c r="CI383" s="20">
        <v>-39.8</v>
      </c>
      <c r="CJ383" s="20">
        <v>-46.34</v>
      </c>
      <c r="CO383" s="20">
        <v>-21.65</v>
      </c>
      <c r="CP383" s="20">
        <v>-63.36</v>
      </c>
    </row>
    <row r="384">
      <c r="A384" s="20">
        <v>-36.52</v>
      </c>
      <c r="B384" s="20">
        <v>-13.54</v>
      </c>
      <c r="D384" s="20"/>
      <c r="E384" s="20"/>
      <c r="F384" s="20">
        <v>52.53</v>
      </c>
      <c r="G384" s="20">
        <v>0.36</v>
      </c>
      <c r="I384" s="20"/>
      <c r="J384" s="20"/>
      <c r="K384" s="20">
        <v>191.0</v>
      </c>
      <c r="L384" s="20" t="s">
        <v>17</v>
      </c>
      <c r="M384" s="20">
        <v>27.91</v>
      </c>
      <c r="N384" s="20">
        <v>-13.56</v>
      </c>
      <c r="P384" s="20">
        <v>-0.1</v>
      </c>
      <c r="Q384" s="20">
        <v>26.81</v>
      </c>
      <c r="AG384" s="20">
        <v>382.0</v>
      </c>
      <c r="AH384" s="20" t="s">
        <v>14</v>
      </c>
      <c r="AI384" s="20">
        <v>12.56</v>
      </c>
      <c r="AJ384" s="20">
        <v>21.54</v>
      </c>
      <c r="AM384" s="20">
        <v>192.0</v>
      </c>
      <c r="AN384" s="20" t="s">
        <v>17</v>
      </c>
      <c r="AO384" s="20">
        <v>-21.2</v>
      </c>
      <c r="AP384" s="20">
        <v>-26.32</v>
      </c>
      <c r="AS384" s="20">
        <v>191.0</v>
      </c>
      <c r="AT384" s="20" t="s">
        <v>17</v>
      </c>
      <c r="AU384" s="20">
        <v>-45.89</v>
      </c>
      <c r="AV384" s="20">
        <v>-41.31</v>
      </c>
      <c r="BE384" s="20">
        <v>382.0</v>
      </c>
      <c r="BF384" s="20" t="s">
        <v>14</v>
      </c>
      <c r="BG384" s="20">
        <v>50.17</v>
      </c>
      <c r="BH384" s="20">
        <v>29.48</v>
      </c>
      <c r="BM384" s="20">
        <v>86.25</v>
      </c>
      <c r="BN384" s="20">
        <v>197.68</v>
      </c>
      <c r="BW384" s="20">
        <v>-68.31</v>
      </c>
      <c r="BX384" s="20">
        <v>-18.7</v>
      </c>
      <c r="BZ384" s="20">
        <v>-2.48</v>
      </c>
      <c r="CA384" s="20">
        <v>42.95</v>
      </c>
      <c r="CI384" s="20">
        <v>-5.73</v>
      </c>
      <c r="CJ384" s="20">
        <v>-22.12</v>
      </c>
      <c r="CO384" s="20">
        <v>-48.49</v>
      </c>
      <c r="CP384" s="20">
        <v>-64.3</v>
      </c>
    </row>
    <row r="385">
      <c r="A385" s="20">
        <v>93.72</v>
      </c>
      <c r="B385" s="20">
        <v>6.94</v>
      </c>
      <c r="D385" s="20"/>
      <c r="E385" s="20"/>
      <c r="F385" s="20">
        <v>-21.78</v>
      </c>
      <c r="G385" s="20">
        <v>-0.56</v>
      </c>
      <c r="I385" s="20"/>
      <c r="J385" s="20"/>
      <c r="K385" s="20">
        <v>192.0</v>
      </c>
      <c r="L385" s="20" t="s">
        <v>14</v>
      </c>
      <c r="M385" s="20">
        <v>8.8</v>
      </c>
      <c r="N385" s="20">
        <v>6.47</v>
      </c>
      <c r="P385" s="20">
        <v>1.26</v>
      </c>
      <c r="Q385" s="20">
        <v>-4.02</v>
      </c>
      <c r="AG385" s="20">
        <v>383.0</v>
      </c>
      <c r="AH385" s="20" t="s">
        <v>14</v>
      </c>
      <c r="AI385" s="20">
        <v>-11.22</v>
      </c>
      <c r="AJ385" s="20">
        <v>-3.41</v>
      </c>
      <c r="AM385" s="20">
        <v>193.0</v>
      </c>
      <c r="AN385" s="20" t="s">
        <v>14</v>
      </c>
      <c r="AO385" s="20">
        <v>-27.81</v>
      </c>
      <c r="AP385" s="20">
        <v>-39.74</v>
      </c>
      <c r="AS385" s="20">
        <v>192.0</v>
      </c>
      <c r="AT385" s="20" t="s">
        <v>14</v>
      </c>
      <c r="AU385" s="20">
        <v>8.96</v>
      </c>
      <c r="AV385" s="20">
        <v>-47.44</v>
      </c>
      <c r="BE385" s="20">
        <v>383.0</v>
      </c>
      <c r="BF385" s="20" t="s">
        <v>14</v>
      </c>
      <c r="BG385" s="20">
        <v>45.07</v>
      </c>
      <c r="BH385" s="20">
        <v>15.47</v>
      </c>
      <c r="BM385" s="20">
        <v>11.22</v>
      </c>
      <c r="BN385" s="20">
        <v>73.96</v>
      </c>
      <c r="BW385" s="20">
        <v>-29.77</v>
      </c>
      <c r="BX385" s="20">
        <v>-29.06</v>
      </c>
      <c r="BZ385" s="20">
        <v>-59.12</v>
      </c>
      <c r="CA385" s="20">
        <v>-24.34</v>
      </c>
      <c r="CI385" s="20">
        <v>-59.44</v>
      </c>
      <c r="CJ385" s="20">
        <v>-63.27</v>
      </c>
      <c r="CO385" s="20">
        <v>-45.2</v>
      </c>
      <c r="CP385" s="20">
        <v>-63.25</v>
      </c>
    </row>
    <row r="386">
      <c r="A386" s="20">
        <v>19.48</v>
      </c>
      <c r="B386" s="20">
        <v>-28.71</v>
      </c>
      <c r="D386" s="20"/>
      <c r="E386" s="20"/>
      <c r="F386" s="20">
        <v>-52.24</v>
      </c>
      <c r="G386" s="20">
        <v>4.04</v>
      </c>
      <c r="I386" s="20"/>
      <c r="J386" s="20"/>
      <c r="K386" s="20">
        <v>192.0</v>
      </c>
      <c r="L386" s="20" t="s">
        <v>17</v>
      </c>
      <c r="M386" s="20">
        <v>-6.72</v>
      </c>
      <c r="N386" s="20">
        <v>37.31</v>
      </c>
      <c r="P386" s="20">
        <v>-16.24</v>
      </c>
      <c r="Q386" s="20">
        <v>30.57</v>
      </c>
      <c r="AG386" s="20">
        <v>384.0</v>
      </c>
      <c r="AH386" s="20" t="s">
        <v>14</v>
      </c>
      <c r="AI386" s="20">
        <v>12.28</v>
      </c>
      <c r="AJ386" s="20">
        <v>10.87</v>
      </c>
      <c r="AM386" s="20">
        <v>193.0</v>
      </c>
      <c r="AN386" s="20" t="s">
        <v>17</v>
      </c>
      <c r="AO386" s="20">
        <v>-23.52</v>
      </c>
      <c r="AP386" s="20">
        <v>-7.03</v>
      </c>
      <c r="AS386" s="20">
        <v>192.0</v>
      </c>
      <c r="AT386" s="20" t="s">
        <v>17</v>
      </c>
      <c r="AU386" s="20">
        <v>-38.75</v>
      </c>
      <c r="AV386" s="20">
        <v>-39.05</v>
      </c>
      <c r="BE386" s="20">
        <v>384.0</v>
      </c>
      <c r="BF386" s="20" t="s">
        <v>14</v>
      </c>
      <c r="BG386" s="20">
        <v>14.03</v>
      </c>
      <c r="BH386" s="20">
        <v>8.62</v>
      </c>
      <c r="BM386" s="20">
        <v>44.09</v>
      </c>
      <c r="BN386" s="20">
        <v>76.39</v>
      </c>
      <c r="BW386" s="20">
        <v>-37.72</v>
      </c>
      <c r="BX386" s="20">
        <v>-33.06</v>
      </c>
      <c r="BZ386" s="20">
        <v>-64.87</v>
      </c>
      <c r="CA386" s="20">
        <v>-18.58</v>
      </c>
      <c r="CI386" s="20">
        <v>-49.24</v>
      </c>
      <c r="CJ386" s="20">
        <v>-41.24</v>
      </c>
      <c r="CO386" s="20">
        <v>-36.41</v>
      </c>
      <c r="CP386" s="20">
        <v>-62.95</v>
      </c>
    </row>
    <row r="387">
      <c r="A387" s="20">
        <v>53.4</v>
      </c>
      <c r="B387" s="20">
        <v>16.9</v>
      </c>
      <c r="D387" s="20"/>
      <c r="E387" s="20"/>
      <c r="F387" s="20">
        <v>-34.32</v>
      </c>
      <c r="G387" s="20">
        <v>-18.54</v>
      </c>
      <c r="I387" s="20"/>
      <c r="J387" s="20"/>
      <c r="K387" s="20">
        <v>193.0</v>
      </c>
      <c r="L387" s="20" t="s">
        <v>14</v>
      </c>
      <c r="M387" s="20">
        <v>105.54</v>
      </c>
      <c r="N387" s="20">
        <v>41.36</v>
      </c>
      <c r="P387" s="20">
        <v>-18.7</v>
      </c>
      <c r="Q387" s="20">
        <v>13.85</v>
      </c>
      <c r="AG387" s="20">
        <v>385.0</v>
      </c>
      <c r="AH387" s="20" t="s">
        <v>14</v>
      </c>
      <c r="AI387" s="20">
        <v>-8.2</v>
      </c>
      <c r="AJ387" s="20">
        <v>-19.09</v>
      </c>
      <c r="AM387" s="20">
        <v>194.0</v>
      </c>
      <c r="AN387" s="20" t="s">
        <v>14</v>
      </c>
      <c r="AO387" s="20">
        <v>-42.46</v>
      </c>
      <c r="AP387" s="20">
        <v>-14.15</v>
      </c>
      <c r="AS387" s="20">
        <v>193.0</v>
      </c>
      <c r="AT387" s="20" t="s">
        <v>14</v>
      </c>
      <c r="AU387" s="20">
        <v>-29.27</v>
      </c>
      <c r="AV387" s="20">
        <v>-64.79</v>
      </c>
      <c r="BE387" s="20">
        <v>385.0</v>
      </c>
      <c r="BF387" s="20" t="s">
        <v>14</v>
      </c>
      <c r="BG387" s="20">
        <v>-42.31</v>
      </c>
      <c r="BH387" s="20">
        <v>63.57</v>
      </c>
      <c r="BM387" s="20">
        <v>175.14</v>
      </c>
      <c r="BN387" s="20">
        <v>106.22</v>
      </c>
      <c r="BW387" s="20">
        <v>59.31</v>
      </c>
      <c r="BX387" s="20">
        <v>-40.08</v>
      </c>
      <c r="BZ387" s="20">
        <v>-39.11</v>
      </c>
      <c r="CA387" s="20">
        <v>38.83</v>
      </c>
      <c r="CI387" s="20">
        <v>-47.1</v>
      </c>
      <c r="CJ387" s="20">
        <v>-47.16</v>
      </c>
      <c r="CO387" s="20">
        <v>97.51</v>
      </c>
      <c r="CP387" s="20">
        <v>126.91</v>
      </c>
    </row>
    <row r="388">
      <c r="A388" s="20">
        <v>-9.44</v>
      </c>
      <c r="B388" s="20">
        <v>-0.66</v>
      </c>
      <c r="D388" s="20"/>
      <c r="E388" s="20"/>
      <c r="F388" s="20">
        <v>-4.25</v>
      </c>
      <c r="G388" s="20">
        <v>-9.68</v>
      </c>
      <c r="I388" s="20"/>
      <c r="J388" s="20"/>
      <c r="K388" s="20">
        <v>193.0</v>
      </c>
      <c r="L388" s="20" t="s">
        <v>17</v>
      </c>
      <c r="M388" s="20">
        <v>15.81</v>
      </c>
      <c r="N388" s="20">
        <v>-23.58</v>
      </c>
      <c r="P388" s="20">
        <v>-43.61</v>
      </c>
      <c r="Q388" s="20">
        <v>-26.35</v>
      </c>
      <c r="AG388" s="20">
        <v>386.0</v>
      </c>
      <c r="AH388" s="20" t="s">
        <v>14</v>
      </c>
      <c r="AI388" s="20">
        <v>2.7</v>
      </c>
      <c r="AJ388" s="20">
        <v>-18.73</v>
      </c>
      <c r="AM388" s="20">
        <v>194.0</v>
      </c>
      <c r="AN388" s="20" t="s">
        <v>17</v>
      </c>
      <c r="AO388" s="20">
        <v>10.39</v>
      </c>
      <c r="AP388" s="20">
        <v>-19.27</v>
      </c>
      <c r="AS388" s="20">
        <v>193.0</v>
      </c>
      <c r="AT388" s="20" t="s">
        <v>17</v>
      </c>
      <c r="AU388" s="20">
        <v>-46.88</v>
      </c>
      <c r="AV388" s="20">
        <v>-44.23</v>
      </c>
      <c r="BE388" s="20">
        <v>386.0</v>
      </c>
      <c r="BF388" s="20" t="s">
        <v>14</v>
      </c>
      <c r="BG388" s="20">
        <v>5.04</v>
      </c>
      <c r="BH388" s="20">
        <v>19.64</v>
      </c>
      <c r="BM388" s="20">
        <v>125.17</v>
      </c>
      <c r="BN388" s="20">
        <v>46.97</v>
      </c>
      <c r="BW388" s="20">
        <v>-15.85</v>
      </c>
      <c r="BX388" s="20">
        <v>-6.91</v>
      </c>
      <c r="BZ388" s="20">
        <v>-42.89</v>
      </c>
      <c r="CA388" s="20">
        <v>32.86</v>
      </c>
      <c r="CI388" s="20">
        <v>-36.3</v>
      </c>
      <c r="CJ388" s="20">
        <v>-59.29</v>
      </c>
      <c r="CO388" s="20">
        <v>38.96</v>
      </c>
      <c r="CP388" s="20">
        <v>179.17</v>
      </c>
    </row>
    <row r="389">
      <c r="A389" s="20">
        <v>-49.65</v>
      </c>
      <c r="B389" s="20">
        <v>79.74</v>
      </c>
      <c r="D389" s="20"/>
      <c r="E389" s="20"/>
      <c r="F389" s="20">
        <v>-22.19</v>
      </c>
      <c r="G389" s="20">
        <v>-8.38</v>
      </c>
      <c r="I389" s="20"/>
      <c r="J389" s="20"/>
      <c r="K389" s="20">
        <v>194.0</v>
      </c>
      <c r="L389" s="20" t="s">
        <v>14</v>
      </c>
      <c r="M389" s="20">
        <v>-1.74</v>
      </c>
      <c r="N389" s="20">
        <v>-48.57</v>
      </c>
      <c r="P389" s="20">
        <v>-18.89</v>
      </c>
      <c r="Q389" s="20">
        <v>-46.04</v>
      </c>
      <c r="AG389" s="20">
        <v>387.0</v>
      </c>
      <c r="AH389" s="20" t="s">
        <v>14</v>
      </c>
      <c r="AI389" s="20">
        <v>1.9</v>
      </c>
      <c r="AJ389" s="20">
        <v>-13.89</v>
      </c>
      <c r="AM389" s="20">
        <v>195.0</v>
      </c>
      <c r="AN389" s="20" t="s">
        <v>14</v>
      </c>
      <c r="AO389" s="20">
        <v>-51.82</v>
      </c>
      <c r="AP389" s="20">
        <v>-10.53</v>
      </c>
      <c r="AS389" s="20">
        <v>194.0</v>
      </c>
      <c r="AT389" s="20" t="s">
        <v>14</v>
      </c>
      <c r="AU389" s="20">
        <v>-26.29</v>
      </c>
      <c r="AV389" s="20">
        <v>-56.37</v>
      </c>
      <c r="BE389" s="20">
        <v>387.0</v>
      </c>
      <c r="BF389" s="20" t="s">
        <v>14</v>
      </c>
      <c r="BG389" s="20">
        <v>-22.08</v>
      </c>
      <c r="BH389" s="20">
        <v>6.01</v>
      </c>
      <c r="BM389" s="20">
        <v>203.11</v>
      </c>
      <c r="BN389" s="20">
        <v>119.89</v>
      </c>
      <c r="BW389" s="20">
        <v>-36.63</v>
      </c>
      <c r="BX389" s="20">
        <v>-20.08</v>
      </c>
      <c r="BZ389" s="20">
        <v>-36.38</v>
      </c>
      <c r="CA389" s="20">
        <v>66.61</v>
      </c>
      <c r="CI389" s="20">
        <v>-29.09</v>
      </c>
      <c r="CJ389" s="20">
        <v>-43.54</v>
      </c>
      <c r="CO389" s="20">
        <v>25.1</v>
      </c>
      <c r="CP389" s="20">
        <v>41.6</v>
      </c>
    </row>
    <row r="390">
      <c r="A390" s="20">
        <v>56.95</v>
      </c>
      <c r="B390" s="20">
        <v>-7.68</v>
      </c>
      <c r="D390" s="20"/>
      <c r="E390" s="20"/>
      <c r="F390" s="20">
        <v>-11.94</v>
      </c>
      <c r="G390" s="20">
        <v>18.05</v>
      </c>
      <c r="I390" s="20"/>
      <c r="J390" s="20"/>
      <c r="K390" s="20">
        <v>194.0</v>
      </c>
      <c r="L390" s="20" t="s">
        <v>17</v>
      </c>
      <c r="M390" s="20">
        <v>-24.53</v>
      </c>
      <c r="N390" s="20">
        <v>13.65</v>
      </c>
      <c r="P390" s="20">
        <v>-30.94</v>
      </c>
      <c r="Q390" s="20">
        <v>-24.24</v>
      </c>
      <c r="AG390" s="20">
        <v>388.0</v>
      </c>
      <c r="AH390" s="20" t="s">
        <v>14</v>
      </c>
      <c r="AI390" s="20">
        <v>22.47</v>
      </c>
      <c r="AJ390" s="20">
        <v>-10.9</v>
      </c>
      <c r="AM390" s="20">
        <v>195.0</v>
      </c>
      <c r="AN390" s="20" t="s">
        <v>17</v>
      </c>
      <c r="AO390" s="20">
        <v>-37.44</v>
      </c>
      <c r="AP390" s="20">
        <v>-26.05</v>
      </c>
      <c r="AS390" s="20">
        <v>194.0</v>
      </c>
      <c r="AT390" s="20" t="s">
        <v>17</v>
      </c>
      <c r="AU390" s="20">
        <v>-28.65</v>
      </c>
      <c r="AV390" s="20">
        <v>-35.87</v>
      </c>
      <c r="BE390" s="20">
        <v>388.0</v>
      </c>
      <c r="BF390" s="20" t="s">
        <v>14</v>
      </c>
      <c r="BG390" s="20">
        <v>7.95</v>
      </c>
      <c r="BH390" s="20">
        <v>17.07</v>
      </c>
      <c r="BM390" s="20">
        <v>172.57</v>
      </c>
      <c r="BN390" s="20">
        <v>114.29</v>
      </c>
      <c r="BW390" s="20">
        <v>-39.08</v>
      </c>
      <c r="BX390" s="20">
        <v>-26.54</v>
      </c>
      <c r="BZ390" s="20">
        <v>-55.21</v>
      </c>
      <c r="CA390" s="20">
        <v>5.6</v>
      </c>
      <c r="CI390" s="20">
        <v>-23.45</v>
      </c>
      <c r="CJ390" s="20">
        <v>-43.2</v>
      </c>
      <c r="CO390" s="20">
        <v>18.28</v>
      </c>
      <c r="CP390" s="20">
        <v>-38.51</v>
      </c>
    </row>
    <row r="391">
      <c r="A391" s="20">
        <v>-38.03</v>
      </c>
      <c r="B391" s="20">
        <v>14.17</v>
      </c>
      <c r="D391" s="20"/>
      <c r="E391" s="20"/>
      <c r="F391" s="20">
        <v>-29.7</v>
      </c>
      <c r="G391" s="20">
        <v>25.93</v>
      </c>
      <c r="I391" s="20"/>
      <c r="J391" s="20"/>
      <c r="K391" s="20">
        <v>195.0</v>
      </c>
      <c r="L391" s="20" t="s">
        <v>14</v>
      </c>
      <c r="M391" s="20">
        <v>-23.05</v>
      </c>
      <c r="N391" s="20">
        <v>-6.96</v>
      </c>
      <c r="P391" s="20">
        <v>-1.1</v>
      </c>
      <c r="Q391" s="20">
        <v>26.47</v>
      </c>
      <c r="AG391" s="20">
        <v>389.0</v>
      </c>
      <c r="AH391" s="20" t="s">
        <v>14</v>
      </c>
      <c r="AI391" s="20">
        <v>12.17</v>
      </c>
      <c r="AJ391" s="20">
        <v>-3.74</v>
      </c>
      <c r="AM391" s="20">
        <v>196.0</v>
      </c>
      <c r="AN391" s="20" t="s">
        <v>14</v>
      </c>
      <c r="AO391" s="20">
        <v>-17.93</v>
      </c>
      <c r="AP391" s="20">
        <v>-42.83</v>
      </c>
      <c r="AS391" s="20">
        <v>195.0</v>
      </c>
      <c r="AT391" s="20" t="s">
        <v>14</v>
      </c>
      <c r="AU391" s="20">
        <v>-45.05</v>
      </c>
      <c r="AV391" s="20">
        <v>-89.93</v>
      </c>
      <c r="BE391" s="20">
        <v>389.0</v>
      </c>
      <c r="BF391" s="20" t="s">
        <v>14</v>
      </c>
      <c r="BG391" s="20">
        <v>10.13</v>
      </c>
      <c r="BH391" s="20">
        <v>36.9</v>
      </c>
      <c r="BM391" s="20">
        <v>25.6</v>
      </c>
      <c r="BN391" s="20">
        <v>56.59</v>
      </c>
      <c r="BW391" s="20">
        <v>-53.27</v>
      </c>
      <c r="BX391" s="20">
        <v>-23.29</v>
      </c>
      <c r="BZ391" s="20">
        <v>-59.57</v>
      </c>
      <c r="CA391" s="20">
        <v>14.73</v>
      </c>
      <c r="CI391" s="20">
        <v>-24.88</v>
      </c>
      <c r="CJ391" s="20">
        <v>-41.22</v>
      </c>
      <c r="CO391" s="20">
        <v>-8.8</v>
      </c>
      <c r="CP391" s="20">
        <v>-40.24</v>
      </c>
    </row>
    <row r="392">
      <c r="A392" s="20">
        <v>-60.45</v>
      </c>
      <c r="B392" s="20">
        <v>19.36</v>
      </c>
      <c r="D392" s="20"/>
      <c r="E392" s="20"/>
      <c r="F392" s="20">
        <v>-19.72</v>
      </c>
      <c r="G392" s="20">
        <v>-0.29</v>
      </c>
      <c r="I392" s="20"/>
      <c r="J392" s="20"/>
      <c r="K392" s="20">
        <v>195.0</v>
      </c>
      <c r="L392" s="20" t="s">
        <v>17</v>
      </c>
      <c r="M392" s="20">
        <v>-18.94</v>
      </c>
      <c r="N392" s="20">
        <v>27.19</v>
      </c>
      <c r="P392" s="20">
        <v>32.48</v>
      </c>
      <c r="Q392" s="20">
        <v>116.14</v>
      </c>
      <c r="AG392" s="20">
        <v>390.0</v>
      </c>
      <c r="AH392" s="20" t="s">
        <v>14</v>
      </c>
      <c r="AI392" s="20">
        <v>24.9</v>
      </c>
      <c r="AJ392" s="20">
        <v>3.45</v>
      </c>
      <c r="AM392" s="20">
        <v>196.0</v>
      </c>
      <c r="AN392" s="20" t="s">
        <v>17</v>
      </c>
      <c r="AO392" s="20">
        <v>16.76</v>
      </c>
      <c r="AP392" s="20">
        <v>-24.64</v>
      </c>
      <c r="AS392" s="20">
        <v>195.0</v>
      </c>
      <c r="AT392" s="20" t="s">
        <v>17</v>
      </c>
      <c r="AU392" s="20">
        <v>-35.3</v>
      </c>
      <c r="AV392" s="20">
        <v>-33.57</v>
      </c>
      <c r="BE392" s="20">
        <v>390.0</v>
      </c>
      <c r="BF392" s="20" t="s">
        <v>14</v>
      </c>
      <c r="BG392" s="20">
        <v>0.96</v>
      </c>
      <c r="BH392" s="20">
        <v>-9.77</v>
      </c>
      <c r="BM392" s="20">
        <v>-19.08</v>
      </c>
      <c r="BN392" s="20">
        <v>-3.48</v>
      </c>
      <c r="BW392" s="20">
        <v>-49.03</v>
      </c>
      <c r="BX392" s="20">
        <v>-12.1</v>
      </c>
      <c r="BZ392" s="20">
        <v>-57.99</v>
      </c>
      <c r="CA392" s="20">
        <v>-36.0</v>
      </c>
      <c r="CI392" s="20">
        <v>-45.66</v>
      </c>
      <c r="CJ392" s="20">
        <v>-61.01</v>
      </c>
      <c r="CO392" s="20">
        <v>-15.25</v>
      </c>
      <c r="CP392" s="20">
        <v>-35.35</v>
      </c>
    </row>
    <row r="393">
      <c r="A393" s="20">
        <v>-19.93</v>
      </c>
      <c r="B393" s="20">
        <v>65.15</v>
      </c>
      <c r="D393" s="20"/>
      <c r="E393" s="20"/>
      <c r="F393" s="20">
        <v>12.64</v>
      </c>
      <c r="G393" s="20">
        <v>47.14</v>
      </c>
      <c r="I393" s="20"/>
      <c r="J393" s="20"/>
      <c r="K393" s="20">
        <v>196.0</v>
      </c>
      <c r="L393" s="20" t="s">
        <v>14</v>
      </c>
      <c r="M393" s="20">
        <v>-19.06</v>
      </c>
      <c r="N393" s="20">
        <v>2.94</v>
      </c>
      <c r="P393" s="20">
        <v>-15.66</v>
      </c>
      <c r="Q393" s="20">
        <v>4.92</v>
      </c>
      <c r="AG393" s="20">
        <v>391.0</v>
      </c>
      <c r="AH393" s="20" t="s">
        <v>14</v>
      </c>
      <c r="AI393" s="20">
        <v>-17.65</v>
      </c>
      <c r="AJ393" s="20">
        <v>-30.24</v>
      </c>
      <c r="AM393" s="20">
        <v>197.0</v>
      </c>
      <c r="AN393" s="20" t="s">
        <v>14</v>
      </c>
      <c r="AO393" s="20">
        <v>27.33</v>
      </c>
      <c r="AP393" s="20">
        <v>9.69</v>
      </c>
      <c r="AS393" s="20">
        <v>196.0</v>
      </c>
      <c r="AT393" s="20" t="s">
        <v>14</v>
      </c>
      <c r="AU393" s="20">
        <v>-32.27</v>
      </c>
      <c r="AV393" s="20">
        <v>-27.61</v>
      </c>
      <c r="BE393" s="20">
        <v>391.0</v>
      </c>
      <c r="BF393" s="20" t="s">
        <v>14</v>
      </c>
      <c r="BG393" s="20">
        <v>-2.57</v>
      </c>
      <c r="BH393" s="20">
        <v>-1.59</v>
      </c>
      <c r="BM393" s="20">
        <v>138.4</v>
      </c>
      <c r="BN393" s="20">
        <v>65.09</v>
      </c>
      <c r="BW393" s="20">
        <v>-42.32</v>
      </c>
      <c r="BX393" s="20">
        <v>-30.12</v>
      </c>
      <c r="BZ393" s="20">
        <v>-24.87</v>
      </c>
      <c r="CA393" s="20">
        <v>10.41</v>
      </c>
      <c r="CI393" s="20">
        <v>-42.05</v>
      </c>
      <c r="CJ393" s="20">
        <v>-56.81</v>
      </c>
      <c r="CO393" s="20">
        <v>1.4</v>
      </c>
      <c r="CP393" s="20">
        <v>-48.37</v>
      </c>
    </row>
    <row r="394">
      <c r="A394" s="20">
        <v>-48.06</v>
      </c>
      <c r="B394" s="20">
        <v>-23.9</v>
      </c>
      <c r="D394" s="20"/>
      <c r="E394" s="20"/>
      <c r="F394" s="20">
        <v>8.06</v>
      </c>
      <c r="G394" s="20">
        <v>17.09</v>
      </c>
      <c r="I394" s="20"/>
      <c r="J394" s="20"/>
      <c r="K394" s="20">
        <v>196.0</v>
      </c>
      <c r="L394" s="20" t="s">
        <v>17</v>
      </c>
      <c r="M394" s="20">
        <v>-25.78</v>
      </c>
      <c r="N394" s="20">
        <v>-5.88</v>
      </c>
      <c r="P394" s="20">
        <v>18.83</v>
      </c>
      <c r="Q394" s="20">
        <v>31.66</v>
      </c>
      <c r="AG394" s="20">
        <v>392.0</v>
      </c>
      <c r="AH394" s="20" t="s">
        <v>14</v>
      </c>
      <c r="AI394" s="20">
        <v>-25.24</v>
      </c>
      <c r="AJ394" s="20">
        <v>-32.37</v>
      </c>
      <c r="AM394" s="20">
        <v>197.0</v>
      </c>
      <c r="AN394" s="20" t="s">
        <v>17</v>
      </c>
      <c r="AO394" s="20">
        <v>-30.28</v>
      </c>
      <c r="AP394" s="20">
        <v>54.06</v>
      </c>
      <c r="AS394" s="20">
        <v>196.0</v>
      </c>
      <c r="AT394" s="20" t="s">
        <v>17</v>
      </c>
      <c r="AU394" s="20">
        <v>-14.26</v>
      </c>
      <c r="AV394" s="20">
        <v>-44.08</v>
      </c>
      <c r="BE394" s="20">
        <v>392.0</v>
      </c>
      <c r="BF394" s="20" t="s">
        <v>14</v>
      </c>
      <c r="BG394" s="20">
        <v>-1.52</v>
      </c>
      <c r="BH394" s="20">
        <v>9.47</v>
      </c>
      <c r="BM394" s="20">
        <v>-16.69</v>
      </c>
      <c r="BN394" s="20">
        <v>37.19</v>
      </c>
      <c r="BW394" s="20">
        <v>-42.21</v>
      </c>
      <c r="BX394" s="20">
        <v>-22.39</v>
      </c>
      <c r="BZ394" s="20">
        <v>-50.25</v>
      </c>
      <c r="CA394" s="20">
        <v>-15.88</v>
      </c>
      <c r="CI394" s="20">
        <v>-37.29</v>
      </c>
      <c r="CJ394" s="20">
        <v>-58.51</v>
      </c>
      <c r="CO394" s="20">
        <v>41.62</v>
      </c>
      <c r="CP394" s="20">
        <v>-44.05</v>
      </c>
    </row>
    <row r="395">
      <c r="A395" s="20">
        <v>113.34</v>
      </c>
      <c r="B395" s="20">
        <v>16.34</v>
      </c>
      <c r="D395" s="20"/>
      <c r="E395" s="20"/>
      <c r="F395" s="20">
        <v>-12.68</v>
      </c>
      <c r="G395" s="20">
        <v>39.73</v>
      </c>
      <c r="I395" s="20"/>
      <c r="J395" s="20"/>
      <c r="K395" s="20">
        <v>197.0</v>
      </c>
      <c r="L395" s="20" t="s">
        <v>14</v>
      </c>
      <c r="M395" s="20">
        <v>-6.67</v>
      </c>
      <c r="N395" s="20">
        <v>-12.69</v>
      </c>
      <c r="P395" s="20">
        <v>3.76</v>
      </c>
      <c r="Q395" s="20">
        <v>15.14</v>
      </c>
      <c r="AG395" s="20">
        <v>393.0</v>
      </c>
      <c r="AH395" s="20" t="s">
        <v>14</v>
      </c>
      <c r="AI395" s="20">
        <v>4.65</v>
      </c>
      <c r="AJ395" s="20">
        <v>8.77</v>
      </c>
      <c r="AM395" s="20">
        <v>198.0</v>
      </c>
      <c r="AN395" s="20" t="s">
        <v>14</v>
      </c>
      <c r="AO395" s="20">
        <v>5.59</v>
      </c>
      <c r="AP395" s="20">
        <v>37.84</v>
      </c>
      <c r="AS395" s="20">
        <v>197.0</v>
      </c>
      <c r="AT395" s="20" t="s">
        <v>14</v>
      </c>
      <c r="AU395" s="20">
        <v>1.27</v>
      </c>
      <c r="AV395" s="20">
        <v>-22.21</v>
      </c>
      <c r="BE395" s="20">
        <v>393.0</v>
      </c>
      <c r="BF395" s="20" t="s">
        <v>14</v>
      </c>
      <c r="BG395" s="20">
        <v>-9.13</v>
      </c>
      <c r="BH395" s="20">
        <v>0.88</v>
      </c>
      <c r="BM395" s="20">
        <v>69.12</v>
      </c>
      <c r="BN395" s="20">
        <v>56.37</v>
      </c>
      <c r="BW395" s="20">
        <v>-51.95</v>
      </c>
      <c r="BX395" s="20">
        <v>-27.2</v>
      </c>
      <c r="BZ395" s="20">
        <v>0.68</v>
      </c>
      <c r="CA395" s="20">
        <v>104.0</v>
      </c>
      <c r="CI395" s="20">
        <v>-26.87</v>
      </c>
      <c r="CJ395" s="20">
        <v>-51.79</v>
      </c>
      <c r="CO395" s="20">
        <v>-10.25</v>
      </c>
      <c r="CP395" s="20">
        <v>-41.46</v>
      </c>
    </row>
    <row r="396">
      <c r="A396" s="20">
        <v>14.53</v>
      </c>
      <c r="B396" s="20">
        <v>-25.11</v>
      </c>
      <c r="D396" s="20"/>
      <c r="E396" s="20"/>
      <c r="F396" s="20">
        <v>-22.03</v>
      </c>
      <c r="G396" s="20">
        <v>22.16</v>
      </c>
      <c r="I396" s="20"/>
      <c r="J396" s="20"/>
      <c r="K396" s="20">
        <v>197.0</v>
      </c>
      <c r="L396" s="20" t="s">
        <v>17</v>
      </c>
      <c r="M396" s="20">
        <v>-42.92</v>
      </c>
      <c r="N396" s="20">
        <v>-38.22</v>
      </c>
      <c r="P396" s="20">
        <v>29.88</v>
      </c>
      <c r="Q396" s="20">
        <v>123.23</v>
      </c>
      <c r="AG396" s="20">
        <v>394.0</v>
      </c>
      <c r="AH396" s="20" t="s">
        <v>14</v>
      </c>
      <c r="AI396" s="20">
        <v>-20.81</v>
      </c>
      <c r="AJ396" s="20">
        <v>-31.52</v>
      </c>
      <c r="AM396" s="20">
        <v>198.0</v>
      </c>
      <c r="AN396" s="20" t="s">
        <v>17</v>
      </c>
      <c r="AO396" s="20">
        <v>-15.01</v>
      </c>
      <c r="AP396" s="20">
        <v>84.56</v>
      </c>
      <c r="AS396" s="20">
        <v>197.0</v>
      </c>
      <c r="AT396" s="20" t="s">
        <v>17</v>
      </c>
      <c r="AU396" s="20">
        <v>19.83</v>
      </c>
      <c r="AV396" s="20">
        <v>-1.8</v>
      </c>
      <c r="BE396" s="20">
        <v>394.0</v>
      </c>
      <c r="BF396" s="20" t="s">
        <v>14</v>
      </c>
      <c r="BG396" s="20">
        <v>-14.58</v>
      </c>
      <c r="BH396" s="20">
        <v>46.99</v>
      </c>
      <c r="BM396" s="20">
        <v>51.89</v>
      </c>
      <c r="BN396" s="20">
        <v>35.74</v>
      </c>
      <c r="BW396" s="20">
        <v>-55.22</v>
      </c>
      <c r="BX396" s="20">
        <v>-11.46</v>
      </c>
      <c r="BZ396" s="20">
        <v>-21.58</v>
      </c>
      <c r="CA396" s="20">
        <v>92.31</v>
      </c>
      <c r="CI396" s="20">
        <v>-58.6</v>
      </c>
      <c r="CJ396" s="20">
        <v>-63.39</v>
      </c>
      <c r="CO396" s="20">
        <v>-5.17</v>
      </c>
      <c r="CP396" s="20">
        <v>-25.06</v>
      </c>
    </row>
    <row r="397">
      <c r="A397" s="20">
        <v>-44.88</v>
      </c>
      <c r="B397" s="20">
        <v>10.49</v>
      </c>
      <c r="D397" s="20"/>
      <c r="E397" s="20"/>
      <c r="F397" s="20">
        <v>-34.88</v>
      </c>
      <c r="G397" s="20">
        <v>-5.95</v>
      </c>
      <c r="I397" s="20"/>
      <c r="J397" s="20"/>
      <c r="K397" s="20">
        <v>198.0</v>
      </c>
      <c r="L397" s="20" t="s">
        <v>14</v>
      </c>
      <c r="M397" s="20">
        <v>-6.49</v>
      </c>
      <c r="N397" s="20">
        <v>-27.4</v>
      </c>
      <c r="P397" s="20">
        <v>-21.82</v>
      </c>
      <c r="Q397" s="20">
        <v>9.96</v>
      </c>
      <c r="AG397" s="20">
        <v>395.0</v>
      </c>
      <c r="AH397" s="20" t="s">
        <v>14</v>
      </c>
      <c r="AI397" s="20">
        <v>-26.09</v>
      </c>
      <c r="AJ397" s="20">
        <v>-20.52</v>
      </c>
      <c r="AM397" s="20">
        <v>199.0</v>
      </c>
      <c r="AN397" s="20" t="s">
        <v>14</v>
      </c>
      <c r="AO397" s="20">
        <v>-19.32</v>
      </c>
      <c r="AP397" s="20">
        <v>-53.18</v>
      </c>
      <c r="AS397" s="20">
        <v>198.0</v>
      </c>
      <c r="AT397" s="20" t="s">
        <v>14</v>
      </c>
      <c r="AU397" s="20">
        <v>-18.67</v>
      </c>
      <c r="AV397" s="20">
        <v>-35.38</v>
      </c>
      <c r="BE397" s="20">
        <v>395.0</v>
      </c>
      <c r="BF397" s="20" t="s">
        <v>14</v>
      </c>
      <c r="BG397" s="20">
        <v>-9.31</v>
      </c>
      <c r="BH397" s="20">
        <v>-9.5</v>
      </c>
      <c r="BM397" s="20">
        <v>127.99</v>
      </c>
      <c r="BN397" s="20">
        <v>101.33</v>
      </c>
      <c r="BW397" s="20">
        <v>-55.67</v>
      </c>
      <c r="BX397" s="20">
        <v>-22.77</v>
      </c>
      <c r="BZ397" s="20">
        <v>-71.71</v>
      </c>
      <c r="CA397" s="20">
        <v>82.52</v>
      </c>
      <c r="CI397" s="20">
        <v>-42.6</v>
      </c>
      <c r="CJ397" s="20">
        <v>-65.95</v>
      </c>
      <c r="CO397" s="20">
        <v>-3.54</v>
      </c>
      <c r="CP397" s="20">
        <v>-39.13</v>
      </c>
    </row>
    <row r="398">
      <c r="A398" s="20">
        <v>-53.0</v>
      </c>
      <c r="B398" s="20">
        <v>45.95</v>
      </c>
      <c r="D398" s="20"/>
      <c r="E398" s="20"/>
      <c r="F398" s="20">
        <v>-46.45</v>
      </c>
      <c r="G398" s="20">
        <v>-6.82</v>
      </c>
      <c r="I398" s="20"/>
      <c r="J398" s="20"/>
      <c r="K398" s="20">
        <v>198.0</v>
      </c>
      <c r="L398" s="20" t="s">
        <v>17</v>
      </c>
      <c r="M398" s="20">
        <v>12.49</v>
      </c>
      <c r="N398" s="20">
        <v>-27.0</v>
      </c>
      <c r="P398" s="20">
        <v>-8.51</v>
      </c>
      <c r="Q398" s="20">
        <v>81.16</v>
      </c>
      <c r="AG398" s="20">
        <v>396.0</v>
      </c>
      <c r="AH398" s="20" t="s">
        <v>14</v>
      </c>
      <c r="AI398" s="20">
        <v>36.28</v>
      </c>
      <c r="AJ398" s="20">
        <v>6.66</v>
      </c>
      <c r="AM398" s="20">
        <v>199.0</v>
      </c>
      <c r="AN398" s="20" t="s">
        <v>17</v>
      </c>
      <c r="AO398" s="20">
        <v>-52.54</v>
      </c>
      <c r="AP398" s="20">
        <v>8.59</v>
      </c>
      <c r="AS398" s="20">
        <v>198.0</v>
      </c>
      <c r="AT398" s="20" t="s">
        <v>17</v>
      </c>
      <c r="AU398" s="20">
        <v>-17.65</v>
      </c>
      <c r="AV398" s="20">
        <v>-28.63</v>
      </c>
      <c r="BE398" s="20">
        <v>396.0</v>
      </c>
      <c r="BF398" s="20" t="s">
        <v>14</v>
      </c>
      <c r="BG398" s="20">
        <v>19.08</v>
      </c>
      <c r="BH398" s="20">
        <v>2.04</v>
      </c>
      <c r="BM398" s="20">
        <v>130.72</v>
      </c>
      <c r="BN398" s="20">
        <v>96.42</v>
      </c>
      <c r="BW398" s="20">
        <v>-38.87</v>
      </c>
      <c r="BX398" s="20">
        <v>-15.81</v>
      </c>
      <c r="BZ398" s="20">
        <v>-21.71</v>
      </c>
      <c r="CA398" s="20">
        <v>-42.68</v>
      </c>
      <c r="CI398" s="20">
        <v>-53.94</v>
      </c>
      <c r="CJ398" s="20">
        <v>-63.56</v>
      </c>
      <c r="CO398" s="20">
        <v>29.06</v>
      </c>
      <c r="CP398" s="20">
        <v>-47.82</v>
      </c>
    </row>
    <row r="399">
      <c r="A399" s="20">
        <v>-56.79</v>
      </c>
      <c r="B399" s="20">
        <v>-58.92</v>
      </c>
      <c r="D399" s="20"/>
      <c r="E399" s="20"/>
      <c r="F399" s="20">
        <v>-9.13</v>
      </c>
      <c r="G399" s="20">
        <v>-1.86</v>
      </c>
      <c r="I399" s="20"/>
      <c r="J399" s="20"/>
      <c r="K399" s="20">
        <v>199.0</v>
      </c>
      <c r="L399" s="20" t="s">
        <v>14</v>
      </c>
      <c r="M399" s="20">
        <v>-6.55</v>
      </c>
      <c r="N399" s="20">
        <v>0.53</v>
      </c>
      <c r="P399" s="20">
        <v>-38.08</v>
      </c>
      <c r="Q399" s="20">
        <v>-72.98</v>
      </c>
      <c r="AG399" s="20">
        <v>397.0</v>
      </c>
      <c r="AH399" s="20" t="s">
        <v>14</v>
      </c>
      <c r="AI399" s="20">
        <v>24.42</v>
      </c>
      <c r="AJ399" s="20">
        <v>18.38</v>
      </c>
      <c r="AM399" s="20">
        <v>200.0</v>
      </c>
      <c r="AN399" s="20" t="s">
        <v>14</v>
      </c>
      <c r="AO399" s="20">
        <v>-6.45</v>
      </c>
      <c r="AP399" s="20">
        <v>-43.33</v>
      </c>
      <c r="AS399" s="20">
        <v>199.0</v>
      </c>
      <c r="AT399" s="20" t="s">
        <v>14</v>
      </c>
      <c r="AU399" s="20">
        <v>12.73</v>
      </c>
      <c r="AV399" s="20">
        <v>-9.85</v>
      </c>
      <c r="BE399" s="20">
        <v>397.0</v>
      </c>
      <c r="BF399" s="20" t="s">
        <v>14</v>
      </c>
      <c r="BG399" s="20">
        <v>-30.83</v>
      </c>
      <c r="BH399" s="20">
        <v>-0.69</v>
      </c>
      <c r="BM399" s="20">
        <v>-34.04</v>
      </c>
      <c r="BN399" s="20">
        <v>60.59</v>
      </c>
      <c r="BW399" s="20">
        <v>-26.95</v>
      </c>
      <c r="BX399" s="20">
        <v>-22.07</v>
      </c>
      <c r="BZ399" s="20">
        <v>-69.9</v>
      </c>
      <c r="CA399" s="20">
        <v>70.11</v>
      </c>
      <c r="CI399" s="20">
        <v>-56.12</v>
      </c>
      <c r="CJ399" s="20">
        <v>-52.89</v>
      </c>
      <c r="CO399" s="20">
        <v>-26.5</v>
      </c>
      <c r="CP399" s="20">
        <v>-50.12</v>
      </c>
    </row>
    <row r="400">
      <c r="A400" s="20">
        <v>21.09</v>
      </c>
      <c r="B400" s="20">
        <v>97.13</v>
      </c>
      <c r="D400" s="20"/>
      <c r="E400" s="20"/>
      <c r="F400" s="20">
        <v>11.3</v>
      </c>
      <c r="G400" s="20">
        <v>13.75</v>
      </c>
      <c r="I400" s="20"/>
      <c r="J400" s="20"/>
      <c r="K400" s="20">
        <v>199.0</v>
      </c>
      <c r="L400" s="20" t="s">
        <v>17</v>
      </c>
      <c r="M400" s="20">
        <v>-19.49</v>
      </c>
      <c r="N400" s="20">
        <v>75.6</v>
      </c>
      <c r="P400" s="20">
        <v>-33.35</v>
      </c>
      <c r="Q400" s="20">
        <v>-41.08</v>
      </c>
      <c r="AG400" s="20">
        <v>398.0</v>
      </c>
      <c r="AH400" s="20" t="s">
        <v>14</v>
      </c>
      <c r="AI400" s="20">
        <v>-0.08</v>
      </c>
      <c r="AJ400" s="20">
        <v>9.71</v>
      </c>
      <c r="AM400" s="20">
        <v>200.0</v>
      </c>
      <c r="AN400" s="20" t="s">
        <v>17</v>
      </c>
      <c r="AO400" s="20">
        <v>11.18</v>
      </c>
      <c r="AP400" s="20">
        <v>28.65</v>
      </c>
      <c r="AS400" s="20">
        <v>199.0</v>
      </c>
      <c r="AT400" s="20" t="s">
        <v>17</v>
      </c>
      <c r="AU400" s="20">
        <v>-0.27</v>
      </c>
      <c r="AV400" s="20">
        <v>-46.39</v>
      </c>
      <c r="BE400" s="20">
        <v>398.0</v>
      </c>
      <c r="BF400" s="20" t="s">
        <v>14</v>
      </c>
      <c r="BG400" s="20">
        <v>-28.91</v>
      </c>
      <c r="BH400" s="20">
        <v>14.85</v>
      </c>
      <c r="BM400" s="20">
        <v>73.58</v>
      </c>
      <c r="BN400" s="20">
        <v>87.58</v>
      </c>
      <c r="BW400" s="20">
        <v>-40.27</v>
      </c>
      <c r="BX400" s="20">
        <v>-35.69</v>
      </c>
      <c r="BZ400" s="20">
        <v>-44.9</v>
      </c>
      <c r="CA400" s="20">
        <v>17.37</v>
      </c>
      <c r="CI400" s="20">
        <v>-42.99</v>
      </c>
      <c r="CJ400" s="20">
        <v>-61.61</v>
      </c>
      <c r="CO400" s="20">
        <v>-31.93</v>
      </c>
      <c r="CP400" s="20">
        <v>-34.86</v>
      </c>
    </row>
    <row r="401">
      <c r="A401" s="20">
        <v>17.12</v>
      </c>
      <c r="B401" s="20">
        <v>31.54</v>
      </c>
      <c r="D401" s="20"/>
      <c r="E401" s="20"/>
      <c r="F401" s="20">
        <v>-19.57</v>
      </c>
      <c r="G401" s="20">
        <v>4.93</v>
      </c>
      <c r="I401" s="20"/>
      <c r="J401" s="20"/>
      <c r="K401" s="20">
        <v>200.0</v>
      </c>
      <c r="L401" s="20" t="s">
        <v>14</v>
      </c>
      <c r="M401" s="20">
        <v>-27.4</v>
      </c>
      <c r="N401" s="20">
        <v>30.64</v>
      </c>
      <c r="P401" s="20">
        <v>-17.22</v>
      </c>
      <c r="Q401" s="20">
        <v>4.05</v>
      </c>
      <c r="AG401" s="20">
        <v>399.0</v>
      </c>
      <c r="AH401" s="20" t="s">
        <v>14</v>
      </c>
      <c r="AI401" s="20">
        <v>-3.07</v>
      </c>
      <c r="AJ401" s="20">
        <v>18.86</v>
      </c>
      <c r="AM401" s="20">
        <v>201.0</v>
      </c>
      <c r="AN401" s="20" t="s">
        <v>14</v>
      </c>
      <c r="AO401" s="20">
        <v>-23.73</v>
      </c>
      <c r="AP401" s="20">
        <v>-31.59</v>
      </c>
      <c r="AS401" s="20">
        <v>200.0</v>
      </c>
      <c r="AT401" s="20" t="s">
        <v>14</v>
      </c>
      <c r="AU401" s="20">
        <v>-40.72</v>
      </c>
      <c r="AV401" s="20">
        <v>-71.13</v>
      </c>
      <c r="BE401" s="20">
        <v>399.0</v>
      </c>
      <c r="BF401" s="20" t="s">
        <v>14</v>
      </c>
      <c r="BG401" s="20">
        <v>-33.54</v>
      </c>
      <c r="BH401" s="20">
        <v>54.85</v>
      </c>
      <c r="BM401" s="20">
        <v>76.53</v>
      </c>
      <c r="BN401" s="20">
        <v>165.56</v>
      </c>
      <c r="BW401" s="20">
        <v>-28.31</v>
      </c>
      <c r="BX401" s="20">
        <v>-29.62</v>
      </c>
      <c r="BZ401" s="20">
        <v>-46.06</v>
      </c>
      <c r="CA401" s="20">
        <v>69.54</v>
      </c>
      <c r="CI401" s="20">
        <v>-25.75</v>
      </c>
      <c r="CJ401" s="20">
        <v>-46.14</v>
      </c>
      <c r="CO401" s="20">
        <v>-9.22</v>
      </c>
      <c r="CP401" s="20">
        <v>-31.95</v>
      </c>
    </row>
    <row r="402">
      <c r="A402" s="20">
        <v>-28.46</v>
      </c>
      <c r="B402" s="20">
        <v>4.35</v>
      </c>
      <c r="D402" s="20"/>
      <c r="E402" s="20"/>
      <c r="F402" s="20">
        <v>22.83</v>
      </c>
      <c r="G402" s="20">
        <v>-3.29</v>
      </c>
      <c r="I402" s="20"/>
      <c r="J402" s="20"/>
      <c r="K402" s="20">
        <v>200.0</v>
      </c>
      <c r="L402" s="20" t="s">
        <v>17</v>
      </c>
      <c r="M402" s="20">
        <v>-27.1</v>
      </c>
      <c r="N402" s="20">
        <v>37.37</v>
      </c>
      <c r="P402" s="20">
        <v>1.27</v>
      </c>
      <c r="Q402" s="20">
        <v>35.23</v>
      </c>
      <c r="AG402" s="20">
        <v>400.0</v>
      </c>
      <c r="AH402" s="20" t="s">
        <v>14</v>
      </c>
      <c r="AI402" s="20">
        <v>-5.88</v>
      </c>
      <c r="AJ402" s="20">
        <v>1.09</v>
      </c>
      <c r="AM402" s="20">
        <v>201.0</v>
      </c>
      <c r="AN402" s="20" t="s">
        <v>17</v>
      </c>
      <c r="AO402" s="20">
        <v>-10.4</v>
      </c>
      <c r="AP402" s="20">
        <v>-21.24</v>
      </c>
      <c r="AS402" s="20">
        <v>200.0</v>
      </c>
      <c r="AT402" s="20" t="s">
        <v>17</v>
      </c>
      <c r="AU402" s="20">
        <v>-8.52</v>
      </c>
      <c r="AV402" s="20">
        <v>-34.09</v>
      </c>
      <c r="BE402" s="20">
        <v>400.0</v>
      </c>
      <c r="BF402" s="20" t="s">
        <v>14</v>
      </c>
      <c r="BG402" s="20">
        <v>2.0</v>
      </c>
      <c r="BH402" s="20">
        <v>0.1</v>
      </c>
      <c r="BM402" s="20">
        <v>53.51</v>
      </c>
      <c r="BN402" s="20">
        <v>137.92</v>
      </c>
      <c r="BW402" s="20">
        <v>-53.49</v>
      </c>
      <c r="BX402" s="20">
        <v>-24.25</v>
      </c>
      <c r="BZ402" s="20">
        <v>-35.03</v>
      </c>
      <c r="CA402" s="20">
        <v>80.16</v>
      </c>
      <c r="CI402" s="20">
        <v>-35.62</v>
      </c>
      <c r="CJ402" s="20">
        <v>-41.76</v>
      </c>
      <c r="CO402" s="20">
        <v>2.82</v>
      </c>
      <c r="CP402" s="20">
        <v>-34.66</v>
      </c>
    </row>
    <row r="403">
      <c r="A403" s="20">
        <v>-37.69</v>
      </c>
      <c r="B403" s="20">
        <v>37.16</v>
      </c>
      <c r="D403" s="20"/>
      <c r="E403" s="20"/>
      <c r="F403" s="20">
        <v>-3.66</v>
      </c>
      <c r="G403" s="20">
        <v>-25.84</v>
      </c>
      <c r="I403" s="20"/>
      <c r="J403" s="20"/>
      <c r="K403" s="20">
        <v>201.0</v>
      </c>
      <c r="L403" s="20" t="s">
        <v>14</v>
      </c>
      <c r="M403" s="20">
        <v>16.41</v>
      </c>
      <c r="N403" s="20">
        <v>44.91</v>
      </c>
      <c r="P403" s="20">
        <v>-20.97</v>
      </c>
      <c r="Q403" s="20">
        <v>-12.67</v>
      </c>
      <c r="AG403" s="20">
        <v>401.0</v>
      </c>
      <c r="AH403" s="20" t="s">
        <v>14</v>
      </c>
      <c r="AI403" s="20">
        <v>15.51</v>
      </c>
      <c r="AJ403" s="20">
        <v>-7.38</v>
      </c>
      <c r="AM403" s="20">
        <v>202.0</v>
      </c>
      <c r="AN403" s="20" t="s">
        <v>14</v>
      </c>
      <c r="AO403" s="20">
        <v>-27.82</v>
      </c>
      <c r="AP403" s="20">
        <v>-14.26</v>
      </c>
      <c r="AS403" s="20">
        <v>201.0</v>
      </c>
      <c r="AT403" s="20" t="s">
        <v>14</v>
      </c>
      <c r="AU403" s="20">
        <v>1.76</v>
      </c>
      <c r="AV403" s="20">
        <v>-27.15</v>
      </c>
      <c r="BE403" s="20">
        <v>401.0</v>
      </c>
      <c r="BF403" s="20" t="s">
        <v>14</v>
      </c>
      <c r="BG403" s="20">
        <v>-13.96</v>
      </c>
      <c r="BH403" s="20">
        <v>3.13</v>
      </c>
      <c r="BM403" s="20">
        <v>37.93</v>
      </c>
      <c r="BN403" s="20">
        <v>36.24</v>
      </c>
      <c r="BW403" s="20">
        <v>-55.08</v>
      </c>
      <c r="BX403" s="20">
        <v>-15.94</v>
      </c>
      <c r="BZ403" s="20">
        <v>-34.96</v>
      </c>
      <c r="CA403" s="20">
        <v>49.56</v>
      </c>
      <c r="CI403" s="20">
        <v>-28.6</v>
      </c>
      <c r="CJ403" s="20">
        <v>-37.39</v>
      </c>
      <c r="CO403" s="20">
        <v>5.7</v>
      </c>
      <c r="CP403" s="20">
        <v>-28.61</v>
      </c>
    </row>
    <row r="404">
      <c r="A404" s="20">
        <v>35.39</v>
      </c>
      <c r="B404" s="20">
        <v>174.8</v>
      </c>
      <c r="D404" s="20"/>
      <c r="E404" s="20"/>
      <c r="F404" s="20">
        <v>-22.74</v>
      </c>
      <c r="G404" s="20">
        <v>13.9</v>
      </c>
      <c r="I404" s="20"/>
      <c r="J404" s="20"/>
      <c r="K404" s="20">
        <v>201.0</v>
      </c>
      <c r="L404" s="20" t="s">
        <v>17</v>
      </c>
      <c r="M404" s="20">
        <v>-33.94</v>
      </c>
      <c r="N404" s="20">
        <v>-39.0</v>
      </c>
      <c r="P404" s="20">
        <v>-35.74</v>
      </c>
      <c r="Q404" s="20">
        <v>-23.2</v>
      </c>
      <c r="AG404" s="20">
        <v>402.0</v>
      </c>
      <c r="AH404" s="20" t="s">
        <v>14</v>
      </c>
      <c r="AI404" s="20">
        <v>-3.11</v>
      </c>
      <c r="AJ404" s="20">
        <v>8.13</v>
      </c>
      <c r="AM404" s="20">
        <v>202.0</v>
      </c>
      <c r="AN404" s="20" t="s">
        <v>17</v>
      </c>
      <c r="AO404" s="20">
        <v>-20.09</v>
      </c>
      <c r="AP404" s="20">
        <v>-8.22</v>
      </c>
      <c r="AS404" s="20">
        <v>201.0</v>
      </c>
      <c r="AT404" s="20" t="s">
        <v>17</v>
      </c>
      <c r="AU404" s="20">
        <v>12.28</v>
      </c>
      <c r="AV404" s="20">
        <v>-34.18</v>
      </c>
      <c r="BE404" s="20">
        <v>402.0</v>
      </c>
      <c r="BF404" s="20" t="s">
        <v>14</v>
      </c>
      <c r="BG404" s="20">
        <v>30.73</v>
      </c>
      <c r="BH404" s="20">
        <v>3.64</v>
      </c>
      <c r="BM404" s="20">
        <v>88.11</v>
      </c>
      <c r="BN404" s="20">
        <v>3.9</v>
      </c>
      <c r="BW404" s="20">
        <v>-50.79</v>
      </c>
      <c r="BX404" s="20">
        <v>-33.7</v>
      </c>
      <c r="BZ404" s="20">
        <v>-26.0</v>
      </c>
      <c r="CA404" s="20">
        <v>64.24</v>
      </c>
      <c r="CI404" s="20">
        <v>-25.1</v>
      </c>
      <c r="CJ404" s="20">
        <v>-36.71</v>
      </c>
      <c r="CO404" s="20">
        <v>-5.58</v>
      </c>
      <c r="CP404" s="20">
        <v>-25.74</v>
      </c>
    </row>
    <row r="405">
      <c r="A405" s="20">
        <v>43.73</v>
      </c>
      <c r="B405" s="20">
        <v>130.76</v>
      </c>
      <c r="D405" s="20"/>
      <c r="E405" s="20"/>
      <c r="F405" s="20">
        <v>20.39</v>
      </c>
      <c r="G405" s="20">
        <v>8.03</v>
      </c>
      <c r="I405" s="20"/>
      <c r="J405" s="20"/>
      <c r="K405" s="20">
        <v>202.0</v>
      </c>
      <c r="L405" s="20" t="s">
        <v>14</v>
      </c>
      <c r="M405" s="20">
        <v>-5.74</v>
      </c>
      <c r="N405" s="20">
        <v>31.56</v>
      </c>
      <c r="P405" s="20">
        <v>9.18</v>
      </c>
      <c r="Q405" s="20">
        <v>25.95</v>
      </c>
      <c r="AG405" s="20">
        <v>403.0</v>
      </c>
      <c r="AH405" s="20" t="s">
        <v>14</v>
      </c>
      <c r="AI405" s="20">
        <v>-15.31</v>
      </c>
      <c r="AJ405" s="20">
        <v>6.33</v>
      </c>
      <c r="AM405" s="20">
        <v>203.0</v>
      </c>
      <c r="AN405" s="20" t="s">
        <v>14</v>
      </c>
      <c r="AO405" s="20">
        <v>-16.92</v>
      </c>
      <c r="AP405" s="20">
        <v>-36.89</v>
      </c>
      <c r="AS405" s="20">
        <v>202.0</v>
      </c>
      <c r="AT405" s="20" t="s">
        <v>14</v>
      </c>
      <c r="AU405" s="20">
        <v>-34.53</v>
      </c>
      <c r="AV405" s="20">
        <v>-22.53</v>
      </c>
      <c r="BE405" s="20">
        <v>403.0</v>
      </c>
      <c r="BF405" s="20" t="s">
        <v>14</v>
      </c>
      <c r="BG405" s="20">
        <v>18.88</v>
      </c>
      <c r="BH405" s="20">
        <v>4.23</v>
      </c>
      <c r="BM405" s="20">
        <v>83.36</v>
      </c>
      <c r="BN405" s="20">
        <v>133.7</v>
      </c>
      <c r="BW405" s="20">
        <v>-48.31</v>
      </c>
      <c r="BX405" s="20">
        <v>-27.11</v>
      </c>
      <c r="BZ405" s="20">
        <v>-22.09</v>
      </c>
      <c r="CA405" s="20">
        <v>8.5</v>
      </c>
      <c r="CI405" s="20">
        <v>-47.15</v>
      </c>
      <c r="CJ405" s="20">
        <v>-57.62</v>
      </c>
      <c r="CO405" s="20">
        <v>-19.94</v>
      </c>
      <c r="CP405" s="20">
        <v>-32.54</v>
      </c>
    </row>
    <row r="406">
      <c r="A406" s="20">
        <v>-49.58</v>
      </c>
      <c r="B406" s="20">
        <v>66.01</v>
      </c>
      <c r="D406" s="20"/>
      <c r="E406" s="20"/>
      <c r="F406" s="20">
        <v>9.36</v>
      </c>
      <c r="G406" s="20">
        <v>6.59</v>
      </c>
      <c r="I406" s="20"/>
      <c r="J406" s="20"/>
      <c r="K406" s="20">
        <v>202.0</v>
      </c>
      <c r="L406" s="20" t="s">
        <v>17</v>
      </c>
      <c r="M406" s="20">
        <v>-33.5</v>
      </c>
      <c r="N406" s="20">
        <v>-38.09</v>
      </c>
      <c r="P406" s="20">
        <v>-3.96</v>
      </c>
      <c r="Q406" s="20">
        <v>-40.74</v>
      </c>
      <c r="AG406" s="20">
        <v>404.0</v>
      </c>
      <c r="AH406" s="20" t="s">
        <v>14</v>
      </c>
      <c r="AI406" s="20">
        <v>12.18</v>
      </c>
      <c r="AJ406" s="20">
        <v>15.16</v>
      </c>
      <c r="AM406" s="20">
        <v>203.0</v>
      </c>
      <c r="AN406" s="20" t="s">
        <v>17</v>
      </c>
      <c r="AO406" s="20">
        <v>-45.94</v>
      </c>
      <c r="AP406" s="20">
        <v>-5.01</v>
      </c>
      <c r="AS406" s="20">
        <v>202.0</v>
      </c>
      <c r="AT406" s="20" t="s">
        <v>17</v>
      </c>
      <c r="AU406" s="20">
        <v>-46.63</v>
      </c>
      <c r="AV406" s="20">
        <v>-50.59</v>
      </c>
      <c r="BE406" s="20">
        <v>404.0</v>
      </c>
      <c r="BF406" s="20" t="s">
        <v>14</v>
      </c>
      <c r="BG406" s="20">
        <v>6.53</v>
      </c>
      <c r="BH406" s="20">
        <v>29.52</v>
      </c>
      <c r="BM406" s="20">
        <v>64.35</v>
      </c>
      <c r="BN406" s="20">
        <v>163.96</v>
      </c>
      <c r="BW406" s="20">
        <v>-49.7</v>
      </c>
      <c r="BX406" s="20">
        <v>-19.85</v>
      </c>
      <c r="BZ406" s="20">
        <v>-41.1</v>
      </c>
      <c r="CA406" s="20">
        <v>22.99</v>
      </c>
      <c r="CI406" s="20">
        <v>-36.74</v>
      </c>
      <c r="CJ406" s="20">
        <v>-57.55</v>
      </c>
      <c r="CO406" s="20">
        <v>46.62</v>
      </c>
      <c r="CP406" s="20">
        <v>-23.07</v>
      </c>
    </row>
    <row r="407">
      <c r="A407" s="20">
        <v>-9.35</v>
      </c>
      <c r="B407" s="20">
        <v>115.25</v>
      </c>
      <c r="D407" s="20"/>
      <c r="E407" s="20"/>
      <c r="F407" s="20">
        <v>-20.38</v>
      </c>
      <c r="G407" s="20">
        <v>27.49</v>
      </c>
      <c r="I407" s="20"/>
      <c r="J407" s="20"/>
      <c r="K407" s="20">
        <v>203.0</v>
      </c>
      <c r="L407" s="20" t="s">
        <v>14</v>
      </c>
      <c r="M407" s="20">
        <v>-19.59</v>
      </c>
      <c r="N407" s="20">
        <v>14.48</v>
      </c>
      <c r="P407" s="20">
        <v>3.73</v>
      </c>
      <c r="Q407" s="20">
        <v>39.82</v>
      </c>
      <c r="AG407" s="20">
        <v>405.0</v>
      </c>
      <c r="AH407" s="20" t="s">
        <v>14</v>
      </c>
      <c r="AI407" s="20">
        <v>-6.73</v>
      </c>
      <c r="AJ407" s="20">
        <v>-5.75</v>
      </c>
      <c r="AM407" s="20">
        <v>204.0</v>
      </c>
      <c r="AN407" s="20" t="s">
        <v>14</v>
      </c>
      <c r="AO407" s="20">
        <v>-22.06</v>
      </c>
      <c r="AP407" s="20">
        <v>6.74</v>
      </c>
      <c r="AS407" s="20">
        <v>203.0</v>
      </c>
      <c r="AT407" s="20" t="s">
        <v>14</v>
      </c>
      <c r="AU407" s="20">
        <v>-18.63</v>
      </c>
      <c r="AV407" s="20">
        <v>-45.48</v>
      </c>
      <c r="BE407" s="20">
        <v>405.0</v>
      </c>
      <c r="BF407" s="20" t="s">
        <v>14</v>
      </c>
      <c r="BG407" s="20">
        <v>-4.67</v>
      </c>
      <c r="BH407" s="20">
        <v>30.37</v>
      </c>
      <c r="BM407" s="20">
        <v>25.47</v>
      </c>
      <c r="BN407" s="20">
        <v>120.32</v>
      </c>
      <c r="BW407" s="20">
        <v>-44.75</v>
      </c>
      <c r="BX407" s="20">
        <v>-31.66</v>
      </c>
      <c r="BZ407" s="20">
        <v>-51.12</v>
      </c>
      <c r="CA407" s="20">
        <v>18.21</v>
      </c>
      <c r="CI407" s="20">
        <v>-48.52</v>
      </c>
      <c r="CJ407" s="20">
        <v>-40.41</v>
      </c>
      <c r="CO407" s="20">
        <v>-16.81</v>
      </c>
      <c r="CP407" s="20">
        <v>-48.11</v>
      </c>
    </row>
    <row r="408">
      <c r="A408" s="20">
        <v>2.04</v>
      </c>
      <c r="B408" s="20">
        <v>186.2</v>
      </c>
      <c r="D408" s="20"/>
      <c r="E408" s="20"/>
      <c r="F408" s="20">
        <v>-9.96</v>
      </c>
      <c r="G408" s="20">
        <v>1.14</v>
      </c>
      <c r="I408" s="20"/>
      <c r="J408" s="20"/>
      <c r="K408" s="20">
        <v>203.0</v>
      </c>
      <c r="L408" s="20" t="s">
        <v>17</v>
      </c>
      <c r="M408" s="20">
        <v>9.15</v>
      </c>
      <c r="N408" s="20">
        <v>-35.77</v>
      </c>
      <c r="P408" s="20">
        <v>50.02</v>
      </c>
      <c r="Q408" s="20">
        <v>102.37</v>
      </c>
      <c r="AG408" s="20">
        <v>406.0</v>
      </c>
      <c r="AH408" s="20" t="s">
        <v>14</v>
      </c>
      <c r="AI408" s="20">
        <v>-28.54</v>
      </c>
      <c r="AJ408" s="20">
        <v>-12.95</v>
      </c>
      <c r="AM408" s="20">
        <v>204.0</v>
      </c>
      <c r="AN408" s="20" t="s">
        <v>17</v>
      </c>
      <c r="AO408" s="20">
        <v>-23.35</v>
      </c>
      <c r="AP408" s="20">
        <v>-3.9</v>
      </c>
      <c r="AS408" s="20">
        <v>203.0</v>
      </c>
      <c r="AT408" s="20" t="s">
        <v>17</v>
      </c>
      <c r="AU408" s="20">
        <v>-26.51</v>
      </c>
      <c r="AV408" s="20">
        <v>-39.18</v>
      </c>
      <c r="BE408" s="20">
        <v>406.0</v>
      </c>
      <c r="BF408" s="20" t="s">
        <v>14</v>
      </c>
      <c r="BG408" s="20">
        <v>12.93</v>
      </c>
      <c r="BH408" s="20">
        <v>0.23</v>
      </c>
      <c r="BM408" s="20">
        <v>55.68</v>
      </c>
      <c r="BN408" s="20">
        <v>85.15</v>
      </c>
      <c r="BW408" s="20">
        <v>-48.9</v>
      </c>
      <c r="BX408" s="20">
        <v>-6.12</v>
      </c>
      <c r="BZ408" s="20">
        <v>-53.51</v>
      </c>
      <c r="CA408" s="20">
        <v>28.92</v>
      </c>
      <c r="CI408" s="20">
        <v>-53.05</v>
      </c>
      <c r="CJ408" s="20">
        <v>-58.89</v>
      </c>
      <c r="CO408" s="20">
        <v>1.72</v>
      </c>
      <c r="CP408" s="20">
        <v>-16.22</v>
      </c>
    </row>
    <row r="409">
      <c r="A409" s="20">
        <v>56.14</v>
      </c>
      <c r="B409" s="20">
        <v>60.58</v>
      </c>
      <c r="D409" s="20"/>
      <c r="E409" s="20"/>
      <c r="F409" s="20">
        <v>-12.89</v>
      </c>
      <c r="G409" s="20">
        <v>2.61</v>
      </c>
      <c r="I409" s="20"/>
      <c r="J409" s="20"/>
      <c r="K409" s="20">
        <v>204.0</v>
      </c>
      <c r="L409" s="20" t="s">
        <v>14</v>
      </c>
      <c r="M409" s="20">
        <v>15.74</v>
      </c>
      <c r="N409" s="20">
        <v>37.9</v>
      </c>
      <c r="P409" s="20">
        <v>-11.14</v>
      </c>
      <c r="Q409" s="20">
        <v>-4.85</v>
      </c>
      <c r="AG409" s="20">
        <v>407.0</v>
      </c>
      <c r="AH409" s="20" t="s">
        <v>14</v>
      </c>
      <c r="AI409" s="20">
        <v>-4.89</v>
      </c>
      <c r="AJ409" s="20">
        <v>-12.19</v>
      </c>
      <c r="AM409" s="20">
        <v>205.0</v>
      </c>
      <c r="AN409" s="20" t="s">
        <v>14</v>
      </c>
      <c r="AO409" s="20">
        <v>-17.87</v>
      </c>
      <c r="AP409" s="20">
        <v>-32.01</v>
      </c>
      <c r="AS409" s="20">
        <v>204.0</v>
      </c>
      <c r="AT409" s="20" t="s">
        <v>14</v>
      </c>
      <c r="AU409" s="20">
        <v>11.84</v>
      </c>
      <c r="AV409" s="20">
        <v>-55.87</v>
      </c>
      <c r="BE409" s="20">
        <v>407.0</v>
      </c>
      <c r="BF409" s="20" t="s">
        <v>14</v>
      </c>
      <c r="BG409" s="20">
        <v>-26.7</v>
      </c>
      <c r="BH409" s="20">
        <v>17.0</v>
      </c>
      <c r="BM409" s="20">
        <v>52.13</v>
      </c>
      <c r="BN409" s="20">
        <v>98.54</v>
      </c>
      <c r="BW409" s="20">
        <v>-54.57</v>
      </c>
      <c r="BX409" s="20">
        <v>-22.29</v>
      </c>
      <c r="BZ409" s="20">
        <v>-50.05</v>
      </c>
      <c r="CA409" s="20">
        <v>47.51</v>
      </c>
      <c r="CI409" s="20">
        <v>-35.57</v>
      </c>
      <c r="CJ409" s="20">
        <v>-48.96</v>
      </c>
      <c r="CO409" s="20">
        <v>27.96</v>
      </c>
      <c r="CP409" s="20">
        <v>-45.68</v>
      </c>
    </row>
    <row r="410">
      <c r="A410" s="20">
        <v>20.22</v>
      </c>
      <c r="B410" s="20">
        <v>137.85</v>
      </c>
      <c r="D410" s="20"/>
      <c r="E410" s="20"/>
      <c r="F410" s="20">
        <v>-35.33</v>
      </c>
      <c r="G410" s="20">
        <v>14.44</v>
      </c>
      <c r="I410" s="20"/>
      <c r="J410" s="20"/>
      <c r="K410" s="20">
        <v>204.0</v>
      </c>
      <c r="L410" s="20" t="s">
        <v>17</v>
      </c>
      <c r="M410" s="20">
        <v>-33.87</v>
      </c>
      <c r="N410" s="20">
        <v>11.02</v>
      </c>
      <c r="P410" s="20">
        <v>27.25</v>
      </c>
      <c r="Q410" s="20">
        <v>53.44</v>
      </c>
      <c r="AG410" s="20">
        <v>408.0</v>
      </c>
      <c r="AH410" s="20" t="s">
        <v>14</v>
      </c>
      <c r="AI410" s="20">
        <v>-3.99</v>
      </c>
      <c r="AJ410" s="20">
        <v>-19.12</v>
      </c>
      <c r="AM410" s="20">
        <v>205.0</v>
      </c>
      <c r="AN410" s="20" t="s">
        <v>17</v>
      </c>
      <c r="AO410" s="20">
        <v>42.49</v>
      </c>
      <c r="AP410" s="20">
        <v>-35.8</v>
      </c>
      <c r="AS410" s="20">
        <v>204.0</v>
      </c>
      <c r="AT410" s="20" t="s">
        <v>17</v>
      </c>
      <c r="AU410" s="20">
        <v>-26.35</v>
      </c>
      <c r="AV410" s="20">
        <v>-42.99</v>
      </c>
      <c r="BE410" s="20">
        <v>408.0</v>
      </c>
      <c r="BF410" s="20" t="s">
        <v>14</v>
      </c>
      <c r="BG410" s="20">
        <v>-21.01</v>
      </c>
      <c r="BH410" s="20">
        <v>13.72</v>
      </c>
      <c r="BM410" s="20">
        <v>-49.6</v>
      </c>
      <c r="BN410" s="20">
        <v>71.88</v>
      </c>
      <c r="BW410" s="20">
        <v>-43.93</v>
      </c>
      <c r="BX410" s="20">
        <v>-25.93</v>
      </c>
      <c r="BZ410" s="20">
        <v>-49.65</v>
      </c>
      <c r="CA410" s="20">
        <v>-11.89</v>
      </c>
      <c r="CI410" s="20">
        <v>-27.94</v>
      </c>
      <c r="CJ410" s="20">
        <v>-47.61</v>
      </c>
      <c r="CO410" s="20">
        <v>42.05</v>
      </c>
      <c r="CP410" s="20">
        <v>-45.56</v>
      </c>
    </row>
    <row r="411">
      <c r="A411" s="20">
        <v>52.51</v>
      </c>
      <c r="B411" s="20">
        <v>119.1</v>
      </c>
      <c r="D411" s="20"/>
      <c r="E411" s="20"/>
      <c r="F411" s="20">
        <v>7.86</v>
      </c>
      <c r="G411" s="20">
        <v>5.33</v>
      </c>
      <c r="I411" s="20"/>
      <c r="J411" s="20"/>
      <c r="K411" s="20">
        <v>205.0</v>
      </c>
      <c r="L411" s="20" t="s">
        <v>14</v>
      </c>
      <c r="M411" s="20">
        <v>-30.0</v>
      </c>
      <c r="N411" s="20">
        <v>-21.9</v>
      </c>
      <c r="P411" s="20">
        <v>-17.21</v>
      </c>
      <c r="Q411" s="20">
        <v>17.7</v>
      </c>
      <c r="AG411" s="20">
        <v>409.0</v>
      </c>
      <c r="AH411" s="20" t="s">
        <v>14</v>
      </c>
      <c r="AI411" s="20">
        <v>12.89</v>
      </c>
      <c r="AJ411" s="20">
        <v>-13.81</v>
      </c>
      <c r="AM411" s="20">
        <v>206.0</v>
      </c>
      <c r="AN411" s="20" t="s">
        <v>14</v>
      </c>
      <c r="AO411" s="20">
        <v>-28.01</v>
      </c>
      <c r="AP411" s="20">
        <v>-41.55</v>
      </c>
      <c r="AS411" s="20">
        <v>205.0</v>
      </c>
      <c r="AT411" s="20" t="s">
        <v>14</v>
      </c>
      <c r="AU411" s="20">
        <v>-24.32</v>
      </c>
      <c r="AV411" s="20">
        <v>-48.02</v>
      </c>
      <c r="BE411" s="20">
        <v>409.0</v>
      </c>
      <c r="BF411" s="20" t="s">
        <v>14</v>
      </c>
      <c r="BG411" s="20">
        <v>-25.18</v>
      </c>
      <c r="BH411" s="20">
        <v>39.36</v>
      </c>
      <c r="BM411" s="20">
        <v>65.33</v>
      </c>
      <c r="BN411" s="20">
        <v>76.33</v>
      </c>
      <c r="BW411" s="20">
        <v>-29.09</v>
      </c>
      <c r="BX411" s="20">
        <v>38.86</v>
      </c>
      <c r="BZ411" s="20">
        <v>-38.79</v>
      </c>
      <c r="CA411" s="20">
        <v>58.44</v>
      </c>
      <c r="CI411" s="20">
        <v>-41.53</v>
      </c>
      <c r="CJ411" s="20">
        <v>-56.24</v>
      </c>
      <c r="CO411" s="20">
        <v>-27.96</v>
      </c>
      <c r="CP411" s="20">
        <v>-59.99</v>
      </c>
    </row>
    <row r="412">
      <c r="A412" s="20">
        <v>35.45</v>
      </c>
      <c r="B412" s="20">
        <v>65.01</v>
      </c>
      <c r="D412" s="20"/>
      <c r="E412" s="20"/>
      <c r="F412" s="20">
        <v>7.15</v>
      </c>
      <c r="G412" s="20">
        <v>33.27</v>
      </c>
      <c r="I412" s="20"/>
      <c r="J412" s="20"/>
      <c r="K412" s="20">
        <v>205.0</v>
      </c>
      <c r="L412" s="20" t="s">
        <v>17</v>
      </c>
      <c r="M412" s="20">
        <v>-31.73</v>
      </c>
      <c r="N412" s="20">
        <v>-34.97</v>
      </c>
      <c r="P412" s="20">
        <v>-9.11</v>
      </c>
      <c r="Q412" s="20">
        <v>83.29</v>
      </c>
      <c r="AG412" s="20">
        <v>410.0</v>
      </c>
      <c r="AH412" s="20" t="s">
        <v>14</v>
      </c>
      <c r="AI412" s="20">
        <v>-3.1</v>
      </c>
      <c r="AJ412" s="20">
        <v>-9.5</v>
      </c>
      <c r="AM412" s="20">
        <v>206.0</v>
      </c>
      <c r="AN412" s="20" t="s">
        <v>17</v>
      </c>
      <c r="AO412" s="20">
        <v>21.01</v>
      </c>
      <c r="AP412" s="20">
        <v>-22.5</v>
      </c>
      <c r="AS412" s="20">
        <v>205.0</v>
      </c>
      <c r="AT412" s="20" t="s">
        <v>17</v>
      </c>
      <c r="AU412" s="20">
        <v>-13.48</v>
      </c>
      <c r="AV412" s="20">
        <v>-34.67</v>
      </c>
      <c r="BE412" s="20">
        <v>410.0</v>
      </c>
      <c r="BF412" s="20" t="s">
        <v>14</v>
      </c>
      <c r="BG412" s="20">
        <v>7.07</v>
      </c>
      <c r="BH412" s="20">
        <v>-9.81</v>
      </c>
      <c r="BM412" s="20">
        <v>62.32</v>
      </c>
      <c r="BN412" s="20">
        <v>64.72</v>
      </c>
      <c r="BW412" s="20">
        <v>-32.68</v>
      </c>
      <c r="BX412" s="20">
        <v>-9.68</v>
      </c>
      <c r="BZ412" s="20">
        <v>-53.42</v>
      </c>
      <c r="CA412" s="20">
        <v>95.14</v>
      </c>
      <c r="CI412" s="20">
        <v>-41.94</v>
      </c>
      <c r="CJ412" s="20">
        <v>-63.21</v>
      </c>
      <c r="CO412" s="20">
        <v>1.59</v>
      </c>
      <c r="CP412" s="20">
        <v>-23.71</v>
      </c>
    </row>
    <row r="413">
      <c r="A413" s="20">
        <v>-45.09</v>
      </c>
      <c r="B413" s="20">
        <v>-15.06</v>
      </c>
      <c r="D413" s="20"/>
      <c r="E413" s="20"/>
      <c r="F413" s="20">
        <v>10.04</v>
      </c>
      <c r="G413" s="20">
        <v>70.12</v>
      </c>
      <c r="I413" s="20"/>
      <c r="J413" s="20"/>
      <c r="K413" s="20">
        <v>206.0</v>
      </c>
      <c r="L413" s="20" t="s">
        <v>14</v>
      </c>
      <c r="M413" s="20">
        <v>-13.82</v>
      </c>
      <c r="N413" s="20">
        <v>-11.75</v>
      </c>
      <c r="P413" s="20">
        <v>-25.13</v>
      </c>
      <c r="Q413" s="20">
        <v>8.48</v>
      </c>
      <c r="AG413" s="20">
        <v>411.0</v>
      </c>
      <c r="AH413" s="20" t="s">
        <v>14</v>
      </c>
      <c r="AI413" s="20">
        <v>-7.94</v>
      </c>
      <c r="AJ413" s="20">
        <v>-9.99</v>
      </c>
      <c r="AM413" s="20">
        <v>207.0</v>
      </c>
      <c r="AN413" s="20" t="s">
        <v>14</v>
      </c>
      <c r="AO413" s="20">
        <v>-19.67</v>
      </c>
      <c r="AP413" s="20">
        <v>-41.27</v>
      </c>
      <c r="AS413" s="20">
        <v>206.0</v>
      </c>
      <c r="AT413" s="20" t="s">
        <v>14</v>
      </c>
      <c r="AU413" s="20">
        <v>-12.94</v>
      </c>
      <c r="AV413" s="20">
        <v>-53.07</v>
      </c>
      <c r="BE413" s="20">
        <v>411.0</v>
      </c>
      <c r="BF413" s="20" t="s">
        <v>14</v>
      </c>
      <c r="BG413" s="20">
        <v>3.9</v>
      </c>
      <c r="BH413" s="20">
        <v>3.31</v>
      </c>
      <c r="BM413" s="20">
        <v>58.38</v>
      </c>
      <c r="BN413" s="20">
        <v>123.11</v>
      </c>
      <c r="BW413" s="20">
        <v>-39.09</v>
      </c>
      <c r="BX413" s="20">
        <v>17.09</v>
      </c>
      <c r="BZ413" s="20">
        <v>-59.83</v>
      </c>
      <c r="CA413" s="20">
        <v>29.17</v>
      </c>
      <c r="CI413" s="20">
        <v>-57.96</v>
      </c>
      <c r="CJ413" s="20">
        <v>-57.47</v>
      </c>
      <c r="CO413" s="20">
        <v>16.07</v>
      </c>
      <c r="CP413" s="20">
        <v>-36.2</v>
      </c>
    </row>
    <row r="414">
      <c r="A414" s="20">
        <v>-14.69</v>
      </c>
      <c r="B414" s="20">
        <v>12.84</v>
      </c>
      <c r="D414" s="20"/>
      <c r="E414" s="20"/>
      <c r="F414" s="20">
        <v>-0.74</v>
      </c>
      <c r="G414" s="20">
        <v>0.52</v>
      </c>
      <c r="I414" s="20"/>
      <c r="J414" s="20"/>
      <c r="K414" s="20">
        <v>206.0</v>
      </c>
      <c r="L414" s="20" t="s">
        <v>17</v>
      </c>
      <c r="M414" s="20">
        <v>-40.07</v>
      </c>
      <c r="N414" s="20">
        <v>-33.96</v>
      </c>
      <c r="P414" s="20">
        <v>37.16</v>
      </c>
      <c r="Q414" s="20">
        <v>41.0</v>
      </c>
      <c r="AG414" s="20">
        <v>412.0</v>
      </c>
      <c r="AH414" s="20" t="s">
        <v>14</v>
      </c>
      <c r="AI414" s="20">
        <v>-5.57</v>
      </c>
      <c r="AJ414" s="20">
        <v>-21.45</v>
      </c>
      <c r="AM414" s="20">
        <v>207.0</v>
      </c>
      <c r="AN414" s="20" t="s">
        <v>17</v>
      </c>
      <c r="AO414" s="20">
        <v>30.6</v>
      </c>
      <c r="AP414" s="20">
        <v>-28.19</v>
      </c>
      <c r="AS414" s="20">
        <v>206.0</v>
      </c>
      <c r="AT414" s="20" t="s">
        <v>17</v>
      </c>
      <c r="AU414" s="20">
        <v>8.42</v>
      </c>
      <c r="AV414" s="20">
        <v>-47.35</v>
      </c>
      <c r="BE414" s="20">
        <v>412.0</v>
      </c>
      <c r="BF414" s="20" t="s">
        <v>14</v>
      </c>
      <c r="BG414" s="20">
        <v>-30.54</v>
      </c>
      <c r="BH414" s="20">
        <v>48.53</v>
      </c>
      <c r="BM414" s="20">
        <v>92.44</v>
      </c>
      <c r="BN414" s="20">
        <v>155.95</v>
      </c>
      <c r="BW414" s="20">
        <v>0.12</v>
      </c>
      <c r="BX414" s="20">
        <v>-5.69</v>
      </c>
      <c r="BZ414" s="20">
        <v>-68.31</v>
      </c>
      <c r="CA414" s="20">
        <v>81.8</v>
      </c>
      <c r="CI414" s="20">
        <v>-41.41</v>
      </c>
      <c r="CJ414" s="20">
        <v>-47.54</v>
      </c>
      <c r="CO414" s="20">
        <v>-4.01</v>
      </c>
      <c r="CP414" s="20">
        <v>-56.74</v>
      </c>
    </row>
    <row r="415">
      <c r="A415" s="20">
        <v>12.01</v>
      </c>
      <c r="B415" s="20">
        <v>49.13</v>
      </c>
      <c r="D415" s="20"/>
      <c r="E415" s="20"/>
      <c r="F415" s="20">
        <v>-36.8</v>
      </c>
      <c r="G415" s="20">
        <v>42.64</v>
      </c>
      <c r="I415" s="20"/>
      <c r="J415" s="20"/>
      <c r="K415" s="20">
        <v>207.0</v>
      </c>
      <c r="L415" s="20" t="s">
        <v>14</v>
      </c>
      <c r="M415" s="20">
        <v>-18.23</v>
      </c>
      <c r="N415" s="20">
        <v>75.16</v>
      </c>
      <c r="P415" s="20">
        <v>125.26</v>
      </c>
      <c r="Q415" s="20">
        <v>255.83</v>
      </c>
      <c r="AG415" s="20">
        <v>413.0</v>
      </c>
      <c r="AH415" s="20" t="s">
        <v>14</v>
      </c>
      <c r="AI415" s="20">
        <v>1.73</v>
      </c>
      <c r="AJ415" s="20">
        <v>-11.75</v>
      </c>
      <c r="AM415" s="20">
        <v>208.0</v>
      </c>
      <c r="AN415" s="20" t="s">
        <v>14</v>
      </c>
      <c r="AO415" s="20">
        <v>-35.69</v>
      </c>
      <c r="AP415" s="20">
        <v>-42.79</v>
      </c>
      <c r="AS415" s="20">
        <v>207.0</v>
      </c>
      <c r="AT415" s="20" t="s">
        <v>14</v>
      </c>
      <c r="AU415" s="20">
        <v>-5.09</v>
      </c>
      <c r="AV415" s="20">
        <v>-7.02</v>
      </c>
      <c r="BE415" s="20">
        <v>413.0</v>
      </c>
      <c r="BF415" s="20" t="s">
        <v>14</v>
      </c>
      <c r="BG415" s="20">
        <v>9.43</v>
      </c>
      <c r="BH415" s="20">
        <v>-6.78</v>
      </c>
      <c r="BM415" s="20">
        <v>100.18</v>
      </c>
      <c r="BN415" s="20">
        <v>108.05</v>
      </c>
      <c r="BW415" s="20">
        <v>-25.47</v>
      </c>
      <c r="BX415" s="20">
        <v>9.95</v>
      </c>
      <c r="BZ415" s="20">
        <v>-53.23</v>
      </c>
      <c r="CA415" s="20">
        <v>54.39</v>
      </c>
      <c r="CI415" s="20">
        <v>-34.34</v>
      </c>
      <c r="CJ415" s="20">
        <v>-51.86</v>
      </c>
      <c r="CO415" s="20">
        <v>-50.09</v>
      </c>
      <c r="CP415" s="20">
        <v>-51.84</v>
      </c>
    </row>
    <row r="416">
      <c r="A416" s="20">
        <v>-38.3</v>
      </c>
      <c r="B416" s="20">
        <v>141.25</v>
      </c>
      <c r="D416" s="20"/>
      <c r="E416" s="20"/>
      <c r="F416" s="20">
        <v>-26.57</v>
      </c>
      <c r="G416" s="20">
        <v>6.59</v>
      </c>
      <c r="I416" s="20"/>
      <c r="J416" s="20"/>
      <c r="K416" s="20">
        <v>207.0</v>
      </c>
      <c r="L416" s="20" t="s">
        <v>17</v>
      </c>
      <c r="M416" s="20">
        <v>-31.63</v>
      </c>
      <c r="N416" s="20">
        <v>9.39</v>
      </c>
      <c r="P416" s="20">
        <v>135.37</v>
      </c>
      <c r="Q416" s="20">
        <v>182.11</v>
      </c>
      <c r="AG416" s="20">
        <v>414.0</v>
      </c>
      <c r="AH416" s="20" t="s">
        <v>14</v>
      </c>
      <c r="AI416" s="20">
        <v>-16.58</v>
      </c>
      <c r="AJ416" s="20">
        <v>-18.82</v>
      </c>
      <c r="AM416" s="20">
        <v>208.0</v>
      </c>
      <c r="AN416" s="20" t="s">
        <v>17</v>
      </c>
      <c r="AO416" s="20">
        <v>-2.97</v>
      </c>
      <c r="AP416" s="20">
        <v>-27.39</v>
      </c>
      <c r="AS416" s="20">
        <v>207.0</v>
      </c>
      <c r="AT416" s="20" t="s">
        <v>17</v>
      </c>
      <c r="AU416" s="20">
        <v>-2.08</v>
      </c>
      <c r="AV416" s="20">
        <v>-35.82</v>
      </c>
      <c r="BE416" s="20">
        <v>414.0</v>
      </c>
      <c r="BF416" s="20" t="s">
        <v>14</v>
      </c>
      <c r="BG416" s="20">
        <v>6.16</v>
      </c>
      <c r="BH416" s="20">
        <v>4.57</v>
      </c>
      <c r="BM416" s="20">
        <v>151.31</v>
      </c>
      <c r="BN416" s="20">
        <v>54.46</v>
      </c>
      <c r="BW416" s="20">
        <v>-31.39</v>
      </c>
      <c r="BX416" s="20">
        <v>-19.61</v>
      </c>
      <c r="BZ416" s="20">
        <v>-56.82</v>
      </c>
      <c r="CA416" s="20">
        <v>1.3</v>
      </c>
      <c r="CI416" s="20">
        <v>-34.62</v>
      </c>
      <c r="CJ416" s="20">
        <v>-52.54</v>
      </c>
      <c r="CO416" s="20">
        <v>62.49</v>
      </c>
      <c r="CP416" s="20">
        <v>-14.37</v>
      </c>
    </row>
    <row r="417">
      <c r="A417" s="20">
        <v>-42.97</v>
      </c>
      <c r="B417" s="20">
        <v>48.48</v>
      </c>
      <c r="D417" s="20"/>
      <c r="E417" s="20"/>
      <c r="F417" s="20">
        <v>1.71</v>
      </c>
      <c r="G417" s="20">
        <v>1.7</v>
      </c>
      <c r="I417" s="20"/>
      <c r="J417" s="20"/>
      <c r="K417" s="20">
        <v>208.0</v>
      </c>
      <c r="L417" s="20" t="s">
        <v>14</v>
      </c>
      <c r="M417" s="20">
        <v>-0.35</v>
      </c>
      <c r="N417" s="20">
        <v>89.3</v>
      </c>
      <c r="P417" s="20">
        <v>21.44</v>
      </c>
      <c r="Q417" s="20">
        <v>33.05</v>
      </c>
      <c r="AG417" s="20">
        <v>415.0</v>
      </c>
      <c r="AH417" s="20" t="s">
        <v>14</v>
      </c>
      <c r="AI417" s="20">
        <v>-6.6</v>
      </c>
      <c r="AJ417" s="20">
        <v>2.15</v>
      </c>
      <c r="AM417" s="20">
        <v>209.0</v>
      </c>
      <c r="AN417" s="20" t="s">
        <v>14</v>
      </c>
      <c r="AO417" s="20">
        <v>-7.46</v>
      </c>
      <c r="AP417" s="20">
        <v>-32.47</v>
      </c>
      <c r="AS417" s="20">
        <v>208.0</v>
      </c>
      <c r="AT417" s="20" t="s">
        <v>14</v>
      </c>
      <c r="AU417" s="20">
        <v>1.56</v>
      </c>
      <c r="AV417" s="20">
        <v>-41.36</v>
      </c>
      <c r="BE417" s="20">
        <v>415.0</v>
      </c>
      <c r="BF417" s="20" t="s">
        <v>14</v>
      </c>
      <c r="BG417" s="20">
        <v>-32.06</v>
      </c>
      <c r="BH417" s="20">
        <v>10.95</v>
      </c>
      <c r="BM417" s="20">
        <v>43.13</v>
      </c>
      <c r="BN417" s="20">
        <v>122.07</v>
      </c>
      <c r="BW417" s="20">
        <v>-56.48</v>
      </c>
      <c r="BX417" s="20">
        <v>-14.84</v>
      </c>
      <c r="BZ417" s="20">
        <v>-56.69</v>
      </c>
      <c r="CA417" s="20">
        <v>44.71</v>
      </c>
      <c r="CI417" s="20">
        <v>-47.48</v>
      </c>
      <c r="CJ417" s="20">
        <v>-60.3</v>
      </c>
      <c r="CO417" s="20">
        <v>9.17</v>
      </c>
      <c r="CP417" s="20">
        <v>-30.01</v>
      </c>
    </row>
    <row r="418">
      <c r="A418" s="20">
        <v>-43.36</v>
      </c>
      <c r="B418" s="20">
        <v>53.35</v>
      </c>
      <c r="D418" s="20"/>
      <c r="E418" s="20"/>
      <c r="F418" s="20">
        <v>8.1</v>
      </c>
      <c r="G418" s="20">
        <v>37.61</v>
      </c>
      <c r="I418" s="20"/>
      <c r="J418" s="20"/>
      <c r="K418" s="20">
        <v>208.0</v>
      </c>
      <c r="L418" s="20" t="s">
        <v>17</v>
      </c>
      <c r="M418" s="20">
        <v>4.68</v>
      </c>
      <c r="N418" s="20">
        <v>62.84</v>
      </c>
      <c r="P418" s="20">
        <v>63.04</v>
      </c>
      <c r="Q418" s="20">
        <v>76.21</v>
      </c>
      <c r="AG418" s="20">
        <v>416.0</v>
      </c>
      <c r="AH418" s="20" t="s">
        <v>14</v>
      </c>
      <c r="AI418" s="20">
        <v>-23.87</v>
      </c>
      <c r="AJ418" s="20">
        <v>-12.62</v>
      </c>
      <c r="AM418" s="20">
        <v>209.0</v>
      </c>
      <c r="AN418" s="20" t="s">
        <v>17</v>
      </c>
      <c r="AO418" s="20">
        <v>-5.19</v>
      </c>
      <c r="AP418" s="20">
        <v>-15.58</v>
      </c>
      <c r="AS418" s="20">
        <v>208.0</v>
      </c>
      <c r="AT418" s="20" t="s">
        <v>17</v>
      </c>
      <c r="AU418" s="20">
        <v>-24.98</v>
      </c>
      <c r="AV418" s="20">
        <v>-62.36</v>
      </c>
      <c r="BE418" s="20">
        <v>416.0</v>
      </c>
      <c r="BF418" s="20" t="s">
        <v>14</v>
      </c>
      <c r="BG418" s="20">
        <v>-10.05</v>
      </c>
      <c r="BH418" s="20">
        <v>16.54</v>
      </c>
      <c r="BM418" s="20">
        <v>63.47</v>
      </c>
      <c r="BN418" s="20">
        <v>163.79</v>
      </c>
      <c r="BW418" s="20">
        <v>-60.31</v>
      </c>
      <c r="BX418" s="20">
        <v>-26.64</v>
      </c>
      <c r="BZ418" s="20">
        <v>-65.37</v>
      </c>
      <c r="CA418" s="20">
        <v>69.39</v>
      </c>
      <c r="CI418" s="20">
        <v>-50.18</v>
      </c>
      <c r="CJ418" s="20">
        <v>-59.53</v>
      </c>
      <c r="CO418" s="20">
        <v>-21.95</v>
      </c>
      <c r="CP418" s="20">
        <v>-28.36</v>
      </c>
    </row>
    <row r="419">
      <c r="A419" s="20">
        <v>57.47</v>
      </c>
      <c r="B419" s="20">
        <v>67.9</v>
      </c>
      <c r="D419" s="20"/>
      <c r="E419" s="20"/>
      <c r="F419" s="20">
        <v>5.35</v>
      </c>
      <c r="G419" s="20">
        <v>49.88</v>
      </c>
      <c r="I419" s="20"/>
      <c r="J419" s="20"/>
      <c r="K419" s="20">
        <v>209.0</v>
      </c>
      <c r="L419" s="20" t="s">
        <v>14</v>
      </c>
      <c r="M419" s="20">
        <v>23.47</v>
      </c>
      <c r="N419" s="20">
        <v>-46.27</v>
      </c>
      <c r="P419" s="20">
        <v>52.38</v>
      </c>
      <c r="Q419" s="20">
        <v>47.39</v>
      </c>
      <c r="AG419" s="20">
        <v>417.0</v>
      </c>
      <c r="AH419" s="20" t="s">
        <v>14</v>
      </c>
      <c r="AI419" s="20">
        <v>3.28</v>
      </c>
      <c r="AJ419" s="20">
        <v>21.36</v>
      </c>
      <c r="AM419" s="20">
        <v>210.0</v>
      </c>
      <c r="AN419" s="20" t="s">
        <v>14</v>
      </c>
      <c r="AO419" s="20">
        <v>-1.91</v>
      </c>
      <c r="AP419" s="20">
        <v>-38.85</v>
      </c>
      <c r="AS419" s="20">
        <v>209.0</v>
      </c>
      <c r="AT419" s="20" t="s">
        <v>14</v>
      </c>
      <c r="AU419" s="20">
        <v>-22.03</v>
      </c>
      <c r="AV419" s="20">
        <v>-18.84</v>
      </c>
      <c r="BE419" s="20">
        <v>417.0</v>
      </c>
      <c r="BF419" s="20" t="s">
        <v>14</v>
      </c>
      <c r="BG419" s="20">
        <v>-2.68</v>
      </c>
      <c r="BH419" s="20">
        <v>16.68</v>
      </c>
      <c r="BM419" s="20">
        <v>60.83</v>
      </c>
      <c r="BN419" s="20">
        <v>122.14</v>
      </c>
      <c r="BW419" s="20">
        <v>-46.12</v>
      </c>
      <c r="BX419" s="20">
        <v>-5.08</v>
      </c>
      <c r="BZ419" s="20">
        <v>-43.62</v>
      </c>
      <c r="CA419" s="20">
        <v>32.13</v>
      </c>
      <c r="CI419" s="20">
        <v>-52.32</v>
      </c>
      <c r="CJ419" s="20">
        <v>-60.91</v>
      </c>
      <c r="CO419" s="20">
        <v>-4.89</v>
      </c>
      <c r="CP419" s="20">
        <v>-28.18</v>
      </c>
    </row>
    <row r="420">
      <c r="A420" s="20">
        <v>158.78</v>
      </c>
      <c r="B420" s="20">
        <v>141.81</v>
      </c>
      <c r="D420" s="20"/>
      <c r="E420" s="20"/>
      <c r="F420" s="20">
        <v>-40.87</v>
      </c>
      <c r="G420" s="20">
        <v>-4.95</v>
      </c>
      <c r="I420" s="20"/>
      <c r="J420" s="20"/>
      <c r="K420" s="20">
        <v>209.0</v>
      </c>
      <c r="L420" s="20" t="s">
        <v>17</v>
      </c>
      <c r="M420" s="20">
        <v>28.79</v>
      </c>
      <c r="N420" s="20">
        <v>-52.77</v>
      </c>
      <c r="P420" s="20">
        <v>92.47</v>
      </c>
      <c r="Q420" s="20">
        <v>111.23</v>
      </c>
      <c r="AG420" s="20">
        <v>418.0</v>
      </c>
      <c r="AH420" s="20" t="s">
        <v>14</v>
      </c>
      <c r="AI420" s="20">
        <v>-23.0</v>
      </c>
      <c r="AJ420" s="20">
        <v>-25.09</v>
      </c>
      <c r="AM420" s="20">
        <v>210.0</v>
      </c>
      <c r="AN420" s="20" t="s">
        <v>17</v>
      </c>
      <c r="AO420" s="20">
        <v>-26.11</v>
      </c>
      <c r="AP420" s="20">
        <v>-18.07</v>
      </c>
      <c r="AS420" s="20">
        <v>209.0</v>
      </c>
      <c r="AT420" s="20" t="s">
        <v>17</v>
      </c>
      <c r="AU420" s="20">
        <v>-7.84</v>
      </c>
      <c r="AV420" s="20">
        <v>-8.98</v>
      </c>
      <c r="BE420" s="20">
        <v>418.0</v>
      </c>
      <c r="BF420" s="20" t="s">
        <v>14</v>
      </c>
      <c r="BG420" s="20">
        <v>38.29</v>
      </c>
      <c r="BH420" s="20">
        <v>12.96</v>
      </c>
      <c r="BM420" s="20">
        <v>27.93</v>
      </c>
      <c r="BN420" s="20">
        <v>22.35</v>
      </c>
      <c r="BW420" s="20">
        <v>-41.83</v>
      </c>
      <c r="BX420" s="20">
        <v>-18.48</v>
      </c>
      <c r="BZ420" s="20">
        <v>-50.41</v>
      </c>
      <c r="CA420" s="20">
        <v>78.89</v>
      </c>
      <c r="CI420" s="20">
        <v>-33.05</v>
      </c>
      <c r="CJ420" s="20">
        <v>-61.3</v>
      </c>
      <c r="CO420" s="20">
        <v>4.65</v>
      </c>
      <c r="CP420" s="20">
        <v>-19.09</v>
      </c>
    </row>
    <row r="421">
      <c r="A421" s="20">
        <v>13.18</v>
      </c>
      <c r="B421" s="20">
        <v>14.96</v>
      </c>
      <c r="D421" s="20"/>
      <c r="E421" s="20"/>
      <c r="F421" s="20">
        <v>-35.89</v>
      </c>
      <c r="G421" s="20">
        <v>51.32</v>
      </c>
      <c r="I421" s="20"/>
      <c r="J421" s="20"/>
      <c r="K421" s="20">
        <v>210.0</v>
      </c>
      <c r="L421" s="20" t="s">
        <v>14</v>
      </c>
      <c r="M421" s="20">
        <v>-9.64</v>
      </c>
      <c r="N421" s="20">
        <v>-21.88</v>
      </c>
      <c r="P421" s="20">
        <v>53.56</v>
      </c>
      <c r="Q421" s="20">
        <v>73.63</v>
      </c>
      <c r="AG421" s="20">
        <v>419.0</v>
      </c>
      <c r="AH421" s="20" t="s">
        <v>14</v>
      </c>
      <c r="AI421" s="20">
        <v>-19.93</v>
      </c>
      <c r="AJ421" s="20">
        <v>-15.87</v>
      </c>
      <c r="AM421" s="20">
        <v>211.0</v>
      </c>
      <c r="AN421" s="20" t="s">
        <v>14</v>
      </c>
      <c r="AO421" s="20">
        <v>-7.02</v>
      </c>
      <c r="AP421" s="20">
        <v>-30.74</v>
      </c>
      <c r="AS421" s="20">
        <v>210.0</v>
      </c>
      <c r="AT421" s="20" t="s">
        <v>14</v>
      </c>
      <c r="AU421" s="20">
        <v>45.7</v>
      </c>
      <c r="AV421" s="20">
        <v>12.81</v>
      </c>
      <c r="BE421" s="20">
        <v>419.0</v>
      </c>
      <c r="BF421" s="20" t="s">
        <v>14</v>
      </c>
      <c r="BG421" s="20">
        <v>-20.05</v>
      </c>
      <c r="BH421" s="20">
        <v>-11.42</v>
      </c>
      <c r="BM421" s="20">
        <v>24.5</v>
      </c>
      <c r="BN421" s="20">
        <v>49.94</v>
      </c>
      <c r="BW421" s="20">
        <v>-38.48</v>
      </c>
      <c r="BX421" s="20">
        <v>-15.81</v>
      </c>
      <c r="BZ421" s="20">
        <v>-24.98</v>
      </c>
      <c r="CA421" s="20">
        <v>94.87</v>
      </c>
      <c r="CI421" s="20">
        <v>-52.69</v>
      </c>
      <c r="CJ421" s="20">
        <v>-65.14</v>
      </c>
      <c r="CO421" s="20">
        <v>-12.65</v>
      </c>
      <c r="CP421" s="20">
        <v>-44.03</v>
      </c>
    </row>
    <row r="422">
      <c r="A422" s="20">
        <v>124.62</v>
      </c>
      <c r="B422" s="20">
        <v>-19.6</v>
      </c>
      <c r="D422" s="20"/>
      <c r="E422" s="20"/>
      <c r="F422" s="20">
        <v>-28.92</v>
      </c>
      <c r="G422" s="20">
        <v>-9.18</v>
      </c>
      <c r="I422" s="20"/>
      <c r="J422" s="20"/>
      <c r="K422" s="20">
        <v>210.0</v>
      </c>
      <c r="L422" s="20" t="s">
        <v>17</v>
      </c>
      <c r="M422" s="20">
        <v>6.82</v>
      </c>
      <c r="N422" s="20">
        <v>-45.51</v>
      </c>
      <c r="P422" s="20">
        <v>5.74</v>
      </c>
      <c r="Q422" s="20">
        <v>40.07</v>
      </c>
      <c r="AG422" s="20">
        <v>420.0</v>
      </c>
      <c r="AH422" s="20" t="s">
        <v>14</v>
      </c>
      <c r="AI422" s="20">
        <v>-8.13</v>
      </c>
      <c r="AJ422" s="20">
        <v>-16.37</v>
      </c>
      <c r="AM422" s="20">
        <v>211.0</v>
      </c>
      <c r="AN422" s="20" t="s">
        <v>17</v>
      </c>
      <c r="AO422" s="20">
        <v>-55.45</v>
      </c>
      <c r="AP422" s="20">
        <v>-24.1</v>
      </c>
      <c r="AS422" s="20">
        <v>210.0</v>
      </c>
      <c r="AT422" s="20" t="s">
        <v>17</v>
      </c>
      <c r="AU422" s="20">
        <v>-18.47</v>
      </c>
      <c r="AV422" s="20">
        <v>-12.64</v>
      </c>
      <c r="BE422" s="20">
        <v>420.0</v>
      </c>
      <c r="BF422" s="20" t="s">
        <v>14</v>
      </c>
      <c r="BG422" s="20">
        <v>-3.45</v>
      </c>
      <c r="BH422" s="20">
        <v>10.34</v>
      </c>
      <c r="BM422" s="20">
        <v>92.79</v>
      </c>
      <c r="BN422" s="20">
        <v>236.25</v>
      </c>
      <c r="BW422" s="20">
        <v>-36.98</v>
      </c>
      <c r="BX422" s="20">
        <v>0.65</v>
      </c>
      <c r="BZ422" s="20">
        <v>-54.23</v>
      </c>
      <c r="CA422" s="20">
        <v>83.76</v>
      </c>
      <c r="CI422" s="20">
        <v>-46.21</v>
      </c>
      <c r="CJ422" s="20">
        <v>-60.84</v>
      </c>
      <c r="CO422" s="20">
        <v>10.11</v>
      </c>
      <c r="CP422" s="20">
        <v>-35.67</v>
      </c>
    </row>
    <row r="423">
      <c r="A423" s="20">
        <v>28.44</v>
      </c>
      <c r="B423" s="20">
        <v>61.87</v>
      </c>
      <c r="D423" s="20"/>
      <c r="E423" s="20"/>
      <c r="F423" s="20">
        <v>-2.3</v>
      </c>
      <c r="G423" s="20">
        <v>10.04</v>
      </c>
      <c r="I423" s="20"/>
      <c r="J423" s="20"/>
      <c r="K423" s="20">
        <v>211.0</v>
      </c>
      <c r="L423" s="20" t="s">
        <v>14</v>
      </c>
      <c r="M423" s="20">
        <v>6.46</v>
      </c>
      <c r="N423" s="20">
        <v>-9.77</v>
      </c>
      <c r="P423" s="20">
        <v>39.83</v>
      </c>
      <c r="Q423" s="20">
        <v>70.09</v>
      </c>
      <c r="AG423" s="20">
        <v>421.0</v>
      </c>
      <c r="AH423" s="20" t="s">
        <v>14</v>
      </c>
      <c r="AI423" s="20">
        <v>-13.51</v>
      </c>
      <c r="AJ423" s="20">
        <v>-17.86</v>
      </c>
      <c r="AM423" s="20">
        <v>212.0</v>
      </c>
      <c r="AN423" s="20" t="s">
        <v>14</v>
      </c>
      <c r="AO423" s="20">
        <v>-26.35</v>
      </c>
      <c r="AP423" s="20">
        <v>17.65</v>
      </c>
      <c r="AS423" s="20">
        <v>211.0</v>
      </c>
      <c r="AT423" s="20" t="s">
        <v>14</v>
      </c>
      <c r="AU423" s="20">
        <v>-30.83</v>
      </c>
      <c r="AV423" s="20">
        <v>-63.8</v>
      </c>
      <c r="BE423" s="20">
        <v>421.0</v>
      </c>
      <c r="BF423" s="20" t="s">
        <v>14</v>
      </c>
      <c r="BG423" s="20">
        <v>-12.06</v>
      </c>
      <c r="BH423" s="20">
        <v>-1.12</v>
      </c>
      <c r="BM423" s="20">
        <v>78.08</v>
      </c>
      <c r="BN423" s="20">
        <v>43.33</v>
      </c>
      <c r="BW423" s="20">
        <v>-3.54</v>
      </c>
      <c r="BX423" s="20">
        <v>-11.34</v>
      </c>
      <c r="BZ423" s="20">
        <v>-39.26</v>
      </c>
      <c r="CA423" s="20">
        <v>1.03</v>
      </c>
      <c r="CI423" s="20">
        <v>-42.77</v>
      </c>
      <c r="CJ423" s="20">
        <v>-64.15</v>
      </c>
      <c r="CO423" s="20">
        <v>-34.87</v>
      </c>
      <c r="CP423" s="20">
        <v>-44.66</v>
      </c>
    </row>
    <row r="424">
      <c r="A424" s="20">
        <v>-2.94</v>
      </c>
      <c r="B424" s="20">
        <v>-38.89</v>
      </c>
      <c r="D424" s="20"/>
      <c r="E424" s="20"/>
      <c r="F424" s="20">
        <v>-4.13</v>
      </c>
      <c r="G424" s="20">
        <v>31.22</v>
      </c>
      <c r="I424" s="20"/>
      <c r="J424" s="20"/>
      <c r="K424" s="20">
        <v>211.0</v>
      </c>
      <c r="L424" s="20" t="s">
        <v>17</v>
      </c>
      <c r="M424" s="20">
        <v>-26.85</v>
      </c>
      <c r="N424" s="20">
        <v>-15.38</v>
      </c>
      <c r="P424" s="20">
        <v>-12.75</v>
      </c>
      <c r="Q424" s="20">
        <v>49.79</v>
      </c>
      <c r="AG424" s="20">
        <v>422.0</v>
      </c>
      <c r="AH424" s="20" t="s">
        <v>14</v>
      </c>
      <c r="AI424" s="20">
        <v>21.02</v>
      </c>
      <c r="AJ424" s="20">
        <v>-10.96</v>
      </c>
      <c r="AM424" s="20">
        <v>212.0</v>
      </c>
      <c r="AN424" s="20" t="s">
        <v>17</v>
      </c>
      <c r="AO424" s="20">
        <v>-18.87</v>
      </c>
      <c r="AP424" s="20">
        <v>64.72</v>
      </c>
      <c r="AS424" s="20">
        <v>211.0</v>
      </c>
      <c r="AT424" s="20" t="s">
        <v>17</v>
      </c>
      <c r="AU424" s="20">
        <v>-33.83</v>
      </c>
      <c r="AV424" s="20">
        <v>-59.99</v>
      </c>
      <c r="BE424" s="20">
        <v>422.0</v>
      </c>
      <c r="BF424" s="20" t="s">
        <v>14</v>
      </c>
      <c r="BG424" s="20">
        <v>-19.55</v>
      </c>
      <c r="BH424" s="20">
        <v>11.61</v>
      </c>
      <c r="BM424" s="20">
        <v>84.0</v>
      </c>
      <c r="BN424" s="20">
        <v>-36.13</v>
      </c>
      <c r="BW424" s="20">
        <v>-20.67</v>
      </c>
      <c r="BX424" s="20">
        <v>-4.43</v>
      </c>
      <c r="BZ424" s="20">
        <v>-34.79</v>
      </c>
      <c r="CA424" s="20">
        <v>32.56</v>
      </c>
      <c r="CI424" s="20">
        <v>-53.81</v>
      </c>
      <c r="CJ424" s="20">
        <v>-59.16</v>
      </c>
      <c r="CO424" s="20">
        <v>-21.33</v>
      </c>
      <c r="CP424" s="20">
        <v>-16.95</v>
      </c>
    </row>
    <row r="425">
      <c r="A425" s="20">
        <v>-32.94</v>
      </c>
      <c r="B425" s="20">
        <v>-4.37</v>
      </c>
      <c r="D425" s="20"/>
      <c r="E425" s="20"/>
      <c r="F425" s="20">
        <v>-9.62</v>
      </c>
      <c r="G425" s="20">
        <v>38.1</v>
      </c>
      <c r="I425" s="20"/>
      <c r="J425" s="20"/>
      <c r="K425" s="20">
        <v>212.0</v>
      </c>
      <c r="L425" s="20" t="s">
        <v>14</v>
      </c>
      <c r="M425" s="20">
        <v>2.24</v>
      </c>
      <c r="N425" s="20">
        <v>29.54</v>
      </c>
      <c r="P425" s="20">
        <v>25.42</v>
      </c>
      <c r="Q425" s="20">
        <v>24.44</v>
      </c>
      <c r="AG425" s="20">
        <v>423.0</v>
      </c>
      <c r="AH425" s="20" t="s">
        <v>14</v>
      </c>
      <c r="AI425" s="20">
        <v>4.22</v>
      </c>
      <c r="AJ425" s="20">
        <v>-27.91</v>
      </c>
      <c r="AM425" s="20">
        <v>213.0</v>
      </c>
      <c r="AN425" s="20" t="s">
        <v>14</v>
      </c>
      <c r="AO425" s="20">
        <v>9.09</v>
      </c>
      <c r="AP425" s="20">
        <v>-27.81</v>
      </c>
      <c r="AS425" s="20">
        <v>212.0</v>
      </c>
      <c r="AT425" s="20" t="s">
        <v>14</v>
      </c>
      <c r="AU425" s="20">
        <v>-6.72</v>
      </c>
      <c r="AV425" s="20">
        <v>-41.49</v>
      </c>
      <c r="BE425" s="20">
        <v>423.0</v>
      </c>
      <c r="BF425" s="20" t="s">
        <v>14</v>
      </c>
      <c r="BG425" s="20">
        <v>-17.22</v>
      </c>
      <c r="BH425" s="20">
        <v>44.82</v>
      </c>
      <c r="BM425" s="20">
        <v>67.8</v>
      </c>
      <c r="BN425" s="20">
        <v>43.2</v>
      </c>
      <c r="BW425" s="20">
        <v>-33.83</v>
      </c>
      <c r="BX425" s="20">
        <v>-23.27</v>
      </c>
      <c r="BZ425" s="20">
        <v>-72.21</v>
      </c>
      <c r="CA425" s="20">
        <v>-13.74</v>
      </c>
      <c r="CI425" s="20">
        <v>-52.12</v>
      </c>
      <c r="CJ425" s="20">
        <v>-54.99</v>
      </c>
      <c r="CO425" s="20">
        <v>-5.04</v>
      </c>
      <c r="CP425" s="20">
        <v>-33.39</v>
      </c>
    </row>
    <row r="426">
      <c r="A426" s="20">
        <v>-21.64</v>
      </c>
      <c r="B426" s="20">
        <v>-66.28</v>
      </c>
      <c r="D426" s="20"/>
      <c r="E426" s="20"/>
      <c r="F426" s="20">
        <v>5.27</v>
      </c>
      <c r="G426" s="20">
        <v>18.59</v>
      </c>
      <c r="I426" s="20"/>
      <c r="J426" s="20"/>
      <c r="K426" s="20">
        <v>212.0</v>
      </c>
      <c r="L426" s="20" t="s">
        <v>17</v>
      </c>
      <c r="M426" s="20">
        <v>-25.37</v>
      </c>
      <c r="N426" s="20">
        <v>-11.51</v>
      </c>
      <c r="P426" s="20">
        <v>41.04</v>
      </c>
      <c r="Q426" s="20">
        <v>69.97</v>
      </c>
      <c r="AG426" s="20">
        <v>424.0</v>
      </c>
      <c r="AH426" s="20" t="s">
        <v>14</v>
      </c>
      <c r="AI426" s="20">
        <v>12.97</v>
      </c>
      <c r="AJ426" s="20">
        <v>-24.18</v>
      </c>
      <c r="AM426" s="20">
        <v>213.0</v>
      </c>
      <c r="AN426" s="20" t="s">
        <v>17</v>
      </c>
      <c r="AO426" s="20">
        <v>0.51</v>
      </c>
      <c r="AP426" s="20">
        <v>33.21</v>
      </c>
      <c r="AS426" s="20">
        <v>212.0</v>
      </c>
      <c r="AT426" s="20" t="s">
        <v>17</v>
      </c>
      <c r="AU426" s="20">
        <v>-41.63</v>
      </c>
      <c r="AV426" s="20">
        <v>-1.17</v>
      </c>
      <c r="BE426" s="20">
        <v>424.0</v>
      </c>
      <c r="BF426" s="20" t="s">
        <v>14</v>
      </c>
      <c r="BG426" s="20">
        <v>11.44</v>
      </c>
      <c r="BH426" s="20">
        <v>13.57</v>
      </c>
      <c r="BM426" s="20">
        <v>432.44</v>
      </c>
      <c r="BN426" s="20">
        <v>114.89</v>
      </c>
      <c r="BW426" s="20">
        <v>35.8</v>
      </c>
      <c r="BX426" s="20">
        <v>-3.13</v>
      </c>
      <c r="BZ426" s="20">
        <v>-73.37</v>
      </c>
      <c r="CA426" s="20">
        <v>10.68</v>
      </c>
      <c r="CI426" s="20">
        <v>-30.31</v>
      </c>
      <c r="CJ426" s="20">
        <v>-46.73</v>
      </c>
      <c r="CO426" s="20">
        <v>-11.65</v>
      </c>
      <c r="CP426" s="20">
        <v>-45.68</v>
      </c>
    </row>
    <row r="427">
      <c r="A427" s="20">
        <v>-4.22</v>
      </c>
      <c r="B427" s="20">
        <v>24.64</v>
      </c>
      <c r="D427" s="20"/>
      <c r="E427" s="20"/>
      <c r="F427" s="20">
        <v>-36.04</v>
      </c>
      <c r="G427" s="20">
        <v>12.91</v>
      </c>
      <c r="I427" s="20"/>
      <c r="J427" s="20"/>
      <c r="K427" s="20">
        <v>213.0</v>
      </c>
      <c r="L427" s="20" t="s">
        <v>14</v>
      </c>
      <c r="M427" s="20">
        <v>-31.14</v>
      </c>
      <c r="N427" s="20">
        <v>-13.64</v>
      </c>
      <c r="P427" s="20">
        <v>-13.59</v>
      </c>
      <c r="Q427" s="20">
        <v>14.11</v>
      </c>
      <c r="AG427" s="20">
        <v>425.0</v>
      </c>
      <c r="AH427" s="20" t="s">
        <v>14</v>
      </c>
      <c r="AI427" s="20">
        <v>5.26</v>
      </c>
      <c r="AJ427" s="20">
        <v>-14.32</v>
      </c>
      <c r="AM427" s="20">
        <v>214.0</v>
      </c>
      <c r="AN427" s="20" t="s">
        <v>14</v>
      </c>
      <c r="AO427" s="20">
        <v>-27.54</v>
      </c>
      <c r="AP427" s="20">
        <v>-42.2</v>
      </c>
      <c r="AS427" s="20">
        <v>213.0</v>
      </c>
      <c r="AT427" s="20" t="s">
        <v>14</v>
      </c>
      <c r="AU427" s="20">
        <v>-32.61</v>
      </c>
      <c r="AV427" s="20">
        <v>-61.29</v>
      </c>
      <c r="BE427" s="20">
        <v>425.0</v>
      </c>
      <c r="BF427" s="20" t="s">
        <v>14</v>
      </c>
      <c r="BG427" s="20">
        <v>16.35</v>
      </c>
      <c r="BH427" s="20">
        <v>-8.53</v>
      </c>
      <c r="BM427" s="20">
        <v>38.12</v>
      </c>
      <c r="BN427" s="20">
        <v>134.76</v>
      </c>
      <c r="BW427" s="20">
        <v>-41.72</v>
      </c>
      <c r="BX427" s="20">
        <v>-6.9</v>
      </c>
      <c r="BZ427" s="20">
        <v>-52.53</v>
      </c>
      <c r="CA427" s="20">
        <v>27.55</v>
      </c>
      <c r="CI427" s="20">
        <v>-50.24</v>
      </c>
      <c r="CJ427" s="20">
        <v>-56.05</v>
      </c>
      <c r="CO427" s="20">
        <v>30.27</v>
      </c>
      <c r="CP427" s="20">
        <v>-34.82</v>
      </c>
    </row>
    <row r="428">
      <c r="A428" s="20">
        <v>45.05</v>
      </c>
      <c r="B428" s="20">
        <v>3.61</v>
      </c>
      <c r="D428" s="20"/>
      <c r="E428" s="20"/>
      <c r="F428" s="20">
        <v>-20.12</v>
      </c>
      <c r="G428" s="20">
        <v>21.51</v>
      </c>
      <c r="I428" s="20"/>
      <c r="J428" s="20"/>
      <c r="K428" s="20">
        <v>213.0</v>
      </c>
      <c r="L428" s="20" t="s">
        <v>17</v>
      </c>
      <c r="M428" s="20">
        <v>-25.26</v>
      </c>
      <c r="N428" s="20">
        <v>-1.05</v>
      </c>
      <c r="P428" s="20">
        <v>10.64</v>
      </c>
      <c r="Q428" s="20">
        <v>62.0</v>
      </c>
      <c r="AG428" s="20">
        <v>426.0</v>
      </c>
      <c r="AH428" s="20" t="s">
        <v>14</v>
      </c>
      <c r="AI428" s="20">
        <v>25.77</v>
      </c>
      <c r="AJ428" s="20">
        <v>-5.04</v>
      </c>
      <c r="AM428" s="20">
        <v>214.0</v>
      </c>
      <c r="AN428" s="20" t="s">
        <v>17</v>
      </c>
      <c r="AO428" s="20">
        <v>28.88</v>
      </c>
      <c r="AP428" s="20">
        <v>-19.16</v>
      </c>
      <c r="AS428" s="20">
        <v>213.0</v>
      </c>
      <c r="AT428" s="20" t="s">
        <v>17</v>
      </c>
      <c r="AU428" s="20">
        <v>-30.2</v>
      </c>
      <c r="AV428" s="20">
        <v>-46.88</v>
      </c>
      <c r="BE428" s="20">
        <v>426.0</v>
      </c>
      <c r="BF428" s="20" t="s">
        <v>14</v>
      </c>
      <c r="BG428" s="20">
        <v>-26.39</v>
      </c>
      <c r="BH428" s="20">
        <v>0.32</v>
      </c>
      <c r="BM428" s="20">
        <v>32.16</v>
      </c>
      <c r="BN428" s="20">
        <v>225.46</v>
      </c>
      <c r="BW428" s="20">
        <v>-40.85</v>
      </c>
      <c r="BX428" s="20">
        <v>-15.9</v>
      </c>
      <c r="BZ428" s="20">
        <v>-72.38</v>
      </c>
      <c r="CA428" s="20">
        <v>-15.53</v>
      </c>
      <c r="CI428" s="20">
        <v>-47.66</v>
      </c>
      <c r="CJ428" s="20">
        <v>-44.24</v>
      </c>
      <c r="CO428" s="20">
        <v>-16.05</v>
      </c>
      <c r="CP428" s="20">
        <v>-5.0</v>
      </c>
    </row>
    <row r="429">
      <c r="A429" s="20">
        <v>-26.5</v>
      </c>
      <c r="B429" s="20">
        <v>29.51</v>
      </c>
      <c r="D429" s="20"/>
      <c r="E429" s="20"/>
      <c r="F429" s="20">
        <v>27.7</v>
      </c>
      <c r="G429" s="20">
        <v>23.09</v>
      </c>
      <c r="I429" s="20"/>
      <c r="J429" s="20"/>
      <c r="K429" s="20">
        <v>214.0</v>
      </c>
      <c r="L429" s="20" t="s">
        <v>14</v>
      </c>
      <c r="M429" s="20">
        <v>-8.97</v>
      </c>
      <c r="N429" s="20">
        <v>11.6</v>
      </c>
      <c r="P429" s="20">
        <v>6.92</v>
      </c>
      <c r="Q429" s="20">
        <v>24.68</v>
      </c>
      <c r="AG429" s="20">
        <v>427.0</v>
      </c>
      <c r="AH429" s="20" t="s">
        <v>14</v>
      </c>
      <c r="AI429" s="20">
        <v>-32.37</v>
      </c>
      <c r="AJ429" s="20">
        <v>-15.95</v>
      </c>
      <c r="AM429" s="20">
        <v>215.0</v>
      </c>
      <c r="AN429" s="20" t="s">
        <v>14</v>
      </c>
      <c r="AO429" s="20">
        <v>32.14</v>
      </c>
      <c r="AP429" s="20">
        <v>-16.41</v>
      </c>
      <c r="AS429" s="20">
        <v>214.0</v>
      </c>
      <c r="AT429" s="20" t="s">
        <v>14</v>
      </c>
      <c r="AU429" s="20">
        <v>-9.98</v>
      </c>
      <c r="AV429" s="20">
        <v>-48.58</v>
      </c>
      <c r="BE429" s="20">
        <v>427.0</v>
      </c>
      <c r="BF429" s="20" t="s">
        <v>14</v>
      </c>
      <c r="BG429" s="20">
        <v>28.53</v>
      </c>
      <c r="BH429" s="20">
        <v>14.67</v>
      </c>
      <c r="BM429" s="20">
        <v>37.57</v>
      </c>
      <c r="BN429" s="20">
        <v>112.94</v>
      </c>
      <c r="BW429" s="20">
        <v>-49.25</v>
      </c>
      <c r="BX429" s="20">
        <v>-27.41</v>
      </c>
      <c r="BZ429" s="20">
        <v>-37.61</v>
      </c>
      <c r="CA429" s="20">
        <v>-2.01</v>
      </c>
      <c r="CI429" s="20">
        <v>-59.88</v>
      </c>
      <c r="CJ429" s="20">
        <v>-66.53</v>
      </c>
      <c r="CO429" s="20">
        <v>11.76</v>
      </c>
      <c r="CP429" s="20">
        <v>-44.02</v>
      </c>
    </row>
    <row r="430">
      <c r="A430" s="20">
        <v>-22.42</v>
      </c>
      <c r="B430" s="20">
        <v>44.68</v>
      </c>
      <c r="D430" s="20"/>
      <c r="E430" s="20"/>
      <c r="F430" s="20">
        <v>-16.94</v>
      </c>
      <c r="G430" s="20">
        <v>2.92</v>
      </c>
      <c r="I430" s="20"/>
      <c r="J430" s="20"/>
      <c r="K430" s="20">
        <v>214.0</v>
      </c>
      <c r="L430" s="20" t="s">
        <v>17</v>
      </c>
      <c r="M430" s="20">
        <v>-16.88</v>
      </c>
      <c r="N430" s="20">
        <v>-0.44</v>
      </c>
      <c r="P430" s="20">
        <v>-12.56</v>
      </c>
      <c r="Q430" s="20">
        <v>12.2</v>
      </c>
      <c r="AG430" s="20">
        <v>428.0</v>
      </c>
      <c r="AH430" s="20" t="s">
        <v>14</v>
      </c>
      <c r="AI430" s="20">
        <v>9.3</v>
      </c>
      <c r="AJ430" s="20">
        <v>9.05</v>
      </c>
      <c r="AM430" s="20">
        <v>215.0</v>
      </c>
      <c r="AN430" s="20" t="s">
        <v>17</v>
      </c>
      <c r="AO430" s="20">
        <v>-20.58</v>
      </c>
      <c r="AP430" s="20">
        <v>6.96</v>
      </c>
      <c r="AS430" s="20">
        <v>214.0</v>
      </c>
      <c r="AT430" s="20" t="s">
        <v>17</v>
      </c>
      <c r="AU430" s="20">
        <v>-5.85</v>
      </c>
      <c r="AV430" s="20">
        <v>-42.97</v>
      </c>
      <c r="BE430" s="20">
        <v>428.0</v>
      </c>
      <c r="BF430" s="20" t="s">
        <v>14</v>
      </c>
      <c r="BG430" s="20">
        <v>14.31</v>
      </c>
      <c r="BH430" s="20">
        <v>7.32</v>
      </c>
      <c r="BM430" s="20">
        <v>-1.23</v>
      </c>
      <c r="BN430" s="20">
        <v>115.05</v>
      </c>
      <c r="BW430" s="20">
        <v>-56.22</v>
      </c>
      <c r="BX430" s="20">
        <v>-12.02</v>
      </c>
      <c r="BZ430" s="20">
        <v>-28.91</v>
      </c>
      <c r="CA430" s="20">
        <v>-1.07</v>
      </c>
      <c r="CI430" s="20">
        <v>-47.98</v>
      </c>
      <c r="CJ430" s="20">
        <v>-63.67</v>
      </c>
      <c r="CO430" s="20">
        <v>9.14</v>
      </c>
      <c r="CP430" s="20">
        <v>-40.8</v>
      </c>
    </row>
    <row r="431">
      <c r="A431" s="20">
        <v>-29.49</v>
      </c>
      <c r="B431" s="20">
        <v>61.54</v>
      </c>
      <c r="D431" s="20"/>
      <c r="E431" s="20"/>
      <c r="F431" s="20">
        <v>2.26</v>
      </c>
      <c r="G431" s="20">
        <v>14.67</v>
      </c>
      <c r="I431" s="20"/>
      <c r="J431" s="20"/>
      <c r="K431" s="20">
        <v>215.0</v>
      </c>
      <c r="L431" s="20" t="s">
        <v>14</v>
      </c>
      <c r="M431" s="20">
        <v>11.59</v>
      </c>
      <c r="N431" s="20">
        <v>-8.02</v>
      </c>
      <c r="P431" s="20">
        <v>-42.47</v>
      </c>
      <c r="Q431" s="20">
        <v>35.64</v>
      </c>
      <c r="AG431" s="20">
        <v>429.0</v>
      </c>
      <c r="AH431" s="20" t="s">
        <v>14</v>
      </c>
      <c r="AI431" s="20">
        <v>-3.01</v>
      </c>
      <c r="AJ431" s="20">
        <v>1.81</v>
      </c>
      <c r="AM431" s="20">
        <v>216.0</v>
      </c>
      <c r="AN431" s="20" t="s">
        <v>14</v>
      </c>
      <c r="AO431" s="20">
        <v>-11.09</v>
      </c>
      <c r="AP431" s="20">
        <v>-30.65</v>
      </c>
      <c r="AS431" s="20">
        <v>215.0</v>
      </c>
      <c r="AT431" s="20" t="s">
        <v>14</v>
      </c>
      <c r="AU431" s="20">
        <v>-25.29</v>
      </c>
      <c r="AV431" s="20">
        <v>-35.11</v>
      </c>
      <c r="BE431" s="20">
        <v>429.0</v>
      </c>
      <c r="BF431" s="20" t="s">
        <v>14</v>
      </c>
      <c r="BG431" s="20">
        <v>2.73</v>
      </c>
      <c r="BH431" s="20">
        <v>14.87</v>
      </c>
      <c r="BM431" s="20">
        <v>112.28</v>
      </c>
      <c r="BN431" s="20">
        <v>55.94</v>
      </c>
      <c r="BW431" s="20">
        <v>-49.05</v>
      </c>
      <c r="BX431" s="20">
        <v>-21.38</v>
      </c>
      <c r="BZ431" s="20">
        <v>-62.05</v>
      </c>
      <c r="CA431" s="20">
        <v>78.83</v>
      </c>
      <c r="CI431" s="20">
        <v>-41.21</v>
      </c>
      <c r="CJ431" s="20">
        <v>-48.37</v>
      </c>
      <c r="CO431" s="20">
        <v>68.77</v>
      </c>
      <c r="CP431" s="20">
        <v>-52.73</v>
      </c>
    </row>
    <row r="432">
      <c r="A432" s="20">
        <v>-37.84</v>
      </c>
      <c r="B432" s="20">
        <v>51.73</v>
      </c>
      <c r="D432" s="20"/>
      <c r="E432" s="20"/>
      <c r="F432" s="20">
        <v>19.36</v>
      </c>
      <c r="G432" s="20">
        <v>20.16</v>
      </c>
      <c r="I432" s="20"/>
      <c r="J432" s="20"/>
      <c r="K432" s="20">
        <v>215.0</v>
      </c>
      <c r="L432" s="20" t="s">
        <v>17</v>
      </c>
      <c r="M432" s="20">
        <v>-38.89</v>
      </c>
      <c r="N432" s="20">
        <v>13.34</v>
      </c>
      <c r="P432" s="20">
        <v>-18.01</v>
      </c>
      <c r="Q432" s="20">
        <v>29.9</v>
      </c>
      <c r="AG432" s="20">
        <v>430.0</v>
      </c>
      <c r="AH432" s="20" t="s">
        <v>14</v>
      </c>
      <c r="AI432" s="20">
        <v>-7.48</v>
      </c>
      <c r="AJ432" s="20">
        <v>-4.76</v>
      </c>
      <c r="AM432" s="20">
        <v>216.0</v>
      </c>
      <c r="AN432" s="20" t="s">
        <v>17</v>
      </c>
      <c r="AO432" s="20">
        <v>-1.48</v>
      </c>
      <c r="AP432" s="20">
        <v>-28.38</v>
      </c>
      <c r="AS432" s="20">
        <v>215.0</v>
      </c>
      <c r="AT432" s="20" t="s">
        <v>17</v>
      </c>
      <c r="AU432" s="20">
        <v>-11.94</v>
      </c>
      <c r="AV432" s="20">
        <v>0.47</v>
      </c>
      <c r="BE432" s="20">
        <v>430.0</v>
      </c>
      <c r="BF432" s="20" t="s">
        <v>14</v>
      </c>
      <c r="BG432" s="20">
        <v>38.0</v>
      </c>
      <c r="BH432" s="20">
        <v>13.73</v>
      </c>
      <c r="BM432" s="20">
        <v>97.8</v>
      </c>
      <c r="BN432" s="20">
        <v>118.36</v>
      </c>
      <c r="BW432" s="20">
        <v>-45.0</v>
      </c>
      <c r="BX432" s="20">
        <v>-8.84</v>
      </c>
      <c r="BZ432" s="20">
        <v>-65.61</v>
      </c>
      <c r="CA432" s="20">
        <v>86.21</v>
      </c>
      <c r="CI432" s="20">
        <v>-53.22</v>
      </c>
      <c r="CJ432" s="20">
        <v>-60.94</v>
      </c>
      <c r="CO432" s="20">
        <v>-49.87</v>
      </c>
      <c r="CP432" s="20">
        <v>-49.33</v>
      </c>
    </row>
    <row r="433">
      <c r="A433" s="20">
        <v>-15.15</v>
      </c>
      <c r="B433" s="20">
        <v>69.46</v>
      </c>
      <c r="D433" s="20"/>
      <c r="E433" s="20"/>
      <c r="F433" s="20">
        <v>-21.52</v>
      </c>
      <c r="G433" s="20">
        <v>7.58</v>
      </c>
      <c r="I433" s="20"/>
      <c r="J433" s="20"/>
      <c r="K433" s="20">
        <v>216.0</v>
      </c>
      <c r="L433" s="20" t="s">
        <v>14</v>
      </c>
      <c r="M433" s="20">
        <v>-1.39</v>
      </c>
      <c r="N433" s="20">
        <v>16.15</v>
      </c>
      <c r="P433" s="20">
        <v>-31.41</v>
      </c>
      <c r="Q433" s="20">
        <v>2.65</v>
      </c>
      <c r="AG433" s="20">
        <v>431.0</v>
      </c>
      <c r="AH433" s="20" t="s">
        <v>14</v>
      </c>
      <c r="AI433" s="20">
        <v>-11.11</v>
      </c>
      <c r="AJ433" s="20">
        <v>-0.57</v>
      </c>
      <c r="AM433" s="20">
        <v>217.0</v>
      </c>
      <c r="AN433" s="20" t="s">
        <v>14</v>
      </c>
      <c r="AO433" s="20">
        <v>21.73</v>
      </c>
      <c r="AP433" s="20">
        <v>3.75</v>
      </c>
      <c r="AS433" s="20">
        <v>216.0</v>
      </c>
      <c r="AT433" s="20" t="s">
        <v>14</v>
      </c>
      <c r="AU433" s="20">
        <v>1.99</v>
      </c>
      <c r="AV433" s="20">
        <v>-41.18</v>
      </c>
      <c r="BE433" s="20">
        <v>431.0</v>
      </c>
      <c r="BF433" s="20" t="s">
        <v>14</v>
      </c>
      <c r="BG433" s="20">
        <v>-0.85</v>
      </c>
      <c r="BH433" s="20">
        <v>13.97</v>
      </c>
      <c r="BM433" s="20">
        <v>2.73</v>
      </c>
      <c r="BN433" s="20">
        <v>98.87</v>
      </c>
      <c r="BW433" s="20">
        <v>-43.19</v>
      </c>
      <c r="BX433" s="20">
        <v>-29.5</v>
      </c>
      <c r="BZ433" s="20">
        <v>-51.79</v>
      </c>
      <c r="CA433" s="20">
        <v>32.51</v>
      </c>
      <c r="CI433" s="20">
        <v>-48.09</v>
      </c>
      <c r="CJ433" s="20">
        <v>-55.87</v>
      </c>
      <c r="CO433" s="20">
        <v>-25.23</v>
      </c>
      <c r="CP433" s="20">
        <v>-59.67</v>
      </c>
    </row>
    <row r="434">
      <c r="A434" s="20">
        <v>-7.66</v>
      </c>
      <c r="B434" s="20">
        <v>44.37</v>
      </c>
      <c r="D434" s="20"/>
      <c r="E434" s="20"/>
      <c r="F434" s="20">
        <v>-23.4</v>
      </c>
      <c r="G434" s="20">
        <v>12.83</v>
      </c>
      <c r="I434" s="20"/>
      <c r="J434" s="20"/>
      <c r="K434" s="20">
        <v>216.0</v>
      </c>
      <c r="L434" s="20" t="s">
        <v>17</v>
      </c>
      <c r="M434" s="20">
        <v>-12.09</v>
      </c>
      <c r="N434" s="20">
        <v>63.87</v>
      </c>
      <c r="P434" s="20">
        <v>-40.52</v>
      </c>
      <c r="Q434" s="20">
        <v>-53.14</v>
      </c>
      <c r="AG434" s="20">
        <v>432.0</v>
      </c>
      <c r="AH434" s="20" t="s">
        <v>14</v>
      </c>
      <c r="AI434" s="20">
        <v>34.43</v>
      </c>
      <c r="AJ434" s="20">
        <v>17.53</v>
      </c>
      <c r="AM434" s="20">
        <v>217.0</v>
      </c>
      <c r="AN434" s="20" t="s">
        <v>17</v>
      </c>
      <c r="AO434" s="20">
        <v>-4.85</v>
      </c>
      <c r="AP434" s="20">
        <v>0.06</v>
      </c>
      <c r="AS434" s="20">
        <v>216.0</v>
      </c>
      <c r="AT434" s="20" t="s">
        <v>17</v>
      </c>
      <c r="AU434" s="20">
        <v>-28.25</v>
      </c>
      <c r="AV434" s="20">
        <v>9.47</v>
      </c>
      <c r="BE434" s="20">
        <v>432.0</v>
      </c>
      <c r="BF434" s="20" t="s">
        <v>14</v>
      </c>
      <c r="BG434" s="20">
        <v>-0.07</v>
      </c>
      <c r="BH434" s="20">
        <v>12.59</v>
      </c>
      <c r="BM434" s="20">
        <v>72.82</v>
      </c>
      <c r="BN434" s="20">
        <v>200.43</v>
      </c>
      <c r="BW434" s="20">
        <v>-47.7</v>
      </c>
      <c r="BX434" s="20">
        <v>-27.43</v>
      </c>
      <c r="BZ434" s="20">
        <v>-65.75</v>
      </c>
      <c r="CA434" s="20">
        <v>24.52</v>
      </c>
      <c r="CI434" s="20">
        <v>-50.76</v>
      </c>
      <c r="CJ434" s="20">
        <v>-43.81</v>
      </c>
      <c r="CO434" s="20">
        <v>-43.56</v>
      </c>
      <c r="CP434" s="20">
        <v>-54.81</v>
      </c>
    </row>
    <row r="435">
      <c r="A435" s="20">
        <v>-41.27</v>
      </c>
      <c r="B435" s="20">
        <v>-40.74</v>
      </c>
      <c r="D435" s="20"/>
      <c r="E435" s="20"/>
      <c r="F435" s="20">
        <v>-11.67</v>
      </c>
      <c r="G435" s="20">
        <v>-9.85</v>
      </c>
      <c r="I435" s="20"/>
      <c r="J435" s="20"/>
      <c r="K435" s="20">
        <v>217.0</v>
      </c>
      <c r="L435" s="20" t="s">
        <v>14</v>
      </c>
      <c r="M435" s="20">
        <v>2.68</v>
      </c>
      <c r="N435" s="20">
        <v>175.76</v>
      </c>
      <c r="P435" s="20">
        <v>-14.32</v>
      </c>
      <c r="Q435" s="20">
        <v>-16.19</v>
      </c>
      <c r="AG435" s="20">
        <v>433.0</v>
      </c>
      <c r="AH435" s="20" t="s">
        <v>14</v>
      </c>
      <c r="AI435" s="20">
        <v>19.75</v>
      </c>
      <c r="AJ435" s="20">
        <v>-2.43</v>
      </c>
      <c r="AM435" s="20">
        <v>218.0</v>
      </c>
      <c r="AN435" s="20" t="s">
        <v>14</v>
      </c>
      <c r="AO435" s="20">
        <v>-40.35</v>
      </c>
      <c r="AP435" s="20">
        <v>-9.62</v>
      </c>
      <c r="AS435" s="20">
        <v>217.0</v>
      </c>
      <c r="AT435" s="20" t="s">
        <v>14</v>
      </c>
      <c r="AU435" s="20">
        <v>-27.62</v>
      </c>
      <c r="AV435" s="20">
        <v>-23.5</v>
      </c>
      <c r="BE435" s="20">
        <v>433.0</v>
      </c>
      <c r="BF435" s="20" t="s">
        <v>14</v>
      </c>
      <c r="BG435" s="20">
        <v>-8.36</v>
      </c>
      <c r="BH435" s="20">
        <v>45.92</v>
      </c>
      <c r="BM435" s="20">
        <v>86.67</v>
      </c>
      <c r="BN435" s="20">
        <v>83.31</v>
      </c>
      <c r="BW435" s="20">
        <v>30.84</v>
      </c>
      <c r="BX435" s="20">
        <v>-53.12</v>
      </c>
      <c r="BZ435" s="20">
        <v>-56.19</v>
      </c>
      <c r="CA435" s="20">
        <v>0.0</v>
      </c>
      <c r="CI435" s="20">
        <v>-41.73</v>
      </c>
      <c r="CJ435" s="20">
        <v>-44.82</v>
      </c>
      <c r="CO435" s="20">
        <v>-33.14</v>
      </c>
      <c r="CP435" s="20">
        <v>-64.65</v>
      </c>
    </row>
    <row r="436">
      <c r="A436" s="20">
        <v>-32.42</v>
      </c>
      <c r="B436" s="20">
        <v>21.87</v>
      </c>
      <c r="D436" s="20"/>
      <c r="E436" s="20"/>
      <c r="F436" s="20">
        <v>12.7</v>
      </c>
      <c r="G436" s="20">
        <v>5.2</v>
      </c>
      <c r="I436" s="20"/>
      <c r="J436" s="20"/>
      <c r="K436" s="20">
        <v>217.0</v>
      </c>
      <c r="L436" s="20" t="s">
        <v>17</v>
      </c>
      <c r="M436" s="20">
        <v>23.46</v>
      </c>
      <c r="N436" s="20">
        <v>128.35</v>
      </c>
      <c r="P436" s="20">
        <v>-40.12</v>
      </c>
      <c r="Q436" s="20">
        <v>-59.22</v>
      </c>
      <c r="AG436" s="20">
        <v>434.0</v>
      </c>
      <c r="AH436" s="20" t="s">
        <v>14</v>
      </c>
      <c r="AI436" s="20">
        <v>34.88</v>
      </c>
      <c r="AJ436" s="20">
        <v>-1.74</v>
      </c>
      <c r="AM436" s="20">
        <v>218.0</v>
      </c>
      <c r="AN436" s="20" t="s">
        <v>17</v>
      </c>
      <c r="AO436" s="20">
        <v>33.06</v>
      </c>
      <c r="AP436" s="20">
        <v>-10.6</v>
      </c>
      <c r="AS436" s="20">
        <v>217.0</v>
      </c>
      <c r="AT436" s="20" t="s">
        <v>17</v>
      </c>
      <c r="AU436" s="20">
        <v>55.15</v>
      </c>
      <c r="AV436" s="20">
        <v>-5.13</v>
      </c>
      <c r="BE436" s="20">
        <v>434.0</v>
      </c>
      <c r="BF436" s="20" t="s">
        <v>14</v>
      </c>
      <c r="BG436" s="20">
        <v>-10.27</v>
      </c>
      <c r="BH436" s="20">
        <v>11.43</v>
      </c>
      <c r="BM436" s="20">
        <v>188.34</v>
      </c>
      <c r="BN436" s="20">
        <v>63.69</v>
      </c>
      <c r="BW436" s="20">
        <v>-40.15</v>
      </c>
      <c r="BX436" s="20">
        <v>15.62</v>
      </c>
      <c r="BZ436" s="20">
        <v>-69.8</v>
      </c>
      <c r="CA436" s="20">
        <v>-29.38</v>
      </c>
      <c r="CI436" s="20">
        <v>-49.18</v>
      </c>
      <c r="CJ436" s="20">
        <v>-55.39</v>
      </c>
      <c r="CO436" s="20">
        <v>14.72</v>
      </c>
      <c r="CP436" s="20">
        <v>-47.18</v>
      </c>
    </row>
    <row r="437">
      <c r="A437" s="20">
        <v>-24.05</v>
      </c>
      <c r="B437" s="20">
        <v>-54.12</v>
      </c>
      <c r="D437" s="20"/>
      <c r="E437" s="20"/>
      <c r="F437" s="20">
        <v>5.35</v>
      </c>
      <c r="G437" s="20">
        <v>23.57</v>
      </c>
      <c r="I437" s="20"/>
      <c r="J437" s="20"/>
      <c r="K437" s="20">
        <v>218.0</v>
      </c>
      <c r="L437" s="20" t="s">
        <v>14</v>
      </c>
      <c r="M437" s="20">
        <v>-24.21</v>
      </c>
      <c r="N437" s="20">
        <v>2.3</v>
      </c>
      <c r="P437" s="20">
        <v>-23.73</v>
      </c>
      <c r="Q437" s="20">
        <v>25.14</v>
      </c>
      <c r="AG437" s="20">
        <v>435.0</v>
      </c>
      <c r="AH437" s="20" t="s">
        <v>14</v>
      </c>
      <c r="AI437" s="20">
        <v>-6.76</v>
      </c>
      <c r="AJ437" s="20">
        <v>-16.23</v>
      </c>
      <c r="AM437" s="20">
        <v>220.0</v>
      </c>
      <c r="AN437" s="20" t="s">
        <v>14</v>
      </c>
      <c r="AO437" s="20">
        <v>24.51</v>
      </c>
      <c r="AP437" s="20">
        <v>-33.01</v>
      </c>
      <c r="AS437" s="20">
        <v>218.0</v>
      </c>
      <c r="AT437" s="20" t="s">
        <v>14</v>
      </c>
      <c r="AU437" s="20">
        <v>1.62</v>
      </c>
      <c r="AV437" s="20">
        <v>-31.96</v>
      </c>
      <c r="BE437" s="20">
        <v>435.0</v>
      </c>
      <c r="BF437" s="20" t="s">
        <v>14</v>
      </c>
      <c r="BG437" s="20">
        <v>-1.85</v>
      </c>
      <c r="BH437" s="20">
        <v>-2.03</v>
      </c>
      <c r="BM437" s="20">
        <v>236.27</v>
      </c>
      <c r="BN437" s="20">
        <v>88.09</v>
      </c>
      <c r="BW437" s="20">
        <v>-41.42</v>
      </c>
      <c r="BX437" s="20">
        <v>-15.71</v>
      </c>
      <c r="BZ437" s="20">
        <v>-66.18</v>
      </c>
      <c r="CA437" s="20">
        <v>-9.69</v>
      </c>
      <c r="CI437" s="20">
        <v>-27.78</v>
      </c>
      <c r="CJ437" s="20">
        <v>-49.63</v>
      </c>
      <c r="CO437" s="20">
        <v>-25.04</v>
      </c>
      <c r="CP437" s="20">
        <v>-35.72</v>
      </c>
    </row>
    <row r="438">
      <c r="A438" s="20">
        <v>-27.81</v>
      </c>
      <c r="B438" s="20">
        <v>-12.16</v>
      </c>
      <c r="D438" s="20"/>
      <c r="E438" s="20"/>
      <c r="F438" s="20">
        <v>-14.4</v>
      </c>
      <c r="G438" s="20">
        <v>-6.37</v>
      </c>
      <c r="I438" s="20"/>
      <c r="J438" s="20"/>
      <c r="K438" s="20">
        <v>218.0</v>
      </c>
      <c r="L438" s="20" t="s">
        <v>17</v>
      </c>
      <c r="M438" s="20">
        <v>-38.56</v>
      </c>
      <c r="N438" s="20">
        <v>-35.53</v>
      </c>
      <c r="P438" s="20">
        <v>-9.32</v>
      </c>
      <c r="Q438" s="20">
        <v>3.14</v>
      </c>
      <c r="AG438" s="20">
        <v>436.0</v>
      </c>
      <c r="AH438" s="20" t="s">
        <v>14</v>
      </c>
      <c r="AI438" s="20">
        <v>10.24</v>
      </c>
      <c r="AJ438" s="20">
        <v>-12.28</v>
      </c>
      <c r="AM438" s="20">
        <v>220.0</v>
      </c>
      <c r="AN438" s="20" t="s">
        <v>17</v>
      </c>
      <c r="AO438" s="20">
        <v>-56.25</v>
      </c>
      <c r="AP438" s="20">
        <v>-47.87</v>
      </c>
      <c r="AS438" s="20">
        <v>218.0</v>
      </c>
      <c r="AT438" s="20" t="s">
        <v>17</v>
      </c>
      <c r="AU438" s="20">
        <v>-1.05</v>
      </c>
      <c r="AV438" s="20">
        <v>-22.78</v>
      </c>
      <c r="BE438" s="20">
        <v>436.0</v>
      </c>
      <c r="BF438" s="20" t="s">
        <v>14</v>
      </c>
      <c r="BG438" s="20">
        <v>-12.0</v>
      </c>
      <c r="BH438" s="20">
        <v>11.75</v>
      </c>
      <c r="BM438" s="20">
        <v>167.87</v>
      </c>
      <c r="BN438" s="20">
        <v>25.33</v>
      </c>
      <c r="BW438" s="20">
        <v>9.39</v>
      </c>
      <c r="BX438" s="20">
        <v>-28.81</v>
      </c>
      <c r="BZ438" s="20">
        <v>-32.87</v>
      </c>
      <c r="CA438" s="20">
        <v>-52.66</v>
      </c>
      <c r="CI438" s="20">
        <v>-35.53</v>
      </c>
      <c r="CJ438" s="20">
        <v>-32.42</v>
      </c>
      <c r="CO438" s="20">
        <v>-20.09</v>
      </c>
      <c r="CP438" s="20">
        <v>-33.62</v>
      </c>
    </row>
    <row r="439">
      <c r="A439" s="20">
        <v>-36.63</v>
      </c>
      <c r="B439" s="20">
        <v>-8.92</v>
      </c>
      <c r="D439" s="20"/>
      <c r="E439" s="20"/>
      <c r="F439" s="20">
        <v>-35.44</v>
      </c>
      <c r="G439" s="20">
        <v>-26.32</v>
      </c>
      <c r="I439" s="20"/>
      <c r="J439" s="20"/>
      <c r="K439" s="20">
        <v>219.0</v>
      </c>
      <c r="L439" s="20" t="s">
        <v>14</v>
      </c>
      <c r="M439" s="20">
        <v>32.21</v>
      </c>
      <c r="N439" s="20">
        <v>42.52</v>
      </c>
      <c r="P439" s="20">
        <v>35.85</v>
      </c>
      <c r="Q439" s="20">
        <v>24.22</v>
      </c>
      <c r="AG439" s="20">
        <v>437.0</v>
      </c>
      <c r="AH439" s="20" t="s">
        <v>14</v>
      </c>
      <c r="AI439" s="20">
        <v>13.08</v>
      </c>
      <c r="AJ439" s="20">
        <v>-22.09</v>
      </c>
      <c r="AM439" s="20">
        <v>221.0</v>
      </c>
      <c r="AN439" s="20" t="s">
        <v>14</v>
      </c>
      <c r="AO439" s="20">
        <v>-10.07</v>
      </c>
      <c r="AP439" s="20">
        <v>9.24</v>
      </c>
      <c r="AS439" s="20">
        <v>219.0</v>
      </c>
      <c r="AT439" s="20" t="s">
        <v>14</v>
      </c>
      <c r="AU439" s="20">
        <v>-62.45</v>
      </c>
      <c r="AV439" s="20">
        <v>-72.09</v>
      </c>
      <c r="BE439" s="20">
        <v>437.0</v>
      </c>
      <c r="BF439" s="20" t="s">
        <v>14</v>
      </c>
      <c r="BG439" s="20">
        <v>-9.77</v>
      </c>
      <c r="BH439" s="20">
        <v>-10.97</v>
      </c>
      <c r="BM439" s="20">
        <v>84.0</v>
      </c>
      <c r="BN439" s="20">
        <v>76.94</v>
      </c>
      <c r="BW439" s="20">
        <v>-49.13</v>
      </c>
      <c r="BX439" s="20">
        <v>-10.92</v>
      </c>
      <c r="BZ439" s="20">
        <v>-45.8</v>
      </c>
      <c r="CA439" s="20">
        <v>73.31</v>
      </c>
      <c r="CI439" s="20">
        <v>-31.63</v>
      </c>
      <c r="CJ439" s="20">
        <v>-48.47</v>
      </c>
      <c r="CO439" s="20">
        <v>-21.11</v>
      </c>
      <c r="CP439" s="20">
        <v>-40.36</v>
      </c>
    </row>
    <row r="440">
      <c r="A440" s="20">
        <v>-46.67</v>
      </c>
      <c r="B440" s="20">
        <v>-33.96</v>
      </c>
      <c r="D440" s="20"/>
      <c r="E440" s="20"/>
      <c r="F440" s="20">
        <v>-38.01</v>
      </c>
      <c r="G440" s="20">
        <v>8.43</v>
      </c>
      <c r="I440" s="20"/>
      <c r="J440" s="20"/>
      <c r="K440" s="20">
        <v>219.0</v>
      </c>
      <c r="L440" s="20" t="s">
        <v>17</v>
      </c>
      <c r="M440" s="20">
        <v>-44.53</v>
      </c>
      <c r="N440" s="20">
        <v>7.44</v>
      </c>
      <c r="P440" s="20">
        <v>29.6</v>
      </c>
      <c r="Q440" s="20">
        <v>90.58</v>
      </c>
      <c r="AG440" s="20">
        <v>438.0</v>
      </c>
      <c r="AH440" s="20" t="s">
        <v>14</v>
      </c>
      <c r="AI440" s="20">
        <v>-3.7</v>
      </c>
      <c r="AJ440" s="20">
        <v>-6.76</v>
      </c>
      <c r="AM440" s="20">
        <v>221.0</v>
      </c>
      <c r="AN440" s="20" t="s">
        <v>17</v>
      </c>
      <c r="AO440" s="20">
        <v>-38.42</v>
      </c>
      <c r="AP440" s="20">
        <v>39.49</v>
      </c>
      <c r="AS440" s="20">
        <v>219.0</v>
      </c>
      <c r="AT440" s="20" t="s">
        <v>17</v>
      </c>
      <c r="AU440" s="20">
        <v>-60.29</v>
      </c>
      <c r="AV440" s="20">
        <v>-26.34</v>
      </c>
      <c r="BE440" s="20">
        <v>438.0</v>
      </c>
      <c r="BF440" s="20" t="s">
        <v>14</v>
      </c>
      <c r="BG440" s="20">
        <v>13.7</v>
      </c>
      <c r="BH440" s="20">
        <v>-10.2</v>
      </c>
      <c r="BM440" s="20">
        <v>80.61</v>
      </c>
      <c r="BN440" s="20">
        <v>16.56</v>
      </c>
      <c r="BW440" s="20">
        <v>-58.17</v>
      </c>
      <c r="BX440" s="20">
        <v>-27.7</v>
      </c>
      <c r="BZ440" s="20">
        <v>-54.95</v>
      </c>
      <c r="CA440" s="20">
        <v>115.29</v>
      </c>
      <c r="CI440" s="20">
        <v>-30.16</v>
      </c>
      <c r="CJ440" s="20">
        <v>-53.63</v>
      </c>
      <c r="CO440" s="20">
        <v>-41.15</v>
      </c>
      <c r="CP440" s="20">
        <v>-36.53</v>
      </c>
    </row>
    <row r="441">
      <c r="A441" s="20">
        <v>-29.81</v>
      </c>
      <c r="B441" s="20">
        <v>84.31</v>
      </c>
      <c r="D441" s="20"/>
      <c r="E441" s="20"/>
      <c r="F441" s="20">
        <v>5.34</v>
      </c>
      <c r="G441" s="20">
        <v>23.03</v>
      </c>
      <c r="I441" s="20"/>
      <c r="J441" s="20"/>
      <c r="K441" s="20">
        <v>220.0</v>
      </c>
      <c r="L441" s="20" t="s">
        <v>14</v>
      </c>
      <c r="M441" s="20">
        <v>22.56</v>
      </c>
      <c r="N441" s="20">
        <v>41.76</v>
      </c>
      <c r="P441" s="20">
        <v>0.23</v>
      </c>
      <c r="Q441" s="20">
        <v>15.12</v>
      </c>
      <c r="AG441" s="20">
        <v>439.0</v>
      </c>
      <c r="AH441" s="20" t="s">
        <v>14</v>
      </c>
      <c r="AI441" s="20">
        <v>-4.0</v>
      </c>
      <c r="AJ441" s="20">
        <v>-22.2</v>
      </c>
      <c r="AM441" s="20">
        <v>222.0</v>
      </c>
      <c r="AN441" s="20" t="s">
        <v>14</v>
      </c>
      <c r="AO441" s="20">
        <v>25.55</v>
      </c>
      <c r="AP441" s="20">
        <v>-10.03</v>
      </c>
      <c r="AS441" s="20">
        <v>220.0</v>
      </c>
      <c r="AT441" s="20" t="s">
        <v>14</v>
      </c>
      <c r="AU441" s="20">
        <v>-40.3</v>
      </c>
      <c r="AV441" s="20">
        <v>-84.08</v>
      </c>
      <c r="BE441" s="20">
        <v>439.0</v>
      </c>
      <c r="BF441" s="20" t="s">
        <v>14</v>
      </c>
      <c r="BG441" s="20">
        <v>-1.1</v>
      </c>
      <c r="BH441" s="20">
        <v>-0.21</v>
      </c>
      <c r="BM441" s="20">
        <v>175.85</v>
      </c>
      <c r="BN441" s="20">
        <v>41.11</v>
      </c>
      <c r="BW441" s="20">
        <v>-57.92</v>
      </c>
      <c r="BX441" s="20">
        <v>-28.45</v>
      </c>
      <c r="BZ441" s="20">
        <v>-56.89</v>
      </c>
      <c r="CA441" s="20">
        <v>135.97</v>
      </c>
      <c r="CI441" s="20">
        <v>-40.9</v>
      </c>
      <c r="CJ441" s="20">
        <v>-60.1</v>
      </c>
      <c r="CO441" s="20">
        <v>-43.97</v>
      </c>
      <c r="CP441" s="20">
        <v>-46.8</v>
      </c>
    </row>
    <row r="442">
      <c r="A442" s="20">
        <v>-19.95</v>
      </c>
      <c r="B442" s="20">
        <v>79.42</v>
      </c>
      <c r="D442" s="20"/>
      <c r="E442" s="20"/>
      <c r="F442" s="20">
        <v>-1.9</v>
      </c>
      <c r="G442" s="20">
        <v>26.61</v>
      </c>
      <c r="I442" s="20"/>
      <c r="J442" s="20"/>
      <c r="K442" s="20">
        <v>220.0</v>
      </c>
      <c r="L442" s="20" t="s">
        <v>17</v>
      </c>
      <c r="M442" s="20">
        <v>-37.78</v>
      </c>
      <c r="N442" s="20">
        <v>-25.99</v>
      </c>
      <c r="P442" s="20">
        <v>-11.46</v>
      </c>
      <c r="Q442" s="20">
        <v>37.14</v>
      </c>
      <c r="AG442" s="20">
        <v>440.0</v>
      </c>
      <c r="AH442" s="20" t="s">
        <v>14</v>
      </c>
      <c r="AI442" s="20">
        <v>-22.09</v>
      </c>
      <c r="AJ442" s="20">
        <v>-35.14</v>
      </c>
      <c r="AM442" s="20">
        <v>222.0</v>
      </c>
      <c r="AN442" s="20" t="s">
        <v>17</v>
      </c>
      <c r="AO442" s="20">
        <v>-30.43</v>
      </c>
      <c r="AP442" s="20">
        <v>37.63</v>
      </c>
      <c r="AS442" s="20">
        <v>220.0</v>
      </c>
      <c r="AT442" s="20" t="s">
        <v>17</v>
      </c>
      <c r="AU442" s="20">
        <v>-17.37</v>
      </c>
      <c r="AV442" s="20">
        <v>-58.24</v>
      </c>
      <c r="BE442" s="20">
        <v>440.0</v>
      </c>
      <c r="BF442" s="20" t="s">
        <v>14</v>
      </c>
      <c r="BG442" s="20">
        <v>-11.57</v>
      </c>
      <c r="BH442" s="20">
        <v>-11.03</v>
      </c>
      <c r="BM442" s="20">
        <v>216.52</v>
      </c>
      <c r="BN442" s="20">
        <v>89.51</v>
      </c>
      <c r="BW442" s="20">
        <v>-55.19</v>
      </c>
      <c r="BX442" s="20">
        <v>-31.22</v>
      </c>
      <c r="BZ442" s="20">
        <v>-62.84</v>
      </c>
      <c r="CA442" s="20">
        <v>1.89</v>
      </c>
      <c r="CI442" s="20">
        <v>-25.65</v>
      </c>
      <c r="CJ442" s="20">
        <v>-55.9</v>
      </c>
      <c r="CO442" s="20">
        <v>-31.66</v>
      </c>
      <c r="CP442" s="20">
        <v>-34.87</v>
      </c>
    </row>
    <row r="443">
      <c r="A443" s="20">
        <v>-30.28</v>
      </c>
      <c r="B443" s="20">
        <v>-26.88</v>
      </c>
      <c r="D443" s="20"/>
      <c r="E443" s="20"/>
      <c r="F443" s="20">
        <v>-21.99</v>
      </c>
      <c r="G443" s="20">
        <v>25.36</v>
      </c>
      <c r="I443" s="20"/>
      <c r="J443" s="20"/>
      <c r="K443" s="20">
        <v>221.0</v>
      </c>
      <c r="L443" s="20" t="s">
        <v>14</v>
      </c>
      <c r="M443" s="20">
        <v>-13.61</v>
      </c>
      <c r="N443" s="20">
        <v>-3.79</v>
      </c>
      <c r="P443" s="20">
        <v>-3.51</v>
      </c>
      <c r="Q443" s="20">
        <v>10.01</v>
      </c>
      <c r="AG443" s="20">
        <v>441.0</v>
      </c>
      <c r="AH443" s="20" t="s">
        <v>14</v>
      </c>
      <c r="AI443" s="20">
        <v>-15.79</v>
      </c>
      <c r="AJ443" s="20">
        <v>-15.81</v>
      </c>
      <c r="AM443" s="20">
        <v>223.0</v>
      </c>
      <c r="AN443" s="20" t="s">
        <v>14</v>
      </c>
      <c r="AO443" s="20">
        <v>-28.03</v>
      </c>
      <c r="AP443" s="20">
        <v>-46.4</v>
      </c>
      <c r="AS443" s="20">
        <v>221.0</v>
      </c>
      <c r="AT443" s="20" t="s">
        <v>14</v>
      </c>
      <c r="AU443" s="20">
        <v>12.98</v>
      </c>
      <c r="AV443" s="20">
        <v>-3.09</v>
      </c>
      <c r="BE443" s="20">
        <v>441.0</v>
      </c>
      <c r="BF443" s="20" t="s">
        <v>14</v>
      </c>
      <c r="BG443" s="20">
        <v>-2.97</v>
      </c>
      <c r="BH443" s="20">
        <v>49.58</v>
      </c>
      <c r="BM443" s="20">
        <v>10.71</v>
      </c>
      <c r="BN443" s="20">
        <v>40.28</v>
      </c>
      <c r="BW443" s="20">
        <v>-56.93</v>
      </c>
      <c r="BX443" s="20">
        <v>-36.66</v>
      </c>
      <c r="BZ443" s="20">
        <v>-32.51</v>
      </c>
      <c r="CA443" s="20">
        <v>17.69</v>
      </c>
      <c r="CI443" s="20">
        <v>-27.08</v>
      </c>
      <c r="CJ443" s="20">
        <v>-55.18</v>
      </c>
      <c r="CO443" s="20">
        <v>-12.38</v>
      </c>
      <c r="CP443" s="20">
        <v>-52.36</v>
      </c>
    </row>
    <row r="444">
      <c r="A444" s="20">
        <v>-16.48</v>
      </c>
      <c r="B444" s="20">
        <v>57.33</v>
      </c>
      <c r="D444" s="20"/>
      <c r="E444" s="20"/>
      <c r="F444" s="20">
        <v>-28.47</v>
      </c>
      <c r="G444" s="20">
        <v>23.25</v>
      </c>
      <c r="I444" s="20"/>
      <c r="J444" s="20"/>
      <c r="K444" s="20">
        <v>221.0</v>
      </c>
      <c r="L444" s="20" t="s">
        <v>17</v>
      </c>
      <c r="M444" s="20">
        <v>-7.54</v>
      </c>
      <c r="N444" s="20">
        <v>4.09</v>
      </c>
      <c r="P444" s="20">
        <v>90.06</v>
      </c>
      <c r="Q444" s="20">
        <v>214.08</v>
      </c>
      <c r="AG444" s="20">
        <v>442.0</v>
      </c>
      <c r="AH444" s="20" t="s">
        <v>14</v>
      </c>
      <c r="AI444" s="20">
        <v>-20.13</v>
      </c>
      <c r="AJ444" s="20">
        <v>-27.01</v>
      </c>
      <c r="AM444" s="20">
        <v>223.0</v>
      </c>
      <c r="AN444" s="20" t="s">
        <v>17</v>
      </c>
      <c r="AO444" s="20">
        <v>-32.83</v>
      </c>
      <c r="AP444" s="20">
        <v>86.57</v>
      </c>
      <c r="AS444" s="20">
        <v>221.0</v>
      </c>
      <c r="AT444" s="20" t="s">
        <v>17</v>
      </c>
      <c r="AU444" s="20">
        <v>4.87</v>
      </c>
      <c r="AV444" s="20">
        <v>-32.0</v>
      </c>
      <c r="BE444" s="20">
        <v>442.0</v>
      </c>
      <c r="BF444" s="20" t="s">
        <v>14</v>
      </c>
      <c r="BG444" s="20">
        <v>-22.14</v>
      </c>
      <c r="BH444" s="20">
        <v>9.18</v>
      </c>
      <c r="BM444" s="20">
        <v>20.89</v>
      </c>
      <c r="BN444" s="20">
        <v>79.1</v>
      </c>
      <c r="BW444" s="20">
        <v>-39.41</v>
      </c>
      <c r="BX444" s="20">
        <v>-28.32</v>
      </c>
      <c r="BZ444" s="20">
        <v>-39.96</v>
      </c>
      <c r="CA444" s="20">
        <v>53.42</v>
      </c>
      <c r="CI444" s="20">
        <v>-42.65</v>
      </c>
      <c r="CJ444" s="20">
        <v>-66.08</v>
      </c>
      <c r="CO444" s="20">
        <v>-15.35</v>
      </c>
      <c r="CP444" s="20">
        <v>-51.79</v>
      </c>
    </row>
    <row r="445">
      <c r="A445" s="20">
        <v>-32.96</v>
      </c>
      <c r="B445" s="20">
        <v>49.04</v>
      </c>
      <c r="D445" s="20"/>
      <c r="E445" s="20"/>
      <c r="F445" s="20">
        <v>-37.57</v>
      </c>
      <c r="G445" s="20">
        <v>31.02</v>
      </c>
      <c r="I445" s="20"/>
      <c r="J445" s="20"/>
      <c r="K445" s="20">
        <v>222.0</v>
      </c>
      <c r="L445" s="20" t="s">
        <v>14</v>
      </c>
      <c r="M445" s="20">
        <v>-2.65</v>
      </c>
      <c r="N445" s="20">
        <v>18.77</v>
      </c>
      <c r="P445" s="20">
        <v>-18.66</v>
      </c>
      <c r="Q445" s="20">
        <v>14.16</v>
      </c>
      <c r="AG445" s="20">
        <v>443.0</v>
      </c>
      <c r="AH445" s="20" t="s">
        <v>14</v>
      </c>
      <c r="AI445" s="20">
        <v>-2.97</v>
      </c>
      <c r="AJ445" s="20">
        <v>-25.15</v>
      </c>
      <c r="AM445" s="20">
        <v>224.0</v>
      </c>
      <c r="AN445" s="20" t="s">
        <v>14</v>
      </c>
      <c r="AO445" s="20">
        <v>-40.78</v>
      </c>
      <c r="AP445" s="20">
        <v>-61.93</v>
      </c>
      <c r="AS445" s="20">
        <v>222.0</v>
      </c>
      <c r="AT445" s="20" t="s">
        <v>14</v>
      </c>
      <c r="AU445" s="20">
        <v>-32.19</v>
      </c>
      <c r="AV445" s="20">
        <v>-16.46</v>
      </c>
      <c r="BE445" s="20">
        <v>443.0</v>
      </c>
      <c r="BF445" s="20" t="s">
        <v>14</v>
      </c>
      <c r="BG445" s="20">
        <v>3.57</v>
      </c>
      <c r="BH445" s="20">
        <v>0.99</v>
      </c>
      <c r="BM445" s="20">
        <v>35.22</v>
      </c>
      <c r="BN445" s="20">
        <v>59.66</v>
      </c>
      <c r="BW445" s="20">
        <v>-57.95</v>
      </c>
      <c r="BX445" s="20">
        <v>-27.71</v>
      </c>
      <c r="BZ445" s="20">
        <v>-28.21</v>
      </c>
      <c r="CA445" s="20">
        <v>23.43</v>
      </c>
      <c r="CI445" s="20">
        <v>-58.07</v>
      </c>
      <c r="CJ445" s="20">
        <v>-60.45</v>
      </c>
      <c r="CO445" s="20">
        <v>-26.64</v>
      </c>
      <c r="CP445" s="20">
        <v>-51.66</v>
      </c>
    </row>
    <row r="446">
      <c r="A446" s="20">
        <v>-54.85</v>
      </c>
      <c r="B446" s="20">
        <v>18.68</v>
      </c>
      <c r="D446" s="20"/>
      <c r="E446" s="20"/>
      <c r="F446" s="20">
        <v>-42.21</v>
      </c>
      <c r="G446" s="20">
        <v>21.93</v>
      </c>
      <c r="I446" s="20"/>
      <c r="J446" s="20"/>
      <c r="K446" s="20">
        <v>222.0</v>
      </c>
      <c r="L446" s="20" t="s">
        <v>17</v>
      </c>
      <c r="M446" s="20">
        <v>-51.18</v>
      </c>
      <c r="N446" s="20">
        <v>-34.64</v>
      </c>
      <c r="P446" s="20">
        <v>-22.72</v>
      </c>
      <c r="Q446" s="20">
        <v>26.85</v>
      </c>
      <c r="AG446" s="20">
        <v>444.0</v>
      </c>
      <c r="AH446" s="20" t="s">
        <v>14</v>
      </c>
      <c r="AI446" s="20">
        <v>-12.14</v>
      </c>
      <c r="AJ446" s="20">
        <v>-16.92</v>
      </c>
      <c r="AM446" s="20">
        <v>224.0</v>
      </c>
      <c r="AN446" s="20" t="s">
        <v>17</v>
      </c>
      <c r="AO446" s="20">
        <v>-50.55</v>
      </c>
      <c r="AP446" s="20">
        <v>22.93</v>
      </c>
      <c r="AS446" s="20">
        <v>222.0</v>
      </c>
      <c r="AT446" s="20" t="s">
        <v>17</v>
      </c>
      <c r="AU446" s="20">
        <v>-26.99</v>
      </c>
      <c r="AV446" s="20">
        <v>-51.64</v>
      </c>
      <c r="BE446" s="20">
        <v>444.0</v>
      </c>
      <c r="BF446" s="20" t="s">
        <v>14</v>
      </c>
      <c r="BG446" s="20">
        <v>-1.22</v>
      </c>
      <c r="BH446" s="20">
        <v>-0.36</v>
      </c>
      <c r="BM446" s="20">
        <v>167.06</v>
      </c>
      <c r="BN446" s="20">
        <v>123.54</v>
      </c>
      <c r="BW446" s="20">
        <v>-57.39</v>
      </c>
      <c r="BX446" s="20">
        <v>-24.89</v>
      </c>
      <c r="BZ446" s="20">
        <v>-23.53</v>
      </c>
      <c r="CA446" s="20">
        <v>18.38</v>
      </c>
      <c r="CI446" s="20">
        <v>-55.47</v>
      </c>
      <c r="CJ446" s="20">
        <v>-62.98</v>
      </c>
      <c r="CO446" s="20">
        <v>-12.95</v>
      </c>
      <c r="CP446" s="20">
        <v>-34.31</v>
      </c>
    </row>
    <row r="447">
      <c r="A447" s="20">
        <v>-52.2</v>
      </c>
      <c r="B447" s="20">
        <v>-12.09</v>
      </c>
      <c r="D447" s="20"/>
      <c r="E447" s="20"/>
      <c r="F447" s="20">
        <v>-13.32</v>
      </c>
      <c r="G447" s="20">
        <v>-3.84</v>
      </c>
      <c r="I447" s="20"/>
      <c r="J447" s="20"/>
      <c r="K447" s="20">
        <v>223.0</v>
      </c>
      <c r="L447" s="20" t="s">
        <v>14</v>
      </c>
      <c r="M447" s="20">
        <v>-1.6</v>
      </c>
      <c r="N447" s="20">
        <v>-0.01</v>
      </c>
      <c r="P447" s="20">
        <v>-5.95</v>
      </c>
      <c r="Q447" s="20">
        <v>-0.11</v>
      </c>
      <c r="AG447" s="20">
        <v>445.0</v>
      </c>
      <c r="AH447" s="20" t="s">
        <v>14</v>
      </c>
      <c r="AI447" s="20">
        <v>22.7</v>
      </c>
      <c r="AJ447" s="20">
        <v>4.15</v>
      </c>
      <c r="AM447" s="20">
        <v>225.0</v>
      </c>
      <c r="AN447" s="20" t="s">
        <v>14</v>
      </c>
      <c r="AO447" s="20">
        <v>1.73</v>
      </c>
      <c r="AP447" s="20">
        <v>-7.04</v>
      </c>
      <c r="AS447" s="20">
        <v>223.0</v>
      </c>
      <c r="AT447" s="20" t="s">
        <v>14</v>
      </c>
      <c r="AU447" s="20">
        <v>-20.82</v>
      </c>
      <c r="AV447" s="20">
        <v>-69.32</v>
      </c>
      <c r="BE447" s="20">
        <v>445.0</v>
      </c>
      <c r="BF447" s="20" t="s">
        <v>14</v>
      </c>
      <c r="BG447" s="20">
        <v>-37.41</v>
      </c>
      <c r="BH447" s="20">
        <v>14.19</v>
      </c>
      <c r="BM447" s="20">
        <v>70.72</v>
      </c>
      <c r="BN447" s="20">
        <v>72.62</v>
      </c>
      <c r="BW447" s="20">
        <v>-26.21</v>
      </c>
      <c r="BX447" s="20">
        <v>-27.81</v>
      </c>
      <c r="BZ447" s="20">
        <v>-52.65</v>
      </c>
      <c r="CA447" s="20">
        <v>110.59</v>
      </c>
      <c r="CI447" s="20">
        <v>-39.6</v>
      </c>
      <c r="CJ447" s="20">
        <v>-55.94</v>
      </c>
      <c r="CO447" s="20">
        <v>-24.28</v>
      </c>
      <c r="CP447" s="20">
        <v>-48.26</v>
      </c>
    </row>
    <row r="448">
      <c r="A448" s="20">
        <v>-47.52</v>
      </c>
      <c r="B448" s="20">
        <v>1.9</v>
      </c>
      <c r="D448" s="20"/>
      <c r="E448" s="20"/>
      <c r="F448" s="20">
        <v>39.16</v>
      </c>
      <c r="G448" s="20">
        <v>-15.86</v>
      </c>
      <c r="I448" s="20"/>
      <c r="J448" s="20"/>
      <c r="K448" s="20">
        <v>223.0</v>
      </c>
      <c r="L448" s="20" t="s">
        <v>17</v>
      </c>
      <c r="M448" s="20">
        <v>-35.49</v>
      </c>
      <c r="N448" s="20">
        <v>-48.81</v>
      </c>
      <c r="P448" s="20">
        <v>-29.15</v>
      </c>
      <c r="Q448" s="20">
        <v>0.15</v>
      </c>
      <c r="AG448" s="20">
        <v>446.0</v>
      </c>
      <c r="AH448" s="20" t="s">
        <v>14</v>
      </c>
      <c r="AI448" s="20">
        <v>53.95</v>
      </c>
      <c r="AJ448" s="20">
        <v>7.96</v>
      </c>
      <c r="AM448" s="20">
        <v>225.0</v>
      </c>
      <c r="AN448" s="20" t="s">
        <v>17</v>
      </c>
      <c r="AO448" s="20">
        <v>-6.7</v>
      </c>
      <c r="AP448" s="20">
        <v>1.57</v>
      </c>
      <c r="AS448" s="20">
        <v>223.0</v>
      </c>
      <c r="AT448" s="20" t="s">
        <v>17</v>
      </c>
      <c r="AU448" s="20">
        <v>-6.22</v>
      </c>
      <c r="AV448" s="20">
        <v>11.94</v>
      </c>
      <c r="BE448" s="20">
        <v>446.0</v>
      </c>
      <c r="BF448" s="20" t="s">
        <v>14</v>
      </c>
      <c r="BG448" s="20">
        <v>-17.74</v>
      </c>
      <c r="BH448" s="20">
        <v>14.12</v>
      </c>
      <c r="BM448" s="20">
        <v>135.27</v>
      </c>
      <c r="BN448" s="20">
        <v>80.53</v>
      </c>
      <c r="BW448" s="20">
        <v>-52.79</v>
      </c>
      <c r="BX448" s="20">
        <v>-24.15</v>
      </c>
      <c r="BZ448" s="20">
        <v>-67.37</v>
      </c>
      <c r="CA448" s="20">
        <v>61.87</v>
      </c>
      <c r="CI448" s="20">
        <v>-25.74</v>
      </c>
      <c r="CJ448" s="20">
        <v>-45.95</v>
      </c>
      <c r="CO448" s="20">
        <v>-30.01</v>
      </c>
      <c r="CP448" s="20">
        <v>-63.66</v>
      </c>
    </row>
    <row r="449">
      <c r="A449" s="20">
        <v>7.69</v>
      </c>
      <c r="B449" s="20">
        <v>103.05</v>
      </c>
      <c r="D449" s="20"/>
      <c r="E449" s="20"/>
      <c r="F449" s="20">
        <v>0.31</v>
      </c>
      <c r="G449" s="20">
        <v>4.04</v>
      </c>
      <c r="I449" s="20"/>
      <c r="J449" s="20"/>
      <c r="K449" s="20">
        <v>224.0</v>
      </c>
      <c r="L449" s="20" t="s">
        <v>14</v>
      </c>
      <c r="M449" s="20">
        <v>-29.96</v>
      </c>
      <c r="N449" s="20">
        <v>-0.46</v>
      </c>
      <c r="P449" s="20">
        <v>-1.29</v>
      </c>
      <c r="Q449" s="20">
        <v>0.6</v>
      </c>
      <c r="AG449" s="20">
        <v>447.0</v>
      </c>
      <c r="AH449" s="20" t="s">
        <v>14</v>
      </c>
      <c r="AI449" s="20">
        <v>22.71</v>
      </c>
      <c r="AJ449" s="20">
        <v>-12.35</v>
      </c>
      <c r="AM449" s="20">
        <v>226.0</v>
      </c>
      <c r="AN449" s="20" t="s">
        <v>14</v>
      </c>
      <c r="AO449" s="20">
        <v>-9.15</v>
      </c>
      <c r="AP449" s="20">
        <v>-8.74</v>
      </c>
      <c r="AS449" s="20">
        <v>224.0</v>
      </c>
      <c r="AT449" s="20" t="s">
        <v>14</v>
      </c>
      <c r="AU449" s="20">
        <v>-36.19</v>
      </c>
      <c r="AV449" s="20">
        <v>-57.6</v>
      </c>
      <c r="BE449" s="20">
        <v>447.0</v>
      </c>
      <c r="BF449" s="20" t="s">
        <v>14</v>
      </c>
      <c r="BG449" s="20">
        <v>-31.7</v>
      </c>
      <c r="BH449" s="20">
        <v>27.32</v>
      </c>
      <c r="BM449" s="20">
        <v>94.84</v>
      </c>
      <c r="BN449" s="20">
        <v>70.15</v>
      </c>
      <c r="BW449" s="20">
        <v>-42.38</v>
      </c>
      <c r="BX449" s="20">
        <v>-35.01</v>
      </c>
      <c r="BZ449" s="20">
        <v>-43.81</v>
      </c>
      <c r="CA449" s="20">
        <v>13.43</v>
      </c>
      <c r="CI449" s="20">
        <v>-31.27</v>
      </c>
      <c r="CJ449" s="20">
        <v>-39.2</v>
      </c>
      <c r="CO449" s="20">
        <v>-31.29</v>
      </c>
      <c r="CP449" s="20">
        <v>-65.52</v>
      </c>
    </row>
    <row r="450">
      <c r="A450" s="20">
        <v>-7.41</v>
      </c>
      <c r="B450" s="20">
        <v>45.64</v>
      </c>
      <c r="D450" s="20"/>
      <c r="E450" s="20"/>
      <c r="F450" s="20">
        <v>-4.11</v>
      </c>
      <c r="G450" s="20">
        <v>-22.13</v>
      </c>
      <c r="I450" s="20"/>
      <c r="J450" s="20"/>
      <c r="K450" s="20">
        <v>224.0</v>
      </c>
      <c r="L450" s="20" t="s">
        <v>17</v>
      </c>
      <c r="M450" s="20">
        <v>-29.58</v>
      </c>
      <c r="N450" s="20">
        <v>6.39</v>
      </c>
      <c r="P450" s="20">
        <v>-52.5</v>
      </c>
      <c r="Q450" s="20">
        <v>-65.67</v>
      </c>
      <c r="AG450" s="20">
        <v>448.0</v>
      </c>
      <c r="AH450" s="20" t="s">
        <v>14</v>
      </c>
      <c r="AI450" s="20">
        <v>-18.06</v>
      </c>
      <c r="AJ450" s="20">
        <v>-23.23</v>
      </c>
      <c r="AM450" s="20">
        <v>226.0</v>
      </c>
      <c r="AN450" s="20" t="s">
        <v>17</v>
      </c>
      <c r="AO450" s="20">
        <v>-22.76</v>
      </c>
      <c r="AP450" s="20">
        <v>-20.94</v>
      </c>
      <c r="AS450" s="20">
        <v>224.0</v>
      </c>
      <c r="AT450" s="20" t="s">
        <v>17</v>
      </c>
      <c r="AU450" s="20">
        <v>-56.35</v>
      </c>
      <c r="AV450" s="20">
        <v>-49.47</v>
      </c>
      <c r="BE450" s="20">
        <v>448.0</v>
      </c>
      <c r="BF450" s="20" t="s">
        <v>14</v>
      </c>
      <c r="BG450" s="20">
        <v>2.02</v>
      </c>
      <c r="BH450" s="20">
        <v>-19.44</v>
      </c>
      <c r="BM450" s="20">
        <v>246.96</v>
      </c>
      <c r="BN450" s="20">
        <v>118.01</v>
      </c>
      <c r="BW450" s="20">
        <v>-11.19</v>
      </c>
      <c r="BX450" s="20">
        <v>-30.25</v>
      </c>
      <c r="BZ450" s="20">
        <v>-19.75</v>
      </c>
      <c r="CA450" s="20">
        <v>35.09</v>
      </c>
      <c r="CI450" s="20">
        <v>-39.48</v>
      </c>
      <c r="CJ450" s="20">
        <v>-46.38</v>
      </c>
      <c r="CO450" s="20">
        <v>-16.25</v>
      </c>
      <c r="CP450" s="20">
        <v>-66.65</v>
      </c>
    </row>
    <row r="451">
      <c r="A451" s="20">
        <v>60.75</v>
      </c>
      <c r="B451" s="20">
        <v>24.65</v>
      </c>
      <c r="D451" s="20"/>
      <c r="E451" s="20"/>
      <c r="F451" s="20">
        <v>-8.9</v>
      </c>
      <c r="G451" s="20">
        <v>0.57</v>
      </c>
      <c r="I451" s="20"/>
      <c r="J451" s="20"/>
      <c r="K451" s="20">
        <v>225.0</v>
      </c>
      <c r="L451" s="20" t="s">
        <v>14</v>
      </c>
      <c r="M451" s="20">
        <v>31.25</v>
      </c>
      <c r="N451" s="20">
        <v>45.62</v>
      </c>
      <c r="P451" s="20">
        <v>-38.53</v>
      </c>
      <c r="Q451" s="20">
        <v>2.39</v>
      </c>
      <c r="AG451" s="20">
        <v>449.0</v>
      </c>
      <c r="AH451" s="20" t="s">
        <v>14</v>
      </c>
      <c r="AI451" s="20">
        <v>6.28</v>
      </c>
      <c r="AJ451" s="20">
        <v>2.09</v>
      </c>
      <c r="AM451" s="20">
        <v>227.0</v>
      </c>
      <c r="AN451" s="20" t="s">
        <v>14</v>
      </c>
      <c r="AO451" s="20">
        <v>34.96</v>
      </c>
      <c r="AP451" s="20">
        <v>-23.58</v>
      </c>
      <c r="AS451" s="20">
        <v>225.0</v>
      </c>
      <c r="AT451" s="20" t="s">
        <v>14</v>
      </c>
      <c r="AU451" s="20">
        <v>-23.02</v>
      </c>
      <c r="AV451" s="20">
        <v>-50.06</v>
      </c>
      <c r="BE451" s="20">
        <v>449.0</v>
      </c>
      <c r="BF451" s="20" t="s">
        <v>14</v>
      </c>
      <c r="BG451" s="20">
        <v>-10.55</v>
      </c>
      <c r="BH451" s="20">
        <v>-20.53</v>
      </c>
      <c r="BM451" s="20">
        <v>4.58</v>
      </c>
      <c r="BN451" s="20">
        <v>60.66</v>
      </c>
      <c r="BW451" s="20">
        <v>-50.02</v>
      </c>
      <c r="BX451" s="20">
        <v>-20.55</v>
      </c>
      <c r="BZ451" s="20">
        <v>-30.3</v>
      </c>
      <c r="CA451" s="20">
        <v>7.46</v>
      </c>
      <c r="CI451" s="20">
        <v>-43.59</v>
      </c>
      <c r="CJ451" s="20">
        <v>-42.44</v>
      </c>
      <c r="CO451" s="20">
        <v>-3.11</v>
      </c>
      <c r="CP451" s="20">
        <v>-42.64</v>
      </c>
    </row>
    <row r="452">
      <c r="A452" s="20">
        <v>47.28</v>
      </c>
      <c r="B452" s="20">
        <v>21.81</v>
      </c>
      <c r="D452" s="20"/>
      <c r="E452" s="20"/>
      <c r="F452" s="20">
        <v>-19.92</v>
      </c>
      <c r="G452" s="20">
        <v>-7.47</v>
      </c>
      <c r="I452" s="20"/>
      <c r="J452" s="20"/>
      <c r="K452" s="20">
        <v>225.0</v>
      </c>
      <c r="L452" s="20" t="s">
        <v>17</v>
      </c>
      <c r="M452" s="20">
        <v>9.9</v>
      </c>
      <c r="N452" s="20">
        <v>-28.34</v>
      </c>
      <c r="P452" s="20">
        <v>-78.26</v>
      </c>
      <c r="Q452" s="20">
        <v>-86.81</v>
      </c>
      <c r="AG452" s="20">
        <v>450.0</v>
      </c>
      <c r="AH452" s="20" t="s">
        <v>14</v>
      </c>
      <c r="AI452" s="20">
        <v>10.98</v>
      </c>
      <c r="AJ452" s="20">
        <v>-8.85</v>
      </c>
      <c r="AM452" s="20">
        <v>227.0</v>
      </c>
      <c r="AN452" s="20" t="s">
        <v>17</v>
      </c>
      <c r="AO452" s="20">
        <v>-32.13</v>
      </c>
      <c r="AP452" s="20">
        <v>-23.82</v>
      </c>
      <c r="AS452" s="20">
        <v>225.0</v>
      </c>
      <c r="AT452" s="20" t="s">
        <v>17</v>
      </c>
      <c r="AU452" s="20">
        <v>-32.75</v>
      </c>
      <c r="AV452" s="20">
        <v>-46.35</v>
      </c>
      <c r="BE452" s="20">
        <v>450.0</v>
      </c>
      <c r="BF452" s="20" t="s">
        <v>14</v>
      </c>
      <c r="BG452" s="20">
        <v>-6.15</v>
      </c>
      <c r="BH452" s="20">
        <v>13.28</v>
      </c>
      <c r="BM452" s="20">
        <v>165.69</v>
      </c>
      <c r="BN452" s="20">
        <v>71.94</v>
      </c>
      <c r="BW452" s="20">
        <v>-52.45</v>
      </c>
      <c r="BX452" s="20">
        <v>-32.18</v>
      </c>
      <c r="BZ452" s="20">
        <v>-30.61</v>
      </c>
      <c r="CA452" s="20">
        <v>2.4</v>
      </c>
      <c r="CI452" s="20">
        <v>-38.23</v>
      </c>
      <c r="CJ452" s="20">
        <v>-24.3</v>
      </c>
      <c r="CO452" s="20">
        <v>0.2</v>
      </c>
      <c r="CP452" s="20">
        <v>0.96</v>
      </c>
    </row>
    <row r="453">
      <c r="A453" s="20">
        <v>47.39</v>
      </c>
      <c r="B453" s="20">
        <v>126.38</v>
      </c>
      <c r="D453" s="20"/>
      <c r="E453" s="20"/>
      <c r="F453" s="20">
        <v>23.07</v>
      </c>
      <c r="G453" s="20">
        <v>18.11</v>
      </c>
      <c r="I453" s="20"/>
      <c r="J453" s="20"/>
      <c r="K453" s="20">
        <v>226.0</v>
      </c>
      <c r="L453" s="20" t="s">
        <v>14</v>
      </c>
      <c r="M453" s="20">
        <v>-33.87</v>
      </c>
      <c r="N453" s="20">
        <v>-22.81</v>
      </c>
      <c r="P453" s="20">
        <v>-23.48</v>
      </c>
      <c r="Q453" s="20">
        <v>-0.04</v>
      </c>
      <c r="AG453" s="20">
        <v>451.0</v>
      </c>
      <c r="AH453" s="20" t="s">
        <v>14</v>
      </c>
      <c r="AI453" s="20">
        <v>6.21</v>
      </c>
      <c r="AJ453" s="20">
        <v>-4.98</v>
      </c>
      <c r="AM453" s="20">
        <v>228.0</v>
      </c>
      <c r="AN453" s="20" t="s">
        <v>14</v>
      </c>
      <c r="AO453" s="20">
        <v>23.78</v>
      </c>
      <c r="AP453" s="20">
        <v>-18.45</v>
      </c>
      <c r="AS453" s="20">
        <v>226.0</v>
      </c>
      <c r="AT453" s="20" t="s">
        <v>14</v>
      </c>
      <c r="AU453" s="20">
        <v>-6.82</v>
      </c>
      <c r="AV453" s="20">
        <v>-40.54</v>
      </c>
      <c r="BE453" s="20">
        <v>451.0</v>
      </c>
      <c r="BF453" s="20" t="s">
        <v>14</v>
      </c>
      <c r="BG453" s="20">
        <v>-5.5</v>
      </c>
      <c r="BH453" s="20">
        <v>3.14</v>
      </c>
      <c r="BM453" s="20">
        <v>253.11</v>
      </c>
      <c r="BN453" s="20">
        <v>121.87</v>
      </c>
      <c r="BW453" s="20">
        <v>-53.94</v>
      </c>
      <c r="BX453" s="20">
        <v>-44.12</v>
      </c>
      <c r="BZ453" s="20">
        <v>-42.68</v>
      </c>
      <c r="CA453" s="20">
        <v>58.64</v>
      </c>
      <c r="CI453" s="20">
        <v>-59.16</v>
      </c>
      <c r="CJ453" s="20">
        <v>-63.38</v>
      </c>
      <c r="CO453" s="20">
        <v>-2.44</v>
      </c>
      <c r="CP453" s="20">
        <v>-55.65</v>
      </c>
    </row>
    <row r="454">
      <c r="A454" s="20">
        <v>-5.2</v>
      </c>
      <c r="B454" s="20">
        <v>204.63</v>
      </c>
      <c r="D454" s="20"/>
      <c r="E454" s="20"/>
      <c r="F454" s="20">
        <v>-19.41</v>
      </c>
      <c r="G454" s="20">
        <v>5.3</v>
      </c>
      <c r="I454" s="20"/>
      <c r="J454" s="20"/>
      <c r="K454" s="20">
        <v>226.0</v>
      </c>
      <c r="L454" s="20" t="s">
        <v>17</v>
      </c>
      <c r="M454" s="20">
        <v>7.68</v>
      </c>
      <c r="N454" s="20">
        <v>17.15</v>
      </c>
      <c r="P454" s="20">
        <v>-23.8</v>
      </c>
      <c r="Q454" s="20">
        <v>-10.92</v>
      </c>
      <c r="AG454" s="20">
        <v>452.0</v>
      </c>
      <c r="AH454" s="20" t="s">
        <v>14</v>
      </c>
      <c r="AI454" s="20">
        <v>-11.77</v>
      </c>
      <c r="AJ454" s="20">
        <v>-16.38</v>
      </c>
      <c r="AM454" s="20">
        <v>228.0</v>
      </c>
      <c r="AN454" s="20" t="s">
        <v>17</v>
      </c>
      <c r="AO454" s="20">
        <v>-10.82</v>
      </c>
      <c r="AP454" s="20">
        <v>9.5</v>
      </c>
      <c r="AS454" s="20">
        <v>226.0</v>
      </c>
      <c r="AT454" s="20" t="s">
        <v>17</v>
      </c>
      <c r="AU454" s="20">
        <v>-46.68</v>
      </c>
      <c r="AV454" s="20">
        <v>-21.32</v>
      </c>
      <c r="BE454" s="20">
        <v>452.0</v>
      </c>
      <c r="BF454" s="20" t="s">
        <v>14</v>
      </c>
      <c r="BG454" s="20">
        <v>-10.99</v>
      </c>
      <c r="BH454" s="20">
        <v>11.37</v>
      </c>
      <c r="BM454" s="20">
        <v>140.65</v>
      </c>
      <c r="BN454" s="20">
        <v>50.48</v>
      </c>
      <c r="BW454" s="20">
        <v>-58.22</v>
      </c>
      <c r="BX454" s="20">
        <v>-30.38</v>
      </c>
      <c r="BZ454" s="20">
        <v>-59.72</v>
      </c>
      <c r="CA454" s="20">
        <v>5.03</v>
      </c>
      <c r="CI454" s="20">
        <v>-37.47</v>
      </c>
      <c r="CJ454" s="20">
        <v>-48.87</v>
      </c>
      <c r="CO454" s="20">
        <v>-22.88</v>
      </c>
      <c r="CP454" s="20">
        <v>-58.12</v>
      </c>
    </row>
    <row r="455">
      <c r="A455" s="20">
        <v>-49.61</v>
      </c>
      <c r="B455" s="20">
        <v>118.0</v>
      </c>
      <c r="D455" s="20"/>
      <c r="E455" s="20"/>
      <c r="F455" s="20">
        <v>-20.79</v>
      </c>
      <c r="G455" s="20">
        <v>27.26</v>
      </c>
      <c r="I455" s="20"/>
      <c r="J455" s="20"/>
      <c r="K455" s="20">
        <v>227.0</v>
      </c>
      <c r="L455" s="20" t="s">
        <v>14</v>
      </c>
      <c r="M455" s="20">
        <v>-22.36</v>
      </c>
      <c r="N455" s="20">
        <v>-6.74</v>
      </c>
      <c r="P455" s="20">
        <v>11.33</v>
      </c>
      <c r="Q455" s="20">
        <v>28.43</v>
      </c>
      <c r="AG455" s="20">
        <v>453.0</v>
      </c>
      <c r="AH455" s="20" t="s">
        <v>14</v>
      </c>
      <c r="AI455" s="20">
        <v>-17.98</v>
      </c>
      <c r="AJ455" s="20">
        <v>-25.81</v>
      </c>
      <c r="AM455" s="20">
        <v>229.0</v>
      </c>
      <c r="AN455" s="20" t="s">
        <v>14</v>
      </c>
      <c r="AO455" s="20">
        <v>39.0</v>
      </c>
      <c r="AP455" s="20">
        <v>-27.2</v>
      </c>
      <c r="AS455" s="20">
        <v>227.0</v>
      </c>
      <c r="AT455" s="20" t="s">
        <v>14</v>
      </c>
      <c r="AU455" s="20">
        <v>-35.08</v>
      </c>
      <c r="AV455" s="20">
        <v>-45.56</v>
      </c>
      <c r="BE455" s="20">
        <v>453.0</v>
      </c>
      <c r="BF455" s="20" t="s">
        <v>14</v>
      </c>
      <c r="BG455" s="20">
        <v>1.74</v>
      </c>
      <c r="BH455" s="20">
        <v>12.84</v>
      </c>
      <c r="BM455" s="20">
        <v>58.72</v>
      </c>
      <c r="BN455" s="20">
        <v>54.85</v>
      </c>
      <c r="BW455" s="20">
        <v>-54.31</v>
      </c>
      <c r="BX455" s="20">
        <v>-29.15</v>
      </c>
      <c r="BZ455" s="20">
        <v>-58.7</v>
      </c>
      <c r="CA455" s="20">
        <v>31.04</v>
      </c>
      <c r="CI455" s="20">
        <v>-35.63</v>
      </c>
      <c r="CJ455" s="20">
        <v>-39.21</v>
      </c>
      <c r="CO455" s="20">
        <v>-16.41</v>
      </c>
      <c r="CP455" s="20">
        <v>-53.89</v>
      </c>
    </row>
    <row r="456">
      <c r="A456" s="20">
        <v>-7.18</v>
      </c>
      <c r="B456" s="20">
        <v>160.94</v>
      </c>
      <c r="D456" s="20"/>
      <c r="E456" s="20"/>
      <c r="F456" s="20">
        <v>4.0</v>
      </c>
      <c r="G456" s="20">
        <v>20.12</v>
      </c>
      <c r="I456" s="20"/>
      <c r="J456" s="20"/>
      <c r="K456" s="20">
        <v>227.0</v>
      </c>
      <c r="L456" s="20" t="s">
        <v>17</v>
      </c>
      <c r="M456" s="20">
        <v>-43.72</v>
      </c>
      <c r="N456" s="20">
        <v>-16.48</v>
      </c>
      <c r="P456" s="20">
        <v>25.39</v>
      </c>
      <c r="Q456" s="20">
        <v>55.67</v>
      </c>
      <c r="AG456" s="20">
        <v>454.0</v>
      </c>
      <c r="AH456" s="20" t="s">
        <v>14</v>
      </c>
      <c r="AI456" s="20">
        <v>-5.33</v>
      </c>
      <c r="AJ456" s="20">
        <v>-18.8</v>
      </c>
      <c r="AM456" s="20">
        <v>229.0</v>
      </c>
      <c r="AN456" s="20" t="s">
        <v>17</v>
      </c>
      <c r="AO456" s="20">
        <v>-13.93</v>
      </c>
      <c r="AP456" s="20">
        <v>-10.57</v>
      </c>
      <c r="AS456" s="20">
        <v>227.0</v>
      </c>
      <c r="AT456" s="20" t="s">
        <v>17</v>
      </c>
      <c r="AU456" s="20">
        <v>-64.81</v>
      </c>
      <c r="AV456" s="20">
        <v>-57.58</v>
      </c>
      <c r="BE456" s="20">
        <v>454.0</v>
      </c>
      <c r="BF456" s="20" t="s">
        <v>14</v>
      </c>
      <c r="BG456" s="20">
        <v>-9.18</v>
      </c>
      <c r="BH456" s="20">
        <v>3.6</v>
      </c>
      <c r="BM456" s="20">
        <v>82.91</v>
      </c>
      <c r="BN456" s="20">
        <v>130.19</v>
      </c>
      <c r="BW456" s="20">
        <v>-46.38</v>
      </c>
      <c r="BX456" s="20">
        <v>-29.79</v>
      </c>
      <c r="BZ456" s="20">
        <v>-52.32</v>
      </c>
      <c r="CA456" s="20">
        <v>45.59</v>
      </c>
      <c r="CI456" s="20">
        <v>-54.17</v>
      </c>
      <c r="CJ456" s="20">
        <v>-63.34</v>
      </c>
      <c r="CO456" s="20">
        <v>-8.21</v>
      </c>
      <c r="CP456" s="20">
        <v>-32.88</v>
      </c>
    </row>
    <row r="457">
      <c r="A457" s="20">
        <v>-35.95</v>
      </c>
      <c r="B457" s="20">
        <v>-5.6</v>
      </c>
      <c r="D457" s="20"/>
      <c r="E457" s="20"/>
      <c r="F457" s="20">
        <v>-29.05</v>
      </c>
      <c r="G457" s="20">
        <v>12.88</v>
      </c>
      <c r="I457" s="20"/>
      <c r="J457" s="20"/>
      <c r="K457" s="20">
        <v>228.0</v>
      </c>
      <c r="L457" s="20" t="s">
        <v>14</v>
      </c>
      <c r="M457" s="20">
        <v>35.02</v>
      </c>
      <c r="N457" s="20">
        <v>29.52</v>
      </c>
      <c r="P457" s="20">
        <v>14.75</v>
      </c>
      <c r="Q457" s="20">
        <v>36.44</v>
      </c>
      <c r="AG457" s="20">
        <v>455.0</v>
      </c>
      <c r="AH457" s="20" t="s">
        <v>14</v>
      </c>
      <c r="AI457" s="20">
        <v>14.71</v>
      </c>
      <c r="AJ457" s="20">
        <v>-12.57</v>
      </c>
      <c r="AM457" s="20">
        <v>230.0</v>
      </c>
      <c r="AN457" s="20" t="s">
        <v>14</v>
      </c>
      <c r="AO457" s="20">
        <v>-20.79</v>
      </c>
      <c r="AP457" s="20">
        <v>-39.93</v>
      </c>
      <c r="AS457" s="20">
        <v>228.0</v>
      </c>
      <c r="AT457" s="20" t="s">
        <v>14</v>
      </c>
      <c r="AU457" s="20">
        <v>15.56</v>
      </c>
      <c r="AV457" s="20">
        <v>-28.0</v>
      </c>
      <c r="BE457" s="20">
        <v>455.0</v>
      </c>
      <c r="BF457" s="20" t="s">
        <v>14</v>
      </c>
      <c r="BG457" s="20">
        <v>-11.54</v>
      </c>
      <c r="BH457" s="20">
        <v>-12.11</v>
      </c>
      <c r="BM457" s="20">
        <v>316.44</v>
      </c>
      <c r="BN457" s="20">
        <v>138.34</v>
      </c>
      <c r="BW457" s="20">
        <v>-62.53</v>
      </c>
      <c r="BX457" s="20">
        <v>-39.46</v>
      </c>
      <c r="BZ457" s="20">
        <v>-60.14</v>
      </c>
      <c r="CA457" s="20">
        <v>36.19</v>
      </c>
      <c r="CI457" s="20">
        <v>-47.06</v>
      </c>
      <c r="CJ457" s="20">
        <v>-54.35</v>
      </c>
      <c r="CO457" s="20">
        <v>-2.7</v>
      </c>
      <c r="CP457" s="20">
        <v>-54.4</v>
      </c>
    </row>
    <row r="458">
      <c r="A458" s="20">
        <v>-20.23</v>
      </c>
      <c r="B458" s="20">
        <v>286.03</v>
      </c>
      <c r="D458" s="20"/>
      <c r="E458" s="20"/>
      <c r="F458" s="20">
        <v>-14.29</v>
      </c>
      <c r="G458" s="20">
        <v>12.57</v>
      </c>
      <c r="I458" s="20"/>
      <c r="J458" s="20"/>
      <c r="K458" s="20">
        <v>228.0</v>
      </c>
      <c r="L458" s="20" t="s">
        <v>17</v>
      </c>
      <c r="M458" s="20">
        <v>52.23</v>
      </c>
      <c r="N458" s="20">
        <v>-38.79</v>
      </c>
      <c r="P458" s="20">
        <v>66.26</v>
      </c>
      <c r="Q458" s="20">
        <v>117.36</v>
      </c>
      <c r="AG458" s="20">
        <v>456.0</v>
      </c>
      <c r="AH458" s="20" t="s">
        <v>14</v>
      </c>
      <c r="AI458" s="20">
        <v>-12.51</v>
      </c>
      <c r="AJ458" s="20">
        <v>-4.16</v>
      </c>
      <c r="AM458" s="20">
        <v>230.0</v>
      </c>
      <c r="AN458" s="20" t="s">
        <v>17</v>
      </c>
      <c r="AO458" s="20">
        <v>-5.76</v>
      </c>
      <c r="AP458" s="20">
        <v>7.97</v>
      </c>
      <c r="AS458" s="20">
        <v>228.0</v>
      </c>
      <c r="AT458" s="20" t="s">
        <v>17</v>
      </c>
      <c r="AU458" s="20">
        <v>-32.16</v>
      </c>
      <c r="AV458" s="20">
        <v>-20.61</v>
      </c>
      <c r="BE458" s="20">
        <v>456.0</v>
      </c>
      <c r="BF458" s="20" t="s">
        <v>14</v>
      </c>
      <c r="BG458" s="20">
        <v>-12.81</v>
      </c>
      <c r="BH458" s="20">
        <v>0.92</v>
      </c>
      <c r="BM458" s="20">
        <v>283.49</v>
      </c>
      <c r="BN458" s="20">
        <v>75.22</v>
      </c>
      <c r="BW458" s="20">
        <v>-54.47</v>
      </c>
      <c r="BX458" s="20">
        <v>-24.03</v>
      </c>
      <c r="BZ458" s="20">
        <v>-62.02</v>
      </c>
      <c r="CA458" s="20">
        <v>-24.14</v>
      </c>
      <c r="CI458" s="20">
        <v>-39.66</v>
      </c>
      <c r="CJ458" s="20">
        <v>-46.95</v>
      </c>
      <c r="CO458" s="20">
        <v>28.62</v>
      </c>
      <c r="CP458" s="20">
        <v>-67.58</v>
      </c>
    </row>
    <row r="459">
      <c r="A459" s="20">
        <v>-0.39</v>
      </c>
      <c r="B459" s="20">
        <v>108.71</v>
      </c>
      <c r="D459" s="20"/>
      <c r="E459" s="20"/>
      <c r="F459" s="20">
        <v>-10.67</v>
      </c>
      <c r="G459" s="20">
        <v>2.96</v>
      </c>
      <c r="I459" s="20"/>
      <c r="J459" s="20"/>
      <c r="K459" s="20">
        <v>229.0</v>
      </c>
      <c r="L459" s="20" t="s">
        <v>14</v>
      </c>
      <c r="M459" s="20">
        <v>-31.66</v>
      </c>
      <c r="N459" s="20">
        <v>-9.45</v>
      </c>
      <c r="P459" s="20">
        <v>0.63</v>
      </c>
      <c r="Q459" s="20">
        <v>53.97</v>
      </c>
      <c r="AG459" s="20">
        <v>457.0</v>
      </c>
      <c r="AH459" s="20" t="s">
        <v>14</v>
      </c>
      <c r="AI459" s="20">
        <v>20.02</v>
      </c>
      <c r="AJ459" s="20">
        <v>-12.78</v>
      </c>
      <c r="AM459" s="20">
        <v>231.0</v>
      </c>
      <c r="AN459" s="20" t="s">
        <v>14</v>
      </c>
      <c r="AO459" s="20">
        <v>3.99</v>
      </c>
      <c r="AP459" s="20">
        <v>-1.19</v>
      </c>
      <c r="AS459" s="20">
        <v>229.0</v>
      </c>
      <c r="AT459" s="20" t="s">
        <v>14</v>
      </c>
      <c r="AU459" s="20">
        <v>1.13</v>
      </c>
      <c r="AV459" s="20">
        <v>-31.25</v>
      </c>
      <c r="BE459" s="20">
        <v>457.0</v>
      </c>
      <c r="BF459" s="20" t="s">
        <v>14</v>
      </c>
      <c r="BG459" s="20">
        <v>8.93</v>
      </c>
      <c r="BH459" s="20">
        <v>15.48</v>
      </c>
      <c r="BM459" s="20">
        <v>83.43</v>
      </c>
      <c r="BN459" s="20">
        <v>72.78</v>
      </c>
      <c r="BW459" s="20">
        <v>91.58</v>
      </c>
      <c r="BX459" s="20">
        <v>32.35</v>
      </c>
      <c r="BZ459" s="20">
        <v>-44.95</v>
      </c>
      <c r="CA459" s="20">
        <v>4.69</v>
      </c>
      <c r="CI459" s="20">
        <v>-28.42</v>
      </c>
      <c r="CJ459" s="20">
        <v>-45.32</v>
      </c>
      <c r="CO459" s="20">
        <v>-37.84</v>
      </c>
      <c r="CP459" s="20">
        <v>-61.49</v>
      </c>
    </row>
    <row r="460">
      <c r="A460" s="20">
        <v>-3.0</v>
      </c>
      <c r="B460" s="20">
        <v>143.44</v>
      </c>
      <c r="D460" s="20"/>
      <c r="E460" s="20"/>
      <c r="F460" s="20">
        <v>11.2</v>
      </c>
      <c r="G460" s="20">
        <v>-2.71</v>
      </c>
      <c r="I460" s="20"/>
      <c r="J460" s="20"/>
      <c r="K460" s="20">
        <v>229.0</v>
      </c>
      <c r="L460" s="20" t="s">
        <v>17</v>
      </c>
      <c r="M460" s="20">
        <v>-23.56</v>
      </c>
      <c r="N460" s="20">
        <v>-16.89</v>
      </c>
      <c r="P460" s="20">
        <v>-16.29</v>
      </c>
      <c r="Q460" s="20">
        <v>-10.53</v>
      </c>
      <c r="AG460" s="20">
        <v>458.0</v>
      </c>
      <c r="AH460" s="20" t="s">
        <v>14</v>
      </c>
      <c r="AI460" s="20">
        <v>72.86</v>
      </c>
      <c r="AJ460" s="20">
        <v>15.99</v>
      </c>
      <c r="AM460" s="20">
        <v>231.0</v>
      </c>
      <c r="AN460" s="20" t="s">
        <v>17</v>
      </c>
      <c r="AO460" s="20">
        <v>7.67</v>
      </c>
      <c r="AP460" s="20">
        <v>6.27</v>
      </c>
      <c r="AS460" s="20">
        <v>229.0</v>
      </c>
      <c r="AT460" s="20" t="s">
        <v>17</v>
      </c>
      <c r="AU460" s="20">
        <v>-37.14</v>
      </c>
      <c r="AV460" s="20">
        <v>-56.43</v>
      </c>
      <c r="BE460" s="20">
        <v>458.0</v>
      </c>
      <c r="BF460" s="20" t="s">
        <v>14</v>
      </c>
      <c r="BG460" s="20">
        <v>-25.92</v>
      </c>
      <c r="BH460" s="20">
        <v>1.36</v>
      </c>
      <c r="BM460" s="20">
        <v>-0.7</v>
      </c>
      <c r="BN460" s="20">
        <v>70.21</v>
      </c>
      <c r="BW460" s="20">
        <v>-5.97</v>
      </c>
      <c r="BX460" s="20">
        <v>17.28</v>
      </c>
      <c r="BZ460" s="20">
        <v>-47.1</v>
      </c>
      <c r="CA460" s="20">
        <v>74.23</v>
      </c>
      <c r="CI460" s="20">
        <v>-46.0</v>
      </c>
      <c r="CJ460" s="20">
        <v>-63.74</v>
      </c>
      <c r="CO460" s="20">
        <v>5.84</v>
      </c>
      <c r="CP460" s="20">
        <v>-46.47</v>
      </c>
    </row>
    <row r="461">
      <c r="A461" s="20">
        <v>-44.16</v>
      </c>
      <c r="B461" s="20">
        <v>-30.89</v>
      </c>
      <c r="D461" s="20"/>
      <c r="E461" s="20"/>
      <c r="F461" s="20">
        <v>-9.8</v>
      </c>
      <c r="G461" s="20">
        <v>51.58</v>
      </c>
      <c r="I461" s="20"/>
      <c r="J461" s="20"/>
      <c r="K461" s="20">
        <v>230.0</v>
      </c>
      <c r="L461" s="20" t="s">
        <v>14</v>
      </c>
      <c r="M461" s="20">
        <v>-19.63</v>
      </c>
      <c r="N461" s="20">
        <v>6.01</v>
      </c>
      <c r="P461" s="20">
        <v>3.0</v>
      </c>
      <c r="Q461" s="20">
        <v>16.71</v>
      </c>
      <c r="AG461" s="20">
        <v>459.0</v>
      </c>
      <c r="AH461" s="20" t="s">
        <v>14</v>
      </c>
      <c r="AI461" s="20">
        <v>3.98</v>
      </c>
      <c r="AJ461" s="20">
        <v>-23.65</v>
      </c>
      <c r="AM461" s="20">
        <v>232.0</v>
      </c>
      <c r="AN461" s="20" t="s">
        <v>14</v>
      </c>
      <c r="AO461" s="20">
        <v>-32.42</v>
      </c>
      <c r="AP461" s="20">
        <v>-35.4</v>
      </c>
      <c r="AS461" s="20">
        <v>230.0</v>
      </c>
      <c r="AT461" s="20" t="s">
        <v>14</v>
      </c>
      <c r="AU461" s="20">
        <v>6.82</v>
      </c>
      <c r="AV461" s="20">
        <v>-35.59</v>
      </c>
      <c r="BE461" s="20">
        <v>459.0</v>
      </c>
      <c r="BF461" s="20" t="s">
        <v>14</v>
      </c>
      <c r="BG461" s="20">
        <v>-19.82</v>
      </c>
      <c r="BH461" s="20">
        <v>45.78</v>
      </c>
      <c r="BM461" s="20">
        <v>101.68</v>
      </c>
      <c r="BN461" s="20">
        <v>154.12</v>
      </c>
      <c r="BW461" s="20">
        <v>-45.33</v>
      </c>
      <c r="BX461" s="20">
        <v>33.0</v>
      </c>
      <c r="BZ461" s="20">
        <v>-43.46</v>
      </c>
      <c r="CA461" s="20">
        <v>60.13</v>
      </c>
      <c r="CI461" s="20">
        <v>-51.49</v>
      </c>
      <c r="CJ461" s="20">
        <v>-60.46</v>
      </c>
      <c r="CO461" s="20">
        <v>-33.82</v>
      </c>
      <c r="CP461" s="20">
        <v>-49.98</v>
      </c>
    </row>
    <row r="462">
      <c r="A462" s="20">
        <v>9.59</v>
      </c>
      <c r="B462" s="20">
        <v>91.25</v>
      </c>
      <c r="D462" s="20"/>
      <c r="E462" s="20"/>
      <c r="F462" s="20">
        <v>-41.03</v>
      </c>
      <c r="G462" s="20">
        <v>-2.39</v>
      </c>
      <c r="I462" s="20"/>
      <c r="J462" s="20"/>
      <c r="K462" s="20">
        <v>230.0</v>
      </c>
      <c r="L462" s="20" t="s">
        <v>17</v>
      </c>
      <c r="M462" s="20">
        <v>3.15</v>
      </c>
      <c r="N462" s="20">
        <v>-63.73</v>
      </c>
      <c r="P462" s="20">
        <v>0.26</v>
      </c>
      <c r="Q462" s="20">
        <v>29.94</v>
      </c>
      <c r="AG462" s="20">
        <v>460.0</v>
      </c>
      <c r="AH462" s="20" t="s">
        <v>14</v>
      </c>
      <c r="AI462" s="20">
        <v>-15.43</v>
      </c>
      <c r="AJ462" s="20">
        <v>-15.53</v>
      </c>
      <c r="AM462" s="20">
        <v>232.0</v>
      </c>
      <c r="AN462" s="20" t="s">
        <v>17</v>
      </c>
      <c r="AO462" s="20">
        <v>4.03</v>
      </c>
      <c r="AP462" s="20">
        <v>-32.23</v>
      </c>
      <c r="AS462" s="20">
        <v>230.0</v>
      </c>
      <c r="AT462" s="20" t="s">
        <v>17</v>
      </c>
      <c r="AU462" s="20">
        <v>4.26</v>
      </c>
      <c r="AV462" s="20">
        <v>-38.63</v>
      </c>
      <c r="BE462" s="20">
        <v>460.0</v>
      </c>
      <c r="BF462" s="20" t="s">
        <v>14</v>
      </c>
      <c r="BG462" s="20">
        <v>23.42</v>
      </c>
      <c r="BH462" s="20">
        <v>1.12</v>
      </c>
      <c r="BM462" s="20">
        <v>81.43</v>
      </c>
      <c r="BN462" s="20">
        <v>162.71</v>
      </c>
      <c r="BW462" s="20">
        <v>-42.29</v>
      </c>
      <c r="BX462" s="20">
        <v>6.2</v>
      </c>
      <c r="BZ462" s="20">
        <v>-37.97</v>
      </c>
      <c r="CA462" s="20">
        <v>47.32</v>
      </c>
      <c r="CI462" s="20">
        <v>-10.52</v>
      </c>
      <c r="CJ462" s="20">
        <v>-52.76</v>
      </c>
      <c r="CO462" s="20">
        <v>2.35</v>
      </c>
      <c r="CP462" s="20">
        <v>-26.46</v>
      </c>
    </row>
    <row r="463">
      <c r="A463" s="20">
        <v>-9.89</v>
      </c>
      <c r="B463" s="20">
        <v>187.23</v>
      </c>
      <c r="D463" s="20"/>
      <c r="E463" s="20"/>
      <c r="F463" s="20">
        <v>-9.31</v>
      </c>
      <c r="G463" s="20">
        <v>12.01</v>
      </c>
      <c r="I463" s="20"/>
      <c r="J463" s="20"/>
      <c r="K463" s="20">
        <v>231.0</v>
      </c>
      <c r="L463" s="20" t="s">
        <v>14</v>
      </c>
      <c r="M463" s="20">
        <v>-9.54</v>
      </c>
      <c r="N463" s="20">
        <v>17.24</v>
      </c>
      <c r="P463" s="20">
        <v>85.83</v>
      </c>
      <c r="Q463" s="20">
        <v>79.32</v>
      </c>
      <c r="AG463" s="20">
        <v>461.0</v>
      </c>
      <c r="AH463" s="20" t="s">
        <v>14</v>
      </c>
      <c r="AI463" s="20">
        <v>65.56</v>
      </c>
      <c r="AJ463" s="20">
        <v>9.44</v>
      </c>
      <c r="AM463" s="20">
        <v>233.0</v>
      </c>
      <c r="AN463" s="20" t="s">
        <v>14</v>
      </c>
      <c r="AO463" s="20">
        <v>0.3</v>
      </c>
      <c r="AP463" s="20">
        <v>-5.86</v>
      </c>
      <c r="AS463" s="20">
        <v>231.0</v>
      </c>
      <c r="AT463" s="20" t="s">
        <v>14</v>
      </c>
      <c r="AU463" s="20">
        <v>-8.61</v>
      </c>
      <c r="AV463" s="20">
        <v>-34.53</v>
      </c>
      <c r="BE463" s="20">
        <v>461.0</v>
      </c>
      <c r="BF463" s="20" t="s">
        <v>14</v>
      </c>
      <c r="BG463" s="20">
        <v>-3.59</v>
      </c>
      <c r="BH463" s="20">
        <v>8.2</v>
      </c>
      <c r="BM463" s="20">
        <v>98.56</v>
      </c>
      <c r="BN463" s="20">
        <v>105.07</v>
      </c>
      <c r="BW463" s="20">
        <v>-24.44</v>
      </c>
      <c r="BX463" s="20">
        <v>-0.15</v>
      </c>
      <c r="BZ463" s="20">
        <v>-35.84</v>
      </c>
      <c r="CA463" s="20">
        <v>121.54</v>
      </c>
      <c r="CI463" s="20">
        <v>-41.29</v>
      </c>
      <c r="CJ463" s="20">
        <v>-47.5</v>
      </c>
      <c r="CO463" s="20">
        <v>-36.32</v>
      </c>
      <c r="CP463" s="20">
        <v>-60.88</v>
      </c>
    </row>
    <row r="464">
      <c r="A464" s="20">
        <v>-37.68</v>
      </c>
      <c r="B464" s="20">
        <v>20.48</v>
      </c>
      <c r="D464" s="20"/>
      <c r="E464" s="20"/>
      <c r="F464" s="20">
        <v>-29.62</v>
      </c>
      <c r="G464" s="20">
        <v>24.4</v>
      </c>
      <c r="I464" s="20"/>
      <c r="J464" s="20"/>
      <c r="K464" s="20">
        <v>231.0</v>
      </c>
      <c r="L464" s="20" t="s">
        <v>17</v>
      </c>
      <c r="M464" s="20">
        <v>-41.5</v>
      </c>
      <c r="N464" s="20">
        <v>-13.17</v>
      </c>
      <c r="P464" s="20">
        <v>90.81</v>
      </c>
      <c r="Q464" s="20">
        <v>67.18</v>
      </c>
      <c r="AG464" s="20">
        <v>462.0</v>
      </c>
      <c r="AH464" s="20" t="s">
        <v>14</v>
      </c>
      <c r="AI464" s="20">
        <v>-20.53</v>
      </c>
      <c r="AJ464" s="20">
        <v>-17.95</v>
      </c>
      <c r="AM464" s="20">
        <v>233.0</v>
      </c>
      <c r="AN464" s="20" t="s">
        <v>17</v>
      </c>
      <c r="AO464" s="20">
        <v>14.35</v>
      </c>
      <c r="AP464" s="20">
        <v>25.28</v>
      </c>
      <c r="AS464" s="20">
        <v>231.0</v>
      </c>
      <c r="AT464" s="20" t="s">
        <v>17</v>
      </c>
      <c r="AU464" s="20">
        <v>-46.46</v>
      </c>
      <c r="AV464" s="20">
        <v>-39.21</v>
      </c>
      <c r="BE464" s="20">
        <v>462.0</v>
      </c>
      <c r="BF464" s="20" t="s">
        <v>14</v>
      </c>
      <c r="BG464" s="20">
        <v>-0.45</v>
      </c>
      <c r="BH464" s="20">
        <v>3.1</v>
      </c>
      <c r="BM464" s="20">
        <v>98.72</v>
      </c>
      <c r="BN464" s="20">
        <v>167.58</v>
      </c>
      <c r="BW464" s="20">
        <v>-38.46</v>
      </c>
      <c r="BX464" s="20">
        <v>-0.71</v>
      </c>
      <c r="BZ464" s="20">
        <v>-58.24</v>
      </c>
      <c r="CA464" s="20">
        <v>17.29</v>
      </c>
      <c r="CI464" s="20">
        <v>-52.62</v>
      </c>
      <c r="CJ464" s="20">
        <v>-55.12</v>
      </c>
      <c r="CO464" s="20">
        <v>-32.89</v>
      </c>
      <c r="CP464" s="20">
        <v>-47.03</v>
      </c>
    </row>
    <row r="465">
      <c r="A465" s="20">
        <v>2.32</v>
      </c>
      <c r="B465" s="20">
        <v>110.41</v>
      </c>
      <c r="D465" s="20"/>
      <c r="E465" s="20"/>
      <c r="F465" s="20">
        <v>1.92</v>
      </c>
      <c r="G465" s="20">
        <v>1.28</v>
      </c>
      <c r="I465" s="20"/>
      <c r="J465" s="20"/>
      <c r="K465" s="20">
        <v>232.0</v>
      </c>
      <c r="L465" s="20" t="s">
        <v>14</v>
      </c>
      <c r="M465" s="20">
        <v>13.62</v>
      </c>
      <c r="N465" s="20">
        <v>86.54</v>
      </c>
      <c r="P465" s="20">
        <v>45.32</v>
      </c>
      <c r="Q465" s="20">
        <v>7.59</v>
      </c>
      <c r="AG465" s="20">
        <v>463.0</v>
      </c>
      <c r="AH465" s="20" t="s">
        <v>14</v>
      </c>
      <c r="AI465" s="20">
        <v>-38.31</v>
      </c>
      <c r="AJ465" s="20">
        <v>-14.83</v>
      </c>
      <c r="AM465" s="20">
        <v>234.0</v>
      </c>
      <c r="AN465" s="20" t="s">
        <v>14</v>
      </c>
      <c r="AO465" s="20">
        <v>23.78</v>
      </c>
      <c r="AP465" s="20">
        <v>-14.12</v>
      </c>
      <c r="AS465" s="20">
        <v>232.0</v>
      </c>
      <c r="AT465" s="20" t="s">
        <v>14</v>
      </c>
      <c r="AU465" s="20">
        <v>-43.99</v>
      </c>
      <c r="AV465" s="20">
        <v>-58.79</v>
      </c>
      <c r="BE465" s="20">
        <v>463.0</v>
      </c>
      <c r="BF465" s="20" t="s">
        <v>14</v>
      </c>
      <c r="BG465" s="20">
        <v>-17.3</v>
      </c>
      <c r="BH465" s="20">
        <v>38.02</v>
      </c>
      <c r="BM465" s="20">
        <v>62.84</v>
      </c>
      <c r="BN465" s="20">
        <v>180.26</v>
      </c>
      <c r="BW465" s="20">
        <v>-15.24</v>
      </c>
      <c r="BX465" s="20">
        <v>-46.71</v>
      </c>
      <c r="BZ465" s="20">
        <v>-45.76</v>
      </c>
      <c r="CA465" s="20">
        <v>68.79</v>
      </c>
      <c r="CI465" s="20">
        <v>-28.71</v>
      </c>
      <c r="CJ465" s="20">
        <v>-54.53</v>
      </c>
      <c r="CO465" s="20">
        <v>18.02</v>
      </c>
      <c r="CP465" s="20">
        <v>-61.17</v>
      </c>
    </row>
    <row r="466">
      <c r="A466" s="20">
        <v>91.88</v>
      </c>
      <c r="B466" s="20">
        <v>170.62</v>
      </c>
      <c r="D466" s="20"/>
      <c r="E466" s="20"/>
      <c r="F466" s="20">
        <v>-7.4</v>
      </c>
      <c r="G466" s="20">
        <v>21.61</v>
      </c>
      <c r="I466" s="20"/>
      <c r="J466" s="20"/>
      <c r="K466" s="20">
        <v>232.0</v>
      </c>
      <c r="L466" s="20" t="s">
        <v>17</v>
      </c>
      <c r="M466" s="20">
        <v>1.52</v>
      </c>
      <c r="N466" s="20">
        <v>33.57</v>
      </c>
      <c r="P466" s="20">
        <v>10.0</v>
      </c>
      <c r="Q466" s="20">
        <v>26.77</v>
      </c>
      <c r="AG466" s="20">
        <v>464.0</v>
      </c>
      <c r="AH466" s="20" t="s">
        <v>14</v>
      </c>
      <c r="AI466" s="20">
        <v>7.37</v>
      </c>
      <c r="AJ466" s="20">
        <v>-11.37</v>
      </c>
      <c r="AM466" s="20">
        <v>234.0</v>
      </c>
      <c r="AN466" s="20" t="s">
        <v>17</v>
      </c>
      <c r="AO466" s="20">
        <v>-2.47</v>
      </c>
      <c r="AP466" s="20">
        <v>-22.82</v>
      </c>
      <c r="AS466" s="20">
        <v>232.0</v>
      </c>
      <c r="AT466" s="20" t="s">
        <v>17</v>
      </c>
      <c r="AU466" s="20">
        <v>-25.21</v>
      </c>
      <c r="AV466" s="20">
        <v>-25.33</v>
      </c>
      <c r="BE466" s="20">
        <v>464.0</v>
      </c>
      <c r="BF466" s="20" t="s">
        <v>14</v>
      </c>
      <c r="BG466" s="20">
        <v>11.82</v>
      </c>
      <c r="BH466" s="20">
        <v>16.59</v>
      </c>
      <c r="BM466" s="20">
        <v>157.17</v>
      </c>
      <c r="BN466" s="20">
        <v>98.26</v>
      </c>
      <c r="BW466" s="20">
        <v>-42.6</v>
      </c>
      <c r="BX466" s="20">
        <v>-9.04</v>
      </c>
      <c r="BZ466" s="20">
        <v>-36.22</v>
      </c>
      <c r="CA466" s="20">
        <v>66.29</v>
      </c>
      <c r="CI466" s="20">
        <v>-51.73</v>
      </c>
      <c r="CJ466" s="20">
        <v>-61.08</v>
      </c>
      <c r="CO466" s="20">
        <v>-6.31</v>
      </c>
      <c r="CP466" s="20">
        <v>-55.41</v>
      </c>
    </row>
    <row r="467">
      <c r="A467" s="20">
        <v>18.29</v>
      </c>
      <c r="B467" s="20">
        <v>135.67</v>
      </c>
      <c r="D467" s="20"/>
      <c r="E467" s="20"/>
      <c r="F467" s="20">
        <v>-16.89</v>
      </c>
      <c r="G467" s="20">
        <v>34.94</v>
      </c>
      <c r="I467" s="20"/>
      <c r="J467" s="20"/>
      <c r="K467" s="20">
        <v>233.0</v>
      </c>
      <c r="L467" s="20" t="s">
        <v>14</v>
      </c>
      <c r="M467" s="20">
        <v>-33.46</v>
      </c>
      <c r="N467" s="20">
        <v>-4.21</v>
      </c>
      <c r="P467" s="20">
        <v>131.55</v>
      </c>
      <c r="Q467" s="20">
        <v>248.02</v>
      </c>
      <c r="AG467" s="20">
        <v>465.0</v>
      </c>
      <c r="AH467" s="20" t="s">
        <v>14</v>
      </c>
      <c r="AI467" s="20">
        <v>-6.74</v>
      </c>
      <c r="AJ467" s="20">
        <v>-14.86</v>
      </c>
      <c r="AM467" s="20">
        <v>235.0</v>
      </c>
      <c r="AN467" s="20" t="s">
        <v>14</v>
      </c>
      <c r="AO467" s="20">
        <v>-41.33</v>
      </c>
      <c r="AP467" s="20">
        <v>-23.34</v>
      </c>
      <c r="AS467" s="20">
        <v>233.0</v>
      </c>
      <c r="AT467" s="20" t="s">
        <v>14</v>
      </c>
      <c r="AU467" s="20">
        <v>2.22</v>
      </c>
      <c r="AV467" s="20">
        <v>-32.25</v>
      </c>
      <c r="BE467" s="20">
        <v>465.0</v>
      </c>
      <c r="BF467" s="20" t="s">
        <v>14</v>
      </c>
      <c r="BG467" s="20">
        <v>10.05</v>
      </c>
      <c r="BH467" s="20">
        <v>17.42</v>
      </c>
      <c r="BM467" s="20">
        <v>27.54</v>
      </c>
      <c r="BN467" s="20">
        <v>40.64</v>
      </c>
      <c r="BW467" s="20">
        <v>-50.25</v>
      </c>
      <c r="BX467" s="20">
        <v>7.51</v>
      </c>
      <c r="BZ467" s="20">
        <v>-37.56</v>
      </c>
      <c r="CA467" s="20">
        <v>-62.51</v>
      </c>
      <c r="CI467" s="20">
        <v>-49.37</v>
      </c>
      <c r="CJ467" s="20">
        <v>-67.87</v>
      </c>
      <c r="CO467" s="20">
        <v>-13.73</v>
      </c>
      <c r="CP467" s="20">
        <v>-51.26</v>
      </c>
    </row>
    <row r="468">
      <c r="A468" s="20">
        <v>-8.98</v>
      </c>
      <c r="B468" s="20">
        <v>86.37</v>
      </c>
      <c r="D468" s="20"/>
      <c r="E468" s="20"/>
      <c r="F468" s="20">
        <v>-46.71</v>
      </c>
      <c r="G468" s="20">
        <v>36.06</v>
      </c>
      <c r="I468" s="20"/>
      <c r="J468" s="20"/>
      <c r="K468" s="20">
        <v>233.0</v>
      </c>
      <c r="L468" s="20" t="s">
        <v>17</v>
      </c>
      <c r="M468" s="20">
        <v>-5.4</v>
      </c>
      <c r="N468" s="20">
        <v>-32.28</v>
      </c>
      <c r="P468" s="20">
        <v>43.65</v>
      </c>
      <c r="Q468" s="20">
        <v>103.98</v>
      </c>
      <c r="AG468" s="20">
        <v>466.0</v>
      </c>
      <c r="AH468" s="20" t="s">
        <v>14</v>
      </c>
      <c r="AI468" s="20">
        <v>-11.01</v>
      </c>
      <c r="AJ468" s="20">
        <v>-27.55</v>
      </c>
      <c r="AM468" s="20">
        <v>235.0</v>
      </c>
      <c r="AN468" s="20" t="s">
        <v>17</v>
      </c>
      <c r="AO468" s="20">
        <v>-48.94</v>
      </c>
      <c r="AP468" s="20">
        <v>-17.15</v>
      </c>
      <c r="AS468" s="20">
        <v>233.0</v>
      </c>
      <c r="AT468" s="20" t="s">
        <v>17</v>
      </c>
      <c r="AU468" s="20">
        <v>-43.54</v>
      </c>
      <c r="AV468" s="20">
        <v>-14.5</v>
      </c>
      <c r="BE468" s="20">
        <v>466.0</v>
      </c>
      <c r="BF468" s="20" t="s">
        <v>14</v>
      </c>
      <c r="BG468" s="20">
        <v>-2.71</v>
      </c>
      <c r="BH468" s="20">
        <v>38.33</v>
      </c>
      <c r="BM468" s="20">
        <v>23.0</v>
      </c>
      <c r="BN468" s="20">
        <v>56.57</v>
      </c>
      <c r="BW468" s="20">
        <v>-50.69</v>
      </c>
      <c r="BX468" s="20">
        <v>-10.99</v>
      </c>
      <c r="BZ468" s="20">
        <v>-58.69</v>
      </c>
      <c r="CA468" s="20">
        <v>-16.66</v>
      </c>
      <c r="CI468" s="20">
        <v>-51.69</v>
      </c>
      <c r="CJ468" s="20">
        <v>-58.23</v>
      </c>
      <c r="CO468" s="20">
        <v>-24.43</v>
      </c>
      <c r="CP468" s="20">
        <v>-36.07</v>
      </c>
    </row>
    <row r="469">
      <c r="A469" s="20">
        <v>24.17</v>
      </c>
      <c r="B469" s="20">
        <v>-9.93</v>
      </c>
      <c r="D469" s="20"/>
      <c r="E469" s="20"/>
      <c r="F469" s="20">
        <v>-36.6</v>
      </c>
      <c r="G469" s="20">
        <v>7.93</v>
      </c>
      <c r="I469" s="20"/>
      <c r="J469" s="20"/>
      <c r="K469" s="20">
        <v>234.0</v>
      </c>
      <c r="L469" s="20" t="s">
        <v>14</v>
      </c>
      <c r="M469" s="20">
        <v>18.83</v>
      </c>
      <c r="N469" s="20">
        <v>28.15</v>
      </c>
      <c r="P469" s="20">
        <v>8.29</v>
      </c>
      <c r="Q469" s="20">
        <v>26.05</v>
      </c>
      <c r="AG469" s="20">
        <v>467.0</v>
      </c>
      <c r="AH469" s="20" t="s">
        <v>14</v>
      </c>
      <c r="AI469" s="20">
        <v>-13.24</v>
      </c>
      <c r="AJ469" s="20">
        <v>-18.21</v>
      </c>
      <c r="AM469" s="20">
        <v>236.0</v>
      </c>
      <c r="AN469" s="20" t="s">
        <v>14</v>
      </c>
      <c r="AO469" s="20">
        <v>-7.61</v>
      </c>
      <c r="AP469" s="20">
        <v>1.62</v>
      </c>
      <c r="AS469" s="20">
        <v>234.0</v>
      </c>
      <c r="AT469" s="20" t="s">
        <v>14</v>
      </c>
      <c r="AU469" s="20">
        <v>-15.32</v>
      </c>
      <c r="AV469" s="20">
        <v>-26.46</v>
      </c>
      <c r="BE469" s="20">
        <v>467.0</v>
      </c>
      <c r="BF469" s="20" t="s">
        <v>14</v>
      </c>
      <c r="BG469" s="20">
        <v>12.06</v>
      </c>
      <c r="BH469" s="20">
        <v>16.65</v>
      </c>
      <c r="BM469" s="20">
        <v>196.21</v>
      </c>
      <c r="BN469" s="20">
        <v>179.49</v>
      </c>
      <c r="BW469" s="20">
        <v>-54.09</v>
      </c>
      <c r="BX469" s="20">
        <v>-15.67</v>
      </c>
      <c r="BZ469" s="20">
        <v>-27.6</v>
      </c>
      <c r="CA469" s="20">
        <v>-26.4</v>
      </c>
      <c r="CI469" s="20">
        <v>-52.86</v>
      </c>
      <c r="CJ469" s="20">
        <v>-60.96</v>
      </c>
      <c r="CO469" s="20">
        <v>-23.23</v>
      </c>
      <c r="CP469" s="20">
        <v>-50.67</v>
      </c>
    </row>
    <row r="470">
      <c r="A470" s="20">
        <v>56.28</v>
      </c>
      <c r="B470" s="20">
        <v>81.36</v>
      </c>
      <c r="D470" s="20"/>
      <c r="E470" s="20"/>
      <c r="F470" s="20">
        <v>-38.6</v>
      </c>
      <c r="G470" s="20">
        <v>28.48</v>
      </c>
      <c r="I470" s="20"/>
      <c r="J470" s="20"/>
      <c r="K470" s="20">
        <v>234.0</v>
      </c>
      <c r="L470" s="20" t="s">
        <v>17</v>
      </c>
      <c r="M470" s="20">
        <v>49.69</v>
      </c>
      <c r="N470" s="20">
        <v>120.73</v>
      </c>
      <c r="P470" s="20">
        <v>35.69</v>
      </c>
      <c r="Q470" s="20">
        <v>96.65</v>
      </c>
      <c r="AG470" s="20">
        <v>468.0</v>
      </c>
      <c r="AH470" s="20" t="s">
        <v>14</v>
      </c>
      <c r="AI470" s="20">
        <v>-14.51</v>
      </c>
      <c r="AJ470" s="20">
        <v>-23.1</v>
      </c>
      <c r="AM470" s="20">
        <v>236.0</v>
      </c>
      <c r="AN470" s="20" t="s">
        <v>17</v>
      </c>
      <c r="AO470" s="20">
        <v>-24.37</v>
      </c>
      <c r="AP470" s="20">
        <v>45.92</v>
      </c>
      <c r="AS470" s="20">
        <v>234.0</v>
      </c>
      <c r="AT470" s="20" t="s">
        <v>17</v>
      </c>
      <c r="AU470" s="20">
        <v>-20.52</v>
      </c>
      <c r="AV470" s="20">
        <v>6.29</v>
      </c>
      <c r="BE470" s="20">
        <v>468.0</v>
      </c>
      <c r="BF470" s="20" t="s">
        <v>14</v>
      </c>
      <c r="BG470" s="20">
        <v>13.19</v>
      </c>
      <c r="BH470" s="20">
        <v>16.37</v>
      </c>
      <c r="BM470" s="20">
        <v>224.14</v>
      </c>
      <c r="BN470" s="20">
        <v>109.98</v>
      </c>
      <c r="BW470" s="20">
        <v>-49.41</v>
      </c>
      <c r="BX470" s="20">
        <v>-5.7</v>
      </c>
      <c r="BZ470" s="20">
        <v>-24.19</v>
      </c>
      <c r="CA470" s="20">
        <v>98.46</v>
      </c>
      <c r="CI470" s="20">
        <v>-52.85</v>
      </c>
      <c r="CJ470" s="20">
        <v>-65.45</v>
      </c>
      <c r="CO470" s="20">
        <v>-18.5</v>
      </c>
      <c r="CP470" s="20">
        <v>-48.65</v>
      </c>
    </row>
    <row r="471">
      <c r="A471" s="20">
        <v>-39.46</v>
      </c>
      <c r="B471" s="20">
        <v>81.77</v>
      </c>
      <c r="D471" s="20"/>
      <c r="E471" s="20"/>
      <c r="F471" s="20">
        <v>-10.13</v>
      </c>
      <c r="G471" s="20">
        <v>-1.09</v>
      </c>
      <c r="I471" s="20"/>
      <c r="J471" s="20"/>
      <c r="K471" s="20">
        <v>235.0</v>
      </c>
      <c r="L471" s="20" t="s">
        <v>14</v>
      </c>
      <c r="M471" s="20">
        <v>22.13</v>
      </c>
      <c r="N471" s="20">
        <v>-14.82</v>
      </c>
      <c r="P471" s="20">
        <v>7.72</v>
      </c>
      <c r="Q471" s="20">
        <v>-4.04</v>
      </c>
      <c r="AG471" s="20">
        <v>469.0</v>
      </c>
      <c r="AH471" s="20" t="s">
        <v>14</v>
      </c>
      <c r="AI471" s="20">
        <v>4.86</v>
      </c>
      <c r="AJ471" s="20">
        <v>-2.92</v>
      </c>
      <c r="AM471" s="20">
        <v>237.0</v>
      </c>
      <c r="AN471" s="20" t="s">
        <v>14</v>
      </c>
      <c r="AO471" s="20">
        <v>-23.63</v>
      </c>
      <c r="AP471" s="20">
        <v>-34.5</v>
      </c>
      <c r="AS471" s="20">
        <v>235.0</v>
      </c>
      <c r="AT471" s="20" t="s">
        <v>14</v>
      </c>
      <c r="AU471" s="20">
        <v>-27.92</v>
      </c>
      <c r="AV471" s="20">
        <v>-59.78</v>
      </c>
      <c r="BE471" s="20">
        <v>469.0</v>
      </c>
      <c r="BF471" s="20" t="s">
        <v>14</v>
      </c>
      <c r="BG471" s="20">
        <v>-12.63</v>
      </c>
      <c r="BH471" s="20">
        <v>-8.66</v>
      </c>
      <c r="BM471" s="20">
        <v>44.23</v>
      </c>
      <c r="BN471" s="20">
        <v>59.3</v>
      </c>
      <c r="BW471" s="20">
        <v>-4.99</v>
      </c>
      <c r="BX471" s="20">
        <v>-16.99</v>
      </c>
      <c r="BZ471" s="20">
        <v>-63.12</v>
      </c>
      <c r="CA471" s="20">
        <v>2.43</v>
      </c>
      <c r="CI471" s="20">
        <v>-48.52</v>
      </c>
      <c r="CJ471" s="20">
        <v>-58.44</v>
      </c>
      <c r="CO471" s="20">
        <v>-37.28</v>
      </c>
      <c r="CP471" s="20">
        <v>-58.14</v>
      </c>
    </row>
    <row r="472">
      <c r="A472" s="20">
        <v>0.76</v>
      </c>
      <c r="B472" s="20">
        <v>106.4</v>
      </c>
      <c r="D472" s="20"/>
      <c r="E472" s="20"/>
      <c r="F472" s="20">
        <v>-9.06</v>
      </c>
      <c r="G472" s="20">
        <v>12.7</v>
      </c>
      <c r="I472" s="20"/>
      <c r="J472" s="20"/>
      <c r="K472" s="20">
        <v>235.0</v>
      </c>
      <c r="L472" s="20" t="s">
        <v>17</v>
      </c>
      <c r="M472" s="20">
        <v>-32.53</v>
      </c>
      <c r="N472" s="20">
        <v>-24.03</v>
      </c>
      <c r="P472" s="20">
        <v>9.17</v>
      </c>
      <c r="Q472" s="20">
        <v>17.51</v>
      </c>
      <c r="AG472" s="20">
        <v>470.0</v>
      </c>
      <c r="AH472" s="20" t="s">
        <v>14</v>
      </c>
      <c r="AI472" s="20">
        <v>3.18</v>
      </c>
      <c r="AJ472" s="20">
        <v>-9.8</v>
      </c>
      <c r="AM472" s="20">
        <v>237.0</v>
      </c>
      <c r="AN472" s="20" t="s">
        <v>17</v>
      </c>
      <c r="AO472" s="20">
        <v>-44.73</v>
      </c>
      <c r="AP472" s="20">
        <v>-18.62</v>
      </c>
      <c r="AS472" s="20">
        <v>235.0</v>
      </c>
      <c r="AT472" s="20" t="s">
        <v>17</v>
      </c>
      <c r="AU472" s="20">
        <v>-44.82</v>
      </c>
      <c r="AV472" s="20">
        <v>-24.61</v>
      </c>
      <c r="BE472" s="20">
        <v>470.0</v>
      </c>
      <c r="BF472" s="20" t="s">
        <v>14</v>
      </c>
      <c r="BG472" s="20">
        <v>-25.88</v>
      </c>
      <c r="BH472" s="20">
        <v>24.5</v>
      </c>
      <c r="BM472" s="20">
        <v>-1.33</v>
      </c>
      <c r="BN472" s="20">
        <v>9.16</v>
      </c>
      <c r="BW472" s="20">
        <v>-50.05</v>
      </c>
      <c r="BX472" s="20">
        <v>3.63</v>
      </c>
      <c r="BZ472" s="20">
        <v>-30.29</v>
      </c>
      <c r="CA472" s="20">
        <v>3.4</v>
      </c>
      <c r="CI472" s="20">
        <v>-35.13</v>
      </c>
      <c r="CJ472" s="20">
        <v>-37.33</v>
      </c>
      <c r="CO472" s="20">
        <v>-39.97</v>
      </c>
      <c r="CP472" s="20">
        <v>-25.09</v>
      </c>
    </row>
    <row r="473">
      <c r="A473" s="20">
        <v>181.98</v>
      </c>
      <c r="B473" s="20">
        <v>18.17</v>
      </c>
      <c r="D473" s="20"/>
      <c r="E473" s="20"/>
      <c r="F473" s="20">
        <v>-1.93</v>
      </c>
      <c r="G473" s="20">
        <v>22.77</v>
      </c>
      <c r="I473" s="20"/>
      <c r="J473" s="20"/>
      <c r="K473" s="20">
        <v>236.0</v>
      </c>
      <c r="L473" s="20" t="s">
        <v>14</v>
      </c>
      <c r="M473" s="20">
        <v>-18.98</v>
      </c>
      <c r="N473" s="20">
        <v>36.83</v>
      </c>
      <c r="P473" s="20">
        <v>20.86</v>
      </c>
      <c r="Q473" s="20">
        <v>9.63</v>
      </c>
      <c r="AG473" s="20">
        <v>471.0</v>
      </c>
      <c r="AH473" s="20" t="s">
        <v>14</v>
      </c>
      <c r="AI473" s="20">
        <v>-23.93</v>
      </c>
      <c r="AJ473" s="20">
        <v>-1.85</v>
      </c>
      <c r="AM473" s="20">
        <v>238.0</v>
      </c>
      <c r="AN473" s="20" t="s">
        <v>14</v>
      </c>
      <c r="AO473" s="20">
        <v>-19.64</v>
      </c>
      <c r="AP473" s="20">
        <v>-25.41</v>
      </c>
      <c r="AS473" s="20">
        <v>236.0</v>
      </c>
      <c r="AT473" s="20" t="s">
        <v>14</v>
      </c>
      <c r="AU473" s="20">
        <v>-43.95</v>
      </c>
      <c r="AV473" s="20">
        <v>-24.43</v>
      </c>
      <c r="BE473" s="20">
        <v>471.0</v>
      </c>
      <c r="BF473" s="20" t="s">
        <v>14</v>
      </c>
      <c r="BG473" s="20">
        <v>-25.06</v>
      </c>
      <c r="BH473" s="20">
        <v>29.74</v>
      </c>
      <c r="BM473" s="20">
        <v>122.89</v>
      </c>
      <c r="BN473" s="20">
        <v>176.75</v>
      </c>
      <c r="BW473" s="20">
        <v>-28.77</v>
      </c>
      <c r="BX473" s="20">
        <v>-16.82</v>
      </c>
      <c r="BZ473" s="20">
        <v>-44.4</v>
      </c>
      <c r="CA473" s="20">
        <v>50.85</v>
      </c>
      <c r="CI473" s="20">
        <v>-55.4</v>
      </c>
      <c r="CJ473" s="20">
        <v>-62.58</v>
      </c>
      <c r="CO473" s="20">
        <v>-10.74</v>
      </c>
      <c r="CP473" s="20">
        <v>-16.22</v>
      </c>
    </row>
    <row r="474">
      <c r="A474" s="20">
        <v>10.37</v>
      </c>
      <c r="B474" s="20">
        <v>103.11</v>
      </c>
      <c r="D474" s="20"/>
      <c r="E474" s="20"/>
      <c r="F474" s="20">
        <v>-17.55</v>
      </c>
      <c r="G474" s="20">
        <v>29.72</v>
      </c>
      <c r="I474" s="20"/>
      <c r="J474" s="20"/>
      <c r="K474" s="20">
        <v>236.0</v>
      </c>
      <c r="L474" s="20" t="s">
        <v>17</v>
      </c>
      <c r="M474" s="20">
        <v>-43.75</v>
      </c>
      <c r="N474" s="20">
        <v>7.88</v>
      </c>
      <c r="P474" s="20">
        <v>38.14</v>
      </c>
      <c r="Q474" s="20">
        <v>36.4</v>
      </c>
      <c r="AG474" s="20">
        <v>472.0</v>
      </c>
      <c r="AH474" s="20" t="s">
        <v>14</v>
      </c>
      <c r="AI474" s="20">
        <v>-8.46</v>
      </c>
      <c r="AJ474" s="20">
        <v>-19.16</v>
      </c>
      <c r="AM474" s="20">
        <v>238.0</v>
      </c>
      <c r="AN474" s="20" t="s">
        <v>17</v>
      </c>
      <c r="AO474" s="20">
        <v>22.86</v>
      </c>
      <c r="AP474" s="20">
        <v>-14.25</v>
      </c>
      <c r="AS474" s="20">
        <v>236.0</v>
      </c>
      <c r="AT474" s="20" t="s">
        <v>17</v>
      </c>
      <c r="AU474" s="20">
        <v>-17.34</v>
      </c>
      <c r="AV474" s="20">
        <v>-29.61</v>
      </c>
      <c r="BE474" s="20">
        <v>472.0</v>
      </c>
      <c r="BF474" s="20" t="s">
        <v>14</v>
      </c>
      <c r="BG474" s="20">
        <v>32.16</v>
      </c>
      <c r="BH474" s="20">
        <v>14.44</v>
      </c>
      <c r="BM474" s="20">
        <v>329.16</v>
      </c>
      <c r="BN474" s="20">
        <v>168.85</v>
      </c>
      <c r="BW474" s="20">
        <v>-27.51</v>
      </c>
      <c r="BX474" s="20">
        <v>10.4</v>
      </c>
      <c r="BZ474" s="20">
        <v>-38.96</v>
      </c>
      <c r="CA474" s="20">
        <v>14.17</v>
      </c>
      <c r="CI474" s="20">
        <v>-44.37</v>
      </c>
      <c r="CJ474" s="20">
        <v>-50.92</v>
      </c>
      <c r="CO474" s="20">
        <v>34.24</v>
      </c>
      <c r="CP474" s="20">
        <v>-35.61</v>
      </c>
    </row>
    <row r="475">
      <c r="A475" s="20">
        <v>58.41</v>
      </c>
      <c r="B475" s="20">
        <v>-37.04</v>
      </c>
      <c r="D475" s="20"/>
      <c r="E475" s="20"/>
      <c r="F475" s="20">
        <v>0.23</v>
      </c>
      <c r="G475" s="20">
        <v>18.91</v>
      </c>
      <c r="I475" s="20"/>
      <c r="J475" s="20"/>
      <c r="K475" s="20">
        <v>237.0</v>
      </c>
      <c r="L475" s="20" t="s">
        <v>14</v>
      </c>
      <c r="M475" s="20">
        <v>-18.54</v>
      </c>
      <c r="N475" s="20">
        <v>-9.25</v>
      </c>
      <c r="P475" s="20">
        <v>-4.15</v>
      </c>
      <c r="Q475" s="20">
        <v>9.44</v>
      </c>
      <c r="AG475" s="20">
        <v>473.0</v>
      </c>
      <c r="AH475" s="20" t="s">
        <v>14</v>
      </c>
      <c r="AI475" s="20">
        <v>35.32</v>
      </c>
      <c r="AJ475" s="20">
        <v>41.57</v>
      </c>
      <c r="AM475" s="20">
        <v>239.0</v>
      </c>
      <c r="AN475" s="20" t="s">
        <v>14</v>
      </c>
      <c r="AO475" s="20">
        <v>-20.36</v>
      </c>
      <c r="AP475" s="20">
        <v>-21.33</v>
      </c>
      <c r="AS475" s="20">
        <v>237.0</v>
      </c>
      <c r="AT475" s="20" t="s">
        <v>14</v>
      </c>
      <c r="AU475" s="20">
        <v>-2.26</v>
      </c>
      <c r="AV475" s="20">
        <v>-45.38</v>
      </c>
      <c r="BE475" s="20">
        <v>473.0</v>
      </c>
      <c r="BF475" s="20" t="s">
        <v>14</v>
      </c>
      <c r="BG475" s="20">
        <v>-10.65</v>
      </c>
      <c r="BH475" s="20">
        <v>-11.91</v>
      </c>
      <c r="BM475" s="20">
        <v>65.3</v>
      </c>
      <c r="BN475" s="20">
        <v>100.51</v>
      </c>
      <c r="BW475" s="20">
        <v>-34.64</v>
      </c>
      <c r="BX475" s="20">
        <v>-16.86</v>
      </c>
      <c r="BZ475" s="20">
        <v>-17.53</v>
      </c>
      <c r="CA475" s="20">
        <v>99.4</v>
      </c>
      <c r="CI475" s="20">
        <v>-51.86</v>
      </c>
      <c r="CJ475" s="20">
        <v>-35.76</v>
      </c>
      <c r="CO475" s="20">
        <v>-21.84</v>
      </c>
      <c r="CP475" s="20">
        <v>-59.97</v>
      </c>
    </row>
    <row r="476">
      <c r="A476" s="20">
        <v>21.37</v>
      </c>
      <c r="B476" s="20">
        <v>58.46</v>
      </c>
      <c r="D476" s="20"/>
      <c r="E476" s="20"/>
      <c r="F476" s="20">
        <v>-8.54</v>
      </c>
      <c r="G476" s="20">
        <v>18.62</v>
      </c>
      <c r="I476" s="20"/>
      <c r="J476" s="20"/>
      <c r="K476" s="20">
        <v>237.0</v>
      </c>
      <c r="L476" s="20" t="s">
        <v>17</v>
      </c>
      <c r="M476" s="20">
        <v>12.72</v>
      </c>
      <c r="N476" s="20">
        <v>7.33</v>
      </c>
      <c r="P476" s="20">
        <v>30.54</v>
      </c>
      <c r="Q476" s="20">
        <v>60.04</v>
      </c>
      <c r="AG476" s="20">
        <v>474.0</v>
      </c>
      <c r="AH476" s="20" t="s">
        <v>14</v>
      </c>
      <c r="AI476" s="20">
        <v>10.78</v>
      </c>
      <c r="AJ476" s="20">
        <v>2.13</v>
      </c>
      <c r="AM476" s="20">
        <v>239.0</v>
      </c>
      <c r="AN476" s="20" t="s">
        <v>17</v>
      </c>
      <c r="AO476" s="20">
        <v>-12.5</v>
      </c>
      <c r="AP476" s="20">
        <v>-17.42</v>
      </c>
      <c r="AS476" s="20">
        <v>237.0</v>
      </c>
      <c r="AT476" s="20" t="s">
        <v>17</v>
      </c>
      <c r="AU476" s="20">
        <v>-27.09</v>
      </c>
      <c r="AV476" s="20">
        <v>-20.99</v>
      </c>
      <c r="BE476" s="20">
        <v>474.0</v>
      </c>
      <c r="BF476" s="20" t="s">
        <v>14</v>
      </c>
      <c r="BG476" s="20">
        <v>22.34</v>
      </c>
      <c r="BH476" s="20">
        <v>0.56</v>
      </c>
      <c r="BM476" s="20">
        <v>113.94</v>
      </c>
      <c r="BN476" s="20">
        <v>166.14</v>
      </c>
      <c r="BW476" s="20">
        <v>-33.06</v>
      </c>
      <c r="BX476" s="20">
        <v>-0.25</v>
      </c>
      <c r="BZ476" s="20">
        <v>13.06</v>
      </c>
      <c r="CA476" s="20">
        <v>-32.45</v>
      </c>
      <c r="CI476" s="20">
        <v>-35.66</v>
      </c>
      <c r="CJ476" s="20">
        <v>-19.06</v>
      </c>
      <c r="CO476" s="20">
        <v>0.1</v>
      </c>
      <c r="CP476" s="20">
        <v>-49.51</v>
      </c>
    </row>
    <row r="477">
      <c r="A477" s="20">
        <v>-32.49</v>
      </c>
      <c r="B477" s="20">
        <v>43.92</v>
      </c>
      <c r="D477" s="20"/>
      <c r="E477" s="20"/>
      <c r="F477" s="20">
        <v>25.13</v>
      </c>
      <c r="G477" s="20">
        <v>23.65</v>
      </c>
      <c r="I477" s="20"/>
      <c r="J477" s="20"/>
      <c r="K477" s="20">
        <v>238.0</v>
      </c>
      <c r="L477" s="20" t="s">
        <v>14</v>
      </c>
      <c r="M477" s="20">
        <v>-37.13</v>
      </c>
      <c r="N477" s="20">
        <v>-9.44</v>
      </c>
      <c r="P477" s="20">
        <v>27.33</v>
      </c>
      <c r="Q477" s="20">
        <v>46.11</v>
      </c>
      <c r="AG477" s="20">
        <v>475.0</v>
      </c>
      <c r="AH477" s="20" t="s">
        <v>14</v>
      </c>
      <c r="AI477" s="20">
        <v>-8.09</v>
      </c>
      <c r="AJ477" s="20">
        <v>8.7</v>
      </c>
      <c r="AM477" s="20">
        <v>240.0</v>
      </c>
      <c r="AN477" s="20" t="s">
        <v>14</v>
      </c>
      <c r="AO477" s="20">
        <v>-22.34</v>
      </c>
      <c r="AP477" s="20">
        <v>-25.42</v>
      </c>
      <c r="AS477" s="20">
        <v>238.0</v>
      </c>
      <c r="AT477" s="20" t="s">
        <v>14</v>
      </c>
      <c r="AU477" s="20">
        <v>-11.36</v>
      </c>
      <c r="AV477" s="20">
        <v>-49.78</v>
      </c>
      <c r="BE477" s="20">
        <v>475.0</v>
      </c>
      <c r="BF477" s="20" t="s">
        <v>14</v>
      </c>
      <c r="BG477" s="20">
        <v>0.92</v>
      </c>
      <c r="BH477" s="20">
        <v>16.87</v>
      </c>
      <c r="BM477" s="20">
        <v>12.77</v>
      </c>
      <c r="BN477" s="20">
        <v>118.06</v>
      </c>
      <c r="BW477" s="20">
        <v>-43.84</v>
      </c>
      <c r="BX477" s="20">
        <v>-11.6</v>
      </c>
      <c r="BZ477" s="20">
        <v>11.92</v>
      </c>
      <c r="CA477" s="20">
        <v>148.45</v>
      </c>
      <c r="CI477" s="20">
        <v>-53.54</v>
      </c>
      <c r="CJ477" s="20">
        <v>-52.35</v>
      </c>
      <c r="CO477" s="20">
        <v>-12.95</v>
      </c>
      <c r="CP477" s="20">
        <v>-49.6</v>
      </c>
    </row>
    <row r="478">
      <c r="A478" s="20">
        <v>-33.42</v>
      </c>
      <c r="B478" s="20">
        <v>57.29</v>
      </c>
      <c r="D478" s="20"/>
      <c r="E478" s="20"/>
      <c r="F478" s="20">
        <v>-16.8</v>
      </c>
      <c r="G478" s="20">
        <v>3.33</v>
      </c>
      <c r="I478" s="20"/>
      <c r="J478" s="20"/>
      <c r="K478" s="20">
        <v>238.0</v>
      </c>
      <c r="L478" s="20" t="s">
        <v>17</v>
      </c>
      <c r="M478" s="20">
        <v>67.9</v>
      </c>
      <c r="N478" s="20">
        <v>30.42</v>
      </c>
      <c r="P478" s="20">
        <v>13.37</v>
      </c>
      <c r="Q478" s="20">
        <v>44.3</v>
      </c>
      <c r="AG478" s="20">
        <v>476.0</v>
      </c>
      <c r="AH478" s="20" t="s">
        <v>14</v>
      </c>
      <c r="AI478" s="20">
        <v>-15.19</v>
      </c>
      <c r="AJ478" s="20">
        <v>-3.13</v>
      </c>
      <c r="AM478" s="20">
        <v>240.0</v>
      </c>
      <c r="AN478" s="20" t="s">
        <v>17</v>
      </c>
      <c r="AO478" s="20">
        <v>-21.6</v>
      </c>
      <c r="AP478" s="20">
        <v>-36.57</v>
      </c>
      <c r="AS478" s="20">
        <v>238.0</v>
      </c>
      <c r="AT478" s="20" t="s">
        <v>17</v>
      </c>
      <c r="AU478" s="20">
        <v>-31.61</v>
      </c>
      <c r="AV478" s="20">
        <v>-58.22</v>
      </c>
      <c r="BE478" s="20">
        <v>476.0</v>
      </c>
      <c r="BF478" s="20" t="s">
        <v>14</v>
      </c>
      <c r="BG478" s="20">
        <v>10.05</v>
      </c>
      <c r="BH478" s="20">
        <v>13.89</v>
      </c>
      <c r="BM478" s="20">
        <v>20.92</v>
      </c>
      <c r="BN478" s="20">
        <v>137.55</v>
      </c>
      <c r="BW478" s="20">
        <v>-43.54</v>
      </c>
      <c r="BX478" s="20">
        <v>-20.69</v>
      </c>
      <c r="BZ478" s="20">
        <v>-65.6</v>
      </c>
      <c r="CA478" s="20">
        <v>78.37</v>
      </c>
      <c r="CI478" s="20">
        <v>-55.2</v>
      </c>
      <c r="CJ478" s="20">
        <v>-52.29</v>
      </c>
      <c r="CO478" s="20">
        <v>-5.91</v>
      </c>
      <c r="CP478" s="20">
        <v>-56.53</v>
      </c>
    </row>
    <row r="479">
      <c r="A479" s="20">
        <v>-10.0</v>
      </c>
      <c r="B479" s="20">
        <v>15.48</v>
      </c>
      <c r="D479" s="20"/>
      <c r="E479" s="20"/>
      <c r="F479" s="20">
        <v>2.3</v>
      </c>
      <c r="G479" s="20">
        <v>14.8</v>
      </c>
      <c r="I479" s="20"/>
      <c r="J479" s="20"/>
      <c r="K479" s="20">
        <v>239.0</v>
      </c>
      <c r="L479" s="20" t="s">
        <v>14</v>
      </c>
      <c r="M479" s="20">
        <v>19.65</v>
      </c>
      <c r="N479" s="20">
        <v>-7.63</v>
      </c>
      <c r="P479" s="20">
        <v>23.55</v>
      </c>
      <c r="Q479" s="20">
        <v>52.68</v>
      </c>
      <c r="AG479" s="20">
        <v>477.0</v>
      </c>
      <c r="AH479" s="20" t="s">
        <v>14</v>
      </c>
      <c r="AI479" s="20">
        <v>-4.54</v>
      </c>
      <c r="AJ479" s="20">
        <v>1.02</v>
      </c>
      <c r="AM479" s="20">
        <v>241.0</v>
      </c>
      <c r="AN479" s="20" t="s">
        <v>14</v>
      </c>
      <c r="AO479" s="20">
        <v>-50.99</v>
      </c>
      <c r="AP479" s="20">
        <v>-17.8</v>
      </c>
      <c r="AS479" s="20">
        <v>239.0</v>
      </c>
      <c r="AT479" s="20" t="s">
        <v>14</v>
      </c>
      <c r="AU479" s="20">
        <v>-37.44</v>
      </c>
      <c r="AV479" s="20">
        <v>-30.52</v>
      </c>
      <c r="BE479" s="20">
        <v>477.0</v>
      </c>
      <c r="BF479" s="20" t="s">
        <v>14</v>
      </c>
      <c r="BG479" s="20">
        <v>-5.3</v>
      </c>
      <c r="BH479" s="20">
        <v>29.62</v>
      </c>
      <c r="BM479" s="20">
        <v>36.26</v>
      </c>
      <c r="BN479" s="20">
        <v>65.32</v>
      </c>
      <c r="BW479" s="20">
        <v>-49.31</v>
      </c>
      <c r="BX479" s="20">
        <v>-23.7</v>
      </c>
      <c r="BZ479" s="20">
        <v>-24.81</v>
      </c>
      <c r="CA479" s="20">
        <v>97.62</v>
      </c>
      <c r="CI479" s="20">
        <v>-42.63</v>
      </c>
      <c r="CJ479" s="20">
        <v>-56.98</v>
      </c>
      <c r="CO479" s="20">
        <v>-22.58</v>
      </c>
      <c r="CP479" s="20">
        <v>-50.31</v>
      </c>
    </row>
    <row r="480">
      <c r="A480" s="20">
        <v>63.65</v>
      </c>
      <c r="B480" s="20">
        <v>175.09</v>
      </c>
      <c r="D480" s="20"/>
      <c r="E480" s="20"/>
      <c r="F480" s="20">
        <v>21.65</v>
      </c>
      <c r="G480" s="20">
        <v>21.39</v>
      </c>
      <c r="I480" s="20"/>
      <c r="J480" s="20"/>
      <c r="K480" s="20">
        <v>239.0</v>
      </c>
      <c r="L480" s="20" t="s">
        <v>17</v>
      </c>
      <c r="M480" s="20">
        <v>-4.08</v>
      </c>
      <c r="N480" s="20">
        <v>-5.54</v>
      </c>
      <c r="P480" s="20">
        <v>4.38</v>
      </c>
      <c r="Q480" s="20">
        <v>51.91</v>
      </c>
      <c r="AG480" s="20">
        <v>478.0</v>
      </c>
      <c r="AH480" s="20" t="s">
        <v>14</v>
      </c>
      <c r="AI480" s="20">
        <v>-30.16</v>
      </c>
      <c r="AJ480" s="20">
        <v>-9.65</v>
      </c>
      <c r="AM480" s="20">
        <v>241.0</v>
      </c>
      <c r="AN480" s="20" t="s">
        <v>17</v>
      </c>
      <c r="AO480" s="20">
        <v>-43.72</v>
      </c>
      <c r="AP480" s="20">
        <v>-21.05</v>
      </c>
      <c r="AS480" s="20">
        <v>239.0</v>
      </c>
      <c r="AT480" s="20" t="s">
        <v>17</v>
      </c>
      <c r="AU480" s="20">
        <v>7.63</v>
      </c>
      <c r="AV480" s="20">
        <v>-40.31</v>
      </c>
      <c r="BE480" s="20">
        <v>478.0</v>
      </c>
      <c r="BF480" s="20" t="s">
        <v>14</v>
      </c>
      <c r="BG480" s="20">
        <v>39.09</v>
      </c>
      <c r="BH480" s="20">
        <v>14.5</v>
      </c>
      <c r="BM480" s="20">
        <v>114.83</v>
      </c>
      <c r="BN480" s="20">
        <v>189.66</v>
      </c>
      <c r="BW480" s="20">
        <v>-52.69</v>
      </c>
      <c r="BX480" s="20">
        <v>-12.87</v>
      </c>
      <c r="BZ480" s="20">
        <v>-59.2</v>
      </c>
      <c r="CA480" s="20">
        <v>111.22</v>
      </c>
      <c r="CI480" s="20">
        <v>-46.32</v>
      </c>
      <c r="CJ480" s="20">
        <v>-57.37</v>
      </c>
      <c r="CO480" s="20">
        <v>3.88</v>
      </c>
      <c r="CP480" s="20">
        <v>-42.4</v>
      </c>
    </row>
    <row r="481">
      <c r="A481" s="20">
        <v>-40.63</v>
      </c>
      <c r="B481" s="20">
        <v>-27.31</v>
      </c>
      <c r="D481" s="20"/>
      <c r="E481" s="20"/>
      <c r="F481" s="20">
        <v>-25.24</v>
      </c>
      <c r="G481" s="20">
        <v>-13.18</v>
      </c>
      <c r="I481" s="20"/>
      <c r="J481" s="20"/>
      <c r="K481" s="20">
        <v>240.0</v>
      </c>
      <c r="L481" s="20" t="s">
        <v>14</v>
      </c>
      <c r="M481" s="20">
        <v>-23.55</v>
      </c>
      <c r="N481" s="20">
        <v>17.35</v>
      </c>
      <c r="P481" s="20">
        <v>-6.69</v>
      </c>
      <c r="Q481" s="20">
        <v>8.95</v>
      </c>
      <c r="AG481" s="20">
        <v>479.0</v>
      </c>
      <c r="AH481" s="20" t="s">
        <v>14</v>
      </c>
      <c r="AI481" s="20">
        <v>-6.18</v>
      </c>
      <c r="AJ481" s="20">
        <v>-5.33</v>
      </c>
      <c r="AM481" s="20">
        <v>242.0</v>
      </c>
      <c r="AN481" s="20" t="s">
        <v>14</v>
      </c>
      <c r="AO481" s="20">
        <v>-42.76</v>
      </c>
      <c r="AP481" s="20">
        <v>-40.56</v>
      </c>
      <c r="AS481" s="20">
        <v>240.0</v>
      </c>
      <c r="AT481" s="20" t="s">
        <v>14</v>
      </c>
      <c r="AU481" s="20">
        <v>-29.2</v>
      </c>
      <c r="AV481" s="20">
        <v>-49.66</v>
      </c>
      <c r="BE481" s="20">
        <v>479.0</v>
      </c>
      <c r="BF481" s="20" t="s">
        <v>14</v>
      </c>
      <c r="BG481" s="20">
        <v>9.7</v>
      </c>
      <c r="BH481" s="20">
        <v>12.58</v>
      </c>
      <c r="BM481" s="20">
        <v>37.88</v>
      </c>
      <c r="BN481" s="20">
        <v>198.33</v>
      </c>
      <c r="BW481" s="20">
        <v>-48.17</v>
      </c>
      <c r="BX481" s="20">
        <v>-23.33</v>
      </c>
      <c r="BZ481" s="20">
        <v>-33.64</v>
      </c>
      <c r="CA481" s="20">
        <v>-20.02</v>
      </c>
      <c r="CI481" s="20">
        <v>-41.54</v>
      </c>
      <c r="CJ481" s="20">
        <v>-48.53</v>
      </c>
      <c r="CO481" s="20">
        <v>-28.63</v>
      </c>
      <c r="CP481" s="20">
        <v>-55.83</v>
      </c>
    </row>
    <row r="482">
      <c r="A482" s="20">
        <v>36.72</v>
      </c>
      <c r="B482" s="20">
        <v>117.24</v>
      </c>
      <c r="D482" s="20"/>
      <c r="E482" s="20"/>
      <c r="F482" s="20">
        <v>-7.6</v>
      </c>
      <c r="G482" s="20">
        <v>14.88</v>
      </c>
      <c r="I482" s="20"/>
      <c r="J482" s="20"/>
      <c r="K482" s="20">
        <v>240.0</v>
      </c>
      <c r="L482" s="20" t="s">
        <v>17</v>
      </c>
      <c r="M482" s="20">
        <v>-32.01</v>
      </c>
      <c r="N482" s="20">
        <v>13.67</v>
      </c>
      <c r="P482" s="20">
        <v>-5.59</v>
      </c>
      <c r="Q482" s="20">
        <v>46.72</v>
      </c>
      <c r="AG482" s="20">
        <v>480.0</v>
      </c>
      <c r="AH482" s="20" t="s">
        <v>14</v>
      </c>
      <c r="AI482" s="20">
        <v>6.44</v>
      </c>
      <c r="AJ482" s="20">
        <v>4.02</v>
      </c>
      <c r="AM482" s="20">
        <v>242.0</v>
      </c>
      <c r="AN482" s="20" t="s">
        <v>17</v>
      </c>
      <c r="AO482" s="20">
        <v>-46.15</v>
      </c>
      <c r="AP482" s="20">
        <v>-21.23</v>
      </c>
      <c r="AS482" s="20">
        <v>240.0</v>
      </c>
      <c r="AT482" s="20" t="s">
        <v>17</v>
      </c>
      <c r="AU482" s="20">
        <v>15.49</v>
      </c>
      <c r="AV482" s="20">
        <v>-42.79</v>
      </c>
      <c r="BE482" s="20">
        <v>480.0</v>
      </c>
      <c r="BF482" s="20" t="s">
        <v>14</v>
      </c>
      <c r="BG482" s="20">
        <v>22.62</v>
      </c>
      <c r="BH482" s="20">
        <v>26.57</v>
      </c>
      <c r="BM482" s="20">
        <v>110.15</v>
      </c>
      <c r="BN482" s="20">
        <v>120.02</v>
      </c>
      <c r="BW482" s="20">
        <v>-30.14</v>
      </c>
      <c r="BX482" s="20">
        <v>-5.49</v>
      </c>
      <c r="BZ482" s="20">
        <v>-38.18</v>
      </c>
      <c r="CA482" s="20">
        <v>-11.8</v>
      </c>
      <c r="CI482" s="20">
        <v>-49.15</v>
      </c>
      <c r="CJ482" s="20">
        <v>-48.67</v>
      </c>
      <c r="CO482" s="20">
        <v>-72.97</v>
      </c>
      <c r="CP482" s="20">
        <v>-52.96</v>
      </c>
    </row>
    <row r="483">
      <c r="A483" s="20">
        <v>66.92</v>
      </c>
      <c r="B483" s="20">
        <v>18.6</v>
      </c>
      <c r="D483" s="20"/>
      <c r="E483" s="20"/>
      <c r="F483" s="20">
        <v>-25.57</v>
      </c>
      <c r="G483" s="20">
        <v>-6.03</v>
      </c>
      <c r="I483" s="20"/>
      <c r="J483" s="20"/>
      <c r="K483" s="20">
        <v>241.0</v>
      </c>
      <c r="L483" s="20" t="s">
        <v>14</v>
      </c>
      <c r="M483" s="20">
        <v>-14.16</v>
      </c>
      <c r="N483" s="20">
        <v>0.02</v>
      </c>
      <c r="P483" s="20">
        <v>31.13</v>
      </c>
      <c r="Q483" s="20">
        <v>102.4</v>
      </c>
      <c r="AG483" s="20">
        <v>481.0</v>
      </c>
      <c r="AH483" s="20" t="s">
        <v>14</v>
      </c>
      <c r="AI483" s="20">
        <v>4.92</v>
      </c>
      <c r="AJ483" s="20">
        <v>27.49</v>
      </c>
      <c r="AM483" s="20">
        <v>243.0</v>
      </c>
      <c r="AN483" s="20" t="s">
        <v>14</v>
      </c>
      <c r="AO483" s="20">
        <v>-38.37</v>
      </c>
      <c r="AP483" s="20">
        <v>-20.91</v>
      </c>
      <c r="AS483" s="20">
        <v>241.0</v>
      </c>
      <c r="AT483" s="20" t="s">
        <v>14</v>
      </c>
      <c r="AU483" s="20">
        <v>-40.55</v>
      </c>
      <c r="AV483" s="20">
        <v>-45.4</v>
      </c>
      <c r="BE483" s="20">
        <v>481.0</v>
      </c>
      <c r="BF483" s="20" t="s">
        <v>14</v>
      </c>
      <c r="BG483" s="20">
        <v>-23.11</v>
      </c>
      <c r="BH483" s="20">
        <v>9.44</v>
      </c>
      <c r="BM483" s="20">
        <v>40.68</v>
      </c>
      <c r="BN483" s="20">
        <v>85.02</v>
      </c>
      <c r="BW483" s="20">
        <v>12.33</v>
      </c>
      <c r="BX483" s="20">
        <v>12.38</v>
      </c>
      <c r="BZ483" s="20">
        <v>-40.47</v>
      </c>
      <c r="CA483" s="20">
        <v>34.58</v>
      </c>
      <c r="CI483" s="20">
        <v>-31.76</v>
      </c>
      <c r="CJ483" s="20">
        <v>-59.24</v>
      </c>
      <c r="CO483" s="20">
        <v>-9.22</v>
      </c>
      <c r="CP483" s="20">
        <v>-63.12</v>
      </c>
    </row>
    <row r="484">
      <c r="A484" s="20">
        <v>61.03</v>
      </c>
      <c r="B484" s="20">
        <v>91.3</v>
      </c>
      <c r="D484" s="20"/>
      <c r="E484" s="20"/>
      <c r="F484" s="20">
        <v>-11.67</v>
      </c>
      <c r="G484" s="20">
        <v>16.42</v>
      </c>
      <c r="I484" s="20"/>
      <c r="J484" s="20"/>
      <c r="K484" s="20">
        <v>241.0</v>
      </c>
      <c r="L484" s="20" t="s">
        <v>17</v>
      </c>
      <c r="M484" s="20">
        <v>-38.28</v>
      </c>
      <c r="N484" s="20">
        <v>-76.19</v>
      </c>
      <c r="P484" s="20">
        <v>6.33</v>
      </c>
      <c r="Q484" s="20">
        <v>24.56</v>
      </c>
      <c r="AG484" s="20">
        <v>482.0</v>
      </c>
      <c r="AH484" s="20" t="s">
        <v>14</v>
      </c>
      <c r="AI484" s="20">
        <v>-2.68</v>
      </c>
      <c r="AJ484" s="20">
        <v>18.01</v>
      </c>
      <c r="AM484" s="20">
        <v>243.0</v>
      </c>
      <c r="AN484" s="20" t="s">
        <v>17</v>
      </c>
      <c r="AO484" s="20">
        <v>-42.88</v>
      </c>
      <c r="AP484" s="20">
        <v>-20.64</v>
      </c>
      <c r="AS484" s="20">
        <v>241.0</v>
      </c>
      <c r="AT484" s="20" t="s">
        <v>17</v>
      </c>
      <c r="AU484" s="20">
        <v>13.84</v>
      </c>
      <c r="AV484" s="20">
        <v>-35.47</v>
      </c>
      <c r="BE484" s="20">
        <v>482.0</v>
      </c>
      <c r="BF484" s="20" t="s">
        <v>14</v>
      </c>
      <c r="BG484" s="20">
        <v>5.98</v>
      </c>
      <c r="BH484" s="20">
        <v>40.78</v>
      </c>
      <c r="BM484" s="20">
        <v>36.72</v>
      </c>
      <c r="BN484" s="20">
        <v>67.19</v>
      </c>
      <c r="BW484" s="20">
        <v>-41.81</v>
      </c>
      <c r="BX484" s="20">
        <v>-32.73</v>
      </c>
      <c r="BZ484" s="20">
        <v>-34.1</v>
      </c>
      <c r="CA484" s="20">
        <v>26.77</v>
      </c>
      <c r="CI484" s="20">
        <v>-22.77</v>
      </c>
      <c r="CJ484" s="20">
        <v>-40.77</v>
      </c>
      <c r="CO484" s="20">
        <v>-29.26</v>
      </c>
      <c r="CP484" s="20">
        <v>-69.81</v>
      </c>
    </row>
    <row r="485">
      <c r="A485" s="20">
        <v>5.59</v>
      </c>
      <c r="B485" s="20">
        <v>-1.33</v>
      </c>
      <c r="D485" s="20"/>
      <c r="E485" s="20"/>
      <c r="F485" s="20">
        <v>-8.33</v>
      </c>
      <c r="G485" s="20">
        <v>45.48</v>
      </c>
      <c r="I485" s="20"/>
      <c r="J485" s="20"/>
      <c r="K485" s="20">
        <v>242.0</v>
      </c>
      <c r="L485" s="20" t="s">
        <v>14</v>
      </c>
      <c r="M485" s="20">
        <v>-5.01</v>
      </c>
      <c r="N485" s="20">
        <v>32.97</v>
      </c>
      <c r="P485" s="20">
        <v>9.81</v>
      </c>
      <c r="Q485" s="20">
        <v>51.83</v>
      </c>
      <c r="AG485" s="20">
        <v>483.0</v>
      </c>
      <c r="AH485" s="20" t="s">
        <v>14</v>
      </c>
      <c r="AI485" s="20">
        <v>44.05</v>
      </c>
      <c r="AJ485" s="20">
        <v>39.67</v>
      </c>
      <c r="AM485" s="20">
        <v>244.0</v>
      </c>
      <c r="AN485" s="20" t="s">
        <v>14</v>
      </c>
      <c r="AO485" s="20">
        <v>-23.15</v>
      </c>
      <c r="AP485" s="20">
        <v>-16.9</v>
      </c>
      <c r="AS485" s="20">
        <v>242.0</v>
      </c>
      <c r="AT485" s="20" t="s">
        <v>14</v>
      </c>
      <c r="AU485" s="20">
        <v>-37.15</v>
      </c>
      <c r="AV485" s="20">
        <v>-68.42</v>
      </c>
      <c r="BE485" s="20">
        <v>483.0</v>
      </c>
      <c r="BF485" s="20" t="s">
        <v>14</v>
      </c>
      <c r="BG485" s="20">
        <v>8.54</v>
      </c>
      <c r="BH485" s="20">
        <v>10.59</v>
      </c>
      <c r="BM485" s="20">
        <v>8.99</v>
      </c>
      <c r="BN485" s="20">
        <v>25.13</v>
      </c>
      <c r="BW485" s="20">
        <v>-38.68</v>
      </c>
      <c r="BX485" s="20">
        <v>-29.66</v>
      </c>
      <c r="BZ485" s="20">
        <v>-35.06</v>
      </c>
      <c r="CA485" s="20">
        <v>74.0</v>
      </c>
      <c r="CI485" s="20">
        <v>-47.91</v>
      </c>
      <c r="CJ485" s="20">
        <v>-54.43</v>
      </c>
      <c r="CO485" s="20">
        <v>-40.38</v>
      </c>
      <c r="CP485" s="20">
        <v>-69.48</v>
      </c>
    </row>
    <row r="486">
      <c r="A486" s="20">
        <v>30.37</v>
      </c>
      <c r="B486" s="20">
        <v>86.03</v>
      </c>
      <c r="D486" s="20"/>
      <c r="E486" s="20"/>
      <c r="F486" s="20">
        <v>-30.64</v>
      </c>
      <c r="G486" s="20">
        <v>-35.76</v>
      </c>
      <c r="I486" s="20"/>
      <c r="J486" s="20"/>
      <c r="K486" s="20">
        <v>242.0</v>
      </c>
      <c r="L486" s="20" t="s">
        <v>17</v>
      </c>
      <c r="M486" s="20">
        <v>-48.67</v>
      </c>
      <c r="N486" s="20">
        <v>-38.61</v>
      </c>
      <c r="P486" s="20">
        <v>-8.88</v>
      </c>
      <c r="Q486" s="20">
        <v>-2.08</v>
      </c>
      <c r="AG486" s="20">
        <v>484.0</v>
      </c>
      <c r="AH486" s="20" t="s">
        <v>14</v>
      </c>
      <c r="AI486" s="20">
        <v>6.53</v>
      </c>
      <c r="AJ486" s="20">
        <v>-0.04</v>
      </c>
      <c r="AM486" s="20">
        <v>244.0</v>
      </c>
      <c r="AN486" s="20" t="s">
        <v>17</v>
      </c>
      <c r="AO486" s="20">
        <v>-16.49</v>
      </c>
      <c r="AP486" s="20">
        <v>-18.83</v>
      </c>
      <c r="AS486" s="20">
        <v>242.0</v>
      </c>
      <c r="AT486" s="20" t="s">
        <v>17</v>
      </c>
      <c r="AU486" s="20">
        <v>4.35</v>
      </c>
      <c r="AV486" s="20">
        <v>-41.73</v>
      </c>
      <c r="BE486" s="20">
        <v>484.0</v>
      </c>
      <c r="BF486" s="20" t="s">
        <v>14</v>
      </c>
      <c r="BG486" s="20">
        <v>-18.34</v>
      </c>
      <c r="BH486" s="20">
        <v>21.18</v>
      </c>
      <c r="BM486" s="20">
        <v>0.33</v>
      </c>
      <c r="BN486" s="20">
        <v>-14.47</v>
      </c>
      <c r="BW486" s="20">
        <v>-1.4</v>
      </c>
      <c r="BX486" s="20">
        <v>-21.14</v>
      </c>
      <c r="BZ486" s="20">
        <v>-32.17</v>
      </c>
      <c r="CA486" s="20">
        <v>128.23</v>
      </c>
      <c r="CI486" s="20">
        <v>-43.1</v>
      </c>
      <c r="CJ486" s="20">
        <v>-54.89</v>
      </c>
      <c r="CO486" s="20">
        <v>-23.14</v>
      </c>
      <c r="CP486" s="20">
        <v>-65.26</v>
      </c>
    </row>
    <row r="487">
      <c r="A487" s="20">
        <v>-45.09</v>
      </c>
      <c r="B487" s="20">
        <v>-21.37</v>
      </c>
      <c r="D487" s="20"/>
      <c r="E487" s="20"/>
      <c r="F487" s="20">
        <v>-44.63</v>
      </c>
      <c r="G487" s="20">
        <v>-9.11</v>
      </c>
      <c r="I487" s="20"/>
      <c r="J487" s="20"/>
      <c r="K487" s="20">
        <v>243.0</v>
      </c>
      <c r="L487" s="20" t="s">
        <v>14</v>
      </c>
      <c r="M487" s="20">
        <v>158.47</v>
      </c>
      <c r="N487" s="20">
        <v>64.91</v>
      </c>
      <c r="P487" s="20">
        <v>-22.58</v>
      </c>
      <c r="Q487" s="20">
        <v>11.71</v>
      </c>
      <c r="AG487" s="20">
        <v>485.0</v>
      </c>
      <c r="AH487" s="20" t="s">
        <v>14</v>
      </c>
      <c r="AI487" s="20">
        <v>10.05</v>
      </c>
      <c r="AJ487" s="20">
        <v>25.2</v>
      </c>
      <c r="AM487" s="20">
        <v>245.0</v>
      </c>
      <c r="AN487" s="20" t="s">
        <v>14</v>
      </c>
      <c r="AO487" s="20">
        <v>-33.72</v>
      </c>
      <c r="AP487" s="20">
        <v>-31.05</v>
      </c>
      <c r="AS487" s="20">
        <v>243.0</v>
      </c>
      <c r="AT487" s="20" t="s">
        <v>14</v>
      </c>
      <c r="AU487" s="20">
        <v>-51.35</v>
      </c>
      <c r="AV487" s="20">
        <v>-65.28</v>
      </c>
      <c r="BE487" s="20">
        <v>485.0</v>
      </c>
      <c r="BF487" s="20" t="s">
        <v>14</v>
      </c>
      <c r="BG487" s="20">
        <v>-17.63</v>
      </c>
      <c r="BH487" s="20">
        <v>-7.21</v>
      </c>
      <c r="BM487" s="20">
        <v>-30.76</v>
      </c>
      <c r="BN487" s="20">
        <v>9.77</v>
      </c>
      <c r="BW487" s="20">
        <v>-23.09</v>
      </c>
      <c r="BX487" s="20">
        <v>-17.4</v>
      </c>
      <c r="BZ487" s="20">
        <v>-37.24</v>
      </c>
      <c r="CA487" s="20">
        <v>66.91</v>
      </c>
      <c r="CI487" s="20">
        <v>-25.02</v>
      </c>
      <c r="CJ487" s="20">
        <v>-36.39</v>
      </c>
      <c r="CO487" s="20">
        <v>-21.02</v>
      </c>
      <c r="CP487" s="20">
        <v>-67.72</v>
      </c>
    </row>
    <row r="488">
      <c r="A488" s="20">
        <v>-44.05</v>
      </c>
      <c r="B488" s="20">
        <v>-6.61</v>
      </c>
      <c r="D488" s="20"/>
      <c r="E488" s="20"/>
      <c r="F488" s="20">
        <v>-35.0</v>
      </c>
      <c r="G488" s="20">
        <v>14.63</v>
      </c>
      <c r="I488" s="20"/>
      <c r="J488" s="20"/>
      <c r="K488" s="20">
        <v>243.0</v>
      </c>
      <c r="L488" s="20" t="s">
        <v>17</v>
      </c>
      <c r="M488" s="20">
        <v>14.55</v>
      </c>
      <c r="N488" s="20">
        <v>32.8</v>
      </c>
      <c r="P488" s="20">
        <v>40.92</v>
      </c>
      <c r="Q488" s="20">
        <v>63.59</v>
      </c>
      <c r="AG488" s="20">
        <v>486.0</v>
      </c>
      <c r="AH488" s="20" t="s">
        <v>14</v>
      </c>
      <c r="AI488" s="20">
        <v>11.9</v>
      </c>
      <c r="AJ488" s="20">
        <v>35.77</v>
      </c>
      <c r="AM488" s="20">
        <v>245.0</v>
      </c>
      <c r="AN488" s="20" t="s">
        <v>17</v>
      </c>
      <c r="AO488" s="20">
        <v>-3.62</v>
      </c>
      <c r="AP488" s="20">
        <v>22.44</v>
      </c>
      <c r="AS488" s="20">
        <v>243.0</v>
      </c>
      <c r="AT488" s="20" t="s">
        <v>17</v>
      </c>
      <c r="AU488" s="20">
        <v>-69.68</v>
      </c>
      <c r="AV488" s="20">
        <v>-61.81</v>
      </c>
      <c r="BE488" s="20">
        <v>486.0</v>
      </c>
      <c r="BF488" s="20" t="s">
        <v>14</v>
      </c>
      <c r="BG488" s="20">
        <v>-26.62</v>
      </c>
      <c r="BH488" s="20">
        <v>-35.64</v>
      </c>
      <c r="BM488" s="20">
        <v>103.46</v>
      </c>
      <c r="BN488" s="20">
        <v>87.19</v>
      </c>
      <c r="BW488" s="20">
        <v>-51.64</v>
      </c>
      <c r="BX488" s="20">
        <v>-34.57</v>
      </c>
      <c r="BZ488" s="20">
        <v>-46.66</v>
      </c>
      <c r="CA488" s="20">
        <v>67.34</v>
      </c>
      <c r="CI488" s="20">
        <v>-27.11</v>
      </c>
      <c r="CJ488" s="20">
        <v>-52.16</v>
      </c>
      <c r="CO488" s="20">
        <v>31.21</v>
      </c>
      <c r="CP488" s="20">
        <v>-43.65</v>
      </c>
    </row>
    <row r="489">
      <c r="A489" s="20">
        <v>-47.67</v>
      </c>
      <c r="B489" s="20">
        <v>-10.44</v>
      </c>
      <c r="D489" s="20"/>
      <c r="E489" s="20"/>
      <c r="F489" s="20">
        <v>5.0</v>
      </c>
      <c r="G489" s="20">
        <v>37.78</v>
      </c>
      <c r="I489" s="20"/>
      <c r="J489" s="20"/>
      <c r="K489" s="20">
        <v>244.0</v>
      </c>
      <c r="L489" s="20" t="s">
        <v>14</v>
      </c>
      <c r="M489" s="20">
        <v>-11.4</v>
      </c>
      <c r="N489" s="20">
        <v>14.96</v>
      </c>
      <c r="P489" s="20">
        <v>-37.88</v>
      </c>
      <c r="Q489" s="20">
        <v>-26.88</v>
      </c>
      <c r="AG489" s="20">
        <v>487.0</v>
      </c>
      <c r="AH489" s="20" t="s">
        <v>14</v>
      </c>
      <c r="AI489" s="20">
        <v>11.71</v>
      </c>
      <c r="AJ489" s="20">
        <v>4.68</v>
      </c>
      <c r="AM489" s="20">
        <v>246.0</v>
      </c>
      <c r="AN489" s="20" t="s">
        <v>14</v>
      </c>
      <c r="AO489" s="20">
        <v>0.33</v>
      </c>
      <c r="AP489" s="20">
        <v>-15.7</v>
      </c>
      <c r="AS489" s="20">
        <v>244.0</v>
      </c>
      <c r="AT489" s="20" t="s">
        <v>14</v>
      </c>
      <c r="AU489" s="20">
        <v>-43.65</v>
      </c>
      <c r="AV489" s="20">
        <v>-92.49</v>
      </c>
      <c r="BE489" s="20">
        <v>487.0</v>
      </c>
      <c r="BF489" s="20" t="s">
        <v>14</v>
      </c>
      <c r="BG489" s="20">
        <v>-22.84</v>
      </c>
      <c r="BH489" s="20">
        <v>5.43</v>
      </c>
      <c r="BM489" s="20">
        <v>72.17</v>
      </c>
      <c r="BN489" s="20">
        <v>55.59</v>
      </c>
      <c r="BW489" s="20">
        <v>-45.13</v>
      </c>
      <c r="BX489" s="20">
        <v>-36.03</v>
      </c>
      <c r="BZ489" s="20">
        <v>-37.7</v>
      </c>
      <c r="CA489" s="20">
        <v>45.62</v>
      </c>
      <c r="CI489" s="20">
        <v>-34.31</v>
      </c>
      <c r="CJ489" s="20">
        <v>-55.53</v>
      </c>
      <c r="CO489" s="20">
        <v>-31.72</v>
      </c>
      <c r="CP489" s="20">
        <v>-61.12</v>
      </c>
    </row>
    <row r="490">
      <c r="A490" s="20">
        <v>81.05</v>
      </c>
      <c r="B490" s="20">
        <v>51.89</v>
      </c>
      <c r="D490" s="20"/>
      <c r="E490" s="20"/>
      <c r="F490" s="20">
        <v>-5.39</v>
      </c>
      <c r="G490" s="20">
        <v>51.08</v>
      </c>
      <c r="I490" s="20"/>
      <c r="J490" s="20"/>
      <c r="K490" s="20">
        <v>244.0</v>
      </c>
      <c r="L490" s="20" t="s">
        <v>17</v>
      </c>
      <c r="M490" s="20">
        <v>-61.6</v>
      </c>
      <c r="N490" s="20">
        <v>-67.03</v>
      </c>
      <c r="P490" s="20">
        <v>5.5</v>
      </c>
      <c r="Q490" s="20">
        <v>-7.14</v>
      </c>
      <c r="AG490" s="20">
        <v>488.0</v>
      </c>
      <c r="AH490" s="20" t="s">
        <v>14</v>
      </c>
      <c r="AI490" s="20">
        <v>-4.09</v>
      </c>
      <c r="AJ490" s="20">
        <v>-12.21</v>
      </c>
      <c r="AM490" s="20">
        <v>246.0</v>
      </c>
      <c r="AN490" s="20" t="s">
        <v>17</v>
      </c>
      <c r="AO490" s="20">
        <v>-28.64</v>
      </c>
      <c r="AP490" s="20">
        <v>-45.26</v>
      </c>
      <c r="AS490" s="20">
        <v>244.0</v>
      </c>
      <c r="AT490" s="20" t="s">
        <v>17</v>
      </c>
      <c r="AU490" s="20">
        <v>-7.23</v>
      </c>
      <c r="AV490" s="20">
        <v>-56.82</v>
      </c>
      <c r="BE490" s="20">
        <v>488.0</v>
      </c>
      <c r="BF490" s="20" t="s">
        <v>14</v>
      </c>
      <c r="BG490" s="20">
        <v>-16.13</v>
      </c>
      <c r="BH490" s="20">
        <v>15.37</v>
      </c>
      <c r="BM490" s="20">
        <v>31.95</v>
      </c>
      <c r="BN490" s="20">
        <v>-33.21</v>
      </c>
      <c r="BW490" s="20">
        <v>-44.98</v>
      </c>
      <c r="BX490" s="20">
        <v>-31.82</v>
      </c>
      <c r="BZ490" s="20">
        <v>-45.82</v>
      </c>
      <c r="CA490" s="20">
        <v>49.27</v>
      </c>
      <c r="CI490" s="20">
        <v>-28.2</v>
      </c>
      <c r="CJ490" s="20">
        <v>-52.26</v>
      </c>
      <c r="CO490" s="20">
        <v>12.6</v>
      </c>
      <c r="CP490" s="20">
        <v>-48.79</v>
      </c>
    </row>
    <row r="491">
      <c r="A491" s="20">
        <v>-42.86</v>
      </c>
      <c r="B491" s="20">
        <v>-3.1</v>
      </c>
      <c r="D491" s="20"/>
      <c r="E491" s="20"/>
      <c r="F491" s="20">
        <v>5.0</v>
      </c>
      <c r="G491" s="20">
        <v>39.44</v>
      </c>
      <c r="I491" s="20"/>
      <c r="J491" s="20"/>
      <c r="K491" s="20">
        <v>245.0</v>
      </c>
      <c r="L491" s="20" t="s">
        <v>14</v>
      </c>
      <c r="M491" s="20">
        <v>10.82</v>
      </c>
      <c r="N491" s="20">
        <v>-31.19</v>
      </c>
      <c r="P491" s="20">
        <v>-11.78</v>
      </c>
      <c r="Q491" s="20">
        <v>3.2</v>
      </c>
      <c r="AG491" s="20">
        <v>489.0</v>
      </c>
      <c r="AH491" s="20" t="s">
        <v>14</v>
      </c>
      <c r="AI491" s="20">
        <v>7.23</v>
      </c>
      <c r="AJ491" s="20">
        <v>-2.75</v>
      </c>
      <c r="AM491" s="20">
        <v>247.0</v>
      </c>
      <c r="AN491" s="20" t="s">
        <v>14</v>
      </c>
      <c r="AO491" s="20">
        <v>-39.73</v>
      </c>
      <c r="AP491" s="20">
        <v>-19.83</v>
      </c>
      <c r="AS491" s="20">
        <v>245.0</v>
      </c>
      <c r="AT491" s="20" t="s">
        <v>14</v>
      </c>
      <c r="AU491" s="20">
        <v>5.57</v>
      </c>
      <c r="AV491" s="20">
        <v>-39.7</v>
      </c>
      <c r="BE491" s="20">
        <v>489.0</v>
      </c>
      <c r="BF491" s="20" t="s">
        <v>14</v>
      </c>
      <c r="BG491" s="20">
        <v>-18.55</v>
      </c>
      <c r="BH491" s="20">
        <v>26.39</v>
      </c>
      <c r="BM491" s="20">
        <v>49.65</v>
      </c>
      <c r="BN491" s="20">
        <v>66.18</v>
      </c>
      <c r="BW491" s="20">
        <v>-48.17</v>
      </c>
      <c r="BX491" s="20">
        <v>-27.58</v>
      </c>
      <c r="BZ491" s="20">
        <v>-16.27</v>
      </c>
      <c r="CA491" s="20">
        <v>123.18</v>
      </c>
      <c r="CI491" s="20">
        <v>-47.39</v>
      </c>
      <c r="CJ491" s="20">
        <v>-50.89</v>
      </c>
      <c r="CO491" s="20">
        <v>-23.89</v>
      </c>
      <c r="CP491" s="20">
        <v>-54.44</v>
      </c>
    </row>
    <row r="492">
      <c r="A492" s="20">
        <v>-49.19</v>
      </c>
      <c r="B492" s="20">
        <v>-32.09</v>
      </c>
      <c r="D492" s="20"/>
      <c r="E492" s="20"/>
      <c r="F492" s="20">
        <v>-39.39</v>
      </c>
      <c r="G492" s="20">
        <v>-5.71</v>
      </c>
      <c r="I492" s="20"/>
      <c r="J492" s="20"/>
      <c r="K492" s="20">
        <v>245.0</v>
      </c>
      <c r="L492" s="20" t="s">
        <v>17</v>
      </c>
      <c r="M492" s="20">
        <v>-58.95</v>
      </c>
      <c r="N492" s="20">
        <v>-26.89</v>
      </c>
      <c r="P492" s="20">
        <v>-73.95</v>
      </c>
      <c r="Q492" s="20">
        <v>-82.24</v>
      </c>
      <c r="AG492" s="20">
        <v>490.0</v>
      </c>
      <c r="AH492" s="20" t="s">
        <v>14</v>
      </c>
      <c r="AI492" s="20">
        <v>-11.07</v>
      </c>
      <c r="AJ492" s="20">
        <v>-0.09</v>
      </c>
      <c r="AM492" s="20">
        <v>247.0</v>
      </c>
      <c r="AN492" s="20" t="s">
        <v>17</v>
      </c>
      <c r="AO492" s="20">
        <v>-33.89</v>
      </c>
      <c r="AP492" s="20">
        <v>-9.96</v>
      </c>
      <c r="AS492" s="20">
        <v>245.0</v>
      </c>
      <c r="AT492" s="20" t="s">
        <v>17</v>
      </c>
      <c r="AU492" s="20">
        <v>-6.18</v>
      </c>
      <c r="AV492" s="20">
        <v>17.89</v>
      </c>
      <c r="BE492" s="20">
        <v>490.0</v>
      </c>
      <c r="BF492" s="20" t="s">
        <v>14</v>
      </c>
      <c r="BG492" s="20">
        <v>16.42</v>
      </c>
      <c r="BH492" s="20">
        <v>96.52</v>
      </c>
      <c r="BM492" s="20">
        <v>-22.75</v>
      </c>
      <c r="BN492" s="20">
        <v>-4.38</v>
      </c>
      <c r="BW492" s="20">
        <v>-44.68</v>
      </c>
      <c r="BX492" s="20">
        <v>-24.43</v>
      </c>
      <c r="BZ492" s="20">
        <v>-27.38</v>
      </c>
      <c r="CA492" s="20">
        <v>156.59</v>
      </c>
      <c r="CI492" s="20">
        <v>-54.51</v>
      </c>
      <c r="CJ492" s="20">
        <v>-60.98</v>
      </c>
      <c r="CO492" s="20">
        <v>-5.72</v>
      </c>
      <c r="CP492" s="20">
        <v>-42.08</v>
      </c>
    </row>
    <row r="493">
      <c r="A493" s="20">
        <v>85.34</v>
      </c>
      <c r="B493" s="20">
        <v>31.19</v>
      </c>
      <c r="D493" s="20"/>
      <c r="E493" s="20"/>
      <c r="F493" s="20">
        <v>-34.79</v>
      </c>
      <c r="G493" s="20">
        <v>-11.6</v>
      </c>
      <c r="I493" s="20"/>
      <c r="J493" s="20"/>
      <c r="K493" s="20">
        <v>246.0</v>
      </c>
      <c r="L493" s="20" t="s">
        <v>14</v>
      </c>
      <c r="M493" s="20">
        <v>-18.27</v>
      </c>
      <c r="N493" s="20">
        <v>-14.07</v>
      </c>
      <c r="P493" s="20">
        <v>-0.58</v>
      </c>
      <c r="Q493" s="20">
        <v>-0.1</v>
      </c>
      <c r="AG493" s="20">
        <v>491.0</v>
      </c>
      <c r="AH493" s="20" t="s">
        <v>14</v>
      </c>
      <c r="AI493" s="20">
        <v>7.02</v>
      </c>
      <c r="AJ493" s="20">
        <v>2.86</v>
      </c>
      <c r="AM493" s="20">
        <v>248.0</v>
      </c>
      <c r="AN493" s="20" t="s">
        <v>14</v>
      </c>
      <c r="AO493" s="20">
        <v>27.32</v>
      </c>
      <c r="AP493" s="20">
        <v>-14.26</v>
      </c>
      <c r="AS493" s="20">
        <v>246.0</v>
      </c>
      <c r="AT493" s="20" t="s">
        <v>14</v>
      </c>
      <c r="AU493" s="20">
        <v>6.45</v>
      </c>
      <c r="AV493" s="20">
        <v>-32.57</v>
      </c>
      <c r="BE493" s="20">
        <v>491.0</v>
      </c>
      <c r="BF493" s="20" t="s">
        <v>14</v>
      </c>
      <c r="BG493" s="20">
        <v>-16.83</v>
      </c>
      <c r="BH493" s="20">
        <v>-26.19</v>
      </c>
      <c r="BM493" s="20">
        <v>80.28</v>
      </c>
      <c r="BN493" s="20">
        <v>60.14</v>
      </c>
      <c r="BW493" s="20">
        <v>-43.89</v>
      </c>
      <c r="BX493" s="20">
        <v>-27.26</v>
      </c>
      <c r="BZ493" s="20">
        <v>-35.89</v>
      </c>
      <c r="CA493" s="20">
        <v>76.06</v>
      </c>
      <c r="CI493" s="20">
        <v>-53.93</v>
      </c>
      <c r="CJ493" s="20">
        <v>-65.76</v>
      </c>
      <c r="CO493" s="20">
        <v>-16.64</v>
      </c>
      <c r="CP493" s="20">
        <v>-67.57</v>
      </c>
    </row>
    <row r="494">
      <c r="A494" s="20">
        <v>20.23</v>
      </c>
      <c r="B494" s="20">
        <v>45.9</v>
      </c>
      <c r="D494" s="20"/>
      <c r="E494" s="20"/>
      <c r="F494" s="20">
        <v>-44.65</v>
      </c>
      <c r="G494" s="20">
        <v>7.12</v>
      </c>
      <c r="I494" s="20"/>
      <c r="J494" s="20"/>
      <c r="K494" s="20">
        <v>246.0</v>
      </c>
      <c r="L494" s="20" t="s">
        <v>17</v>
      </c>
      <c r="M494" s="20">
        <v>16.57</v>
      </c>
      <c r="N494" s="20">
        <v>-7.36</v>
      </c>
      <c r="P494" s="20">
        <v>-48.13</v>
      </c>
      <c r="Q494" s="20">
        <v>-13.31</v>
      </c>
      <c r="AG494" s="20">
        <v>492.0</v>
      </c>
      <c r="AH494" s="20" t="s">
        <v>14</v>
      </c>
      <c r="AI494" s="20">
        <v>31.45</v>
      </c>
      <c r="AJ494" s="20">
        <v>28.14</v>
      </c>
      <c r="AM494" s="20">
        <v>248.0</v>
      </c>
      <c r="AN494" s="20" t="s">
        <v>17</v>
      </c>
      <c r="AO494" s="20">
        <v>34.05</v>
      </c>
      <c r="AP494" s="20">
        <v>-16.81</v>
      </c>
      <c r="AS494" s="20">
        <v>246.0</v>
      </c>
      <c r="AT494" s="20" t="s">
        <v>17</v>
      </c>
      <c r="AU494" s="20">
        <v>1.46</v>
      </c>
      <c r="AV494" s="20">
        <v>-24.11</v>
      </c>
      <c r="BE494" s="20">
        <v>492.0</v>
      </c>
      <c r="BF494" s="20" t="s">
        <v>14</v>
      </c>
      <c r="BG494" s="20">
        <v>-44.8</v>
      </c>
      <c r="BH494" s="20">
        <v>-21.83</v>
      </c>
      <c r="BM494" s="20">
        <v>68.47</v>
      </c>
      <c r="BN494" s="20">
        <v>111.73</v>
      </c>
      <c r="BW494" s="20">
        <v>-48.98</v>
      </c>
      <c r="BX494" s="20">
        <v>-6.82</v>
      </c>
      <c r="BZ494" s="20">
        <v>-38.7</v>
      </c>
      <c r="CA494" s="20">
        <v>96.5</v>
      </c>
      <c r="CI494" s="20">
        <v>-44.38</v>
      </c>
      <c r="CJ494" s="20">
        <v>-65.48</v>
      </c>
      <c r="CO494" s="20">
        <v>-13.5</v>
      </c>
      <c r="CP494" s="20">
        <v>-45.62</v>
      </c>
    </row>
    <row r="495">
      <c r="A495" s="20">
        <v>2.88</v>
      </c>
      <c r="B495" s="20">
        <v>69.63</v>
      </c>
      <c r="D495" s="20"/>
      <c r="E495" s="20"/>
      <c r="F495" s="20">
        <v>-13.87</v>
      </c>
      <c r="G495" s="20">
        <v>-31.67</v>
      </c>
      <c r="I495" s="20"/>
      <c r="J495" s="20"/>
      <c r="K495" s="20">
        <v>247.0</v>
      </c>
      <c r="L495" s="20" t="s">
        <v>14</v>
      </c>
      <c r="M495" s="20">
        <v>-37.42</v>
      </c>
      <c r="N495" s="20">
        <v>-10.2</v>
      </c>
      <c r="P495" s="20">
        <v>22.31</v>
      </c>
      <c r="Q495" s="20">
        <v>12.87</v>
      </c>
      <c r="AG495" s="20">
        <v>493.0</v>
      </c>
      <c r="AH495" s="20" t="s">
        <v>14</v>
      </c>
      <c r="AI495" s="20">
        <v>12.8</v>
      </c>
      <c r="AJ495" s="20">
        <v>1.64</v>
      </c>
      <c r="AM495" s="20">
        <v>249.0</v>
      </c>
      <c r="AN495" s="20" t="s">
        <v>14</v>
      </c>
      <c r="AO495" s="20">
        <v>5.32</v>
      </c>
      <c r="AP495" s="20">
        <v>-13.92</v>
      </c>
      <c r="AS495" s="20">
        <v>247.0</v>
      </c>
      <c r="AT495" s="20" t="s">
        <v>14</v>
      </c>
      <c r="AU495" s="20">
        <v>9.67</v>
      </c>
      <c r="AV495" s="20">
        <v>-26.47</v>
      </c>
      <c r="BE495" s="20">
        <v>493.0</v>
      </c>
      <c r="BF495" s="20" t="s">
        <v>14</v>
      </c>
      <c r="BG495" s="20">
        <v>-13.47</v>
      </c>
      <c r="BH495" s="20">
        <v>-2.95</v>
      </c>
      <c r="BM495" s="20">
        <v>47.12</v>
      </c>
      <c r="BN495" s="20">
        <v>64.03</v>
      </c>
      <c r="BW495" s="20">
        <v>-32.4</v>
      </c>
      <c r="BX495" s="20">
        <v>-20.49</v>
      </c>
      <c r="BZ495" s="20">
        <v>-29.27</v>
      </c>
      <c r="CA495" s="20">
        <v>95.32</v>
      </c>
      <c r="CI495" s="20">
        <v>-39.12</v>
      </c>
      <c r="CJ495" s="20">
        <v>-56.0</v>
      </c>
      <c r="CO495" s="20">
        <v>-34.93</v>
      </c>
      <c r="CP495" s="20">
        <v>-55.2</v>
      </c>
    </row>
    <row r="496">
      <c r="A496" s="20">
        <v>22.53</v>
      </c>
      <c r="B496" s="20">
        <v>36.14</v>
      </c>
      <c r="D496" s="20"/>
      <c r="E496" s="20"/>
      <c r="F496" s="20">
        <v>-9.77</v>
      </c>
      <c r="G496" s="20">
        <v>-7.37</v>
      </c>
      <c r="I496" s="20"/>
      <c r="J496" s="20"/>
      <c r="K496" s="20">
        <v>247.0</v>
      </c>
      <c r="L496" s="20" t="s">
        <v>17</v>
      </c>
      <c r="M496" s="20">
        <v>-51.47</v>
      </c>
      <c r="N496" s="20">
        <v>-49.97</v>
      </c>
      <c r="P496" s="20">
        <v>-47.74</v>
      </c>
      <c r="Q496" s="20">
        <v>-66.66</v>
      </c>
      <c r="AG496" s="20">
        <v>494.0</v>
      </c>
      <c r="AH496" s="20" t="s">
        <v>14</v>
      </c>
      <c r="AI496" s="20">
        <v>-11.01</v>
      </c>
      <c r="AJ496" s="20">
        <v>-11.67</v>
      </c>
      <c r="AM496" s="20">
        <v>249.0</v>
      </c>
      <c r="AN496" s="20" t="s">
        <v>17</v>
      </c>
      <c r="AO496" s="20">
        <v>8.19</v>
      </c>
      <c r="AP496" s="20">
        <v>-31.97</v>
      </c>
      <c r="AS496" s="20">
        <v>247.0</v>
      </c>
      <c r="AT496" s="20" t="s">
        <v>17</v>
      </c>
      <c r="AU496" s="20">
        <v>-11.71</v>
      </c>
      <c r="AV496" s="20">
        <v>6.57</v>
      </c>
      <c r="BE496" s="20">
        <v>494.0</v>
      </c>
      <c r="BF496" s="20" t="s">
        <v>14</v>
      </c>
      <c r="BG496" s="20">
        <v>-19.27</v>
      </c>
      <c r="BH496" s="20">
        <v>11.51</v>
      </c>
      <c r="BM496" s="20">
        <v>76.9</v>
      </c>
      <c r="BN496" s="20">
        <v>98.93</v>
      </c>
      <c r="BW496" s="20">
        <v>-44.3</v>
      </c>
      <c r="BX496" s="20">
        <v>-30.05</v>
      </c>
      <c r="BZ496" s="20">
        <v>-43.11</v>
      </c>
      <c r="CA496" s="20">
        <v>52.94</v>
      </c>
      <c r="CI496" s="20">
        <v>-38.92</v>
      </c>
      <c r="CJ496" s="20">
        <v>-47.03</v>
      </c>
      <c r="CO496" s="20">
        <v>9.35</v>
      </c>
      <c r="CP496" s="20">
        <v>-49.65</v>
      </c>
    </row>
    <row r="497">
      <c r="A497" s="20">
        <v>-10.46</v>
      </c>
      <c r="B497" s="20">
        <v>-12.7</v>
      </c>
      <c r="D497" s="20"/>
      <c r="E497" s="20"/>
      <c r="F497" s="20">
        <v>10.93</v>
      </c>
      <c r="G497" s="20">
        <v>4.2</v>
      </c>
      <c r="I497" s="20"/>
      <c r="J497" s="20"/>
      <c r="K497" s="20">
        <v>248.0</v>
      </c>
      <c r="L497" s="20" t="s">
        <v>14</v>
      </c>
      <c r="M497" s="20">
        <v>-40.73</v>
      </c>
      <c r="N497" s="20">
        <v>7.58</v>
      </c>
      <c r="P497" s="20">
        <v>31.71</v>
      </c>
      <c r="Q497" s="20">
        <v>18.11</v>
      </c>
      <c r="AG497" s="20">
        <v>495.0</v>
      </c>
      <c r="AH497" s="20" t="s">
        <v>14</v>
      </c>
      <c r="AI497" s="20">
        <v>23.24</v>
      </c>
      <c r="AJ497" s="20">
        <v>-4.34</v>
      </c>
      <c r="AM497" s="20">
        <v>250.0</v>
      </c>
      <c r="AN497" s="20" t="s">
        <v>14</v>
      </c>
      <c r="AO497" s="20">
        <v>-12.65</v>
      </c>
      <c r="AP497" s="20">
        <v>-17.68</v>
      </c>
      <c r="AS497" s="20">
        <v>248.0</v>
      </c>
      <c r="AT497" s="20" t="s">
        <v>14</v>
      </c>
      <c r="AU497" s="20">
        <v>-1.02</v>
      </c>
      <c r="AV497" s="20">
        <v>-42.69</v>
      </c>
      <c r="BE497" s="20">
        <v>495.0</v>
      </c>
      <c r="BF497" s="20" t="s">
        <v>14</v>
      </c>
      <c r="BG497" s="20">
        <v>-11.27</v>
      </c>
      <c r="BH497" s="20">
        <v>-10.84</v>
      </c>
      <c r="BM497" s="20">
        <v>-5.96</v>
      </c>
      <c r="BN497" s="20">
        <v>21.84</v>
      </c>
      <c r="BW497" s="20">
        <v>-51.12</v>
      </c>
      <c r="BX497" s="20">
        <v>-26.05</v>
      </c>
      <c r="BZ497" s="20">
        <v>-33.36</v>
      </c>
      <c r="CA497" s="20">
        <v>-22.66</v>
      </c>
      <c r="CI497" s="20">
        <v>-18.23</v>
      </c>
      <c r="CJ497" s="20">
        <v>-40.44</v>
      </c>
      <c r="CO497" s="20">
        <v>-36.52</v>
      </c>
      <c r="CP497" s="20">
        <v>-49.78</v>
      </c>
    </row>
    <row r="498">
      <c r="A498" s="20">
        <v>41.21</v>
      </c>
      <c r="B498" s="20">
        <v>12.93</v>
      </c>
      <c r="D498" s="20"/>
      <c r="E498" s="20"/>
      <c r="F498" s="20">
        <v>-35.77</v>
      </c>
      <c r="G498" s="20">
        <v>-24.3</v>
      </c>
      <c r="I498" s="20"/>
      <c r="J498" s="20"/>
      <c r="K498" s="20">
        <v>248.0</v>
      </c>
      <c r="L498" s="20" t="s">
        <v>17</v>
      </c>
      <c r="M498" s="20">
        <v>-37.47</v>
      </c>
      <c r="N498" s="20">
        <v>-20.02</v>
      </c>
      <c r="P498" s="20">
        <v>-16.98</v>
      </c>
      <c r="Q498" s="20">
        <v>37.78</v>
      </c>
      <c r="AG498" s="20">
        <v>496.0</v>
      </c>
      <c r="AH498" s="20" t="s">
        <v>14</v>
      </c>
      <c r="AI498" s="20">
        <v>1.57</v>
      </c>
      <c r="AJ498" s="20">
        <v>8.45</v>
      </c>
      <c r="AM498" s="20">
        <v>250.0</v>
      </c>
      <c r="AN498" s="20" t="s">
        <v>17</v>
      </c>
      <c r="AO498" s="20">
        <v>-11.06</v>
      </c>
      <c r="AP498" s="20">
        <v>24.07</v>
      </c>
      <c r="AS498" s="20">
        <v>248.0</v>
      </c>
      <c r="AT498" s="20" t="s">
        <v>17</v>
      </c>
      <c r="AU498" s="20">
        <v>-32.17</v>
      </c>
      <c r="AV498" s="20">
        <v>-3.48</v>
      </c>
      <c r="BE498" s="20">
        <v>496.0</v>
      </c>
      <c r="BF498" s="20" t="s">
        <v>14</v>
      </c>
      <c r="BG498" s="20">
        <v>15.97</v>
      </c>
      <c r="BH498" s="20">
        <v>-9.55</v>
      </c>
      <c r="BM498" s="20">
        <v>75.42</v>
      </c>
      <c r="BN498" s="20">
        <v>126.95</v>
      </c>
      <c r="BW498" s="20">
        <v>40.06</v>
      </c>
      <c r="BX498" s="20">
        <v>-15.58</v>
      </c>
      <c r="BZ498" s="20">
        <v>0.54</v>
      </c>
      <c r="CA498" s="20">
        <v>-4.29</v>
      </c>
      <c r="CI498" s="20">
        <v>-42.26</v>
      </c>
      <c r="CJ498" s="20">
        <v>-48.84</v>
      </c>
      <c r="CO498" s="20">
        <v>8.78</v>
      </c>
      <c r="CP498" s="20">
        <v>-22.24</v>
      </c>
    </row>
    <row r="499">
      <c r="A499" s="20">
        <v>-51.66</v>
      </c>
      <c r="B499" s="20">
        <v>-30.4</v>
      </c>
      <c r="D499" s="20"/>
      <c r="E499" s="20"/>
      <c r="F499" s="20">
        <v>1.86</v>
      </c>
      <c r="G499" s="20">
        <v>-22.93</v>
      </c>
      <c r="I499" s="20"/>
      <c r="J499" s="20"/>
      <c r="K499" s="20">
        <v>249.0</v>
      </c>
      <c r="L499" s="20" t="s">
        <v>14</v>
      </c>
      <c r="M499" s="20">
        <v>-23.22</v>
      </c>
      <c r="N499" s="20">
        <v>-8.63</v>
      </c>
      <c r="P499" s="20">
        <v>-8.97</v>
      </c>
      <c r="Q499" s="20">
        <v>-10.69</v>
      </c>
      <c r="AG499" s="20">
        <v>497.0</v>
      </c>
      <c r="AH499" s="20" t="s">
        <v>14</v>
      </c>
      <c r="AI499" s="20">
        <v>-3.71</v>
      </c>
      <c r="AJ499" s="20">
        <v>-8.45</v>
      </c>
      <c r="AM499" s="20">
        <v>251.0</v>
      </c>
      <c r="AN499" s="20" t="s">
        <v>14</v>
      </c>
      <c r="AO499" s="20">
        <v>9.29</v>
      </c>
      <c r="AP499" s="20">
        <v>-10.03</v>
      </c>
      <c r="AS499" s="20">
        <v>249.0</v>
      </c>
      <c r="AT499" s="20" t="s">
        <v>14</v>
      </c>
      <c r="AU499" s="20">
        <v>-22.98</v>
      </c>
      <c r="AV499" s="20">
        <v>-57.35</v>
      </c>
      <c r="BE499" s="20">
        <v>497.0</v>
      </c>
      <c r="BF499" s="20" t="s">
        <v>14</v>
      </c>
      <c r="BG499" s="20">
        <v>2.46</v>
      </c>
      <c r="BH499" s="20">
        <v>0.39</v>
      </c>
      <c r="BM499" s="20">
        <v>43.32</v>
      </c>
      <c r="BN499" s="20">
        <v>36.9</v>
      </c>
      <c r="BW499" s="20">
        <v>-54.06</v>
      </c>
      <c r="BX499" s="20">
        <v>-25.19</v>
      </c>
      <c r="BZ499" s="20">
        <v>-36.89</v>
      </c>
      <c r="CA499" s="20">
        <v>-2.52</v>
      </c>
      <c r="CI499" s="20">
        <v>-28.43</v>
      </c>
      <c r="CJ499" s="20">
        <v>-29.76</v>
      </c>
      <c r="CO499" s="20">
        <v>-11.16</v>
      </c>
      <c r="CP499" s="20">
        <v>-52.48</v>
      </c>
    </row>
    <row r="500">
      <c r="A500" s="20">
        <v>24.49</v>
      </c>
      <c r="B500" s="20">
        <v>-26.92</v>
      </c>
      <c r="D500" s="20"/>
      <c r="E500" s="20"/>
      <c r="F500" s="20">
        <v>-35.28</v>
      </c>
      <c r="G500" s="20">
        <v>52.43</v>
      </c>
      <c r="I500" s="20"/>
      <c r="J500" s="20"/>
      <c r="K500" s="20">
        <v>249.0</v>
      </c>
      <c r="L500" s="20" t="s">
        <v>17</v>
      </c>
      <c r="M500" s="20">
        <v>-34.58</v>
      </c>
      <c r="N500" s="20">
        <v>-30.57</v>
      </c>
      <c r="P500" s="20">
        <v>-39.83</v>
      </c>
      <c r="Q500" s="20">
        <v>-9.75</v>
      </c>
      <c r="AG500" s="20">
        <v>498.0</v>
      </c>
      <c r="AH500" s="20" t="s">
        <v>14</v>
      </c>
      <c r="AI500" s="20">
        <v>28.62</v>
      </c>
      <c r="AJ500" s="20">
        <v>43.48</v>
      </c>
      <c r="AM500" s="20">
        <v>251.0</v>
      </c>
      <c r="AN500" s="20" t="s">
        <v>17</v>
      </c>
      <c r="AO500" s="20">
        <v>-24.15</v>
      </c>
      <c r="AP500" s="20">
        <v>2.28</v>
      </c>
      <c r="AS500" s="20">
        <v>249.0</v>
      </c>
      <c r="AT500" s="20" t="s">
        <v>17</v>
      </c>
      <c r="AU500" s="20">
        <v>-27.34</v>
      </c>
      <c r="AV500" s="20">
        <v>-26.97</v>
      </c>
      <c r="BE500" s="20">
        <v>498.0</v>
      </c>
      <c r="BF500" s="20" t="s">
        <v>14</v>
      </c>
      <c r="BG500" s="20">
        <v>-2.88</v>
      </c>
      <c r="BH500" s="20">
        <v>-8.24</v>
      </c>
      <c r="BM500" s="20">
        <v>62.86</v>
      </c>
      <c r="BN500" s="20">
        <v>92.82</v>
      </c>
      <c r="BW500" s="20">
        <v>-59.27</v>
      </c>
      <c r="BX500" s="20">
        <v>-41.49</v>
      </c>
      <c r="BZ500" s="20">
        <v>-45.25</v>
      </c>
      <c r="CA500" s="20">
        <v>3.68</v>
      </c>
      <c r="CI500" s="20">
        <v>-32.51</v>
      </c>
      <c r="CJ500" s="20">
        <v>-32.15</v>
      </c>
      <c r="CO500" s="20">
        <v>-17.65</v>
      </c>
      <c r="CP500" s="20">
        <v>-48.59</v>
      </c>
    </row>
    <row r="501">
      <c r="A501" s="20">
        <v>-44.69</v>
      </c>
      <c r="B501" s="20">
        <v>-21.48</v>
      </c>
      <c r="D501" s="20"/>
      <c r="E501" s="20"/>
      <c r="F501" s="20">
        <v>17.09</v>
      </c>
      <c r="G501" s="20">
        <v>11.83</v>
      </c>
      <c r="I501" s="20"/>
      <c r="J501" s="20"/>
      <c r="K501" s="20">
        <v>250.0</v>
      </c>
      <c r="L501" s="20" t="s">
        <v>14</v>
      </c>
      <c r="M501" s="20">
        <v>-27.65</v>
      </c>
      <c r="N501" s="20">
        <v>-12.71</v>
      </c>
      <c r="P501" s="20">
        <v>-7.25</v>
      </c>
      <c r="Q501" s="20">
        <v>13.95</v>
      </c>
      <c r="AG501" s="20">
        <v>499.0</v>
      </c>
      <c r="AH501" s="20" t="s">
        <v>14</v>
      </c>
      <c r="AI501" s="20">
        <v>0.93</v>
      </c>
      <c r="AJ501" s="20">
        <v>-1.41</v>
      </c>
      <c r="AM501" s="20">
        <v>252.0</v>
      </c>
      <c r="AN501" s="20" t="s">
        <v>14</v>
      </c>
      <c r="AO501" s="20">
        <v>1.27</v>
      </c>
      <c r="AP501" s="20">
        <v>0.37</v>
      </c>
      <c r="AS501" s="20">
        <v>250.0</v>
      </c>
      <c r="AT501" s="20" t="s">
        <v>14</v>
      </c>
      <c r="AU501" s="20">
        <v>-17.25</v>
      </c>
      <c r="AV501" s="20">
        <v>-43.33</v>
      </c>
      <c r="BE501" s="20">
        <v>499.0</v>
      </c>
      <c r="BF501" s="20" t="s">
        <v>14</v>
      </c>
      <c r="BG501" s="20">
        <v>5.06</v>
      </c>
      <c r="BH501" s="20">
        <v>-9.35</v>
      </c>
      <c r="BM501" s="20">
        <v>61.56</v>
      </c>
      <c r="BN501" s="20">
        <v>50.94</v>
      </c>
      <c r="BW501" s="20">
        <v>-52.33</v>
      </c>
      <c r="BX501" s="20">
        <v>-37.84</v>
      </c>
      <c r="BZ501" s="20">
        <v>-9.67</v>
      </c>
      <c r="CA501" s="20">
        <v>25.96</v>
      </c>
      <c r="CI501" s="20">
        <v>-53.96</v>
      </c>
      <c r="CJ501" s="20">
        <v>-62.68</v>
      </c>
      <c r="CO501" s="20">
        <v>-21.29</v>
      </c>
      <c r="CP501" s="20">
        <v>-53.49</v>
      </c>
    </row>
    <row r="502">
      <c r="A502" s="20">
        <v>25.21</v>
      </c>
      <c r="B502" s="20">
        <v>-19.49</v>
      </c>
      <c r="D502" s="20"/>
      <c r="E502" s="20"/>
      <c r="F502" s="20">
        <v>-19.98</v>
      </c>
      <c r="G502" s="20">
        <v>26.89</v>
      </c>
      <c r="I502" s="20"/>
      <c r="J502" s="20"/>
      <c r="K502" s="20">
        <v>250.0</v>
      </c>
      <c r="L502" s="20" t="s">
        <v>17</v>
      </c>
      <c r="M502" s="20">
        <v>-30.14</v>
      </c>
      <c r="N502" s="20">
        <v>-47.07</v>
      </c>
      <c r="P502" s="20">
        <v>14.72</v>
      </c>
      <c r="Q502" s="20">
        <v>54.44</v>
      </c>
      <c r="AG502" s="20">
        <v>500.0</v>
      </c>
      <c r="AH502" s="20" t="s">
        <v>14</v>
      </c>
      <c r="AI502" s="20">
        <v>-7.29</v>
      </c>
      <c r="AJ502" s="20">
        <v>13.63</v>
      </c>
      <c r="AM502" s="20">
        <v>252.0</v>
      </c>
      <c r="AN502" s="20" t="s">
        <v>17</v>
      </c>
      <c r="AO502" s="20">
        <v>-16.57</v>
      </c>
      <c r="AP502" s="20">
        <v>8.27</v>
      </c>
      <c r="AS502" s="20">
        <v>250.0</v>
      </c>
      <c r="AT502" s="20" t="s">
        <v>17</v>
      </c>
      <c r="AU502" s="20">
        <v>-55.54</v>
      </c>
      <c r="AV502" s="20">
        <v>-58.9</v>
      </c>
      <c r="BE502" s="20">
        <v>500.0</v>
      </c>
      <c r="BF502" s="20" t="s">
        <v>14</v>
      </c>
      <c r="BG502" s="20">
        <v>4.57</v>
      </c>
      <c r="BH502" s="20">
        <v>28.69</v>
      </c>
      <c r="BM502" s="20">
        <v>-8.9</v>
      </c>
      <c r="BN502" s="20">
        <v>53.64</v>
      </c>
      <c r="BW502" s="20">
        <v>-46.62</v>
      </c>
      <c r="BX502" s="20">
        <v>-30.34</v>
      </c>
      <c r="BZ502" s="20">
        <v>-38.4</v>
      </c>
      <c r="CA502" s="20">
        <v>114.95</v>
      </c>
      <c r="CI502" s="20">
        <v>-49.99</v>
      </c>
      <c r="CJ502" s="20">
        <v>-59.37</v>
      </c>
      <c r="CO502" s="20">
        <v>20.28</v>
      </c>
      <c r="CP502" s="20">
        <v>-57.15</v>
      </c>
    </row>
    <row r="503">
      <c r="A503" s="20">
        <v>-41.84</v>
      </c>
      <c r="B503" s="20">
        <v>-13.0</v>
      </c>
      <c r="D503" s="20"/>
      <c r="E503" s="20"/>
      <c r="F503" s="20">
        <v>-20.09</v>
      </c>
      <c r="G503" s="20">
        <v>40.28</v>
      </c>
      <c r="I503" s="20"/>
      <c r="J503" s="20"/>
      <c r="K503" s="20">
        <v>251.0</v>
      </c>
      <c r="L503" s="20" t="s">
        <v>14</v>
      </c>
      <c r="M503" s="20">
        <v>11.63</v>
      </c>
      <c r="N503" s="20">
        <v>6.95</v>
      </c>
      <c r="P503" s="20">
        <v>0.48</v>
      </c>
      <c r="Q503" s="20">
        <v>-9.28</v>
      </c>
      <c r="AG503" s="20">
        <v>501.0</v>
      </c>
      <c r="AH503" s="20" t="s">
        <v>14</v>
      </c>
      <c r="AI503" s="20">
        <v>-21.78</v>
      </c>
      <c r="AJ503" s="20">
        <v>-28.34</v>
      </c>
      <c r="AM503" s="20">
        <v>253.0</v>
      </c>
      <c r="AN503" s="20" t="s">
        <v>14</v>
      </c>
      <c r="AO503" s="20">
        <v>-15.41</v>
      </c>
      <c r="AP503" s="20">
        <v>-24.15</v>
      </c>
      <c r="AS503" s="20">
        <v>251.0</v>
      </c>
      <c r="AT503" s="20" t="s">
        <v>14</v>
      </c>
      <c r="AU503" s="20">
        <v>-3.42</v>
      </c>
      <c r="AV503" s="20">
        <v>-25.73</v>
      </c>
      <c r="BE503" s="20">
        <v>501.0</v>
      </c>
      <c r="BF503" s="20" t="s">
        <v>14</v>
      </c>
      <c r="BG503" s="20">
        <v>-11.56</v>
      </c>
      <c r="BH503" s="20">
        <v>3.3</v>
      </c>
      <c r="BM503" s="20">
        <v>26.98</v>
      </c>
      <c r="BN503" s="20">
        <v>44.0</v>
      </c>
      <c r="BW503" s="20">
        <v>-43.4</v>
      </c>
      <c r="BX503" s="20">
        <v>-29.11</v>
      </c>
      <c r="BZ503" s="20">
        <v>-50.63</v>
      </c>
      <c r="CA503" s="20">
        <v>14.06</v>
      </c>
      <c r="CI503" s="20">
        <v>-29.66</v>
      </c>
      <c r="CJ503" s="20">
        <v>-52.56</v>
      </c>
      <c r="CO503" s="20">
        <v>-20.7</v>
      </c>
      <c r="CP503" s="20">
        <v>-63.56</v>
      </c>
    </row>
    <row r="504">
      <c r="A504" s="20">
        <v>-13.81</v>
      </c>
      <c r="B504" s="20">
        <v>44.15</v>
      </c>
      <c r="D504" s="20"/>
      <c r="E504" s="20"/>
      <c r="F504" s="20">
        <v>-31.88</v>
      </c>
      <c r="G504" s="20">
        <v>18.17</v>
      </c>
      <c r="I504" s="20"/>
      <c r="J504" s="20"/>
      <c r="K504" s="20">
        <v>251.0</v>
      </c>
      <c r="L504" s="20" t="s">
        <v>17</v>
      </c>
      <c r="M504" s="20">
        <v>-15.65</v>
      </c>
      <c r="N504" s="20">
        <v>-49.48</v>
      </c>
      <c r="P504" s="20">
        <v>15.92</v>
      </c>
      <c r="Q504" s="20">
        <v>-1.93</v>
      </c>
      <c r="AG504" s="20">
        <v>502.0</v>
      </c>
      <c r="AH504" s="20" t="s">
        <v>14</v>
      </c>
      <c r="AI504" s="20">
        <v>-20.17</v>
      </c>
      <c r="AJ504" s="20">
        <v>-9.33</v>
      </c>
      <c r="AM504" s="20">
        <v>253.0</v>
      </c>
      <c r="AN504" s="20" t="s">
        <v>17</v>
      </c>
      <c r="AO504" s="20">
        <v>-23.36</v>
      </c>
      <c r="AP504" s="20">
        <v>11.91</v>
      </c>
      <c r="AS504" s="20">
        <v>251.0</v>
      </c>
      <c r="AT504" s="20" t="s">
        <v>17</v>
      </c>
      <c r="AU504" s="20">
        <v>-8.48</v>
      </c>
      <c r="AV504" s="20">
        <v>-22.42</v>
      </c>
      <c r="BE504" s="20">
        <v>502.0</v>
      </c>
      <c r="BF504" s="20" t="s">
        <v>14</v>
      </c>
      <c r="BG504" s="20">
        <v>13.17</v>
      </c>
      <c r="BH504" s="20">
        <v>11.72</v>
      </c>
      <c r="BM504" s="20">
        <v>29.11</v>
      </c>
      <c r="BN504" s="20">
        <v>112.0</v>
      </c>
      <c r="BW504" s="20">
        <v>-49.36</v>
      </c>
      <c r="BX504" s="20">
        <v>-29.45</v>
      </c>
      <c r="BZ504" s="20">
        <v>-45.94</v>
      </c>
      <c r="CA504" s="20">
        <v>56.03</v>
      </c>
      <c r="CI504" s="20">
        <v>-42.72</v>
      </c>
      <c r="CJ504" s="20">
        <v>-49.96</v>
      </c>
      <c r="CO504" s="20">
        <v>-15.51</v>
      </c>
      <c r="CP504" s="20">
        <v>-38.0</v>
      </c>
    </row>
    <row r="505">
      <c r="A505" s="20">
        <v>-19.54</v>
      </c>
      <c r="B505" s="20">
        <v>146.94</v>
      </c>
      <c r="D505" s="20"/>
      <c r="E505" s="20"/>
      <c r="F505" s="20">
        <v>-27.39</v>
      </c>
      <c r="G505" s="20">
        <v>15.03</v>
      </c>
      <c r="I505" s="20"/>
      <c r="J505" s="20"/>
      <c r="K505" s="20">
        <v>252.0</v>
      </c>
      <c r="L505" s="20" t="s">
        <v>14</v>
      </c>
      <c r="M505" s="20">
        <v>14.14</v>
      </c>
      <c r="N505" s="20">
        <v>75.94</v>
      </c>
      <c r="P505" s="20">
        <v>56.11</v>
      </c>
      <c r="Q505" s="20">
        <v>38.91</v>
      </c>
      <c r="AG505" s="20">
        <v>503.0</v>
      </c>
      <c r="AH505" s="20" t="s">
        <v>14</v>
      </c>
      <c r="AI505" s="20">
        <v>7.6</v>
      </c>
      <c r="AJ505" s="20">
        <v>19.77</v>
      </c>
      <c r="AM505" s="20">
        <v>254.0</v>
      </c>
      <c r="AN505" s="20" t="s">
        <v>14</v>
      </c>
      <c r="AO505" s="20">
        <v>-12.08</v>
      </c>
      <c r="AP505" s="20">
        <v>26.48</v>
      </c>
      <c r="AS505" s="20">
        <v>252.0</v>
      </c>
      <c r="AT505" s="20" t="s">
        <v>14</v>
      </c>
      <c r="AU505" s="20">
        <v>-30.62</v>
      </c>
      <c r="AV505" s="20">
        <v>-55.5</v>
      </c>
      <c r="BE505" s="20">
        <v>503.0</v>
      </c>
      <c r="BF505" s="20" t="s">
        <v>14</v>
      </c>
      <c r="BG505" s="20">
        <v>11.96</v>
      </c>
      <c r="BH505" s="20">
        <v>-10.5</v>
      </c>
      <c r="BM505" s="20">
        <v>26.52</v>
      </c>
      <c r="BN505" s="20">
        <v>50.24</v>
      </c>
      <c r="BW505" s="20">
        <v>-65.53</v>
      </c>
      <c r="BX505" s="20">
        <v>-39.91</v>
      </c>
      <c r="BZ505" s="20">
        <v>-20.04</v>
      </c>
      <c r="CA505" s="20">
        <v>74.9</v>
      </c>
      <c r="CI505" s="20">
        <v>-46.89</v>
      </c>
      <c r="CJ505" s="20">
        <v>-56.89</v>
      </c>
      <c r="CO505" s="20">
        <v>-28.67</v>
      </c>
      <c r="CP505" s="20">
        <v>-53.35</v>
      </c>
    </row>
    <row r="506">
      <c r="A506" s="20">
        <v>-34.65</v>
      </c>
      <c r="B506" s="20">
        <v>52.96</v>
      </c>
      <c r="D506" s="20"/>
      <c r="E506" s="20"/>
      <c r="F506" s="20">
        <v>-28.9</v>
      </c>
      <c r="G506" s="20">
        <v>23.06</v>
      </c>
      <c r="I506" s="20"/>
      <c r="J506" s="20"/>
      <c r="K506" s="20">
        <v>252.0</v>
      </c>
      <c r="L506" s="20" t="s">
        <v>17</v>
      </c>
      <c r="M506" s="20">
        <v>-24.67</v>
      </c>
      <c r="N506" s="20">
        <v>14.78</v>
      </c>
      <c r="P506" s="20">
        <v>2.97</v>
      </c>
      <c r="Q506" s="20">
        <v>-11.15</v>
      </c>
      <c r="AG506" s="20">
        <v>504.0</v>
      </c>
      <c r="AH506" s="20" t="s">
        <v>14</v>
      </c>
      <c r="AI506" s="20">
        <v>8.23</v>
      </c>
      <c r="AJ506" s="20">
        <v>6.11</v>
      </c>
      <c r="AM506" s="20">
        <v>254.0</v>
      </c>
      <c r="AN506" s="20" t="s">
        <v>17</v>
      </c>
      <c r="AO506" s="20">
        <v>20.16</v>
      </c>
      <c r="AP506" s="20">
        <v>2.47</v>
      </c>
      <c r="AS506" s="20">
        <v>252.0</v>
      </c>
      <c r="AT506" s="20" t="s">
        <v>17</v>
      </c>
      <c r="AU506" s="20">
        <v>-48.18</v>
      </c>
      <c r="AV506" s="20">
        <v>-35.23</v>
      </c>
      <c r="BE506" s="20">
        <v>504.0</v>
      </c>
      <c r="BF506" s="20" t="s">
        <v>14</v>
      </c>
      <c r="BG506" s="20">
        <v>-1.02</v>
      </c>
      <c r="BH506" s="20">
        <v>-1.15</v>
      </c>
      <c r="BM506" s="20">
        <v>70.25</v>
      </c>
      <c r="BN506" s="20">
        <v>115.13</v>
      </c>
      <c r="BW506" s="20">
        <v>-53.45</v>
      </c>
      <c r="BX506" s="20">
        <v>-39.41</v>
      </c>
      <c r="BZ506" s="20">
        <v>-34.59</v>
      </c>
      <c r="CA506" s="20">
        <v>15.92</v>
      </c>
      <c r="CI506" s="20">
        <v>-40.37</v>
      </c>
      <c r="CJ506" s="20">
        <v>-47.85</v>
      </c>
      <c r="CO506" s="20">
        <v>39.07</v>
      </c>
      <c r="CP506" s="20">
        <v>-49.77</v>
      </c>
    </row>
    <row r="507">
      <c r="A507" s="20">
        <v>-42.82</v>
      </c>
      <c r="B507" s="20">
        <v>51.94</v>
      </c>
      <c r="D507" s="20"/>
      <c r="E507" s="20"/>
      <c r="F507" s="20">
        <v>22.1</v>
      </c>
      <c r="G507" s="20">
        <v>-21.88</v>
      </c>
      <c r="I507" s="20"/>
      <c r="J507" s="20"/>
      <c r="K507" s="20">
        <v>253.0</v>
      </c>
      <c r="L507" s="20" t="s">
        <v>14</v>
      </c>
      <c r="M507" s="20">
        <v>-16.67</v>
      </c>
      <c r="N507" s="20">
        <v>27.49</v>
      </c>
      <c r="P507" s="20">
        <v>-20.25</v>
      </c>
      <c r="Q507" s="20">
        <v>-14.89</v>
      </c>
      <c r="AG507" s="20">
        <v>505.0</v>
      </c>
      <c r="AH507" s="20" t="s">
        <v>14</v>
      </c>
      <c r="AI507" s="20">
        <v>-45.9</v>
      </c>
      <c r="AJ507" s="20">
        <v>-27.99</v>
      </c>
      <c r="AM507" s="20">
        <v>255.0</v>
      </c>
      <c r="AN507" s="20" t="s">
        <v>14</v>
      </c>
      <c r="AO507" s="20">
        <v>24.6</v>
      </c>
      <c r="AP507" s="20">
        <v>52.68</v>
      </c>
      <c r="AS507" s="20">
        <v>253.0</v>
      </c>
      <c r="AT507" s="20" t="s">
        <v>14</v>
      </c>
      <c r="AU507" s="20">
        <v>-2.17</v>
      </c>
      <c r="AV507" s="20">
        <v>-30.5</v>
      </c>
      <c r="BE507" s="20">
        <v>505.0</v>
      </c>
      <c r="BF507" s="20" t="s">
        <v>14</v>
      </c>
      <c r="BG507" s="20">
        <v>-15.47</v>
      </c>
      <c r="BH507" s="20">
        <v>28.79</v>
      </c>
      <c r="BM507" s="20">
        <v>58.61</v>
      </c>
      <c r="BN507" s="20">
        <v>59.62</v>
      </c>
      <c r="BW507" s="20">
        <v>-56.9</v>
      </c>
      <c r="BX507" s="20">
        <v>-10.24</v>
      </c>
      <c r="BZ507" s="20">
        <v>-41.4</v>
      </c>
      <c r="CA507" s="20">
        <v>108.96</v>
      </c>
      <c r="CI507" s="20">
        <v>-42.44</v>
      </c>
      <c r="CJ507" s="20">
        <v>-45.7</v>
      </c>
      <c r="CO507" s="20">
        <v>-22.15</v>
      </c>
      <c r="CP507" s="20">
        <v>-43.47</v>
      </c>
    </row>
    <row r="508">
      <c r="A508" s="20">
        <v>-45.18</v>
      </c>
      <c r="B508" s="20">
        <v>28.49</v>
      </c>
      <c r="D508" s="20"/>
      <c r="E508" s="20"/>
      <c r="F508" s="20">
        <v>-19.4</v>
      </c>
      <c r="G508" s="20">
        <v>-30.86</v>
      </c>
      <c r="I508" s="20"/>
      <c r="J508" s="20"/>
      <c r="K508" s="20">
        <v>253.0</v>
      </c>
      <c r="L508" s="20" t="s">
        <v>17</v>
      </c>
      <c r="M508" s="20">
        <v>-34.69</v>
      </c>
      <c r="N508" s="20">
        <v>17.24</v>
      </c>
      <c r="P508" s="20">
        <v>-0.4</v>
      </c>
      <c r="Q508" s="20">
        <v>15.92</v>
      </c>
      <c r="AG508" s="20">
        <v>506.0</v>
      </c>
      <c r="AH508" s="20" t="s">
        <v>14</v>
      </c>
      <c r="AI508" s="20">
        <v>103.41</v>
      </c>
      <c r="AJ508" s="20">
        <v>23.92</v>
      </c>
      <c r="AM508" s="20">
        <v>255.0</v>
      </c>
      <c r="AN508" s="20" t="s">
        <v>17</v>
      </c>
      <c r="AO508" s="20">
        <v>2.44</v>
      </c>
      <c r="AP508" s="20">
        <v>-25.2</v>
      </c>
      <c r="AS508" s="20">
        <v>253.0</v>
      </c>
      <c r="AT508" s="20" t="s">
        <v>17</v>
      </c>
      <c r="AU508" s="20">
        <v>-36.96</v>
      </c>
      <c r="AV508" s="20">
        <v>-51.57</v>
      </c>
      <c r="BE508" s="20">
        <v>506.0</v>
      </c>
      <c r="BF508" s="20" t="s">
        <v>14</v>
      </c>
      <c r="BG508" s="20">
        <v>-23.84</v>
      </c>
      <c r="BH508" s="20">
        <v>-11.52</v>
      </c>
      <c r="BM508" s="20">
        <v>32.38</v>
      </c>
      <c r="BN508" s="20">
        <v>58.47</v>
      </c>
      <c r="BW508" s="20">
        <v>-39.18</v>
      </c>
      <c r="BX508" s="20">
        <v>-27.46</v>
      </c>
      <c r="BZ508" s="20">
        <v>-42.96</v>
      </c>
      <c r="CA508" s="20">
        <v>46.27</v>
      </c>
      <c r="CI508" s="20">
        <v>-37.55</v>
      </c>
      <c r="CJ508" s="20">
        <v>-47.59</v>
      </c>
      <c r="CO508" s="20">
        <v>11.78</v>
      </c>
      <c r="CP508" s="20">
        <v>-53.5</v>
      </c>
    </row>
    <row r="509">
      <c r="A509" s="20">
        <v>-25.7</v>
      </c>
      <c r="B509" s="20">
        <v>66.72</v>
      </c>
      <c r="D509" s="20"/>
      <c r="E509" s="20"/>
      <c r="F509" s="20">
        <v>-21.04</v>
      </c>
      <c r="G509" s="20">
        <v>11.91</v>
      </c>
      <c r="I509" s="20"/>
      <c r="J509" s="20"/>
      <c r="K509" s="20">
        <v>254.0</v>
      </c>
      <c r="L509" s="20" t="s">
        <v>14</v>
      </c>
      <c r="M509" s="20">
        <v>4.44</v>
      </c>
      <c r="N509" s="20">
        <v>5.05</v>
      </c>
      <c r="P509" s="20">
        <v>-0.44</v>
      </c>
      <c r="Q509" s="20">
        <v>2.85</v>
      </c>
      <c r="AG509" s="20">
        <v>507.0</v>
      </c>
      <c r="AH509" s="20" t="s">
        <v>14</v>
      </c>
      <c r="AI509" s="20">
        <v>-20.35</v>
      </c>
      <c r="AJ509" s="20">
        <v>-16.51</v>
      </c>
      <c r="AM509" s="20">
        <v>256.0</v>
      </c>
      <c r="AN509" s="20" t="s">
        <v>14</v>
      </c>
      <c r="AO509" s="20">
        <v>29.67</v>
      </c>
      <c r="AP509" s="20">
        <v>48.5</v>
      </c>
      <c r="AS509" s="20">
        <v>254.0</v>
      </c>
      <c r="AT509" s="20" t="s">
        <v>14</v>
      </c>
      <c r="AU509" s="20">
        <v>-8.92</v>
      </c>
      <c r="AV509" s="20">
        <v>-58.48</v>
      </c>
      <c r="BE509" s="20">
        <v>507.0</v>
      </c>
      <c r="BF509" s="20" t="s">
        <v>14</v>
      </c>
      <c r="BG509" s="20">
        <v>8.8</v>
      </c>
      <c r="BH509" s="20">
        <v>14.32</v>
      </c>
      <c r="BM509" s="20">
        <v>63.37</v>
      </c>
      <c r="BN509" s="20">
        <v>101.93</v>
      </c>
      <c r="BW509" s="20">
        <v>-38.75</v>
      </c>
      <c r="BX509" s="20">
        <v>-30.01</v>
      </c>
      <c r="BZ509" s="20">
        <v>-35.28</v>
      </c>
      <c r="CA509" s="20">
        <v>89.76</v>
      </c>
      <c r="CI509" s="20">
        <v>-53.25</v>
      </c>
      <c r="CJ509" s="20">
        <v>-65.23</v>
      </c>
      <c r="CO509" s="20">
        <v>-26.63</v>
      </c>
      <c r="CP509" s="20">
        <v>-48.08</v>
      </c>
    </row>
    <row r="510">
      <c r="A510" s="20">
        <v>-41.83</v>
      </c>
      <c r="B510" s="20">
        <v>26.33</v>
      </c>
      <c r="D510" s="20"/>
      <c r="E510" s="20"/>
      <c r="F510" s="20">
        <v>-10.79</v>
      </c>
      <c r="G510" s="20">
        <v>6.37</v>
      </c>
      <c r="I510" s="20"/>
      <c r="J510" s="20"/>
      <c r="K510" s="20">
        <v>254.0</v>
      </c>
      <c r="L510" s="20" t="s">
        <v>17</v>
      </c>
      <c r="M510" s="20">
        <v>-19.59</v>
      </c>
      <c r="N510" s="20">
        <v>-15.06</v>
      </c>
      <c r="P510" s="20">
        <v>-15.42</v>
      </c>
      <c r="Q510" s="20">
        <v>43.96</v>
      </c>
      <c r="AG510" s="20">
        <v>508.0</v>
      </c>
      <c r="AH510" s="20" t="s">
        <v>14</v>
      </c>
      <c r="AI510" s="20">
        <v>24.64</v>
      </c>
      <c r="AJ510" s="20">
        <v>36.19</v>
      </c>
      <c r="AM510" s="20">
        <v>256.0</v>
      </c>
      <c r="AN510" s="20" t="s">
        <v>17</v>
      </c>
      <c r="AO510" s="20">
        <v>2.51</v>
      </c>
      <c r="AP510" s="20">
        <v>-10.02</v>
      </c>
      <c r="AS510" s="20">
        <v>254.0</v>
      </c>
      <c r="AT510" s="20" t="s">
        <v>17</v>
      </c>
      <c r="AU510" s="20">
        <v>-7.2</v>
      </c>
      <c r="AV510" s="20">
        <v>-36.62</v>
      </c>
      <c r="BE510" s="20">
        <v>508.0</v>
      </c>
      <c r="BF510" s="20" t="s">
        <v>14</v>
      </c>
      <c r="BG510" s="20">
        <v>-15.65</v>
      </c>
      <c r="BH510" s="20">
        <v>9.85</v>
      </c>
      <c r="BM510" s="20">
        <v>21.67</v>
      </c>
      <c r="BN510" s="20">
        <v>72.71</v>
      </c>
      <c r="BW510" s="20">
        <v>-46.33</v>
      </c>
      <c r="BX510" s="20">
        <v>13.6</v>
      </c>
      <c r="BZ510" s="20">
        <v>-34.91</v>
      </c>
      <c r="CA510" s="20">
        <v>37.15</v>
      </c>
      <c r="CI510" s="20">
        <v>-28.28</v>
      </c>
      <c r="CJ510" s="20">
        <v>-32.33</v>
      </c>
      <c r="CO510" s="20">
        <v>7.18</v>
      </c>
      <c r="CP510" s="20">
        <v>-49.47</v>
      </c>
    </row>
    <row r="511">
      <c r="A511" s="20">
        <v>-51.46</v>
      </c>
      <c r="B511" s="20">
        <v>17.12</v>
      </c>
      <c r="D511" s="20"/>
      <c r="E511" s="20"/>
      <c r="F511" s="20">
        <v>-35.53</v>
      </c>
      <c r="G511" s="20">
        <v>-25.09</v>
      </c>
      <c r="I511" s="20"/>
      <c r="J511" s="20"/>
      <c r="K511" s="20">
        <v>255.0</v>
      </c>
      <c r="L511" s="20" t="s">
        <v>14</v>
      </c>
      <c r="M511" s="20">
        <v>-21.86</v>
      </c>
      <c r="N511" s="20">
        <v>11.49</v>
      </c>
      <c r="P511" s="20">
        <v>-3.6</v>
      </c>
      <c r="Q511" s="20">
        <v>-9.42</v>
      </c>
      <c r="AG511" s="20">
        <v>509.0</v>
      </c>
      <c r="AH511" s="20" t="s">
        <v>14</v>
      </c>
      <c r="AI511" s="20">
        <v>69.83</v>
      </c>
      <c r="AJ511" s="20">
        <v>0.66</v>
      </c>
      <c r="AM511" s="20">
        <v>257.0</v>
      </c>
      <c r="AN511" s="20" t="s">
        <v>14</v>
      </c>
      <c r="AO511" s="20">
        <v>-17.41</v>
      </c>
      <c r="AP511" s="20">
        <v>28.3</v>
      </c>
      <c r="AS511" s="20">
        <v>255.0</v>
      </c>
      <c r="AT511" s="20" t="s">
        <v>14</v>
      </c>
      <c r="AU511" s="20">
        <v>-7.58</v>
      </c>
      <c r="AV511" s="20">
        <v>-56.7</v>
      </c>
      <c r="BE511" s="20">
        <v>509.0</v>
      </c>
      <c r="BF511" s="20" t="s">
        <v>14</v>
      </c>
      <c r="BG511" s="20">
        <v>4.44</v>
      </c>
      <c r="BH511" s="20">
        <v>-12.08</v>
      </c>
      <c r="BM511" s="20">
        <v>-57.25</v>
      </c>
      <c r="BN511" s="20">
        <v>-37.67</v>
      </c>
      <c r="BW511" s="20">
        <v>-16.16</v>
      </c>
      <c r="BX511" s="20">
        <v>63.21</v>
      </c>
      <c r="BZ511" s="20">
        <v>-17.81</v>
      </c>
      <c r="CA511" s="20">
        <v>168.37</v>
      </c>
      <c r="CI511" s="20">
        <v>-35.48</v>
      </c>
      <c r="CJ511" s="20">
        <v>-53.66</v>
      </c>
      <c r="CO511" s="20">
        <v>-38.08</v>
      </c>
      <c r="CP511" s="20">
        <v>-58.57</v>
      </c>
    </row>
    <row r="512">
      <c r="A512" s="20">
        <v>-55.82</v>
      </c>
      <c r="B512" s="20">
        <v>-10.24</v>
      </c>
      <c r="D512" s="20"/>
      <c r="E512" s="20"/>
      <c r="F512" s="20">
        <v>-41.07</v>
      </c>
      <c r="G512" s="20">
        <v>22.04</v>
      </c>
      <c r="I512" s="20"/>
      <c r="J512" s="20"/>
      <c r="K512" s="20">
        <v>255.0</v>
      </c>
      <c r="L512" s="20" t="s">
        <v>17</v>
      </c>
      <c r="M512" s="20">
        <v>-36.3</v>
      </c>
      <c r="N512" s="20">
        <v>-41.69</v>
      </c>
      <c r="P512" s="20">
        <v>-14.9</v>
      </c>
      <c r="Q512" s="20">
        <v>-1.97</v>
      </c>
      <c r="AG512" s="20">
        <v>510.0</v>
      </c>
      <c r="AH512" s="20" t="s">
        <v>14</v>
      </c>
      <c r="AI512" s="20">
        <v>-20.23</v>
      </c>
      <c r="AJ512" s="20">
        <v>-16.91</v>
      </c>
      <c r="AM512" s="20">
        <v>257.0</v>
      </c>
      <c r="AN512" s="20" t="s">
        <v>17</v>
      </c>
      <c r="AO512" s="20">
        <v>-25.39</v>
      </c>
      <c r="AP512" s="20">
        <v>-8.5</v>
      </c>
      <c r="AS512" s="20">
        <v>255.0</v>
      </c>
      <c r="AT512" s="20" t="s">
        <v>17</v>
      </c>
      <c r="AU512" s="20">
        <v>-19.41</v>
      </c>
      <c r="AV512" s="20">
        <v>-41.55</v>
      </c>
      <c r="BE512" s="20">
        <v>510.0</v>
      </c>
      <c r="BF512" s="20" t="s">
        <v>14</v>
      </c>
      <c r="BG512" s="20">
        <v>19.52</v>
      </c>
      <c r="BH512" s="20">
        <v>0.31</v>
      </c>
      <c r="BM512" s="20">
        <v>32.04</v>
      </c>
      <c r="BN512" s="20">
        <v>90.07</v>
      </c>
      <c r="BW512" s="20">
        <v>-29.35</v>
      </c>
      <c r="BX512" s="20">
        <v>-11.2</v>
      </c>
      <c r="BZ512" s="20">
        <v>-55.24</v>
      </c>
      <c r="CA512" s="20">
        <v>73.84</v>
      </c>
      <c r="CI512" s="20">
        <v>-36.6</v>
      </c>
      <c r="CJ512" s="20">
        <v>-47.11</v>
      </c>
      <c r="CO512" s="20">
        <v>-13.56</v>
      </c>
      <c r="CP512" s="20">
        <v>-54.93</v>
      </c>
    </row>
    <row r="513">
      <c r="A513" s="20">
        <v>-35.21</v>
      </c>
      <c r="B513" s="20">
        <v>38.85</v>
      </c>
      <c r="D513" s="20"/>
      <c r="E513" s="20"/>
      <c r="F513" s="20">
        <v>5.41</v>
      </c>
      <c r="G513" s="20">
        <v>34.13</v>
      </c>
      <c r="I513" s="20"/>
      <c r="J513" s="20"/>
      <c r="K513" s="20">
        <v>256.0</v>
      </c>
      <c r="L513" s="20" t="s">
        <v>14</v>
      </c>
      <c r="M513" s="20">
        <v>29.46</v>
      </c>
      <c r="N513" s="20">
        <v>128.73</v>
      </c>
      <c r="P513" s="20">
        <v>-10.58</v>
      </c>
      <c r="Q513" s="20">
        <v>23.74</v>
      </c>
      <c r="AG513" s="20">
        <v>511.0</v>
      </c>
      <c r="AH513" s="20" t="s">
        <v>14</v>
      </c>
      <c r="AI513" s="20">
        <v>-9.75</v>
      </c>
      <c r="AJ513" s="20">
        <v>20.42</v>
      </c>
      <c r="AM513" s="20">
        <v>258.0</v>
      </c>
      <c r="AN513" s="20" t="s">
        <v>14</v>
      </c>
      <c r="AO513" s="20">
        <v>-13.34</v>
      </c>
      <c r="AP513" s="20">
        <v>2.06</v>
      </c>
      <c r="AS513" s="20">
        <v>256.0</v>
      </c>
      <c r="AT513" s="20" t="s">
        <v>14</v>
      </c>
      <c r="AU513" s="20">
        <v>-26.94</v>
      </c>
      <c r="AV513" s="20">
        <v>-62.81</v>
      </c>
      <c r="BE513" s="20">
        <v>511.0</v>
      </c>
      <c r="BF513" s="20" t="s">
        <v>14</v>
      </c>
      <c r="BG513" s="20">
        <v>-2.44</v>
      </c>
      <c r="BH513" s="20">
        <v>128.76</v>
      </c>
      <c r="BM513" s="20">
        <v>0.05</v>
      </c>
      <c r="BN513" s="20">
        <v>37.18</v>
      </c>
      <c r="BW513" s="20">
        <v>-62.75</v>
      </c>
      <c r="BX513" s="20">
        <v>-46.09</v>
      </c>
      <c r="BZ513" s="20">
        <v>51.2</v>
      </c>
      <c r="CA513" s="20">
        <v>-60.06</v>
      </c>
      <c r="CI513" s="20">
        <v>-38.0</v>
      </c>
      <c r="CJ513" s="20">
        <v>-65.56</v>
      </c>
      <c r="CO513" s="20">
        <v>2.92</v>
      </c>
      <c r="CP513" s="20">
        <v>-46.03</v>
      </c>
    </row>
    <row r="514">
      <c r="A514" s="20">
        <v>-12.19</v>
      </c>
      <c r="B514" s="20">
        <v>32.59</v>
      </c>
      <c r="D514" s="20"/>
      <c r="E514" s="20"/>
      <c r="F514" s="20">
        <v>-8.39</v>
      </c>
      <c r="G514" s="20">
        <v>16.29</v>
      </c>
      <c r="I514" s="20"/>
      <c r="J514" s="20"/>
      <c r="K514" s="20">
        <v>256.0</v>
      </c>
      <c r="L514" s="20" t="s">
        <v>17</v>
      </c>
      <c r="M514" s="20">
        <v>50.85</v>
      </c>
      <c r="N514" s="20">
        <v>33.95</v>
      </c>
      <c r="P514" s="20">
        <v>-10.7</v>
      </c>
      <c r="Q514" s="20">
        <v>22.56</v>
      </c>
      <c r="AG514" s="20">
        <v>512.0</v>
      </c>
      <c r="AH514" s="20" t="s">
        <v>14</v>
      </c>
      <c r="AI514" s="20">
        <v>-18.4</v>
      </c>
      <c r="AJ514" s="20">
        <v>2.79</v>
      </c>
      <c r="AM514" s="20">
        <v>258.0</v>
      </c>
      <c r="AN514" s="20" t="s">
        <v>17</v>
      </c>
      <c r="AO514" s="20">
        <v>-22.61</v>
      </c>
      <c r="AP514" s="20">
        <v>9.72</v>
      </c>
      <c r="AS514" s="20">
        <v>256.0</v>
      </c>
      <c r="AT514" s="20" t="s">
        <v>17</v>
      </c>
      <c r="AU514" s="20">
        <v>-4.67</v>
      </c>
      <c r="AV514" s="20">
        <v>-35.56</v>
      </c>
      <c r="BE514" s="20">
        <v>512.0</v>
      </c>
      <c r="BF514" s="20" t="s">
        <v>14</v>
      </c>
      <c r="BG514" s="20">
        <v>-25.83</v>
      </c>
      <c r="BH514" s="20">
        <v>-8.51</v>
      </c>
      <c r="BM514" s="20">
        <v>34.64</v>
      </c>
      <c r="BN514" s="20">
        <v>102.89</v>
      </c>
      <c r="BW514" s="20">
        <v>-38.17</v>
      </c>
      <c r="BX514" s="20">
        <v>-17.23</v>
      </c>
      <c r="BZ514" s="20">
        <v>-67.48</v>
      </c>
      <c r="CA514" s="20">
        <v>-41.91</v>
      </c>
      <c r="CI514" s="20">
        <v>-55.4</v>
      </c>
      <c r="CJ514" s="20">
        <v>-67.57</v>
      </c>
      <c r="CO514" s="20">
        <v>-30.28</v>
      </c>
      <c r="CP514" s="20">
        <v>-50.29</v>
      </c>
    </row>
    <row r="515">
      <c r="A515" s="20">
        <v>-35.41</v>
      </c>
      <c r="B515" s="20">
        <v>45.09</v>
      </c>
      <c r="D515" s="20"/>
      <c r="E515" s="20"/>
      <c r="F515" s="20">
        <v>-0.95</v>
      </c>
      <c r="G515" s="20">
        <v>25.66</v>
      </c>
      <c r="I515" s="20"/>
      <c r="J515" s="20"/>
      <c r="K515" s="20">
        <v>257.0</v>
      </c>
      <c r="L515" s="20" t="s">
        <v>14</v>
      </c>
      <c r="M515" s="20">
        <v>-18.01</v>
      </c>
      <c r="N515" s="20">
        <v>-31.91</v>
      </c>
      <c r="P515" s="20">
        <v>20.89</v>
      </c>
      <c r="Q515" s="20">
        <v>56.16</v>
      </c>
      <c r="AG515" s="20">
        <v>513.0</v>
      </c>
      <c r="AH515" s="20" t="s">
        <v>14</v>
      </c>
      <c r="AI515" s="20">
        <v>-10.95</v>
      </c>
      <c r="AJ515" s="20">
        <v>-3.75</v>
      </c>
      <c r="AM515" s="20">
        <v>259.0</v>
      </c>
      <c r="AN515" s="20" t="s">
        <v>14</v>
      </c>
      <c r="AO515" s="20">
        <v>16.64</v>
      </c>
      <c r="AP515" s="20">
        <v>7.49</v>
      </c>
      <c r="AS515" s="20">
        <v>257.0</v>
      </c>
      <c r="AT515" s="20" t="s">
        <v>14</v>
      </c>
      <c r="AU515" s="20">
        <v>-22.25</v>
      </c>
      <c r="AV515" s="20">
        <v>-49.93</v>
      </c>
      <c r="BE515" s="20">
        <v>513.0</v>
      </c>
      <c r="BF515" s="20" t="s">
        <v>14</v>
      </c>
      <c r="BG515" s="20">
        <v>-17.34</v>
      </c>
      <c r="BH515" s="20">
        <v>15.94</v>
      </c>
      <c r="BM515" s="20">
        <v>53.17</v>
      </c>
      <c r="BN515" s="20">
        <v>129.99</v>
      </c>
      <c r="BW515" s="20">
        <v>-37.88</v>
      </c>
      <c r="BX515" s="20">
        <v>0.56</v>
      </c>
      <c r="BZ515" s="20">
        <v>-37.72</v>
      </c>
      <c r="CA515" s="20">
        <v>-27.41</v>
      </c>
      <c r="CI515" s="20">
        <v>-54.92</v>
      </c>
      <c r="CJ515" s="20">
        <v>-63.76</v>
      </c>
      <c r="CO515" s="20">
        <v>-15.98</v>
      </c>
      <c r="CP515" s="20">
        <v>-55.52</v>
      </c>
    </row>
    <row r="516">
      <c r="A516" s="20">
        <v>-36.96</v>
      </c>
      <c r="B516" s="20">
        <v>220.72</v>
      </c>
      <c r="D516" s="20"/>
      <c r="E516" s="20"/>
      <c r="F516" s="20">
        <v>-51.76</v>
      </c>
      <c r="G516" s="20">
        <v>11.47</v>
      </c>
      <c r="I516" s="20"/>
      <c r="J516" s="20"/>
      <c r="K516" s="20">
        <v>257.0</v>
      </c>
      <c r="L516" s="20" t="s">
        <v>17</v>
      </c>
      <c r="M516" s="20">
        <v>2.66</v>
      </c>
      <c r="N516" s="20">
        <v>-38.19</v>
      </c>
      <c r="P516" s="20">
        <v>-11.26</v>
      </c>
      <c r="Q516" s="20">
        <v>21.48</v>
      </c>
      <c r="AG516" s="20">
        <v>514.0</v>
      </c>
      <c r="AH516" s="20" t="s">
        <v>14</v>
      </c>
      <c r="AI516" s="20">
        <v>-7.09</v>
      </c>
      <c r="AJ516" s="20">
        <v>-2.45</v>
      </c>
      <c r="AM516" s="20">
        <v>259.0</v>
      </c>
      <c r="AN516" s="20" t="s">
        <v>17</v>
      </c>
      <c r="AO516" s="20">
        <v>-19.94</v>
      </c>
      <c r="AP516" s="20">
        <v>19.77</v>
      </c>
      <c r="AS516" s="20">
        <v>257.0</v>
      </c>
      <c r="AT516" s="20" t="s">
        <v>17</v>
      </c>
      <c r="AU516" s="20">
        <v>-15.39</v>
      </c>
      <c r="AV516" s="20">
        <v>-39.27</v>
      </c>
      <c r="BE516" s="20">
        <v>514.0</v>
      </c>
      <c r="BF516" s="20" t="s">
        <v>14</v>
      </c>
      <c r="BG516" s="20">
        <v>38.68</v>
      </c>
      <c r="BH516" s="20">
        <v>13.33</v>
      </c>
      <c r="BM516" s="20">
        <v>17.01</v>
      </c>
      <c r="BN516" s="20">
        <v>112.15</v>
      </c>
      <c r="BW516" s="20">
        <v>-26.61</v>
      </c>
      <c r="BX516" s="20">
        <v>-40.9</v>
      </c>
      <c r="BZ516" s="20">
        <v>-51.65</v>
      </c>
      <c r="CA516" s="20">
        <v>13.44</v>
      </c>
      <c r="CI516" s="20">
        <v>-38.32</v>
      </c>
      <c r="CJ516" s="20">
        <v>-59.03</v>
      </c>
      <c r="CO516" s="20">
        <v>-9.05</v>
      </c>
      <c r="CP516" s="20">
        <v>-55.75</v>
      </c>
    </row>
    <row r="517">
      <c r="A517" s="20">
        <v>-40.22</v>
      </c>
      <c r="B517" s="20">
        <v>75.37</v>
      </c>
      <c r="D517" s="20"/>
      <c r="E517" s="20"/>
      <c r="F517" s="20">
        <v>-41.32</v>
      </c>
      <c r="G517" s="20">
        <v>23.41</v>
      </c>
      <c r="I517" s="20"/>
      <c r="J517" s="20"/>
      <c r="K517" s="20">
        <v>258.0</v>
      </c>
      <c r="L517" s="20" t="s">
        <v>14</v>
      </c>
      <c r="M517" s="20">
        <v>-14.3</v>
      </c>
      <c r="N517" s="20">
        <v>-31.58</v>
      </c>
      <c r="P517" s="20">
        <v>21.54</v>
      </c>
      <c r="Q517" s="20">
        <v>57.16</v>
      </c>
      <c r="AG517" s="20">
        <v>515.0</v>
      </c>
      <c r="AH517" s="20" t="s">
        <v>14</v>
      </c>
      <c r="AI517" s="20">
        <v>13.32</v>
      </c>
      <c r="AJ517" s="20">
        <v>12.03</v>
      </c>
      <c r="AM517" s="20">
        <v>260.0</v>
      </c>
      <c r="AN517" s="20" t="s">
        <v>14</v>
      </c>
      <c r="AO517" s="20">
        <v>0.23</v>
      </c>
      <c r="AP517" s="20">
        <v>-16.5</v>
      </c>
      <c r="AS517" s="20">
        <v>258.0</v>
      </c>
      <c r="AT517" s="20" t="s">
        <v>14</v>
      </c>
      <c r="AU517" s="20">
        <v>-5.77</v>
      </c>
      <c r="AV517" s="20">
        <v>-41.38</v>
      </c>
      <c r="BE517" s="20">
        <v>515.0</v>
      </c>
      <c r="BF517" s="20" t="s">
        <v>14</v>
      </c>
      <c r="BG517" s="20">
        <v>-23.74</v>
      </c>
      <c r="BH517" s="20">
        <v>-34.86</v>
      </c>
      <c r="BM517" s="20">
        <v>66.71</v>
      </c>
      <c r="BN517" s="20">
        <v>164.39</v>
      </c>
      <c r="BW517" s="20">
        <v>-44.47</v>
      </c>
      <c r="BX517" s="20">
        <v>2.05</v>
      </c>
      <c r="BZ517" s="20">
        <v>-68.52</v>
      </c>
      <c r="CA517" s="20">
        <v>-2.96</v>
      </c>
      <c r="CI517" s="20">
        <v>-57.96</v>
      </c>
      <c r="CJ517" s="20">
        <v>-65.47</v>
      </c>
      <c r="CO517" s="20">
        <v>-36.98</v>
      </c>
      <c r="CP517" s="20">
        <v>-67.87</v>
      </c>
    </row>
    <row r="518">
      <c r="A518" s="20">
        <v>-43.18</v>
      </c>
      <c r="B518" s="20">
        <v>66.67</v>
      </c>
      <c r="D518" s="20"/>
      <c r="E518" s="20"/>
      <c r="F518" s="20">
        <v>-27.02</v>
      </c>
      <c r="G518" s="20">
        <v>-0.48</v>
      </c>
      <c r="I518" s="20"/>
      <c r="J518" s="20"/>
      <c r="K518" s="20">
        <v>258.0</v>
      </c>
      <c r="L518" s="20" t="s">
        <v>17</v>
      </c>
      <c r="M518" s="20">
        <v>32.45</v>
      </c>
      <c r="N518" s="20">
        <v>-45.38</v>
      </c>
      <c r="P518" s="20">
        <v>42.42</v>
      </c>
      <c r="Q518" s="20">
        <v>45.04</v>
      </c>
      <c r="AG518" s="20">
        <v>516.0</v>
      </c>
      <c r="AH518" s="20" t="s">
        <v>14</v>
      </c>
      <c r="AI518" s="20">
        <v>2.63</v>
      </c>
      <c r="AJ518" s="20">
        <v>-5.46</v>
      </c>
      <c r="AM518" s="20">
        <v>260.0</v>
      </c>
      <c r="AN518" s="20" t="s">
        <v>17</v>
      </c>
      <c r="AO518" s="20">
        <v>-22.96</v>
      </c>
      <c r="AP518" s="20">
        <v>-1.38</v>
      </c>
      <c r="AS518" s="20">
        <v>258.0</v>
      </c>
      <c r="AT518" s="20" t="s">
        <v>17</v>
      </c>
      <c r="AU518" s="20">
        <v>39.23</v>
      </c>
      <c r="AV518" s="20">
        <v>18.49</v>
      </c>
      <c r="BE518" s="20">
        <v>516.0</v>
      </c>
      <c r="BF518" s="20" t="s">
        <v>14</v>
      </c>
      <c r="BG518" s="20">
        <v>-18.55</v>
      </c>
      <c r="BH518" s="20">
        <v>11.59</v>
      </c>
      <c r="BM518" s="20">
        <v>-14.43</v>
      </c>
      <c r="BN518" s="20">
        <v>18.24</v>
      </c>
      <c r="BW518" s="20">
        <v>-20.56</v>
      </c>
      <c r="BX518" s="20">
        <v>23.14</v>
      </c>
      <c r="BZ518" s="20">
        <v>-74.47</v>
      </c>
      <c r="CA518" s="20">
        <v>-29.28</v>
      </c>
      <c r="CI518" s="20">
        <v>-37.57</v>
      </c>
      <c r="CJ518" s="20">
        <v>-54.79</v>
      </c>
      <c r="CO518" s="20">
        <v>-16.6</v>
      </c>
      <c r="CP518" s="20">
        <v>-48.49</v>
      </c>
    </row>
    <row r="519">
      <c r="A519" s="20">
        <v>-20.5</v>
      </c>
      <c r="B519" s="20">
        <v>60.95</v>
      </c>
      <c r="D519" s="20"/>
      <c r="E519" s="20"/>
      <c r="F519" s="20">
        <v>-3.46</v>
      </c>
      <c r="G519" s="20">
        <v>5.81</v>
      </c>
      <c r="I519" s="20"/>
      <c r="J519" s="20"/>
      <c r="K519" s="20">
        <v>259.0</v>
      </c>
      <c r="L519" s="20" t="s">
        <v>14</v>
      </c>
      <c r="M519" s="20">
        <v>-40.21</v>
      </c>
      <c r="N519" s="20">
        <v>-24.56</v>
      </c>
      <c r="P519" s="20">
        <v>33.38</v>
      </c>
      <c r="Q519" s="20">
        <v>13.8</v>
      </c>
      <c r="AG519" s="20">
        <v>517.0</v>
      </c>
      <c r="AH519" s="20" t="s">
        <v>14</v>
      </c>
      <c r="AI519" s="20">
        <v>2.57</v>
      </c>
      <c r="AJ519" s="20">
        <v>7.75</v>
      </c>
      <c r="AM519" s="20">
        <v>261.0</v>
      </c>
      <c r="AN519" s="20" t="s">
        <v>14</v>
      </c>
      <c r="AO519" s="20">
        <v>-23.58</v>
      </c>
      <c r="AP519" s="20">
        <v>17.2</v>
      </c>
      <c r="AS519" s="20">
        <v>259.0</v>
      </c>
      <c r="AT519" s="20" t="s">
        <v>14</v>
      </c>
      <c r="AU519" s="20">
        <v>-20.71</v>
      </c>
      <c r="AV519" s="20">
        <v>-40.18</v>
      </c>
      <c r="BE519" s="20">
        <v>517.0</v>
      </c>
      <c r="BF519" s="20" t="s">
        <v>14</v>
      </c>
      <c r="BG519" s="20">
        <v>-29.49</v>
      </c>
      <c r="BH519" s="20">
        <v>-7.43</v>
      </c>
      <c r="BM519" s="20">
        <v>-12.67</v>
      </c>
      <c r="BN519" s="20">
        <v>28.64</v>
      </c>
      <c r="BW519" s="20">
        <v>-21.5</v>
      </c>
      <c r="BX519" s="20">
        <v>20.72</v>
      </c>
      <c r="BZ519" s="20">
        <v>-19.56</v>
      </c>
      <c r="CA519" s="20">
        <v>46.98</v>
      </c>
      <c r="CI519" s="20">
        <v>-43.56</v>
      </c>
      <c r="CJ519" s="20">
        <v>-55.49</v>
      </c>
      <c r="CO519" s="20">
        <v>-30.74</v>
      </c>
      <c r="CP519" s="20">
        <v>-59.3</v>
      </c>
    </row>
    <row r="520">
      <c r="A520" s="20">
        <v>-20.43</v>
      </c>
      <c r="B520" s="20">
        <v>20.7</v>
      </c>
      <c r="D520" s="20"/>
      <c r="E520" s="20"/>
      <c r="F520" s="20">
        <v>-16.52</v>
      </c>
      <c r="G520" s="20">
        <v>2.76</v>
      </c>
      <c r="I520" s="20"/>
      <c r="J520" s="20"/>
      <c r="K520" s="20">
        <v>259.0</v>
      </c>
      <c r="L520" s="20" t="s">
        <v>17</v>
      </c>
      <c r="M520" s="20">
        <v>-4.31</v>
      </c>
      <c r="N520" s="20">
        <v>-10.86</v>
      </c>
      <c r="P520" s="20">
        <v>-32.8</v>
      </c>
      <c r="Q520" s="20">
        <v>-15.91</v>
      </c>
      <c r="AG520" s="20">
        <v>518.0</v>
      </c>
      <c r="AH520" s="20" t="s">
        <v>14</v>
      </c>
      <c r="AI520" s="20">
        <v>-13.74</v>
      </c>
      <c r="AJ520" s="20">
        <v>-7.56</v>
      </c>
      <c r="AM520" s="20">
        <v>261.0</v>
      </c>
      <c r="AN520" s="20" t="s">
        <v>17</v>
      </c>
      <c r="AO520" s="20">
        <v>-21.49</v>
      </c>
      <c r="AP520" s="20">
        <v>19.07</v>
      </c>
      <c r="AS520" s="20">
        <v>259.0</v>
      </c>
      <c r="AT520" s="20" t="s">
        <v>17</v>
      </c>
      <c r="AU520" s="20">
        <v>-50.38</v>
      </c>
      <c r="AV520" s="20">
        <v>-46.77</v>
      </c>
      <c r="BE520" s="20">
        <v>518.0</v>
      </c>
      <c r="BF520" s="20" t="s">
        <v>14</v>
      </c>
      <c r="BG520" s="20">
        <v>-1.81</v>
      </c>
      <c r="BH520" s="20">
        <v>0.52</v>
      </c>
      <c r="BM520" s="20">
        <v>138.2</v>
      </c>
      <c r="BN520" s="20">
        <v>149.14</v>
      </c>
      <c r="BW520" s="20">
        <v>-44.45</v>
      </c>
      <c r="BX520" s="20">
        <v>3.18</v>
      </c>
      <c r="BZ520" s="20">
        <v>-19.23</v>
      </c>
      <c r="CA520" s="20">
        <v>2.8</v>
      </c>
      <c r="CI520" s="20">
        <v>-47.75</v>
      </c>
      <c r="CJ520" s="20">
        <v>-47.06</v>
      </c>
      <c r="CO520" s="20">
        <v>-42.86</v>
      </c>
      <c r="CP520" s="20">
        <v>-64.71</v>
      </c>
    </row>
    <row r="521">
      <c r="A521" s="20">
        <v>-47.87</v>
      </c>
      <c r="B521" s="20">
        <v>-7.53</v>
      </c>
      <c r="D521" s="20"/>
      <c r="E521" s="20"/>
      <c r="F521" s="20">
        <v>-1.33</v>
      </c>
      <c r="G521" s="20">
        <v>20.99</v>
      </c>
      <c r="I521" s="20"/>
      <c r="J521" s="20"/>
      <c r="K521" s="20">
        <v>260.0</v>
      </c>
      <c r="L521" s="20" t="s">
        <v>14</v>
      </c>
      <c r="M521" s="20">
        <v>-10.3</v>
      </c>
      <c r="N521" s="20">
        <v>-3.26</v>
      </c>
      <c r="P521" s="20">
        <v>33.74</v>
      </c>
      <c r="Q521" s="20">
        <v>13.97</v>
      </c>
      <c r="AG521" s="20">
        <v>519.0</v>
      </c>
      <c r="AH521" s="20" t="s">
        <v>14</v>
      </c>
      <c r="AI521" s="20">
        <v>1.58</v>
      </c>
      <c r="AJ521" s="20">
        <v>33.52</v>
      </c>
      <c r="AM521" s="20">
        <v>262.0</v>
      </c>
      <c r="AN521" s="20" t="s">
        <v>14</v>
      </c>
      <c r="AO521" s="20">
        <v>-20.29</v>
      </c>
      <c r="AP521" s="20">
        <v>28.09</v>
      </c>
      <c r="AS521" s="20">
        <v>260.0</v>
      </c>
      <c r="AT521" s="20" t="s">
        <v>14</v>
      </c>
      <c r="AU521" s="20">
        <v>-17.42</v>
      </c>
      <c r="AV521" s="20">
        <v>-38.79</v>
      </c>
      <c r="BE521" s="20">
        <v>519.0</v>
      </c>
      <c r="BF521" s="20" t="s">
        <v>14</v>
      </c>
      <c r="BG521" s="20">
        <v>-1.77</v>
      </c>
      <c r="BH521" s="20">
        <v>1.41</v>
      </c>
      <c r="BM521" s="20">
        <v>-2.8</v>
      </c>
      <c r="BN521" s="20">
        <v>85.13</v>
      </c>
      <c r="BW521" s="20">
        <v>-43.5</v>
      </c>
      <c r="BX521" s="20">
        <v>-9.84</v>
      </c>
      <c r="BZ521" s="20">
        <v>-41.97</v>
      </c>
      <c r="CA521" s="20">
        <v>77.88</v>
      </c>
      <c r="CI521" s="20">
        <v>-46.77</v>
      </c>
      <c r="CJ521" s="20">
        <v>-46.99</v>
      </c>
      <c r="CO521" s="20">
        <v>-56.79</v>
      </c>
      <c r="CP521" s="20">
        <v>-65.21</v>
      </c>
    </row>
    <row r="522">
      <c r="A522" s="20">
        <v>19.42</v>
      </c>
      <c r="B522" s="20">
        <v>-18.65</v>
      </c>
      <c r="D522" s="20"/>
      <c r="E522" s="20"/>
      <c r="F522" s="20">
        <v>-11.96</v>
      </c>
      <c r="G522" s="20">
        <v>-2.25</v>
      </c>
      <c r="I522" s="20"/>
      <c r="J522" s="20"/>
      <c r="K522" s="20">
        <v>260.0</v>
      </c>
      <c r="L522" s="20" t="s">
        <v>17</v>
      </c>
      <c r="M522" s="20">
        <v>-15.95</v>
      </c>
      <c r="N522" s="20">
        <v>17.58</v>
      </c>
      <c r="P522" s="20">
        <v>-23.41</v>
      </c>
      <c r="Q522" s="20">
        <v>-36.27</v>
      </c>
      <c r="AG522" s="20">
        <v>520.0</v>
      </c>
      <c r="AH522" s="20" t="s">
        <v>14</v>
      </c>
      <c r="AI522" s="20">
        <v>8.87</v>
      </c>
      <c r="AJ522" s="20">
        <v>14.89</v>
      </c>
      <c r="AM522" s="20">
        <v>262.0</v>
      </c>
      <c r="AN522" s="20" t="s">
        <v>17</v>
      </c>
      <c r="AO522" s="20">
        <v>48.32</v>
      </c>
      <c r="AP522" s="20">
        <v>18.37</v>
      </c>
      <c r="AS522" s="20">
        <v>260.0</v>
      </c>
      <c r="AT522" s="20" t="s">
        <v>17</v>
      </c>
      <c r="AU522" s="20">
        <v>-17.1</v>
      </c>
      <c r="AV522" s="20">
        <v>-1.16</v>
      </c>
      <c r="BE522" s="20">
        <v>520.0</v>
      </c>
      <c r="BF522" s="20" t="s">
        <v>14</v>
      </c>
      <c r="BG522" s="20">
        <v>-4.56</v>
      </c>
      <c r="BH522" s="20">
        <v>21.63</v>
      </c>
      <c r="BM522" s="20">
        <v>45.68</v>
      </c>
      <c r="BN522" s="20">
        <v>128.62</v>
      </c>
      <c r="BW522" s="20">
        <v>-24.62</v>
      </c>
      <c r="BX522" s="20">
        <v>16.99</v>
      </c>
      <c r="BZ522" s="20">
        <v>-67.14</v>
      </c>
      <c r="CA522" s="20">
        <v>152.73</v>
      </c>
      <c r="CI522" s="20">
        <v>-46.61</v>
      </c>
      <c r="CJ522" s="20">
        <v>-55.29</v>
      </c>
      <c r="CO522" s="20">
        <v>-16.1</v>
      </c>
      <c r="CP522" s="20">
        <v>-60.21</v>
      </c>
    </row>
    <row r="523">
      <c r="A523" s="20">
        <v>117.82</v>
      </c>
      <c r="B523" s="20">
        <v>-26.75</v>
      </c>
      <c r="D523" s="20"/>
      <c r="E523" s="20"/>
      <c r="F523" s="20">
        <v>-29.38</v>
      </c>
      <c r="G523" s="20">
        <v>23.09</v>
      </c>
      <c r="I523" s="20"/>
      <c r="J523" s="20"/>
      <c r="K523" s="20">
        <v>261.0</v>
      </c>
      <c r="L523" s="20" t="s">
        <v>14</v>
      </c>
      <c r="M523" s="20">
        <v>-27.51</v>
      </c>
      <c r="N523" s="20">
        <v>-18.39</v>
      </c>
      <c r="P523" s="20">
        <v>46.11</v>
      </c>
      <c r="Q523" s="20">
        <v>5.32</v>
      </c>
      <c r="AG523" s="20">
        <v>521.0</v>
      </c>
      <c r="AH523" s="20" t="s">
        <v>14</v>
      </c>
      <c r="AI523" s="20">
        <v>-0.13</v>
      </c>
      <c r="AJ523" s="20">
        <v>-1.01</v>
      </c>
      <c r="AM523" s="20">
        <v>263.0</v>
      </c>
      <c r="AN523" s="20" t="s">
        <v>14</v>
      </c>
      <c r="AO523" s="20">
        <v>-0.58</v>
      </c>
      <c r="AP523" s="20">
        <v>18.4</v>
      </c>
      <c r="AS523" s="20">
        <v>261.0</v>
      </c>
      <c r="AT523" s="20" t="s">
        <v>14</v>
      </c>
      <c r="AU523" s="20">
        <v>1.33</v>
      </c>
      <c r="AV523" s="20">
        <v>-48.18</v>
      </c>
      <c r="BE523" s="20">
        <v>521.0</v>
      </c>
      <c r="BF523" s="20" t="s">
        <v>14</v>
      </c>
      <c r="BG523" s="20">
        <v>-12.28</v>
      </c>
      <c r="BH523" s="20">
        <v>-6.44</v>
      </c>
      <c r="BM523" s="20">
        <v>40.18</v>
      </c>
      <c r="BN523" s="20">
        <v>123.86</v>
      </c>
      <c r="BW523" s="20">
        <v>-46.04</v>
      </c>
      <c r="BX523" s="20">
        <v>-25.52</v>
      </c>
      <c r="BZ523" s="20">
        <v>-36.98</v>
      </c>
      <c r="CA523" s="20">
        <v>67.15</v>
      </c>
      <c r="CI523" s="20">
        <v>-54.68</v>
      </c>
      <c r="CJ523" s="20">
        <v>-41.56</v>
      </c>
      <c r="CO523" s="20">
        <v>-21.22</v>
      </c>
      <c r="CP523" s="20">
        <v>-48.89</v>
      </c>
    </row>
    <row r="524">
      <c r="A524" s="20">
        <v>-29.68</v>
      </c>
      <c r="B524" s="20">
        <v>39.01</v>
      </c>
      <c r="D524" s="20"/>
      <c r="E524" s="20"/>
      <c r="F524" s="20">
        <v>-37.88</v>
      </c>
      <c r="G524" s="20">
        <v>64.14</v>
      </c>
      <c r="I524" s="20"/>
      <c r="J524" s="20"/>
      <c r="K524" s="20">
        <v>261.0</v>
      </c>
      <c r="L524" s="20" t="s">
        <v>17</v>
      </c>
      <c r="M524" s="20">
        <v>-29.68</v>
      </c>
      <c r="N524" s="20">
        <v>-5.6</v>
      </c>
      <c r="P524" s="20">
        <v>-4.11</v>
      </c>
      <c r="Q524" s="20">
        <v>12.87</v>
      </c>
      <c r="AG524" s="20">
        <v>522.0</v>
      </c>
      <c r="AH524" s="20" t="s">
        <v>14</v>
      </c>
      <c r="AI524" s="20">
        <v>-19.22</v>
      </c>
      <c r="AJ524" s="20">
        <v>-4.59</v>
      </c>
      <c r="AM524" s="20">
        <v>263.0</v>
      </c>
      <c r="AN524" s="20" t="s">
        <v>17</v>
      </c>
      <c r="AO524" s="20">
        <v>-13.88</v>
      </c>
      <c r="AP524" s="20">
        <v>-7.62</v>
      </c>
      <c r="AS524" s="20">
        <v>261.0</v>
      </c>
      <c r="AT524" s="20" t="s">
        <v>17</v>
      </c>
      <c r="AU524" s="20">
        <v>-23.92</v>
      </c>
      <c r="AV524" s="20">
        <v>-32.06</v>
      </c>
      <c r="BE524" s="20">
        <v>522.0</v>
      </c>
      <c r="BF524" s="20" t="s">
        <v>14</v>
      </c>
      <c r="BG524" s="20">
        <v>22.54</v>
      </c>
      <c r="BH524" s="20">
        <v>27.95</v>
      </c>
      <c r="BM524" s="20">
        <v>79.13</v>
      </c>
      <c r="BN524" s="20">
        <v>154.91</v>
      </c>
      <c r="BW524" s="20">
        <v>-45.89</v>
      </c>
      <c r="BX524" s="20">
        <v>-3.71</v>
      </c>
      <c r="BZ524" s="20">
        <v>-58.52</v>
      </c>
      <c r="CA524" s="20">
        <v>47.89</v>
      </c>
      <c r="CI524" s="20">
        <v>-36.9</v>
      </c>
      <c r="CJ524" s="20">
        <v>-25.61</v>
      </c>
      <c r="CO524" s="20">
        <v>-2.9</v>
      </c>
      <c r="CP524" s="20">
        <v>-56.88</v>
      </c>
    </row>
    <row r="525">
      <c r="A525" s="20">
        <v>3.81</v>
      </c>
      <c r="B525" s="20">
        <v>10.11</v>
      </c>
      <c r="D525" s="20"/>
      <c r="E525" s="20"/>
      <c r="F525" s="20">
        <v>15.97</v>
      </c>
      <c r="G525" s="20">
        <v>23.97</v>
      </c>
      <c r="I525" s="20"/>
      <c r="J525" s="20"/>
      <c r="K525" s="20">
        <v>262.0</v>
      </c>
      <c r="L525" s="20" t="s">
        <v>14</v>
      </c>
      <c r="M525" s="20">
        <v>-9.5</v>
      </c>
      <c r="N525" s="20">
        <v>2.1</v>
      </c>
      <c r="P525" s="20">
        <v>20.69</v>
      </c>
      <c r="Q525" s="20">
        <v>3.51</v>
      </c>
      <c r="AG525" s="20">
        <v>523.0</v>
      </c>
      <c r="AH525" s="20" t="s">
        <v>14</v>
      </c>
      <c r="AI525" s="20">
        <v>-28.25</v>
      </c>
      <c r="AJ525" s="20">
        <v>-17.78</v>
      </c>
      <c r="AM525" s="20">
        <v>264.0</v>
      </c>
      <c r="AN525" s="20" t="s">
        <v>14</v>
      </c>
      <c r="AO525" s="20">
        <v>-18.74</v>
      </c>
      <c r="AP525" s="20">
        <v>-14.96</v>
      </c>
      <c r="AS525" s="20">
        <v>262.0</v>
      </c>
      <c r="AT525" s="20" t="s">
        <v>14</v>
      </c>
      <c r="AU525" s="20">
        <v>-18.53</v>
      </c>
      <c r="AV525" s="20">
        <v>-29.88</v>
      </c>
      <c r="BE525" s="20">
        <v>523.0</v>
      </c>
      <c r="BF525" s="20" t="s">
        <v>14</v>
      </c>
      <c r="BG525" s="20">
        <v>-4.73</v>
      </c>
      <c r="BH525" s="20">
        <v>95.79</v>
      </c>
      <c r="BM525" s="20">
        <v>72.43</v>
      </c>
      <c r="BN525" s="20">
        <v>68.36</v>
      </c>
      <c r="BW525" s="20">
        <v>-38.51</v>
      </c>
      <c r="BX525" s="20">
        <v>-12.24</v>
      </c>
      <c r="BZ525" s="20">
        <v>-15.47</v>
      </c>
      <c r="CA525" s="20">
        <v>97.76</v>
      </c>
      <c r="CI525" s="20">
        <v>-29.14</v>
      </c>
      <c r="CJ525" s="20">
        <v>-52.38</v>
      </c>
      <c r="CO525" s="20">
        <v>9.71</v>
      </c>
      <c r="CP525" s="20">
        <v>-24.13</v>
      </c>
    </row>
    <row r="526">
      <c r="A526" s="20">
        <v>-1.07</v>
      </c>
      <c r="B526" s="20">
        <v>93.07</v>
      </c>
      <c r="D526" s="20"/>
      <c r="E526" s="20"/>
      <c r="F526" s="20">
        <v>-11.97</v>
      </c>
      <c r="G526" s="20">
        <v>11.63</v>
      </c>
      <c r="I526" s="20"/>
      <c r="J526" s="20"/>
      <c r="K526" s="20">
        <v>262.0</v>
      </c>
      <c r="L526" s="20" t="s">
        <v>17</v>
      </c>
      <c r="M526" s="20">
        <v>7.01</v>
      </c>
      <c r="N526" s="20">
        <v>-4.48</v>
      </c>
      <c r="P526" s="20">
        <v>4.0</v>
      </c>
      <c r="Q526" s="20">
        <v>8.64</v>
      </c>
      <c r="AG526" s="20">
        <v>524.0</v>
      </c>
      <c r="AH526" s="20" t="s">
        <v>14</v>
      </c>
      <c r="AI526" s="20">
        <v>2.52</v>
      </c>
      <c r="AJ526" s="20">
        <v>15.25</v>
      </c>
      <c r="AM526" s="20">
        <v>264.0</v>
      </c>
      <c r="AN526" s="20" t="s">
        <v>17</v>
      </c>
      <c r="AO526" s="20">
        <v>0.32</v>
      </c>
      <c r="AP526" s="20">
        <v>-39.56</v>
      </c>
      <c r="AS526" s="20">
        <v>262.0</v>
      </c>
      <c r="AT526" s="20" t="s">
        <v>17</v>
      </c>
      <c r="AU526" s="20">
        <v>-44.95</v>
      </c>
      <c r="AV526" s="20">
        <v>-42.27</v>
      </c>
      <c r="BE526" s="20">
        <v>524.0</v>
      </c>
      <c r="BF526" s="20" t="s">
        <v>14</v>
      </c>
      <c r="BG526" s="20">
        <v>-10.27</v>
      </c>
      <c r="BH526" s="20">
        <v>-8.59</v>
      </c>
      <c r="BM526" s="20">
        <v>57.8</v>
      </c>
      <c r="BN526" s="20">
        <v>110.58</v>
      </c>
      <c r="BW526" s="20">
        <v>-42.96</v>
      </c>
      <c r="BX526" s="20">
        <v>-8.09</v>
      </c>
      <c r="BZ526" s="20">
        <v>-54.49</v>
      </c>
      <c r="CA526" s="20">
        <v>19.3</v>
      </c>
      <c r="CI526" s="20">
        <v>-47.78</v>
      </c>
      <c r="CJ526" s="20">
        <v>-55.67</v>
      </c>
      <c r="CO526" s="20">
        <v>-6.23</v>
      </c>
      <c r="CP526" s="20">
        <v>-66.58</v>
      </c>
    </row>
    <row r="527">
      <c r="A527" s="20">
        <v>-9.53</v>
      </c>
      <c r="B527" s="20">
        <v>63.83</v>
      </c>
      <c r="D527" s="20"/>
      <c r="E527" s="20"/>
      <c r="F527" s="20">
        <v>2.51</v>
      </c>
      <c r="G527" s="20">
        <v>27.51</v>
      </c>
      <c r="I527" s="20"/>
      <c r="J527" s="20"/>
      <c r="K527" s="20">
        <v>263.0</v>
      </c>
      <c r="L527" s="20" t="s">
        <v>14</v>
      </c>
      <c r="M527" s="20">
        <v>-27.63</v>
      </c>
      <c r="N527" s="20">
        <v>-4.24</v>
      </c>
      <c r="P527" s="20">
        <v>17.01</v>
      </c>
      <c r="Q527" s="20">
        <v>40.74</v>
      </c>
      <c r="AG527" s="20">
        <v>525.0</v>
      </c>
      <c r="AH527" s="20" t="s">
        <v>14</v>
      </c>
      <c r="AI527" s="20">
        <v>-6.76</v>
      </c>
      <c r="AJ527" s="20">
        <v>8.88</v>
      </c>
      <c r="AM527" s="20">
        <v>265.0</v>
      </c>
      <c r="AN527" s="20" t="s">
        <v>14</v>
      </c>
      <c r="AO527" s="20">
        <v>-43.23</v>
      </c>
      <c r="AP527" s="20">
        <v>-10.32</v>
      </c>
      <c r="AS527" s="20">
        <v>263.0</v>
      </c>
      <c r="AT527" s="20" t="s">
        <v>14</v>
      </c>
      <c r="AU527" s="20">
        <v>-6.97</v>
      </c>
      <c r="AV527" s="20">
        <v>-24.31</v>
      </c>
      <c r="BE527" s="20">
        <v>525.0</v>
      </c>
      <c r="BF527" s="20" t="s">
        <v>14</v>
      </c>
      <c r="BG527" s="20">
        <v>-17.53</v>
      </c>
      <c r="BH527" s="20">
        <v>-12.66</v>
      </c>
      <c r="BM527" s="20">
        <v>61.04</v>
      </c>
      <c r="BN527" s="20">
        <v>67.37</v>
      </c>
      <c r="BW527" s="20">
        <v>-45.48</v>
      </c>
      <c r="BX527" s="20">
        <v>-1.73</v>
      </c>
      <c r="BZ527" s="20">
        <v>-42.38</v>
      </c>
      <c r="CA527" s="20">
        <v>4.23</v>
      </c>
      <c r="CI527" s="20">
        <v>-34.27</v>
      </c>
      <c r="CJ527" s="20">
        <v>-55.18</v>
      </c>
      <c r="CO527" s="20">
        <v>-2.54</v>
      </c>
      <c r="CP527" s="20">
        <v>-60.8</v>
      </c>
    </row>
    <row r="528">
      <c r="A528" s="20">
        <v>-40.16</v>
      </c>
      <c r="B528" s="20">
        <v>34.88</v>
      </c>
      <c r="D528" s="20"/>
      <c r="E528" s="20"/>
      <c r="F528" s="20">
        <v>-0.86</v>
      </c>
      <c r="G528" s="20">
        <v>13.26</v>
      </c>
      <c r="I528" s="20"/>
      <c r="J528" s="20"/>
      <c r="K528" s="20">
        <v>263.0</v>
      </c>
      <c r="L528" s="20" t="s">
        <v>17</v>
      </c>
      <c r="M528" s="20">
        <v>-28.38</v>
      </c>
      <c r="N528" s="20">
        <v>1.79</v>
      </c>
      <c r="P528" s="20">
        <v>22.86</v>
      </c>
      <c r="Q528" s="20">
        <v>70.87</v>
      </c>
      <c r="AG528" s="20">
        <v>526.0</v>
      </c>
      <c r="AH528" s="20" t="s">
        <v>14</v>
      </c>
      <c r="AI528" s="20">
        <v>-15.72</v>
      </c>
      <c r="AJ528" s="20">
        <v>-5.45</v>
      </c>
      <c r="AM528" s="20">
        <v>265.0</v>
      </c>
      <c r="AN528" s="20" t="s">
        <v>17</v>
      </c>
      <c r="AO528" s="20">
        <v>-55.79</v>
      </c>
      <c r="AP528" s="20">
        <v>-10.95</v>
      </c>
      <c r="AS528" s="20">
        <v>263.0</v>
      </c>
      <c r="AT528" s="20" t="s">
        <v>17</v>
      </c>
      <c r="AU528" s="20">
        <v>-41.36</v>
      </c>
      <c r="AV528" s="20">
        <v>-28.89</v>
      </c>
      <c r="BE528" s="20">
        <v>526.0</v>
      </c>
      <c r="BF528" s="20" t="s">
        <v>14</v>
      </c>
      <c r="BG528" s="20">
        <v>28.18</v>
      </c>
      <c r="BH528" s="20">
        <v>26.46</v>
      </c>
      <c r="BM528" s="20">
        <v>64.49</v>
      </c>
      <c r="BN528" s="20">
        <v>67.73</v>
      </c>
      <c r="BW528" s="20">
        <v>-38.85</v>
      </c>
      <c r="BX528" s="20">
        <v>0.31</v>
      </c>
      <c r="BZ528" s="20">
        <v>-52.58</v>
      </c>
      <c r="CA528" s="20">
        <v>5.94</v>
      </c>
      <c r="CI528" s="20">
        <v>-40.31</v>
      </c>
      <c r="CJ528" s="20">
        <v>-47.76</v>
      </c>
      <c r="CO528" s="20">
        <v>-4.13</v>
      </c>
      <c r="CP528" s="20">
        <v>-46.71</v>
      </c>
    </row>
    <row r="529">
      <c r="A529" s="20">
        <v>4.13</v>
      </c>
      <c r="B529" s="20">
        <v>69.88</v>
      </c>
      <c r="D529" s="20"/>
      <c r="E529" s="20"/>
      <c r="F529" s="20">
        <v>-31.22</v>
      </c>
      <c r="G529" s="20">
        <v>-3.83</v>
      </c>
      <c r="I529" s="20"/>
      <c r="J529" s="20"/>
      <c r="K529" s="20">
        <v>264.0</v>
      </c>
      <c r="L529" s="20" t="s">
        <v>14</v>
      </c>
      <c r="M529" s="20">
        <v>-26.46</v>
      </c>
      <c r="N529" s="20">
        <v>4.84</v>
      </c>
      <c r="P529" s="20">
        <v>-0.35</v>
      </c>
      <c r="Q529" s="20">
        <v>4.53</v>
      </c>
      <c r="AG529" s="20">
        <v>527.0</v>
      </c>
      <c r="AH529" s="20" t="s">
        <v>14</v>
      </c>
      <c r="AI529" s="20">
        <v>15.1</v>
      </c>
      <c r="AJ529" s="20">
        <v>17.38</v>
      </c>
      <c r="AM529" s="20">
        <v>266.0</v>
      </c>
      <c r="AN529" s="20" t="s">
        <v>14</v>
      </c>
      <c r="AO529" s="20">
        <v>-10.2</v>
      </c>
      <c r="AP529" s="20">
        <v>-15.1</v>
      </c>
      <c r="AS529" s="20">
        <v>264.0</v>
      </c>
      <c r="AT529" s="20" t="s">
        <v>14</v>
      </c>
      <c r="AU529" s="20">
        <v>-15.64</v>
      </c>
      <c r="AV529" s="20">
        <v>-20.28</v>
      </c>
      <c r="BE529" s="20">
        <v>527.0</v>
      </c>
      <c r="BF529" s="20" t="s">
        <v>14</v>
      </c>
      <c r="BG529" s="20">
        <v>13.99</v>
      </c>
      <c r="BH529" s="20">
        <v>24.75</v>
      </c>
      <c r="BM529" s="20">
        <v>65.85</v>
      </c>
      <c r="BN529" s="20">
        <v>86.08</v>
      </c>
      <c r="BW529" s="20">
        <v>-44.77</v>
      </c>
      <c r="BX529" s="20">
        <v>-21.79</v>
      </c>
      <c r="BZ529" s="20">
        <v>-25.18</v>
      </c>
      <c r="CA529" s="20">
        <v>12.95</v>
      </c>
      <c r="CI529" s="20">
        <v>-47.43</v>
      </c>
      <c r="CJ529" s="20">
        <v>-61.03</v>
      </c>
      <c r="CO529" s="20">
        <v>-20.55</v>
      </c>
      <c r="CP529" s="20">
        <v>-50.55</v>
      </c>
    </row>
    <row r="530">
      <c r="A530" s="20">
        <v>35.65</v>
      </c>
      <c r="B530" s="20">
        <v>60.25</v>
      </c>
      <c r="D530" s="20"/>
      <c r="E530" s="20"/>
      <c r="F530" s="20">
        <v>-11.26</v>
      </c>
      <c r="G530" s="20">
        <v>-0.07</v>
      </c>
      <c r="I530" s="20"/>
      <c r="J530" s="20"/>
      <c r="K530" s="20">
        <v>264.0</v>
      </c>
      <c r="L530" s="20" t="s">
        <v>17</v>
      </c>
      <c r="M530" s="20">
        <v>50.02</v>
      </c>
      <c r="N530" s="20">
        <v>39.25</v>
      </c>
      <c r="P530" s="20">
        <v>-0.55</v>
      </c>
      <c r="Q530" s="20">
        <v>24.28</v>
      </c>
      <c r="AG530" s="20">
        <v>528.0</v>
      </c>
      <c r="AH530" s="20" t="s">
        <v>14</v>
      </c>
      <c r="AI530" s="20">
        <v>25.85</v>
      </c>
      <c r="AJ530" s="20">
        <v>13.56</v>
      </c>
      <c r="AM530" s="20">
        <v>266.0</v>
      </c>
      <c r="AN530" s="20" t="s">
        <v>17</v>
      </c>
      <c r="AO530" s="20">
        <v>-17.83</v>
      </c>
      <c r="AP530" s="20">
        <v>-25.83</v>
      </c>
      <c r="AS530" s="20">
        <v>264.0</v>
      </c>
      <c r="AT530" s="20" t="s">
        <v>17</v>
      </c>
      <c r="AU530" s="20">
        <v>-36.06</v>
      </c>
      <c r="AV530" s="20">
        <v>29.69</v>
      </c>
      <c r="BE530" s="20">
        <v>528.0</v>
      </c>
      <c r="BF530" s="20" t="s">
        <v>14</v>
      </c>
      <c r="BG530" s="20">
        <v>-5.01</v>
      </c>
      <c r="BH530" s="20">
        <v>34.35</v>
      </c>
      <c r="BM530" s="20">
        <v>79.5</v>
      </c>
      <c r="BN530" s="20">
        <v>108.62</v>
      </c>
      <c r="BW530" s="20">
        <v>-49.13</v>
      </c>
      <c r="BX530" s="20">
        <v>-21.55</v>
      </c>
      <c r="BZ530" s="20">
        <v>-46.56</v>
      </c>
      <c r="CA530" s="20">
        <v>19.02</v>
      </c>
      <c r="CI530" s="20">
        <v>-47.79</v>
      </c>
      <c r="CJ530" s="20">
        <v>-55.74</v>
      </c>
      <c r="CO530" s="20">
        <v>-32.83</v>
      </c>
      <c r="CP530" s="20">
        <v>-38.86</v>
      </c>
    </row>
    <row r="531">
      <c r="A531" s="20">
        <v>-19.16</v>
      </c>
      <c r="B531" s="20">
        <v>18.65</v>
      </c>
      <c r="D531" s="20"/>
      <c r="E531" s="20"/>
      <c r="F531" s="20">
        <v>-22.76</v>
      </c>
      <c r="G531" s="20">
        <v>-5.27</v>
      </c>
      <c r="I531" s="20"/>
      <c r="J531" s="20"/>
      <c r="K531" s="20">
        <v>265.0</v>
      </c>
      <c r="L531" s="20" t="s">
        <v>14</v>
      </c>
      <c r="M531" s="20">
        <v>8.81</v>
      </c>
      <c r="N531" s="20">
        <v>166.35</v>
      </c>
      <c r="P531" s="20">
        <v>15.88</v>
      </c>
      <c r="Q531" s="20">
        <v>65.84</v>
      </c>
      <c r="AG531" s="20">
        <v>529.0</v>
      </c>
      <c r="AH531" s="20" t="s">
        <v>14</v>
      </c>
      <c r="AI531" s="20">
        <v>-14.86</v>
      </c>
      <c r="AJ531" s="20">
        <v>2.39</v>
      </c>
      <c r="AM531" s="20">
        <v>267.0</v>
      </c>
      <c r="AN531" s="20" t="s">
        <v>14</v>
      </c>
      <c r="AO531" s="20">
        <v>-32.95</v>
      </c>
      <c r="AP531" s="20">
        <v>-27.53</v>
      </c>
      <c r="AS531" s="20">
        <v>265.0</v>
      </c>
      <c r="AT531" s="20" t="s">
        <v>14</v>
      </c>
      <c r="AU531" s="20">
        <v>-43.4</v>
      </c>
      <c r="AV531" s="20">
        <v>-42.82</v>
      </c>
      <c r="BE531" s="20">
        <v>529.0</v>
      </c>
      <c r="BF531" s="20" t="s">
        <v>14</v>
      </c>
      <c r="BG531" s="20">
        <v>-12.03</v>
      </c>
      <c r="BH531" s="20">
        <v>32.07</v>
      </c>
      <c r="BM531" s="20">
        <v>92.08</v>
      </c>
      <c r="BN531" s="20">
        <v>109.89</v>
      </c>
      <c r="BW531" s="20">
        <v>-52.05</v>
      </c>
      <c r="BX531" s="20">
        <v>-32.21</v>
      </c>
      <c r="BZ531" s="20">
        <v>-43.89</v>
      </c>
      <c r="CA531" s="20">
        <v>32.36</v>
      </c>
      <c r="CI531" s="20">
        <v>-48.95</v>
      </c>
      <c r="CJ531" s="20">
        <v>-62.37</v>
      </c>
      <c r="CO531" s="20">
        <v>-6.31</v>
      </c>
      <c r="CP531" s="20">
        <v>-58.25</v>
      </c>
    </row>
    <row r="532">
      <c r="A532" s="20">
        <v>-21.85</v>
      </c>
      <c r="B532" s="20">
        <v>126.44</v>
      </c>
      <c r="D532" s="20"/>
      <c r="E532" s="20"/>
      <c r="F532" s="20">
        <v>-43.12</v>
      </c>
      <c r="G532" s="20">
        <v>-29.87</v>
      </c>
      <c r="I532" s="20"/>
      <c r="J532" s="20"/>
      <c r="K532" s="20">
        <v>265.0</v>
      </c>
      <c r="L532" s="20" t="s">
        <v>17</v>
      </c>
      <c r="M532" s="20">
        <v>-36.34</v>
      </c>
      <c r="N532" s="20">
        <v>-38.43</v>
      </c>
      <c r="P532" s="20">
        <v>-1.08</v>
      </c>
      <c r="Q532" s="20">
        <v>41.86</v>
      </c>
      <c r="AG532" s="20">
        <v>530.0</v>
      </c>
      <c r="AH532" s="20" t="s">
        <v>14</v>
      </c>
      <c r="AI532" s="20">
        <v>61.33</v>
      </c>
      <c r="AJ532" s="20">
        <v>2.38</v>
      </c>
      <c r="AM532" s="20">
        <v>267.0</v>
      </c>
      <c r="AN532" s="20" t="s">
        <v>17</v>
      </c>
      <c r="AO532" s="20">
        <v>-40.82</v>
      </c>
      <c r="AP532" s="20">
        <v>-4.23</v>
      </c>
      <c r="AS532" s="20">
        <v>265.0</v>
      </c>
      <c r="AT532" s="20" t="s">
        <v>17</v>
      </c>
      <c r="AU532" s="20">
        <v>-16.55</v>
      </c>
      <c r="AV532" s="20">
        <v>-2.49</v>
      </c>
      <c r="BE532" s="20">
        <v>530.0</v>
      </c>
      <c r="BF532" s="20" t="s">
        <v>14</v>
      </c>
      <c r="BG532" s="20">
        <v>7.33</v>
      </c>
      <c r="BH532" s="20">
        <v>12.11</v>
      </c>
      <c r="BM532" s="20">
        <v>75.32</v>
      </c>
      <c r="BN532" s="20">
        <v>39.28</v>
      </c>
      <c r="BW532" s="20">
        <v>-14.63</v>
      </c>
      <c r="BX532" s="20">
        <v>-22.97</v>
      </c>
      <c r="BZ532" s="20">
        <v>-41.94</v>
      </c>
      <c r="CA532" s="20">
        <v>73.8</v>
      </c>
      <c r="CI532" s="20">
        <v>-46.2</v>
      </c>
      <c r="CJ532" s="20">
        <v>-49.46</v>
      </c>
      <c r="CO532" s="20">
        <v>-28.47</v>
      </c>
      <c r="CP532" s="20">
        <v>-44.49</v>
      </c>
    </row>
    <row r="533">
      <c r="A533" s="20">
        <v>51.86</v>
      </c>
      <c r="B533" s="20">
        <v>2.04</v>
      </c>
      <c r="D533" s="20"/>
      <c r="E533" s="20"/>
      <c r="F533" s="20">
        <v>-14.6</v>
      </c>
      <c r="G533" s="20">
        <v>7.03</v>
      </c>
      <c r="I533" s="20"/>
      <c r="J533" s="20"/>
      <c r="K533" s="20">
        <v>266.0</v>
      </c>
      <c r="L533" s="20" t="s">
        <v>14</v>
      </c>
      <c r="M533" s="20">
        <v>-19.46</v>
      </c>
      <c r="N533" s="20">
        <v>34.71</v>
      </c>
      <c r="P533" s="20">
        <v>-10.04</v>
      </c>
      <c r="Q533" s="20">
        <v>27.66</v>
      </c>
      <c r="AG533" s="20">
        <v>531.0</v>
      </c>
      <c r="AH533" s="20" t="s">
        <v>14</v>
      </c>
      <c r="AI533" s="20">
        <v>53.65</v>
      </c>
      <c r="AJ533" s="20">
        <v>9.1</v>
      </c>
      <c r="AM533" s="20">
        <v>268.0</v>
      </c>
      <c r="AN533" s="20" t="s">
        <v>14</v>
      </c>
      <c r="AO533" s="20">
        <v>17.09</v>
      </c>
      <c r="AP533" s="20">
        <v>-9.92</v>
      </c>
      <c r="AS533" s="20">
        <v>266.0</v>
      </c>
      <c r="AT533" s="20" t="s">
        <v>14</v>
      </c>
      <c r="AU533" s="20">
        <v>10.79</v>
      </c>
      <c r="AV533" s="20">
        <v>-57.76</v>
      </c>
      <c r="BE533" s="20">
        <v>531.0</v>
      </c>
      <c r="BF533" s="20" t="s">
        <v>14</v>
      </c>
      <c r="BG533" s="20">
        <v>7.01</v>
      </c>
      <c r="BH533" s="20">
        <v>-8.55</v>
      </c>
      <c r="BM533" s="20">
        <v>-24.49</v>
      </c>
      <c r="BN533" s="20">
        <v>-25.02</v>
      </c>
      <c r="BW533" s="20">
        <v>-50.52</v>
      </c>
      <c r="BX533" s="20">
        <v>-44.27</v>
      </c>
      <c r="BZ533" s="20">
        <v>-50.42</v>
      </c>
      <c r="CA533" s="20">
        <v>27.03</v>
      </c>
      <c r="CI533" s="20">
        <v>-47.33</v>
      </c>
      <c r="CJ533" s="20">
        <v>-49.18</v>
      </c>
      <c r="CO533" s="20">
        <v>-11.18</v>
      </c>
      <c r="CP533" s="20">
        <v>-70.48</v>
      </c>
    </row>
    <row r="534">
      <c r="A534" s="20">
        <v>-14.76</v>
      </c>
      <c r="B534" s="20">
        <v>136.88</v>
      </c>
      <c r="D534" s="20"/>
      <c r="E534" s="20"/>
      <c r="F534" s="20">
        <v>-5.18</v>
      </c>
      <c r="G534" s="20">
        <v>-44.93</v>
      </c>
      <c r="I534" s="20"/>
      <c r="J534" s="20"/>
      <c r="K534" s="20">
        <v>266.0</v>
      </c>
      <c r="L534" s="20" t="s">
        <v>17</v>
      </c>
      <c r="M534" s="20">
        <v>-38.8</v>
      </c>
      <c r="N534" s="20">
        <v>-0.12</v>
      </c>
      <c r="P534" s="20">
        <v>13.07</v>
      </c>
      <c r="Q534" s="20">
        <v>50.3</v>
      </c>
      <c r="AG534" s="20">
        <v>532.0</v>
      </c>
      <c r="AH534" s="20" t="s">
        <v>14</v>
      </c>
      <c r="AI534" s="20">
        <v>8.62</v>
      </c>
      <c r="AJ534" s="20">
        <v>-2.64</v>
      </c>
      <c r="AM534" s="20">
        <v>268.0</v>
      </c>
      <c r="AN534" s="20" t="s">
        <v>17</v>
      </c>
      <c r="AO534" s="20">
        <v>-47.67</v>
      </c>
      <c r="AP534" s="20">
        <v>-0.29</v>
      </c>
      <c r="AS534" s="20">
        <v>266.0</v>
      </c>
      <c r="AT534" s="20" t="s">
        <v>17</v>
      </c>
      <c r="AU534" s="20">
        <v>22.94</v>
      </c>
      <c r="AV534" s="20">
        <v>0.95</v>
      </c>
      <c r="BE534" s="20">
        <v>532.0</v>
      </c>
      <c r="BF534" s="20" t="s">
        <v>14</v>
      </c>
      <c r="BG534" s="20">
        <v>-15.01</v>
      </c>
      <c r="BH534" s="20">
        <v>23.22</v>
      </c>
      <c r="BM534" s="20">
        <v>10.27</v>
      </c>
      <c r="BN534" s="20">
        <v>22.95</v>
      </c>
      <c r="BW534" s="20">
        <v>-41.52</v>
      </c>
      <c r="BX534" s="20">
        <v>-28.42</v>
      </c>
      <c r="BZ534" s="20">
        <v>-65.1</v>
      </c>
      <c r="CA534" s="20">
        <v>14.09</v>
      </c>
      <c r="CI534" s="20">
        <v>-37.33</v>
      </c>
      <c r="CJ534" s="20">
        <v>-48.87</v>
      </c>
      <c r="CO534" s="20">
        <v>-25.15</v>
      </c>
      <c r="CP534" s="20">
        <v>-59.44</v>
      </c>
    </row>
    <row r="535">
      <c r="A535" s="20">
        <v>76.11</v>
      </c>
      <c r="B535" s="20">
        <v>110.7</v>
      </c>
      <c r="D535" s="20"/>
      <c r="E535" s="20"/>
      <c r="F535" s="20">
        <v>-20.57</v>
      </c>
      <c r="G535" s="20">
        <v>-21.55</v>
      </c>
      <c r="I535" s="20"/>
      <c r="J535" s="20"/>
      <c r="K535" s="20">
        <v>267.0</v>
      </c>
      <c r="L535" s="20" t="s">
        <v>14</v>
      </c>
      <c r="M535" s="20">
        <v>49.8</v>
      </c>
      <c r="N535" s="20">
        <v>46.66</v>
      </c>
      <c r="P535" s="20">
        <v>3.07</v>
      </c>
      <c r="Q535" s="20">
        <v>9.85</v>
      </c>
      <c r="AG535" s="20">
        <v>533.0</v>
      </c>
      <c r="AH535" s="20" t="s">
        <v>14</v>
      </c>
      <c r="AI535" s="20">
        <v>5.64</v>
      </c>
      <c r="AJ535" s="20">
        <v>4.06</v>
      </c>
      <c r="AM535" s="20">
        <v>269.0</v>
      </c>
      <c r="AN535" s="20" t="s">
        <v>14</v>
      </c>
      <c r="AO535" s="20">
        <v>-5.92</v>
      </c>
      <c r="AP535" s="20">
        <v>-11.37</v>
      </c>
      <c r="AS535" s="20">
        <v>267.0</v>
      </c>
      <c r="AT535" s="20" t="s">
        <v>14</v>
      </c>
      <c r="AU535" s="20">
        <v>-30.75</v>
      </c>
      <c r="AV535" s="20">
        <v>-89.48</v>
      </c>
      <c r="BE535" s="20">
        <v>533.0</v>
      </c>
      <c r="BF535" s="20" t="s">
        <v>14</v>
      </c>
      <c r="BG535" s="20">
        <v>3.45</v>
      </c>
      <c r="BH535" s="20">
        <v>0.26</v>
      </c>
      <c r="BM535" s="20">
        <v>14.95</v>
      </c>
      <c r="BN535" s="20">
        <v>38.38</v>
      </c>
      <c r="BW535" s="20">
        <v>-6.95</v>
      </c>
      <c r="BX535" s="20">
        <v>-21.34</v>
      </c>
      <c r="BZ535" s="20">
        <v>-38.65</v>
      </c>
      <c r="CA535" s="20">
        <v>31.93</v>
      </c>
      <c r="CI535" s="20">
        <v>-44.44</v>
      </c>
      <c r="CJ535" s="20">
        <v>-53.45</v>
      </c>
      <c r="CO535" s="20">
        <v>-9.24</v>
      </c>
      <c r="CP535" s="20">
        <v>-68.16</v>
      </c>
    </row>
    <row r="536">
      <c r="A536" s="20">
        <v>-30.97</v>
      </c>
      <c r="B536" s="20">
        <v>104.9</v>
      </c>
      <c r="D536" s="20"/>
      <c r="E536" s="20"/>
      <c r="F536" s="20">
        <v>-35.25</v>
      </c>
      <c r="G536" s="20">
        <v>25.48</v>
      </c>
      <c r="I536" s="20"/>
      <c r="J536" s="20"/>
      <c r="K536" s="20">
        <v>267.0</v>
      </c>
      <c r="L536" s="20" t="s">
        <v>17</v>
      </c>
      <c r="M536" s="20">
        <v>-1.71</v>
      </c>
      <c r="N536" s="20">
        <v>-14.37</v>
      </c>
      <c r="P536" s="20">
        <v>-26.64</v>
      </c>
      <c r="Q536" s="20">
        <v>6.8</v>
      </c>
      <c r="AG536" s="20">
        <v>534.0</v>
      </c>
      <c r="AH536" s="20" t="s">
        <v>14</v>
      </c>
      <c r="AI536" s="20">
        <v>8.08</v>
      </c>
      <c r="AJ536" s="20">
        <v>3.3</v>
      </c>
      <c r="AM536" s="20">
        <v>269.0</v>
      </c>
      <c r="AN536" s="20" t="s">
        <v>17</v>
      </c>
      <c r="AO536" s="20">
        <v>2.57</v>
      </c>
      <c r="AP536" s="20">
        <v>-9.2</v>
      </c>
      <c r="AS536" s="20">
        <v>267.0</v>
      </c>
      <c r="AT536" s="20" t="s">
        <v>17</v>
      </c>
      <c r="AU536" s="20">
        <v>47.95</v>
      </c>
      <c r="AV536" s="20">
        <v>-61.33</v>
      </c>
      <c r="BE536" s="20">
        <v>534.0</v>
      </c>
      <c r="BF536" s="20" t="s">
        <v>14</v>
      </c>
      <c r="BG536" s="20">
        <v>16.8</v>
      </c>
      <c r="BH536" s="20">
        <v>-21.26</v>
      </c>
      <c r="BM536" s="20">
        <v>95.51</v>
      </c>
      <c r="BN536" s="20">
        <v>54.77</v>
      </c>
      <c r="BW536" s="20">
        <v>-56.66</v>
      </c>
      <c r="BX536" s="20">
        <v>-28.26</v>
      </c>
      <c r="BZ536" s="20">
        <v>-51.35</v>
      </c>
      <c r="CA536" s="20">
        <v>7.74</v>
      </c>
      <c r="CI536" s="20">
        <v>-42.78</v>
      </c>
      <c r="CJ536" s="20">
        <v>-58.4</v>
      </c>
      <c r="CO536" s="20">
        <v>-33.3</v>
      </c>
      <c r="CP536" s="20">
        <v>-70.53</v>
      </c>
    </row>
    <row r="537">
      <c r="A537" s="20">
        <v>-64.92</v>
      </c>
      <c r="B537" s="20">
        <v>25.19</v>
      </c>
      <c r="D537" s="20"/>
      <c r="E537" s="20"/>
      <c r="F537" s="20">
        <v>2.08</v>
      </c>
      <c r="G537" s="20">
        <v>47.07</v>
      </c>
      <c r="I537" s="20"/>
      <c r="J537" s="20"/>
      <c r="K537" s="20">
        <v>268.0</v>
      </c>
      <c r="L537" s="20" t="s">
        <v>14</v>
      </c>
      <c r="M537" s="20">
        <v>-15.31</v>
      </c>
      <c r="N537" s="20">
        <v>19.44</v>
      </c>
      <c r="P537" s="20">
        <v>-24.76</v>
      </c>
      <c r="Q537" s="20">
        <v>-2.89</v>
      </c>
      <c r="AG537" s="20">
        <v>535.0</v>
      </c>
      <c r="AH537" s="20" t="s">
        <v>14</v>
      </c>
      <c r="AI537" s="20">
        <v>-3.76</v>
      </c>
      <c r="AJ537" s="20">
        <v>-22.6</v>
      </c>
      <c r="AM537" s="20">
        <v>270.0</v>
      </c>
      <c r="AN537" s="20" t="s">
        <v>14</v>
      </c>
      <c r="AO537" s="20">
        <v>-5.99</v>
      </c>
      <c r="AP537" s="20">
        <v>-11.49</v>
      </c>
      <c r="AS537" s="20">
        <v>268.0</v>
      </c>
      <c r="AT537" s="20" t="s">
        <v>14</v>
      </c>
      <c r="AU537" s="20">
        <v>20.35</v>
      </c>
      <c r="AV537" s="20">
        <v>-80.65</v>
      </c>
      <c r="BE537" s="20">
        <v>535.0</v>
      </c>
      <c r="BF537" s="20" t="s">
        <v>14</v>
      </c>
      <c r="BG537" s="20">
        <v>-6.09</v>
      </c>
      <c r="BH537" s="20">
        <v>40.0</v>
      </c>
      <c r="BM537" s="20">
        <v>-13.76</v>
      </c>
      <c r="BN537" s="20">
        <v>38.76</v>
      </c>
      <c r="BW537" s="20">
        <v>-39.67</v>
      </c>
      <c r="BX537" s="20">
        <v>-42.62</v>
      </c>
      <c r="BZ537" s="20">
        <v>-14.63</v>
      </c>
      <c r="CA537" s="20">
        <v>51.54</v>
      </c>
      <c r="CI537" s="20">
        <v>-41.54</v>
      </c>
      <c r="CJ537" s="20">
        <v>-47.51</v>
      </c>
      <c r="CO537" s="20">
        <v>3.13</v>
      </c>
      <c r="CP537" s="20">
        <v>-62.76</v>
      </c>
    </row>
    <row r="538">
      <c r="A538" s="20">
        <v>2.99</v>
      </c>
      <c r="B538" s="20">
        <v>104.74</v>
      </c>
      <c r="D538" s="20"/>
      <c r="E538" s="20"/>
      <c r="F538" s="20">
        <v>5.0</v>
      </c>
      <c r="G538" s="20">
        <v>37.89</v>
      </c>
      <c r="I538" s="20"/>
      <c r="J538" s="20"/>
      <c r="K538" s="20">
        <v>268.0</v>
      </c>
      <c r="L538" s="20" t="s">
        <v>17</v>
      </c>
      <c r="M538" s="20">
        <v>-9.6</v>
      </c>
      <c r="N538" s="20">
        <v>0.54</v>
      </c>
      <c r="P538" s="20">
        <v>-13.25</v>
      </c>
      <c r="Q538" s="20">
        <v>1.57</v>
      </c>
      <c r="AG538" s="20">
        <v>536.0</v>
      </c>
      <c r="AH538" s="20" t="s">
        <v>14</v>
      </c>
      <c r="AI538" s="20">
        <v>6.54</v>
      </c>
      <c r="AJ538" s="20">
        <v>0.36</v>
      </c>
      <c r="AM538" s="20">
        <v>270.0</v>
      </c>
      <c r="AN538" s="20" t="s">
        <v>17</v>
      </c>
      <c r="AO538" s="20">
        <v>-3.06</v>
      </c>
      <c r="AP538" s="20">
        <v>-5.04</v>
      </c>
      <c r="AS538" s="20">
        <v>268.0</v>
      </c>
      <c r="AT538" s="20" t="s">
        <v>17</v>
      </c>
      <c r="AU538" s="20">
        <v>23.85</v>
      </c>
      <c r="AV538" s="20">
        <v>-42.44</v>
      </c>
      <c r="BE538" s="20">
        <v>536.0</v>
      </c>
      <c r="BF538" s="20" t="s">
        <v>14</v>
      </c>
      <c r="BG538" s="20">
        <v>-33.52</v>
      </c>
      <c r="BH538" s="20">
        <v>12.24</v>
      </c>
      <c r="BM538" s="20">
        <v>54.65</v>
      </c>
      <c r="BN538" s="20">
        <v>24.02</v>
      </c>
      <c r="BW538" s="20">
        <v>-51.97</v>
      </c>
      <c r="BX538" s="20">
        <v>-35.51</v>
      </c>
      <c r="BZ538" s="20">
        <v>-45.88</v>
      </c>
      <c r="CA538" s="20">
        <v>49.41</v>
      </c>
      <c r="CI538" s="20">
        <v>-33.58</v>
      </c>
      <c r="CJ538" s="20">
        <v>-47.5</v>
      </c>
      <c r="CO538" s="20">
        <v>-22.72</v>
      </c>
      <c r="CP538" s="20">
        <v>-47.32</v>
      </c>
    </row>
    <row r="539">
      <c r="A539" s="20">
        <v>87.21</v>
      </c>
      <c r="B539" s="20">
        <v>56.29</v>
      </c>
      <c r="D539" s="20"/>
      <c r="E539" s="20"/>
      <c r="F539" s="20">
        <v>4.85</v>
      </c>
      <c r="G539" s="20">
        <v>23.68</v>
      </c>
      <c r="I539" s="20"/>
      <c r="J539" s="20"/>
      <c r="K539" s="20">
        <v>269.0</v>
      </c>
      <c r="L539" s="20" t="s">
        <v>14</v>
      </c>
      <c r="M539" s="20">
        <v>-36.19</v>
      </c>
      <c r="N539" s="20">
        <v>-25.05</v>
      </c>
      <c r="P539" s="20">
        <v>-27.66</v>
      </c>
      <c r="Q539" s="20">
        <v>29.66</v>
      </c>
      <c r="AG539" s="20">
        <v>537.0</v>
      </c>
      <c r="AH539" s="20" t="s">
        <v>14</v>
      </c>
      <c r="AI539" s="20">
        <v>44.71</v>
      </c>
      <c r="AJ539" s="20">
        <v>10.1</v>
      </c>
      <c r="AM539" s="20">
        <v>271.0</v>
      </c>
      <c r="AN539" s="20" t="s">
        <v>14</v>
      </c>
      <c r="AO539" s="20">
        <v>-31.6</v>
      </c>
      <c r="AP539" s="20">
        <v>-21.08</v>
      </c>
      <c r="AS539" s="20">
        <v>269.0</v>
      </c>
      <c r="AT539" s="20" t="s">
        <v>14</v>
      </c>
      <c r="AU539" s="20">
        <v>-33.62</v>
      </c>
      <c r="AV539" s="20">
        <v>-18.45</v>
      </c>
      <c r="BE539" s="20">
        <v>537.0</v>
      </c>
      <c r="BF539" s="20" t="s">
        <v>14</v>
      </c>
      <c r="BG539" s="20">
        <v>-36.28</v>
      </c>
      <c r="BH539" s="20">
        <v>7.35</v>
      </c>
      <c r="BM539" s="20">
        <v>88.66</v>
      </c>
      <c r="BN539" s="20">
        <v>71.19</v>
      </c>
      <c r="BW539" s="20">
        <v>-53.98</v>
      </c>
      <c r="BX539" s="20">
        <v>-13.51</v>
      </c>
      <c r="BZ539" s="20">
        <v>-33.56</v>
      </c>
      <c r="CA539" s="20">
        <v>118.45</v>
      </c>
      <c r="CI539" s="20">
        <v>-33.62</v>
      </c>
      <c r="CJ539" s="20">
        <v>-55.74</v>
      </c>
      <c r="CO539" s="20">
        <v>-25.67</v>
      </c>
      <c r="CP539" s="20">
        <v>-60.14</v>
      </c>
    </row>
    <row r="540">
      <c r="A540" s="20">
        <v>-19.09</v>
      </c>
      <c r="B540" s="20">
        <v>76.69</v>
      </c>
      <c r="D540" s="20"/>
      <c r="E540" s="20"/>
      <c r="F540" s="20">
        <v>-38.15</v>
      </c>
      <c r="G540" s="20">
        <v>10.02</v>
      </c>
      <c r="I540" s="20"/>
      <c r="J540" s="20"/>
      <c r="K540" s="20">
        <v>269.0</v>
      </c>
      <c r="L540" s="20" t="s">
        <v>17</v>
      </c>
      <c r="M540" s="20">
        <v>-40.99</v>
      </c>
      <c r="N540" s="20">
        <v>-26.51</v>
      </c>
      <c r="P540" s="20">
        <v>-36.84</v>
      </c>
      <c r="Q540" s="20">
        <v>-5.39</v>
      </c>
      <c r="AG540" s="20">
        <v>538.0</v>
      </c>
      <c r="AH540" s="20" t="s">
        <v>14</v>
      </c>
      <c r="AI540" s="20">
        <v>1.59</v>
      </c>
      <c r="AJ540" s="20">
        <v>-2.47</v>
      </c>
      <c r="AM540" s="20">
        <v>271.0</v>
      </c>
      <c r="AN540" s="20" t="s">
        <v>17</v>
      </c>
      <c r="AO540" s="20">
        <v>-36.05</v>
      </c>
      <c r="AP540" s="20">
        <v>38.25</v>
      </c>
      <c r="AS540" s="20">
        <v>269.0</v>
      </c>
      <c r="AT540" s="20" t="s">
        <v>17</v>
      </c>
      <c r="AU540" s="20">
        <v>1.33</v>
      </c>
      <c r="AV540" s="20">
        <v>-27.85</v>
      </c>
      <c r="BE540" s="20">
        <v>538.0</v>
      </c>
      <c r="BF540" s="20" t="s">
        <v>14</v>
      </c>
      <c r="BG540" s="20">
        <v>0.03</v>
      </c>
      <c r="BH540" s="20">
        <v>-1.05</v>
      </c>
      <c r="BM540" s="20">
        <v>80.12</v>
      </c>
      <c r="BN540" s="20">
        <v>75.76</v>
      </c>
      <c r="BW540" s="20">
        <v>-52.91</v>
      </c>
      <c r="BX540" s="20">
        <v>-33.92</v>
      </c>
      <c r="BZ540" s="20">
        <v>-56.24</v>
      </c>
      <c r="CA540" s="20">
        <v>29.56</v>
      </c>
      <c r="CI540" s="20">
        <v>-55.4</v>
      </c>
      <c r="CJ540" s="20">
        <v>-63.07</v>
      </c>
      <c r="CO540" s="20">
        <v>-25.39</v>
      </c>
      <c r="CP540" s="20">
        <v>-47.99</v>
      </c>
    </row>
    <row r="541">
      <c r="A541" s="20">
        <v>59.4</v>
      </c>
      <c r="B541" s="20">
        <v>52.22</v>
      </c>
      <c r="D541" s="20"/>
      <c r="E541" s="20"/>
      <c r="F541" s="20">
        <v>-40.98</v>
      </c>
      <c r="G541" s="20">
        <v>9.59</v>
      </c>
      <c r="I541" s="20"/>
      <c r="J541" s="20"/>
      <c r="K541" s="20">
        <v>270.0</v>
      </c>
      <c r="L541" s="20" t="s">
        <v>14</v>
      </c>
      <c r="M541" s="20">
        <v>12.64</v>
      </c>
      <c r="N541" s="20">
        <v>-9.86</v>
      </c>
      <c r="P541" s="20">
        <v>-14.76</v>
      </c>
      <c r="Q541" s="20">
        <v>-3.17</v>
      </c>
      <c r="AG541" s="20">
        <v>539.0</v>
      </c>
      <c r="AH541" s="20" t="s">
        <v>14</v>
      </c>
      <c r="AI541" s="20">
        <v>-1.22</v>
      </c>
      <c r="AJ541" s="20">
        <v>5.44</v>
      </c>
      <c r="AM541" s="20">
        <v>272.0</v>
      </c>
      <c r="AN541" s="20" t="s">
        <v>14</v>
      </c>
      <c r="AO541" s="20">
        <v>91.81</v>
      </c>
      <c r="AP541" s="20">
        <v>19.51</v>
      </c>
      <c r="AS541" s="20">
        <v>270.0</v>
      </c>
      <c r="AT541" s="20" t="s">
        <v>14</v>
      </c>
      <c r="AU541" s="20">
        <v>26.2</v>
      </c>
      <c r="AV541" s="20">
        <v>-28.93</v>
      </c>
      <c r="BE541" s="20">
        <v>539.0</v>
      </c>
      <c r="BF541" s="20" t="s">
        <v>14</v>
      </c>
      <c r="BG541" s="20">
        <v>-30.17</v>
      </c>
      <c r="BH541" s="20">
        <v>-37.33</v>
      </c>
      <c r="BM541" s="20">
        <v>48.09</v>
      </c>
      <c r="BN541" s="20">
        <v>62.97</v>
      </c>
      <c r="BW541" s="20">
        <v>-44.93</v>
      </c>
      <c r="BX541" s="20">
        <v>-28.8</v>
      </c>
      <c r="BZ541" s="20">
        <v>-31.08</v>
      </c>
      <c r="CA541" s="20">
        <v>40.2</v>
      </c>
      <c r="CI541" s="20">
        <v>-54.43</v>
      </c>
      <c r="CJ541" s="20">
        <v>-66.0</v>
      </c>
      <c r="CO541" s="20">
        <v>-32.39</v>
      </c>
      <c r="CP541" s="20">
        <v>-67.1</v>
      </c>
    </row>
    <row r="542">
      <c r="A542" s="20">
        <v>33.83</v>
      </c>
      <c r="B542" s="20">
        <v>43.93</v>
      </c>
      <c r="D542" s="20"/>
      <c r="E542" s="20"/>
      <c r="F542" s="20">
        <v>-47.18</v>
      </c>
      <c r="G542" s="20">
        <v>22.69</v>
      </c>
      <c r="I542" s="20"/>
      <c r="J542" s="20"/>
      <c r="K542" s="20">
        <v>270.0</v>
      </c>
      <c r="L542" s="20" t="s">
        <v>17</v>
      </c>
      <c r="M542" s="20">
        <v>-5.69</v>
      </c>
      <c r="N542" s="20">
        <v>-5.8</v>
      </c>
      <c r="P542" s="20">
        <v>-27.89</v>
      </c>
      <c r="Q542" s="20">
        <v>52.91</v>
      </c>
      <c r="AG542" s="20">
        <v>540.0</v>
      </c>
      <c r="AH542" s="20" t="s">
        <v>14</v>
      </c>
      <c r="AI542" s="20">
        <v>56.85</v>
      </c>
      <c r="AJ542" s="20">
        <v>22.97</v>
      </c>
      <c r="AM542" s="20">
        <v>272.0</v>
      </c>
      <c r="AN542" s="20" t="s">
        <v>17</v>
      </c>
      <c r="AO542" s="20">
        <v>-2.74</v>
      </c>
      <c r="AP542" s="20">
        <v>-16.78</v>
      </c>
      <c r="AS542" s="20">
        <v>270.0</v>
      </c>
      <c r="AT542" s="20" t="s">
        <v>17</v>
      </c>
      <c r="AU542" s="20">
        <v>-35.04</v>
      </c>
      <c r="AV542" s="20">
        <v>-36.71</v>
      </c>
      <c r="BE542" s="20">
        <v>540.0</v>
      </c>
      <c r="BF542" s="20" t="s">
        <v>14</v>
      </c>
      <c r="BG542" s="20">
        <v>-10.73</v>
      </c>
      <c r="BH542" s="20">
        <v>-1.66</v>
      </c>
      <c r="BM542" s="20">
        <v>79.06</v>
      </c>
      <c r="BN542" s="20">
        <v>84.13</v>
      </c>
      <c r="BW542" s="20">
        <v>-55.21</v>
      </c>
      <c r="BX542" s="20">
        <v>-8.85</v>
      </c>
      <c r="BZ542" s="20">
        <v>-49.38</v>
      </c>
      <c r="CA542" s="20">
        <v>11.43</v>
      </c>
      <c r="CI542" s="20">
        <v>-53.49</v>
      </c>
      <c r="CJ542" s="20">
        <v>-63.04</v>
      </c>
      <c r="CO542" s="20">
        <v>-9.02</v>
      </c>
      <c r="CP542" s="20">
        <v>-59.53</v>
      </c>
    </row>
    <row r="543">
      <c r="A543" s="20">
        <v>-28.05</v>
      </c>
      <c r="B543" s="20">
        <v>73.51</v>
      </c>
      <c r="D543" s="20"/>
      <c r="E543" s="20"/>
      <c r="F543" s="20">
        <v>-15.75</v>
      </c>
      <c r="G543" s="20">
        <v>8.39</v>
      </c>
      <c r="I543" s="20"/>
      <c r="J543" s="20"/>
      <c r="K543" s="20">
        <v>271.0</v>
      </c>
      <c r="L543" s="20" t="s">
        <v>14</v>
      </c>
      <c r="M543" s="20">
        <v>-31.25</v>
      </c>
      <c r="N543" s="20">
        <v>38.44</v>
      </c>
      <c r="P543" s="20">
        <v>44.26</v>
      </c>
      <c r="Q543" s="20">
        <v>90.56</v>
      </c>
      <c r="AG543" s="20">
        <v>541.0</v>
      </c>
      <c r="AH543" s="20" t="s">
        <v>14</v>
      </c>
      <c r="AI543" s="20">
        <v>-8.31</v>
      </c>
      <c r="AJ543" s="20">
        <v>-21.36</v>
      </c>
      <c r="AM543" s="20">
        <v>273.0</v>
      </c>
      <c r="AN543" s="20" t="s">
        <v>14</v>
      </c>
      <c r="AO543" s="20">
        <v>-12.22</v>
      </c>
      <c r="AP543" s="20">
        <v>12.94</v>
      </c>
      <c r="AS543" s="20">
        <v>271.0</v>
      </c>
      <c r="AT543" s="20" t="s">
        <v>14</v>
      </c>
      <c r="AU543" s="20">
        <v>-18.76</v>
      </c>
      <c r="AV543" s="20">
        <v>-66.29</v>
      </c>
      <c r="BE543" s="20">
        <v>541.0</v>
      </c>
      <c r="BF543" s="20" t="s">
        <v>14</v>
      </c>
      <c r="BG543" s="20">
        <v>-17.34</v>
      </c>
      <c r="BH543" s="20">
        <v>-6.97</v>
      </c>
      <c r="BM543" s="20">
        <v>17.44</v>
      </c>
      <c r="BN543" s="20">
        <v>40.14</v>
      </c>
      <c r="BW543" s="20">
        <v>-38.57</v>
      </c>
      <c r="BX543" s="20">
        <v>-25.75</v>
      </c>
      <c r="BZ543" s="20">
        <v>-24.24</v>
      </c>
      <c r="CA543" s="20">
        <v>1.45</v>
      </c>
      <c r="CI543" s="20">
        <v>-38.46</v>
      </c>
      <c r="CJ543" s="20">
        <v>-39.05</v>
      </c>
      <c r="CO543" s="20">
        <v>-25.5</v>
      </c>
      <c r="CP543" s="20">
        <v>-60.36</v>
      </c>
    </row>
    <row r="544">
      <c r="A544" s="20">
        <v>85.62</v>
      </c>
      <c r="B544" s="20">
        <v>21.75</v>
      </c>
      <c r="D544" s="20"/>
      <c r="E544" s="20"/>
      <c r="F544" s="20">
        <v>3.11</v>
      </c>
      <c r="G544" s="20">
        <v>-16.07</v>
      </c>
      <c r="I544" s="20"/>
      <c r="J544" s="20"/>
      <c r="K544" s="20">
        <v>271.0</v>
      </c>
      <c r="L544" s="20" t="s">
        <v>17</v>
      </c>
      <c r="M544" s="20">
        <v>-37.77</v>
      </c>
      <c r="N544" s="20">
        <v>-7.37</v>
      </c>
      <c r="P544" s="20">
        <v>-15.45</v>
      </c>
      <c r="Q544" s="20">
        <v>15.34</v>
      </c>
      <c r="AG544" s="20">
        <v>542.0</v>
      </c>
      <c r="AH544" s="20" t="s">
        <v>14</v>
      </c>
      <c r="AI544" s="20">
        <v>-5.83</v>
      </c>
      <c r="AJ544" s="20">
        <v>2.27</v>
      </c>
      <c r="AM544" s="20">
        <v>273.0</v>
      </c>
      <c r="AN544" s="20" t="s">
        <v>17</v>
      </c>
      <c r="AO544" s="20">
        <v>-16.11</v>
      </c>
      <c r="AP544" s="20">
        <v>-19.0</v>
      </c>
      <c r="AS544" s="20">
        <v>271.0</v>
      </c>
      <c r="AT544" s="20" t="s">
        <v>17</v>
      </c>
      <c r="AU544" s="20">
        <v>0.14</v>
      </c>
      <c r="AV544" s="20">
        <v>-19.36</v>
      </c>
      <c r="BE544" s="20">
        <v>542.0</v>
      </c>
      <c r="BF544" s="20" t="s">
        <v>14</v>
      </c>
      <c r="BG544" s="20">
        <v>-11.38</v>
      </c>
      <c r="BH544" s="20">
        <v>-1.13</v>
      </c>
      <c r="BM544" s="20">
        <v>72.81</v>
      </c>
      <c r="BN544" s="20">
        <v>138.16</v>
      </c>
      <c r="BW544" s="20">
        <v>-22.83</v>
      </c>
      <c r="BX544" s="20">
        <v>-28.78</v>
      </c>
      <c r="BZ544" s="20">
        <v>-48.05</v>
      </c>
      <c r="CA544" s="20">
        <v>26.2</v>
      </c>
      <c r="CI544" s="20">
        <v>-12.96</v>
      </c>
      <c r="CJ544" s="20">
        <v>-8.2</v>
      </c>
      <c r="CO544" s="20">
        <v>13.3</v>
      </c>
      <c r="CP544" s="20">
        <v>-63.23</v>
      </c>
    </row>
    <row r="545">
      <c r="A545" s="20">
        <v>293.33</v>
      </c>
      <c r="B545" s="20">
        <v>-14.95</v>
      </c>
      <c r="D545" s="20"/>
      <c r="E545" s="20"/>
      <c r="F545" s="20">
        <v>0.26</v>
      </c>
      <c r="G545" s="20">
        <v>5.35</v>
      </c>
      <c r="I545" s="20"/>
      <c r="J545" s="20"/>
      <c r="K545" s="20">
        <v>272.0</v>
      </c>
      <c r="L545" s="20" t="s">
        <v>14</v>
      </c>
      <c r="M545" s="20">
        <v>-27.13</v>
      </c>
      <c r="N545" s="20">
        <v>17.24</v>
      </c>
      <c r="P545" s="20">
        <v>18.77</v>
      </c>
      <c r="Q545" s="20">
        <v>0.92</v>
      </c>
      <c r="AG545" s="20">
        <v>543.0</v>
      </c>
      <c r="AH545" s="20" t="s">
        <v>14</v>
      </c>
      <c r="AI545" s="20">
        <v>27.68</v>
      </c>
      <c r="AJ545" s="20">
        <v>16.3</v>
      </c>
      <c r="AM545" s="20">
        <v>274.0</v>
      </c>
      <c r="AN545" s="20" t="s">
        <v>14</v>
      </c>
      <c r="AO545" s="20">
        <v>12.45</v>
      </c>
      <c r="AP545" s="20">
        <v>13.8</v>
      </c>
      <c r="AS545" s="20">
        <v>272.0</v>
      </c>
      <c r="AT545" s="20" t="s">
        <v>14</v>
      </c>
      <c r="AU545" s="20">
        <v>-18.53</v>
      </c>
      <c r="AV545" s="20">
        <v>-19.82</v>
      </c>
      <c r="BE545" s="20">
        <v>543.0</v>
      </c>
      <c r="BF545" s="20" t="s">
        <v>14</v>
      </c>
      <c r="BG545" s="20">
        <v>-18.69</v>
      </c>
      <c r="BH545" s="20">
        <v>-11.55</v>
      </c>
      <c r="BM545" s="20">
        <v>75.95</v>
      </c>
      <c r="BN545" s="20">
        <v>90.03</v>
      </c>
      <c r="BW545" s="20">
        <v>-50.44</v>
      </c>
      <c r="BX545" s="20">
        <v>-12.97</v>
      </c>
      <c r="BZ545" s="20">
        <v>-32.04</v>
      </c>
      <c r="CA545" s="20">
        <v>18.5</v>
      </c>
      <c r="CI545" s="20">
        <v>-17.23</v>
      </c>
      <c r="CJ545" s="20">
        <v>-39.69</v>
      </c>
      <c r="CO545" s="20">
        <v>-33.34</v>
      </c>
      <c r="CP545" s="20">
        <v>-60.02</v>
      </c>
    </row>
    <row r="546">
      <c r="A546" s="20">
        <v>-53.48</v>
      </c>
      <c r="B546" s="20">
        <v>-67.87</v>
      </c>
      <c r="D546" s="20"/>
      <c r="E546" s="20"/>
      <c r="F546" s="20">
        <v>-9.1</v>
      </c>
      <c r="G546" s="20">
        <v>5.55</v>
      </c>
      <c r="I546" s="20"/>
      <c r="J546" s="20"/>
      <c r="K546" s="20">
        <v>272.0</v>
      </c>
      <c r="L546" s="20" t="s">
        <v>17</v>
      </c>
      <c r="M546" s="20">
        <v>-32.26</v>
      </c>
      <c r="N546" s="20">
        <v>67.63</v>
      </c>
      <c r="P546" s="20">
        <v>-17.73</v>
      </c>
      <c r="Q546" s="20">
        <v>-4.2</v>
      </c>
      <c r="AG546" s="20">
        <v>544.0</v>
      </c>
      <c r="AH546" s="20" t="s">
        <v>14</v>
      </c>
      <c r="AI546" s="20">
        <v>-1.65</v>
      </c>
      <c r="AJ546" s="20">
        <v>-7.3</v>
      </c>
      <c r="AM546" s="20">
        <v>274.0</v>
      </c>
      <c r="AN546" s="20" t="s">
        <v>17</v>
      </c>
      <c r="AO546" s="20">
        <v>1.97</v>
      </c>
      <c r="AP546" s="20">
        <v>105.94</v>
      </c>
      <c r="AS546" s="20">
        <v>272.0</v>
      </c>
      <c r="AT546" s="20" t="s">
        <v>17</v>
      </c>
      <c r="AU546" s="20">
        <v>-18.48</v>
      </c>
      <c r="AV546" s="20">
        <v>-51.95</v>
      </c>
      <c r="BE546" s="20">
        <v>544.0</v>
      </c>
      <c r="BF546" s="20" t="s">
        <v>14</v>
      </c>
      <c r="BG546" s="20">
        <v>-26.02</v>
      </c>
      <c r="BH546" s="20">
        <v>-5.74</v>
      </c>
      <c r="BM546" s="20">
        <v>73.76</v>
      </c>
      <c r="BN546" s="20">
        <v>96.65</v>
      </c>
      <c r="BW546" s="20">
        <v>20.5</v>
      </c>
      <c r="BX546" s="20">
        <v>-7.54</v>
      </c>
      <c r="BZ546" s="20">
        <v>-67.93</v>
      </c>
      <c r="CA546" s="20">
        <v>19.74</v>
      </c>
      <c r="CI546" s="20">
        <v>-32.37</v>
      </c>
      <c r="CJ546" s="20">
        <v>-40.5</v>
      </c>
      <c r="CO546" s="20">
        <v>-0.82</v>
      </c>
      <c r="CP546" s="20">
        <v>-19.58</v>
      </c>
    </row>
    <row r="547">
      <c r="A547" s="20">
        <v>-32.51</v>
      </c>
      <c r="B547" s="20">
        <v>-3.86</v>
      </c>
      <c r="D547" s="20"/>
      <c r="E547" s="20"/>
      <c r="F547" s="20">
        <v>-27.32</v>
      </c>
      <c r="G547" s="20">
        <v>-26.1</v>
      </c>
      <c r="I547" s="20"/>
      <c r="J547" s="20"/>
      <c r="K547" s="20">
        <v>273.0</v>
      </c>
      <c r="L547" s="20" t="s">
        <v>14</v>
      </c>
      <c r="M547" s="20">
        <v>5.37</v>
      </c>
      <c r="N547" s="20">
        <v>11.26</v>
      </c>
      <c r="P547" s="20">
        <v>-13.32</v>
      </c>
      <c r="Q547" s="20">
        <v>4.33</v>
      </c>
      <c r="AG547" s="20">
        <v>545.0</v>
      </c>
      <c r="AH547" s="20" t="s">
        <v>14</v>
      </c>
      <c r="AI547" s="20">
        <v>-5.09</v>
      </c>
      <c r="AJ547" s="20">
        <v>27.12</v>
      </c>
      <c r="AM547" s="20">
        <v>275.0</v>
      </c>
      <c r="AN547" s="20" t="s">
        <v>14</v>
      </c>
      <c r="AO547" s="20">
        <v>-37.35</v>
      </c>
      <c r="AP547" s="20">
        <v>-20.65</v>
      </c>
      <c r="AS547" s="20">
        <v>273.0</v>
      </c>
      <c r="AT547" s="20" t="s">
        <v>14</v>
      </c>
      <c r="AU547" s="20">
        <v>-32.06</v>
      </c>
      <c r="AV547" s="20">
        <v>-61.13</v>
      </c>
      <c r="BE547" s="20">
        <v>545.0</v>
      </c>
      <c r="BF547" s="20" t="s">
        <v>14</v>
      </c>
      <c r="BG547" s="20">
        <v>-4.33</v>
      </c>
      <c r="BH547" s="20">
        <v>1.38</v>
      </c>
      <c r="BM547" s="20">
        <v>7.97</v>
      </c>
      <c r="BN547" s="20">
        <v>56.92</v>
      </c>
      <c r="BW547" s="20">
        <v>-42.8</v>
      </c>
      <c r="BX547" s="20">
        <v>-26.89</v>
      </c>
      <c r="BZ547" s="20">
        <v>-46.55</v>
      </c>
      <c r="CA547" s="20">
        <v>0.83</v>
      </c>
      <c r="CI547" s="20">
        <v>-28.93</v>
      </c>
      <c r="CJ547" s="20">
        <v>-29.25</v>
      </c>
      <c r="CO547" s="20">
        <v>15.23</v>
      </c>
      <c r="CP547" s="20">
        <v>-55.59</v>
      </c>
    </row>
    <row r="548">
      <c r="A548" s="20">
        <v>-55.5</v>
      </c>
      <c r="B548" s="20">
        <v>-19.71</v>
      </c>
      <c r="D548" s="20"/>
      <c r="E548" s="20"/>
      <c r="F548" s="20">
        <v>-18.2</v>
      </c>
      <c r="G548" s="20">
        <v>-0.8</v>
      </c>
      <c r="I548" s="20"/>
      <c r="J548" s="20"/>
      <c r="K548" s="20">
        <v>273.0</v>
      </c>
      <c r="L548" s="20" t="s">
        <v>17</v>
      </c>
      <c r="M548" s="20">
        <v>-17.33</v>
      </c>
      <c r="N548" s="20">
        <v>7.26</v>
      </c>
      <c r="P548" s="20">
        <v>-42.84</v>
      </c>
      <c r="Q548" s="20">
        <v>-29.02</v>
      </c>
      <c r="AG548" s="20">
        <v>546.0</v>
      </c>
      <c r="AH548" s="20" t="s">
        <v>14</v>
      </c>
      <c r="AI548" s="20">
        <v>37.05</v>
      </c>
      <c r="AJ548" s="20">
        <v>-16.91</v>
      </c>
      <c r="AM548" s="20">
        <v>275.0</v>
      </c>
      <c r="AN548" s="20" t="s">
        <v>17</v>
      </c>
      <c r="AO548" s="20">
        <v>-11.49</v>
      </c>
      <c r="AP548" s="20">
        <v>29.83</v>
      </c>
      <c r="AS548" s="20">
        <v>273.0</v>
      </c>
      <c r="AT548" s="20" t="s">
        <v>17</v>
      </c>
      <c r="AU548" s="20">
        <v>-48.77</v>
      </c>
      <c r="AV548" s="20">
        <v>-15.98</v>
      </c>
      <c r="BE548" s="20">
        <v>546.0</v>
      </c>
      <c r="BF548" s="20" t="s">
        <v>14</v>
      </c>
      <c r="BG548" s="20">
        <v>-12.87</v>
      </c>
      <c r="BH548" s="20">
        <v>-12.14</v>
      </c>
      <c r="BM548" s="20">
        <v>-0.38</v>
      </c>
      <c r="BN548" s="20">
        <v>36.77</v>
      </c>
      <c r="BW548" s="20">
        <v>-48.49</v>
      </c>
      <c r="BX548" s="20">
        <v>-39.2</v>
      </c>
      <c r="BZ548" s="20">
        <v>-61.07</v>
      </c>
      <c r="CA548" s="20">
        <v>55.94</v>
      </c>
      <c r="CI548" s="20">
        <v>-14.99</v>
      </c>
      <c r="CJ548" s="20">
        <v>-14.21</v>
      </c>
      <c r="CO548" s="20">
        <v>17.27</v>
      </c>
      <c r="CP548" s="20">
        <v>-56.14</v>
      </c>
    </row>
    <row r="549">
      <c r="A549" s="20">
        <v>17.72</v>
      </c>
      <c r="B549" s="20">
        <v>82.26</v>
      </c>
      <c r="D549" s="20"/>
      <c r="E549" s="20"/>
      <c r="F549" s="20">
        <v>18.79</v>
      </c>
      <c r="G549" s="20">
        <v>16.85</v>
      </c>
      <c r="I549" s="20"/>
      <c r="J549" s="20"/>
      <c r="K549" s="20">
        <v>274.0</v>
      </c>
      <c r="L549" s="20" t="s">
        <v>14</v>
      </c>
      <c r="M549" s="20">
        <v>-21.74</v>
      </c>
      <c r="N549" s="20">
        <v>11.99</v>
      </c>
      <c r="P549" s="20">
        <v>8.55</v>
      </c>
      <c r="Q549" s="20">
        <v>-11.24</v>
      </c>
      <c r="AG549" s="20">
        <v>547.0</v>
      </c>
      <c r="AH549" s="20" t="s">
        <v>14</v>
      </c>
      <c r="AI549" s="20">
        <v>-7.05</v>
      </c>
      <c r="AJ549" s="20">
        <v>16.1</v>
      </c>
      <c r="AM549" s="20">
        <v>276.0</v>
      </c>
      <c r="AN549" s="20" t="s">
        <v>14</v>
      </c>
      <c r="AO549" s="20">
        <v>-3.83</v>
      </c>
      <c r="AP549" s="20">
        <v>-32.8</v>
      </c>
      <c r="AS549" s="20">
        <v>274.0</v>
      </c>
      <c r="AT549" s="20" t="s">
        <v>14</v>
      </c>
      <c r="AU549" s="20">
        <v>2.25</v>
      </c>
      <c r="AV549" s="20">
        <v>-31.47</v>
      </c>
      <c r="BE549" s="20">
        <v>547.0</v>
      </c>
      <c r="BF549" s="20" t="s">
        <v>14</v>
      </c>
      <c r="BG549" s="20">
        <v>-4.08</v>
      </c>
      <c r="BH549" s="20">
        <v>31.26</v>
      </c>
      <c r="BM549" s="20">
        <v>-2.27</v>
      </c>
      <c r="BN549" s="20">
        <v>85.49</v>
      </c>
      <c r="BW549" s="20">
        <v>-46.15</v>
      </c>
      <c r="BX549" s="20">
        <v>-30.79</v>
      </c>
      <c r="BZ549" s="20">
        <v>-53.6</v>
      </c>
      <c r="CA549" s="20">
        <v>50.64</v>
      </c>
      <c r="CI549" s="20">
        <v>-48.35</v>
      </c>
      <c r="CJ549" s="20">
        <v>-59.05</v>
      </c>
      <c r="CO549" s="20">
        <v>-18.2</v>
      </c>
      <c r="CP549" s="20">
        <v>-54.42</v>
      </c>
    </row>
    <row r="550">
      <c r="A550" s="20">
        <v>-24.78</v>
      </c>
      <c r="B550" s="20">
        <v>-4.8</v>
      </c>
      <c r="D550" s="20"/>
      <c r="E550" s="20"/>
      <c r="F550" s="20">
        <v>-7.57</v>
      </c>
      <c r="G550" s="20">
        <v>16.25</v>
      </c>
      <c r="I550" s="20"/>
      <c r="J550" s="20"/>
      <c r="K550" s="20">
        <v>274.0</v>
      </c>
      <c r="L550" s="20" t="s">
        <v>17</v>
      </c>
      <c r="M550" s="20">
        <v>-17.03</v>
      </c>
      <c r="N550" s="20">
        <v>-3.44</v>
      </c>
      <c r="P550" s="20">
        <v>-40.03</v>
      </c>
      <c r="Q550" s="20">
        <v>-16.82</v>
      </c>
      <c r="AG550" s="20">
        <v>548.0</v>
      </c>
      <c r="AH550" s="20" t="s">
        <v>14</v>
      </c>
      <c r="AI550" s="20">
        <v>7.07</v>
      </c>
      <c r="AJ550" s="20">
        <v>-5.9</v>
      </c>
      <c r="AM550" s="20">
        <v>276.0</v>
      </c>
      <c r="AN550" s="20" t="s">
        <v>17</v>
      </c>
      <c r="AO550" s="20">
        <v>-10.23</v>
      </c>
      <c r="AP550" s="20">
        <v>30.23</v>
      </c>
      <c r="AS550" s="20">
        <v>274.0</v>
      </c>
      <c r="AT550" s="20" t="s">
        <v>17</v>
      </c>
      <c r="AU550" s="20">
        <v>-24.84</v>
      </c>
      <c r="AV550" s="20">
        <v>-6.7</v>
      </c>
      <c r="BE550" s="20">
        <v>548.0</v>
      </c>
      <c r="BF550" s="20" t="s">
        <v>14</v>
      </c>
      <c r="BG550" s="20">
        <v>17.67</v>
      </c>
      <c r="BH550" s="20">
        <v>2.77</v>
      </c>
      <c r="BM550" s="20">
        <v>-22.49</v>
      </c>
      <c r="BN550" s="20">
        <v>19.66</v>
      </c>
      <c r="BW550" s="20">
        <v>-35.92</v>
      </c>
      <c r="BX550" s="20">
        <v>-21.06</v>
      </c>
      <c r="BZ550" s="20">
        <v>-71.32</v>
      </c>
      <c r="CA550" s="20">
        <v>43.32</v>
      </c>
      <c r="CI550" s="20">
        <v>-43.3</v>
      </c>
      <c r="CJ550" s="20">
        <v>-53.3</v>
      </c>
      <c r="CO550" s="20">
        <v>46.93</v>
      </c>
      <c r="CP550" s="20">
        <v>-52.43</v>
      </c>
    </row>
    <row r="551">
      <c r="A551" s="20">
        <v>-40.85</v>
      </c>
      <c r="B551" s="20">
        <v>58.92</v>
      </c>
      <c r="D551" s="20"/>
      <c r="E551" s="20"/>
      <c r="F551" s="20">
        <v>-10.74</v>
      </c>
      <c r="G551" s="20">
        <v>12.64</v>
      </c>
      <c r="I551" s="20"/>
      <c r="J551" s="20"/>
      <c r="K551" s="20">
        <v>275.0</v>
      </c>
      <c r="L551" s="20" t="s">
        <v>14</v>
      </c>
      <c r="M551" s="20">
        <v>-4.07</v>
      </c>
      <c r="N551" s="20">
        <v>31.34</v>
      </c>
      <c r="P551" s="20">
        <v>36.34</v>
      </c>
      <c r="Q551" s="20">
        <v>50.88</v>
      </c>
      <c r="AG551" s="20">
        <v>549.0</v>
      </c>
      <c r="AH551" s="20" t="s">
        <v>14</v>
      </c>
      <c r="AI551" s="20">
        <v>-16.95</v>
      </c>
      <c r="AJ551" s="20">
        <v>-15.85</v>
      </c>
      <c r="AM551" s="20">
        <v>277.0</v>
      </c>
      <c r="AN551" s="20" t="s">
        <v>14</v>
      </c>
      <c r="AO551" s="20">
        <v>-26.06</v>
      </c>
      <c r="AP551" s="20">
        <v>8.65</v>
      </c>
      <c r="AS551" s="20">
        <v>275.0</v>
      </c>
      <c r="AT551" s="20" t="s">
        <v>14</v>
      </c>
      <c r="AU551" s="20">
        <v>-26.22</v>
      </c>
      <c r="AV551" s="20">
        <v>-55.03</v>
      </c>
      <c r="BE551" s="20">
        <v>549.0</v>
      </c>
      <c r="BF551" s="20" t="s">
        <v>14</v>
      </c>
      <c r="BG551" s="20">
        <v>-6.89</v>
      </c>
      <c r="BH551" s="20">
        <v>12.43</v>
      </c>
      <c r="BM551" s="20">
        <v>-33.5</v>
      </c>
      <c r="BN551" s="20">
        <v>-16.34</v>
      </c>
      <c r="BW551" s="20">
        <v>-52.94</v>
      </c>
      <c r="BX551" s="20">
        <v>-18.16</v>
      </c>
      <c r="BZ551" s="20">
        <v>-46.78</v>
      </c>
      <c r="CA551" s="20">
        <v>20.14</v>
      </c>
      <c r="CI551" s="20">
        <v>-35.92</v>
      </c>
      <c r="CJ551" s="20">
        <v>-57.01</v>
      </c>
      <c r="CO551" s="20">
        <v>-9.1</v>
      </c>
      <c r="CP551" s="20">
        <v>-61.21</v>
      </c>
    </row>
    <row r="552">
      <c r="A552" s="20">
        <v>-2.26</v>
      </c>
      <c r="B552" s="20">
        <v>18.47</v>
      </c>
      <c r="D552" s="20"/>
      <c r="E552" s="20"/>
      <c r="F552" s="20">
        <v>-10.22</v>
      </c>
      <c r="G552" s="20">
        <v>0.95</v>
      </c>
      <c r="I552" s="20"/>
      <c r="J552" s="20"/>
      <c r="K552" s="20">
        <v>275.0</v>
      </c>
      <c r="L552" s="20" t="s">
        <v>17</v>
      </c>
      <c r="M552" s="20">
        <v>26.17</v>
      </c>
      <c r="N552" s="20">
        <v>-38.17</v>
      </c>
      <c r="P552" s="20">
        <v>-33.62</v>
      </c>
      <c r="Q552" s="20">
        <v>-16.04</v>
      </c>
      <c r="AG552" s="20">
        <v>550.0</v>
      </c>
      <c r="AH552" s="20" t="s">
        <v>14</v>
      </c>
      <c r="AI552" s="20">
        <v>-6.01</v>
      </c>
      <c r="AJ552" s="20">
        <v>22.46</v>
      </c>
      <c r="AM552" s="20">
        <v>277.0</v>
      </c>
      <c r="AN552" s="20" t="s">
        <v>17</v>
      </c>
      <c r="AO552" s="20">
        <v>1.92</v>
      </c>
      <c r="AP552" s="20">
        <v>1.91</v>
      </c>
      <c r="AS552" s="20">
        <v>275.0</v>
      </c>
      <c r="AT552" s="20" t="s">
        <v>17</v>
      </c>
      <c r="AU552" s="20">
        <v>-58.28</v>
      </c>
      <c r="AV552" s="20">
        <v>-52.97</v>
      </c>
      <c r="BE552" s="20">
        <v>550.0</v>
      </c>
      <c r="BF552" s="20" t="s">
        <v>14</v>
      </c>
      <c r="BG552" s="20">
        <v>1.49</v>
      </c>
      <c r="BH552" s="20">
        <v>0.99</v>
      </c>
      <c r="BM552" s="20">
        <v>122.67</v>
      </c>
      <c r="BN552" s="20">
        <v>158.01</v>
      </c>
      <c r="BW552" s="20">
        <v>-22.95</v>
      </c>
      <c r="BX552" s="20">
        <v>-20.44</v>
      </c>
      <c r="BZ552" s="20">
        <v>-40.73</v>
      </c>
      <c r="CA552" s="20">
        <v>5.29</v>
      </c>
      <c r="CI552" s="20">
        <v>-33.15</v>
      </c>
      <c r="CJ552" s="20">
        <v>-51.11</v>
      </c>
      <c r="CO552" s="20">
        <v>1.3</v>
      </c>
      <c r="CP552" s="20">
        <v>-45.94</v>
      </c>
    </row>
    <row r="553">
      <c r="A553" s="20">
        <v>-36.14</v>
      </c>
      <c r="B553" s="20">
        <v>30.41</v>
      </c>
      <c r="D553" s="20"/>
      <c r="E553" s="20"/>
      <c r="F553" s="20">
        <v>-27.99</v>
      </c>
      <c r="G553" s="20">
        <v>25.23</v>
      </c>
      <c r="I553" s="20"/>
      <c r="J553" s="20"/>
      <c r="K553" s="20">
        <v>276.0</v>
      </c>
      <c r="L553" s="20" t="s">
        <v>14</v>
      </c>
      <c r="M553" s="20">
        <v>27.37</v>
      </c>
      <c r="N553" s="20">
        <v>93.55</v>
      </c>
      <c r="P553" s="20">
        <v>16.12</v>
      </c>
      <c r="Q553" s="20">
        <v>18.65</v>
      </c>
      <c r="AG553" s="20">
        <v>551.0</v>
      </c>
      <c r="AH553" s="20" t="s">
        <v>14</v>
      </c>
      <c r="AI553" s="20">
        <v>12.54</v>
      </c>
      <c r="AJ553" s="20">
        <v>28.76</v>
      </c>
      <c r="AM553" s="20">
        <v>278.0</v>
      </c>
      <c r="AN553" s="20" t="s">
        <v>14</v>
      </c>
      <c r="AO553" s="20">
        <v>-11.07</v>
      </c>
      <c r="AP553" s="20">
        <v>2.46</v>
      </c>
      <c r="AS553" s="20">
        <v>276.0</v>
      </c>
      <c r="AT553" s="20" t="s">
        <v>14</v>
      </c>
      <c r="AU553" s="20">
        <v>16.74</v>
      </c>
      <c r="AV553" s="20">
        <v>-61.39</v>
      </c>
      <c r="BE553" s="20">
        <v>551.0</v>
      </c>
      <c r="BF553" s="20" t="s">
        <v>14</v>
      </c>
      <c r="BG553" s="20">
        <v>-9.56</v>
      </c>
      <c r="BH553" s="20">
        <v>-19.74</v>
      </c>
      <c r="BM553" s="20">
        <v>18.22</v>
      </c>
      <c r="BN553" s="20">
        <v>67.69</v>
      </c>
      <c r="BW553" s="20">
        <v>-49.63</v>
      </c>
      <c r="BX553" s="20">
        <v>-43.71</v>
      </c>
      <c r="BZ553" s="20">
        <v>-36.59</v>
      </c>
      <c r="CA553" s="20">
        <v>12.5</v>
      </c>
      <c r="CI553" s="20">
        <v>-47.81</v>
      </c>
      <c r="CJ553" s="20">
        <v>-54.02</v>
      </c>
      <c r="CO553" s="20">
        <v>-27.94</v>
      </c>
      <c r="CP553" s="20">
        <v>-48.23</v>
      </c>
    </row>
    <row r="554">
      <c r="A554" s="20">
        <v>-13.87</v>
      </c>
      <c r="B554" s="20">
        <v>-6.12</v>
      </c>
      <c r="D554" s="20"/>
      <c r="E554" s="20"/>
      <c r="F554" s="20">
        <v>-36.56</v>
      </c>
      <c r="G554" s="20">
        <v>3.25</v>
      </c>
      <c r="I554" s="20"/>
      <c r="J554" s="20"/>
      <c r="K554" s="20">
        <v>276.0</v>
      </c>
      <c r="L554" s="20" t="s">
        <v>17</v>
      </c>
      <c r="M554" s="20">
        <v>-20.07</v>
      </c>
      <c r="N554" s="20">
        <v>26.86</v>
      </c>
      <c r="P554" s="20">
        <v>-1.24</v>
      </c>
      <c r="Q554" s="20">
        <v>-8.99</v>
      </c>
      <c r="AG554" s="20">
        <v>552.0</v>
      </c>
      <c r="AH554" s="20" t="s">
        <v>14</v>
      </c>
      <c r="AI554" s="20">
        <v>0.02</v>
      </c>
      <c r="AJ554" s="20">
        <v>5.1</v>
      </c>
      <c r="AM554" s="20">
        <v>278.0</v>
      </c>
      <c r="AN554" s="20" t="s">
        <v>17</v>
      </c>
      <c r="AO554" s="20">
        <v>-10.81</v>
      </c>
      <c r="AP554" s="20">
        <v>-12.93</v>
      </c>
      <c r="AS554" s="20">
        <v>276.0</v>
      </c>
      <c r="AT554" s="20" t="s">
        <v>17</v>
      </c>
      <c r="AU554" s="20">
        <v>-51.88</v>
      </c>
      <c r="AV554" s="20">
        <v>-33.5</v>
      </c>
      <c r="BE554" s="20">
        <v>552.0</v>
      </c>
      <c r="BF554" s="20" t="s">
        <v>14</v>
      </c>
      <c r="BG554" s="20">
        <v>-6.28</v>
      </c>
      <c r="BH554" s="20">
        <v>32.02</v>
      </c>
      <c r="BM554" s="20">
        <v>74.23</v>
      </c>
      <c r="BN554" s="20">
        <v>179.49</v>
      </c>
      <c r="BW554" s="20">
        <v>-37.08</v>
      </c>
      <c r="BX554" s="20">
        <v>-17.86</v>
      </c>
      <c r="BZ554" s="20">
        <v>-58.97</v>
      </c>
      <c r="CA554" s="20">
        <v>31.84</v>
      </c>
      <c r="CI554" s="20">
        <v>-41.15</v>
      </c>
      <c r="CJ554" s="20">
        <v>-53.21</v>
      </c>
      <c r="CO554" s="20">
        <v>-6.23</v>
      </c>
      <c r="CP554" s="20">
        <v>-46.93</v>
      </c>
    </row>
    <row r="555">
      <c r="A555" s="20">
        <v>100.13</v>
      </c>
      <c r="B555" s="20">
        <v>78.81</v>
      </c>
      <c r="D555" s="20"/>
      <c r="E555" s="20"/>
      <c r="F555" s="20">
        <v>42.06</v>
      </c>
      <c r="G555" s="20">
        <v>-15.93</v>
      </c>
      <c r="I555" s="20"/>
      <c r="J555" s="20"/>
      <c r="K555" s="20">
        <v>277.0</v>
      </c>
      <c r="L555" s="20" t="s">
        <v>14</v>
      </c>
      <c r="M555" s="20">
        <v>-8.67</v>
      </c>
      <c r="N555" s="20">
        <v>9.85</v>
      </c>
      <c r="P555" s="20">
        <v>32.56</v>
      </c>
      <c r="Q555" s="20">
        <v>18.06</v>
      </c>
      <c r="AG555" s="20">
        <v>553.0</v>
      </c>
      <c r="AH555" s="20" t="s">
        <v>14</v>
      </c>
      <c r="AI555" s="20">
        <v>-3.73</v>
      </c>
      <c r="AJ555" s="20">
        <v>-18.19</v>
      </c>
      <c r="AM555" s="20">
        <v>279.0</v>
      </c>
      <c r="AN555" s="20" t="s">
        <v>14</v>
      </c>
      <c r="AO555" s="20">
        <v>9.72</v>
      </c>
      <c r="AP555" s="20">
        <v>-26.1</v>
      </c>
      <c r="AS555" s="20">
        <v>277.0</v>
      </c>
      <c r="AT555" s="20" t="s">
        <v>14</v>
      </c>
      <c r="AU555" s="20">
        <v>3.73</v>
      </c>
      <c r="AV555" s="20">
        <v>-48.15</v>
      </c>
      <c r="BE555" s="20">
        <v>553.0</v>
      </c>
      <c r="BF555" s="20" t="s">
        <v>14</v>
      </c>
      <c r="BG555" s="20">
        <v>-20.69</v>
      </c>
      <c r="BH555" s="20">
        <v>16.36</v>
      </c>
      <c r="BM555" s="20">
        <v>23.68</v>
      </c>
      <c r="BN555" s="20">
        <v>51.27</v>
      </c>
      <c r="BW555" s="20">
        <v>-36.27</v>
      </c>
      <c r="BX555" s="20">
        <v>-47.99</v>
      </c>
      <c r="BZ555" s="20">
        <v>-34.3</v>
      </c>
      <c r="CA555" s="20">
        <v>34.12</v>
      </c>
      <c r="CI555" s="20">
        <v>-19.26</v>
      </c>
      <c r="CJ555" s="20">
        <v>-47.43</v>
      </c>
      <c r="CO555" s="20">
        <v>-10.63</v>
      </c>
      <c r="CP555" s="20">
        <v>-53.2</v>
      </c>
    </row>
    <row r="556">
      <c r="A556" s="20">
        <v>-47.83</v>
      </c>
      <c r="B556" s="20">
        <v>-24.85</v>
      </c>
      <c r="D556" s="20"/>
      <c r="E556" s="20"/>
      <c r="F556" s="20">
        <v>-9.46</v>
      </c>
      <c r="G556" s="20">
        <v>-22.8</v>
      </c>
      <c r="I556" s="20"/>
      <c r="J556" s="20"/>
      <c r="K556" s="20">
        <v>277.0</v>
      </c>
      <c r="L556" s="20" t="s">
        <v>17</v>
      </c>
      <c r="M556" s="20">
        <v>-39.86</v>
      </c>
      <c r="N556" s="20">
        <v>7.57</v>
      </c>
      <c r="P556" s="20">
        <v>-38.54</v>
      </c>
      <c r="Q556" s="20">
        <v>-12.36</v>
      </c>
      <c r="AG556" s="20">
        <v>554.0</v>
      </c>
      <c r="AH556" s="20" t="s">
        <v>14</v>
      </c>
      <c r="AI556" s="20">
        <v>21.08</v>
      </c>
      <c r="AJ556" s="20">
        <v>8.17</v>
      </c>
      <c r="AM556" s="20">
        <v>279.0</v>
      </c>
      <c r="AN556" s="20" t="s">
        <v>17</v>
      </c>
      <c r="AO556" s="20">
        <v>-24.74</v>
      </c>
      <c r="AP556" s="20">
        <v>-9.81</v>
      </c>
      <c r="AS556" s="20">
        <v>277.0</v>
      </c>
      <c r="AT556" s="20" t="s">
        <v>17</v>
      </c>
      <c r="AU556" s="20">
        <v>10.75</v>
      </c>
      <c r="AV556" s="20">
        <v>-49.81</v>
      </c>
      <c r="BE556" s="20">
        <v>554.0</v>
      </c>
      <c r="BF556" s="20" t="s">
        <v>14</v>
      </c>
      <c r="BG556" s="20">
        <v>-24.51</v>
      </c>
      <c r="BH556" s="20">
        <v>-2.33</v>
      </c>
      <c r="BM556" s="20">
        <v>15.72</v>
      </c>
      <c r="BN556" s="20">
        <v>102.66</v>
      </c>
      <c r="BW556" s="20">
        <v>-50.62</v>
      </c>
      <c r="BX556" s="20">
        <v>-10.85</v>
      </c>
      <c r="BZ556" s="20">
        <v>-21.38</v>
      </c>
      <c r="CA556" s="20">
        <v>44.85</v>
      </c>
      <c r="CI556" s="20">
        <v>-26.97</v>
      </c>
      <c r="CJ556" s="20">
        <v>-42.29</v>
      </c>
      <c r="CO556" s="20">
        <v>46.74</v>
      </c>
      <c r="CP556" s="20">
        <v>-40.04</v>
      </c>
    </row>
    <row r="557">
      <c r="A557" s="20">
        <v>-1.25</v>
      </c>
      <c r="B557" s="20">
        <v>58.57</v>
      </c>
      <c r="D557" s="20"/>
      <c r="E557" s="20"/>
      <c r="F557" s="20">
        <v>-29.47</v>
      </c>
      <c r="G557" s="20">
        <v>-11.12</v>
      </c>
      <c r="I557" s="20"/>
      <c r="J557" s="20"/>
      <c r="K557" s="20">
        <v>278.0</v>
      </c>
      <c r="L557" s="20" t="s">
        <v>14</v>
      </c>
      <c r="M557" s="20">
        <v>-14.54</v>
      </c>
      <c r="N557" s="20">
        <v>-1.26</v>
      </c>
      <c r="P557" s="20">
        <v>-11.66</v>
      </c>
      <c r="Q557" s="20">
        <v>36.52</v>
      </c>
      <c r="AG557" s="20">
        <v>555.0</v>
      </c>
      <c r="AH557" s="20" t="s">
        <v>14</v>
      </c>
      <c r="AI557" s="20">
        <v>-3.83</v>
      </c>
      <c r="AJ557" s="20">
        <v>-8.19</v>
      </c>
      <c r="AM557" s="20">
        <v>280.0</v>
      </c>
      <c r="AN557" s="20" t="s">
        <v>14</v>
      </c>
      <c r="AO557" s="20">
        <v>9.27</v>
      </c>
      <c r="AP557" s="20">
        <v>-9.69</v>
      </c>
      <c r="AS557" s="20">
        <v>278.0</v>
      </c>
      <c r="AT557" s="20" t="s">
        <v>14</v>
      </c>
      <c r="AU557" s="20">
        <v>12.86</v>
      </c>
      <c r="AV557" s="20">
        <v>-31.94</v>
      </c>
      <c r="BE557" s="20">
        <v>555.0</v>
      </c>
      <c r="BF557" s="20" t="s">
        <v>14</v>
      </c>
      <c r="BG557" s="20">
        <v>11.19</v>
      </c>
      <c r="BH557" s="20">
        <v>-10.75</v>
      </c>
      <c r="BM557" s="20">
        <v>52.47</v>
      </c>
      <c r="BN557" s="20">
        <v>87.15</v>
      </c>
      <c r="BW557" s="20">
        <v>-23.08</v>
      </c>
      <c r="BX557" s="20">
        <v>-33.03</v>
      </c>
      <c r="BZ557" s="20">
        <v>-39.03</v>
      </c>
      <c r="CA557" s="20">
        <v>111.45</v>
      </c>
      <c r="CI557" s="20">
        <v>-37.63</v>
      </c>
      <c r="CJ557" s="20">
        <v>-43.05</v>
      </c>
      <c r="CO557" s="20">
        <v>-27.96</v>
      </c>
      <c r="CP557" s="20">
        <v>-46.98</v>
      </c>
    </row>
    <row r="558">
      <c r="A558" s="20">
        <v>0.05</v>
      </c>
      <c r="B558" s="20">
        <v>157.16</v>
      </c>
      <c r="D558" s="20"/>
      <c r="E558" s="20"/>
      <c r="F558" s="20">
        <v>-27.01</v>
      </c>
      <c r="G558" s="20">
        <v>-15.27</v>
      </c>
      <c r="I558" s="20"/>
      <c r="J558" s="20"/>
      <c r="K558" s="20">
        <v>278.0</v>
      </c>
      <c r="L558" s="20" t="s">
        <v>17</v>
      </c>
      <c r="M558" s="20">
        <v>-10.68</v>
      </c>
      <c r="N558" s="20">
        <v>26.94</v>
      </c>
      <c r="P558" s="20">
        <v>-43.61</v>
      </c>
      <c r="Q558" s="20">
        <v>-10.43</v>
      </c>
      <c r="AG558" s="20">
        <v>556.0</v>
      </c>
      <c r="AH558" s="20" t="s">
        <v>14</v>
      </c>
      <c r="AI558" s="20">
        <v>25.72</v>
      </c>
      <c r="AJ558" s="20">
        <v>15.34</v>
      </c>
      <c r="AM558" s="20">
        <v>280.0</v>
      </c>
      <c r="AN558" s="20" t="s">
        <v>17</v>
      </c>
      <c r="AO558" s="20">
        <v>-6.11</v>
      </c>
      <c r="AP558" s="20">
        <v>-23.02</v>
      </c>
      <c r="AS558" s="20">
        <v>278.0</v>
      </c>
      <c r="AT558" s="20" t="s">
        <v>17</v>
      </c>
      <c r="AU558" s="20">
        <v>-18.92</v>
      </c>
      <c r="AV558" s="20">
        <v>-43.68</v>
      </c>
      <c r="BE558" s="20">
        <v>556.0</v>
      </c>
      <c r="BF558" s="20" t="s">
        <v>14</v>
      </c>
      <c r="BG558" s="20">
        <v>-21.15</v>
      </c>
      <c r="BH558" s="20">
        <v>-0.33</v>
      </c>
      <c r="BM558" s="20">
        <v>50.49</v>
      </c>
      <c r="BN558" s="20">
        <v>132.74</v>
      </c>
      <c r="BW558" s="20">
        <v>-14.82</v>
      </c>
      <c r="BX558" s="20">
        <v>22.69</v>
      </c>
      <c r="BZ558" s="20">
        <v>-58.81</v>
      </c>
      <c r="CA558" s="20">
        <v>36.12</v>
      </c>
      <c r="CI558" s="20">
        <v>-33.14</v>
      </c>
      <c r="CJ558" s="20">
        <v>-43.91</v>
      </c>
      <c r="CO558" s="20">
        <v>-18.88</v>
      </c>
      <c r="CP558" s="20">
        <v>-54.24</v>
      </c>
    </row>
    <row r="559">
      <c r="A559" s="20">
        <v>-47.7</v>
      </c>
      <c r="B559" s="20">
        <v>21.64</v>
      </c>
      <c r="D559" s="20"/>
      <c r="E559" s="20"/>
      <c r="F559" s="20">
        <v>-15.73</v>
      </c>
      <c r="G559" s="20">
        <v>-39.14</v>
      </c>
      <c r="I559" s="20"/>
      <c r="J559" s="20"/>
      <c r="K559" s="20">
        <v>279.0</v>
      </c>
      <c r="L559" s="20" t="s">
        <v>14</v>
      </c>
      <c r="M559" s="20">
        <v>5.85</v>
      </c>
      <c r="N559" s="20">
        <v>63.55</v>
      </c>
      <c r="P559" s="20">
        <v>37.05</v>
      </c>
      <c r="Q559" s="20">
        <v>37.42</v>
      </c>
      <c r="AG559" s="20">
        <v>557.0</v>
      </c>
      <c r="AH559" s="20" t="s">
        <v>14</v>
      </c>
      <c r="AI559" s="20">
        <v>-9.68</v>
      </c>
      <c r="AJ559" s="20">
        <v>-9.24</v>
      </c>
      <c r="AM559" s="20">
        <v>281.0</v>
      </c>
      <c r="AN559" s="20" t="s">
        <v>14</v>
      </c>
      <c r="AO559" s="20">
        <v>-21.19</v>
      </c>
      <c r="AP559" s="20">
        <v>-14.48</v>
      </c>
      <c r="AS559" s="20">
        <v>279.0</v>
      </c>
      <c r="AT559" s="20" t="s">
        <v>14</v>
      </c>
      <c r="AU559" s="20">
        <v>0.33</v>
      </c>
      <c r="AV559" s="20">
        <v>-47.3</v>
      </c>
      <c r="BE559" s="20">
        <v>557.0</v>
      </c>
      <c r="BF559" s="20" t="s">
        <v>14</v>
      </c>
      <c r="BG559" s="20">
        <v>-17.94</v>
      </c>
      <c r="BH559" s="20">
        <v>-8.05</v>
      </c>
      <c r="BM559" s="20">
        <v>33.47</v>
      </c>
      <c r="BN559" s="20">
        <v>37.94</v>
      </c>
      <c r="BW559" s="20">
        <v>-6.88</v>
      </c>
      <c r="BX559" s="20">
        <v>28.44</v>
      </c>
      <c r="BZ559" s="20">
        <v>-45.42</v>
      </c>
      <c r="CA559" s="20">
        <v>-7.87</v>
      </c>
      <c r="CI559" s="20">
        <v>-53.77</v>
      </c>
      <c r="CJ559" s="20">
        <v>-56.27</v>
      </c>
      <c r="CO559" s="20">
        <v>-10.53</v>
      </c>
      <c r="CP559" s="20">
        <v>-64.59</v>
      </c>
    </row>
    <row r="560">
      <c r="A560" s="20">
        <v>42.64</v>
      </c>
      <c r="B560" s="20">
        <v>30.2</v>
      </c>
      <c r="D560" s="20"/>
      <c r="E560" s="20"/>
      <c r="F560" s="20">
        <v>-39.75</v>
      </c>
      <c r="G560" s="20">
        <v>12.03</v>
      </c>
      <c r="I560" s="20"/>
      <c r="J560" s="20"/>
      <c r="K560" s="20">
        <v>279.0</v>
      </c>
      <c r="L560" s="20" t="s">
        <v>17</v>
      </c>
      <c r="M560" s="20">
        <v>8.44</v>
      </c>
      <c r="N560" s="20">
        <v>10.92</v>
      </c>
      <c r="P560" s="20">
        <v>-37.1</v>
      </c>
      <c r="Q560" s="20">
        <v>12.32</v>
      </c>
      <c r="AG560" s="20">
        <v>558.0</v>
      </c>
      <c r="AH560" s="20" t="s">
        <v>14</v>
      </c>
      <c r="AI560" s="20">
        <v>-4.15</v>
      </c>
      <c r="AJ560" s="20">
        <v>0.23</v>
      </c>
      <c r="AM560" s="20">
        <v>281.0</v>
      </c>
      <c r="AN560" s="20" t="s">
        <v>17</v>
      </c>
      <c r="AO560" s="20">
        <v>-4.31</v>
      </c>
      <c r="AP560" s="20">
        <v>-1.31</v>
      </c>
      <c r="AS560" s="20">
        <v>279.0</v>
      </c>
      <c r="AT560" s="20" t="s">
        <v>17</v>
      </c>
      <c r="AU560" s="20">
        <v>-50.72</v>
      </c>
      <c r="AV560" s="20">
        <v>-63.52</v>
      </c>
      <c r="BE560" s="20">
        <v>558.0</v>
      </c>
      <c r="BF560" s="20" t="s">
        <v>14</v>
      </c>
      <c r="BG560" s="20">
        <v>0.71</v>
      </c>
      <c r="BH560" s="20">
        <v>8.75</v>
      </c>
      <c r="BM560" s="20">
        <v>69.25</v>
      </c>
      <c r="BN560" s="20">
        <v>123.88</v>
      </c>
      <c r="BW560" s="20">
        <v>-17.68</v>
      </c>
      <c r="BX560" s="20">
        <v>-37.62</v>
      </c>
      <c r="BZ560" s="20">
        <v>-70.92</v>
      </c>
      <c r="CA560" s="20">
        <v>-2.99</v>
      </c>
      <c r="CI560" s="20">
        <v>-35.59</v>
      </c>
      <c r="CJ560" s="20">
        <v>-39.35</v>
      </c>
      <c r="CO560" s="20">
        <v>-10.14</v>
      </c>
      <c r="CP560" s="20">
        <v>-55.29</v>
      </c>
    </row>
    <row r="561">
      <c r="A561" s="20">
        <v>16.94</v>
      </c>
      <c r="B561" s="20">
        <v>23.08</v>
      </c>
      <c r="D561" s="20"/>
      <c r="E561" s="20"/>
      <c r="F561" s="20">
        <v>2.01</v>
      </c>
      <c r="G561" s="20">
        <v>1.82</v>
      </c>
      <c r="I561" s="20"/>
      <c r="J561" s="20"/>
      <c r="K561" s="20">
        <v>280.0</v>
      </c>
      <c r="L561" s="20" t="s">
        <v>14</v>
      </c>
      <c r="M561" s="20">
        <v>-1.43</v>
      </c>
      <c r="N561" s="20">
        <v>84.7</v>
      </c>
      <c r="P561" s="20">
        <v>-1.42</v>
      </c>
      <c r="Q561" s="20">
        <v>-1.14</v>
      </c>
      <c r="AG561" s="20">
        <v>559.0</v>
      </c>
      <c r="AH561" s="20" t="s">
        <v>14</v>
      </c>
      <c r="AI561" s="20">
        <v>-7.93</v>
      </c>
      <c r="AJ561" s="20">
        <v>-1.16</v>
      </c>
      <c r="AM561" s="20">
        <v>282.0</v>
      </c>
      <c r="AN561" s="20" t="s">
        <v>14</v>
      </c>
      <c r="AO561" s="20">
        <v>-23.17</v>
      </c>
      <c r="AP561" s="20">
        <v>-18.33</v>
      </c>
      <c r="AS561" s="20">
        <v>280.0</v>
      </c>
      <c r="AT561" s="20" t="s">
        <v>14</v>
      </c>
      <c r="AU561" s="20">
        <v>7.06</v>
      </c>
      <c r="AV561" s="20">
        <v>-47.29</v>
      </c>
      <c r="BE561" s="20">
        <v>559.0</v>
      </c>
      <c r="BF561" s="20" t="s">
        <v>14</v>
      </c>
      <c r="BG561" s="20">
        <v>-12.32</v>
      </c>
      <c r="BH561" s="20">
        <v>23.64</v>
      </c>
      <c r="BM561" s="20">
        <v>76.5</v>
      </c>
      <c r="BN561" s="20">
        <v>104.45</v>
      </c>
      <c r="BW561" s="20">
        <v>-49.45</v>
      </c>
      <c r="BX561" s="20">
        <v>-60.27</v>
      </c>
      <c r="BZ561" s="20">
        <v>-32.98</v>
      </c>
      <c r="CA561" s="20">
        <v>92.95</v>
      </c>
      <c r="CI561" s="20">
        <v>-53.42</v>
      </c>
      <c r="CJ561" s="20">
        <v>-65.42</v>
      </c>
      <c r="CO561" s="20">
        <v>-19.02</v>
      </c>
      <c r="CP561" s="20">
        <v>-30.06</v>
      </c>
    </row>
    <row r="562">
      <c r="A562" s="20">
        <v>-46.05</v>
      </c>
      <c r="B562" s="20">
        <v>-26.26</v>
      </c>
      <c r="D562" s="20"/>
      <c r="E562" s="20"/>
      <c r="F562" s="20">
        <v>8.48</v>
      </c>
      <c r="G562" s="20">
        <v>38.31</v>
      </c>
      <c r="I562" s="20"/>
      <c r="J562" s="20"/>
      <c r="K562" s="20">
        <v>280.0</v>
      </c>
      <c r="L562" s="20" t="s">
        <v>17</v>
      </c>
      <c r="M562" s="20">
        <v>9.53</v>
      </c>
      <c r="N562" s="20">
        <v>102.42</v>
      </c>
      <c r="P562" s="20">
        <v>-5.04</v>
      </c>
      <c r="Q562" s="20">
        <v>29.68</v>
      </c>
      <c r="AG562" s="20">
        <v>560.0</v>
      </c>
      <c r="AH562" s="20" t="s">
        <v>14</v>
      </c>
      <c r="AI562" s="20">
        <v>3.8</v>
      </c>
      <c r="AJ562" s="20">
        <v>18.51</v>
      </c>
      <c r="AM562" s="20">
        <v>282.0</v>
      </c>
      <c r="AN562" s="20" t="s">
        <v>17</v>
      </c>
      <c r="AO562" s="20">
        <v>-10.66</v>
      </c>
      <c r="AP562" s="20">
        <v>4.69</v>
      </c>
      <c r="AS562" s="20">
        <v>280.0</v>
      </c>
      <c r="AT562" s="20" t="s">
        <v>17</v>
      </c>
      <c r="AU562" s="20">
        <v>-2.57</v>
      </c>
      <c r="AV562" s="20">
        <v>-5.92</v>
      </c>
      <c r="BE562" s="20">
        <v>560.0</v>
      </c>
      <c r="BF562" s="20" t="s">
        <v>14</v>
      </c>
      <c r="BG562" s="20">
        <v>-24.2</v>
      </c>
      <c r="BH562" s="20">
        <v>13.84</v>
      </c>
      <c r="BM562" s="20">
        <v>43.15</v>
      </c>
      <c r="BN562" s="20">
        <v>130.93</v>
      </c>
      <c r="BW562" s="20">
        <v>-35.8</v>
      </c>
      <c r="BX562" s="20">
        <v>-15.29</v>
      </c>
      <c r="BZ562" s="20">
        <v>-55.05</v>
      </c>
      <c r="CA562" s="20">
        <v>107.65</v>
      </c>
      <c r="CI562" s="20">
        <v>-60.96</v>
      </c>
      <c r="CJ562" s="20">
        <v>-66.59</v>
      </c>
      <c r="CO562" s="20">
        <v>-12.62</v>
      </c>
      <c r="CP562" s="20">
        <v>-43.85</v>
      </c>
    </row>
    <row r="563">
      <c r="A563" s="20">
        <v>-49.36</v>
      </c>
      <c r="B563" s="20">
        <v>-13.65</v>
      </c>
      <c r="D563" s="20"/>
      <c r="E563" s="20"/>
      <c r="F563" s="20">
        <v>-8.42</v>
      </c>
      <c r="G563" s="20">
        <v>23.38</v>
      </c>
      <c r="I563" s="20"/>
      <c r="J563" s="20"/>
      <c r="K563" s="20">
        <v>281.0</v>
      </c>
      <c r="L563" s="20" t="s">
        <v>14</v>
      </c>
      <c r="M563" s="20">
        <v>-26.21</v>
      </c>
      <c r="N563" s="20">
        <v>-5.62</v>
      </c>
      <c r="P563" s="20">
        <v>0.7</v>
      </c>
      <c r="Q563" s="20">
        <v>-16.43</v>
      </c>
      <c r="AG563" s="20">
        <v>561.0</v>
      </c>
      <c r="AH563" s="20" t="s">
        <v>14</v>
      </c>
      <c r="AI563" s="20">
        <v>6.84</v>
      </c>
      <c r="AJ563" s="20">
        <v>20.89</v>
      </c>
      <c r="AM563" s="20">
        <v>283.0</v>
      </c>
      <c r="AN563" s="20" t="s">
        <v>14</v>
      </c>
      <c r="AO563" s="20">
        <v>-18.7</v>
      </c>
      <c r="AP563" s="20">
        <v>-26.9</v>
      </c>
      <c r="AS563" s="20">
        <v>281.0</v>
      </c>
      <c r="AT563" s="20" t="s">
        <v>14</v>
      </c>
      <c r="AU563" s="20">
        <v>3.32</v>
      </c>
      <c r="AV563" s="20">
        <v>-41.18</v>
      </c>
      <c r="BE563" s="20">
        <v>561.0</v>
      </c>
      <c r="BF563" s="20" t="s">
        <v>14</v>
      </c>
      <c r="BG563" s="20">
        <v>-7.83</v>
      </c>
      <c r="BH563" s="20">
        <v>47.27</v>
      </c>
      <c r="BM563" s="20">
        <v>22.91</v>
      </c>
      <c r="BN563" s="20">
        <v>100.07</v>
      </c>
      <c r="BW563" s="20">
        <v>-50.99</v>
      </c>
      <c r="BX563" s="20">
        <v>8.04</v>
      </c>
      <c r="BZ563" s="20">
        <v>-70.95</v>
      </c>
      <c r="CA563" s="20">
        <v>42.35</v>
      </c>
      <c r="CI563" s="20">
        <v>-57.68</v>
      </c>
      <c r="CJ563" s="20">
        <v>-63.11</v>
      </c>
      <c r="CO563" s="20">
        <v>-37.24</v>
      </c>
      <c r="CP563" s="20">
        <v>-63.66</v>
      </c>
    </row>
    <row r="564">
      <c r="A564" s="20">
        <v>21.01</v>
      </c>
      <c r="B564" s="20">
        <v>100.41</v>
      </c>
      <c r="D564" s="20"/>
      <c r="E564" s="20"/>
      <c r="F564" s="20">
        <v>-47.16</v>
      </c>
      <c r="G564" s="20">
        <v>47.94</v>
      </c>
      <c r="I564" s="20"/>
      <c r="J564" s="20"/>
      <c r="K564" s="20">
        <v>281.0</v>
      </c>
      <c r="L564" s="20" t="s">
        <v>17</v>
      </c>
      <c r="M564" s="20">
        <v>-5.39</v>
      </c>
      <c r="N564" s="20">
        <v>7.67</v>
      </c>
      <c r="P564" s="20">
        <v>-11.17</v>
      </c>
      <c r="Q564" s="20">
        <v>-4.72</v>
      </c>
      <c r="AG564" s="20">
        <v>562.0</v>
      </c>
      <c r="AH564" s="20" t="s">
        <v>14</v>
      </c>
      <c r="AI564" s="20">
        <v>-7.11</v>
      </c>
      <c r="AJ564" s="20">
        <v>-5.98</v>
      </c>
      <c r="AM564" s="20">
        <v>283.0</v>
      </c>
      <c r="AN564" s="20" t="s">
        <v>17</v>
      </c>
      <c r="AO564" s="20">
        <v>6.38</v>
      </c>
      <c r="AP564" s="20">
        <v>-15.79</v>
      </c>
      <c r="AS564" s="20">
        <v>281.0</v>
      </c>
      <c r="AT564" s="20" t="s">
        <v>17</v>
      </c>
      <c r="AU564" s="20">
        <v>-1.64</v>
      </c>
      <c r="AV564" s="20">
        <v>-12.44</v>
      </c>
      <c r="BE564" s="20">
        <v>562.0</v>
      </c>
      <c r="BF564" s="20" t="s">
        <v>14</v>
      </c>
      <c r="BG564" s="20">
        <v>18.11</v>
      </c>
      <c r="BH564" s="20">
        <v>3.95</v>
      </c>
      <c r="BM564" s="20">
        <v>45.01</v>
      </c>
      <c r="BN564" s="20">
        <v>135.92</v>
      </c>
      <c r="BW564" s="20">
        <v>-49.1</v>
      </c>
      <c r="BX564" s="20">
        <v>-7.84</v>
      </c>
      <c r="BZ564" s="20">
        <v>-46.5</v>
      </c>
      <c r="CA564" s="20">
        <v>86.3</v>
      </c>
      <c r="CI564" s="20">
        <v>-1.3</v>
      </c>
      <c r="CJ564" s="20">
        <v>-41.36</v>
      </c>
      <c r="CO564" s="20">
        <v>-15.57</v>
      </c>
      <c r="CP564" s="20">
        <v>-64.16</v>
      </c>
    </row>
    <row r="565">
      <c r="A565" s="20">
        <v>-18.03</v>
      </c>
      <c r="B565" s="20">
        <v>31.81</v>
      </c>
      <c r="D565" s="20"/>
      <c r="E565" s="20"/>
      <c r="F565" s="20">
        <v>-41.06</v>
      </c>
      <c r="G565" s="20">
        <v>36.72</v>
      </c>
      <c r="I565" s="20"/>
      <c r="J565" s="20"/>
      <c r="K565" s="20">
        <v>282.0</v>
      </c>
      <c r="L565" s="20" t="s">
        <v>14</v>
      </c>
      <c r="M565" s="20">
        <v>-22.04</v>
      </c>
      <c r="N565" s="20">
        <v>-3.49</v>
      </c>
      <c r="P565" s="20">
        <v>-31.91</v>
      </c>
      <c r="Q565" s="20">
        <v>5.28</v>
      </c>
      <c r="AG565" s="20">
        <v>563.0</v>
      </c>
      <c r="AH565" s="20" t="s">
        <v>14</v>
      </c>
      <c r="AI565" s="20">
        <v>-22.21</v>
      </c>
      <c r="AJ565" s="20">
        <v>-8.88</v>
      </c>
      <c r="AM565" s="20">
        <v>284.0</v>
      </c>
      <c r="AN565" s="20" t="s">
        <v>14</v>
      </c>
      <c r="AO565" s="20">
        <v>-22.11</v>
      </c>
      <c r="AP565" s="20">
        <v>-17.47</v>
      </c>
      <c r="AS565" s="20">
        <v>282.0</v>
      </c>
      <c r="AT565" s="20" t="s">
        <v>14</v>
      </c>
      <c r="AU565" s="20">
        <v>-7.83</v>
      </c>
      <c r="AV565" s="20">
        <v>30.47</v>
      </c>
      <c r="BE565" s="20">
        <v>563.0</v>
      </c>
      <c r="BF565" s="20" t="s">
        <v>14</v>
      </c>
      <c r="BG565" s="20">
        <v>-7.45</v>
      </c>
      <c r="BH565" s="20">
        <v>2.49</v>
      </c>
      <c r="BM565" s="20">
        <v>31.11</v>
      </c>
      <c r="BN565" s="20">
        <v>35.72</v>
      </c>
      <c r="BW565" s="20">
        <v>-8.8</v>
      </c>
      <c r="BX565" s="20">
        <v>-33.39</v>
      </c>
      <c r="BZ565" s="20">
        <v>72.85</v>
      </c>
      <c r="CA565" s="20">
        <v>37.31</v>
      </c>
      <c r="CI565" s="20">
        <v>-56.36</v>
      </c>
      <c r="CJ565" s="20">
        <v>-55.35</v>
      </c>
      <c r="CO565" s="20">
        <v>-46.13</v>
      </c>
      <c r="CP565" s="20">
        <v>-53.17</v>
      </c>
    </row>
    <row r="566">
      <c r="A566" s="20">
        <v>56.81</v>
      </c>
      <c r="B566" s="20">
        <v>84.7</v>
      </c>
      <c r="D566" s="20"/>
      <c r="E566" s="20"/>
      <c r="F566" s="20">
        <v>-32.5</v>
      </c>
      <c r="G566" s="20">
        <v>15.13</v>
      </c>
      <c r="I566" s="20"/>
      <c r="J566" s="20"/>
      <c r="K566" s="20">
        <v>282.0</v>
      </c>
      <c r="L566" s="20" t="s">
        <v>17</v>
      </c>
      <c r="M566" s="20">
        <v>71.42</v>
      </c>
      <c r="N566" s="20">
        <v>69.09</v>
      </c>
      <c r="P566" s="20">
        <v>1.93</v>
      </c>
      <c r="Q566" s="20">
        <v>39.39</v>
      </c>
      <c r="AG566" s="20">
        <v>564.0</v>
      </c>
      <c r="AH566" s="20" t="s">
        <v>14</v>
      </c>
      <c r="AI566" s="20">
        <v>-5.01</v>
      </c>
      <c r="AJ566" s="20">
        <v>-14.1</v>
      </c>
      <c r="AM566" s="20">
        <v>284.0</v>
      </c>
      <c r="AN566" s="20" t="s">
        <v>17</v>
      </c>
      <c r="AO566" s="20">
        <v>-40.45</v>
      </c>
      <c r="AP566" s="20">
        <v>21.21</v>
      </c>
      <c r="AS566" s="20">
        <v>282.0</v>
      </c>
      <c r="AT566" s="20" t="s">
        <v>17</v>
      </c>
      <c r="AU566" s="20">
        <v>-2.14</v>
      </c>
      <c r="AV566" s="20">
        <v>5.8</v>
      </c>
      <c r="BE566" s="20">
        <v>564.0</v>
      </c>
      <c r="BF566" s="20" t="s">
        <v>14</v>
      </c>
      <c r="BG566" s="20">
        <v>-11.54</v>
      </c>
      <c r="BH566" s="20">
        <v>30.9</v>
      </c>
      <c r="BM566" s="20">
        <v>34.72</v>
      </c>
      <c r="BN566" s="20">
        <v>161.71</v>
      </c>
      <c r="BW566" s="20">
        <v>-35.9</v>
      </c>
      <c r="BX566" s="20">
        <v>26.5</v>
      </c>
      <c r="BZ566" s="20">
        <v>31.62</v>
      </c>
      <c r="CA566" s="20">
        <v>53.3</v>
      </c>
      <c r="CI566" s="20">
        <v>-43.01</v>
      </c>
      <c r="CJ566" s="20">
        <v>-52.56</v>
      </c>
      <c r="CO566" s="20">
        <v>-23.45</v>
      </c>
      <c r="CP566" s="20">
        <v>-64.54</v>
      </c>
    </row>
    <row r="567">
      <c r="A567" s="20">
        <v>37.68</v>
      </c>
      <c r="B567" s="20">
        <v>-33.0</v>
      </c>
      <c r="D567" s="20"/>
      <c r="E567" s="20"/>
      <c r="F567" s="20">
        <v>11.39</v>
      </c>
      <c r="G567" s="20">
        <v>-32.67</v>
      </c>
      <c r="I567" s="20"/>
      <c r="J567" s="20"/>
      <c r="K567" s="20">
        <v>283.0</v>
      </c>
      <c r="L567" s="20" t="s">
        <v>14</v>
      </c>
      <c r="M567" s="20">
        <v>-11.22</v>
      </c>
      <c r="N567" s="20">
        <v>11.61</v>
      </c>
      <c r="P567" s="20">
        <v>28.57</v>
      </c>
      <c r="Q567" s="20">
        <v>15.65</v>
      </c>
      <c r="AG567" s="20">
        <v>565.0</v>
      </c>
      <c r="AH567" s="20" t="s">
        <v>14</v>
      </c>
      <c r="AI567" s="20">
        <v>9.58</v>
      </c>
      <c r="AJ567" s="20">
        <v>17.87</v>
      </c>
      <c r="AM567" s="20">
        <v>285.0</v>
      </c>
      <c r="AN567" s="20" t="s">
        <v>14</v>
      </c>
      <c r="AO567" s="20">
        <v>-1.07</v>
      </c>
      <c r="AP567" s="20">
        <v>29.1</v>
      </c>
      <c r="AS567" s="20">
        <v>283.0</v>
      </c>
      <c r="AT567" s="20" t="s">
        <v>14</v>
      </c>
      <c r="AU567" s="20">
        <v>-25.46</v>
      </c>
      <c r="AV567" s="20">
        <v>-52.72</v>
      </c>
      <c r="BE567" s="20">
        <v>565.0</v>
      </c>
      <c r="BF567" s="20" t="s">
        <v>14</v>
      </c>
      <c r="BG567" s="20">
        <v>-2.52</v>
      </c>
      <c r="BH567" s="20">
        <v>32.93</v>
      </c>
      <c r="BM567" s="20">
        <v>3.42</v>
      </c>
      <c r="BN567" s="20">
        <v>66.69</v>
      </c>
      <c r="BW567" s="20">
        <v>-35.2</v>
      </c>
      <c r="BX567" s="20">
        <v>18.87</v>
      </c>
      <c r="BZ567" s="20">
        <v>-79.05</v>
      </c>
      <c r="CA567" s="20">
        <v>-33.68</v>
      </c>
      <c r="CI567" s="20">
        <v>-57.82</v>
      </c>
      <c r="CJ567" s="20">
        <v>-62.67</v>
      </c>
      <c r="CO567" s="20">
        <v>-13.61</v>
      </c>
      <c r="CP567" s="20">
        <v>-62.79</v>
      </c>
    </row>
    <row r="568">
      <c r="A568" s="20">
        <v>52.24</v>
      </c>
      <c r="B568" s="20">
        <v>34.58</v>
      </c>
      <c r="D568" s="20"/>
      <c r="E568" s="20"/>
      <c r="F568" s="20">
        <v>-0.1</v>
      </c>
      <c r="G568" s="20">
        <v>22.22</v>
      </c>
      <c r="I568" s="20"/>
      <c r="J568" s="20"/>
      <c r="K568" s="20">
        <v>283.0</v>
      </c>
      <c r="L568" s="20" t="s">
        <v>17</v>
      </c>
      <c r="M568" s="20">
        <v>-26.1</v>
      </c>
      <c r="N568" s="20">
        <v>-22.15</v>
      </c>
      <c r="P568" s="20">
        <v>-13.2</v>
      </c>
      <c r="Q568" s="20">
        <v>-8.83</v>
      </c>
      <c r="AG568" s="20">
        <v>566.0</v>
      </c>
      <c r="AH568" s="20" t="s">
        <v>14</v>
      </c>
      <c r="AI568" s="20">
        <v>-5.19</v>
      </c>
      <c r="AJ568" s="20">
        <v>15.56</v>
      </c>
      <c r="AM568" s="20">
        <v>285.0</v>
      </c>
      <c r="AN568" s="20" t="s">
        <v>17</v>
      </c>
      <c r="AO568" s="20">
        <v>-19.1</v>
      </c>
      <c r="AP568" s="20">
        <v>-0.47</v>
      </c>
      <c r="AS568" s="20">
        <v>283.0</v>
      </c>
      <c r="AT568" s="20" t="s">
        <v>17</v>
      </c>
      <c r="AU568" s="20">
        <v>-53.9</v>
      </c>
      <c r="AV568" s="20">
        <v>-38.6</v>
      </c>
      <c r="BE568" s="20">
        <v>566.0</v>
      </c>
      <c r="BF568" s="20" t="s">
        <v>14</v>
      </c>
      <c r="BG568" s="20">
        <v>-1.61</v>
      </c>
      <c r="BH568" s="20">
        <v>1.82</v>
      </c>
      <c r="BM568" s="20">
        <v>63.29</v>
      </c>
      <c r="BN568" s="20">
        <v>128.41</v>
      </c>
      <c r="BW568" s="20">
        <v>-38.66</v>
      </c>
      <c r="BX568" s="20">
        <v>-16.26</v>
      </c>
      <c r="BZ568" s="20">
        <v>43.07</v>
      </c>
      <c r="CA568" s="20">
        <v>-54.48</v>
      </c>
      <c r="CI568" s="20">
        <v>-52.81</v>
      </c>
      <c r="CJ568" s="20">
        <v>-32.03</v>
      </c>
      <c r="CO568" s="20">
        <v>-37.45</v>
      </c>
      <c r="CP568" s="20">
        <v>-64.48</v>
      </c>
    </row>
    <row r="569">
      <c r="A569" s="20">
        <v>-45.36</v>
      </c>
      <c r="B569" s="20">
        <v>-19.11</v>
      </c>
      <c r="D569" s="20"/>
      <c r="E569" s="20"/>
      <c r="F569" s="20">
        <v>-9.02</v>
      </c>
      <c r="G569" s="20">
        <v>12.94</v>
      </c>
      <c r="I569" s="20"/>
      <c r="J569" s="20"/>
      <c r="K569" s="20">
        <v>284.0</v>
      </c>
      <c r="L569" s="20" t="s">
        <v>14</v>
      </c>
      <c r="M569" s="20">
        <v>-12.45</v>
      </c>
      <c r="N569" s="20">
        <v>5.93</v>
      </c>
      <c r="P569" s="20">
        <v>26.31</v>
      </c>
      <c r="Q569" s="20">
        <v>40.39</v>
      </c>
      <c r="AG569" s="20">
        <v>567.0</v>
      </c>
      <c r="AH569" s="20" t="s">
        <v>14</v>
      </c>
      <c r="AI569" s="20">
        <v>-3.93</v>
      </c>
      <c r="AJ569" s="20">
        <v>16.16</v>
      </c>
      <c r="AM569" s="20">
        <v>286.0</v>
      </c>
      <c r="AN569" s="20" t="s">
        <v>14</v>
      </c>
      <c r="AO569" s="20">
        <v>-5.48</v>
      </c>
      <c r="AP569" s="20">
        <v>25.29</v>
      </c>
      <c r="AS569" s="20">
        <v>284.0</v>
      </c>
      <c r="AT569" s="20" t="s">
        <v>14</v>
      </c>
      <c r="AU569" s="20">
        <v>-33.11</v>
      </c>
      <c r="AV569" s="20">
        <v>-73.96</v>
      </c>
      <c r="BE569" s="20">
        <v>567.0</v>
      </c>
      <c r="BF569" s="20" t="s">
        <v>14</v>
      </c>
      <c r="BG569" s="20">
        <v>7.01</v>
      </c>
      <c r="BH569" s="20">
        <v>13.37</v>
      </c>
      <c r="BM569" s="20">
        <v>6.86</v>
      </c>
      <c r="BN569" s="20">
        <v>83.42</v>
      </c>
      <c r="BW569" s="20">
        <v>-27.04</v>
      </c>
      <c r="BX569" s="20">
        <v>18.82</v>
      </c>
      <c r="BZ569" s="20">
        <v>-37.63</v>
      </c>
      <c r="CA569" s="20">
        <v>26.87</v>
      </c>
      <c r="CI569" s="20">
        <v>-40.28</v>
      </c>
      <c r="CJ569" s="20">
        <v>-47.94</v>
      </c>
      <c r="CO569" s="20">
        <v>-22.03</v>
      </c>
      <c r="CP569" s="20">
        <v>-65.97</v>
      </c>
    </row>
    <row r="570">
      <c r="A570" s="20">
        <v>-21.95</v>
      </c>
      <c r="B570" s="20">
        <v>40.08</v>
      </c>
      <c r="D570" s="20"/>
      <c r="E570" s="20"/>
      <c r="F570" s="20">
        <v>6.01</v>
      </c>
      <c r="G570" s="20">
        <v>8.8</v>
      </c>
      <c r="I570" s="20"/>
      <c r="J570" s="20"/>
      <c r="K570" s="20">
        <v>284.0</v>
      </c>
      <c r="L570" s="20" t="s">
        <v>17</v>
      </c>
      <c r="M570" s="20">
        <v>-32.85</v>
      </c>
      <c r="N570" s="20">
        <v>-11.18</v>
      </c>
      <c r="P570" s="20">
        <v>-2.4</v>
      </c>
      <c r="Q570" s="20">
        <v>1.21</v>
      </c>
      <c r="AG570" s="20">
        <v>568.0</v>
      </c>
      <c r="AH570" s="20" t="s">
        <v>14</v>
      </c>
      <c r="AI570" s="20">
        <v>14.97</v>
      </c>
      <c r="AJ570" s="20">
        <v>29.92</v>
      </c>
      <c r="AM570" s="20">
        <v>286.0</v>
      </c>
      <c r="AN570" s="20" t="s">
        <v>17</v>
      </c>
      <c r="AO570" s="20">
        <v>16.19</v>
      </c>
      <c r="AP570" s="20">
        <v>-32.01</v>
      </c>
      <c r="AS570" s="20">
        <v>284.0</v>
      </c>
      <c r="AT570" s="20" t="s">
        <v>17</v>
      </c>
      <c r="AU570" s="20">
        <v>-6.32</v>
      </c>
      <c r="AV570" s="20">
        <v>39.94</v>
      </c>
      <c r="BE570" s="20">
        <v>568.0</v>
      </c>
      <c r="BF570" s="20" t="s">
        <v>14</v>
      </c>
      <c r="BG570" s="20">
        <v>45.16</v>
      </c>
      <c r="BH570" s="20">
        <v>16.62</v>
      </c>
      <c r="BM570" s="20">
        <v>100.02</v>
      </c>
      <c r="BN570" s="20">
        <v>121.86</v>
      </c>
      <c r="BW570" s="20">
        <v>-34.95</v>
      </c>
      <c r="BX570" s="20">
        <v>-26.32</v>
      </c>
      <c r="BZ570" s="20">
        <v>-65.45</v>
      </c>
      <c r="CA570" s="20">
        <v>-19.91</v>
      </c>
      <c r="CI570" s="20">
        <v>-14.12</v>
      </c>
      <c r="CJ570" s="20">
        <v>-32.82</v>
      </c>
      <c r="CO570" s="20">
        <v>-27.36</v>
      </c>
      <c r="CP570" s="20">
        <v>-61.78</v>
      </c>
    </row>
    <row r="571">
      <c r="A571" s="20">
        <v>39.99</v>
      </c>
      <c r="B571" s="20">
        <v>18.56</v>
      </c>
      <c r="D571" s="20"/>
      <c r="E571" s="20"/>
      <c r="F571" s="20">
        <v>-33.51</v>
      </c>
      <c r="G571" s="20">
        <v>-14.34</v>
      </c>
      <c r="I571" s="20"/>
      <c r="J571" s="20"/>
      <c r="K571" s="20">
        <v>285.0</v>
      </c>
      <c r="L571" s="20" t="s">
        <v>14</v>
      </c>
      <c r="M571" s="20">
        <v>-31.81</v>
      </c>
      <c r="N571" s="20">
        <v>-8.65</v>
      </c>
      <c r="P571" s="20">
        <v>52.65</v>
      </c>
      <c r="Q571" s="20">
        <v>37.67</v>
      </c>
      <c r="AG571" s="20">
        <v>569.0</v>
      </c>
      <c r="AH571" s="20" t="s">
        <v>14</v>
      </c>
      <c r="AI571" s="20">
        <v>-8.43</v>
      </c>
      <c r="AJ571" s="20">
        <v>-7.76</v>
      </c>
      <c r="AM571" s="20">
        <v>287.0</v>
      </c>
      <c r="AN571" s="20" t="s">
        <v>14</v>
      </c>
      <c r="AO571" s="20">
        <v>-6.42</v>
      </c>
      <c r="AP571" s="20">
        <v>-17.76</v>
      </c>
      <c r="AS571" s="20">
        <v>285.0</v>
      </c>
      <c r="AT571" s="20" t="s">
        <v>14</v>
      </c>
      <c r="AU571" s="20">
        <v>-34.25</v>
      </c>
      <c r="AV571" s="20">
        <v>-47.86</v>
      </c>
      <c r="BE571" s="20">
        <v>569.0</v>
      </c>
      <c r="BF571" s="20" t="s">
        <v>14</v>
      </c>
      <c r="BG571" s="20">
        <v>-1.91</v>
      </c>
      <c r="BH571" s="20">
        <v>-4.27</v>
      </c>
      <c r="BM571" s="20">
        <v>49.15</v>
      </c>
      <c r="BN571" s="20">
        <v>28.72</v>
      </c>
      <c r="BW571" s="20">
        <v>-1.09</v>
      </c>
      <c r="BX571" s="20">
        <v>-41.11</v>
      </c>
      <c r="BZ571" s="20">
        <v>-62.35</v>
      </c>
      <c r="CA571" s="20">
        <v>72.36</v>
      </c>
      <c r="CI571" s="20">
        <v>-36.33</v>
      </c>
      <c r="CJ571" s="20">
        <v>-38.49</v>
      </c>
      <c r="CO571" s="20">
        <v>-17.66</v>
      </c>
      <c r="CP571" s="20">
        <v>-63.7</v>
      </c>
    </row>
    <row r="572">
      <c r="A572" s="20">
        <v>5.53</v>
      </c>
      <c r="B572" s="20">
        <v>66.21</v>
      </c>
      <c r="D572" s="20"/>
      <c r="E572" s="20"/>
      <c r="F572" s="20">
        <v>-36.7</v>
      </c>
      <c r="G572" s="20">
        <v>37.02</v>
      </c>
      <c r="I572" s="20"/>
      <c r="J572" s="20"/>
      <c r="K572" s="20">
        <v>285.0</v>
      </c>
      <c r="L572" s="20" t="s">
        <v>17</v>
      </c>
      <c r="M572" s="20">
        <v>14.37</v>
      </c>
      <c r="N572" s="20">
        <v>8.02</v>
      </c>
      <c r="P572" s="20">
        <v>-9.58</v>
      </c>
      <c r="Q572" s="20">
        <v>20.62</v>
      </c>
      <c r="AG572" s="20">
        <v>570.0</v>
      </c>
      <c r="AH572" s="20" t="s">
        <v>14</v>
      </c>
      <c r="AI572" s="20">
        <v>-24.58</v>
      </c>
      <c r="AJ572" s="20">
        <v>-30.95</v>
      </c>
      <c r="AM572" s="20">
        <v>287.0</v>
      </c>
      <c r="AN572" s="20" t="s">
        <v>17</v>
      </c>
      <c r="AO572" s="20">
        <v>-12.11</v>
      </c>
      <c r="AP572" s="20">
        <v>-28.86</v>
      </c>
      <c r="AS572" s="20">
        <v>285.0</v>
      </c>
      <c r="AT572" s="20" t="s">
        <v>17</v>
      </c>
      <c r="AU572" s="20">
        <v>-25.01</v>
      </c>
      <c r="AV572" s="20">
        <v>-35.8</v>
      </c>
      <c r="BE572" s="20">
        <v>570.0</v>
      </c>
      <c r="BF572" s="20" t="s">
        <v>14</v>
      </c>
      <c r="BG572" s="20">
        <v>30.13</v>
      </c>
      <c r="BH572" s="20">
        <v>7.41</v>
      </c>
      <c r="BM572" s="20">
        <v>29.4</v>
      </c>
      <c r="BN572" s="20">
        <v>69.92</v>
      </c>
      <c r="BW572" s="20">
        <v>-35.96</v>
      </c>
      <c r="BX572" s="20">
        <v>-11.05</v>
      </c>
      <c r="BZ572" s="20">
        <v>-44.89</v>
      </c>
      <c r="CA572" s="20">
        <v>7.16</v>
      </c>
      <c r="CI572" s="20">
        <v>-47.12</v>
      </c>
      <c r="CJ572" s="20">
        <v>-46.49</v>
      </c>
      <c r="CO572" s="20">
        <v>94.94</v>
      </c>
      <c r="CP572" s="20">
        <v>-52.35</v>
      </c>
    </row>
    <row r="573">
      <c r="A573" s="20">
        <v>32.05</v>
      </c>
      <c r="B573" s="20">
        <v>14.83</v>
      </c>
      <c r="D573" s="20"/>
      <c r="E573" s="20"/>
      <c r="F573" s="20">
        <v>16.78</v>
      </c>
      <c r="G573" s="20">
        <v>25.32</v>
      </c>
      <c r="I573" s="20"/>
      <c r="J573" s="20"/>
      <c r="K573" s="20">
        <v>286.0</v>
      </c>
      <c r="L573" s="20" t="s">
        <v>14</v>
      </c>
      <c r="M573" s="20">
        <v>-31.06</v>
      </c>
      <c r="N573" s="20">
        <v>-23.82</v>
      </c>
      <c r="P573" s="20">
        <v>35.0</v>
      </c>
      <c r="Q573" s="20">
        <v>20.69</v>
      </c>
      <c r="AG573" s="20">
        <v>571.0</v>
      </c>
      <c r="AH573" s="20" t="s">
        <v>14</v>
      </c>
      <c r="AI573" s="20">
        <v>-18.99</v>
      </c>
      <c r="AJ573" s="20">
        <v>-16.16</v>
      </c>
      <c r="AM573" s="20">
        <v>288.0</v>
      </c>
      <c r="AN573" s="20" t="s">
        <v>14</v>
      </c>
      <c r="AO573" s="20">
        <v>-24.89</v>
      </c>
      <c r="AP573" s="20">
        <v>2.68</v>
      </c>
      <c r="AS573" s="20">
        <v>286.0</v>
      </c>
      <c r="AT573" s="20" t="s">
        <v>14</v>
      </c>
      <c r="AU573" s="20">
        <v>-0.8</v>
      </c>
      <c r="AV573" s="20">
        <v>-24.06</v>
      </c>
      <c r="BE573" s="20">
        <v>571.0</v>
      </c>
      <c r="BF573" s="20" t="s">
        <v>14</v>
      </c>
      <c r="BG573" s="20">
        <v>11.12</v>
      </c>
      <c r="BH573" s="20">
        <v>79.57</v>
      </c>
      <c r="BM573" s="20">
        <v>57.54</v>
      </c>
      <c r="BN573" s="20">
        <v>92.54</v>
      </c>
      <c r="BW573" s="20">
        <v>-48.55</v>
      </c>
      <c r="BX573" s="20">
        <v>-24.5</v>
      </c>
      <c r="BZ573" s="20">
        <v>-43.89</v>
      </c>
      <c r="CA573" s="20">
        <v>124.28</v>
      </c>
      <c r="CI573" s="20">
        <v>-41.68</v>
      </c>
      <c r="CJ573" s="20">
        <v>-56.29</v>
      </c>
      <c r="CO573" s="20">
        <v>-8.74</v>
      </c>
      <c r="CP573" s="20">
        <v>-13.53</v>
      </c>
    </row>
    <row r="574">
      <c r="A574" s="20">
        <v>37.39</v>
      </c>
      <c r="B574" s="20">
        <v>-1.62</v>
      </c>
      <c r="D574" s="20"/>
      <c r="E574" s="20"/>
      <c r="F574" s="20">
        <v>1.34</v>
      </c>
      <c r="G574" s="20">
        <v>26.65</v>
      </c>
      <c r="I574" s="20"/>
      <c r="J574" s="20"/>
      <c r="K574" s="20">
        <v>286.0</v>
      </c>
      <c r="L574" s="20" t="s">
        <v>17</v>
      </c>
      <c r="M574" s="20">
        <v>44.56</v>
      </c>
      <c r="N574" s="20">
        <v>20.4</v>
      </c>
      <c r="P574" s="20">
        <v>-18.61</v>
      </c>
      <c r="Q574" s="20">
        <v>19.0</v>
      </c>
      <c r="AG574" s="20">
        <v>572.0</v>
      </c>
      <c r="AH574" s="20" t="s">
        <v>14</v>
      </c>
      <c r="AI574" s="20">
        <v>-1.68</v>
      </c>
      <c r="AJ574" s="20">
        <v>13.03</v>
      </c>
      <c r="AM574" s="20">
        <v>288.0</v>
      </c>
      <c r="AN574" s="20" t="s">
        <v>17</v>
      </c>
      <c r="AO574" s="20">
        <v>-7.24</v>
      </c>
      <c r="AP574" s="20">
        <v>-23.43</v>
      </c>
      <c r="AS574" s="20">
        <v>286.0</v>
      </c>
      <c r="AT574" s="20" t="s">
        <v>17</v>
      </c>
      <c r="AU574" s="20">
        <v>-38.4</v>
      </c>
      <c r="AV574" s="20">
        <v>-38.11</v>
      </c>
      <c r="BE574" s="20">
        <v>572.0</v>
      </c>
      <c r="BF574" s="20" t="s">
        <v>14</v>
      </c>
      <c r="BG574" s="20">
        <v>-8.45</v>
      </c>
      <c r="BH574" s="20">
        <v>1.69</v>
      </c>
      <c r="BM574" s="20">
        <v>42.51</v>
      </c>
      <c r="BN574" s="20">
        <v>94.11</v>
      </c>
      <c r="BW574" s="20">
        <v>-38.27</v>
      </c>
      <c r="BX574" s="20">
        <v>-12.65</v>
      </c>
      <c r="BZ574" s="20">
        <v>-21.48</v>
      </c>
      <c r="CA574" s="20">
        <v>87.64</v>
      </c>
      <c r="CI574" s="20">
        <v>-59.17</v>
      </c>
      <c r="CJ574" s="20">
        <v>-57.41</v>
      </c>
      <c r="CO574" s="20">
        <v>26.29</v>
      </c>
      <c r="CP574" s="20">
        <v>-41.25</v>
      </c>
    </row>
    <row r="575">
      <c r="A575" s="20">
        <v>-37.97</v>
      </c>
      <c r="B575" s="20">
        <v>70.89</v>
      </c>
      <c r="D575" s="20"/>
      <c r="E575" s="20"/>
      <c r="F575" s="20">
        <v>14.97</v>
      </c>
      <c r="G575" s="20">
        <v>16.71</v>
      </c>
      <c r="I575" s="20"/>
      <c r="J575" s="20"/>
      <c r="K575" s="20">
        <v>287.0</v>
      </c>
      <c r="L575" s="20" t="s">
        <v>14</v>
      </c>
      <c r="M575" s="20">
        <v>-21.54</v>
      </c>
      <c r="N575" s="20">
        <v>16.67</v>
      </c>
      <c r="P575" s="20">
        <v>-17.14</v>
      </c>
      <c r="Q575" s="20">
        <v>-27.35</v>
      </c>
      <c r="AG575" s="20">
        <v>573.0</v>
      </c>
      <c r="AH575" s="20" t="s">
        <v>14</v>
      </c>
      <c r="AI575" s="20">
        <v>7.75</v>
      </c>
      <c r="AJ575" s="20">
        <v>13.07</v>
      </c>
      <c r="AM575" s="20">
        <v>289.0</v>
      </c>
      <c r="AN575" s="20" t="s">
        <v>14</v>
      </c>
      <c r="AO575" s="20">
        <v>18.64</v>
      </c>
      <c r="AP575" s="20">
        <v>-14.6</v>
      </c>
      <c r="AS575" s="20">
        <v>287.0</v>
      </c>
      <c r="AT575" s="20" t="s">
        <v>14</v>
      </c>
      <c r="AU575" s="20">
        <v>3.95</v>
      </c>
      <c r="AV575" s="20">
        <v>-48.48</v>
      </c>
      <c r="BE575" s="20">
        <v>573.0</v>
      </c>
      <c r="BF575" s="20" t="s">
        <v>14</v>
      </c>
      <c r="BG575" s="20">
        <v>-7.73</v>
      </c>
      <c r="BH575" s="20">
        <v>0.14</v>
      </c>
      <c r="BM575" s="20">
        <v>53.13</v>
      </c>
      <c r="BN575" s="20">
        <v>48.51</v>
      </c>
      <c r="BW575" s="20">
        <v>-43.27</v>
      </c>
      <c r="BX575" s="20">
        <v>-22.12</v>
      </c>
      <c r="BZ575" s="20">
        <v>-44.44</v>
      </c>
      <c r="CA575" s="20">
        <v>52.74</v>
      </c>
      <c r="CI575" s="20">
        <v>-34.36</v>
      </c>
      <c r="CJ575" s="20">
        <v>-59.98</v>
      </c>
      <c r="CO575" s="20">
        <v>-24.3</v>
      </c>
      <c r="CP575" s="20">
        <v>-17.64</v>
      </c>
    </row>
    <row r="576">
      <c r="A576" s="20">
        <v>-23.65</v>
      </c>
      <c r="B576" s="20">
        <v>-1.68</v>
      </c>
      <c r="D576" s="20"/>
      <c r="E576" s="20"/>
      <c r="F576" s="20">
        <v>19.68</v>
      </c>
      <c r="G576" s="20">
        <v>20.91</v>
      </c>
      <c r="I576" s="20"/>
      <c r="J576" s="20"/>
      <c r="K576" s="20">
        <v>287.0</v>
      </c>
      <c r="L576" s="20" t="s">
        <v>17</v>
      </c>
      <c r="M576" s="20">
        <v>-49.09</v>
      </c>
      <c r="N576" s="20">
        <v>-66.83</v>
      </c>
      <c r="P576" s="20">
        <v>-53.95</v>
      </c>
      <c r="Q576" s="20">
        <v>-75.24</v>
      </c>
      <c r="AG576" s="20">
        <v>574.0</v>
      </c>
      <c r="AH576" s="20" t="s">
        <v>14</v>
      </c>
      <c r="AI576" s="20">
        <v>-8.85</v>
      </c>
      <c r="AJ576" s="20">
        <v>-1.66</v>
      </c>
      <c r="AM576" s="20">
        <v>289.0</v>
      </c>
      <c r="AN576" s="20" t="s">
        <v>17</v>
      </c>
      <c r="AO576" s="20">
        <v>36.64</v>
      </c>
      <c r="AP576" s="20">
        <v>-54.83</v>
      </c>
      <c r="AS576" s="20">
        <v>287.0</v>
      </c>
      <c r="AT576" s="20" t="s">
        <v>17</v>
      </c>
      <c r="AU576" s="20">
        <v>-23.09</v>
      </c>
      <c r="AV576" s="20">
        <v>-28.93</v>
      </c>
      <c r="BE576" s="20">
        <v>574.0</v>
      </c>
      <c r="BF576" s="20" t="s">
        <v>14</v>
      </c>
      <c r="BG576" s="20">
        <v>8.54</v>
      </c>
      <c r="BH576" s="20">
        <v>12.13</v>
      </c>
      <c r="BM576" s="20">
        <v>29.53</v>
      </c>
      <c r="BN576" s="20">
        <v>75.29</v>
      </c>
      <c r="BW576" s="20">
        <v>-42.71</v>
      </c>
      <c r="BX576" s="20">
        <v>-19.36</v>
      </c>
      <c r="BZ576" s="20">
        <v>-58.98</v>
      </c>
      <c r="CA576" s="20">
        <v>81.29</v>
      </c>
      <c r="CI576" s="20">
        <v>-40.49</v>
      </c>
      <c r="CJ576" s="20">
        <v>-47.7</v>
      </c>
      <c r="CO576" s="20">
        <v>-20.15</v>
      </c>
      <c r="CP576" s="20">
        <v>-41.18</v>
      </c>
    </row>
    <row r="577">
      <c r="A577" s="20">
        <v>-15.98</v>
      </c>
      <c r="B577" s="20">
        <v>154.49</v>
      </c>
      <c r="D577" s="20"/>
      <c r="E577" s="20"/>
      <c r="F577" s="20">
        <v>-25.94</v>
      </c>
      <c r="G577" s="20">
        <v>13.51</v>
      </c>
      <c r="I577" s="20"/>
      <c r="J577" s="20"/>
      <c r="K577" s="20">
        <v>288.0</v>
      </c>
      <c r="L577" s="20" t="s">
        <v>14</v>
      </c>
      <c r="M577" s="20">
        <v>12.62</v>
      </c>
      <c r="N577" s="20">
        <v>36.13</v>
      </c>
      <c r="P577" s="20">
        <v>10.86</v>
      </c>
      <c r="Q577" s="20">
        <v>72.99</v>
      </c>
      <c r="AG577" s="20">
        <v>575.0</v>
      </c>
      <c r="AH577" s="20" t="s">
        <v>14</v>
      </c>
      <c r="AI577" s="20">
        <v>-14.94</v>
      </c>
      <c r="AJ577" s="20">
        <v>2.73</v>
      </c>
      <c r="AM577" s="20">
        <v>290.0</v>
      </c>
      <c r="AN577" s="20" t="s">
        <v>14</v>
      </c>
      <c r="AO577" s="20">
        <v>-35.05</v>
      </c>
      <c r="AP577" s="20">
        <v>-21.3</v>
      </c>
      <c r="AS577" s="20">
        <v>288.0</v>
      </c>
      <c r="AT577" s="20" t="s">
        <v>14</v>
      </c>
      <c r="AU577" s="20">
        <v>-22.82</v>
      </c>
      <c r="AV577" s="20">
        <v>-36.24</v>
      </c>
      <c r="BE577" s="20">
        <v>575.0</v>
      </c>
      <c r="BF577" s="20" t="s">
        <v>14</v>
      </c>
      <c r="BG577" s="20">
        <v>22.21</v>
      </c>
      <c r="BH577" s="20">
        <v>26.65</v>
      </c>
      <c r="BM577" s="20">
        <v>24.74</v>
      </c>
      <c r="BN577" s="20">
        <v>59.29</v>
      </c>
      <c r="BW577" s="20">
        <v>-45.77</v>
      </c>
      <c r="BX577" s="20">
        <v>-28.63</v>
      </c>
      <c r="BZ577" s="20">
        <v>-40.94</v>
      </c>
      <c r="CA577" s="20">
        <v>75.73</v>
      </c>
      <c r="CI577" s="20">
        <v>-59.17</v>
      </c>
      <c r="CJ577" s="20">
        <v>-59.25</v>
      </c>
      <c r="CO577" s="20">
        <v>-15.61</v>
      </c>
      <c r="CP577" s="20">
        <v>-30.95</v>
      </c>
    </row>
    <row r="578">
      <c r="A578" s="20">
        <v>-43.94</v>
      </c>
      <c r="B578" s="20">
        <v>54.01</v>
      </c>
      <c r="D578" s="20"/>
      <c r="E578" s="20"/>
      <c r="F578" s="20">
        <v>-10.37</v>
      </c>
      <c r="G578" s="20">
        <v>4.36</v>
      </c>
      <c r="I578" s="20"/>
      <c r="J578" s="20"/>
      <c r="K578" s="20">
        <v>288.0</v>
      </c>
      <c r="L578" s="20" t="s">
        <v>17</v>
      </c>
      <c r="M578" s="20">
        <v>-11.73</v>
      </c>
      <c r="N578" s="20">
        <v>41.9</v>
      </c>
      <c r="P578" s="20">
        <v>-72.15</v>
      </c>
      <c r="Q578" s="20">
        <v>-57.78</v>
      </c>
      <c r="AG578" s="20">
        <v>576.0</v>
      </c>
      <c r="AH578" s="20" t="s">
        <v>14</v>
      </c>
      <c r="AI578" s="20">
        <v>6.29</v>
      </c>
      <c r="AJ578" s="20">
        <v>-5.06</v>
      </c>
      <c r="AM578" s="20">
        <v>290.0</v>
      </c>
      <c r="AN578" s="20" t="s">
        <v>17</v>
      </c>
      <c r="AO578" s="20">
        <v>46.27</v>
      </c>
      <c r="AP578" s="20">
        <v>-22.24</v>
      </c>
      <c r="AS578" s="20">
        <v>288.0</v>
      </c>
      <c r="AT578" s="20" t="s">
        <v>17</v>
      </c>
      <c r="AU578" s="20">
        <v>-49.53</v>
      </c>
      <c r="AV578" s="20">
        <v>-46.04</v>
      </c>
      <c r="BE578" s="20">
        <v>576.0</v>
      </c>
      <c r="BF578" s="20" t="s">
        <v>14</v>
      </c>
      <c r="BG578" s="20">
        <v>7.57</v>
      </c>
      <c r="BH578" s="20">
        <v>12.57</v>
      </c>
      <c r="BM578" s="20">
        <v>39.04</v>
      </c>
      <c r="BN578" s="20">
        <v>87.24</v>
      </c>
      <c r="BW578" s="20">
        <v>-39.08</v>
      </c>
      <c r="BX578" s="20">
        <v>-33.39</v>
      </c>
      <c r="BZ578" s="20">
        <v>-41.38</v>
      </c>
      <c r="CA578" s="20">
        <v>150.89</v>
      </c>
      <c r="CI578" s="20">
        <v>-39.34</v>
      </c>
      <c r="CJ578" s="20">
        <v>-46.99</v>
      </c>
      <c r="CO578" s="20">
        <v>-4.28</v>
      </c>
      <c r="CP578" s="20">
        <v>-18.96</v>
      </c>
    </row>
    <row r="579">
      <c r="A579" s="20">
        <v>-2.37</v>
      </c>
      <c r="B579" s="20">
        <v>72.87</v>
      </c>
      <c r="D579" s="20"/>
      <c r="E579" s="20"/>
      <c r="F579" s="20">
        <v>37.74</v>
      </c>
      <c r="G579" s="20">
        <v>0.48</v>
      </c>
      <c r="I579" s="20"/>
      <c r="J579" s="20"/>
      <c r="K579" s="20">
        <v>289.0</v>
      </c>
      <c r="L579" s="20" t="s">
        <v>14</v>
      </c>
      <c r="M579" s="20">
        <v>-20.27</v>
      </c>
      <c r="N579" s="20">
        <v>-13.0</v>
      </c>
      <c r="P579" s="20">
        <v>40.38</v>
      </c>
      <c r="Q579" s="20">
        <v>57.45</v>
      </c>
      <c r="AG579" s="20">
        <v>577.0</v>
      </c>
      <c r="AH579" s="20" t="s">
        <v>14</v>
      </c>
      <c r="AI579" s="20">
        <v>-32.85</v>
      </c>
      <c r="AJ579" s="20">
        <v>-26.14</v>
      </c>
      <c r="AM579" s="20">
        <v>293.0</v>
      </c>
      <c r="AN579" s="20" t="s">
        <v>14</v>
      </c>
      <c r="AO579" s="20">
        <v>-6.75</v>
      </c>
      <c r="AP579" s="20">
        <v>-17.34</v>
      </c>
      <c r="AS579" s="20">
        <v>289.0</v>
      </c>
      <c r="AT579" s="20" t="s">
        <v>14</v>
      </c>
      <c r="AU579" s="20">
        <v>-23.18</v>
      </c>
      <c r="AV579" s="20">
        <v>-27.93</v>
      </c>
      <c r="BE579" s="20">
        <v>577.0</v>
      </c>
      <c r="BF579" s="20" t="s">
        <v>14</v>
      </c>
      <c r="BG579" s="20">
        <v>-6.34</v>
      </c>
      <c r="BH579" s="20">
        <v>12.84</v>
      </c>
      <c r="BM579" s="20">
        <v>377.54</v>
      </c>
      <c r="BN579" s="20">
        <v>8.37</v>
      </c>
      <c r="BW579" s="20">
        <v>-49.87</v>
      </c>
      <c r="BX579" s="20">
        <v>-26.97</v>
      </c>
      <c r="BZ579" s="20">
        <v>14.85</v>
      </c>
      <c r="CA579" s="20">
        <v>-13.07</v>
      </c>
      <c r="CI579" s="20">
        <v>-51.24</v>
      </c>
      <c r="CJ579" s="20">
        <v>-57.17</v>
      </c>
      <c r="CO579" s="20">
        <v>-60.18</v>
      </c>
      <c r="CP579" s="20">
        <v>-60.34</v>
      </c>
    </row>
    <row r="580">
      <c r="A580" s="20">
        <v>-16.55</v>
      </c>
      <c r="B580" s="20">
        <v>49.25</v>
      </c>
      <c r="D580" s="20"/>
      <c r="E580" s="20"/>
      <c r="F580" s="20">
        <v>41.44</v>
      </c>
      <c r="G580" s="20">
        <v>0.3</v>
      </c>
      <c r="I580" s="20"/>
      <c r="J580" s="20"/>
      <c r="K580" s="20">
        <v>289.0</v>
      </c>
      <c r="L580" s="20" t="s">
        <v>17</v>
      </c>
      <c r="M580" s="20">
        <v>15.3</v>
      </c>
      <c r="N580" s="20">
        <v>6.35</v>
      </c>
      <c r="P580" s="20">
        <v>-0.41</v>
      </c>
      <c r="Q580" s="20">
        <v>-22.7</v>
      </c>
      <c r="AG580" s="20">
        <v>578.0</v>
      </c>
      <c r="AH580" s="20" t="s">
        <v>14</v>
      </c>
      <c r="AI580" s="20">
        <v>6.62</v>
      </c>
      <c r="AJ580" s="20">
        <v>-10.88</v>
      </c>
      <c r="AM580" s="20">
        <v>293.0</v>
      </c>
      <c r="AN580" s="20" t="s">
        <v>17</v>
      </c>
      <c r="AO580" s="20">
        <v>-45.39</v>
      </c>
      <c r="AP580" s="20">
        <v>8.82</v>
      </c>
      <c r="AS580" s="20">
        <v>289.0</v>
      </c>
      <c r="AT580" s="20" t="s">
        <v>17</v>
      </c>
      <c r="AU580" s="20">
        <v>-41.94</v>
      </c>
      <c r="AV580" s="20">
        <v>-42.32</v>
      </c>
      <c r="BE580" s="20">
        <v>578.0</v>
      </c>
      <c r="BF580" s="20" t="s">
        <v>14</v>
      </c>
      <c r="BG580" s="20">
        <v>-20.52</v>
      </c>
      <c r="BH580" s="20">
        <v>24.92</v>
      </c>
      <c r="BM580" s="20">
        <v>265.58</v>
      </c>
      <c r="BN580" s="20">
        <v>19.5</v>
      </c>
      <c r="BW580" s="20">
        <v>-55.38</v>
      </c>
      <c r="BX580" s="20">
        <v>-24.3</v>
      </c>
      <c r="BZ580" s="20">
        <v>-7.36</v>
      </c>
      <c r="CA580" s="20">
        <v>28.23</v>
      </c>
      <c r="CI580" s="20">
        <v>-44.45</v>
      </c>
      <c r="CJ580" s="20">
        <v>-47.35</v>
      </c>
      <c r="CO580" s="20">
        <v>-42.34</v>
      </c>
      <c r="CP580" s="20">
        <v>-45.76</v>
      </c>
    </row>
    <row r="581">
      <c r="A581" s="20">
        <v>-66.86</v>
      </c>
      <c r="B581" s="20">
        <v>17.19</v>
      </c>
      <c r="D581" s="20"/>
      <c r="E581" s="20"/>
      <c r="F581" s="20">
        <v>41.23</v>
      </c>
      <c r="G581" s="20">
        <v>9.82</v>
      </c>
      <c r="I581" s="20"/>
      <c r="J581" s="20"/>
      <c r="K581" s="20">
        <v>290.0</v>
      </c>
      <c r="L581" s="20" t="s">
        <v>14</v>
      </c>
      <c r="M581" s="20">
        <v>-19.18</v>
      </c>
      <c r="N581" s="20">
        <v>-26.8</v>
      </c>
      <c r="P581" s="20">
        <v>-16.53</v>
      </c>
      <c r="Q581" s="20">
        <v>2.89</v>
      </c>
      <c r="AG581" s="20">
        <v>579.0</v>
      </c>
      <c r="AH581" s="20" t="s">
        <v>14</v>
      </c>
      <c r="AI581" s="20">
        <v>-13.3</v>
      </c>
      <c r="AJ581" s="20">
        <v>2.96</v>
      </c>
      <c r="AM581" s="20">
        <v>294.0</v>
      </c>
      <c r="AN581" s="20" t="s">
        <v>14</v>
      </c>
      <c r="AO581" s="20">
        <v>-28.0</v>
      </c>
      <c r="AP581" s="20">
        <v>-26.16</v>
      </c>
      <c r="AS581" s="20">
        <v>290.0</v>
      </c>
      <c r="AT581" s="20" t="s">
        <v>14</v>
      </c>
      <c r="AU581" s="20">
        <v>-24.87</v>
      </c>
      <c r="AV581" s="20">
        <v>-54.54</v>
      </c>
      <c r="BE581" s="20">
        <v>579.0</v>
      </c>
      <c r="BF581" s="20" t="s">
        <v>14</v>
      </c>
      <c r="BG581" s="20">
        <v>-23.73</v>
      </c>
      <c r="BH581" s="20">
        <v>17.43</v>
      </c>
      <c r="BM581" s="20">
        <v>124.34</v>
      </c>
      <c r="BN581" s="20">
        <v>98.11</v>
      </c>
      <c r="BW581" s="20">
        <v>-54.94</v>
      </c>
      <c r="BX581" s="20">
        <v>9.9</v>
      </c>
      <c r="BZ581" s="20">
        <v>-63.0</v>
      </c>
      <c r="CA581" s="20">
        <v>67.39</v>
      </c>
      <c r="CI581" s="20">
        <v>-58.78</v>
      </c>
      <c r="CJ581" s="20">
        <v>-60.14</v>
      </c>
      <c r="CO581" s="20">
        <v>40.76</v>
      </c>
      <c r="CP581" s="20">
        <v>-48.42</v>
      </c>
    </row>
    <row r="582">
      <c r="A582" s="20">
        <v>-41.44</v>
      </c>
      <c r="B582" s="20">
        <v>-13.99</v>
      </c>
      <c r="D582" s="20"/>
      <c r="E582" s="20"/>
      <c r="F582" s="20">
        <v>-26.3</v>
      </c>
      <c r="G582" s="20">
        <v>26.59</v>
      </c>
      <c r="I582" s="20"/>
      <c r="J582" s="20"/>
      <c r="K582" s="20">
        <v>290.0</v>
      </c>
      <c r="L582" s="20" t="s">
        <v>17</v>
      </c>
      <c r="M582" s="20">
        <v>4.63</v>
      </c>
      <c r="N582" s="20">
        <v>1.12</v>
      </c>
      <c r="P582" s="20">
        <v>60.73</v>
      </c>
      <c r="Q582" s="20">
        <v>109.7</v>
      </c>
      <c r="AG582" s="20">
        <v>580.0</v>
      </c>
      <c r="AH582" s="20" t="s">
        <v>14</v>
      </c>
      <c r="AI582" s="20">
        <v>-48.24</v>
      </c>
      <c r="AJ582" s="20">
        <v>-27.66</v>
      </c>
      <c r="AM582" s="20">
        <v>294.0</v>
      </c>
      <c r="AN582" s="20" t="s">
        <v>17</v>
      </c>
      <c r="AO582" s="20">
        <v>16.23</v>
      </c>
      <c r="AP582" s="20">
        <v>3.15</v>
      </c>
      <c r="AS582" s="20">
        <v>290.0</v>
      </c>
      <c r="AT582" s="20" t="s">
        <v>17</v>
      </c>
      <c r="AU582" s="20">
        <v>140.89</v>
      </c>
      <c r="AV582" s="20">
        <v>-68.95</v>
      </c>
      <c r="BE582" s="20">
        <v>580.0</v>
      </c>
      <c r="BF582" s="20" t="s">
        <v>14</v>
      </c>
      <c r="BG582" s="20">
        <v>-5.69</v>
      </c>
      <c r="BH582" s="20">
        <v>73.21</v>
      </c>
      <c r="BM582" s="20">
        <v>2.73</v>
      </c>
      <c r="BN582" s="20">
        <v>92.04</v>
      </c>
      <c r="BW582" s="20">
        <v>-50.74</v>
      </c>
      <c r="BX582" s="20">
        <v>3.0</v>
      </c>
      <c r="BZ582" s="20">
        <v>-53.87</v>
      </c>
      <c r="CA582" s="20">
        <v>31.38</v>
      </c>
      <c r="CI582" s="20">
        <v>-9.42</v>
      </c>
      <c r="CJ582" s="20">
        <v>-27.38</v>
      </c>
      <c r="CO582" s="20">
        <v>11.87</v>
      </c>
      <c r="CP582" s="20">
        <v>-48.89</v>
      </c>
    </row>
    <row r="583">
      <c r="A583" s="20">
        <v>-35.87</v>
      </c>
      <c r="B583" s="20">
        <v>0.93</v>
      </c>
      <c r="D583" s="20"/>
      <c r="E583" s="20"/>
      <c r="F583" s="20">
        <v>-16.53</v>
      </c>
      <c r="G583" s="20">
        <v>7.75</v>
      </c>
      <c r="I583" s="20"/>
      <c r="J583" s="20"/>
      <c r="K583" s="20">
        <v>291.0</v>
      </c>
      <c r="L583" s="20" t="s">
        <v>14</v>
      </c>
      <c r="M583" s="20">
        <v>15.55</v>
      </c>
      <c r="N583" s="20">
        <v>100.01</v>
      </c>
      <c r="P583" s="20">
        <v>38.49</v>
      </c>
      <c r="Q583" s="20">
        <v>108.63</v>
      </c>
      <c r="AG583" s="20">
        <v>581.0</v>
      </c>
      <c r="AH583" s="20" t="s">
        <v>14</v>
      </c>
      <c r="AI583" s="20">
        <v>-24.17</v>
      </c>
      <c r="AJ583" s="20">
        <v>-26.14</v>
      </c>
      <c r="AM583" s="20">
        <v>296.0</v>
      </c>
      <c r="AN583" s="20" t="s">
        <v>14</v>
      </c>
      <c r="AO583" s="20">
        <v>32.35</v>
      </c>
      <c r="AP583" s="20">
        <v>-48.48</v>
      </c>
      <c r="AS583" s="20">
        <v>292.0</v>
      </c>
      <c r="AT583" s="20" t="s">
        <v>14</v>
      </c>
      <c r="AU583" s="20">
        <v>-43.5</v>
      </c>
      <c r="AV583" s="20">
        <v>-62.66</v>
      </c>
      <c r="BE583" s="20">
        <v>581.0</v>
      </c>
      <c r="BF583" s="20" t="s">
        <v>14</v>
      </c>
      <c r="BG583" s="20">
        <v>-10.53</v>
      </c>
      <c r="BH583" s="20">
        <v>-0.72</v>
      </c>
      <c r="BM583" s="20">
        <v>113.42</v>
      </c>
      <c r="BN583" s="20">
        <v>50.0</v>
      </c>
      <c r="BW583" s="20">
        <v>-50.9</v>
      </c>
      <c r="BX583" s="20">
        <v>-18.13</v>
      </c>
      <c r="BZ583" s="20">
        <v>-61.96</v>
      </c>
      <c r="CA583" s="20">
        <v>96.04</v>
      </c>
      <c r="CI583" s="20">
        <v>-51.56</v>
      </c>
      <c r="CJ583" s="20">
        <v>-53.64</v>
      </c>
      <c r="CO583" s="20">
        <v>-28.16</v>
      </c>
      <c r="CP583" s="20">
        <v>-58.54</v>
      </c>
    </row>
    <row r="584">
      <c r="A584" s="20">
        <v>-19.02</v>
      </c>
      <c r="B584" s="20">
        <v>40.25</v>
      </c>
      <c r="D584" s="20"/>
      <c r="E584" s="20"/>
      <c r="F584" s="20">
        <v>-26.47</v>
      </c>
      <c r="G584" s="20">
        <v>28.03</v>
      </c>
      <c r="I584" s="20"/>
      <c r="J584" s="20"/>
      <c r="K584" s="20">
        <v>291.0</v>
      </c>
      <c r="L584" s="20" t="s">
        <v>17</v>
      </c>
      <c r="M584" s="20">
        <v>-35.47</v>
      </c>
      <c r="N584" s="20">
        <v>-40.11</v>
      </c>
      <c r="P584" s="20">
        <v>17.0</v>
      </c>
      <c r="Q584" s="20">
        <v>94.92</v>
      </c>
      <c r="AG584" s="20">
        <v>582.0</v>
      </c>
      <c r="AH584" s="20" t="s">
        <v>14</v>
      </c>
      <c r="AI584" s="20">
        <v>-22.32</v>
      </c>
      <c r="AJ584" s="20">
        <v>-14.37</v>
      </c>
      <c r="AM584" s="20">
        <v>296.0</v>
      </c>
      <c r="AN584" s="20" t="s">
        <v>17</v>
      </c>
      <c r="AO584" s="20">
        <v>32.89</v>
      </c>
      <c r="AP584" s="20">
        <v>33.07</v>
      </c>
      <c r="AS584" s="20">
        <v>292.0</v>
      </c>
      <c r="AT584" s="20" t="s">
        <v>17</v>
      </c>
      <c r="AU584" s="20">
        <v>-54.54</v>
      </c>
      <c r="AV584" s="20">
        <v>-40.42</v>
      </c>
      <c r="BE584" s="20">
        <v>582.0</v>
      </c>
      <c r="BF584" s="20" t="s">
        <v>14</v>
      </c>
      <c r="BG584" s="20">
        <v>36.2</v>
      </c>
      <c r="BH584" s="20">
        <v>14.71</v>
      </c>
      <c r="BM584" s="20">
        <v>-60.48</v>
      </c>
      <c r="BN584" s="20">
        <v>10.39</v>
      </c>
      <c r="BW584" s="20">
        <v>-31.37</v>
      </c>
      <c r="BX584" s="20">
        <v>8.43</v>
      </c>
      <c r="BZ584" s="20">
        <v>-42.57</v>
      </c>
      <c r="CA584" s="20">
        <v>6.13</v>
      </c>
      <c r="CI584" s="20">
        <v>-39.04</v>
      </c>
      <c r="CJ584" s="20">
        <v>-42.97</v>
      </c>
      <c r="CO584" s="20">
        <v>-22.09</v>
      </c>
      <c r="CP584" s="20">
        <v>-50.22</v>
      </c>
    </row>
    <row r="585">
      <c r="A585" s="20">
        <v>-27.84</v>
      </c>
      <c r="B585" s="20">
        <v>56.01</v>
      </c>
      <c r="D585" s="20"/>
      <c r="E585" s="20"/>
      <c r="F585" s="20">
        <v>36.36</v>
      </c>
      <c r="G585" s="20">
        <v>32.64</v>
      </c>
      <c r="I585" s="20"/>
      <c r="J585" s="20"/>
      <c r="K585" s="20">
        <v>292.0</v>
      </c>
      <c r="L585" s="20" t="s">
        <v>14</v>
      </c>
      <c r="M585" s="20">
        <v>-19.19</v>
      </c>
      <c r="N585" s="20">
        <v>-17.74</v>
      </c>
      <c r="P585" s="20">
        <v>-33.14</v>
      </c>
      <c r="Q585" s="20">
        <v>7.45</v>
      </c>
      <c r="AG585" s="20">
        <v>583.0</v>
      </c>
      <c r="AH585" s="20" t="s">
        <v>14</v>
      </c>
      <c r="AI585" s="20">
        <v>-46.61</v>
      </c>
      <c r="AJ585" s="20">
        <v>-31.17</v>
      </c>
      <c r="AM585" s="20">
        <v>297.0</v>
      </c>
      <c r="AN585" s="20" t="s">
        <v>14</v>
      </c>
      <c r="AO585" s="20">
        <v>-30.37</v>
      </c>
      <c r="AP585" s="20">
        <v>-15.49</v>
      </c>
      <c r="AS585" s="20">
        <v>293.0</v>
      </c>
      <c r="AT585" s="20" t="s">
        <v>14</v>
      </c>
      <c r="AU585" s="20">
        <v>37.57</v>
      </c>
      <c r="AV585" s="20">
        <v>-24.97</v>
      </c>
      <c r="BE585" s="20">
        <v>583.0</v>
      </c>
      <c r="BF585" s="20" t="s">
        <v>14</v>
      </c>
      <c r="BG585" s="20">
        <v>9.76</v>
      </c>
      <c r="BH585" s="20">
        <v>56.85</v>
      </c>
      <c r="BM585" s="20">
        <v>54.84</v>
      </c>
      <c r="BN585" s="20">
        <v>165.69</v>
      </c>
      <c r="BW585" s="20">
        <v>-64.95</v>
      </c>
      <c r="BX585" s="20">
        <v>-9.02</v>
      </c>
      <c r="BZ585" s="20">
        <v>-44.2</v>
      </c>
      <c r="CA585" s="20">
        <v>44.25</v>
      </c>
      <c r="CI585" s="20">
        <v>-42.86</v>
      </c>
      <c r="CJ585" s="20">
        <v>-50.13</v>
      </c>
      <c r="CO585" s="20">
        <v>-3.96</v>
      </c>
      <c r="CP585" s="20">
        <v>-24.65</v>
      </c>
    </row>
    <row r="586">
      <c r="A586" s="20">
        <v>-7.08</v>
      </c>
      <c r="B586" s="20">
        <v>147.04</v>
      </c>
      <c r="D586" s="20"/>
      <c r="E586" s="20"/>
      <c r="F586" s="20">
        <v>50.94</v>
      </c>
      <c r="G586" s="20">
        <v>23.01</v>
      </c>
      <c r="I586" s="20"/>
      <c r="J586" s="20"/>
      <c r="K586" s="20">
        <v>292.0</v>
      </c>
      <c r="L586" s="20" t="s">
        <v>17</v>
      </c>
      <c r="M586" s="20">
        <v>13.8</v>
      </c>
      <c r="N586" s="20">
        <v>38.3</v>
      </c>
      <c r="P586" s="20">
        <v>35.99</v>
      </c>
      <c r="Q586" s="20">
        <v>114.59</v>
      </c>
      <c r="AG586" s="20">
        <v>584.0</v>
      </c>
      <c r="AH586" s="20" t="s">
        <v>14</v>
      </c>
      <c r="AI586" s="20">
        <v>-15.79</v>
      </c>
      <c r="AJ586" s="20">
        <v>-9.1</v>
      </c>
      <c r="AM586" s="20">
        <v>297.0</v>
      </c>
      <c r="AN586" s="20" t="s">
        <v>17</v>
      </c>
      <c r="AO586" s="20">
        <v>-17.88</v>
      </c>
      <c r="AP586" s="20">
        <v>16.36</v>
      </c>
      <c r="AS586" s="20">
        <v>293.0</v>
      </c>
      <c r="AT586" s="20" t="s">
        <v>17</v>
      </c>
      <c r="AU586" s="20">
        <v>15.63</v>
      </c>
      <c r="AV586" s="20">
        <v>-2.21</v>
      </c>
      <c r="BE586" s="20">
        <v>584.0</v>
      </c>
      <c r="BF586" s="20" t="s">
        <v>14</v>
      </c>
      <c r="BG586" s="20">
        <v>4.44</v>
      </c>
      <c r="BH586" s="20">
        <v>20.5</v>
      </c>
      <c r="BM586" s="20">
        <v>42.4</v>
      </c>
      <c r="BN586" s="20">
        <v>118.06</v>
      </c>
      <c r="BW586" s="20">
        <v>-55.78</v>
      </c>
      <c r="BX586" s="20">
        <v>-23.07</v>
      </c>
      <c r="BZ586" s="20">
        <v>-54.33</v>
      </c>
      <c r="CA586" s="20">
        <v>187.85</v>
      </c>
      <c r="CI586" s="20">
        <v>-56.98</v>
      </c>
      <c r="CJ586" s="20">
        <v>-70.67</v>
      </c>
      <c r="CO586" s="20">
        <v>16.59</v>
      </c>
      <c r="CP586" s="20">
        <v>-0.92</v>
      </c>
    </row>
    <row r="587">
      <c r="A587" s="20">
        <v>-39.3</v>
      </c>
      <c r="B587" s="20">
        <v>167.78</v>
      </c>
      <c r="D587" s="20"/>
      <c r="E587" s="20"/>
      <c r="F587" s="20">
        <v>66.87</v>
      </c>
      <c r="G587" s="20">
        <v>31.25</v>
      </c>
      <c r="I587" s="20"/>
      <c r="J587" s="20"/>
      <c r="K587" s="20">
        <v>293.0</v>
      </c>
      <c r="L587" s="20" t="s">
        <v>14</v>
      </c>
      <c r="M587" s="20">
        <v>3.62</v>
      </c>
      <c r="N587" s="20">
        <v>-10.82</v>
      </c>
      <c r="P587" s="20">
        <v>15.56</v>
      </c>
      <c r="Q587" s="20">
        <v>22.68</v>
      </c>
      <c r="AG587" s="20">
        <v>585.0</v>
      </c>
      <c r="AH587" s="20" t="s">
        <v>14</v>
      </c>
      <c r="AI587" s="20">
        <v>-1.98</v>
      </c>
      <c r="AJ587" s="20">
        <v>32.68</v>
      </c>
      <c r="AM587" s="20">
        <v>298.0</v>
      </c>
      <c r="AN587" s="20" t="s">
        <v>14</v>
      </c>
      <c r="AO587" s="20">
        <v>48.6</v>
      </c>
      <c r="AP587" s="20">
        <v>20.63</v>
      </c>
      <c r="AS587" s="20">
        <v>294.0</v>
      </c>
      <c r="AT587" s="20" t="s">
        <v>14</v>
      </c>
      <c r="AU587" s="20">
        <v>-32.67</v>
      </c>
      <c r="AV587" s="20">
        <v>-31.73</v>
      </c>
      <c r="BE587" s="20">
        <v>585.0</v>
      </c>
      <c r="BF587" s="20" t="s">
        <v>14</v>
      </c>
      <c r="BG587" s="20">
        <v>4.48</v>
      </c>
      <c r="BH587" s="20">
        <v>46.49</v>
      </c>
      <c r="BM587" s="20">
        <v>189.76</v>
      </c>
      <c r="BN587" s="20">
        <v>118.49</v>
      </c>
      <c r="BW587" s="20">
        <v>-44.62</v>
      </c>
      <c r="BX587" s="20">
        <v>-4.16</v>
      </c>
      <c r="BZ587" s="20">
        <v>-15.75</v>
      </c>
      <c r="CA587" s="20">
        <v>42.05</v>
      </c>
      <c r="CI587" s="20">
        <v>-29.07</v>
      </c>
      <c r="CJ587" s="20">
        <v>-37.66</v>
      </c>
      <c r="CO587" s="20">
        <v>-10.54</v>
      </c>
      <c r="CP587" s="20">
        <v>-56.05</v>
      </c>
    </row>
    <row r="588">
      <c r="A588" s="20">
        <v>-39.9</v>
      </c>
      <c r="B588" s="20">
        <v>103.03</v>
      </c>
      <c r="D588" s="20"/>
      <c r="E588" s="20"/>
      <c r="F588" s="20">
        <v>-37.46</v>
      </c>
      <c r="G588" s="20">
        <v>16.35</v>
      </c>
      <c r="I588" s="20"/>
      <c r="J588" s="20"/>
      <c r="K588" s="20">
        <v>293.0</v>
      </c>
      <c r="L588" s="20" t="s">
        <v>17</v>
      </c>
      <c r="M588" s="20">
        <v>-43.89</v>
      </c>
      <c r="N588" s="20">
        <v>90.68</v>
      </c>
      <c r="P588" s="20">
        <v>25.21</v>
      </c>
      <c r="Q588" s="20">
        <v>76.49</v>
      </c>
      <c r="AG588" s="20">
        <v>586.0</v>
      </c>
      <c r="AH588" s="20" t="s">
        <v>14</v>
      </c>
      <c r="AI588" s="20">
        <v>-27.56</v>
      </c>
      <c r="AJ588" s="20">
        <v>-14.51</v>
      </c>
      <c r="AM588" s="20">
        <v>298.0</v>
      </c>
      <c r="AN588" s="20" t="s">
        <v>17</v>
      </c>
      <c r="AO588" s="20">
        <v>69.06</v>
      </c>
      <c r="AP588" s="20">
        <v>15.77</v>
      </c>
      <c r="AS588" s="20">
        <v>294.0</v>
      </c>
      <c r="AT588" s="20" t="s">
        <v>17</v>
      </c>
      <c r="AU588" s="20">
        <v>22.36</v>
      </c>
      <c r="AV588" s="20">
        <v>-17.98</v>
      </c>
      <c r="BE588" s="20">
        <v>586.0</v>
      </c>
      <c r="BF588" s="20" t="s">
        <v>14</v>
      </c>
      <c r="BG588" s="20">
        <v>-7.03</v>
      </c>
      <c r="BH588" s="20">
        <v>-8.5</v>
      </c>
      <c r="BM588" s="20">
        <v>191.58</v>
      </c>
      <c r="BN588" s="20">
        <v>58.83</v>
      </c>
      <c r="BW588" s="20">
        <v>-42.69</v>
      </c>
      <c r="BX588" s="20">
        <v>3.3</v>
      </c>
      <c r="BZ588" s="20">
        <v>-21.57</v>
      </c>
      <c r="CA588" s="20">
        <v>30.93</v>
      </c>
      <c r="CI588" s="20">
        <v>-42.51</v>
      </c>
      <c r="CJ588" s="20">
        <v>-58.61</v>
      </c>
      <c r="CO588" s="20">
        <v>-21.67</v>
      </c>
      <c r="CP588" s="20">
        <v>-37.2</v>
      </c>
    </row>
    <row r="589">
      <c r="A589" s="20">
        <v>-25.18</v>
      </c>
      <c r="B589" s="20">
        <v>73.66</v>
      </c>
      <c r="D589" s="20"/>
      <c r="E589" s="20"/>
      <c r="F589" s="20">
        <v>-36.43</v>
      </c>
      <c r="G589" s="20">
        <v>18.03</v>
      </c>
      <c r="I589" s="20"/>
      <c r="J589" s="20"/>
      <c r="K589" s="20">
        <v>294.0</v>
      </c>
      <c r="L589" s="20" t="s">
        <v>14</v>
      </c>
      <c r="M589" s="20">
        <v>-25.87</v>
      </c>
      <c r="N589" s="20">
        <v>-15.67</v>
      </c>
      <c r="P589" s="20">
        <v>-23.72</v>
      </c>
      <c r="Q589" s="20">
        <v>10.57</v>
      </c>
      <c r="AG589" s="20">
        <v>587.0</v>
      </c>
      <c r="AH589" s="20" t="s">
        <v>14</v>
      </c>
      <c r="AI589" s="20">
        <v>-12.28</v>
      </c>
      <c r="AJ589" s="20">
        <v>-17.42</v>
      </c>
      <c r="AM589" s="20">
        <v>299.0</v>
      </c>
      <c r="AN589" s="20" t="s">
        <v>14</v>
      </c>
      <c r="AO589" s="20">
        <v>-45.86</v>
      </c>
      <c r="AP589" s="20">
        <v>-17.5</v>
      </c>
      <c r="AS589" s="20">
        <v>295.0</v>
      </c>
      <c r="AT589" s="20" t="s">
        <v>14</v>
      </c>
      <c r="AU589" s="20">
        <v>34.48</v>
      </c>
      <c r="AV589" s="20">
        <v>-17.86</v>
      </c>
      <c r="BE589" s="20">
        <v>587.0</v>
      </c>
      <c r="BF589" s="20" t="s">
        <v>14</v>
      </c>
      <c r="BG589" s="20">
        <v>11.81</v>
      </c>
      <c r="BH589" s="20">
        <v>11.13</v>
      </c>
      <c r="BM589" s="20">
        <v>142.16</v>
      </c>
      <c r="BN589" s="20">
        <v>111.72</v>
      </c>
      <c r="BW589" s="20">
        <v>-60.58</v>
      </c>
      <c r="BX589" s="20">
        <v>-8.97</v>
      </c>
      <c r="BZ589" s="20">
        <v>-11.45</v>
      </c>
      <c r="CA589" s="20">
        <v>33.24</v>
      </c>
      <c r="CI589" s="20">
        <v>-45.9</v>
      </c>
      <c r="CJ589" s="20">
        <v>-64.06</v>
      </c>
      <c r="CO589" s="20">
        <v>28.87</v>
      </c>
      <c r="CP589" s="20">
        <v>-33.93</v>
      </c>
    </row>
    <row r="590">
      <c r="A590" s="20">
        <v>-45.37</v>
      </c>
      <c r="B590" s="20">
        <v>-33.89</v>
      </c>
      <c r="D590" s="20"/>
      <c r="E590" s="20"/>
      <c r="F590" s="20">
        <v>-28.49</v>
      </c>
      <c r="G590" s="20">
        <v>49.13</v>
      </c>
      <c r="I590" s="20"/>
      <c r="J590" s="20"/>
      <c r="K590" s="20">
        <v>294.0</v>
      </c>
      <c r="L590" s="20" t="s">
        <v>17</v>
      </c>
      <c r="M590" s="20">
        <v>18.83</v>
      </c>
      <c r="N590" s="20">
        <v>4.23</v>
      </c>
      <c r="P590" s="20">
        <v>-17.06</v>
      </c>
      <c r="Q590" s="20">
        <v>7.23</v>
      </c>
      <c r="AG590" s="20">
        <v>588.0</v>
      </c>
      <c r="AH590" s="20" t="s">
        <v>14</v>
      </c>
      <c r="AI590" s="20">
        <v>-20.78</v>
      </c>
      <c r="AJ590" s="20">
        <v>-23.01</v>
      </c>
      <c r="AM590" s="20">
        <v>299.0</v>
      </c>
      <c r="AN590" s="20" t="s">
        <v>17</v>
      </c>
      <c r="AO590" s="20">
        <v>-46.7</v>
      </c>
      <c r="AP590" s="20">
        <v>-31.02</v>
      </c>
      <c r="AS590" s="20">
        <v>295.0</v>
      </c>
      <c r="AT590" s="20" t="s">
        <v>17</v>
      </c>
      <c r="AU590" s="20">
        <v>-19.23</v>
      </c>
      <c r="AV590" s="20">
        <v>-29.07</v>
      </c>
      <c r="BE590" s="20">
        <v>588.0</v>
      </c>
      <c r="BF590" s="20" t="s">
        <v>14</v>
      </c>
      <c r="BG590" s="20">
        <v>-5.03</v>
      </c>
      <c r="BH590" s="20">
        <v>5.06</v>
      </c>
      <c r="BM590" s="20">
        <v>35.83</v>
      </c>
      <c r="BN590" s="20">
        <v>29.76</v>
      </c>
      <c r="BW590" s="20">
        <v>-34.5</v>
      </c>
      <c r="BX590" s="20">
        <v>-7.44</v>
      </c>
      <c r="BZ590" s="20">
        <v>-65.5</v>
      </c>
      <c r="CA590" s="20">
        <v>105.01</v>
      </c>
      <c r="CI590" s="20">
        <v>-35.39</v>
      </c>
      <c r="CJ590" s="20">
        <v>-59.6</v>
      </c>
      <c r="CO590" s="20">
        <v>18.08</v>
      </c>
      <c r="CP590" s="20">
        <v>-60.45</v>
      </c>
    </row>
    <row r="591">
      <c r="A591" s="20">
        <v>-55.93</v>
      </c>
      <c r="B591" s="20">
        <v>37.39</v>
      </c>
      <c r="D591" s="20"/>
      <c r="E591" s="20"/>
      <c r="F591" s="20">
        <v>49.68</v>
      </c>
      <c r="G591" s="20">
        <v>-13.09</v>
      </c>
      <c r="I591" s="20"/>
      <c r="J591" s="20"/>
      <c r="K591" s="20">
        <v>295.0</v>
      </c>
      <c r="L591" s="20" t="s">
        <v>14</v>
      </c>
      <c r="M591" s="20">
        <v>-25.8</v>
      </c>
      <c r="N591" s="20">
        <v>10.27</v>
      </c>
      <c r="P591" s="20">
        <v>-21.35</v>
      </c>
      <c r="Q591" s="20">
        <v>27.85</v>
      </c>
      <c r="AG591" s="20">
        <v>589.0</v>
      </c>
      <c r="AH591" s="20" t="s">
        <v>14</v>
      </c>
      <c r="AI591" s="20">
        <v>-12.38</v>
      </c>
      <c r="AJ591" s="20">
        <v>5.59</v>
      </c>
      <c r="AM591" s="20">
        <v>300.0</v>
      </c>
      <c r="AN591" s="20" t="s">
        <v>14</v>
      </c>
      <c r="AO591" s="20">
        <v>-9.13</v>
      </c>
      <c r="AP591" s="20">
        <v>-46.97</v>
      </c>
      <c r="AS591" s="20">
        <v>296.0</v>
      </c>
      <c r="AT591" s="20" t="s">
        <v>14</v>
      </c>
      <c r="AU591" s="20">
        <v>-3.59</v>
      </c>
      <c r="AV591" s="20">
        <v>-64.11</v>
      </c>
      <c r="BE591" s="20">
        <v>589.0</v>
      </c>
      <c r="BF591" s="20" t="s">
        <v>14</v>
      </c>
      <c r="BG591" s="20">
        <v>-16.66</v>
      </c>
      <c r="BH591" s="20">
        <v>41.63</v>
      </c>
      <c r="BM591" s="20">
        <v>109.59</v>
      </c>
      <c r="BN591" s="20">
        <v>64.67</v>
      </c>
      <c r="BW591" s="20">
        <v>-43.88</v>
      </c>
      <c r="BX591" s="20">
        <v>-23.41</v>
      </c>
      <c r="BZ591" s="20">
        <v>-49.35</v>
      </c>
      <c r="CA591" s="20">
        <v>35.52</v>
      </c>
      <c r="CI591" s="20">
        <v>-56.47</v>
      </c>
      <c r="CJ591" s="20">
        <v>-61.15</v>
      </c>
      <c r="CO591" s="20">
        <v>6.03</v>
      </c>
      <c r="CP591" s="20">
        <v>-42.1</v>
      </c>
    </row>
    <row r="592">
      <c r="A592" s="20">
        <v>-35.64</v>
      </c>
      <c r="B592" s="20">
        <v>25.1</v>
      </c>
      <c r="D592" s="20"/>
      <c r="E592" s="20"/>
      <c r="F592" s="20">
        <v>17.8</v>
      </c>
      <c r="G592" s="20">
        <v>-9.87</v>
      </c>
      <c r="I592" s="20"/>
      <c r="J592" s="20"/>
      <c r="K592" s="20">
        <v>295.0</v>
      </c>
      <c r="L592" s="20" t="s">
        <v>17</v>
      </c>
      <c r="M592" s="20">
        <v>-63.26</v>
      </c>
      <c r="N592" s="20">
        <v>-17.93</v>
      </c>
      <c r="P592" s="20">
        <v>-32.91</v>
      </c>
      <c r="Q592" s="20">
        <v>15.48</v>
      </c>
      <c r="AG592" s="20">
        <v>590.0</v>
      </c>
      <c r="AH592" s="20" t="s">
        <v>14</v>
      </c>
      <c r="AI592" s="20">
        <v>-27.48</v>
      </c>
      <c r="AJ592" s="20">
        <v>-22.01</v>
      </c>
      <c r="AM592" s="20">
        <v>300.0</v>
      </c>
      <c r="AN592" s="20" t="s">
        <v>17</v>
      </c>
      <c r="AO592" s="20">
        <v>51.8</v>
      </c>
      <c r="AP592" s="20">
        <v>-22.21</v>
      </c>
      <c r="AS592" s="20">
        <v>296.0</v>
      </c>
      <c r="AT592" s="20" t="s">
        <v>17</v>
      </c>
      <c r="AU592" s="20">
        <v>-11.07</v>
      </c>
      <c r="AV592" s="20">
        <v>29.33</v>
      </c>
      <c r="BE592" s="20">
        <v>590.0</v>
      </c>
      <c r="BF592" s="20" t="s">
        <v>14</v>
      </c>
      <c r="BG592" s="20">
        <v>-22.94</v>
      </c>
      <c r="BH592" s="20">
        <v>61.51</v>
      </c>
      <c r="BM592" s="20">
        <v>127.19</v>
      </c>
      <c r="BN592" s="20">
        <v>140.75</v>
      </c>
      <c r="BW592" s="20">
        <v>-54.28</v>
      </c>
      <c r="BX592" s="20">
        <v>-23.7</v>
      </c>
      <c r="BZ592" s="20">
        <v>-41.57</v>
      </c>
      <c r="CA592" s="20">
        <v>11.05</v>
      </c>
      <c r="CI592" s="20">
        <v>-26.6</v>
      </c>
      <c r="CJ592" s="20">
        <v>-13.63</v>
      </c>
      <c r="CO592" s="20">
        <v>-17.69</v>
      </c>
      <c r="CP592" s="20">
        <v>-43.64</v>
      </c>
    </row>
    <row r="593">
      <c r="A593" s="20">
        <v>-59.31</v>
      </c>
      <c r="B593" s="20">
        <v>-38.99</v>
      </c>
      <c r="D593" s="20"/>
      <c r="E593" s="20"/>
      <c r="F593" s="20">
        <v>11.37</v>
      </c>
      <c r="G593" s="20">
        <v>13.41</v>
      </c>
      <c r="I593" s="20"/>
      <c r="J593" s="20"/>
      <c r="K593" s="20">
        <v>296.0</v>
      </c>
      <c r="L593" s="20" t="s">
        <v>14</v>
      </c>
      <c r="M593" s="20">
        <v>-5.58</v>
      </c>
      <c r="N593" s="20">
        <v>-19.05</v>
      </c>
      <c r="P593" s="20">
        <v>-28.79</v>
      </c>
      <c r="Q593" s="20">
        <v>-12.73</v>
      </c>
      <c r="AG593" s="20">
        <v>591.0</v>
      </c>
      <c r="AH593" s="20" t="s">
        <v>14</v>
      </c>
      <c r="AI593" s="20">
        <v>-1.28</v>
      </c>
      <c r="AJ593" s="20">
        <v>13.85</v>
      </c>
      <c r="AM593" s="20">
        <v>301.0</v>
      </c>
      <c r="AN593" s="20" t="s">
        <v>14</v>
      </c>
      <c r="AO593" s="20">
        <v>18.46</v>
      </c>
      <c r="AP593" s="20">
        <v>4.71</v>
      </c>
      <c r="AS593" s="20">
        <v>297.0</v>
      </c>
      <c r="AT593" s="20" t="s">
        <v>14</v>
      </c>
      <c r="AU593" s="20">
        <v>-24.05</v>
      </c>
      <c r="AV593" s="20">
        <v>-42.45</v>
      </c>
      <c r="BE593" s="20">
        <v>591.0</v>
      </c>
      <c r="BF593" s="20" t="s">
        <v>14</v>
      </c>
      <c r="BG593" s="20">
        <v>-16.21</v>
      </c>
      <c r="BH593" s="20">
        <v>27.3</v>
      </c>
      <c r="BM593" s="20">
        <v>110.63</v>
      </c>
      <c r="BN593" s="20">
        <v>82.42</v>
      </c>
      <c r="BW593" s="20">
        <v>-53.64</v>
      </c>
      <c r="BX593" s="20">
        <v>-15.62</v>
      </c>
      <c r="BZ593" s="20">
        <v>27.12</v>
      </c>
      <c r="CA593" s="20">
        <v>-15.06</v>
      </c>
      <c r="CI593" s="20">
        <v>-51.6</v>
      </c>
      <c r="CJ593" s="20">
        <v>-55.2</v>
      </c>
      <c r="CO593" s="20">
        <v>5.41</v>
      </c>
      <c r="CP593" s="20">
        <v>-50.75</v>
      </c>
    </row>
    <row r="594">
      <c r="A594" s="20">
        <v>-7.2</v>
      </c>
      <c r="B594" s="20">
        <v>33.27</v>
      </c>
      <c r="D594" s="20"/>
      <c r="E594" s="20"/>
      <c r="F594" s="20">
        <v>-27.89</v>
      </c>
      <c r="G594" s="20">
        <v>-6.35</v>
      </c>
      <c r="I594" s="20"/>
      <c r="J594" s="20"/>
      <c r="K594" s="20">
        <v>296.0</v>
      </c>
      <c r="L594" s="20" t="s">
        <v>17</v>
      </c>
      <c r="M594" s="20">
        <v>-48.34</v>
      </c>
      <c r="N594" s="20">
        <v>-56.41</v>
      </c>
      <c r="P594" s="20">
        <v>-74.66</v>
      </c>
      <c r="Q594" s="20">
        <v>-65.3</v>
      </c>
      <c r="AG594" s="20">
        <v>592.0</v>
      </c>
      <c r="AH594" s="20" t="s">
        <v>14</v>
      </c>
      <c r="AI594" s="20">
        <v>-33.63</v>
      </c>
      <c r="AJ594" s="20">
        <v>-36.0</v>
      </c>
      <c r="AM594" s="20">
        <v>301.0</v>
      </c>
      <c r="AN594" s="20" t="s">
        <v>17</v>
      </c>
      <c r="AO594" s="20">
        <v>10.02</v>
      </c>
      <c r="AP594" s="20">
        <v>14.05</v>
      </c>
      <c r="AS594" s="20">
        <v>297.0</v>
      </c>
      <c r="AT594" s="20" t="s">
        <v>17</v>
      </c>
      <c r="AU594" s="20">
        <v>-41.52</v>
      </c>
      <c r="AV594" s="20">
        <v>-29.5</v>
      </c>
      <c r="BE594" s="20">
        <v>592.0</v>
      </c>
      <c r="BF594" s="20" t="s">
        <v>14</v>
      </c>
      <c r="BG594" s="20">
        <v>21.32</v>
      </c>
      <c r="BH594" s="20">
        <v>7.4</v>
      </c>
      <c r="BM594" s="20">
        <v>132.4</v>
      </c>
      <c r="BN594" s="20">
        <v>93.36</v>
      </c>
      <c r="BW594" s="20">
        <v>-53.59</v>
      </c>
      <c r="BX594" s="20">
        <v>-18.16</v>
      </c>
      <c r="BZ594" s="20">
        <v>-3.64</v>
      </c>
      <c r="CA594" s="20">
        <v>-22.35</v>
      </c>
      <c r="CI594" s="20">
        <v>-37.58</v>
      </c>
      <c r="CJ594" s="20">
        <v>-39.88</v>
      </c>
      <c r="CO594" s="20">
        <v>18.14</v>
      </c>
      <c r="CP594" s="20">
        <v>-44.83</v>
      </c>
    </row>
    <row r="595">
      <c r="A595" s="20">
        <v>-55.73</v>
      </c>
      <c r="B595" s="20">
        <v>-48.08</v>
      </c>
      <c r="D595" s="20"/>
      <c r="E595" s="20"/>
      <c r="F595" s="20">
        <v>-7.38</v>
      </c>
      <c r="G595" s="20">
        <v>-3.35</v>
      </c>
      <c r="I595" s="20"/>
      <c r="J595" s="20"/>
      <c r="K595" s="20">
        <v>297.0</v>
      </c>
      <c r="L595" s="20" t="s">
        <v>14</v>
      </c>
      <c r="M595" s="20">
        <v>-7.07</v>
      </c>
      <c r="N595" s="20">
        <v>40.42</v>
      </c>
      <c r="P595" s="20">
        <v>16.99</v>
      </c>
      <c r="Q595" s="20">
        <v>1.08</v>
      </c>
      <c r="AG595" s="20">
        <v>593.0</v>
      </c>
      <c r="AH595" s="20" t="s">
        <v>14</v>
      </c>
      <c r="AI595" s="20">
        <v>-21.7</v>
      </c>
      <c r="AJ595" s="20">
        <v>-28.61</v>
      </c>
      <c r="AM595" s="20">
        <v>302.0</v>
      </c>
      <c r="AN595" s="20" t="s">
        <v>14</v>
      </c>
      <c r="AO595" s="20">
        <v>-28.17</v>
      </c>
      <c r="AP595" s="20">
        <v>-39.63</v>
      </c>
      <c r="AS595" s="20">
        <v>298.0</v>
      </c>
      <c r="AT595" s="20" t="s">
        <v>14</v>
      </c>
      <c r="AU595" s="20">
        <v>11.53</v>
      </c>
      <c r="AV595" s="20">
        <v>-31.81</v>
      </c>
      <c r="BE595" s="20">
        <v>593.0</v>
      </c>
      <c r="BF595" s="20" t="s">
        <v>14</v>
      </c>
      <c r="BG595" s="20">
        <v>-24.37</v>
      </c>
      <c r="BH595" s="20">
        <v>-7.87</v>
      </c>
      <c r="BM595" s="20">
        <v>64.17</v>
      </c>
      <c r="BN595" s="20">
        <v>144.07</v>
      </c>
      <c r="BW595" s="20">
        <v>-62.67</v>
      </c>
      <c r="BX595" s="20">
        <v>1.02</v>
      </c>
      <c r="BZ595" s="20">
        <v>-58.43</v>
      </c>
      <c r="CA595" s="20">
        <v>46.38</v>
      </c>
      <c r="CI595" s="20">
        <v>-47.04</v>
      </c>
      <c r="CJ595" s="20">
        <v>-45.21</v>
      </c>
      <c r="CO595" s="20">
        <v>-10.6</v>
      </c>
      <c r="CP595" s="20">
        <v>-53.85</v>
      </c>
    </row>
    <row r="596">
      <c r="A596" s="20">
        <v>-8.54</v>
      </c>
      <c r="B596" s="20">
        <v>10.29</v>
      </c>
      <c r="D596" s="20"/>
      <c r="E596" s="20"/>
      <c r="F596" s="20">
        <v>-6.19</v>
      </c>
      <c r="G596" s="20">
        <v>49.72</v>
      </c>
      <c r="I596" s="20"/>
      <c r="J596" s="20"/>
      <c r="K596" s="20">
        <v>297.0</v>
      </c>
      <c r="L596" s="20" t="s">
        <v>17</v>
      </c>
      <c r="M596" s="20">
        <v>-28.15</v>
      </c>
      <c r="N596" s="20">
        <v>17.61</v>
      </c>
      <c r="P596" s="20">
        <v>-17.27</v>
      </c>
      <c r="Q596" s="20">
        <v>-13.26</v>
      </c>
      <c r="AG596" s="20">
        <v>594.0</v>
      </c>
      <c r="AH596" s="20" t="s">
        <v>14</v>
      </c>
      <c r="AI596" s="20">
        <v>-21.26</v>
      </c>
      <c r="AJ596" s="20">
        <v>-18.47</v>
      </c>
      <c r="AM596" s="20">
        <v>302.0</v>
      </c>
      <c r="AN596" s="20" t="s">
        <v>17</v>
      </c>
      <c r="AO596" s="20">
        <v>-16.53</v>
      </c>
      <c r="AP596" s="20">
        <v>-4.8</v>
      </c>
      <c r="AS596" s="20">
        <v>298.0</v>
      </c>
      <c r="AT596" s="20" t="s">
        <v>17</v>
      </c>
      <c r="AU596" s="20">
        <v>7.43</v>
      </c>
      <c r="AV596" s="20">
        <v>-30.21</v>
      </c>
      <c r="BE596" s="20">
        <v>594.0</v>
      </c>
      <c r="BF596" s="20" t="s">
        <v>14</v>
      </c>
      <c r="BG596" s="20">
        <v>-4.03</v>
      </c>
      <c r="BH596" s="20">
        <v>17.95</v>
      </c>
      <c r="BM596" s="20">
        <v>41.05</v>
      </c>
      <c r="BN596" s="20">
        <v>201.65</v>
      </c>
      <c r="BW596" s="20">
        <v>-48.07</v>
      </c>
      <c r="BX596" s="20">
        <v>-5.41</v>
      </c>
      <c r="BZ596" s="20">
        <v>-62.37</v>
      </c>
      <c r="CA596" s="20">
        <v>39.68</v>
      </c>
      <c r="CI596" s="20">
        <v>-26.37</v>
      </c>
      <c r="CJ596" s="20">
        <v>-33.76</v>
      </c>
      <c r="CO596" s="20">
        <v>-16.5</v>
      </c>
      <c r="CP596" s="20">
        <v>-60.68</v>
      </c>
    </row>
    <row r="597">
      <c r="A597" s="20">
        <v>6.61</v>
      </c>
      <c r="B597" s="20">
        <v>51.45</v>
      </c>
      <c r="D597" s="20"/>
      <c r="E597" s="20"/>
      <c r="F597" s="20">
        <v>25.35</v>
      </c>
      <c r="G597" s="20">
        <v>19.18</v>
      </c>
      <c r="I597" s="20"/>
      <c r="J597" s="20"/>
      <c r="K597" s="20">
        <v>298.0</v>
      </c>
      <c r="L597" s="20" t="s">
        <v>14</v>
      </c>
      <c r="M597" s="20">
        <v>-14.02</v>
      </c>
      <c r="N597" s="20">
        <v>-64.87</v>
      </c>
      <c r="P597" s="20">
        <v>1.43</v>
      </c>
      <c r="Q597" s="20">
        <v>32.03</v>
      </c>
      <c r="AG597" s="20">
        <v>595.0</v>
      </c>
      <c r="AH597" s="20" t="s">
        <v>14</v>
      </c>
      <c r="AI597" s="20">
        <v>-28.17</v>
      </c>
      <c r="AJ597" s="20">
        <v>-8.57</v>
      </c>
      <c r="AM597" s="20">
        <v>303.0</v>
      </c>
      <c r="AN597" s="20" t="s">
        <v>14</v>
      </c>
      <c r="AO597" s="20">
        <v>1.66</v>
      </c>
      <c r="AP597" s="20">
        <v>-20.72</v>
      </c>
      <c r="AS597" s="20">
        <v>299.0</v>
      </c>
      <c r="AT597" s="20" t="s">
        <v>14</v>
      </c>
      <c r="AU597" s="20">
        <v>154.17</v>
      </c>
      <c r="AV597" s="20">
        <v>-4.24</v>
      </c>
      <c r="BE597" s="20">
        <v>595.0</v>
      </c>
      <c r="BF597" s="20" t="s">
        <v>14</v>
      </c>
      <c r="BG597" s="20">
        <v>7.91</v>
      </c>
      <c r="BH597" s="20">
        <v>4.84</v>
      </c>
      <c r="BM597" s="20">
        <v>87.88</v>
      </c>
      <c r="BN597" s="20">
        <v>80.24</v>
      </c>
      <c r="BW597" s="20">
        <v>-42.4</v>
      </c>
      <c r="BX597" s="20">
        <v>-31.25</v>
      </c>
      <c r="BZ597" s="20">
        <v>-62.53</v>
      </c>
      <c r="CA597" s="20">
        <v>194.57</v>
      </c>
      <c r="CI597" s="20">
        <v>-55.3</v>
      </c>
      <c r="CJ597" s="20">
        <v>-67.03</v>
      </c>
      <c r="CO597" s="20">
        <v>-25.67</v>
      </c>
      <c r="CP597" s="20">
        <v>-48.98</v>
      </c>
    </row>
    <row r="598">
      <c r="A598" s="20">
        <v>-31.2</v>
      </c>
      <c r="B598" s="20">
        <v>-32.51</v>
      </c>
      <c r="D598" s="20"/>
      <c r="E598" s="20"/>
      <c r="F598" s="20">
        <v>43.8</v>
      </c>
      <c r="G598" s="20">
        <v>-13.21</v>
      </c>
      <c r="I598" s="20"/>
      <c r="J598" s="20"/>
      <c r="K598" s="20">
        <v>298.0</v>
      </c>
      <c r="L598" s="20" t="s">
        <v>17</v>
      </c>
      <c r="M598" s="20">
        <v>-20.58</v>
      </c>
      <c r="N598" s="20">
        <v>68.83</v>
      </c>
      <c r="P598" s="20">
        <v>-21.06</v>
      </c>
      <c r="Q598" s="20">
        <v>62.18</v>
      </c>
      <c r="AG598" s="20">
        <v>596.0</v>
      </c>
      <c r="AH598" s="20" t="s">
        <v>14</v>
      </c>
      <c r="AI598" s="20">
        <v>-3.97</v>
      </c>
      <c r="AJ598" s="20">
        <v>-12.38</v>
      </c>
      <c r="AM598" s="20">
        <v>303.0</v>
      </c>
      <c r="AN598" s="20" t="s">
        <v>17</v>
      </c>
      <c r="AO598" s="20">
        <v>-46.42</v>
      </c>
      <c r="AP598" s="20">
        <v>-46.34</v>
      </c>
      <c r="AS598" s="20">
        <v>299.0</v>
      </c>
      <c r="AT598" s="20" t="s">
        <v>17</v>
      </c>
      <c r="AU598" s="20">
        <v>12.63</v>
      </c>
      <c r="AV598" s="20">
        <v>8.1</v>
      </c>
      <c r="BE598" s="20">
        <v>596.0</v>
      </c>
      <c r="BF598" s="20" t="s">
        <v>14</v>
      </c>
      <c r="BG598" s="20">
        <v>-16.61</v>
      </c>
      <c r="BH598" s="20">
        <v>56.98</v>
      </c>
      <c r="BM598" s="20">
        <v>156.85</v>
      </c>
      <c r="BN598" s="20">
        <v>94.16</v>
      </c>
      <c r="BW598" s="20">
        <v>-50.73</v>
      </c>
      <c r="BX598" s="20">
        <v>-13.31</v>
      </c>
      <c r="BZ598" s="20">
        <v>-80.47</v>
      </c>
      <c r="CA598" s="20">
        <v>2.87</v>
      </c>
      <c r="CI598" s="20">
        <v>-54.37</v>
      </c>
      <c r="CJ598" s="20">
        <v>-65.54</v>
      </c>
      <c r="CO598" s="20">
        <v>-39.95</v>
      </c>
      <c r="CP598" s="20">
        <v>-26.58</v>
      </c>
    </row>
    <row r="599">
      <c r="A599" s="20">
        <v>15.23</v>
      </c>
      <c r="B599" s="20">
        <v>-17.66</v>
      </c>
      <c r="D599" s="20"/>
      <c r="E599" s="20"/>
      <c r="F599" s="20">
        <v>8.99</v>
      </c>
      <c r="G599" s="20">
        <v>34.69</v>
      </c>
      <c r="I599" s="20"/>
      <c r="J599" s="20"/>
      <c r="K599" s="20">
        <v>299.0</v>
      </c>
      <c r="L599" s="20" t="s">
        <v>14</v>
      </c>
      <c r="M599" s="20">
        <v>-14.78</v>
      </c>
      <c r="N599" s="20">
        <v>55.6</v>
      </c>
      <c r="P599" s="20">
        <v>-0.65</v>
      </c>
      <c r="Q599" s="20">
        <v>22.7</v>
      </c>
      <c r="AG599" s="20">
        <v>597.0</v>
      </c>
      <c r="AH599" s="20" t="s">
        <v>14</v>
      </c>
      <c r="AI599" s="20">
        <v>-1.1</v>
      </c>
      <c r="AJ599" s="20">
        <v>4.29</v>
      </c>
      <c r="AM599" s="20">
        <v>304.0</v>
      </c>
      <c r="AN599" s="20" t="s">
        <v>14</v>
      </c>
      <c r="AO599" s="20">
        <v>-30.97</v>
      </c>
      <c r="AP599" s="20">
        <v>-27.82</v>
      </c>
      <c r="AS599" s="20">
        <v>300.0</v>
      </c>
      <c r="AT599" s="20" t="s">
        <v>14</v>
      </c>
      <c r="AU599" s="20">
        <v>-0.05</v>
      </c>
      <c r="AV599" s="20">
        <v>-55.84</v>
      </c>
      <c r="BE599" s="20">
        <v>597.0</v>
      </c>
      <c r="BF599" s="20" t="s">
        <v>14</v>
      </c>
      <c r="BG599" s="20">
        <v>-11.96</v>
      </c>
      <c r="BH599" s="20">
        <v>7.55</v>
      </c>
      <c r="BM599" s="20">
        <v>236.66</v>
      </c>
      <c r="BN599" s="20">
        <v>100.45</v>
      </c>
      <c r="BW599" s="20">
        <v>-48.25</v>
      </c>
      <c r="BX599" s="20">
        <v>-17.35</v>
      </c>
      <c r="BZ599" s="20">
        <v>-22.07</v>
      </c>
      <c r="CA599" s="20">
        <v>-23.72</v>
      </c>
      <c r="CI599" s="20">
        <v>-54.25</v>
      </c>
      <c r="CJ599" s="20">
        <v>-50.2</v>
      </c>
      <c r="CO599" s="20">
        <v>-25.92</v>
      </c>
      <c r="CP599" s="20">
        <v>-56.01</v>
      </c>
    </row>
    <row r="600">
      <c r="A600" s="20">
        <v>-52.85</v>
      </c>
      <c r="B600" s="20">
        <v>-17.18</v>
      </c>
      <c r="D600" s="20"/>
      <c r="E600" s="20"/>
      <c r="F600" s="20">
        <v>-4.07</v>
      </c>
      <c r="G600" s="20">
        <v>15.44</v>
      </c>
      <c r="I600" s="20"/>
      <c r="J600" s="20"/>
      <c r="K600" s="20">
        <v>299.0</v>
      </c>
      <c r="L600" s="20" t="s">
        <v>17</v>
      </c>
      <c r="M600" s="20">
        <v>-13.46</v>
      </c>
      <c r="N600" s="20">
        <v>85.58</v>
      </c>
      <c r="P600" s="20">
        <v>-7.42</v>
      </c>
      <c r="Q600" s="20">
        <v>8.57</v>
      </c>
      <c r="AG600" s="20">
        <v>598.0</v>
      </c>
      <c r="AH600" s="20" t="s">
        <v>14</v>
      </c>
      <c r="AI600" s="20">
        <v>-29.87</v>
      </c>
      <c r="AJ600" s="20">
        <v>-28.88</v>
      </c>
      <c r="AM600" s="20">
        <v>304.0</v>
      </c>
      <c r="AN600" s="20" t="s">
        <v>17</v>
      </c>
      <c r="AO600" s="20">
        <v>-50.64</v>
      </c>
      <c r="AP600" s="20">
        <v>-29.74</v>
      </c>
      <c r="AS600" s="20">
        <v>300.0</v>
      </c>
      <c r="AT600" s="20" t="s">
        <v>17</v>
      </c>
      <c r="AU600" s="20">
        <v>-37.03</v>
      </c>
      <c r="AV600" s="20">
        <v>-13.11</v>
      </c>
      <c r="BE600" s="20">
        <v>598.0</v>
      </c>
      <c r="BF600" s="20" t="s">
        <v>14</v>
      </c>
      <c r="BG600" s="20">
        <v>15.49</v>
      </c>
      <c r="BH600" s="20">
        <v>3.94</v>
      </c>
      <c r="BM600" s="20">
        <v>244.55</v>
      </c>
      <c r="BN600" s="20">
        <v>152.42</v>
      </c>
      <c r="BW600" s="20">
        <v>-56.69</v>
      </c>
      <c r="BX600" s="20">
        <v>-42.38</v>
      </c>
      <c r="BZ600" s="20">
        <v>91.73</v>
      </c>
      <c r="CA600" s="20">
        <v>-9.94</v>
      </c>
      <c r="CI600" s="20">
        <v>-48.05</v>
      </c>
      <c r="CJ600" s="20">
        <v>-41.65</v>
      </c>
      <c r="CO600" s="20">
        <v>-28.24</v>
      </c>
      <c r="CP600" s="20">
        <v>-50.95</v>
      </c>
    </row>
    <row r="601">
      <c r="A601" s="20">
        <v>5.46</v>
      </c>
      <c r="B601" s="20">
        <v>133.96</v>
      </c>
      <c r="D601" s="20"/>
      <c r="E601" s="20"/>
      <c r="F601" s="20">
        <v>-7.23</v>
      </c>
      <c r="G601" s="20">
        <v>13.02</v>
      </c>
      <c r="I601" s="20"/>
      <c r="J601" s="20"/>
      <c r="K601" s="20">
        <v>300.0</v>
      </c>
      <c r="L601" s="20" t="s">
        <v>14</v>
      </c>
      <c r="M601" s="20">
        <v>37.16</v>
      </c>
      <c r="N601" s="20">
        <v>80.85</v>
      </c>
      <c r="P601" s="20">
        <v>-30.37</v>
      </c>
      <c r="Q601" s="20">
        <v>-1.83</v>
      </c>
      <c r="AG601" s="20">
        <v>599.0</v>
      </c>
      <c r="AH601" s="20" t="s">
        <v>14</v>
      </c>
      <c r="AI601" s="20">
        <v>-32.51</v>
      </c>
      <c r="AJ601" s="20">
        <v>-21.08</v>
      </c>
      <c r="AM601" s="20">
        <v>305.0</v>
      </c>
      <c r="AN601" s="20" t="s">
        <v>14</v>
      </c>
      <c r="AO601" s="20">
        <v>-62.8</v>
      </c>
      <c r="AP601" s="20">
        <v>-30.33</v>
      </c>
      <c r="AS601" s="20">
        <v>301.0</v>
      </c>
      <c r="AT601" s="20" t="s">
        <v>14</v>
      </c>
      <c r="AU601" s="20">
        <v>-23.84</v>
      </c>
      <c r="AV601" s="20">
        <v>-58.69</v>
      </c>
      <c r="BE601" s="20">
        <v>599.0</v>
      </c>
      <c r="BF601" s="20" t="s">
        <v>14</v>
      </c>
      <c r="BG601" s="20">
        <v>27.19</v>
      </c>
      <c r="BH601" s="20">
        <v>12.41</v>
      </c>
      <c r="BM601" s="20">
        <v>53.09</v>
      </c>
      <c r="BN601" s="20">
        <v>9.08</v>
      </c>
      <c r="BW601" s="20">
        <v>-61.8</v>
      </c>
      <c r="BX601" s="20">
        <v>-35.77</v>
      </c>
      <c r="BZ601" s="20">
        <v>-69.19</v>
      </c>
      <c r="CA601" s="20">
        <v>66.58</v>
      </c>
      <c r="CI601" s="20">
        <v>-41.86</v>
      </c>
      <c r="CJ601" s="20">
        <v>-51.47</v>
      </c>
      <c r="CO601" s="20">
        <v>-33.87</v>
      </c>
      <c r="CP601" s="20">
        <v>-53.76</v>
      </c>
    </row>
    <row r="602">
      <c r="A602" s="20">
        <v>27.5</v>
      </c>
      <c r="B602" s="20">
        <v>92.61</v>
      </c>
      <c r="D602" s="20"/>
      <c r="E602" s="20"/>
      <c r="F602" s="20">
        <v>-6.98</v>
      </c>
      <c r="G602" s="20">
        <v>4.55</v>
      </c>
      <c r="I602" s="20"/>
      <c r="J602" s="20"/>
      <c r="K602" s="20">
        <v>300.0</v>
      </c>
      <c r="L602" s="20" t="s">
        <v>17</v>
      </c>
      <c r="M602" s="20">
        <v>-38.8</v>
      </c>
      <c r="N602" s="20">
        <v>-46.51</v>
      </c>
      <c r="P602" s="20">
        <v>55.1</v>
      </c>
      <c r="Q602" s="20">
        <v>99.58</v>
      </c>
      <c r="AG602" s="20">
        <v>600.0</v>
      </c>
      <c r="AH602" s="20" t="s">
        <v>14</v>
      </c>
      <c r="AI602" s="20">
        <v>-27.33</v>
      </c>
      <c r="AJ602" s="20">
        <v>-18.17</v>
      </c>
      <c r="AM602" s="20">
        <v>305.0</v>
      </c>
      <c r="AN602" s="20" t="s">
        <v>17</v>
      </c>
      <c r="AO602" s="20">
        <v>1.54</v>
      </c>
      <c r="AP602" s="20">
        <v>24.72</v>
      </c>
      <c r="AS602" s="20">
        <v>301.0</v>
      </c>
      <c r="AT602" s="20" t="s">
        <v>17</v>
      </c>
      <c r="AU602" s="20">
        <v>-14.38</v>
      </c>
      <c r="AV602" s="20">
        <v>-42.8</v>
      </c>
      <c r="BE602" s="20">
        <v>600.0</v>
      </c>
      <c r="BF602" s="20" t="s">
        <v>14</v>
      </c>
      <c r="BG602" s="20">
        <v>1.28</v>
      </c>
      <c r="BH602" s="20">
        <v>49.45</v>
      </c>
      <c r="BM602" s="20">
        <v>175.9</v>
      </c>
      <c r="BN602" s="20">
        <v>61.63</v>
      </c>
      <c r="BW602" s="20">
        <v>-48.63</v>
      </c>
      <c r="BX602" s="20">
        <v>-18.19</v>
      </c>
      <c r="BZ602" s="20">
        <v>-48.04</v>
      </c>
      <c r="CA602" s="20">
        <v>-1.95</v>
      </c>
      <c r="CI602" s="20">
        <v>-47.45</v>
      </c>
      <c r="CJ602" s="20">
        <v>-52.62</v>
      </c>
      <c r="CO602" s="20">
        <v>22.51</v>
      </c>
      <c r="CP602" s="20">
        <v>-48.25</v>
      </c>
    </row>
    <row r="603">
      <c r="A603" s="20">
        <v>-28.18</v>
      </c>
      <c r="B603" s="20">
        <v>45.44</v>
      </c>
      <c r="D603" s="20"/>
      <c r="E603" s="20"/>
      <c r="F603" s="20">
        <v>1.48</v>
      </c>
      <c r="G603" s="20">
        <v>-2.48</v>
      </c>
      <c r="I603" s="20"/>
      <c r="J603" s="20"/>
      <c r="K603" s="20">
        <v>301.0</v>
      </c>
      <c r="L603" s="20" t="s">
        <v>14</v>
      </c>
      <c r="M603" s="20">
        <v>-23.48</v>
      </c>
      <c r="N603" s="20">
        <v>11.42</v>
      </c>
      <c r="P603" s="20">
        <v>-16.98</v>
      </c>
      <c r="Q603" s="20">
        <v>0.42</v>
      </c>
      <c r="AG603" s="20">
        <v>601.0</v>
      </c>
      <c r="AH603" s="20" t="s">
        <v>14</v>
      </c>
      <c r="AI603" s="20">
        <v>-2.27</v>
      </c>
      <c r="AJ603" s="20">
        <v>-13.36</v>
      </c>
      <c r="AM603" s="20">
        <v>306.0</v>
      </c>
      <c r="AN603" s="20" t="s">
        <v>14</v>
      </c>
      <c r="AO603" s="20">
        <v>20.14</v>
      </c>
      <c r="AP603" s="20">
        <v>68.81</v>
      </c>
      <c r="AS603" s="20">
        <v>302.0</v>
      </c>
      <c r="AT603" s="20" t="s">
        <v>14</v>
      </c>
      <c r="AU603" s="20">
        <v>-0.92</v>
      </c>
      <c r="AV603" s="20">
        <v>-50.1</v>
      </c>
      <c r="BE603" s="20">
        <v>601.0</v>
      </c>
      <c r="BF603" s="20" t="s">
        <v>14</v>
      </c>
      <c r="BG603" s="20">
        <v>0.35</v>
      </c>
      <c r="BH603" s="20">
        <v>72.44</v>
      </c>
      <c r="BM603" s="20">
        <v>141.32</v>
      </c>
      <c r="BN603" s="20">
        <v>115.71</v>
      </c>
      <c r="BW603" s="20">
        <v>-52.2</v>
      </c>
      <c r="BX603" s="20">
        <v>-15.49</v>
      </c>
      <c r="BZ603" s="20">
        <v>21.66</v>
      </c>
      <c r="CA603" s="20">
        <v>29.52</v>
      </c>
      <c r="CI603" s="20">
        <v>12.07</v>
      </c>
      <c r="CJ603" s="20">
        <v>-32.76</v>
      </c>
      <c r="CO603" s="20">
        <v>9.85</v>
      </c>
      <c r="CP603" s="20">
        <v>-37.98</v>
      </c>
    </row>
    <row r="604">
      <c r="A604" s="20">
        <v>-2.3</v>
      </c>
      <c r="B604" s="20">
        <v>94.18</v>
      </c>
      <c r="D604" s="20"/>
      <c r="E604" s="20"/>
      <c r="F604" s="20">
        <v>3.89</v>
      </c>
      <c r="G604" s="20">
        <v>22.38</v>
      </c>
      <c r="I604" s="20"/>
      <c r="J604" s="20"/>
      <c r="K604" s="20">
        <v>301.0</v>
      </c>
      <c r="L604" s="20" t="s">
        <v>17</v>
      </c>
      <c r="M604" s="20">
        <v>-41.62</v>
      </c>
      <c r="N604" s="20">
        <v>-44.33</v>
      </c>
      <c r="P604" s="20">
        <v>13.04</v>
      </c>
      <c r="Q604" s="20">
        <v>60.89</v>
      </c>
      <c r="AG604" s="20">
        <v>602.0</v>
      </c>
      <c r="AH604" s="20" t="s">
        <v>14</v>
      </c>
      <c r="AI604" s="20">
        <v>37.86</v>
      </c>
      <c r="AJ604" s="20">
        <v>9.19</v>
      </c>
      <c r="AM604" s="20">
        <v>306.0</v>
      </c>
      <c r="AN604" s="20" t="s">
        <v>17</v>
      </c>
      <c r="AO604" s="20">
        <v>-26.11</v>
      </c>
      <c r="AP604" s="20">
        <v>13.66</v>
      </c>
      <c r="AS604" s="20">
        <v>302.0</v>
      </c>
      <c r="AT604" s="20" t="s">
        <v>17</v>
      </c>
      <c r="AU604" s="20">
        <v>-34.91</v>
      </c>
      <c r="AV604" s="20">
        <v>-49.86</v>
      </c>
      <c r="BE604" s="20">
        <v>602.0</v>
      </c>
      <c r="BF604" s="20" t="s">
        <v>14</v>
      </c>
      <c r="BG604" s="20">
        <v>-23.32</v>
      </c>
      <c r="BH604" s="20">
        <v>2.73</v>
      </c>
      <c r="BM604" s="20">
        <v>160.43</v>
      </c>
      <c r="BN604" s="20">
        <v>124.18</v>
      </c>
      <c r="BW604" s="20">
        <v>-53.33</v>
      </c>
      <c r="BX604" s="20">
        <v>7.29</v>
      </c>
      <c r="BZ604" s="20">
        <v>-48.59</v>
      </c>
      <c r="CA604" s="20">
        <v>63.16</v>
      </c>
      <c r="CI604" s="20">
        <v>-26.19</v>
      </c>
      <c r="CJ604" s="20">
        <v>-55.9</v>
      </c>
      <c r="CO604" s="20">
        <v>10.62</v>
      </c>
      <c r="CP604" s="20">
        <v>-29.09</v>
      </c>
    </row>
    <row r="605">
      <c r="A605" s="20">
        <v>-10.18</v>
      </c>
      <c r="B605" s="20">
        <v>77.33</v>
      </c>
      <c r="D605" s="20"/>
      <c r="E605" s="20"/>
      <c r="F605" s="20">
        <v>-6.09</v>
      </c>
      <c r="G605" s="20">
        <v>54.36</v>
      </c>
      <c r="I605" s="20"/>
      <c r="J605" s="20"/>
      <c r="K605" s="20">
        <v>302.0</v>
      </c>
      <c r="L605" s="20" t="s">
        <v>14</v>
      </c>
      <c r="M605" s="20">
        <v>-36.18</v>
      </c>
      <c r="N605" s="20">
        <v>-14.36</v>
      </c>
      <c r="P605" s="20">
        <v>-21.09</v>
      </c>
      <c r="Q605" s="20">
        <v>-3.01</v>
      </c>
      <c r="AG605" s="20">
        <v>603.0</v>
      </c>
      <c r="AH605" s="20" t="s">
        <v>14</v>
      </c>
      <c r="AI605" s="20">
        <v>-13.25</v>
      </c>
      <c r="AJ605" s="20">
        <v>-17.95</v>
      </c>
      <c r="AM605" s="20">
        <v>307.0</v>
      </c>
      <c r="AN605" s="20" t="s">
        <v>14</v>
      </c>
      <c r="AO605" s="20">
        <v>-55.09</v>
      </c>
      <c r="AP605" s="20">
        <v>-15.24</v>
      </c>
      <c r="AS605" s="20">
        <v>303.0</v>
      </c>
      <c r="AT605" s="20" t="s">
        <v>14</v>
      </c>
      <c r="AU605" s="20">
        <v>-2.89</v>
      </c>
      <c r="AV605" s="20">
        <v>-48.42</v>
      </c>
      <c r="BE605" s="20">
        <v>603.0</v>
      </c>
      <c r="BF605" s="20" t="s">
        <v>14</v>
      </c>
      <c r="BG605" s="20">
        <v>1.35</v>
      </c>
      <c r="BH605" s="20">
        <v>24.36</v>
      </c>
      <c r="BM605" s="20">
        <v>20.29</v>
      </c>
      <c r="BN605" s="20">
        <v>104.2</v>
      </c>
      <c r="BW605" s="20">
        <v>-17.07</v>
      </c>
      <c r="BX605" s="20">
        <v>-1.97</v>
      </c>
      <c r="BZ605" s="20">
        <v>-49.14</v>
      </c>
      <c r="CA605" s="20">
        <v>54.61</v>
      </c>
      <c r="CI605" s="20">
        <v>-47.99</v>
      </c>
      <c r="CJ605" s="20">
        <v>-40.6</v>
      </c>
      <c r="CO605" s="20">
        <v>-2.31</v>
      </c>
      <c r="CP605" s="20">
        <v>-49.2</v>
      </c>
    </row>
    <row r="606">
      <c r="A606" s="20">
        <v>-35.97</v>
      </c>
      <c r="B606" s="20">
        <v>5.29</v>
      </c>
      <c r="D606" s="20"/>
      <c r="E606" s="20"/>
      <c r="F606" s="20">
        <v>-20.29</v>
      </c>
      <c r="G606" s="20">
        <v>-16.77</v>
      </c>
      <c r="I606" s="20"/>
      <c r="J606" s="20"/>
      <c r="K606" s="20">
        <v>302.0</v>
      </c>
      <c r="L606" s="20" t="s">
        <v>17</v>
      </c>
      <c r="M606" s="20">
        <v>-18.89</v>
      </c>
      <c r="N606" s="20">
        <v>-21.5</v>
      </c>
      <c r="P606" s="20">
        <v>-54.76</v>
      </c>
      <c r="Q606" s="20">
        <v>13.97</v>
      </c>
      <c r="AG606" s="20">
        <v>604.0</v>
      </c>
      <c r="AH606" s="20" t="s">
        <v>14</v>
      </c>
      <c r="AI606" s="20">
        <v>-40.09</v>
      </c>
      <c r="AJ606" s="20">
        <v>-38.34</v>
      </c>
      <c r="AM606" s="20">
        <v>307.0</v>
      </c>
      <c r="AN606" s="20" t="s">
        <v>17</v>
      </c>
      <c r="AO606" s="20">
        <v>-38.87</v>
      </c>
      <c r="AP606" s="20">
        <v>-6.55</v>
      </c>
      <c r="AS606" s="20">
        <v>303.0</v>
      </c>
      <c r="AT606" s="20" t="s">
        <v>17</v>
      </c>
      <c r="AU606" s="20">
        <v>11.35</v>
      </c>
      <c r="AV606" s="20">
        <v>-29.8</v>
      </c>
      <c r="BE606" s="20">
        <v>604.0</v>
      </c>
      <c r="BF606" s="20" t="s">
        <v>14</v>
      </c>
      <c r="BG606" s="20">
        <v>-16.99</v>
      </c>
      <c r="BH606" s="20">
        <v>61.94</v>
      </c>
      <c r="BM606" s="20">
        <v>50.83</v>
      </c>
      <c r="BN606" s="20">
        <v>36.46</v>
      </c>
      <c r="BW606" s="20">
        <v>-50.04</v>
      </c>
      <c r="BX606" s="20">
        <v>27.78</v>
      </c>
      <c r="BZ606" s="20">
        <v>-54.18</v>
      </c>
      <c r="CA606" s="20">
        <v>-4.32</v>
      </c>
      <c r="CI606" s="20">
        <v>-40.52</v>
      </c>
      <c r="CJ606" s="20">
        <v>-50.33</v>
      </c>
      <c r="CO606" s="20">
        <v>-12.88</v>
      </c>
      <c r="CP606" s="20">
        <v>-42.88</v>
      </c>
    </row>
    <row r="607">
      <c r="A607" s="20">
        <v>38.99</v>
      </c>
      <c r="B607" s="20">
        <v>-17.49</v>
      </c>
      <c r="D607" s="20"/>
      <c r="E607" s="20"/>
      <c r="F607" s="20">
        <v>-17.39</v>
      </c>
      <c r="G607" s="20">
        <v>0.86</v>
      </c>
      <c r="I607" s="20"/>
      <c r="J607" s="20"/>
      <c r="K607" s="20">
        <v>303.0</v>
      </c>
      <c r="L607" s="20" t="s">
        <v>14</v>
      </c>
      <c r="M607" s="20">
        <v>15.54</v>
      </c>
      <c r="N607" s="20">
        <v>54.47</v>
      </c>
      <c r="P607" s="20">
        <v>-26.69</v>
      </c>
      <c r="Q607" s="20">
        <v>29.64</v>
      </c>
      <c r="AG607" s="20">
        <v>605.0</v>
      </c>
      <c r="AH607" s="20" t="s">
        <v>14</v>
      </c>
      <c r="AI607" s="20">
        <v>5.29</v>
      </c>
      <c r="AJ607" s="20">
        <v>-8.93</v>
      </c>
      <c r="AM607" s="20">
        <v>308.0</v>
      </c>
      <c r="AN607" s="20" t="s">
        <v>14</v>
      </c>
      <c r="AO607" s="20">
        <v>-33.36</v>
      </c>
      <c r="AP607" s="20">
        <v>-45.73</v>
      </c>
      <c r="AS607" s="20">
        <v>304.0</v>
      </c>
      <c r="AT607" s="20" t="s">
        <v>14</v>
      </c>
      <c r="AU607" s="20">
        <v>4.5</v>
      </c>
      <c r="AV607" s="20">
        <v>-30.35</v>
      </c>
      <c r="BE607" s="20">
        <v>605.0</v>
      </c>
      <c r="BF607" s="20" t="s">
        <v>14</v>
      </c>
      <c r="BG607" s="20">
        <v>3.05</v>
      </c>
      <c r="BH607" s="20">
        <v>-17.91</v>
      </c>
      <c r="BM607" s="20">
        <v>159.45</v>
      </c>
      <c r="BN607" s="20">
        <v>107.22</v>
      </c>
      <c r="BW607" s="20">
        <v>-51.79</v>
      </c>
      <c r="BX607" s="20">
        <v>28.91</v>
      </c>
      <c r="BZ607" s="20">
        <v>-54.28</v>
      </c>
      <c r="CA607" s="20">
        <v>7.81</v>
      </c>
      <c r="CI607" s="20">
        <v>-46.89</v>
      </c>
      <c r="CJ607" s="20">
        <v>-54.75</v>
      </c>
      <c r="CO607" s="20">
        <v>-24.61</v>
      </c>
      <c r="CP607" s="20">
        <v>-40.27</v>
      </c>
    </row>
    <row r="608">
      <c r="A608" s="20">
        <v>-7.28</v>
      </c>
      <c r="B608" s="20">
        <v>51.89</v>
      </c>
      <c r="D608" s="20"/>
      <c r="E608" s="20"/>
      <c r="F608" s="20">
        <v>-29.26</v>
      </c>
      <c r="G608" s="20">
        <v>-9.03</v>
      </c>
      <c r="I608" s="20"/>
      <c r="J608" s="20"/>
      <c r="K608" s="20">
        <v>303.0</v>
      </c>
      <c r="L608" s="20" t="s">
        <v>17</v>
      </c>
      <c r="M608" s="20">
        <v>-72.81</v>
      </c>
      <c r="N608" s="20">
        <v>-68.15</v>
      </c>
      <c r="P608" s="20">
        <v>-54.1</v>
      </c>
      <c r="Q608" s="20">
        <v>-1.35</v>
      </c>
      <c r="AG608" s="20">
        <v>606.0</v>
      </c>
      <c r="AH608" s="20" t="s">
        <v>14</v>
      </c>
      <c r="AI608" s="20">
        <v>-11.39</v>
      </c>
      <c r="AJ608" s="20">
        <v>4.47</v>
      </c>
      <c r="AM608" s="20">
        <v>308.0</v>
      </c>
      <c r="AN608" s="20" t="s">
        <v>17</v>
      </c>
      <c r="AO608" s="20">
        <v>-64.52</v>
      </c>
      <c r="AP608" s="20">
        <v>-25.83</v>
      </c>
      <c r="AS608" s="20">
        <v>304.0</v>
      </c>
      <c r="AT608" s="20" t="s">
        <v>17</v>
      </c>
      <c r="AU608" s="20">
        <v>-4.77</v>
      </c>
      <c r="AV608" s="20">
        <v>-24.31</v>
      </c>
      <c r="BE608" s="20">
        <v>606.0</v>
      </c>
      <c r="BF608" s="20" t="s">
        <v>14</v>
      </c>
      <c r="BG608" s="20">
        <v>-31.97</v>
      </c>
      <c r="BH608" s="20">
        <v>-13.6</v>
      </c>
      <c r="BM608" s="20">
        <v>64.15</v>
      </c>
      <c r="BN608" s="20">
        <v>282.26</v>
      </c>
      <c r="BW608" s="20">
        <v>-41.1</v>
      </c>
      <c r="BX608" s="20">
        <v>-5.8</v>
      </c>
      <c r="BZ608" s="20">
        <v>-38.88</v>
      </c>
      <c r="CA608" s="20">
        <v>1.4</v>
      </c>
      <c r="CI608" s="20">
        <v>-46.42</v>
      </c>
      <c r="CJ608" s="20">
        <v>-49.58</v>
      </c>
      <c r="CO608" s="20">
        <v>-3.39</v>
      </c>
      <c r="CP608" s="20">
        <v>-41.36</v>
      </c>
    </row>
    <row r="609">
      <c r="A609" s="20">
        <v>-19.04</v>
      </c>
      <c r="B609" s="20">
        <v>40.83</v>
      </c>
      <c r="D609" s="20"/>
      <c r="E609" s="20"/>
      <c r="F609" s="20">
        <v>5.11</v>
      </c>
      <c r="G609" s="20">
        <v>33.67</v>
      </c>
      <c r="I609" s="20"/>
      <c r="J609" s="20"/>
      <c r="K609" s="20">
        <v>304.0</v>
      </c>
      <c r="L609" s="20" t="s">
        <v>14</v>
      </c>
      <c r="M609" s="20">
        <v>-16.87</v>
      </c>
      <c r="N609" s="20">
        <v>87.73</v>
      </c>
      <c r="P609" s="20">
        <v>-40.03</v>
      </c>
      <c r="Q609" s="20">
        <v>-34.82</v>
      </c>
      <c r="AG609" s="20">
        <v>607.0</v>
      </c>
      <c r="AH609" s="20" t="s">
        <v>14</v>
      </c>
      <c r="AI609" s="20">
        <v>-28.89</v>
      </c>
      <c r="AJ609" s="20">
        <v>-8.55</v>
      </c>
      <c r="AM609" s="20">
        <v>309.0</v>
      </c>
      <c r="AN609" s="20" t="s">
        <v>14</v>
      </c>
      <c r="AO609" s="20">
        <v>4.32</v>
      </c>
      <c r="AP609" s="20">
        <v>-26.17</v>
      </c>
      <c r="AS609" s="20">
        <v>305.0</v>
      </c>
      <c r="AT609" s="20" t="s">
        <v>14</v>
      </c>
      <c r="AU609" s="20">
        <v>29.92</v>
      </c>
      <c r="AV609" s="20">
        <v>13.88</v>
      </c>
      <c r="BE609" s="20">
        <v>607.0</v>
      </c>
      <c r="BF609" s="20" t="s">
        <v>14</v>
      </c>
      <c r="BG609" s="20">
        <v>-2.29</v>
      </c>
      <c r="BH609" s="20">
        <v>2.31</v>
      </c>
      <c r="BM609" s="20">
        <v>151.34</v>
      </c>
      <c r="BN609" s="20">
        <v>83.41</v>
      </c>
      <c r="BW609" s="20">
        <v>-62.28</v>
      </c>
      <c r="BX609" s="20">
        <v>-2.66</v>
      </c>
      <c r="BZ609" s="20">
        <v>-49.97</v>
      </c>
      <c r="CA609" s="20">
        <v>28.08</v>
      </c>
      <c r="CI609" s="20">
        <v>-48.67</v>
      </c>
      <c r="CJ609" s="20">
        <v>-57.67</v>
      </c>
      <c r="CO609" s="20">
        <v>-24.95</v>
      </c>
      <c r="CP609" s="20">
        <v>-36.49</v>
      </c>
    </row>
    <row r="610">
      <c r="A610" s="20">
        <v>-28.43</v>
      </c>
      <c r="B610" s="20">
        <v>131.76</v>
      </c>
      <c r="D610" s="20"/>
      <c r="E610" s="20"/>
      <c r="F610" s="20">
        <v>-5.31</v>
      </c>
      <c r="G610" s="20">
        <v>20.96</v>
      </c>
      <c r="I610" s="20"/>
      <c r="J610" s="20"/>
      <c r="K610" s="20">
        <v>304.0</v>
      </c>
      <c r="L610" s="20" t="s">
        <v>17</v>
      </c>
      <c r="M610" s="20">
        <v>-39.02</v>
      </c>
      <c r="N610" s="20">
        <v>8.59</v>
      </c>
      <c r="P610" s="20">
        <v>-79.29</v>
      </c>
      <c r="Q610" s="20">
        <v>-59.89</v>
      </c>
      <c r="AG610" s="20">
        <v>608.0</v>
      </c>
      <c r="AH610" s="20" t="s">
        <v>14</v>
      </c>
      <c r="AI610" s="20">
        <v>-0.42</v>
      </c>
      <c r="AJ610" s="20">
        <v>-0.41</v>
      </c>
      <c r="AM610" s="20">
        <v>309.0</v>
      </c>
      <c r="AN610" s="20" t="s">
        <v>17</v>
      </c>
      <c r="AO610" s="20">
        <v>31.91</v>
      </c>
      <c r="AP610" s="20">
        <v>-8.45</v>
      </c>
      <c r="AS610" s="20">
        <v>305.0</v>
      </c>
      <c r="AT610" s="20" t="s">
        <v>17</v>
      </c>
      <c r="AU610" s="20">
        <v>-1.5</v>
      </c>
      <c r="AV610" s="20">
        <v>-57.53</v>
      </c>
      <c r="BE610" s="20">
        <v>608.0</v>
      </c>
      <c r="BF610" s="20" t="s">
        <v>14</v>
      </c>
      <c r="BG610" s="20">
        <v>9.36</v>
      </c>
      <c r="BH610" s="20">
        <v>17.4</v>
      </c>
      <c r="BM610" s="20">
        <v>129.45</v>
      </c>
      <c r="BN610" s="20">
        <v>121.94</v>
      </c>
      <c r="BW610" s="20">
        <v>-47.25</v>
      </c>
      <c r="BX610" s="20">
        <v>12.29</v>
      </c>
      <c r="BZ610" s="20">
        <v>-30.18</v>
      </c>
      <c r="CA610" s="20">
        <v>103.94</v>
      </c>
      <c r="CI610" s="20">
        <v>-46.32</v>
      </c>
      <c r="CJ610" s="20">
        <v>-68.03</v>
      </c>
      <c r="CO610" s="20">
        <v>53.34</v>
      </c>
      <c r="CP610" s="20">
        <v>-35.52</v>
      </c>
    </row>
    <row r="611">
      <c r="A611" s="20">
        <v>-38.33</v>
      </c>
      <c r="B611" s="20">
        <v>102.64</v>
      </c>
      <c r="D611" s="20"/>
      <c r="E611" s="20"/>
      <c r="F611" s="20">
        <v>-24.14</v>
      </c>
      <c r="G611" s="20">
        <v>22.48</v>
      </c>
      <c r="I611" s="20"/>
      <c r="J611" s="20"/>
      <c r="K611" s="20">
        <v>305.0</v>
      </c>
      <c r="L611" s="20" t="s">
        <v>14</v>
      </c>
      <c r="M611" s="20">
        <v>-7.57</v>
      </c>
      <c r="N611" s="20">
        <v>16.88</v>
      </c>
      <c r="P611" s="20">
        <v>-17.24</v>
      </c>
      <c r="Q611" s="20">
        <v>-2.54</v>
      </c>
      <c r="AG611" s="20">
        <v>609.0</v>
      </c>
      <c r="AH611" s="20" t="s">
        <v>14</v>
      </c>
      <c r="AI611" s="20">
        <v>-15.31</v>
      </c>
      <c r="AJ611" s="20">
        <v>-2.16</v>
      </c>
      <c r="AM611" s="20">
        <v>310.0</v>
      </c>
      <c r="AN611" s="20" t="s">
        <v>14</v>
      </c>
      <c r="AO611" s="20">
        <v>-35.84</v>
      </c>
      <c r="AP611" s="20">
        <v>-46.33</v>
      </c>
      <c r="AS611" s="20">
        <v>306.0</v>
      </c>
      <c r="AT611" s="20" t="s">
        <v>14</v>
      </c>
      <c r="AU611" s="20">
        <v>-16.93</v>
      </c>
      <c r="AV611" s="20">
        <v>-51.03</v>
      </c>
      <c r="BE611" s="20">
        <v>609.0</v>
      </c>
      <c r="BF611" s="20" t="s">
        <v>14</v>
      </c>
      <c r="BG611" s="20">
        <v>-22.74</v>
      </c>
      <c r="BH611" s="20">
        <v>36.16</v>
      </c>
      <c r="BM611" s="20">
        <v>116.6</v>
      </c>
      <c r="BN611" s="20">
        <v>275.81</v>
      </c>
      <c r="BW611" s="20">
        <v>-47.81</v>
      </c>
      <c r="BX611" s="20">
        <v>18.58</v>
      </c>
      <c r="BZ611" s="20">
        <v>-59.45</v>
      </c>
      <c r="CA611" s="20">
        <v>48.62</v>
      </c>
      <c r="CI611" s="20">
        <v>-48.79</v>
      </c>
      <c r="CJ611" s="20">
        <v>-70.42</v>
      </c>
      <c r="CO611" s="20">
        <v>-62.99</v>
      </c>
      <c r="CP611" s="20">
        <v>-61.75</v>
      </c>
    </row>
    <row r="612">
      <c r="A612" s="20">
        <v>-31.04</v>
      </c>
      <c r="B612" s="20">
        <v>30.68</v>
      </c>
      <c r="D612" s="20"/>
      <c r="E612" s="20"/>
      <c r="F612" s="20">
        <v>-19.08</v>
      </c>
      <c r="G612" s="20">
        <v>64.46</v>
      </c>
      <c r="I612" s="20"/>
      <c r="J612" s="20"/>
      <c r="K612" s="20">
        <v>305.0</v>
      </c>
      <c r="L612" s="20" t="s">
        <v>17</v>
      </c>
      <c r="M612" s="20">
        <v>-17.3</v>
      </c>
      <c r="N612" s="20">
        <v>50.45</v>
      </c>
      <c r="P612" s="20">
        <v>-34.57</v>
      </c>
      <c r="Q612" s="20">
        <v>-13.14</v>
      </c>
      <c r="AG612" s="20">
        <v>610.0</v>
      </c>
      <c r="AH612" s="20" t="s">
        <v>14</v>
      </c>
      <c r="AI612" s="20">
        <v>-15.42</v>
      </c>
      <c r="AJ612" s="20">
        <v>-5.53</v>
      </c>
      <c r="AM612" s="20">
        <v>310.0</v>
      </c>
      <c r="AN612" s="20" t="s">
        <v>17</v>
      </c>
      <c r="AO612" s="20">
        <v>6.04</v>
      </c>
      <c r="AP612" s="20">
        <v>-16.41</v>
      </c>
      <c r="AS612" s="20">
        <v>306.0</v>
      </c>
      <c r="AT612" s="20" t="s">
        <v>17</v>
      </c>
      <c r="AU612" s="20">
        <v>-7.69</v>
      </c>
      <c r="AV612" s="20">
        <v>-29.66</v>
      </c>
      <c r="BE612" s="20">
        <v>610.0</v>
      </c>
      <c r="BF612" s="20" t="s">
        <v>14</v>
      </c>
      <c r="BG612" s="20">
        <v>13.21</v>
      </c>
      <c r="BH612" s="20">
        <v>15.96</v>
      </c>
      <c r="BM612" s="20">
        <v>41.31</v>
      </c>
      <c r="BN612" s="20">
        <v>51.21</v>
      </c>
      <c r="BW612" s="20">
        <v>-51.61</v>
      </c>
      <c r="BX612" s="20">
        <v>-8.06</v>
      </c>
      <c r="BZ612" s="20">
        <v>-45.42</v>
      </c>
      <c r="CA612" s="20">
        <v>24.2</v>
      </c>
      <c r="CI612" s="20">
        <v>-43.55</v>
      </c>
      <c r="CJ612" s="20">
        <v>-59.26</v>
      </c>
      <c r="CO612" s="20">
        <v>-33.74</v>
      </c>
      <c r="CP612" s="20">
        <v>-50.85</v>
      </c>
    </row>
    <row r="613">
      <c r="A613" s="20">
        <v>-17.95</v>
      </c>
      <c r="B613" s="20">
        <v>25.69</v>
      </c>
      <c r="D613" s="20"/>
      <c r="E613" s="20"/>
      <c r="F613" s="20">
        <v>-33.06</v>
      </c>
      <c r="G613" s="20">
        <v>3.47</v>
      </c>
      <c r="I613" s="20"/>
      <c r="J613" s="20"/>
      <c r="K613" s="20">
        <v>306.0</v>
      </c>
      <c r="L613" s="20" t="s">
        <v>14</v>
      </c>
      <c r="M613" s="20">
        <v>-41.12</v>
      </c>
      <c r="N613" s="20">
        <v>0.3</v>
      </c>
      <c r="P613" s="20">
        <v>-0.89</v>
      </c>
      <c r="Q613" s="20">
        <v>29.81</v>
      </c>
      <c r="AG613" s="20">
        <v>611.0</v>
      </c>
      <c r="AH613" s="20" t="s">
        <v>14</v>
      </c>
      <c r="AI613" s="20">
        <v>-18.82</v>
      </c>
      <c r="AJ613" s="20">
        <v>-11.82</v>
      </c>
      <c r="AM613" s="20">
        <v>311.0</v>
      </c>
      <c r="AN613" s="20" t="s">
        <v>14</v>
      </c>
      <c r="AO613" s="20">
        <v>32.63</v>
      </c>
      <c r="AP613" s="20">
        <v>-29.56</v>
      </c>
      <c r="AS613" s="20">
        <v>307.0</v>
      </c>
      <c r="AT613" s="20" t="s">
        <v>14</v>
      </c>
      <c r="AU613" s="20">
        <v>-28.38</v>
      </c>
      <c r="AV613" s="20">
        <v>-28.07</v>
      </c>
      <c r="BE613" s="20">
        <v>611.0</v>
      </c>
      <c r="BF613" s="20" t="s">
        <v>14</v>
      </c>
      <c r="BG613" s="20">
        <v>-10.34</v>
      </c>
      <c r="BH613" s="20">
        <v>-17.22</v>
      </c>
      <c r="BM613" s="20">
        <v>165.14</v>
      </c>
      <c r="BN613" s="20">
        <v>123.31</v>
      </c>
      <c r="BW613" s="20">
        <v>-50.16</v>
      </c>
      <c r="BX613" s="20">
        <v>47.78</v>
      </c>
      <c r="BZ613" s="20">
        <v>7.45</v>
      </c>
      <c r="CA613" s="20">
        <v>9.83</v>
      </c>
      <c r="CI613" s="20">
        <v>-59.24</v>
      </c>
      <c r="CJ613" s="20">
        <v>-60.4</v>
      </c>
      <c r="CO613" s="20">
        <v>10.89</v>
      </c>
      <c r="CP613" s="20">
        <v>-37.04</v>
      </c>
    </row>
    <row r="614">
      <c r="A614" s="20">
        <v>13.3</v>
      </c>
      <c r="B614" s="20">
        <v>11.97</v>
      </c>
      <c r="D614" s="20"/>
      <c r="E614" s="20"/>
      <c r="F614" s="20">
        <v>-15.97</v>
      </c>
      <c r="G614" s="20">
        <v>28.15</v>
      </c>
      <c r="I614" s="20"/>
      <c r="J614" s="20"/>
      <c r="K614" s="20">
        <v>306.0</v>
      </c>
      <c r="L614" s="20" t="s">
        <v>17</v>
      </c>
      <c r="M614" s="20">
        <v>-30.67</v>
      </c>
      <c r="N614" s="20">
        <v>6.59</v>
      </c>
      <c r="P614" s="20">
        <v>1.91</v>
      </c>
      <c r="Q614" s="20">
        <v>84.26</v>
      </c>
      <c r="AG614" s="20">
        <v>612.0</v>
      </c>
      <c r="AH614" s="20" t="s">
        <v>14</v>
      </c>
      <c r="AI614" s="20">
        <v>-17.52</v>
      </c>
      <c r="AJ614" s="20">
        <v>-14.34</v>
      </c>
      <c r="AM614" s="20">
        <v>311.0</v>
      </c>
      <c r="AN614" s="20" t="s">
        <v>17</v>
      </c>
      <c r="AO614" s="20">
        <v>-24.06</v>
      </c>
      <c r="AP614" s="20">
        <v>53.33</v>
      </c>
      <c r="AS614" s="20">
        <v>307.0</v>
      </c>
      <c r="AT614" s="20" t="s">
        <v>17</v>
      </c>
      <c r="AU614" s="20">
        <v>-47.59</v>
      </c>
      <c r="AV614" s="20">
        <v>-15.22</v>
      </c>
      <c r="BE614" s="20">
        <v>612.0</v>
      </c>
      <c r="BF614" s="20" t="s">
        <v>14</v>
      </c>
      <c r="BG614" s="20">
        <v>28.56</v>
      </c>
      <c r="BH614" s="20">
        <v>40.2</v>
      </c>
      <c r="BM614" s="20">
        <v>144.11</v>
      </c>
      <c r="BN614" s="20">
        <v>107.78</v>
      </c>
      <c r="BW614" s="20">
        <v>-36.3</v>
      </c>
      <c r="BX614" s="20">
        <v>35.58</v>
      </c>
      <c r="BZ614" s="20">
        <v>-5.65</v>
      </c>
      <c r="CA614" s="20">
        <v>1.05</v>
      </c>
      <c r="CI614" s="20">
        <v>-64.85</v>
      </c>
      <c r="CJ614" s="20">
        <v>-70.68</v>
      </c>
      <c r="CO614" s="20">
        <v>21.98</v>
      </c>
      <c r="CP614" s="20">
        <v>-21.28</v>
      </c>
    </row>
    <row r="615">
      <c r="A615" s="20">
        <v>9.85</v>
      </c>
      <c r="B615" s="20">
        <v>110.5</v>
      </c>
      <c r="D615" s="20"/>
      <c r="E615" s="20"/>
      <c r="F615" s="20">
        <v>-4.98</v>
      </c>
      <c r="G615" s="20">
        <v>-9.34</v>
      </c>
      <c r="I615" s="20"/>
      <c r="J615" s="20"/>
      <c r="K615" s="20">
        <v>307.0</v>
      </c>
      <c r="L615" s="20" t="s">
        <v>14</v>
      </c>
      <c r="M615" s="20">
        <v>76.65</v>
      </c>
      <c r="N615" s="20">
        <v>53.33</v>
      </c>
      <c r="P615" s="20">
        <v>-8.79</v>
      </c>
      <c r="Q615" s="20">
        <v>8.33</v>
      </c>
      <c r="AG615" s="20">
        <v>613.0</v>
      </c>
      <c r="AH615" s="20" t="s">
        <v>14</v>
      </c>
      <c r="AI615" s="20">
        <v>-8.21</v>
      </c>
      <c r="AJ615" s="20">
        <v>11.96</v>
      </c>
      <c r="AM615" s="20">
        <v>312.0</v>
      </c>
      <c r="AN615" s="20" t="s">
        <v>14</v>
      </c>
      <c r="AO615" s="20">
        <v>-9.38</v>
      </c>
      <c r="AP615" s="20">
        <v>-29.83</v>
      </c>
      <c r="AS615" s="20">
        <v>308.0</v>
      </c>
      <c r="AT615" s="20" t="s">
        <v>14</v>
      </c>
      <c r="AU615" s="20">
        <v>-28.14</v>
      </c>
      <c r="AV615" s="20">
        <v>-55.98</v>
      </c>
      <c r="BE615" s="20">
        <v>613.0</v>
      </c>
      <c r="BF615" s="20" t="s">
        <v>14</v>
      </c>
      <c r="BG615" s="20">
        <v>8.12</v>
      </c>
      <c r="BH615" s="20">
        <v>12.05</v>
      </c>
      <c r="BM615" s="20">
        <v>82.13</v>
      </c>
      <c r="BN615" s="20">
        <v>67.07</v>
      </c>
      <c r="BW615" s="20">
        <v>-41.43</v>
      </c>
      <c r="BX615" s="20">
        <v>-21.34</v>
      </c>
      <c r="BZ615" s="20">
        <v>-57.36</v>
      </c>
      <c r="CA615" s="20">
        <v>65.27</v>
      </c>
      <c r="CI615" s="20">
        <v>-46.11</v>
      </c>
      <c r="CJ615" s="20">
        <v>-63.89</v>
      </c>
      <c r="CO615" s="20">
        <v>-32.35</v>
      </c>
      <c r="CP615" s="20">
        <v>-17.55</v>
      </c>
    </row>
    <row r="616">
      <c r="A616" s="20">
        <v>77.79</v>
      </c>
      <c r="B616" s="20">
        <v>-13.39</v>
      </c>
      <c r="D616" s="20"/>
      <c r="E616" s="20"/>
      <c r="F616" s="20">
        <v>-7.74</v>
      </c>
      <c r="G616" s="20">
        <v>25.94</v>
      </c>
      <c r="I616" s="20"/>
      <c r="J616" s="20"/>
      <c r="K616" s="20">
        <v>307.0</v>
      </c>
      <c r="L616" s="20" t="s">
        <v>17</v>
      </c>
      <c r="M616" s="20">
        <v>-23.54</v>
      </c>
      <c r="N616" s="20">
        <v>42.39</v>
      </c>
      <c r="P616" s="20">
        <v>2.8</v>
      </c>
      <c r="Q616" s="20">
        <v>31.32</v>
      </c>
      <c r="AG616" s="20">
        <v>614.0</v>
      </c>
      <c r="AH616" s="20" t="s">
        <v>14</v>
      </c>
      <c r="AI616" s="20">
        <v>16.25</v>
      </c>
      <c r="AJ616" s="20">
        <v>6.61</v>
      </c>
      <c r="AM616" s="20">
        <v>312.0</v>
      </c>
      <c r="AN616" s="20" t="s">
        <v>17</v>
      </c>
      <c r="AO616" s="20">
        <v>-5.14</v>
      </c>
      <c r="AP616" s="20">
        <v>23.89</v>
      </c>
      <c r="AS616" s="20">
        <v>308.0</v>
      </c>
      <c r="AT616" s="20" t="s">
        <v>17</v>
      </c>
      <c r="AU616" s="20">
        <v>-41.07</v>
      </c>
      <c r="AV616" s="20">
        <v>-9.65</v>
      </c>
      <c r="BE616" s="20">
        <v>614.0</v>
      </c>
      <c r="BF616" s="20" t="s">
        <v>14</v>
      </c>
      <c r="BG616" s="20">
        <v>16.8</v>
      </c>
      <c r="BH616" s="20">
        <v>-2.79</v>
      </c>
      <c r="BM616" s="20">
        <v>88.71</v>
      </c>
      <c r="BN616" s="20">
        <v>30.35</v>
      </c>
      <c r="BW616" s="20">
        <v>-38.33</v>
      </c>
      <c r="BX616" s="20">
        <v>-33.89</v>
      </c>
      <c r="BZ616" s="20">
        <v>-73.29</v>
      </c>
      <c r="CA616" s="20">
        <v>86.82</v>
      </c>
      <c r="CI616" s="20">
        <v>-47.15</v>
      </c>
      <c r="CJ616" s="20">
        <v>-30.41</v>
      </c>
      <c r="CO616" s="20">
        <v>2.31</v>
      </c>
      <c r="CP616" s="20">
        <v>-21.78</v>
      </c>
    </row>
    <row r="617">
      <c r="A617" s="20">
        <v>31.08</v>
      </c>
      <c r="B617" s="20">
        <v>132.8</v>
      </c>
      <c r="D617" s="20"/>
      <c r="E617" s="20"/>
      <c r="F617" s="20">
        <v>-3.12</v>
      </c>
      <c r="G617" s="20">
        <v>10.58</v>
      </c>
      <c r="I617" s="20"/>
      <c r="J617" s="20"/>
      <c r="K617" s="20">
        <v>308.0</v>
      </c>
      <c r="L617" s="20" t="s">
        <v>14</v>
      </c>
      <c r="M617" s="20">
        <v>25.29</v>
      </c>
      <c r="N617" s="20">
        <v>125.52</v>
      </c>
      <c r="P617" s="20">
        <v>-4.81</v>
      </c>
      <c r="Q617" s="20">
        <v>35.56</v>
      </c>
      <c r="AG617" s="20">
        <v>615.0</v>
      </c>
      <c r="AH617" s="20" t="s">
        <v>14</v>
      </c>
      <c r="AI617" s="20">
        <v>-15.71</v>
      </c>
      <c r="AJ617" s="20">
        <v>0.73</v>
      </c>
      <c r="AM617" s="20">
        <v>313.0</v>
      </c>
      <c r="AN617" s="20" t="s">
        <v>14</v>
      </c>
      <c r="AO617" s="20">
        <v>-21.98</v>
      </c>
      <c r="AP617" s="20">
        <v>-33.3</v>
      </c>
      <c r="AS617" s="20">
        <v>309.0</v>
      </c>
      <c r="AT617" s="20" t="s">
        <v>14</v>
      </c>
      <c r="AU617" s="20">
        <v>-29.94</v>
      </c>
      <c r="AV617" s="20">
        <v>-41.24</v>
      </c>
      <c r="BE617" s="20">
        <v>615.0</v>
      </c>
      <c r="BF617" s="20" t="s">
        <v>14</v>
      </c>
      <c r="BG617" s="20">
        <v>-5.15</v>
      </c>
      <c r="BH617" s="20">
        <v>-0.23</v>
      </c>
      <c r="BM617" s="20">
        <v>88.72</v>
      </c>
      <c r="BN617" s="20">
        <v>123.35</v>
      </c>
      <c r="BW617" s="20">
        <v>-32.14</v>
      </c>
      <c r="BX617" s="20">
        <v>3.48</v>
      </c>
      <c r="BZ617" s="20">
        <v>-48.71</v>
      </c>
      <c r="CA617" s="20">
        <v>25.84</v>
      </c>
      <c r="CI617" s="20">
        <v>-30.86</v>
      </c>
      <c r="CJ617" s="20">
        <v>-44.23</v>
      </c>
      <c r="CO617" s="20">
        <v>-38.56</v>
      </c>
      <c r="CP617" s="20">
        <v>-56.61</v>
      </c>
    </row>
    <row r="618">
      <c r="A618" s="20">
        <v>1.5</v>
      </c>
      <c r="B618" s="20">
        <v>30.59</v>
      </c>
      <c r="D618" s="20"/>
      <c r="E618" s="20"/>
      <c r="F618" s="20">
        <v>-22.73</v>
      </c>
      <c r="G618" s="20">
        <v>2.1</v>
      </c>
      <c r="I618" s="20"/>
      <c r="J618" s="20"/>
      <c r="K618" s="20">
        <v>308.0</v>
      </c>
      <c r="L618" s="20" t="s">
        <v>17</v>
      </c>
      <c r="M618" s="20">
        <v>-28.3</v>
      </c>
      <c r="N618" s="20">
        <v>-2.94</v>
      </c>
      <c r="P618" s="20">
        <v>28.14</v>
      </c>
      <c r="Q618" s="20">
        <v>63.17</v>
      </c>
      <c r="AG618" s="20">
        <v>616.0</v>
      </c>
      <c r="AH618" s="20" t="s">
        <v>14</v>
      </c>
      <c r="AI618" s="20">
        <v>-35.95</v>
      </c>
      <c r="AJ618" s="20">
        <v>-30.4</v>
      </c>
      <c r="AM618" s="20">
        <v>313.0</v>
      </c>
      <c r="AN618" s="20" t="s">
        <v>17</v>
      </c>
      <c r="AO618" s="20">
        <v>72.88</v>
      </c>
      <c r="AP618" s="20">
        <v>-30.81</v>
      </c>
      <c r="AS618" s="20">
        <v>309.0</v>
      </c>
      <c r="AT618" s="20" t="s">
        <v>17</v>
      </c>
      <c r="AU618" s="20">
        <v>24.01</v>
      </c>
      <c r="AV618" s="20">
        <v>-27.04</v>
      </c>
      <c r="BE618" s="20">
        <v>616.0</v>
      </c>
      <c r="BF618" s="20" t="s">
        <v>14</v>
      </c>
      <c r="BG618" s="20">
        <v>-34.32</v>
      </c>
      <c r="BH618" s="20">
        <v>27.05</v>
      </c>
      <c r="BM618" s="20">
        <v>111.45</v>
      </c>
      <c r="BN618" s="20">
        <v>123.27</v>
      </c>
      <c r="BW618" s="20">
        <v>-34.77</v>
      </c>
      <c r="BX618" s="20">
        <v>-11.78</v>
      </c>
      <c r="BZ618" s="20">
        <v>-59.52</v>
      </c>
      <c r="CA618" s="20">
        <v>90.95</v>
      </c>
      <c r="CI618" s="20">
        <v>-54.06</v>
      </c>
      <c r="CJ618" s="20">
        <v>-43.22</v>
      </c>
      <c r="CO618" s="20">
        <v>0.03</v>
      </c>
      <c r="CP618" s="20">
        <v>5.39</v>
      </c>
    </row>
    <row r="619">
      <c r="A619" s="20">
        <v>6.61</v>
      </c>
      <c r="B619" s="20">
        <v>39.45</v>
      </c>
      <c r="D619" s="20"/>
      <c r="E619" s="20"/>
      <c r="F619" s="20">
        <v>-28.85</v>
      </c>
      <c r="G619" s="20">
        <v>-9.84</v>
      </c>
      <c r="I619" s="20"/>
      <c r="J619" s="20"/>
      <c r="K619" s="20">
        <v>309.0</v>
      </c>
      <c r="L619" s="20" t="s">
        <v>14</v>
      </c>
      <c r="M619" s="20">
        <v>-19.36</v>
      </c>
      <c r="N619" s="20">
        <v>-12.43</v>
      </c>
      <c r="P619" s="20">
        <v>-0.62</v>
      </c>
      <c r="Q619" s="20">
        <v>29.63</v>
      </c>
      <c r="AG619" s="20">
        <v>617.0</v>
      </c>
      <c r="AH619" s="20" t="s">
        <v>14</v>
      </c>
      <c r="AI619" s="20">
        <v>-2.51</v>
      </c>
      <c r="AJ619" s="20">
        <v>-8.11</v>
      </c>
      <c r="AM619" s="20">
        <v>314.0</v>
      </c>
      <c r="AN619" s="20" t="s">
        <v>14</v>
      </c>
      <c r="AO619" s="20">
        <v>-26.49</v>
      </c>
      <c r="AP619" s="20">
        <v>-29.26</v>
      </c>
      <c r="AS619" s="20">
        <v>310.0</v>
      </c>
      <c r="AT619" s="20" t="s">
        <v>14</v>
      </c>
      <c r="AU619" s="20">
        <v>-14.66</v>
      </c>
      <c r="AV619" s="20">
        <v>-60.12</v>
      </c>
      <c r="BE619" s="20">
        <v>617.0</v>
      </c>
      <c r="BF619" s="20" t="s">
        <v>14</v>
      </c>
      <c r="BG619" s="20">
        <v>45.42</v>
      </c>
      <c r="BH619" s="20">
        <v>17.77</v>
      </c>
      <c r="BM619" s="20">
        <v>60.1</v>
      </c>
      <c r="BN619" s="20">
        <v>94.75</v>
      </c>
      <c r="BW619" s="20">
        <v>-55.46</v>
      </c>
      <c r="BX619" s="20">
        <v>-0.15</v>
      </c>
      <c r="BZ619" s="20">
        <v>-71.37</v>
      </c>
      <c r="CA619" s="20">
        <v>43.69</v>
      </c>
      <c r="CI619" s="20">
        <v>-36.25</v>
      </c>
      <c r="CJ619" s="20">
        <v>-30.93</v>
      </c>
      <c r="CO619" s="20">
        <v>-37.99</v>
      </c>
      <c r="CP619" s="20">
        <v>-48.77</v>
      </c>
    </row>
    <row r="620">
      <c r="A620" s="20">
        <v>35.83</v>
      </c>
      <c r="B620" s="20">
        <v>-49.06</v>
      </c>
      <c r="D620" s="20"/>
      <c r="E620" s="20"/>
      <c r="F620" s="20">
        <v>-17.49</v>
      </c>
      <c r="G620" s="20">
        <v>16.32</v>
      </c>
      <c r="I620" s="20"/>
      <c r="J620" s="20"/>
      <c r="K620" s="20">
        <v>309.0</v>
      </c>
      <c r="L620" s="20" t="s">
        <v>17</v>
      </c>
      <c r="M620" s="20">
        <v>-31.88</v>
      </c>
      <c r="N620" s="20">
        <v>-50.97</v>
      </c>
      <c r="P620" s="20">
        <v>-1.36</v>
      </c>
      <c r="Q620" s="20">
        <v>54.67</v>
      </c>
      <c r="AG620" s="20">
        <v>618.0</v>
      </c>
      <c r="AH620" s="20" t="s">
        <v>14</v>
      </c>
      <c r="AI620" s="20">
        <v>-15.56</v>
      </c>
      <c r="AJ620" s="20">
        <v>-27.5</v>
      </c>
      <c r="AM620" s="20">
        <v>314.0</v>
      </c>
      <c r="AN620" s="20" t="s">
        <v>17</v>
      </c>
      <c r="AO620" s="20">
        <v>-12.0</v>
      </c>
      <c r="AP620" s="20">
        <v>-61.82</v>
      </c>
      <c r="AS620" s="20">
        <v>310.0</v>
      </c>
      <c r="AT620" s="20" t="s">
        <v>17</v>
      </c>
      <c r="AU620" s="20">
        <v>-23.31</v>
      </c>
      <c r="AV620" s="20">
        <v>-24.88</v>
      </c>
      <c r="BE620" s="20">
        <v>618.0</v>
      </c>
      <c r="BF620" s="20" t="s">
        <v>14</v>
      </c>
      <c r="BG620" s="20">
        <v>-9.9</v>
      </c>
      <c r="BH620" s="20">
        <v>16.58</v>
      </c>
      <c r="BM620" s="20">
        <v>54.3</v>
      </c>
      <c r="BN620" s="20">
        <v>94.97</v>
      </c>
      <c r="BW620" s="20">
        <v>-32.6</v>
      </c>
      <c r="BX620" s="20">
        <v>-5.02</v>
      </c>
      <c r="BZ620" s="20">
        <v>-47.31</v>
      </c>
      <c r="CA620" s="20">
        <v>169.6</v>
      </c>
      <c r="CI620" s="20">
        <v>-52.2</v>
      </c>
      <c r="CJ620" s="20">
        <v>-28.99</v>
      </c>
      <c r="CO620" s="20">
        <v>-36.82</v>
      </c>
      <c r="CP620" s="20">
        <v>-12.34</v>
      </c>
    </row>
    <row r="621">
      <c r="A621" s="20">
        <v>69.17</v>
      </c>
      <c r="B621" s="20">
        <v>-19.21</v>
      </c>
      <c r="D621" s="20"/>
      <c r="E621" s="20"/>
      <c r="F621" s="20">
        <v>24.35</v>
      </c>
      <c r="G621" s="20">
        <v>21.38</v>
      </c>
      <c r="I621" s="20"/>
      <c r="J621" s="20"/>
      <c r="K621" s="20">
        <v>310.0</v>
      </c>
      <c r="L621" s="20" t="s">
        <v>14</v>
      </c>
      <c r="M621" s="20">
        <v>-4.97</v>
      </c>
      <c r="N621" s="20">
        <v>-26.49</v>
      </c>
      <c r="P621" s="20">
        <v>-23.32</v>
      </c>
      <c r="Q621" s="20">
        <v>-19.12</v>
      </c>
      <c r="AG621" s="20">
        <v>619.0</v>
      </c>
      <c r="AH621" s="20" t="s">
        <v>14</v>
      </c>
      <c r="AI621" s="20">
        <v>-17.63</v>
      </c>
      <c r="AJ621" s="20">
        <v>-7.95</v>
      </c>
      <c r="AM621" s="20">
        <v>317.0</v>
      </c>
      <c r="AN621" s="20" t="s">
        <v>14</v>
      </c>
      <c r="AO621" s="20">
        <v>-0.96</v>
      </c>
      <c r="AP621" s="20">
        <v>2.92</v>
      </c>
      <c r="AS621" s="20">
        <v>311.0</v>
      </c>
      <c r="AT621" s="20" t="s">
        <v>14</v>
      </c>
      <c r="AU621" s="20">
        <v>24.68</v>
      </c>
      <c r="AV621" s="20">
        <v>38.83</v>
      </c>
      <c r="BE621" s="20">
        <v>619.0</v>
      </c>
      <c r="BF621" s="20" t="s">
        <v>14</v>
      </c>
      <c r="BG621" s="20">
        <v>9.86</v>
      </c>
      <c r="BH621" s="20">
        <v>14.04</v>
      </c>
      <c r="BM621" s="20">
        <v>33.77</v>
      </c>
      <c r="BN621" s="20">
        <v>129.47</v>
      </c>
      <c r="BW621" s="20">
        <v>-45.03</v>
      </c>
      <c r="BX621" s="20">
        <v>-2.35</v>
      </c>
      <c r="BZ621" s="20">
        <v>-39.97</v>
      </c>
      <c r="CA621" s="20">
        <v>29.91</v>
      </c>
      <c r="CI621" s="20">
        <v>-50.82</v>
      </c>
      <c r="CJ621" s="20">
        <v>-54.48</v>
      </c>
      <c r="CO621" s="20">
        <v>-48.86</v>
      </c>
      <c r="CP621" s="20">
        <v>-63.18</v>
      </c>
    </row>
    <row r="622">
      <c r="A622" s="20">
        <v>-23.46</v>
      </c>
      <c r="B622" s="20">
        <v>-29.31</v>
      </c>
      <c r="D622" s="20"/>
      <c r="E622" s="20"/>
      <c r="F622" s="20">
        <v>15.49</v>
      </c>
      <c r="G622" s="20">
        <v>0.95</v>
      </c>
      <c r="I622" s="20"/>
      <c r="J622" s="20"/>
      <c r="K622" s="20">
        <v>310.0</v>
      </c>
      <c r="L622" s="20" t="s">
        <v>17</v>
      </c>
      <c r="M622" s="20">
        <v>-24.74</v>
      </c>
      <c r="N622" s="20">
        <v>-1.94</v>
      </c>
      <c r="P622" s="20">
        <v>-38.29</v>
      </c>
      <c r="Q622" s="20">
        <v>-7.7</v>
      </c>
      <c r="AG622" s="20">
        <v>620.0</v>
      </c>
      <c r="AH622" s="20" t="s">
        <v>14</v>
      </c>
      <c r="AI622" s="20">
        <v>-8.24</v>
      </c>
      <c r="AJ622" s="20">
        <v>4.92</v>
      </c>
      <c r="AM622" s="20">
        <v>317.0</v>
      </c>
      <c r="AN622" s="20" t="s">
        <v>17</v>
      </c>
      <c r="AO622" s="20">
        <v>-8.28</v>
      </c>
      <c r="AP622" s="20">
        <v>25.58</v>
      </c>
      <c r="AS622" s="20">
        <v>311.0</v>
      </c>
      <c r="AT622" s="20" t="s">
        <v>17</v>
      </c>
      <c r="AU622" s="20">
        <v>-8.07</v>
      </c>
      <c r="AV622" s="20">
        <v>14.27</v>
      </c>
      <c r="BE622" s="20">
        <v>620.0</v>
      </c>
      <c r="BF622" s="20" t="s">
        <v>14</v>
      </c>
      <c r="BG622" s="20">
        <v>8.29</v>
      </c>
      <c r="BH622" s="20">
        <v>26.58</v>
      </c>
      <c r="BM622" s="20">
        <v>133.91</v>
      </c>
      <c r="BN622" s="20">
        <v>116.8</v>
      </c>
      <c r="BW622" s="20">
        <v>-48.09</v>
      </c>
      <c r="BX622" s="20">
        <v>-9.71</v>
      </c>
      <c r="BZ622" s="20">
        <v>-24.29</v>
      </c>
      <c r="CA622" s="20">
        <v>23.47</v>
      </c>
      <c r="CI622" s="20">
        <v>-45.32</v>
      </c>
      <c r="CJ622" s="20">
        <v>-59.13</v>
      </c>
      <c r="CO622" s="20">
        <v>-28.32</v>
      </c>
      <c r="CP622" s="20">
        <v>-50.82</v>
      </c>
    </row>
    <row r="623">
      <c r="A623" s="20">
        <v>31.82</v>
      </c>
      <c r="B623" s="20">
        <v>8.36</v>
      </c>
      <c r="D623" s="20"/>
      <c r="E623" s="20"/>
      <c r="F623" s="20">
        <v>-7.86</v>
      </c>
      <c r="G623" s="20">
        <v>16.31</v>
      </c>
      <c r="I623" s="20"/>
      <c r="J623" s="20"/>
      <c r="K623" s="20">
        <v>311.0</v>
      </c>
      <c r="L623" s="20" t="s">
        <v>14</v>
      </c>
      <c r="M623" s="20">
        <v>8.49</v>
      </c>
      <c r="N623" s="20">
        <v>-9.58</v>
      </c>
      <c r="P623" s="20">
        <v>5.98</v>
      </c>
      <c r="Q623" s="20">
        <v>4.69</v>
      </c>
      <c r="AG623" s="20">
        <v>621.0</v>
      </c>
      <c r="AH623" s="20" t="s">
        <v>14</v>
      </c>
      <c r="AI623" s="20">
        <v>-12.9</v>
      </c>
      <c r="AJ623" s="20">
        <v>-6.94</v>
      </c>
      <c r="AM623" s="20">
        <v>318.0</v>
      </c>
      <c r="AN623" s="20" t="s">
        <v>14</v>
      </c>
      <c r="AO623" s="20">
        <v>15.94</v>
      </c>
      <c r="AP623" s="20">
        <v>19.84</v>
      </c>
      <c r="AS623" s="20">
        <v>312.0</v>
      </c>
      <c r="AT623" s="20" t="s">
        <v>14</v>
      </c>
      <c r="AU623" s="20">
        <v>5.18</v>
      </c>
      <c r="AV623" s="20">
        <v>-6.3</v>
      </c>
      <c r="BE623" s="20">
        <v>621.0</v>
      </c>
      <c r="BF623" s="20" t="s">
        <v>14</v>
      </c>
      <c r="BG623" s="20">
        <v>7.79</v>
      </c>
      <c r="BH623" s="20">
        <v>24.1</v>
      </c>
      <c r="BM623" s="20">
        <v>37.78</v>
      </c>
      <c r="BN623" s="20">
        <v>102.88</v>
      </c>
      <c r="BW623" s="20">
        <v>-42.25</v>
      </c>
      <c r="BX623" s="20">
        <v>-6.12</v>
      </c>
      <c r="BZ623" s="20">
        <v>-37.29</v>
      </c>
      <c r="CA623" s="20">
        <v>139.58</v>
      </c>
      <c r="CI623" s="20">
        <v>-45.27</v>
      </c>
      <c r="CJ623" s="20">
        <v>-60.03</v>
      </c>
      <c r="CO623" s="20">
        <v>-15.83</v>
      </c>
      <c r="CP623" s="20">
        <v>-52.59</v>
      </c>
    </row>
    <row r="624">
      <c r="A624" s="20">
        <v>-42.11</v>
      </c>
      <c r="B624" s="20">
        <v>-45.67</v>
      </c>
      <c r="D624" s="20"/>
      <c r="E624" s="20"/>
      <c r="F624" s="20">
        <v>-8.32</v>
      </c>
      <c r="G624" s="20">
        <v>5.31</v>
      </c>
      <c r="I624" s="20"/>
      <c r="J624" s="20"/>
      <c r="K624" s="20">
        <v>311.0</v>
      </c>
      <c r="L624" s="20" t="s">
        <v>17</v>
      </c>
      <c r="M624" s="20">
        <v>-31.04</v>
      </c>
      <c r="N624" s="20">
        <v>-21.17</v>
      </c>
      <c r="P624" s="20">
        <v>-74.79</v>
      </c>
      <c r="Q624" s="20">
        <v>-76.29</v>
      </c>
      <c r="AG624" s="20">
        <v>622.0</v>
      </c>
      <c r="AH624" s="20" t="s">
        <v>14</v>
      </c>
      <c r="AI624" s="20">
        <v>-27.51</v>
      </c>
      <c r="AJ624" s="20">
        <v>-17.71</v>
      </c>
      <c r="AM624" s="20">
        <v>318.0</v>
      </c>
      <c r="AN624" s="20" t="s">
        <v>17</v>
      </c>
      <c r="AO624" s="20">
        <v>-0.62</v>
      </c>
      <c r="AP624" s="20">
        <v>83.4</v>
      </c>
      <c r="AS624" s="20">
        <v>312.0</v>
      </c>
      <c r="AT624" s="20" t="s">
        <v>17</v>
      </c>
      <c r="AU624" s="20">
        <v>-20.03</v>
      </c>
      <c r="AV624" s="20">
        <v>-54.27</v>
      </c>
      <c r="BE624" s="20">
        <v>622.0</v>
      </c>
      <c r="BF624" s="20" t="s">
        <v>14</v>
      </c>
      <c r="BG624" s="20">
        <v>-35.49</v>
      </c>
      <c r="BH624" s="20">
        <v>20.62</v>
      </c>
      <c r="BM624" s="20">
        <v>55.26</v>
      </c>
      <c r="BN624" s="20">
        <v>145.7</v>
      </c>
      <c r="BW624" s="20">
        <v>-42.76</v>
      </c>
      <c r="BX624" s="20">
        <v>-28.55</v>
      </c>
      <c r="BZ624" s="20">
        <v>-66.4</v>
      </c>
      <c r="CA624" s="20">
        <v>47.82</v>
      </c>
      <c r="CI624" s="20">
        <v>-35.14</v>
      </c>
      <c r="CJ624" s="20">
        <v>-61.23</v>
      </c>
      <c r="CO624" s="20">
        <v>-63.53</v>
      </c>
      <c r="CP624" s="20">
        <v>34.18</v>
      </c>
    </row>
    <row r="625">
      <c r="A625" s="20">
        <v>-17.94</v>
      </c>
      <c r="B625" s="20">
        <v>-17.87</v>
      </c>
      <c r="D625" s="20"/>
      <c r="E625" s="20"/>
      <c r="F625" s="20">
        <v>-9.67</v>
      </c>
      <c r="G625" s="20">
        <v>-1.27</v>
      </c>
      <c r="I625" s="20"/>
      <c r="J625" s="20"/>
      <c r="K625" s="20">
        <v>312.0</v>
      </c>
      <c r="L625" s="20" t="s">
        <v>14</v>
      </c>
      <c r="M625" s="20">
        <v>-14.75</v>
      </c>
      <c r="N625" s="20">
        <v>-5.64</v>
      </c>
      <c r="P625" s="20">
        <v>-23.93</v>
      </c>
      <c r="Q625" s="20">
        <v>9.66</v>
      </c>
      <c r="AG625" s="20">
        <v>623.0</v>
      </c>
      <c r="AH625" s="20" t="s">
        <v>14</v>
      </c>
      <c r="AI625" s="20">
        <v>-18.64</v>
      </c>
      <c r="AJ625" s="20">
        <v>-8.5</v>
      </c>
      <c r="AM625" s="20">
        <v>320.0</v>
      </c>
      <c r="AN625" s="20" t="s">
        <v>14</v>
      </c>
      <c r="AO625" s="20">
        <v>-18.65</v>
      </c>
      <c r="AP625" s="20">
        <v>23.82</v>
      </c>
      <c r="AS625" s="20">
        <v>313.0</v>
      </c>
      <c r="AT625" s="20" t="s">
        <v>14</v>
      </c>
      <c r="AU625" s="20">
        <v>22.99</v>
      </c>
      <c r="AV625" s="20">
        <v>-12.8</v>
      </c>
      <c r="BE625" s="20">
        <v>623.0</v>
      </c>
      <c r="BF625" s="20" t="s">
        <v>14</v>
      </c>
      <c r="BG625" s="20">
        <v>38.95</v>
      </c>
      <c r="BH625" s="20">
        <v>13.71</v>
      </c>
      <c r="BM625" s="20">
        <v>187.59</v>
      </c>
      <c r="BN625" s="20">
        <v>54.69</v>
      </c>
      <c r="BW625" s="20">
        <v>-55.59</v>
      </c>
      <c r="BX625" s="20">
        <v>-31.98</v>
      </c>
      <c r="BZ625" s="20">
        <v>-29.52</v>
      </c>
      <c r="CA625" s="20">
        <v>48.95</v>
      </c>
      <c r="CI625" s="20">
        <v>-63.19</v>
      </c>
      <c r="CJ625" s="20">
        <v>-62.42</v>
      </c>
      <c r="CO625" s="20">
        <v>-13.55</v>
      </c>
      <c r="CP625" s="20">
        <v>-38.88</v>
      </c>
    </row>
    <row r="626">
      <c r="A626" s="20">
        <v>-12.25</v>
      </c>
      <c r="B626" s="20">
        <v>-7.61</v>
      </c>
      <c r="D626" s="20"/>
      <c r="E626" s="20"/>
      <c r="F626" s="20">
        <v>-18.6</v>
      </c>
      <c r="G626" s="20">
        <v>6.8</v>
      </c>
      <c r="I626" s="20"/>
      <c r="J626" s="20"/>
      <c r="K626" s="20">
        <v>312.0</v>
      </c>
      <c r="L626" s="20" t="s">
        <v>17</v>
      </c>
      <c r="M626" s="20">
        <v>10.89</v>
      </c>
      <c r="N626" s="20">
        <v>7.69</v>
      </c>
      <c r="P626" s="20">
        <v>-35.71</v>
      </c>
      <c r="Q626" s="20">
        <v>-27.7</v>
      </c>
      <c r="AG626" s="20">
        <v>624.0</v>
      </c>
      <c r="AH626" s="20" t="s">
        <v>14</v>
      </c>
      <c r="AI626" s="20">
        <v>-21.65</v>
      </c>
      <c r="AJ626" s="20">
        <v>-7.39</v>
      </c>
      <c r="AM626" s="20">
        <v>320.0</v>
      </c>
      <c r="AN626" s="20" t="s">
        <v>17</v>
      </c>
      <c r="AO626" s="20">
        <v>-33.85</v>
      </c>
      <c r="AP626" s="20">
        <v>36.28</v>
      </c>
      <c r="AS626" s="20">
        <v>313.0</v>
      </c>
      <c r="AT626" s="20" t="s">
        <v>17</v>
      </c>
      <c r="AU626" s="20">
        <v>40.39</v>
      </c>
      <c r="AV626" s="20">
        <v>-3.49</v>
      </c>
      <c r="BE626" s="20">
        <v>624.0</v>
      </c>
      <c r="BF626" s="20" t="s">
        <v>14</v>
      </c>
      <c r="BG626" s="20">
        <v>-5.62</v>
      </c>
      <c r="BH626" s="20">
        <v>29.18</v>
      </c>
      <c r="BM626" s="20">
        <v>156.62</v>
      </c>
      <c r="BN626" s="20">
        <v>41.74</v>
      </c>
      <c r="BW626" s="20">
        <v>-55.86</v>
      </c>
      <c r="BX626" s="20">
        <v>-33.71</v>
      </c>
      <c r="BZ626" s="20">
        <v>-56.01</v>
      </c>
      <c r="CA626" s="20">
        <v>49.62</v>
      </c>
      <c r="CI626" s="20">
        <v>-41.47</v>
      </c>
      <c r="CJ626" s="20">
        <v>-48.81</v>
      </c>
      <c r="CO626" s="20">
        <v>-17.9</v>
      </c>
      <c r="CP626" s="20">
        <v>-55.6</v>
      </c>
    </row>
    <row r="627">
      <c r="A627" s="20">
        <v>-51.69</v>
      </c>
      <c r="B627" s="20">
        <v>-13.66</v>
      </c>
      <c r="D627" s="20"/>
      <c r="E627" s="20"/>
      <c r="F627" s="20">
        <v>108.45</v>
      </c>
      <c r="G627" s="20">
        <v>19.77</v>
      </c>
      <c r="I627" s="20"/>
      <c r="J627" s="20"/>
      <c r="K627" s="20">
        <v>313.0</v>
      </c>
      <c r="L627" s="20" t="s">
        <v>14</v>
      </c>
      <c r="M627" s="20">
        <v>40.76</v>
      </c>
      <c r="N627" s="20">
        <v>25.08</v>
      </c>
      <c r="P627" s="20">
        <v>11.29</v>
      </c>
      <c r="Q627" s="20">
        <v>34.9</v>
      </c>
      <c r="AG627" s="20">
        <v>625.0</v>
      </c>
      <c r="AH627" s="20" t="s">
        <v>14</v>
      </c>
      <c r="AI627" s="20">
        <v>-45.76</v>
      </c>
      <c r="AJ627" s="20">
        <v>-45.26</v>
      </c>
      <c r="AM627" s="20">
        <v>321.0</v>
      </c>
      <c r="AN627" s="20" t="s">
        <v>14</v>
      </c>
      <c r="AO627" s="20">
        <v>12.66</v>
      </c>
      <c r="AP627" s="20">
        <v>33.92</v>
      </c>
      <c r="AS627" s="20">
        <v>314.0</v>
      </c>
      <c r="AT627" s="20" t="s">
        <v>14</v>
      </c>
      <c r="AU627" s="20">
        <v>9.49</v>
      </c>
      <c r="AV627" s="20">
        <v>-21.49</v>
      </c>
      <c r="BE627" s="20">
        <v>625.0</v>
      </c>
      <c r="BF627" s="20" t="s">
        <v>14</v>
      </c>
      <c r="BG627" s="20">
        <v>-0.8</v>
      </c>
      <c r="BH627" s="20">
        <v>85.19</v>
      </c>
      <c r="BM627" s="20">
        <v>116.27</v>
      </c>
      <c r="BN627" s="20">
        <v>82.37</v>
      </c>
      <c r="BW627" s="20">
        <v>-59.9</v>
      </c>
      <c r="BX627" s="20">
        <v>-16.59</v>
      </c>
      <c r="BZ627" s="20">
        <v>-4.49</v>
      </c>
      <c r="CA627" s="20">
        <v>59.9</v>
      </c>
      <c r="CI627" s="20">
        <v>-14.15</v>
      </c>
      <c r="CJ627" s="20">
        <v>-33.83</v>
      </c>
      <c r="CO627" s="20">
        <v>-19.45</v>
      </c>
      <c r="CP627" s="20">
        <v>-27.27</v>
      </c>
    </row>
    <row r="628">
      <c r="A628" s="20">
        <v>-51.68</v>
      </c>
      <c r="B628" s="20">
        <v>-6.48</v>
      </c>
      <c r="D628" s="20"/>
      <c r="E628" s="20"/>
      <c r="F628" s="20">
        <v>56.89</v>
      </c>
      <c r="G628" s="20">
        <v>-0.02</v>
      </c>
      <c r="I628" s="20"/>
      <c r="J628" s="20"/>
      <c r="K628" s="20">
        <v>313.0</v>
      </c>
      <c r="L628" s="20" t="s">
        <v>17</v>
      </c>
      <c r="M628" s="20">
        <v>-31.51</v>
      </c>
      <c r="N628" s="20">
        <v>21.64</v>
      </c>
      <c r="P628" s="20">
        <v>48.11</v>
      </c>
      <c r="Q628" s="20">
        <v>180.86</v>
      </c>
      <c r="AG628" s="20">
        <v>626.0</v>
      </c>
      <c r="AH628" s="20" t="s">
        <v>14</v>
      </c>
      <c r="AI628" s="20">
        <v>4.66</v>
      </c>
      <c r="AJ628" s="20">
        <v>-23.95</v>
      </c>
      <c r="AM628" s="20">
        <v>321.0</v>
      </c>
      <c r="AN628" s="20" t="s">
        <v>17</v>
      </c>
      <c r="AO628" s="20">
        <v>16.71</v>
      </c>
      <c r="AP628" s="20">
        <v>10.89</v>
      </c>
      <c r="AS628" s="20">
        <v>314.0</v>
      </c>
      <c r="AT628" s="20" t="s">
        <v>17</v>
      </c>
      <c r="AU628" s="20">
        <v>37.69</v>
      </c>
      <c r="AV628" s="20">
        <v>43.56</v>
      </c>
      <c r="BE628" s="20">
        <v>626.0</v>
      </c>
      <c r="BF628" s="20" t="s">
        <v>14</v>
      </c>
      <c r="BG628" s="20">
        <v>-13.51</v>
      </c>
      <c r="BH628" s="20">
        <v>22.94</v>
      </c>
      <c r="BM628" s="20">
        <v>129.38</v>
      </c>
      <c r="BN628" s="20">
        <v>33.79</v>
      </c>
      <c r="BW628" s="20">
        <v>-50.24</v>
      </c>
      <c r="BX628" s="20">
        <v>19.63</v>
      </c>
      <c r="BZ628" s="20">
        <v>-33.43</v>
      </c>
      <c r="CA628" s="20">
        <v>-61.01</v>
      </c>
      <c r="CI628" s="20">
        <v>-46.67</v>
      </c>
      <c r="CJ628" s="20">
        <v>-53.51</v>
      </c>
      <c r="CO628" s="20">
        <v>-44.55</v>
      </c>
      <c r="CP628" s="20">
        <v>-66.98</v>
      </c>
    </row>
    <row r="629">
      <c r="A629" s="20">
        <v>-43.18</v>
      </c>
      <c r="B629" s="20">
        <v>22.75</v>
      </c>
      <c r="D629" s="20"/>
      <c r="E629" s="20"/>
      <c r="F629" s="20">
        <v>40.22</v>
      </c>
      <c r="G629" s="20">
        <v>25.95</v>
      </c>
      <c r="I629" s="20"/>
      <c r="J629" s="20"/>
      <c r="K629" s="20">
        <v>314.0</v>
      </c>
      <c r="L629" s="20" t="s">
        <v>14</v>
      </c>
      <c r="M629" s="20">
        <v>13.67</v>
      </c>
      <c r="N629" s="20">
        <v>10.27</v>
      </c>
      <c r="P629" s="20">
        <v>-16.06</v>
      </c>
      <c r="Q629" s="20">
        <v>17.61</v>
      </c>
      <c r="AG629" s="20">
        <v>627.0</v>
      </c>
      <c r="AH629" s="20" t="s">
        <v>14</v>
      </c>
      <c r="AI629" s="20">
        <v>-2.15</v>
      </c>
      <c r="AJ629" s="20">
        <v>19.86</v>
      </c>
      <c r="AM629" s="20">
        <v>322.0</v>
      </c>
      <c r="AN629" s="20" t="s">
        <v>14</v>
      </c>
      <c r="AO629" s="20">
        <v>64.17</v>
      </c>
      <c r="AP629" s="20">
        <v>20.31</v>
      </c>
      <c r="AS629" s="20">
        <v>316.0</v>
      </c>
      <c r="AT629" s="20" t="s">
        <v>14</v>
      </c>
      <c r="AU629" s="20">
        <v>10.51</v>
      </c>
      <c r="AV629" s="20">
        <v>-68.3</v>
      </c>
      <c r="BE629" s="20">
        <v>627.0</v>
      </c>
      <c r="BF629" s="20" t="s">
        <v>14</v>
      </c>
      <c r="BG629" s="20">
        <v>2.96</v>
      </c>
      <c r="BH629" s="20">
        <v>41.13</v>
      </c>
      <c r="BM629" s="20">
        <v>292.68</v>
      </c>
      <c r="BN629" s="20">
        <v>113.1</v>
      </c>
      <c r="BW629" s="20">
        <v>-50.75</v>
      </c>
      <c r="BX629" s="20">
        <v>10.35</v>
      </c>
      <c r="BZ629" s="20">
        <v>-50.42</v>
      </c>
      <c r="CA629" s="20">
        <v>93.26</v>
      </c>
      <c r="CI629" s="20">
        <v>-40.62</v>
      </c>
      <c r="CJ629" s="20">
        <v>-48.91</v>
      </c>
      <c r="CO629" s="20">
        <v>-26.7</v>
      </c>
      <c r="CP629" s="20">
        <v>-45.73</v>
      </c>
    </row>
    <row r="630">
      <c r="A630" s="20">
        <v>18.9</v>
      </c>
      <c r="B630" s="20">
        <v>13.21</v>
      </c>
      <c r="D630" s="20"/>
      <c r="E630" s="20"/>
      <c r="F630" s="20">
        <v>-1.31</v>
      </c>
      <c r="G630" s="20">
        <v>4.37</v>
      </c>
      <c r="I630" s="20"/>
      <c r="J630" s="20"/>
      <c r="K630" s="20">
        <v>314.0</v>
      </c>
      <c r="L630" s="20" t="s">
        <v>17</v>
      </c>
      <c r="M630" s="20">
        <v>23.23</v>
      </c>
      <c r="N630" s="20">
        <v>-10.27</v>
      </c>
      <c r="P630" s="20">
        <v>16.04</v>
      </c>
      <c r="Q630" s="20">
        <v>-4.54</v>
      </c>
      <c r="AG630" s="20">
        <v>628.0</v>
      </c>
      <c r="AH630" s="20" t="s">
        <v>14</v>
      </c>
      <c r="AI630" s="20">
        <v>-48.63</v>
      </c>
      <c r="AJ630" s="20">
        <v>-28.13</v>
      </c>
      <c r="AM630" s="20">
        <v>322.0</v>
      </c>
      <c r="AN630" s="20" t="s">
        <v>17</v>
      </c>
      <c r="AO630" s="20">
        <v>11.0</v>
      </c>
      <c r="AP630" s="20">
        <v>-9.86</v>
      </c>
      <c r="AS630" s="20">
        <v>316.0</v>
      </c>
      <c r="AT630" s="20" t="s">
        <v>17</v>
      </c>
      <c r="AU630" s="20">
        <v>1.54</v>
      </c>
      <c r="AV630" s="20">
        <v>14.54</v>
      </c>
      <c r="BE630" s="20">
        <v>628.0</v>
      </c>
      <c r="BF630" s="20" t="s">
        <v>14</v>
      </c>
      <c r="BG630" s="20">
        <v>0.74</v>
      </c>
      <c r="BH630" s="20">
        <v>36.15</v>
      </c>
      <c r="BM630" s="20">
        <v>252.34</v>
      </c>
      <c r="BN630" s="20">
        <v>87.46</v>
      </c>
      <c r="BW630" s="20">
        <v>-54.21</v>
      </c>
      <c r="BX630" s="20">
        <v>-16.33</v>
      </c>
      <c r="BZ630" s="20">
        <v>-54.98</v>
      </c>
      <c r="CA630" s="20">
        <v>34.23</v>
      </c>
      <c r="CI630" s="20">
        <v>-15.42</v>
      </c>
      <c r="CJ630" s="20">
        <v>-53.63</v>
      </c>
      <c r="CO630" s="20">
        <v>-0.91</v>
      </c>
      <c r="CP630" s="20">
        <v>-32.1</v>
      </c>
    </row>
    <row r="631">
      <c r="A631" s="20">
        <v>-42.91</v>
      </c>
      <c r="B631" s="20">
        <v>-13.63</v>
      </c>
      <c r="D631" s="20"/>
      <c r="E631" s="20"/>
      <c r="F631" s="20">
        <v>-48.54</v>
      </c>
      <c r="G631" s="20">
        <v>-49.41</v>
      </c>
      <c r="I631" s="20"/>
      <c r="J631" s="20"/>
      <c r="K631" s="20">
        <v>315.0</v>
      </c>
      <c r="L631" s="20" t="s">
        <v>14</v>
      </c>
      <c r="M631" s="20">
        <v>-3.92</v>
      </c>
      <c r="N631" s="20">
        <v>80.07</v>
      </c>
      <c r="P631" s="20">
        <v>61.08</v>
      </c>
      <c r="Q631" s="20">
        <v>53.87</v>
      </c>
      <c r="AG631" s="20">
        <v>629.0</v>
      </c>
      <c r="AH631" s="20" t="s">
        <v>14</v>
      </c>
      <c r="AI631" s="20">
        <v>-19.35</v>
      </c>
      <c r="AJ631" s="20">
        <v>-17.79</v>
      </c>
      <c r="AM631" s="20">
        <v>323.0</v>
      </c>
      <c r="AN631" s="20" t="s">
        <v>14</v>
      </c>
      <c r="AO631" s="20">
        <v>-32.36</v>
      </c>
      <c r="AP631" s="20">
        <v>-27.61</v>
      </c>
      <c r="AS631" s="20">
        <v>317.0</v>
      </c>
      <c r="AT631" s="20" t="s">
        <v>14</v>
      </c>
      <c r="AU631" s="20">
        <v>7.82</v>
      </c>
      <c r="AV631" s="20">
        <v>-55.59</v>
      </c>
      <c r="BE631" s="20">
        <v>629.0</v>
      </c>
      <c r="BF631" s="20" t="s">
        <v>14</v>
      </c>
      <c r="BG631" s="20">
        <v>-7.1</v>
      </c>
      <c r="BH631" s="20">
        <v>0.29</v>
      </c>
      <c r="BM631" s="20">
        <v>72.58</v>
      </c>
      <c r="BN631" s="20">
        <v>87.15</v>
      </c>
      <c r="BW631" s="20">
        <v>-47.86</v>
      </c>
      <c r="BX631" s="20">
        <v>-25.04</v>
      </c>
      <c r="BZ631" s="20">
        <v>-38.31</v>
      </c>
      <c r="CA631" s="20">
        <v>95.92</v>
      </c>
      <c r="CI631" s="20">
        <v>-36.11</v>
      </c>
      <c r="CJ631" s="20">
        <v>-30.05</v>
      </c>
      <c r="CO631" s="20">
        <v>-23.81</v>
      </c>
      <c r="CP631" s="20">
        <v>-62.74</v>
      </c>
    </row>
    <row r="632">
      <c r="A632" s="20">
        <v>-49.59</v>
      </c>
      <c r="B632" s="20">
        <v>-39.44</v>
      </c>
      <c r="D632" s="20"/>
      <c r="E632" s="20"/>
      <c r="F632" s="20">
        <v>-25.13</v>
      </c>
      <c r="G632" s="20">
        <v>27.25</v>
      </c>
      <c r="I632" s="20"/>
      <c r="J632" s="20"/>
      <c r="K632" s="20">
        <v>315.0</v>
      </c>
      <c r="L632" s="20" t="s">
        <v>17</v>
      </c>
      <c r="M632" s="20">
        <v>5.68</v>
      </c>
      <c r="N632" s="20">
        <v>7.18</v>
      </c>
      <c r="P632" s="20">
        <v>41.06</v>
      </c>
      <c r="Q632" s="20">
        <v>65.59</v>
      </c>
      <c r="AG632" s="20">
        <v>630.0</v>
      </c>
      <c r="AH632" s="20" t="s">
        <v>14</v>
      </c>
      <c r="AI632" s="20">
        <v>-8.57</v>
      </c>
      <c r="AJ632" s="20">
        <v>-10.81</v>
      </c>
      <c r="AM632" s="20">
        <v>323.0</v>
      </c>
      <c r="AN632" s="20" t="s">
        <v>17</v>
      </c>
      <c r="AO632" s="20">
        <v>5.99</v>
      </c>
      <c r="AP632" s="20">
        <v>6.31</v>
      </c>
      <c r="AS632" s="20">
        <v>317.0</v>
      </c>
      <c r="AT632" s="20" t="s">
        <v>17</v>
      </c>
      <c r="AU632" s="20">
        <v>17.46</v>
      </c>
      <c r="AV632" s="20">
        <v>-39.43</v>
      </c>
      <c r="BE632" s="20">
        <v>630.0</v>
      </c>
      <c r="BF632" s="20" t="s">
        <v>14</v>
      </c>
      <c r="BG632" s="20">
        <v>18.93</v>
      </c>
      <c r="BH632" s="20">
        <v>11.34</v>
      </c>
      <c r="BM632" s="20">
        <v>100.12</v>
      </c>
      <c r="BN632" s="20">
        <v>78.26</v>
      </c>
      <c r="BW632" s="20">
        <v>-42.58</v>
      </c>
      <c r="BX632" s="20">
        <v>-14.62</v>
      </c>
      <c r="BZ632" s="20">
        <v>-15.75</v>
      </c>
      <c r="CA632" s="20">
        <v>71.0</v>
      </c>
      <c r="CI632" s="20">
        <v>-40.04</v>
      </c>
      <c r="CJ632" s="20">
        <v>-50.47</v>
      </c>
      <c r="CO632" s="20">
        <v>-16.19</v>
      </c>
      <c r="CP632" s="20">
        <v>-62.57</v>
      </c>
    </row>
    <row r="633">
      <c r="A633" s="20">
        <v>30.18</v>
      </c>
      <c r="B633" s="20">
        <v>77.69</v>
      </c>
      <c r="D633" s="20"/>
      <c r="E633" s="20"/>
      <c r="F633" s="20">
        <v>41.25</v>
      </c>
      <c r="G633" s="20">
        <v>34.35</v>
      </c>
      <c r="I633" s="20"/>
      <c r="J633" s="20"/>
      <c r="K633" s="20">
        <v>316.0</v>
      </c>
      <c r="L633" s="20" t="s">
        <v>14</v>
      </c>
      <c r="M633" s="20">
        <v>-12.14</v>
      </c>
      <c r="N633" s="20">
        <v>-2.93</v>
      </c>
      <c r="P633" s="20">
        <v>-25.56</v>
      </c>
      <c r="Q633" s="20">
        <v>10.13</v>
      </c>
      <c r="AG633" s="20">
        <v>631.0</v>
      </c>
      <c r="AH633" s="20" t="s">
        <v>14</v>
      </c>
      <c r="AI633" s="20">
        <v>-51.91</v>
      </c>
      <c r="AJ633" s="20">
        <v>-39.47</v>
      </c>
      <c r="AM633" s="20">
        <v>324.0</v>
      </c>
      <c r="AN633" s="20" t="s">
        <v>14</v>
      </c>
      <c r="AO633" s="20">
        <v>4.0</v>
      </c>
      <c r="AP633" s="20">
        <v>-24.71</v>
      </c>
      <c r="AS633" s="20">
        <v>318.0</v>
      </c>
      <c r="AT633" s="20" t="s">
        <v>14</v>
      </c>
      <c r="AU633" s="20">
        <v>40.61</v>
      </c>
      <c r="AV633" s="20">
        <v>-54.82</v>
      </c>
      <c r="BE633" s="20">
        <v>631.0</v>
      </c>
      <c r="BF633" s="20" t="s">
        <v>14</v>
      </c>
      <c r="BG633" s="20">
        <v>28.69</v>
      </c>
      <c r="BH633" s="20">
        <v>27.75</v>
      </c>
      <c r="BM633" s="20">
        <v>65.95</v>
      </c>
      <c r="BN633" s="20">
        <v>80.98</v>
      </c>
      <c r="BW633" s="20">
        <v>-55.74</v>
      </c>
      <c r="BX633" s="20">
        <v>-6.64</v>
      </c>
      <c r="BZ633" s="20">
        <v>10.58</v>
      </c>
      <c r="CA633" s="20">
        <v>81.1</v>
      </c>
      <c r="CI633" s="20">
        <v>-18.83</v>
      </c>
      <c r="CJ633" s="20">
        <v>-39.75</v>
      </c>
      <c r="CO633" s="20">
        <v>-10.8</v>
      </c>
      <c r="CP633" s="20">
        <v>-51.31</v>
      </c>
    </row>
    <row r="634">
      <c r="A634" s="20">
        <v>13.55</v>
      </c>
      <c r="B634" s="20">
        <v>0.17</v>
      </c>
      <c r="D634" s="20"/>
      <c r="E634" s="20"/>
      <c r="F634" s="20">
        <v>42.17</v>
      </c>
      <c r="G634" s="20">
        <v>11.1</v>
      </c>
      <c r="I634" s="20"/>
      <c r="J634" s="20"/>
      <c r="K634" s="20">
        <v>316.0</v>
      </c>
      <c r="L634" s="20" t="s">
        <v>17</v>
      </c>
      <c r="M634" s="20">
        <v>-45.33</v>
      </c>
      <c r="N634" s="20">
        <v>-18.15</v>
      </c>
      <c r="P634" s="20">
        <v>12.22</v>
      </c>
      <c r="Q634" s="20">
        <v>31.35</v>
      </c>
      <c r="AG634" s="20">
        <v>632.0</v>
      </c>
      <c r="AH634" s="20" t="s">
        <v>14</v>
      </c>
      <c r="AI634" s="20">
        <v>-38.72</v>
      </c>
      <c r="AJ634" s="20">
        <v>-23.94</v>
      </c>
      <c r="AM634" s="20">
        <v>324.0</v>
      </c>
      <c r="AN634" s="20" t="s">
        <v>17</v>
      </c>
      <c r="AO634" s="20">
        <v>117.41</v>
      </c>
      <c r="AP634" s="20">
        <v>-17.76</v>
      </c>
      <c r="AS634" s="20">
        <v>318.0</v>
      </c>
      <c r="AT634" s="20" t="s">
        <v>17</v>
      </c>
      <c r="AU634" s="20">
        <v>36.59</v>
      </c>
      <c r="AV634" s="20">
        <v>-33.87</v>
      </c>
      <c r="BE634" s="20">
        <v>632.0</v>
      </c>
      <c r="BF634" s="20" t="s">
        <v>14</v>
      </c>
      <c r="BG634" s="20">
        <v>28.21</v>
      </c>
      <c r="BH634" s="20">
        <v>28.59</v>
      </c>
      <c r="BM634" s="20">
        <v>46.17</v>
      </c>
      <c r="BN634" s="20">
        <v>10.17</v>
      </c>
      <c r="BW634" s="20">
        <v>-46.31</v>
      </c>
      <c r="BX634" s="20">
        <v>-7.21</v>
      </c>
      <c r="BZ634" s="20">
        <v>-30.13</v>
      </c>
      <c r="CA634" s="20">
        <v>-8.44</v>
      </c>
      <c r="CI634" s="20">
        <v>-48.95</v>
      </c>
      <c r="CJ634" s="20">
        <v>-67.6</v>
      </c>
      <c r="CO634" s="20">
        <v>-3.25</v>
      </c>
      <c r="CP634" s="20">
        <v>-52.28</v>
      </c>
    </row>
    <row r="635">
      <c r="A635" s="20">
        <v>-24.74</v>
      </c>
      <c r="B635" s="20">
        <v>50.55</v>
      </c>
      <c r="D635" s="20"/>
      <c r="E635" s="20"/>
      <c r="F635" s="20">
        <v>37.89</v>
      </c>
      <c r="G635" s="20">
        <v>34.93</v>
      </c>
      <c r="I635" s="20"/>
      <c r="J635" s="20"/>
      <c r="K635" s="20">
        <v>317.0</v>
      </c>
      <c r="L635" s="20" t="s">
        <v>14</v>
      </c>
      <c r="M635" s="20">
        <v>-23.67</v>
      </c>
      <c r="N635" s="20">
        <v>-12.6</v>
      </c>
      <c r="P635" s="20">
        <v>-6.01</v>
      </c>
      <c r="Q635" s="20">
        <v>-14.37</v>
      </c>
      <c r="AG635" s="20">
        <v>633.0</v>
      </c>
      <c r="AH635" s="20" t="s">
        <v>14</v>
      </c>
      <c r="AI635" s="20">
        <v>-4.88</v>
      </c>
      <c r="AJ635" s="20">
        <v>2.75</v>
      </c>
      <c r="AM635" s="20">
        <v>325.0</v>
      </c>
      <c r="AN635" s="20" t="s">
        <v>14</v>
      </c>
      <c r="AO635" s="20">
        <v>-2.96</v>
      </c>
      <c r="AP635" s="20">
        <v>-31.04</v>
      </c>
      <c r="AS635" s="20">
        <v>319.0</v>
      </c>
      <c r="AT635" s="20" t="s">
        <v>14</v>
      </c>
      <c r="AU635" s="20">
        <v>-23.88</v>
      </c>
      <c r="AV635" s="20">
        <v>-22.4</v>
      </c>
      <c r="BE635" s="20">
        <v>633.0</v>
      </c>
      <c r="BF635" s="20" t="s">
        <v>14</v>
      </c>
      <c r="BG635" s="20">
        <v>-18.7</v>
      </c>
      <c r="BH635" s="20">
        <v>16.17</v>
      </c>
      <c r="BM635" s="20">
        <v>49.46</v>
      </c>
      <c r="BN635" s="20">
        <v>150.01</v>
      </c>
      <c r="BW635" s="20">
        <v>-54.32</v>
      </c>
      <c r="BX635" s="20">
        <v>-0.26</v>
      </c>
      <c r="BZ635" s="20">
        <v>-47.58</v>
      </c>
      <c r="CA635" s="20">
        <v>119.6</v>
      </c>
      <c r="CI635" s="20">
        <v>-37.74</v>
      </c>
      <c r="CJ635" s="20">
        <v>-57.03</v>
      </c>
      <c r="CO635" s="20">
        <v>6.99</v>
      </c>
      <c r="CP635" s="20">
        <v>-45.92</v>
      </c>
    </row>
    <row r="636">
      <c r="A636" s="20">
        <v>-63.76</v>
      </c>
      <c r="B636" s="20">
        <v>-30.62</v>
      </c>
      <c r="D636" s="20"/>
      <c r="E636" s="20"/>
      <c r="F636" s="20">
        <v>-43.23</v>
      </c>
      <c r="G636" s="20">
        <v>43.96</v>
      </c>
      <c r="I636" s="20"/>
      <c r="J636" s="20"/>
      <c r="K636" s="20">
        <v>317.0</v>
      </c>
      <c r="L636" s="20" t="s">
        <v>17</v>
      </c>
      <c r="M636" s="20">
        <v>-51.74</v>
      </c>
      <c r="N636" s="20">
        <v>-65.45</v>
      </c>
      <c r="P636" s="20">
        <v>-16.15</v>
      </c>
      <c r="Q636" s="20">
        <v>2.17</v>
      </c>
      <c r="AG636" s="20">
        <v>634.0</v>
      </c>
      <c r="AH636" s="20" t="s">
        <v>14</v>
      </c>
      <c r="AI636" s="20">
        <v>-49.3</v>
      </c>
      <c r="AJ636" s="20">
        <v>-54.42</v>
      </c>
      <c r="AM636" s="20">
        <v>325.0</v>
      </c>
      <c r="AN636" s="20" t="s">
        <v>17</v>
      </c>
      <c r="AO636" s="20">
        <v>18.3</v>
      </c>
      <c r="AP636" s="20">
        <v>47.5</v>
      </c>
      <c r="AS636" s="20">
        <v>319.0</v>
      </c>
      <c r="AT636" s="20" t="s">
        <v>17</v>
      </c>
      <c r="AU636" s="20">
        <v>13.1</v>
      </c>
      <c r="AV636" s="20">
        <v>28.32</v>
      </c>
      <c r="BE636" s="20">
        <v>634.0</v>
      </c>
      <c r="BF636" s="20" t="s">
        <v>14</v>
      </c>
      <c r="BG636" s="20">
        <v>-14.88</v>
      </c>
      <c r="BH636" s="20">
        <v>57.23</v>
      </c>
      <c r="BM636" s="20">
        <v>97.44</v>
      </c>
      <c r="BN636" s="20">
        <v>107.44</v>
      </c>
      <c r="BW636" s="20">
        <v>-42.92</v>
      </c>
      <c r="BX636" s="20">
        <v>3.23</v>
      </c>
      <c r="BZ636" s="20">
        <v>-55.47</v>
      </c>
      <c r="CA636" s="20">
        <v>65.44</v>
      </c>
      <c r="CI636" s="20">
        <v>-31.54</v>
      </c>
      <c r="CJ636" s="20">
        <v>-45.24</v>
      </c>
      <c r="CO636" s="20">
        <v>-18.23</v>
      </c>
      <c r="CP636" s="20">
        <v>-63.57</v>
      </c>
    </row>
    <row r="637">
      <c r="A637" s="20">
        <v>-29.64</v>
      </c>
      <c r="B637" s="20">
        <v>24.15</v>
      </c>
      <c r="D637" s="20"/>
      <c r="E637" s="20"/>
      <c r="F637" s="20">
        <v>-41.47</v>
      </c>
      <c r="G637" s="20">
        <v>-9.97</v>
      </c>
      <c r="I637" s="20"/>
      <c r="J637" s="20"/>
      <c r="K637" s="20">
        <v>318.0</v>
      </c>
      <c r="L637" s="20" t="s">
        <v>14</v>
      </c>
      <c r="M637" s="20">
        <v>-19.6</v>
      </c>
      <c r="N637" s="20">
        <v>-4.27</v>
      </c>
      <c r="P637" s="20">
        <v>-39.31</v>
      </c>
      <c r="Q637" s="20">
        <v>-74.27</v>
      </c>
      <c r="AG637" s="20">
        <v>635.0</v>
      </c>
      <c r="AH637" s="20" t="s">
        <v>14</v>
      </c>
      <c r="AI637" s="20">
        <v>-2.96</v>
      </c>
      <c r="AJ637" s="20">
        <v>-30.64</v>
      </c>
      <c r="AM637" s="20">
        <v>326.0</v>
      </c>
      <c r="AN637" s="20" t="s">
        <v>14</v>
      </c>
      <c r="AO637" s="20">
        <v>-35.34</v>
      </c>
      <c r="AP637" s="20">
        <v>-39.03</v>
      </c>
      <c r="AS637" s="20">
        <v>320.0</v>
      </c>
      <c r="AT637" s="20" t="s">
        <v>14</v>
      </c>
      <c r="AU637" s="20">
        <v>-28.9</v>
      </c>
      <c r="AV637" s="20">
        <v>-36.58</v>
      </c>
      <c r="BE637" s="20">
        <v>635.0</v>
      </c>
      <c r="BF637" s="20" t="s">
        <v>14</v>
      </c>
      <c r="BG637" s="20">
        <v>-0.81</v>
      </c>
      <c r="BH637" s="20">
        <v>2.75</v>
      </c>
      <c r="BM637" s="20">
        <v>261.0</v>
      </c>
      <c r="BN637" s="20">
        <v>72.59</v>
      </c>
      <c r="BW637" s="20">
        <v>-42.71</v>
      </c>
      <c r="BX637" s="20">
        <v>-2.68</v>
      </c>
      <c r="BZ637" s="20">
        <v>-43.14</v>
      </c>
      <c r="CA637" s="20">
        <v>85.61</v>
      </c>
      <c r="CI637" s="20">
        <v>-44.31</v>
      </c>
      <c r="CJ637" s="20">
        <v>-47.24</v>
      </c>
      <c r="CO637" s="20">
        <v>-32.56</v>
      </c>
      <c r="CP637" s="20">
        <v>-48.16</v>
      </c>
    </row>
    <row r="638">
      <c r="A638" s="20">
        <v>-35.39</v>
      </c>
      <c r="B638" s="20">
        <v>-9.64</v>
      </c>
      <c r="D638" s="20"/>
      <c r="E638" s="20"/>
      <c r="F638" s="20">
        <v>-33.35</v>
      </c>
      <c r="G638" s="20">
        <v>38.57</v>
      </c>
      <c r="I638" s="20"/>
      <c r="J638" s="20"/>
      <c r="K638" s="20">
        <v>318.0</v>
      </c>
      <c r="L638" s="20" t="s">
        <v>17</v>
      </c>
      <c r="M638" s="20">
        <v>37.28</v>
      </c>
      <c r="N638" s="20">
        <v>48.55</v>
      </c>
      <c r="P638" s="20">
        <v>-20.94</v>
      </c>
      <c r="Q638" s="20">
        <v>-32.77</v>
      </c>
      <c r="AG638" s="20">
        <v>636.0</v>
      </c>
      <c r="AH638" s="20" t="s">
        <v>14</v>
      </c>
      <c r="AI638" s="20">
        <v>-18.62</v>
      </c>
      <c r="AJ638" s="20">
        <v>-24.03</v>
      </c>
      <c r="AM638" s="20">
        <v>326.0</v>
      </c>
      <c r="AN638" s="20" t="s">
        <v>17</v>
      </c>
      <c r="AO638" s="20">
        <v>-2.14</v>
      </c>
      <c r="AP638" s="20">
        <v>-28.36</v>
      </c>
      <c r="AS638" s="20">
        <v>320.0</v>
      </c>
      <c r="AT638" s="20" t="s">
        <v>17</v>
      </c>
      <c r="AU638" s="20">
        <v>-60.23</v>
      </c>
      <c r="AV638" s="20">
        <v>-35.85</v>
      </c>
      <c r="BE638" s="20">
        <v>636.0</v>
      </c>
      <c r="BF638" s="20" t="s">
        <v>14</v>
      </c>
      <c r="BG638" s="20">
        <v>1.26</v>
      </c>
      <c r="BH638" s="20">
        <v>12.99</v>
      </c>
      <c r="BM638" s="20">
        <v>164.24</v>
      </c>
      <c r="BN638" s="20">
        <v>127.86</v>
      </c>
      <c r="BW638" s="20">
        <v>-45.78</v>
      </c>
      <c r="BX638" s="20">
        <v>33.34</v>
      </c>
      <c r="BZ638" s="20">
        <v>-58.6</v>
      </c>
      <c r="CA638" s="20">
        <v>123.48</v>
      </c>
      <c r="CI638" s="20">
        <v>-44.08</v>
      </c>
      <c r="CJ638" s="20">
        <v>-59.49</v>
      </c>
      <c r="CO638" s="20">
        <v>-10.87</v>
      </c>
      <c r="CP638" s="20">
        <v>-51.76</v>
      </c>
    </row>
    <row r="639">
      <c r="A639" s="20">
        <v>-37.11</v>
      </c>
      <c r="B639" s="20">
        <v>49.91</v>
      </c>
      <c r="D639" s="20"/>
      <c r="E639" s="20"/>
      <c r="F639" s="20">
        <v>37.1</v>
      </c>
      <c r="G639" s="20">
        <v>7.71</v>
      </c>
      <c r="I639" s="20"/>
      <c r="J639" s="20"/>
      <c r="K639" s="20">
        <v>319.0</v>
      </c>
      <c r="L639" s="20" t="s">
        <v>14</v>
      </c>
      <c r="M639" s="20">
        <v>-26.69</v>
      </c>
      <c r="N639" s="20">
        <v>32.19</v>
      </c>
      <c r="P639" s="20">
        <v>-25.63</v>
      </c>
      <c r="Q639" s="20">
        <v>-8.61</v>
      </c>
      <c r="AG639" s="20">
        <v>637.0</v>
      </c>
      <c r="AH639" s="20" t="s">
        <v>14</v>
      </c>
      <c r="AI639" s="20">
        <v>-40.63</v>
      </c>
      <c r="AJ639" s="20">
        <v>-32.31</v>
      </c>
      <c r="AM639" s="20">
        <v>327.0</v>
      </c>
      <c r="AN639" s="20" t="s">
        <v>14</v>
      </c>
      <c r="AO639" s="20">
        <v>40.09</v>
      </c>
      <c r="AP639" s="20">
        <v>-10.76</v>
      </c>
      <c r="AS639" s="20">
        <v>321.0</v>
      </c>
      <c r="AT639" s="20" t="s">
        <v>14</v>
      </c>
      <c r="AU639" s="20">
        <v>15.15</v>
      </c>
      <c r="AV639" s="20">
        <v>-49.17</v>
      </c>
      <c r="BE639" s="20">
        <v>637.0</v>
      </c>
      <c r="BF639" s="20" t="s">
        <v>14</v>
      </c>
      <c r="BG639" s="20">
        <v>2.57</v>
      </c>
      <c r="BH639" s="20">
        <v>11.83</v>
      </c>
      <c r="BM639" s="20">
        <v>107.67</v>
      </c>
      <c r="BN639" s="20">
        <v>90.55</v>
      </c>
      <c r="BW639" s="20">
        <v>-42.42</v>
      </c>
      <c r="BX639" s="20">
        <v>-10.0</v>
      </c>
      <c r="BZ639" s="20">
        <v>-46.3</v>
      </c>
      <c r="CA639" s="20">
        <v>259.03</v>
      </c>
      <c r="CI639" s="20">
        <v>-40.29</v>
      </c>
      <c r="CJ639" s="20">
        <v>-31.72</v>
      </c>
      <c r="CO639" s="20">
        <v>-20.2</v>
      </c>
      <c r="CP639" s="20">
        <v>-52.24</v>
      </c>
    </row>
    <row r="640">
      <c r="A640" s="20">
        <v>-36.06</v>
      </c>
      <c r="B640" s="20">
        <v>-0.46</v>
      </c>
      <c r="D640" s="20"/>
      <c r="E640" s="20"/>
      <c r="F640" s="20">
        <v>16.45</v>
      </c>
      <c r="G640" s="20">
        <v>-11.4</v>
      </c>
      <c r="I640" s="20"/>
      <c r="J640" s="20"/>
      <c r="K640" s="20">
        <v>319.0</v>
      </c>
      <c r="L640" s="20" t="s">
        <v>17</v>
      </c>
      <c r="M640" s="20">
        <v>-51.49</v>
      </c>
      <c r="N640" s="20">
        <v>-14.86</v>
      </c>
      <c r="P640" s="20">
        <v>-34.51</v>
      </c>
      <c r="Q640" s="20">
        <v>-66.91</v>
      </c>
      <c r="AG640" s="20">
        <v>638.0</v>
      </c>
      <c r="AH640" s="20" t="s">
        <v>14</v>
      </c>
      <c r="AI640" s="20">
        <v>-12.22</v>
      </c>
      <c r="AJ640" s="20">
        <v>-15.74</v>
      </c>
      <c r="AM640" s="20">
        <v>327.0</v>
      </c>
      <c r="AN640" s="20" t="s">
        <v>17</v>
      </c>
      <c r="AO640" s="20">
        <v>21.5</v>
      </c>
      <c r="AP640" s="20">
        <v>20.12</v>
      </c>
      <c r="AS640" s="20">
        <v>321.0</v>
      </c>
      <c r="AT640" s="20" t="s">
        <v>17</v>
      </c>
      <c r="AU640" s="20">
        <v>-10.33</v>
      </c>
      <c r="AV640" s="20">
        <v>-9.11</v>
      </c>
      <c r="BE640" s="20">
        <v>638.0</v>
      </c>
      <c r="BF640" s="20" t="s">
        <v>14</v>
      </c>
      <c r="BG640" s="20">
        <v>-0.75</v>
      </c>
      <c r="BH640" s="20">
        <v>13.39</v>
      </c>
      <c r="BM640" s="20">
        <v>183.51</v>
      </c>
      <c r="BN640" s="20">
        <v>80.26</v>
      </c>
      <c r="BW640" s="20">
        <v>-55.54</v>
      </c>
      <c r="BX640" s="20">
        <v>-27.26</v>
      </c>
      <c r="BZ640" s="20">
        <v>-41.73</v>
      </c>
      <c r="CA640" s="20">
        <v>109.42</v>
      </c>
      <c r="CI640" s="20">
        <v>-48.83</v>
      </c>
      <c r="CJ640" s="20">
        <v>-33.36</v>
      </c>
      <c r="CO640" s="20">
        <v>22.57</v>
      </c>
      <c r="CP640" s="20">
        <v>-44.94</v>
      </c>
    </row>
    <row r="641">
      <c r="A641" s="20">
        <v>-13.91</v>
      </c>
      <c r="B641" s="20">
        <v>-24.75</v>
      </c>
      <c r="D641" s="20"/>
      <c r="E641" s="20"/>
      <c r="F641" s="20">
        <v>-1.31</v>
      </c>
      <c r="G641" s="20">
        <v>27.65</v>
      </c>
      <c r="I641" s="20"/>
      <c r="J641" s="20"/>
      <c r="K641" s="20">
        <v>320.0</v>
      </c>
      <c r="L641" s="20" t="s">
        <v>14</v>
      </c>
      <c r="M641" s="20">
        <v>-35.55</v>
      </c>
      <c r="N641" s="20">
        <v>-8.7</v>
      </c>
      <c r="P641" s="20">
        <v>-17.95</v>
      </c>
      <c r="Q641" s="20">
        <v>0.0</v>
      </c>
      <c r="AG641" s="20">
        <v>639.0</v>
      </c>
      <c r="AH641" s="20" t="s">
        <v>14</v>
      </c>
      <c r="AI641" s="20">
        <v>-15.49</v>
      </c>
      <c r="AJ641" s="20">
        <v>-8.9</v>
      </c>
      <c r="AM641" s="20">
        <v>328.0</v>
      </c>
      <c r="AN641" s="20" t="s">
        <v>14</v>
      </c>
      <c r="AO641" s="20">
        <v>-19.79</v>
      </c>
      <c r="AP641" s="20">
        <v>-17.33</v>
      </c>
      <c r="AS641" s="20">
        <v>322.0</v>
      </c>
      <c r="AT641" s="20" t="s">
        <v>14</v>
      </c>
      <c r="AU641" s="20">
        <v>6.55</v>
      </c>
      <c r="AV641" s="20">
        <v>-7.66</v>
      </c>
      <c r="BE641" s="20">
        <v>639.0</v>
      </c>
      <c r="BF641" s="20" t="s">
        <v>14</v>
      </c>
      <c r="BG641" s="20">
        <v>-8.2</v>
      </c>
      <c r="BH641" s="20">
        <v>27.23</v>
      </c>
      <c r="BM641" s="20">
        <v>57.87</v>
      </c>
      <c r="BN641" s="20">
        <v>53.89</v>
      </c>
      <c r="BW641" s="20">
        <v>-53.24</v>
      </c>
      <c r="BX641" s="20">
        <v>3.4</v>
      </c>
      <c r="BZ641" s="20">
        <v>-52.24</v>
      </c>
      <c r="CA641" s="20">
        <v>100.7</v>
      </c>
      <c r="CI641" s="20">
        <v>-46.56</v>
      </c>
      <c r="CJ641" s="20">
        <v>-41.96</v>
      </c>
      <c r="CO641" s="20">
        <v>-30.52</v>
      </c>
      <c r="CP641" s="20">
        <v>-57.5</v>
      </c>
    </row>
    <row r="642">
      <c r="A642" s="20">
        <v>21.75</v>
      </c>
      <c r="B642" s="20">
        <v>-28.14</v>
      </c>
      <c r="D642" s="20"/>
      <c r="E642" s="20"/>
      <c r="F642" s="20">
        <v>5.34</v>
      </c>
      <c r="G642" s="20">
        <v>31.95</v>
      </c>
      <c r="I642" s="20"/>
      <c r="J642" s="20"/>
      <c r="K642" s="20">
        <v>320.0</v>
      </c>
      <c r="L642" s="20" t="s">
        <v>17</v>
      </c>
      <c r="M642" s="20">
        <v>-34.71</v>
      </c>
      <c r="N642" s="20">
        <v>5.14</v>
      </c>
      <c r="P642" s="20">
        <v>-23.95</v>
      </c>
      <c r="Q642" s="20">
        <v>7.22</v>
      </c>
      <c r="AG642" s="20">
        <v>640.0</v>
      </c>
      <c r="AH642" s="20" t="s">
        <v>14</v>
      </c>
      <c r="AI642" s="20">
        <v>-17.56</v>
      </c>
      <c r="AJ642" s="20">
        <v>-13.23</v>
      </c>
      <c r="AM642" s="20">
        <v>328.0</v>
      </c>
      <c r="AN642" s="20" t="s">
        <v>17</v>
      </c>
      <c r="AO642" s="20">
        <v>5.02</v>
      </c>
      <c r="AP642" s="20">
        <v>-5.84</v>
      </c>
      <c r="AS642" s="20">
        <v>322.0</v>
      </c>
      <c r="AT642" s="20" t="s">
        <v>17</v>
      </c>
      <c r="AU642" s="20">
        <v>9.44</v>
      </c>
      <c r="AV642" s="20">
        <v>-14.89</v>
      </c>
      <c r="BE642" s="20">
        <v>640.0</v>
      </c>
      <c r="BF642" s="20" t="s">
        <v>14</v>
      </c>
      <c r="BG642" s="20">
        <v>30.84</v>
      </c>
      <c r="BH642" s="20">
        <v>43.22</v>
      </c>
      <c r="BM642" s="20">
        <v>144.52</v>
      </c>
      <c r="BN642" s="20">
        <v>26.78</v>
      </c>
      <c r="BW642" s="20">
        <v>-56.17</v>
      </c>
      <c r="BX642" s="20">
        <v>-27.79</v>
      </c>
      <c r="BZ642" s="20">
        <v>-41.04</v>
      </c>
      <c r="CA642" s="20">
        <v>-21.02</v>
      </c>
      <c r="CI642" s="20">
        <v>-54.38</v>
      </c>
      <c r="CJ642" s="20">
        <v>-42.1</v>
      </c>
      <c r="CO642" s="20">
        <v>-19.76</v>
      </c>
      <c r="CP642" s="20">
        <v>-59.76</v>
      </c>
    </row>
    <row r="643">
      <c r="A643" s="20">
        <v>31.01</v>
      </c>
      <c r="B643" s="20">
        <v>-19.67</v>
      </c>
      <c r="D643" s="20"/>
      <c r="E643" s="20"/>
      <c r="F643" s="20">
        <v>-0.41</v>
      </c>
      <c r="G643" s="20">
        <v>-2.94</v>
      </c>
      <c r="I643" s="20"/>
      <c r="J643" s="20"/>
      <c r="K643" s="20">
        <v>321.0</v>
      </c>
      <c r="L643" s="20" t="s">
        <v>14</v>
      </c>
      <c r="M643" s="20">
        <v>29.54</v>
      </c>
      <c r="N643" s="20">
        <v>14.87</v>
      </c>
      <c r="P643" s="20">
        <v>-14.33</v>
      </c>
      <c r="Q643" s="20">
        <v>-12.72</v>
      </c>
      <c r="AG643" s="20">
        <v>641.0</v>
      </c>
      <c r="AH643" s="20" t="s">
        <v>14</v>
      </c>
      <c r="AI643" s="20">
        <v>-22.34</v>
      </c>
      <c r="AJ643" s="20">
        <v>-23.71</v>
      </c>
      <c r="AM643" s="20">
        <v>329.0</v>
      </c>
      <c r="AN643" s="20" t="s">
        <v>14</v>
      </c>
      <c r="AO643" s="20">
        <v>-58.48</v>
      </c>
      <c r="AP643" s="20">
        <v>-23.64</v>
      </c>
      <c r="AS643" s="20">
        <v>323.0</v>
      </c>
      <c r="AT643" s="20" t="s">
        <v>14</v>
      </c>
      <c r="AU643" s="20">
        <v>3.03</v>
      </c>
      <c r="AV643" s="20">
        <v>-70.39</v>
      </c>
      <c r="BE643" s="20">
        <v>641.0</v>
      </c>
      <c r="BF643" s="20" t="s">
        <v>14</v>
      </c>
      <c r="BG643" s="20">
        <v>33.63</v>
      </c>
      <c r="BH643" s="20">
        <v>5.93</v>
      </c>
      <c r="BM643" s="20">
        <v>66.77</v>
      </c>
      <c r="BN643" s="20">
        <v>42.89</v>
      </c>
      <c r="BW643" s="20">
        <v>-48.15</v>
      </c>
      <c r="BX643" s="20">
        <v>-6.6</v>
      </c>
      <c r="BZ643" s="20">
        <v>-54.32</v>
      </c>
      <c r="CA643" s="20">
        <v>84.22</v>
      </c>
      <c r="CI643" s="20">
        <v>-37.73</v>
      </c>
      <c r="CJ643" s="20">
        <v>-28.78</v>
      </c>
      <c r="CO643" s="20">
        <v>-2.01</v>
      </c>
      <c r="CP643" s="20">
        <v>-36.06</v>
      </c>
    </row>
    <row r="644">
      <c r="A644" s="20">
        <v>-33.74</v>
      </c>
      <c r="B644" s="20">
        <v>5.97</v>
      </c>
      <c r="D644" s="20"/>
      <c r="E644" s="20"/>
      <c r="F644" s="20">
        <v>-28.36</v>
      </c>
      <c r="G644" s="20">
        <v>-6.66</v>
      </c>
      <c r="I644" s="20"/>
      <c r="J644" s="20"/>
      <c r="K644" s="20">
        <v>321.0</v>
      </c>
      <c r="L644" s="20" t="s">
        <v>17</v>
      </c>
      <c r="M644" s="20">
        <v>26.03</v>
      </c>
      <c r="N644" s="20">
        <v>-32.34</v>
      </c>
      <c r="P644" s="20">
        <v>-4.34</v>
      </c>
      <c r="Q644" s="20">
        <v>25.49</v>
      </c>
      <c r="AG644" s="20">
        <v>642.0</v>
      </c>
      <c r="AH644" s="20" t="s">
        <v>14</v>
      </c>
      <c r="AI644" s="20">
        <v>25.18</v>
      </c>
      <c r="AJ644" s="20">
        <v>-12.43</v>
      </c>
      <c r="AM644" s="20">
        <v>329.0</v>
      </c>
      <c r="AN644" s="20" t="s">
        <v>17</v>
      </c>
      <c r="AO644" s="20">
        <v>3.41</v>
      </c>
      <c r="AP644" s="20">
        <v>-11.96</v>
      </c>
      <c r="AS644" s="20">
        <v>323.0</v>
      </c>
      <c r="AT644" s="20" t="s">
        <v>17</v>
      </c>
      <c r="AU644" s="20">
        <v>-20.35</v>
      </c>
      <c r="AV644" s="20">
        <v>-28.62</v>
      </c>
      <c r="BE644" s="20">
        <v>642.0</v>
      </c>
      <c r="BF644" s="20" t="s">
        <v>14</v>
      </c>
      <c r="BG644" s="20">
        <v>-29.39</v>
      </c>
      <c r="BH644" s="20">
        <v>-4.96</v>
      </c>
      <c r="BM644" s="20">
        <v>170.31</v>
      </c>
      <c r="BN644" s="20">
        <v>73.66</v>
      </c>
      <c r="BW644" s="20">
        <v>-48.67</v>
      </c>
      <c r="BX644" s="20">
        <v>-24.92</v>
      </c>
      <c r="BZ644" s="20">
        <v>-49.88</v>
      </c>
      <c r="CA644" s="20">
        <v>32.75</v>
      </c>
      <c r="CI644" s="20">
        <v>-35.24</v>
      </c>
      <c r="CJ644" s="20">
        <v>-30.62</v>
      </c>
      <c r="CO644" s="20">
        <v>-9.98</v>
      </c>
      <c r="CP644" s="20">
        <v>-38.03</v>
      </c>
    </row>
    <row r="645">
      <c r="A645" s="20">
        <v>10.93</v>
      </c>
      <c r="B645" s="20">
        <v>42.66</v>
      </c>
      <c r="D645" s="20"/>
      <c r="E645" s="20"/>
      <c r="F645" s="20">
        <v>25.29</v>
      </c>
      <c r="G645" s="20">
        <v>18.91</v>
      </c>
      <c r="I645" s="20"/>
      <c r="J645" s="20"/>
      <c r="K645" s="20">
        <v>322.0</v>
      </c>
      <c r="L645" s="20" t="s">
        <v>14</v>
      </c>
      <c r="M645" s="20">
        <v>20.6</v>
      </c>
      <c r="N645" s="20">
        <v>65.75</v>
      </c>
      <c r="P645" s="20">
        <v>8.62</v>
      </c>
      <c r="Q645" s="20">
        <v>8.09</v>
      </c>
      <c r="AG645" s="20">
        <v>643.0</v>
      </c>
      <c r="AH645" s="20" t="s">
        <v>14</v>
      </c>
      <c r="AI645" s="20">
        <v>-32.12</v>
      </c>
      <c r="AJ645" s="20">
        <v>-19.43</v>
      </c>
      <c r="AM645" s="20">
        <v>330.0</v>
      </c>
      <c r="AN645" s="20" t="s">
        <v>14</v>
      </c>
      <c r="AO645" s="20">
        <v>-42.78</v>
      </c>
      <c r="AP645" s="20">
        <v>-27.88</v>
      </c>
      <c r="AS645" s="20">
        <v>324.0</v>
      </c>
      <c r="AT645" s="20" t="s">
        <v>14</v>
      </c>
      <c r="AU645" s="20">
        <v>6.84</v>
      </c>
      <c r="AV645" s="20">
        <v>-12.99</v>
      </c>
      <c r="BE645" s="20">
        <v>643.0</v>
      </c>
      <c r="BF645" s="20" t="s">
        <v>14</v>
      </c>
      <c r="BG645" s="20">
        <v>-25.24</v>
      </c>
      <c r="BH645" s="20">
        <v>46.68</v>
      </c>
      <c r="BM645" s="20">
        <v>203.68</v>
      </c>
      <c r="BN645" s="20">
        <v>42.27</v>
      </c>
      <c r="BW645" s="20">
        <v>-59.48</v>
      </c>
      <c r="BX645" s="20">
        <v>-34.03</v>
      </c>
      <c r="BZ645" s="20">
        <v>-62.12</v>
      </c>
      <c r="CA645" s="20">
        <v>97.24</v>
      </c>
      <c r="CI645" s="20">
        <v>-53.04</v>
      </c>
      <c r="CJ645" s="20">
        <v>-57.18</v>
      </c>
      <c r="CO645" s="20">
        <v>4.09</v>
      </c>
      <c r="CP645" s="20">
        <v>-55.46</v>
      </c>
    </row>
    <row r="646">
      <c r="A646" s="20">
        <v>-63.81</v>
      </c>
      <c r="B646" s="20">
        <v>0.02</v>
      </c>
      <c r="D646" s="20"/>
      <c r="E646" s="20"/>
      <c r="F646" s="20">
        <v>36.49</v>
      </c>
      <c r="G646" s="20">
        <v>31.75</v>
      </c>
      <c r="I646" s="20"/>
      <c r="J646" s="20"/>
      <c r="K646" s="20">
        <v>322.0</v>
      </c>
      <c r="L646" s="20" t="s">
        <v>17</v>
      </c>
      <c r="M646" s="20">
        <v>-26.19</v>
      </c>
      <c r="N646" s="20">
        <v>-3.06</v>
      </c>
      <c r="P646" s="20">
        <v>-29.51</v>
      </c>
      <c r="Q646" s="20">
        <v>22.01</v>
      </c>
      <c r="AG646" s="20">
        <v>644.0</v>
      </c>
      <c r="AH646" s="20" t="s">
        <v>14</v>
      </c>
      <c r="AI646" s="20">
        <v>-12.74</v>
      </c>
      <c r="AJ646" s="20">
        <v>-15.21</v>
      </c>
      <c r="AM646" s="20">
        <v>330.0</v>
      </c>
      <c r="AN646" s="20" t="s">
        <v>17</v>
      </c>
      <c r="AO646" s="20">
        <v>-11.44</v>
      </c>
      <c r="AP646" s="20">
        <v>-11.26</v>
      </c>
      <c r="AS646" s="20">
        <v>324.0</v>
      </c>
      <c r="AT646" s="20" t="s">
        <v>17</v>
      </c>
      <c r="AU646" s="20">
        <v>51.87</v>
      </c>
      <c r="AV646" s="20">
        <v>-24.24</v>
      </c>
      <c r="BE646" s="20">
        <v>644.0</v>
      </c>
      <c r="BF646" s="20" t="s">
        <v>14</v>
      </c>
      <c r="BG646" s="20">
        <v>15.23</v>
      </c>
      <c r="BH646" s="20">
        <v>14.19</v>
      </c>
      <c r="BM646" s="20">
        <v>288.57</v>
      </c>
      <c r="BN646" s="20">
        <v>31.91</v>
      </c>
      <c r="BW646" s="20">
        <v>-63.5</v>
      </c>
      <c r="BX646" s="20">
        <v>-41.95</v>
      </c>
      <c r="BZ646" s="20">
        <v>-47.86</v>
      </c>
      <c r="CA646" s="20">
        <v>10.39</v>
      </c>
      <c r="CI646" s="20">
        <v>-55.05</v>
      </c>
      <c r="CJ646" s="20">
        <v>-65.66</v>
      </c>
      <c r="CO646" s="20">
        <v>-0.88</v>
      </c>
      <c r="CP646" s="20">
        <v>-44.56</v>
      </c>
    </row>
    <row r="647">
      <c r="A647" s="20">
        <v>-46.16</v>
      </c>
      <c r="B647" s="20">
        <v>-12.15</v>
      </c>
      <c r="D647" s="20"/>
      <c r="E647" s="20"/>
      <c r="F647" s="20">
        <v>11.49</v>
      </c>
      <c r="G647" s="20">
        <v>35.35</v>
      </c>
      <c r="I647" s="20"/>
      <c r="J647" s="20"/>
      <c r="K647" s="20">
        <v>323.0</v>
      </c>
      <c r="L647" s="20" t="s">
        <v>14</v>
      </c>
      <c r="M647" s="20">
        <v>-30.07</v>
      </c>
      <c r="N647" s="20">
        <v>-0.86</v>
      </c>
      <c r="P647" s="20">
        <v>1.7</v>
      </c>
      <c r="Q647" s="20">
        <v>16.26</v>
      </c>
      <c r="AG647" s="20">
        <v>645.0</v>
      </c>
      <c r="AH647" s="20" t="s">
        <v>14</v>
      </c>
      <c r="AI647" s="20">
        <v>-9.14</v>
      </c>
      <c r="AJ647" s="20">
        <v>9.18</v>
      </c>
      <c r="AM647" s="20">
        <v>331.0</v>
      </c>
      <c r="AN647" s="20" t="s">
        <v>14</v>
      </c>
      <c r="AO647" s="20">
        <v>-53.45</v>
      </c>
      <c r="AP647" s="20">
        <v>-14.37</v>
      </c>
      <c r="AS647" s="20">
        <v>325.0</v>
      </c>
      <c r="AT647" s="20" t="s">
        <v>14</v>
      </c>
      <c r="AU647" s="20">
        <v>-23.6</v>
      </c>
      <c r="AV647" s="20">
        <v>-62.12</v>
      </c>
      <c r="BE647" s="20">
        <v>645.0</v>
      </c>
      <c r="BF647" s="20" t="s">
        <v>14</v>
      </c>
      <c r="BG647" s="20">
        <v>29.17</v>
      </c>
      <c r="BH647" s="20">
        <v>3.29</v>
      </c>
      <c r="BM647" s="20">
        <v>127.02</v>
      </c>
      <c r="BN647" s="20">
        <v>134.62</v>
      </c>
      <c r="BW647" s="20">
        <v>-48.85</v>
      </c>
      <c r="BX647" s="20">
        <v>3.89</v>
      </c>
      <c r="BZ647" s="20">
        <v>-11.62</v>
      </c>
      <c r="CA647" s="20">
        <v>63.69</v>
      </c>
      <c r="CI647" s="20">
        <v>-58.31</v>
      </c>
      <c r="CJ647" s="20">
        <v>-55.17</v>
      </c>
      <c r="CO647" s="20">
        <v>-27.92</v>
      </c>
      <c r="CP647" s="20">
        <v>-20.58</v>
      </c>
    </row>
    <row r="648">
      <c r="A648" s="20">
        <v>-64.2</v>
      </c>
      <c r="B648" s="20">
        <v>-29.68</v>
      </c>
      <c r="D648" s="20"/>
      <c r="E648" s="20"/>
      <c r="F648" s="20">
        <v>50.94</v>
      </c>
      <c r="G648" s="20">
        <v>36.27</v>
      </c>
      <c r="I648" s="20"/>
      <c r="J648" s="20"/>
      <c r="K648" s="20">
        <v>323.0</v>
      </c>
      <c r="L648" s="20" t="s">
        <v>17</v>
      </c>
      <c r="M648" s="20">
        <v>15.35</v>
      </c>
      <c r="N648" s="20">
        <v>66.06</v>
      </c>
      <c r="P648" s="20">
        <v>13.9</v>
      </c>
      <c r="Q648" s="20">
        <v>162.16</v>
      </c>
      <c r="AG648" s="20">
        <v>646.0</v>
      </c>
      <c r="AH648" s="20" t="s">
        <v>14</v>
      </c>
      <c r="AI648" s="20">
        <v>-31.24</v>
      </c>
      <c r="AJ648" s="20">
        <v>-31.05</v>
      </c>
      <c r="AM648" s="20">
        <v>331.0</v>
      </c>
      <c r="AN648" s="20" t="s">
        <v>17</v>
      </c>
      <c r="AO648" s="20">
        <v>-58.65</v>
      </c>
      <c r="AP648" s="20">
        <v>-18.7</v>
      </c>
      <c r="AS648" s="20">
        <v>325.0</v>
      </c>
      <c r="AT648" s="20" t="s">
        <v>17</v>
      </c>
      <c r="AU648" s="20">
        <v>33.17</v>
      </c>
      <c r="AV648" s="20">
        <v>-37.73</v>
      </c>
      <c r="BE648" s="20">
        <v>646.0</v>
      </c>
      <c r="BF648" s="20" t="s">
        <v>14</v>
      </c>
      <c r="BG648" s="20">
        <v>-15.03</v>
      </c>
      <c r="BH648" s="20">
        <v>-12.28</v>
      </c>
      <c r="BM648" s="20">
        <v>136.15</v>
      </c>
      <c r="BN648" s="20">
        <v>83.21</v>
      </c>
      <c r="BW648" s="20">
        <v>-57.64</v>
      </c>
      <c r="BX648" s="20">
        <v>-29.74</v>
      </c>
      <c r="BZ648" s="20">
        <v>-36.05</v>
      </c>
      <c r="CA648" s="20">
        <v>17.16</v>
      </c>
      <c r="CI648" s="20">
        <v>-43.34</v>
      </c>
      <c r="CJ648" s="20">
        <v>-59.89</v>
      </c>
      <c r="CO648" s="20">
        <v>-3.63</v>
      </c>
      <c r="CP648" s="20">
        <v>-44.75</v>
      </c>
    </row>
    <row r="649">
      <c r="A649" s="20">
        <v>-6.21</v>
      </c>
      <c r="B649" s="20">
        <v>5.29</v>
      </c>
      <c r="D649" s="20"/>
      <c r="E649" s="20"/>
      <c r="F649" s="20">
        <v>13.35</v>
      </c>
      <c r="G649" s="20">
        <v>14.27</v>
      </c>
      <c r="I649" s="20"/>
      <c r="J649" s="20"/>
      <c r="K649" s="20">
        <v>324.0</v>
      </c>
      <c r="L649" s="20" t="s">
        <v>14</v>
      </c>
      <c r="M649" s="20">
        <v>-0.6</v>
      </c>
      <c r="N649" s="20">
        <v>6.79</v>
      </c>
      <c r="P649" s="20">
        <v>-1.41</v>
      </c>
      <c r="Q649" s="20">
        <v>13.9</v>
      </c>
      <c r="AG649" s="20">
        <v>647.0</v>
      </c>
      <c r="AH649" s="20" t="s">
        <v>14</v>
      </c>
      <c r="AI649" s="20">
        <v>-14.33</v>
      </c>
      <c r="AJ649" s="20">
        <v>-7.4</v>
      </c>
      <c r="AM649" s="20">
        <v>332.0</v>
      </c>
      <c r="AN649" s="20" t="s">
        <v>14</v>
      </c>
      <c r="AO649" s="20">
        <v>3.78</v>
      </c>
      <c r="AP649" s="20">
        <v>-24.42</v>
      </c>
      <c r="AS649" s="20">
        <v>326.0</v>
      </c>
      <c r="AT649" s="20" t="s">
        <v>14</v>
      </c>
      <c r="AU649" s="20">
        <v>-13.67</v>
      </c>
      <c r="AV649" s="20">
        <v>-62.29</v>
      </c>
      <c r="BE649" s="20">
        <v>647.0</v>
      </c>
      <c r="BF649" s="20" t="s">
        <v>14</v>
      </c>
      <c r="BG649" s="20">
        <v>8.96</v>
      </c>
      <c r="BH649" s="20">
        <v>0.04</v>
      </c>
      <c r="BM649" s="20">
        <v>61.83</v>
      </c>
      <c r="BN649" s="20">
        <v>88.99</v>
      </c>
      <c r="BW649" s="20">
        <v>-47.8</v>
      </c>
      <c r="BX649" s="20">
        <v>-21.3</v>
      </c>
      <c r="BZ649" s="20">
        <v>-35.45</v>
      </c>
      <c r="CA649" s="20">
        <v>94.23</v>
      </c>
      <c r="CI649" s="20">
        <v>-35.94</v>
      </c>
      <c r="CJ649" s="20">
        <v>-52.49</v>
      </c>
      <c r="CO649" s="20">
        <v>-26.16</v>
      </c>
      <c r="CP649" s="20">
        <v>-53.91</v>
      </c>
    </row>
    <row r="650">
      <c r="A650" s="20">
        <v>-12.61</v>
      </c>
      <c r="B650" s="20">
        <v>-8.99</v>
      </c>
      <c r="D650" s="20"/>
      <c r="E650" s="20"/>
      <c r="F650" s="20">
        <v>-14.54</v>
      </c>
      <c r="G650" s="20">
        <v>29.87</v>
      </c>
      <c r="I650" s="20"/>
      <c r="J650" s="20"/>
      <c r="K650" s="20">
        <v>324.0</v>
      </c>
      <c r="L650" s="20" t="s">
        <v>17</v>
      </c>
      <c r="M650" s="20">
        <v>-41.24</v>
      </c>
      <c r="N650" s="20">
        <v>2.71</v>
      </c>
      <c r="P650" s="20">
        <v>-9.72</v>
      </c>
      <c r="Q650" s="20">
        <v>37.11</v>
      </c>
      <c r="AG650" s="20">
        <v>648.0</v>
      </c>
      <c r="AH650" s="20" t="s">
        <v>14</v>
      </c>
      <c r="AI650" s="20">
        <v>-11.82</v>
      </c>
      <c r="AJ650" s="20">
        <v>-15.45</v>
      </c>
      <c r="AM650" s="20">
        <v>332.0</v>
      </c>
      <c r="AN650" s="20" t="s">
        <v>17</v>
      </c>
      <c r="AO650" s="20">
        <v>-28.24</v>
      </c>
      <c r="AP650" s="20">
        <v>-5.85</v>
      </c>
      <c r="AS650" s="20">
        <v>326.0</v>
      </c>
      <c r="AT650" s="20" t="s">
        <v>17</v>
      </c>
      <c r="AU650" s="20">
        <v>5.28</v>
      </c>
      <c r="AV650" s="20">
        <v>-54.66</v>
      </c>
      <c r="BE650" s="20">
        <v>648.0</v>
      </c>
      <c r="BF650" s="20" t="s">
        <v>14</v>
      </c>
      <c r="BG650" s="20">
        <v>-5.32</v>
      </c>
      <c r="BH650" s="20">
        <v>27.97</v>
      </c>
      <c r="BM650" s="20">
        <v>239.64</v>
      </c>
      <c r="BN650" s="20">
        <v>115.71</v>
      </c>
      <c r="BW650" s="20">
        <v>-36.61</v>
      </c>
      <c r="BX650" s="20">
        <v>-29.27</v>
      </c>
      <c r="BZ650" s="20">
        <v>-51.77</v>
      </c>
      <c r="CA650" s="20">
        <v>22.92</v>
      </c>
      <c r="CI650" s="20">
        <v>-27.43</v>
      </c>
      <c r="CJ650" s="20">
        <v>-34.4</v>
      </c>
      <c r="CO650" s="20">
        <v>-3.48</v>
      </c>
      <c r="CP650" s="20">
        <v>-47.73</v>
      </c>
    </row>
    <row r="651">
      <c r="A651" s="20">
        <v>-56.6</v>
      </c>
      <c r="B651" s="20">
        <v>-7.33</v>
      </c>
      <c r="D651" s="20"/>
      <c r="E651" s="20"/>
      <c r="F651" s="20">
        <v>19.06</v>
      </c>
      <c r="G651" s="20">
        <v>14.64</v>
      </c>
      <c r="I651" s="20"/>
      <c r="J651" s="20"/>
      <c r="K651" s="20">
        <v>325.0</v>
      </c>
      <c r="L651" s="20" t="s">
        <v>14</v>
      </c>
      <c r="M651" s="20">
        <v>-19.81</v>
      </c>
      <c r="N651" s="20">
        <v>2.77</v>
      </c>
      <c r="P651" s="20">
        <v>-28.43</v>
      </c>
      <c r="Q651" s="20">
        <v>-20.49</v>
      </c>
      <c r="AG651" s="20">
        <v>649.0</v>
      </c>
      <c r="AH651" s="20" t="s">
        <v>14</v>
      </c>
      <c r="AI651" s="20">
        <v>4.63</v>
      </c>
      <c r="AJ651" s="20">
        <v>-1.37</v>
      </c>
      <c r="AM651" s="20">
        <v>333.0</v>
      </c>
      <c r="AN651" s="20" t="s">
        <v>14</v>
      </c>
      <c r="AO651" s="20">
        <v>26.96</v>
      </c>
      <c r="AP651" s="20">
        <v>-6.51</v>
      </c>
      <c r="AS651" s="20">
        <v>327.0</v>
      </c>
      <c r="AT651" s="20" t="s">
        <v>14</v>
      </c>
      <c r="AU651" s="20">
        <v>37.21</v>
      </c>
      <c r="AV651" s="20">
        <v>-56.02</v>
      </c>
      <c r="BE651" s="20">
        <v>649.0</v>
      </c>
      <c r="BF651" s="20" t="s">
        <v>14</v>
      </c>
      <c r="BG651" s="20">
        <v>-0.96</v>
      </c>
      <c r="BH651" s="20">
        <v>84.3</v>
      </c>
      <c r="BM651" s="20">
        <v>63.98</v>
      </c>
      <c r="BN651" s="20">
        <v>74.25</v>
      </c>
      <c r="BW651" s="20">
        <v>-46.6</v>
      </c>
      <c r="BX651" s="20">
        <v>-23.78</v>
      </c>
      <c r="BZ651" s="20">
        <v>-24.93</v>
      </c>
      <c r="CA651" s="20">
        <v>54.92</v>
      </c>
      <c r="CI651" s="20">
        <v>21.09</v>
      </c>
      <c r="CJ651" s="20">
        <v>-40.89</v>
      </c>
      <c r="CO651" s="20">
        <v>-29.25</v>
      </c>
      <c r="CP651" s="20">
        <v>-30.76</v>
      </c>
    </row>
    <row r="652">
      <c r="A652" s="20">
        <v>-45.15</v>
      </c>
      <c r="B652" s="20">
        <v>-30.47</v>
      </c>
      <c r="D652" s="20"/>
      <c r="E652" s="20"/>
      <c r="F652" s="20">
        <v>-15.44</v>
      </c>
      <c r="G652" s="20">
        <v>2.45</v>
      </c>
      <c r="I652" s="20"/>
      <c r="J652" s="20"/>
      <c r="K652" s="20">
        <v>325.0</v>
      </c>
      <c r="L652" s="20" t="s">
        <v>17</v>
      </c>
      <c r="M652" s="20">
        <v>-55.0</v>
      </c>
      <c r="N652" s="20">
        <v>-3.86</v>
      </c>
      <c r="P652" s="20">
        <v>-50.0</v>
      </c>
      <c r="Q652" s="20">
        <v>-24.4</v>
      </c>
      <c r="AG652" s="20">
        <v>650.0</v>
      </c>
      <c r="AH652" s="20" t="s">
        <v>14</v>
      </c>
      <c r="AI652" s="20">
        <v>28.64</v>
      </c>
      <c r="AJ652" s="20">
        <v>7.17</v>
      </c>
      <c r="AM652" s="20">
        <v>333.0</v>
      </c>
      <c r="AN652" s="20" t="s">
        <v>17</v>
      </c>
      <c r="AO652" s="20">
        <v>26.55</v>
      </c>
      <c r="AP652" s="20">
        <v>-3.32</v>
      </c>
      <c r="AS652" s="20">
        <v>327.0</v>
      </c>
      <c r="AT652" s="20" t="s">
        <v>17</v>
      </c>
      <c r="AU652" s="20">
        <v>-11.07</v>
      </c>
      <c r="AV652" s="20">
        <v>-32.91</v>
      </c>
      <c r="BE652" s="20">
        <v>650.0</v>
      </c>
      <c r="BF652" s="20" t="s">
        <v>14</v>
      </c>
      <c r="BG652" s="20">
        <v>-16.43</v>
      </c>
      <c r="BH652" s="20">
        <v>10.31</v>
      </c>
      <c r="BM652" s="20">
        <v>116.86</v>
      </c>
      <c r="BN652" s="20">
        <v>89.74</v>
      </c>
      <c r="BW652" s="20">
        <v>-53.94</v>
      </c>
      <c r="BX652" s="20">
        <v>13.39</v>
      </c>
      <c r="BZ652" s="20">
        <v>-12.89</v>
      </c>
      <c r="CA652" s="20">
        <v>90.24</v>
      </c>
      <c r="CI652" s="20">
        <v>-35.6</v>
      </c>
      <c r="CJ652" s="20">
        <v>-57.13</v>
      </c>
      <c r="CO652" s="20">
        <v>16.06</v>
      </c>
      <c r="CP652" s="20">
        <v>-29.47</v>
      </c>
    </row>
    <row r="653">
      <c r="A653" s="20">
        <v>-50.89</v>
      </c>
      <c r="B653" s="20">
        <v>42.93</v>
      </c>
      <c r="D653" s="20"/>
      <c r="E653" s="20"/>
      <c r="F653" s="20">
        <v>-6.58</v>
      </c>
      <c r="G653" s="20">
        <v>12.6</v>
      </c>
      <c r="I653" s="20"/>
      <c r="J653" s="20"/>
      <c r="K653" s="20">
        <v>326.0</v>
      </c>
      <c r="L653" s="20" t="s">
        <v>14</v>
      </c>
      <c r="M653" s="20">
        <v>-37.36</v>
      </c>
      <c r="N653" s="20">
        <v>13.95</v>
      </c>
      <c r="P653" s="20">
        <v>4.59</v>
      </c>
      <c r="Q653" s="20">
        <v>63.58</v>
      </c>
      <c r="AG653" s="20">
        <v>651.0</v>
      </c>
      <c r="AH653" s="20" t="s">
        <v>14</v>
      </c>
      <c r="AI653" s="20">
        <v>-3.77</v>
      </c>
      <c r="AJ653" s="20">
        <v>-9.33</v>
      </c>
      <c r="AM653" s="20">
        <v>334.0</v>
      </c>
      <c r="AN653" s="20" t="s">
        <v>14</v>
      </c>
      <c r="AO653" s="20">
        <v>-28.0</v>
      </c>
      <c r="AP653" s="20">
        <v>-45.0</v>
      </c>
      <c r="AS653" s="20">
        <v>328.0</v>
      </c>
      <c r="AT653" s="20" t="s">
        <v>14</v>
      </c>
      <c r="AU653" s="20">
        <v>-0.14</v>
      </c>
      <c r="AV653" s="20">
        <v>-49.95</v>
      </c>
      <c r="BE653" s="20">
        <v>651.0</v>
      </c>
      <c r="BF653" s="20" t="s">
        <v>14</v>
      </c>
      <c r="BG653" s="20">
        <v>-10.16</v>
      </c>
      <c r="BH653" s="20">
        <v>33.6</v>
      </c>
      <c r="BM653" s="20">
        <v>115.97</v>
      </c>
      <c r="BN653" s="20">
        <v>112.92</v>
      </c>
      <c r="BW653" s="20">
        <v>-59.03</v>
      </c>
      <c r="BX653" s="20">
        <v>17.61</v>
      </c>
      <c r="BZ653" s="20">
        <v>-43.02</v>
      </c>
      <c r="CA653" s="20">
        <v>85.21</v>
      </c>
      <c r="CI653" s="20">
        <v>-48.67</v>
      </c>
      <c r="CJ653" s="20">
        <v>-42.29</v>
      </c>
      <c r="CO653" s="20">
        <v>-51.15</v>
      </c>
      <c r="CP653" s="20">
        <v>-53.45</v>
      </c>
    </row>
    <row r="654">
      <c r="A654" s="20">
        <v>-26.56</v>
      </c>
      <c r="B654" s="20">
        <v>29.87</v>
      </c>
      <c r="D654" s="20"/>
      <c r="E654" s="20"/>
      <c r="F654" s="20">
        <v>-4.75</v>
      </c>
      <c r="G654" s="20">
        <v>22.61</v>
      </c>
      <c r="I654" s="20"/>
      <c r="J654" s="20"/>
      <c r="K654" s="20">
        <v>326.0</v>
      </c>
      <c r="L654" s="20" t="s">
        <v>17</v>
      </c>
      <c r="M654" s="20">
        <v>-27.24</v>
      </c>
      <c r="N654" s="20">
        <v>-38.36</v>
      </c>
      <c r="P654" s="20">
        <v>18.42</v>
      </c>
      <c r="Q654" s="20">
        <v>144.96</v>
      </c>
      <c r="AG654" s="20">
        <v>652.0</v>
      </c>
      <c r="AH654" s="20" t="s">
        <v>14</v>
      </c>
      <c r="AI654" s="20">
        <v>-27.69</v>
      </c>
      <c r="AJ654" s="20">
        <v>-13.92</v>
      </c>
      <c r="AM654" s="20">
        <v>334.0</v>
      </c>
      <c r="AN654" s="20" t="s">
        <v>17</v>
      </c>
      <c r="AO654" s="20">
        <v>-17.87</v>
      </c>
      <c r="AP654" s="20">
        <v>-17.83</v>
      </c>
      <c r="AS654" s="20">
        <v>328.0</v>
      </c>
      <c r="AT654" s="20" t="s">
        <v>17</v>
      </c>
      <c r="AU654" s="20">
        <v>-27.8</v>
      </c>
      <c r="AV654" s="20">
        <v>-9.47</v>
      </c>
      <c r="BE654" s="20">
        <v>652.0</v>
      </c>
      <c r="BF654" s="20" t="s">
        <v>14</v>
      </c>
      <c r="BG654" s="20">
        <v>16.58</v>
      </c>
      <c r="BH654" s="20">
        <v>26.23</v>
      </c>
      <c r="BM654" s="20">
        <v>338.82</v>
      </c>
      <c r="BN654" s="20">
        <v>73.85</v>
      </c>
      <c r="BW654" s="20">
        <v>-41.2</v>
      </c>
      <c r="BX654" s="20">
        <v>-7.62</v>
      </c>
      <c r="BZ654" s="20">
        <v>-44.13</v>
      </c>
      <c r="CA654" s="20">
        <v>27.76</v>
      </c>
      <c r="CI654" s="20">
        <v>-13.61</v>
      </c>
      <c r="CJ654" s="20">
        <v>-41.75</v>
      </c>
      <c r="CO654" s="20">
        <v>0.58</v>
      </c>
      <c r="CP654" s="20">
        <v>-35.62</v>
      </c>
    </row>
    <row r="655">
      <c r="A655" s="20">
        <v>-8.75</v>
      </c>
      <c r="B655" s="20">
        <v>157.85</v>
      </c>
      <c r="D655" s="20"/>
      <c r="E655" s="20"/>
      <c r="F655" s="20">
        <v>-42.49</v>
      </c>
      <c r="G655" s="20">
        <v>29.95</v>
      </c>
      <c r="I655" s="20"/>
      <c r="J655" s="20"/>
      <c r="K655" s="20">
        <v>327.0</v>
      </c>
      <c r="L655" s="20" t="s">
        <v>14</v>
      </c>
      <c r="M655" s="20">
        <v>-14.53</v>
      </c>
      <c r="N655" s="20">
        <v>26.38</v>
      </c>
      <c r="P655" s="20">
        <v>-39.84</v>
      </c>
      <c r="Q655" s="20">
        <v>-48.19</v>
      </c>
      <c r="AG655" s="20">
        <v>653.0</v>
      </c>
      <c r="AH655" s="20" t="s">
        <v>14</v>
      </c>
      <c r="AI655" s="20">
        <v>4.12</v>
      </c>
      <c r="AJ655" s="20">
        <v>-13.5</v>
      </c>
      <c r="AM655" s="20">
        <v>335.0</v>
      </c>
      <c r="AN655" s="20" t="s">
        <v>14</v>
      </c>
      <c r="AO655" s="20">
        <v>-7.33</v>
      </c>
      <c r="AP655" s="20">
        <v>-17.52</v>
      </c>
      <c r="AS655" s="20">
        <v>329.0</v>
      </c>
      <c r="AT655" s="20" t="s">
        <v>14</v>
      </c>
      <c r="AU655" s="20">
        <v>-33.57</v>
      </c>
      <c r="AV655" s="20">
        <v>-54.98</v>
      </c>
      <c r="BE655" s="20">
        <v>653.0</v>
      </c>
      <c r="BF655" s="20" t="s">
        <v>14</v>
      </c>
      <c r="BG655" s="20">
        <v>-26.81</v>
      </c>
      <c r="BH655" s="20">
        <v>-12.64</v>
      </c>
      <c r="BM655" s="20">
        <v>178.9</v>
      </c>
      <c r="BN655" s="20">
        <v>134.12</v>
      </c>
      <c r="BW655" s="20">
        <v>-56.16</v>
      </c>
      <c r="BX655" s="20">
        <v>-7.97</v>
      </c>
      <c r="BZ655" s="20">
        <v>-41.21</v>
      </c>
      <c r="CA655" s="20">
        <v>-1.21</v>
      </c>
      <c r="CI655" s="20">
        <v>-49.62</v>
      </c>
      <c r="CJ655" s="20">
        <v>-60.03</v>
      </c>
      <c r="CO655" s="20">
        <v>16.44</v>
      </c>
      <c r="CP655" s="20">
        <v>-43.74</v>
      </c>
    </row>
    <row r="656">
      <c r="A656" s="20">
        <v>-19.8</v>
      </c>
      <c r="B656" s="20">
        <v>213.3</v>
      </c>
      <c r="D656" s="20"/>
      <c r="E656" s="20"/>
      <c r="F656" s="20">
        <v>-45.99</v>
      </c>
      <c r="G656" s="20">
        <v>11.62</v>
      </c>
      <c r="I656" s="20"/>
      <c r="J656" s="20"/>
      <c r="K656" s="20">
        <v>327.0</v>
      </c>
      <c r="L656" s="20" t="s">
        <v>17</v>
      </c>
      <c r="M656" s="20">
        <v>1.28</v>
      </c>
      <c r="N656" s="20">
        <v>-52.89</v>
      </c>
      <c r="P656" s="20">
        <v>-71.38</v>
      </c>
      <c r="Q656" s="20">
        <v>-63.32</v>
      </c>
      <c r="AG656" s="20">
        <v>654.0</v>
      </c>
      <c r="AH656" s="20" t="s">
        <v>14</v>
      </c>
      <c r="AI656" s="20">
        <v>-10.09</v>
      </c>
      <c r="AJ656" s="20">
        <v>-7.39</v>
      </c>
      <c r="AM656" s="20">
        <v>335.0</v>
      </c>
      <c r="AN656" s="20" t="s">
        <v>17</v>
      </c>
      <c r="AO656" s="20">
        <v>-3.17</v>
      </c>
      <c r="AP656" s="20">
        <v>1.71</v>
      </c>
      <c r="AS656" s="20">
        <v>329.0</v>
      </c>
      <c r="AT656" s="20" t="s">
        <v>17</v>
      </c>
      <c r="AU656" s="20">
        <v>-30.76</v>
      </c>
      <c r="AV656" s="20">
        <v>-9.61</v>
      </c>
      <c r="BE656" s="20">
        <v>654.0</v>
      </c>
      <c r="BF656" s="20" t="s">
        <v>14</v>
      </c>
      <c r="BG656" s="20">
        <v>-22.58</v>
      </c>
      <c r="BH656" s="20">
        <v>11.24</v>
      </c>
      <c r="BM656" s="20">
        <v>106.84</v>
      </c>
      <c r="BN656" s="20">
        <v>141.37</v>
      </c>
      <c r="BW656" s="20">
        <v>-51.34</v>
      </c>
      <c r="BX656" s="20">
        <v>19.02</v>
      </c>
      <c r="BZ656" s="20">
        <v>-33.96</v>
      </c>
      <c r="CA656" s="20">
        <v>29.81</v>
      </c>
      <c r="CI656" s="20">
        <v>-51.99</v>
      </c>
      <c r="CJ656" s="20">
        <v>-54.0</v>
      </c>
      <c r="CO656" s="20">
        <v>71.75</v>
      </c>
      <c r="CP656" s="20">
        <v>-35.07</v>
      </c>
    </row>
    <row r="657">
      <c r="A657" s="20">
        <v>-35.46</v>
      </c>
      <c r="B657" s="20">
        <v>40.61</v>
      </c>
      <c r="D657" s="20"/>
      <c r="E657" s="20"/>
      <c r="F657" s="20">
        <v>-4.32</v>
      </c>
      <c r="G657" s="20">
        <v>22.27</v>
      </c>
      <c r="I657" s="20"/>
      <c r="J657" s="20"/>
      <c r="K657" s="20">
        <v>328.0</v>
      </c>
      <c r="L657" s="20" t="s">
        <v>14</v>
      </c>
      <c r="M657" s="20">
        <v>-23.83</v>
      </c>
      <c r="N657" s="20">
        <v>20.13</v>
      </c>
      <c r="P657" s="20">
        <v>-21.1</v>
      </c>
      <c r="Q657" s="20">
        <v>9.07</v>
      </c>
      <c r="AG657" s="20">
        <v>655.0</v>
      </c>
      <c r="AH657" s="20" t="s">
        <v>14</v>
      </c>
      <c r="AI657" s="20">
        <v>-33.96</v>
      </c>
      <c r="AJ657" s="20">
        <v>-17.46</v>
      </c>
      <c r="AM657" s="20">
        <v>336.0</v>
      </c>
      <c r="AN657" s="20" t="s">
        <v>14</v>
      </c>
      <c r="AO657" s="20">
        <v>-5.07</v>
      </c>
      <c r="AP657" s="20">
        <v>27.75</v>
      </c>
      <c r="AS657" s="20">
        <v>330.0</v>
      </c>
      <c r="AT657" s="20" t="s">
        <v>14</v>
      </c>
      <c r="AU657" s="20">
        <v>-8.7</v>
      </c>
      <c r="AV657" s="20">
        <v>-37.15</v>
      </c>
      <c r="BE657" s="20">
        <v>655.0</v>
      </c>
      <c r="BF657" s="20" t="s">
        <v>14</v>
      </c>
      <c r="BG657" s="20">
        <v>11.07</v>
      </c>
      <c r="BH657" s="20">
        <v>16.79</v>
      </c>
      <c r="BM657" s="20">
        <v>121.4</v>
      </c>
      <c r="BN657" s="20">
        <v>127.28</v>
      </c>
      <c r="BW657" s="20">
        <v>-60.59</v>
      </c>
      <c r="BX657" s="20">
        <v>-35.01</v>
      </c>
      <c r="BZ657" s="20">
        <v>-44.93</v>
      </c>
      <c r="CA657" s="20">
        <v>12.82</v>
      </c>
      <c r="CI657" s="20">
        <v>-50.09</v>
      </c>
      <c r="CJ657" s="20">
        <v>-64.16</v>
      </c>
      <c r="CO657" s="20">
        <v>68.43</v>
      </c>
      <c r="CP657" s="20">
        <v>-16.29</v>
      </c>
    </row>
    <row r="658">
      <c r="A658" s="20">
        <v>100.96</v>
      </c>
      <c r="B658" s="20">
        <v>184.31</v>
      </c>
      <c r="D658" s="20"/>
      <c r="E658" s="20"/>
      <c r="F658" s="20">
        <v>0.71</v>
      </c>
      <c r="G658" s="20">
        <v>28.73</v>
      </c>
      <c r="I658" s="20"/>
      <c r="J658" s="20"/>
      <c r="K658" s="20">
        <v>328.0</v>
      </c>
      <c r="L658" s="20" t="s">
        <v>17</v>
      </c>
      <c r="M658" s="20">
        <v>6.86</v>
      </c>
      <c r="N658" s="20">
        <v>-20.64</v>
      </c>
      <c r="P658" s="20">
        <v>-8.97</v>
      </c>
      <c r="Q658" s="20">
        <v>-20.27</v>
      </c>
      <c r="AG658" s="20">
        <v>656.0</v>
      </c>
      <c r="AH658" s="20" t="s">
        <v>14</v>
      </c>
      <c r="AI658" s="20">
        <v>-19.17</v>
      </c>
      <c r="AJ658" s="20">
        <v>-7.27</v>
      </c>
      <c r="AM658" s="20">
        <v>336.0</v>
      </c>
      <c r="AN658" s="20" t="s">
        <v>17</v>
      </c>
      <c r="AO658" s="20">
        <v>0.63</v>
      </c>
      <c r="AP658" s="20">
        <v>-4.3</v>
      </c>
      <c r="AS658" s="20">
        <v>330.0</v>
      </c>
      <c r="AT658" s="20" t="s">
        <v>17</v>
      </c>
      <c r="AU658" s="20">
        <v>52.31</v>
      </c>
      <c r="AV658" s="20">
        <v>-9.32</v>
      </c>
      <c r="BE658" s="20">
        <v>656.0</v>
      </c>
      <c r="BF658" s="20" t="s">
        <v>14</v>
      </c>
      <c r="BG658" s="20">
        <v>-3.51</v>
      </c>
      <c r="BH658" s="20">
        <v>3.84</v>
      </c>
      <c r="BM658" s="20">
        <v>49.54</v>
      </c>
      <c r="BN658" s="20">
        <v>114.57</v>
      </c>
      <c r="BW658" s="20">
        <v>-39.94</v>
      </c>
      <c r="BX658" s="20">
        <v>-22.05</v>
      </c>
      <c r="BZ658" s="20">
        <v>-49.35</v>
      </c>
      <c r="CA658" s="20">
        <v>0.45</v>
      </c>
      <c r="CI658" s="20">
        <v>-52.14</v>
      </c>
      <c r="CJ658" s="20">
        <v>-63.97</v>
      </c>
      <c r="CO658" s="20">
        <v>10.47</v>
      </c>
      <c r="CP658" s="20">
        <v>-46.14</v>
      </c>
    </row>
    <row r="659">
      <c r="A659" s="20">
        <v>-30.56</v>
      </c>
      <c r="B659" s="20">
        <v>43.47</v>
      </c>
      <c r="D659" s="20"/>
      <c r="E659" s="20"/>
      <c r="F659" s="20">
        <v>-9.08</v>
      </c>
      <c r="G659" s="20">
        <v>15.16</v>
      </c>
      <c r="I659" s="20"/>
      <c r="J659" s="20"/>
      <c r="K659" s="20">
        <v>329.0</v>
      </c>
      <c r="L659" s="20" t="s">
        <v>14</v>
      </c>
      <c r="M659" s="20">
        <v>36.16</v>
      </c>
      <c r="N659" s="20">
        <v>155.12</v>
      </c>
      <c r="P659" s="20">
        <v>0.88</v>
      </c>
      <c r="Q659" s="20">
        <v>39.16</v>
      </c>
      <c r="AG659" s="20">
        <v>657.0</v>
      </c>
      <c r="AH659" s="20" t="s">
        <v>14</v>
      </c>
      <c r="AI659" s="20">
        <v>-6.24</v>
      </c>
      <c r="AJ659" s="20">
        <v>2.69</v>
      </c>
      <c r="AM659" s="20">
        <v>337.0</v>
      </c>
      <c r="AN659" s="20" t="s">
        <v>14</v>
      </c>
      <c r="AO659" s="20">
        <v>-1.48</v>
      </c>
      <c r="AP659" s="20">
        <v>0.37</v>
      </c>
      <c r="AS659" s="20">
        <v>331.0</v>
      </c>
      <c r="AT659" s="20" t="s">
        <v>14</v>
      </c>
      <c r="AU659" s="20">
        <v>8.16</v>
      </c>
      <c r="AV659" s="20">
        <v>-18.24</v>
      </c>
      <c r="BE659" s="20">
        <v>657.0</v>
      </c>
      <c r="BF659" s="20" t="s">
        <v>14</v>
      </c>
      <c r="BG659" s="20">
        <v>-11.27</v>
      </c>
      <c r="BH659" s="20">
        <v>4.48</v>
      </c>
      <c r="BM659" s="20">
        <v>69.5</v>
      </c>
      <c r="BN659" s="20">
        <v>73.08</v>
      </c>
      <c r="BW659" s="20">
        <v>-37.09</v>
      </c>
      <c r="BX659" s="20">
        <v>8.29</v>
      </c>
      <c r="BZ659" s="20">
        <v>13.92</v>
      </c>
      <c r="CA659" s="20">
        <v>113.7</v>
      </c>
      <c r="CI659" s="20">
        <v>-49.07</v>
      </c>
      <c r="CJ659" s="20">
        <v>-63.38</v>
      </c>
      <c r="CO659" s="20">
        <v>23.29</v>
      </c>
      <c r="CP659" s="20">
        <v>-46.31</v>
      </c>
    </row>
    <row r="660">
      <c r="A660" s="20">
        <v>-46.05</v>
      </c>
      <c r="B660" s="20">
        <v>5.92</v>
      </c>
      <c r="D660" s="20"/>
      <c r="E660" s="20"/>
      <c r="F660" s="20">
        <v>-17.99</v>
      </c>
      <c r="G660" s="20">
        <v>30.66</v>
      </c>
      <c r="I660" s="20"/>
      <c r="J660" s="20"/>
      <c r="K660" s="20">
        <v>329.0</v>
      </c>
      <c r="L660" s="20" t="s">
        <v>17</v>
      </c>
      <c r="M660" s="20">
        <v>77.14</v>
      </c>
      <c r="N660" s="20">
        <v>189.5</v>
      </c>
      <c r="P660" s="20">
        <v>44.11</v>
      </c>
      <c r="Q660" s="20">
        <v>38.61</v>
      </c>
      <c r="AG660" s="20">
        <v>658.0</v>
      </c>
      <c r="AH660" s="20" t="s">
        <v>14</v>
      </c>
      <c r="AI660" s="20">
        <v>-28.69</v>
      </c>
      <c r="AJ660" s="20">
        <v>-23.28</v>
      </c>
      <c r="AM660" s="20">
        <v>337.0</v>
      </c>
      <c r="AN660" s="20" t="s">
        <v>17</v>
      </c>
      <c r="AO660" s="20">
        <v>-13.8</v>
      </c>
      <c r="AP660" s="20">
        <v>48.5</v>
      </c>
      <c r="AS660" s="20">
        <v>331.0</v>
      </c>
      <c r="AT660" s="20" t="s">
        <v>17</v>
      </c>
      <c r="AU660" s="20">
        <v>-17.46</v>
      </c>
      <c r="AV660" s="20">
        <v>26.41</v>
      </c>
      <c r="BE660" s="20">
        <v>658.0</v>
      </c>
      <c r="BF660" s="20" t="s">
        <v>14</v>
      </c>
      <c r="BG660" s="20">
        <v>8.54</v>
      </c>
      <c r="BH660" s="20">
        <v>11.0</v>
      </c>
      <c r="BM660" s="20">
        <v>134.24</v>
      </c>
      <c r="BN660" s="20">
        <v>95.71</v>
      </c>
      <c r="BW660" s="20">
        <v>-43.82</v>
      </c>
      <c r="BX660" s="20">
        <v>2.61</v>
      </c>
      <c r="BZ660" s="20">
        <v>50.94</v>
      </c>
      <c r="CA660" s="20">
        <v>129.64</v>
      </c>
      <c r="CI660" s="20">
        <v>-43.25</v>
      </c>
      <c r="CJ660" s="20">
        <v>-62.06</v>
      </c>
      <c r="CO660" s="20">
        <v>15.79</v>
      </c>
      <c r="CP660" s="20">
        <v>-47.57</v>
      </c>
    </row>
    <row r="661">
      <c r="A661" s="20">
        <v>54.17</v>
      </c>
      <c r="B661" s="20">
        <v>77.66</v>
      </c>
      <c r="D661" s="20"/>
      <c r="E661" s="20"/>
      <c r="F661" s="20">
        <v>-29.6</v>
      </c>
      <c r="G661" s="20">
        <v>10.57</v>
      </c>
      <c r="I661" s="20"/>
      <c r="J661" s="20"/>
      <c r="K661" s="20">
        <v>330.0</v>
      </c>
      <c r="L661" s="20" t="s">
        <v>14</v>
      </c>
      <c r="M661" s="20">
        <v>-24.63</v>
      </c>
      <c r="N661" s="20">
        <v>-16.76</v>
      </c>
      <c r="P661" s="20">
        <v>-2.61</v>
      </c>
      <c r="Q661" s="20">
        <v>-7.43</v>
      </c>
      <c r="AG661" s="20">
        <v>659.0</v>
      </c>
      <c r="AH661" s="20" t="s">
        <v>14</v>
      </c>
      <c r="AI661" s="20">
        <v>-22.59</v>
      </c>
      <c r="AJ661" s="20">
        <v>-13.63</v>
      </c>
      <c r="AM661" s="20">
        <v>338.0</v>
      </c>
      <c r="AN661" s="20" t="s">
        <v>14</v>
      </c>
      <c r="AO661" s="20">
        <v>30.38</v>
      </c>
      <c r="AP661" s="20">
        <v>-7.67</v>
      </c>
      <c r="AS661" s="20">
        <v>332.0</v>
      </c>
      <c r="AT661" s="20" t="s">
        <v>14</v>
      </c>
      <c r="AU661" s="20">
        <v>-28.87</v>
      </c>
      <c r="AV661" s="20">
        <v>-48.77</v>
      </c>
      <c r="BE661" s="20">
        <v>659.0</v>
      </c>
      <c r="BF661" s="20" t="s">
        <v>14</v>
      </c>
      <c r="BG661" s="20">
        <v>-15.26</v>
      </c>
      <c r="BH661" s="20">
        <v>17.18</v>
      </c>
      <c r="BM661" s="20">
        <v>216.65</v>
      </c>
      <c r="BN661" s="20">
        <v>74.24</v>
      </c>
      <c r="BW661" s="20">
        <v>-42.87</v>
      </c>
      <c r="BX661" s="20">
        <v>-16.09</v>
      </c>
      <c r="BZ661" s="20">
        <v>-51.51</v>
      </c>
      <c r="CA661" s="20">
        <v>197.61</v>
      </c>
      <c r="CI661" s="20">
        <v>-40.7</v>
      </c>
      <c r="CJ661" s="20">
        <v>-59.95</v>
      </c>
      <c r="CO661" s="20">
        <v>-4.19</v>
      </c>
      <c r="CP661" s="20">
        <v>-34.47</v>
      </c>
    </row>
    <row r="662">
      <c r="A662" s="20">
        <v>-37.9</v>
      </c>
      <c r="B662" s="20">
        <v>-6.17</v>
      </c>
      <c r="D662" s="20"/>
      <c r="E662" s="20"/>
      <c r="F662" s="20">
        <v>-27.23</v>
      </c>
      <c r="G662" s="20">
        <v>39.96</v>
      </c>
      <c r="I662" s="20"/>
      <c r="J662" s="20"/>
      <c r="K662" s="20">
        <v>330.0</v>
      </c>
      <c r="L662" s="20" t="s">
        <v>17</v>
      </c>
      <c r="M662" s="20">
        <v>-68.14</v>
      </c>
      <c r="N662" s="20">
        <v>-46.8</v>
      </c>
      <c r="P662" s="20">
        <v>-23.65</v>
      </c>
      <c r="Q662" s="20">
        <v>17.21</v>
      </c>
      <c r="AG662" s="20">
        <v>660.0</v>
      </c>
      <c r="AH662" s="20" t="s">
        <v>14</v>
      </c>
      <c r="AI662" s="20">
        <v>-13.29</v>
      </c>
      <c r="AJ662" s="20">
        <v>-8.59</v>
      </c>
      <c r="AM662" s="20">
        <v>338.0</v>
      </c>
      <c r="AN662" s="20" t="s">
        <v>17</v>
      </c>
      <c r="AO662" s="20">
        <v>1.23</v>
      </c>
      <c r="AP662" s="20">
        <v>-46.61</v>
      </c>
      <c r="AS662" s="20">
        <v>332.0</v>
      </c>
      <c r="AT662" s="20" t="s">
        <v>17</v>
      </c>
      <c r="AU662" s="20">
        <v>-38.68</v>
      </c>
      <c r="AV662" s="20">
        <v>-28.81</v>
      </c>
      <c r="BE662" s="20">
        <v>660.0</v>
      </c>
      <c r="BF662" s="20" t="s">
        <v>14</v>
      </c>
      <c r="BG662" s="20">
        <v>14.7</v>
      </c>
      <c r="BH662" s="20">
        <v>34.1</v>
      </c>
      <c r="BM662" s="20">
        <v>212.09</v>
      </c>
      <c r="BN662" s="20">
        <v>17.2</v>
      </c>
      <c r="BW662" s="20">
        <v>-53.94</v>
      </c>
      <c r="BX662" s="20">
        <v>-16.29</v>
      </c>
      <c r="BZ662" s="20">
        <v>-47.62</v>
      </c>
      <c r="CA662" s="20">
        <v>78.34</v>
      </c>
      <c r="CI662" s="20">
        <v>-52.73</v>
      </c>
      <c r="CJ662" s="20">
        <v>-64.59</v>
      </c>
      <c r="CO662" s="20">
        <v>-8.59</v>
      </c>
      <c r="CP662" s="20">
        <v>18.76</v>
      </c>
    </row>
    <row r="663">
      <c r="A663" s="20">
        <v>-25.89</v>
      </c>
      <c r="B663" s="20">
        <v>141.56</v>
      </c>
      <c r="D663" s="20"/>
      <c r="E663" s="20"/>
      <c r="F663" s="20">
        <v>-20.9</v>
      </c>
      <c r="G663" s="20">
        <v>1.05</v>
      </c>
      <c r="I663" s="20"/>
      <c r="J663" s="20"/>
      <c r="K663" s="20">
        <v>331.0</v>
      </c>
      <c r="L663" s="20" t="s">
        <v>14</v>
      </c>
      <c r="M663" s="20">
        <v>-27.29</v>
      </c>
      <c r="N663" s="20">
        <v>6.21</v>
      </c>
      <c r="P663" s="20">
        <v>-29.65</v>
      </c>
      <c r="Q663" s="20">
        <v>15.71</v>
      </c>
      <c r="AG663" s="20">
        <v>661.0</v>
      </c>
      <c r="AH663" s="20" t="s">
        <v>14</v>
      </c>
      <c r="AI663" s="20">
        <v>-10.86</v>
      </c>
      <c r="AJ663" s="20">
        <v>-10.64</v>
      </c>
      <c r="AM663" s="20">
        <v>340.0</v>
      </c>
      <c r="AN663" s="20" t="s">
        <v>14</v>
      </c>
      <c r="AO663" s="20">
        <v>-31.98</v>
      </c>
      <c r="AP663" s="20">
        <v>33.43</v>
      </c>
      <c r="AS663" s="20">
        <v>333.0</v>
      </c>
      <c r="AT663" s="20" t="s">
        <v>14</v>
      </c>
      <c r="AU663" s="20">
        <v>2.59</v>
      </c>
      <c r="AV663" s="20">
        <v>-46.39</v>
      </c>
      <c r="BE663" s="20">
        <v>661.0</v>
      </c>
      <c r="BF663" s="20" t="s">
        <v>14</v>
      </c>
      <c r="BG663" s="20">
        <v>20.93</v>
      </c>
      <c r="BH663" s="20">
        <v>42.03</v>
      </c>
      <c r="BM663" s="20">
        <v>84.82</v>
      </c>
      <c r="BN663" s="20">
        <v>57.96</v>
      </c>
      <c r="BW663" s="20">
        <v>-21.73</v>
      </c>
      <c r="BX663" s="20">
        <v>-22.12</v>
      </c>
      <c r="BZ663" s="20">
        <v>9.23</v>
      </c>
      <c r="CA663" s="20">
        <v>114.53</v>
      </c>
      <c r="CI663" s="20">
        <v>-46.42</v>
      </c>
      <c r="CJ663" s="20">
        <v>-53.67</v>
      </c>
      <c r="CO663" s="20">
        <v>20.56</v>
      </c>
      <c r="CP663" s="20">
        <v>-28.76</v>
      </c>
    </row>
    <row r="664">
      <c r="A664" s="20">
        <v>-26.75</v>
      </c>
      <c r="B664" s="20">
        <v>72.67</v>
      </c>
      <c r="D664" s="20"/>
      <c r="E664" s="20"/>
      <c r="F664" s="20">
        <v>-14.97</v>
      </c>
      <c r="G664" s="20">
        <v>6.07</v>
      </c>
      <c r="I664" s="20"/>
      <c r="J664" s="20"/>
      <c r="K664" s="20">
        <v>331.0</v>
      </c>
      <c r="L664" s="20" t="s">
        <v>17</v>
      </c>
      <c r="M664" s="20">
        <v>-17.9</v>
      </c>
      <c r="N664" s="20">
        <v>19.82</v>
      </c>
      <c r="P664" s="20">
        <v>28.57</v>
      </c>
      <c r="Q664" s="20">
        <v>87.07</v>
      </c>
      <c r="AG664" s="20">
        <v>662.0</v>
      </c>
      <c r="AH664" s="20" t="s">
        <v>14</v>
      </c>
      <c r="AI664" s="20">
        <v>1.71</v>
      </c>
      <c r="AJ664" s="20">
        <v>-17.77</v>
      </c>
      <c r="AM664" s="20">
        <v>340.0</v>
      </c>
      <c r="AN664" s="20" t="s">
        <v>17</v>
      </c>
      <c r="AO664" s="20">
        <v>-12.21</v>
      </c>
      <c r="AP664" s="20">
        <v>18.86</v>
      </c>
      <c r="AS664" s="20">
        <v>333.0</v>
      </c>
      <c r="AT664" s="20" t="s">
        <v>17</v>
      </c>
      <c r="AU664" s="20">
        <v>44.79</v>
      </c>
      <c r="AV664" s="20">
        <v>-7.78</v>
      </c>
      <c r="BE664" s="20">
        <v>662.0</v>
      </c>
      <c r="BF664" s="20" t="s">
        <v>14</v>
      </c>
      <c r="BG664" s="20">
        <v>-11.53</v>
      </c>
      <c r="BH664" s="20">
        <v>4.8</v>
      </c>
      <c r="BM664" s="20">
        <v>109.15</v>
      </c>
      <c r="BN664" s="20">
        <v>64.57</v>
      </c>
      <c r="BW664" s="20">
        <v>-43.97</v>
      </c>
      <c r="BX664" s="20">
        <v>-17.02</v>
      </c>
      <c r="BZ664" s="20">
        <v>-22.42</v>
      </c>
      <c r="CA664" s="20">
        <v>65.23</v>
      </c>
      <c r="CI664" s="20">
        <v>-40.62</v>
      </c>
      <c r="CJ664" s="20">
        <v>-22.97</v>
      </c>
      <c r="CO664" s="20">
        <v>-22.24</v>
      </c>
      <c r="CP664" s="20">
        <v>-62.91</v>
      </c>
    </row>
    <row r="665">
      <c r="A665" s="20">
        <v>-33.41</v>
      </c>
      <c r="B665" s="20">
        <v>36.5</v>
      </c>
      <c r="D665" s="20"/>
      <c r="E665" s="20"/>
      <c r="F665" s="20">
        <v>6.92</v>
      </c>
      <c r="G665" s="20">
        <v>33.71</v>
      </c>
      <c r="I665" s="20"/>
      <c r="J665" s="20"/>
      <c r="K665" s="20">
        <v>332.0</v>
      </c>
      <c r="L665" s="20" t="s">
        <v>14</v>
      </c>
      <c r="M665" s="20">
        <v>29.57</v>
      </c>
      <c r="N665" s="20">
        <v>64.55</v>
      </c>
      <c r="P665" s="20">
        <v>-6.24</v>
      </c>
      <c r="Q665" s="20">
        <v>5.13</v>
      </c>
      <c r="AG665" s="20">
        <v>663.0</v>
      </c>
      <c r="AH665" s="20" t="s">
        <v>14</v>
      </c>
      <c r="AI665" s="20">
        <v>-23.89</v>
      </c>
      <c r="AJ665" s="20">
        <v>-16.74</v>
      </c>
      <c r="AM665" s="20">
        <v>341.0</v>
      </c>
      <c r="AN665" s="20" t="s">
        <v>14</v>
      </c>
      <c r="AO665" s="20">
        <v>-65.73</v>
      </c>
      <c r="AP665" s="20">
        <v>-40.51</v>
      </c>
      <c r="AS665" s="20">
        <v>334.0</v>
      </c>
      <c r="AT665" s="20" t="s">
        <v>14</v>
      </c>
      <c r="AU665" s="20">
        <v>20.01</v>
      </c>
      <c r="AV665" s="20">
        <v>-15.48</v>
      </c>
      <c r="BE665" s="20">
        <v>663.0</v>
      </c>
      <c r="BF665" s="20" t="s">
        <v>14</v>
      </c>
      <c r="BG665" s="20">
        <v>-2.05</v>
      </c>
      <c r="BH665" s="20">
        <v>2.42</v>
      </c>
      <c r="BM665" s="20">
        <v>38.55</v>
      </c>
      <c r="BN665" s="20">
        <v>31.56</v>
      </c>
      <c r="BW665" s="20">
        <v>-31.1</v>
      </c>
      <c r="BX665" s="20">
        <v>-20.18</v>
      </c>
      <c r="BZ665" s="20">
        <v>-32.41</v>
      </c>
      <c r="CA665" s="20">
        <v>63.13</v>
      </c>
      <c r="CI665" s="20">
        <v>-38.21</v>
      </c>
      <c r="CJ665" s="20">
        <v>-50.05</v>
      </c>
      <c r="CO665" s="20">
        <v>19.48</v>
      </c>
      <c r="CP665" s="20">
        <v>-55.2</v>
      </c>
    </row>
    <row r="666">
      <c r="A666" s="20">
        <v>-30.14</v>
      </c>
      <c r="B666" s="20">
        <v>66.0</v>
      </c>
      <c r="D666" s="20"/>
      <c r="E666" s="20"/>
      <c r="F666" s="20">
        <v>-8.3</v>
      </c>
      <c r="G666" s="20">
        <v>21.48</v>
      </c>
      <c r="I666" s="20"/>
      <c r="J666" s="20"/>
      <c r="K666" s="20">
        <v>332.0</v>
      </c>
      <c r="L666" s="20" t="s">
        <v>17</v>
      </c>
      <c r="M666" s="20">
        <v>-15.86</v>
      </c>
      <c r="N666" s="20">
        <v>1.1</v>
      </c>
      <c r="P666" s="20">
        <v>-14.31</v>
      </c>
      <c r="Q666" s="20">
        <v>19.68</v>
      </c>
      <c r="AG666" s="20">
        <v>664.0</v>
      </c>
      <c r="AH666" s="20" t="s">
        <v>14</v>
      </c>
      <c r="AI666" s="20">
        <v>-16.75</v>
      </c>
      <c r="AJ666" s="20">
        <v>-12.96</v>
      </c>
      <c r="AM666" s="20">
        <v>341.0</v>
      </c>
      <c r="AN666" s="20" t="s">
        <v>17</v>
      </c>
      <c r="AO666" s="20">
        <v>-54.48</v>
      </c>
      <c r="AP666" s="20">
        <v>-41.93</v>
      </c>
      <c r="AS666" s="20">
        <v>334.0</v>
      </c>
      <c r="AT666" s="20" t="s">
        <v>17</v>
      </c>
      <c r="AU666" s="20">
        <v>-32.48</v>
      </c>
      <c r="AV666" s="20">
        <v>-36.68</v>
      </c>
      <c r="BE666" s="20">
        <v>664.0</v>
      </c>
      <c r="BF666" s="20" t="s">
        <v>14</v>
      </c>
      <c r="BG666" s="20">
        <v>-22.24</v>
      </c>
      <c r="BH666" s="20">
        <v>10.46</v>
      </c>
      <c r="BM666" s="20">
        <v>-19.12</v>
      </c>
      <c r="BN666" s="20">
        <v>33.25</v>
      </c>
      <c r="BW666" s="20">
        <v>-47.46</v>
      </c>
      <c r="BX666" s="20">
        <v>1.62</v>
      </c>
      <c r="BZ666" s="20">
        <v>-27.22</v>
      </c>
      <c r="CA666" s="20">
        <v>55.33</v>
      </c>
      <c r="CI666" s="20">
        <v>-48.03</v>
      </c>
      <c r="CJ666" s="20">
        <v>-48.44</v>
      </c>
      <c r="CO666" s="20">
        <v>-6.41</v>
      </c>
      <c r="CP666" s="20">
        <v>-42.54</v>
      </c>
    </row>
    <row r="667">
      <c r="A667" s="20">
        <v>1.77</v>
      </c>
      <c r="B667" s="20">
        <v>68.34</v>
      </c>
      <c r="D667" s="20"/>
      <c r="E667" s="20"/>
      <c r="F667" s="20">
        <v>-35.38</v>
      </c>
      <c r="G667" s="20">
        <v>39.15</v>
      </c>
      <c r="I667" s="20"/>
      <c r="J667" s="20"/>
      <c r="K667" s="20">
        <v>333.0</v>
      </c>
      <c r="L667" s="20" t="s">
        <v>14</v>
      </c>
      <c r="M667" s="20">
        <v>-14.71</v>
      </c>
      <c r="N667" s="20">
        <v>9.23</v>
      </c>
      <c r="P667" s="20">
        <v>-27.49</v>
      </c>
      <c r="Q667" s="20">
        <v>16.2</v>
      </c>
      <c r="AG667" s="20">
        <v>665.0</v>
      </c>
      <c r="AH667" s="20" t="s">
        <v>14</v>
      </c>
      <c r="AI667" s="20">
        <v>-1.9</v>
      </c>
      <c r="AJ667" s="20">
        <v>12.32</v>
      </c>
      <c r="AM667" s="20">
        <v>342.0</v>
      </c>
      <c r="AN667" s="20" t="s">
        <v>14</v>
      </c>
      <c r="AO667" s="20">
        <v>11.06</v>
      </c>
      <c r="AP667" s="20">
        <v>-33.66</v>
      </c>
      <c r="AS667" s="20">
        <v>335.0</v>
      </c>
      <c r="AT667" s="20" t="s">
        <v>14</v>
      </c>
      <c r="AU667" s="20">
        <v>-11.16</v>
      </c>
      <c r="AV667" s="20">
        <v>-39.32</v>
      </c>
      <c r="BE667" s="20">
        <v>665.0</v>
      </c>
      <c r="BF667" s="20" t="s">
        <v>14</v>
      </c>
      <c r="BG667" s="20">
        <v>-15.43</v>
      </c>
      <c r="BH667" s="20">
        <v>18.06</v>
      </c>
      <c r="BM667" s="20">
        <v>78.78</v>
      </c>
      <c r="BN667" s="20">
        <v>60.9</v>
      </c>
      <c r="BW667" s="20">
        <v>-37.67</v>
      </c>
      <c r="BX667" s="20">
        <v>3.31</v>
      </c>
      <c r="BZ667" s="20">
        <v>-17.38</v>
      </c>
      <c r="CA667" s="20">
        <v>41.72</v>
      </c>
      <c r="CI667" s="20">
        <v>-32.67</v>
      </c>
      <c r="CJ667" s="20">
        <v>-45.29</v>
      </c>
      <c r="CO667" s="20">
        <v>-16.75</v>
      </c>
      <c r="CP667" s="20">
        <v>-65.6</v>
      </c>
    </row>
    <row r="668">
      <c r="A668" s="20">
        <v>-29.95</v>
      </c>
      <c r="B668" s="20">
        <v>35.43</v>
      </c>
      <c r="D668" s="20"/>
      <c r="E668" s="20"/>
      <c r="F668" s="20">
        <v>-29.57</v>
      </c>
      <c r="G668" s="20">
        <v>53.33</v>
      </c>
      <c r="I668" s="20"/>
      <c r="J668" s="20"/>
      <c r="K668" s="20">
        <v>333.0</v>
      </c>
      <c r="L668" s="20" t="s">
        <v>17</v>
      </c>
      <c r="M668" s="20">
        <v>-41.06</v>
      </c>
      <c r="N668" s="20">
        <v>-33.76</v>
      </c>
      <c r="P668" s="20">
        <v>-11.71</v>
      </c>
      <c r="Q668" s="20">
        <v>-62.64</v>
      </c>
      <c r="AG668" s="20">
        <v>666.0</v>
      </c>
      <c r="AH668" s="20" t="s">
        <v>14</v>
      </c>
      <c r="AI668" s="20">
        <v>-27.26</v>
      </c>
      <c r="AJ668" s="20">
        <v>-14.46</v>
      </c>
      <c r="AM668" s="20">
        <v>342.0</v>
      </c>
      <c r="AN668" s="20" t="s">
        <v>17</v>
      </c>
      <c r="AO668" s="20">
        <v>14.11</v>
      </c>
      <c r="AP668" s="20">
        <v>-42.82</v>
      </c>
      <c r="AS668" s="20">
        <v>335.0</v>
      </c>
      <c r="AT668" s="20" t="s">
        <v>17</v>
      </c>
      <c r="AU668" s="20">
        <v>-36.56</v>
      </c>
      <c r="AV668" s="20">
        <v>-11.37</v>
      </c>
      <c r="BE668" s="20">
        <v>666.0</v>
      </c>
      <c r="BF668" s="20" t="s">
        <v>14</v>
      </c>
      <c r="BG668" s="20">
        <v>-25.49</v>
      </c>
      <c r="BH668" s="20">
        <v>5.61</v>
      </c>
      <c r="BM668" s="20">
        <v>145.8</v>
      </c>
      <c r="BN668" s="20">
        <v>169.41</v>
      </c>
      <c r="BW668" s="20">
        <v>-46.31</v>
      </c>
      <c r="BX668" s="20">
        <v>-26.03</v>
      </c>
      <c r="BZ668" s="20">
        <v>-41.96</v>
      </c>
      <c r="CA668" s="20">
        <v>26.6</v>
      </c>
      <c r="CI668" s="20">
        <v>-38.2</v>
      </c>
      <c r="CJ668" s="20">
        <v>-27.09</v>
      </c>
      <c r="CO668" s="20">
        <v>1.8</v>
      </c>
      <c r="CP668" s="20">
        <v>-43.65</v>
      </c>
    </row>
    <row r="669">
      <c r="A669" s="20">
        <v>-36.98</v>
      </c>
      <c r="B669" s="20">
        <v>20.33</v>
      </c>
      <c r="D669" s="20"/>
      <c r="E669" s="20"/>
      <c r="F669" s="20">
        <v>17.42</v>
      </c>
      <c r="G669" s="20">
        <v>11.79</v>
      </c>
      <c r="I669" s="20"/>
      <c r="J669" s="20"/>
      <c r="K669" s="20">
        <v>334.0</v>
      </c>
      <c r="L669" s="20" t="s">
        <v>14</v>
      </c>
      <c r="M669" s="20">
        <v>-9.96</v>
      </c>
      <c r="N669" s="20">
        <v>-3.05</v>
      </c>
      <c r="P669" s="20">
        <v>-41.81</v>
      </c>
      <c r="Q669" s="20">
        <v>-39.46</v>
      </c>
      <c r="AG669" s="20">
        <v>667.0</v>
      </c>
      <c r="AH669" s="20" t="s">
        <v>14</v>
      </c>
      <c r="AI669" s="20">
        <v>-8.91</v>
      </c>
      <c r="AJ669" s="20">
        <v>-8.12</v>
      </c>
      <c r="AM669" s="20">
        <v>343.0</v>
      </c>
      <c r="AN669" s="20" t="s">
        <v>14</v>
      </c>
      <c r="AO669" s="20">
        <v>-50.03</v>
      </c>
      <c r="AP669" s="20">
        <v>-11.23</v>
      </c>
      <c r="AS669" s="20">
        <v>336.0</v>
      </c>
      <c r="AT669" s="20" t="s">
        <v>14</v>
      </c>
      <c r="AU669" s="20">
        <v>1.85</v>
      </c>
      <c r="AV669" s="20">
        <v>-17.96</v>
      </c>
      <c r="BE669" s="20">
        <v>667.0</v>
      </c>
      <c r="BF669" s="20" t="s">
        <v>14</v>
      </c>
      <c r="BG669" s="20">
        <v>33.26</v>
      </c>
      <c r="BH669" s="20">
        <v>14.83</v>
      </c>
      <c r="BM669" s="20">
        <v>121.57</v>
      </c>
      <c r="BN669" s="20">
        <v>108.19</v>
      </c>
      <c r="BW669" s="20">
        <v>-51.9</v>
      </c>
      <c r="BX669" s="20">
        <v>2.71</v>
      </c>
      <c r="BZ669" s="20">
        <v>36.42</v>
      </c>
      <c r="CA669" s="20">
        <v>178.46</v>
      </c>
      <c r="CI669" s="20">
        <v>-58.17</v>
      </c>
      <c r="CJ669" s="20">
        <v>-65.84</v>
      </c>
      <c r="CO669" s="20">
        <v>-35.82</v>
      </c>
      <c r="CP669" s="20">
        <v>-43.93</v>
      </c>
    </row>
    <row r="670">
      <c r="A670" s="20">
        <v>-48.77</v>
      </c>
      <c r="B670" s="20">
        <v>81.86</v>
      </c>
      <c r="D670" s="20"/>
      <c r="E670" s="20"/>
      <c r="F670" s="20">
        <v>2.99</v>
      </c>
      <c r="G670" s="20">
        <v>17.16</v>
      </c>
      <c r="I670" s="20"/>
      <c r="J670" s="20"/>
      <c r="K670" s="20">
        <v>334.0</v>
      </c>
      <c r="L670" s="20" t="s">
        <v>17</v>
      </c>
      <c r="M670" s="20">
        <v>49.2</v>
      </c>
      <c r="N670" s="20">
        <v>38.16</v>
      </c>
      <c r="P670" s="20">
        <v>-18.37</v>
      </c>
      <c r="Q670" s="20">
        <v>-59.0</v>
      </c>
      <c r="AG670" s="20">
        <v>668.0</v>
      </c>
      <c r="AH670" s="20" t="s">
        <v>14</v>
      </c>
      <c r="AI670" s="20">
        <v>3.22</v>
      </c>
      <c r="AJ670" s="20">
        <v>9.0</v>
      </c>
      <c r="AM670" s="20">
        <v>343.0</v>
      </c>
      <c r="AN670" s="20" t="s">
        <v>17</v>
      </c>
      <c r="AO670" s="20">
        <v>-11.22</v>
      </c>
      <c r="AP670" s="20">
        <v>40.2</v>
      </c>
      <c r="AS670" s="20">
        <v>336.0</v>
      </c>
      <c r="AT670" s="20" t="s">
        <v>17</v>
      </c>
      <c r="AU670" s="20">
        <v>-41.99</v>
      </c>
      <c r="AV670" s="20">
        <v>-23.72</v>
      </c>
      <c r="BE670" s="20">
        <v>668.0</v>
      </c>
      <c r="BF670" s="20" t="s">
        <v>14</v>
      </c>
      <c r="BG670" s="20">
        <v>8.33</v>
      </c>
      <c r="BH670" s="20">
        <v>24.97</v>
      </c>
      <c r="BM670" s="20">
        <v>246.49</v>
      </c>
      <c r="BN670" s="20">
        <v>100.99</v>
      </c>
      <c r="BW670" s="20">
        <v>-48.91</v>
      </c>
      <c r="BX670" s="20">
        <v>-23.32</v>
      </c>
      <c r="BZ670" s="20">
        <v>-61.09</v>
      </c>
      <c r="CA670" s="20">
        <v>49.76</v>
      </c>
      <c r="CI670" s="20">
        <v>-43.48</v>
      </c>
      <c r="CJ670" s="20">
        <v>-57.43</v>
      </c>
      <c r="CO670" s="20">
        <v>12.75</v>
      </c>
      <c r="CP670" s="20">
        <v>-48.56</v>
      </c>
    </row>
    <row r="671">
      <c r="A671" s="20">
        <v>-32.55</v>
      </c>
      <c r="B671" s="20">
        <v>20.8</v>
      </c>
      <c r="D671" s="20"/>
      <c r="E671" s="20"/>
      <c r="F671" s="20">
        <v>-7.83</v>
      </c>
      <c r="G671" s="20">
        <v>16.55</v>
      </c>
      <c r="I671" s="20"/>
      <c r="J671" s="20"/>
      <c r="K671" s="20">
        <v>335.0</v>
      </c>
      <c r="L671" s="20" t="s">
        <v>14</v>
      </c>
      <c r="M671" s="20">
        <v>29.65</v>
      </c>
      <c r="N671" s="20">
        <v>-30.72</v>
      </c>
      <c r="P671" s="20">
        <v>-6.35</v>
      </c>
      <c r="Q671" s="20">
        <v>0.44</v>
      </c>
      <c r="AG671" s="20">
        <v>669.0</v>
      </c>
      <c r="AH671" s="20" t="s">
        <v>14</v>
      </c>
      <c r="AI671" s="20">
        <v>-4.63</v>
      </c>
      <c r="AJ671" s="20">
        <v>23.92</v>
      </c>
      <c r="AM671" s="20">
        <v>344.0</v>
      </c>
      <c r="AN671" s="20" t="s">
        <v>14</v>
      </c>
      <c r="AO671" s="20">
        <v>-17.83</v>
      </c>
      <c r="AP671" s="20">
        <v>-9.38</v>
      </c>
      <c r="AS671" s="20">
        <v>337.0</v>
      </c>
      <c r="AT671" s="20" t="s">
        <v>14</v>
      </c>
      <c r="AU671" s="20">
        <v>-45.48</v>
      </c>
      <c r="AV671" s="20">
        <v>-65.22</v>
      </c>
      <c r="BE671" s="20">
        <v>669.0</v>
      </c>
      <c r="BF671" s="20" t="s">
        <v>14</v>
      </c>
      <c r="BG671" s="20">
        <v>21.84</v>
      </c>
      <c r="BH671" s="20">
        <v>12.7</v>
      </c>
      <c r="BM671" s="20">
        <v>183.95</v>
      </c>
      <c r="BN671" s="20">
        <v>59.37</v>
      </c>
      <c r="BW671" s="20">
        <v>-41.77</v>
      </c>
      <c r="BX671" s="20">
        <v>14.31</v>
      </c>
      <c r="BZ671" s="20">
        <v>-20.85</v>
      </c>
      <c r="CA671" s="20">
        <v>41.65</v>
      </c>
      <c r="CI671" s="20">
        <v>-51.74</v>
      </c>
      <c r="CJ671" s="20">
        <v>-51.43</v>
      </c>
      <c r="CO671" s="20">
        <v>-38.28</v>
      </c>
      <c r="CP671" s="20">
        <v>-36.0</v>
      </c>
    </row>
    <row r="672">
      <c r="A672" s="20">
        <v>-20.13</v>
      </c>
      <c r="B672" s="20">
        <v>-33.84</v>
      </c>
      <c r="D672" s="20"/>
      <c r="E672" s="20"/>
      <c r="F672" s="20">
        <v>32.49</v>
      </c>
      <c r="G672" s="20">
        <v>19.89</v>
      </c>
      <c r="I672" s="20"/>
      <c r="J672" s="20"/>
      <c r="K672" s="20">
        <v>335.0</v>
      </c>
      <c r="L672" s="20" t="s">
        <v>17</v>
      </c>
      <c r="M672" s="20">
        <v>-22.2</v>
      </c>
      <c r="N672" s="20">
        <v>-17.73</v>
      </c>
      <c r="P672" s="20">
        <v>19.33</v>
      </c>
      <c r="Q672" s="20">
        <v>17.85</v>
      </c>
      <c r="AG672" s="20">
        <v>670.0</v>
      </c>
      <c r="AH672" s="20" t="s">
        <v>14</v>
      </c>
      <c r="AI672" s="20">
        <v>-42.97</v>
      </c>
      <c r="AJ672" s="20">
        <v>-30.22</v>
      </c>
      <c r="AM672" s="20">
        <v>344.0</v>
      </c>
      <c r="AN672" s="20" t="s">
        <v>17</v>
      </c>
      <c r="AO672" s="20">
        <v>-30.43</v>
      </c>
      <c r="AP672" s="20">
        <v>17.75</v>
      </c>
      <c r="AS672" s="20">
        <v>337.0</v>
      </c>
      <c r="AT672" s="20" t="s">
        <v>17</v>
      </c>
      <c r="AU672" s="20">
        <v>-56.53</v>
      </c>
      <c r="AV672" s="20">
        <v>-51.74</v>
      </c>
      <c r="BE672" s="20">
        <v>670.0</v>
      </c>
      <c r="BF672" s="20" t="s">
        <v>14</v>
      </c>
      <c r="BG672" s="20">
        <v>-36.86</v>
      </c>
      <c r="BH672" s="20">
        <v>30.64</v>
      </c>
      <c r="BM672" s="20">
        <v>141.67</v>
      </c>
      <c r="BN672" s="20">
        <v>28.58</v>
      </c>
      <c r="BW672" s="20">
        <v>-48.61</v>
      </c>
      <c r="BX672" s="20">
        <v>-11.22</v>
      </c>
      <c r="BZ672" s="20">
        <v>-33.07</v>
      </c>
      <c r="CA672" s="20">
        <v>-0.49</v>
      </c>
      <c r="CI672" s="20">
        <v>-62.51</v>
      </c>
      <c r="CJ672" s="20">
        <v>-59.42</v>
      </c>
      <c r="CO672" s="20">
        <v>-32.51</v>
      </c>
      <c r="CP672" s="20">
        <v>-39.47</v>
      </c>
    </row>
    <row r="673">
      <c r="A673" s="20">
        <v>16.34</v>
      </c>
      <c r="B673" s="20">
        <v>-13.42</v>
      </c>
      <c r="D673" s="20"/>
      <c r="E673" s="20"/>
      <c r="F673" s="20">
        <v>-8.78</v>
      </c>
      <c r="G673" s="20">
        <v>-1.94</v>
      </c>
      <c r="I673" s="20"/>
      <c r="J673" s="20"/>
      <c r="K673" s="20">
        <v>336.0</v>
      </c>
      <c r="L673" s="20" t="s">
        <v>14</v>
      </c>
      <c r="M673" s="20">
        <v>-24.67</v>
      </c>
      <c r="N673" s="20">
        <v>-21.91</v>
      </c>
      <c r="P673" s="20">
        <v>-12.76</v>
      </c>
      <c r="Q673" s="20">
        <v>2.02</v>
      </c>
      <c r="AG673" s="20">
        <v>671.0</v>
      </c>
      <c r="AH673" s="20" t="s">
        <v>14</v>
      </c>
      <c r="AI673" s="20">
        <v>-6.89</v>
      </c>
      <c r="AJ673" s="20">
        <v>6.45</v>
      </c>
      <c r="AM673" s="20">
        <v>345.0</v>
      </c>
      <c r="AN673" s="20" t="s">
        <v>14</v>
      </c>
      <c r="AO673" s="20">
        <v>-22.81</v>
      </c>
      <c r="AP673" s="20">
        <v>71.95</v>
      </c>
      <c r="AS673" s="20">
        <v>338.0</v>
      </c>
      <c r="AT673" s="20" t="s">
        <v>14</v>
      </c>
      <c r="AU673" s="20">
        <v>-36.96</v>
      </c>
      <c r="AV673" s="20">
        <v>-56.22</v>
      </c>
      <c r="BE673" s="20">
        <v>671.0</v>
      </c>
      <c r="BF673" s="20" t="s">
        <v>14</v>
      </c>
      <c r="BG673" s="20">
        <v>-25.55</v>
      </c>
      <c r="BH673" s="20">
        <v>9.15</v>
      </c>
      <c r="BM673" s="20">
        <v>179.01</v>
      </c>
      <c r="BN673" s="20">
        <v>44.58</v>
      </c>
      <c r="BW673" s="20">
        <v>-48.42</v>
      </c>
      <c r="BX673" s="20">
        <v>-20.69</v>
      </c>
      <c r="BZ673" s="20">
        <v>-42.88</v>
      </c>
      <c r="CA673" s="20">
        <v>50.5</v>
      </c>
      <c r="CI673" s="20">
        <v>-27.31</v>
      </c>
      <c r="CJ673" s="20">
        <v>-52.22</v>
      </c>
      <c r="CO673" s="20">
        <v>-11.46</v>
      </c>
      <c r="CP673" s="20">
        <v>-46.2</v>
      </c>
    </row>
    <row r="674">
      <c r="A674" s="20">
        <v>-18.59</v>
      </c>
      <c r="B674" s="20">
        <v>-37.77</v>
      </c>
      <c r="D674" s="20"/>
      <c r="E674" s="20"/>
      <c r="F674" s="20">
        <v>-12.46</v>
      </c>
      <c r="G674" s="20">
        <v>-9.87</v>
      </c>
      <c r="I674" s="20"/>
      <c r="J674" s="20"/>
      <c r="K674" s="20">
        <v>336.0</v>
      </c>
      <c r="L674" s="20" t="s">
        <v>17</v>
      </c>
      <c r="M674" s="20">
        <v>-30.81</v>
      </c>
      <c r="N674" s="20">
        <v>11.11</v>
      </c>
      <c r="P674" s="20">
        <v>31.96</v>
      </c>
      <c r="Q674" s="20">
        <v>17.55</v>
      </c>
      <c r="AG674" s="20">
        <v>672.0</v>
      </c>
      <c r="AH674" s="20" t="s">
        <v>14</v>
      </c>
      <c r="AI674" s="20">
        <v>-17.39</v>
      </c>
      <c r="AJ674" s="20">
        <v>17.08</v>
      </c>
      <c r="AM674" s="20">
        <v>345.0</v>
      </c>
      <c r="AN674" s="20" t="s">
        <v>17</v>
      </c>
      <c r="AO674" s="20">
        <v>-32.54</v>
      </c>
      <c r="AP674" s="20">
        <v>48.58</v>
      </c>
      <c r="AS674" s="20">
        <v>338.0</v>
      </c>
      <c r="AT674" s="20" t="s">
        <v>17</v>
      </c>
      <c r="AU674" s="20">
        <v>-37.81</v>
      </c>
      <c r="AV674" s="20">
        <v>-42.76</v>
      </c>
      <c r="BE674" s="20">
        <v>672.0</v>
      </c>
      <c r="BF674" s="20" t="s">
        <v>14</v>
      </c>
      <c r="BG674" s="20">
        <v>-0.83</v>
      </c>
      <c r="BH674" s="20">
        <v>3.57</v>
      </c>
      <c r="BM674" s="20">
        <v>186.56</v>
      </c>
      <c r="BN674" s="20">
        <v>58.42</v>
      </c>
      <c r="BW674" s="20">
        <v>-47.56</v>
      </c>
      <c r="BX674" s="20">
        <v>-28.71</v>
      </c>
      <c r="BZ674" s="20">
        <v>-21.17</v>
      </c>
      <c r="CA674" s="20">
        <v>277.56</v>
      </c>
      <c r="CI674" s="20">
        <v>-41.67</v>
      </c>
      <c r="CJ674" s="20">
        <v>-48.59</v>
      </c>
      <c r="CO674" s="20">
        <v>-53.94</v>
      </c>
      <c r="CP674" s="20">
        <v>-27.1</v>
      </c>
    </row>
    <row r="675">
      <c r="A675" s="20">
        <v>-58.94</v>
      </c>
      <c r="B675" s="20">
        <v>-16.54</v>
      </c>
      <c r="D675" s="20"/>
      <c r="E675" s="20"/>
      <c r="F675" s="20">
        <v>37.6</v>
      </c>
      <c r="G675" s="20">
        <v>5.08</v>
      </c>
      <c r="I675" s="20"/>
      <c r="J675" s="20"/>
      <c r="K675" s="20">
        <v>337.0</v>
      </c>
      <c r="L675" s="20" t="s">
        <v>14</v>
      </c>
      <c r="M675" s="20">
        <v>46.97</v>
      </c>
      <c r="N675" s="20">
        <v>11.44</v>
      </c>
      <c r="P675" s="20">
        <v>8.96</v>
      </c>
      <c r="Q675" s="20">
        <v>4.72</v>
      </c>
      <c r="AG675" s="20">
        <v>673.0</v>
      </c>
      <c r="AH675" s="20" t="s">
        <v>14</v>
      </c>
      <c r="AI675" s="20">
        <v>-41.67</v>
      </c>
      <c r="AJ675" s="20">
        <v>-29.7</v>
      </c>
      <c r="AM675" s="20">
        <v>346.0</v>
      </c>
      <c r="AN675" s="20" t="s">
        <v>14</v>
      </c>
      <c r="AO675" s="20">
        <v>-18.65</v>
      </c>
      <c r="AP675" s="20">
        <v>-30.67</v>
      </c>
      <c r="AS675" s="20">
        <v>340.0</v>
      </c>
      <c r="AT675" s="20" t="s">
        <v>14</v>
      </c>
      <c r="AU675" s="20">
        <v>-52.57</v>
      </c>
      <c r="AV675" s="20">
        <v>-34.79</v>
      </c>
      <c r="BE675" s="20">
        <v>673.0</v>
      </c>
      <c r="BF675" s="20" t="s">
        <v>14</v>
      </c>
      <c r="BG675" s="20">
        <v>79.28</v>
      </c>
      <c r="BH675" s="20">
        <v>34.36</v>
      </c>
      <c r="BM675" s="20">
        <v>152.14</v>
      </c>
      <c r="BN675" s="20">
        <v>109.04</v>
      </c>
      <c r="BW675" s="20">
        <v>-36.65</v>
      </c>
      <c r="BX675" s="20">
        <v>-6.88</v>
      </c>
      <c r="BZ675" s="20">
        <v>-43.08</v>
      </c>
      <c r="CA675" s="20">
        <v>-0.61</v>
      </c>
      <c r="CO675" s="20">
        <v>-23.81</v>
      </c>
      <c r="CP675" s="20">
        <v>-38.9</v>
      </c>
    </row>
    <row r="676">
      <c r="A676" s="20">
        <v>-22.24</v>
      </c>
      <c r="B676" s="20">
        <v>-10.25</v>
      </c>
      <c r="D676" s="20"/>
      <c r="E676" s="20"/>
      <c r="F676" s="20">
        <v>46.13</v>
      </c>
      <c r="G676" s="20">
        <v>49.45</v>
      </c>
      <c r="I676" s="20"/>
      <c r="J676" s="20"/>
      <c r="K676" s="20">
        <v>337.0</v>
      </c>
      <c r="L676" s="20" t="s">
        <v>17</v>
      </c>
      <c r="M676" s="20">
        <v>-2.71</v>
      </c>
      <c r="N676" s="20">
        <v>-15.22</v>
      </c>
      <c r="P676" s="20">
        <v>-61.53</v>
      </c>
      <c r="Q676" s="20">
        <v>-63.6</v>
      </c>
      <c r="AG676" s="20">
        <v>674.0</v>
      </c>
      <c r="AH676" s="20" t="s">
        <v>14</v>
      </c>
      <c r="AI676" s="20">
        <v>-21.61</v>
      </c>
      <c r="AJ676" s="20">
        <v>-14.95</v>
      </c>
      <c r="AM676" s="20">
        <v>346.0</v>
      </c>
      <c r="AN676" s="20" t="s">
        <v>17</v>
      </c>
      <c r="AO676" s="20">
        <v>-10.62</v>
      </c>
      <c r="AP676" s="20">
        <v>2.51</v>
      </c>
      <c r="AS676" s="20">
        <v>340.0</v>
      </c>
      <c r="AT676" s="20" t="s">
        <v>17</v>
      </c>
      <c r="AU676" s="20">
        <v>-22.8</v>
      </c>
      <c r="AV676" s="20">
        <v>-34.01</v>
      </c>
      <c r="BE676" s="20">
        <v>674.0</v>
      </c>
      <c r="BF676" s="20" t="s">
        <v>14</v>
      </c>
      <c r="BG676" s="20">
        <v>50.61</v>
      </c>
      <c r="BH676" s="20">
        <v>54.45</v>
      </c>
      <c r="BM676" s="20">
        <v>169.81</v>
      </c>
      <c r="BN676" s="20">
        <v>115.1</v>
      </c>
      <c r="BW676" s="20">
        <v>-39.4</v>
      </c>
      <c r="BX676" s="20">
        <v>9.64</v>
      </c>
      <c r="BZ676" s="20">
        <v>-37.44</v>
      </c>
      <c r="CA676" s="20">
        <v>-36.31</v>
      </c>
      <c r="CO676" s="20">
        <v>-31.24</v>
      </c>
      <c r="CP676" s="20">
        <v>-11.77</v>
      </c>
    </row>
    <row r="677">
      <c r="A677" s="20">
        <v>-33.19</v>
      </c>
      <c r="B677" s="20">
        <v>-40.38</v>
      </c>
      <c r="D677" s="20"/>
      <c r="E677" s="20"/>
      <c r="F677" s="20">
        <v>32.96</v>
      </c>
      <c r="G677" s="20">
        <v>34.57</v>
      </c>
      <c r="I677" s="20"/>
      <c r="J677" s="20"/>
      <c r="K677" s="20">
        <v>338.0</v>
      </c>
      <c r="L677" s="20" t="s">
        <v>14</v>
      </c>
      <c r="M677" s="20">
        <v>28.55</v>
      </c>
      <c r="N677" s="20">
        <v>18.9</v>
      </c>
      <c r="P677" s="20">
        <v>-19.77</v>
      </c>
      <c r="Q677" s="20">
        <v>21.06</v>
      </c>
      <c r="AG677" s="20">
        <v>675.0</v>
      </c>
      <c r="AH677" s="20" t="s">
        <v>14</v>
      </c>
      <c r="AI677" s="20">
        <v>-18.59</v>
      </c>
      <c r="AJ677" s="20">
        <v>-17.47</v>
      </c>
      <c r="AM677" s="20">
        <v>347.0</v>
      </c>
      <c r="AN677" s="20" t="s">
        <v>14</v>
      </c>
      <c r="AO677" s="20">
        <v>-13.32</v>
      </c>
      <c r="AP677" s="20">
        <v>-33.1</v>
      </c>
      <c r="AS677" s="20">
        <v>341.0</v>
      </c>
      <c r="AT677" s="20" t="s">
        <v>14</v>
      </c>
      <c r="AU677" s="20">
        <v>34.11</v>
      </c>
      <c r="AV677" s="20">
        <v>-28.38</v>
      </c>
      <c r="BE677" s="20">
        <v>675.0</v>
      </c>
      <c r="BF677" s="20" t="s">
        <v>14</v>
      </c>
      <c r="BG677" s="20">
        <v>16.02</v>
      </c>
      <c r="BH677" s="20">
        <v>24.02</v>
      </c>
      <c r="BM677" s="20">
        <v>169.54</v>
      </c>
      <c r="BN677" s="20">
        <v>52.99</v>
      </c>
      <c r="BW677" s="20">
        <v>-23.34</v>
      </c>
      <c r="BX677" s="20">
        <v>35.54</v>
      </c>
      <c r="BZ677" s="20">
        <v>-23.99</v>
      </c>
      <c r="CA677" s="20">
        <v>1.87</v>
      </c>
      <c r="CO677" s="20">
        <v>-22.72</v>
      </c>
      <c r="CP677" s="20">
        <v>-52.68</v>
      </c>
    </row>
    <row r="678">
      <c r="A678" s="20">
        <v>-10.74</v>
      </c>
      <c r="B678" s="20">
        <v>5.03</v>
      </c>
      <c r="D678" s="20"/>
      <c r="E678" s="20"/>
      <c r="F678" s="20">
        <v>-25.05</v>
      </c>
      <c r="G678" s="20">
        <v>47.97</v>
      </c>
      <c r="I678" s="20"/>
      <c r="J678" s="20"/>
      <c r="K678" s="20">
        <v>338.0</v>
      </c>
      <c r="L678" s="20" t="s">
        <v>17</v>
      </c>
      <c r="M678" s="20">
        <v>-9.52</v>
      </c>
      <c r="N678" s="20">
        <v>-5.51</v>
      </c>
      <c r="P678" s="20">
        <v>-4.47</v>
      </c>
      <c r="Q678" s="20">
        <v>22.87</v>
      </c>
      <c r="AG678" s="20">
        <v>676.0</v>
      </c>
      <c r="AH678" s="20" t="s">
        <v>14</v>
      </c>
      <c r="AI678" s="20">
        <v>-49.25</v>
      </c>
      <c r="AJ678" s="20">
        <v>-48.15</v>
      </c>
      <c r="AM678" s="20">
        <v>347.0</v>
      </c>
      <c r="AN678" s="20" t="s">
        <v>17</v>
      </c>
      <c r="AO678" s="20">
        <v>-21.92</v>
      </c>
      <c r="AP678" s="20">
        <v>-36.98</v>
      </c>
      <c r="AS678" s="20">
        <v>341.0</v>
      </c>
      <c r="AT678" s="20" t="s">
        <v>17</v>
      </c>
      <c r="AU678" s="20">
        <v>3.43</v>
      </c>
      <c r="AV678" s="20">
        <v>-38.19</v>
      </c>
      <c r="BE678" s="20">
        <v>676.0</v>
      </c>
      <c r="BF678" s="20" t="s">
        <v>14</v>
      </c>
      <c r="BG678" s="20">
        <v>2.28</v>
      </c>
      <c r="BH678" s="20">
        <v>11.67</v>
      </c>
      <c r="BM678" s="20">
        <v>101.96</v>
      </c>
      <c r="BN678" s="20">
        <v>52.86</v>
      </c>
      <c r="BW678" s="20">
        <v>-43.66</v>
      </c>
      <c r="BX678" s="20">
        <v>1.92</v>
      </c>
      <c r="BZ678" s="20">
        <v>-29.63</v>
      </c>
      <c r="CA678" s="20">
        <v>22.75</v>
      </c>
      <c r="CO678" s="20">
        <v>66.01</v>
      </c>
      <c r="CP678" s="20">
        <v>6.98</v>
      </c>
    </row>
    <row r="679">
      <c r="A679" s="20">
        <v>-5.94</v>
      </c>
      <c r="B679" s="20">
        <v>-4.23</v>
      </c>
      <c r="D679" s="20"/>
      <c r="E679" s="20"/>
      <c r="F679" s="20">
        <v>-23.21</v>
      </c>
      <c r="G679" s="20">
        <v>13.06</v>
      </c>
      <c r="I679" s="20"/>
      <c r="J679" s="20"/>
      <c r="K679" s="20">
        <v>339.0</v>
      </c>
      <c r="L679" s="20" t="s">
        <v>14</v>
      </c>
      <c r="M679" s="20">
        <v>-12.37</v>
      </c>
      <c r="N679" s="20">
        <v>4.62</v>
      </c>
      <c r="P679" s="20">
        <v>-10.86</v>
      </c>
      <c r="Q679" s="20">
        <v>-18.37</v>
      </c>
      <c r="AG679" s="20">
        <v>677.0</v>
      </c>
      <c r="AH679" s="20" t="s">
        <v>14</v>
      </c>
      <c r="AI679" s="20">
        <v>-33.13</v>
      </c>
      <c r="AJ679" s="20">
        <v>-40.19</v>
      </c>
      <c r="AM679" s="20">
        <v>348.0</v>
      </c>
      <c r="AN679" s="20" t="s">
        <v>14</v>
      </c>
      <c r="AO679" s="20">
        <v>-12.03</v>
      </c>
      <c r="AP679" s="20">
        <v>22.45</v>
      </c>
      <c r="AS679" s="20">
        <v>342.0</v>
      </c>
      <c r="AT679" s="20" t="s">
        <v>14</v>
      </c>
      <c r="AU679" s="20">
        <v>20.6</v>
      </c>
      <c r="AV679" s="20">
        <v>-60.65</v>
      </c>
      <c r="BE679" s="20">
        <v>677.0</v>
      </c>
      <c r="BF679" s="20" t="s">
        <v>14</v>
      </c>
      <c r="BG679" s="20">
        <v>-3.35</v>
      </c>
      <c r="BH679" s="20">
        <v>12.58</v>
      </c>
      <c r="BM679" s="20">
        <v>68.02</v>
      </c>
      <c r="BN679" s="20">
        <v>78.7</v>
      </c>
      <c r="BW679" s="20">
        <v>-47.96</v>
      </c>
      <c r="BX679" s="20">
        <v>-6.89</v>
      </c>
      <c r="BZ679" s="20">
        <v>-2.86</v>
      </c>
      <c r="CA679" s="20">
        <v>105.73</v>
      </c>
      <c r="CO679" s="20">
        <v>-14.66</v>
      </c>
      <c r="CP679" s="20">
        <v>-39.81</v>
      </c>
    </row>
    <row r="680">
      <c r="A680" s="20">
        <v>-20.95</v>
      </c>
      <c r="B680" s="20">
        <v>16.56</v>
      </c>
      <c r="D680" s="20"/>
      <c r="E680" s="20"/>
      <c r="F680" s="20">
        <v>-34.22</v>
      </c>
      <c r="G680" s="20">
        <v>22.86</v>
      </c>
      <c r="I680" s="20"/>
      <c r="J680" s="20"/>
      <c r="K680" s="20">
        <v>339.0</v>
      </c>
      <c r="L680" s="20" t="s">
        <v>17</v>
      </c>
      <c r="M680" s="20">
        <v>4.6</v>
      </c>
      <c r="N680" s="20">
        <v>11.55</v>
      </c>
      <c r="P680" s="20">
        <v>-15.45</v>
      </c>
      <c r="Q680" s="20">
        <v>-8.36</v>
      </c>
      <c r="AG680" s="20">
        <v>678.0</v>
      </c>
      <c r="AH680" s="20" t="s">
        <v>14</v>
      </c>
      <c r="AI680" s="20">
        <v>9.84</v>
      </c>
      <c r="AJ680" s="20">
        <v>28.78</v>
      </c>
      <c r="AM680" s="20">
        <v>348.0</v>
      </c>
      <c r="AN680" s="20" t="s">
        <v>17</v>
      </c>
      <c r="AO680" s="20">
        <v>12.32</v>
      </c>
      <c r="AP680" s="20">
        <v>52.93</v>
      </c>
      <c r="AS680" s="20">
        <v>342.0</v>
      </c>
      <c r="AT680" s="20" t="s">
        <v>17</v>
      </c>
      <c r="AU680" s="20">
        <v>12.99</v>
      </c>
      <c r="AV680" s="20">
        <v>-35.86</v>
      </c>
      <c r="BE680" s="20">
        <v>678.0</v>
      </c>
      <c r="BF680" s="20" t="s">
        <v>14</v>
      </c>
      <c r="BG680" s="20">
        <v>-4.78</v>
      </c>
      <c r="BH680" s="20">
        <v>-4.08</v>
      </c>
      <c r="BM680" s="20">
        <v>84.19</v>
      </c>
      <c r="BN680" s="20">
        <v>146.94</v>
      </c>
      <c r="BW680" s="20">
        <v>-32.1</v>
      </c>
      <c r="BX680" s="20">
        <v>-34.92</v>
      </c>
      <c r="BZ680" s="20">
        <v>-29.0</v>
      </c>
      <c r="CA680" s="20">
        <v>-28.65</v>
      </c>
      <c r="CO680" s="20">
        <v>15.69</v>
      </c>
      <c r="CP680" s="20">
        <v>-30.64</v>
      </c>
    </row>
    <row r="681">
      <c r="A681" s="20">
        <v>-42.61</v>
      </c>
      <c r="B681" s="20">
        <v>2.77</v>
      </c>
      <c r="D681" s="20"/>
      <c r="E681" s="20"/>
      <c r="F681" s="20">
        <v>23.52</v>
      </c>
      <c r="G681" s="20">
        <v>19.47</v>
      </c>
      <c r="I681" s="20"/>
      <c r="J681" s="20"/>
      <c r="K681" s="20">
        <v>340.0</v>
      </c>
      <c r="L681" s="20" t="s">
        <v>14</v>
      </c>
      <c r="M681" s="20">
        <v>-11.17</v>
      </c>
      <c r="N681" s="20">
        <v>21.83</v>
      </c>
      <c r="P681" s="20">
        <v>-27.74</v>
      </c>
      <c r="Q681" s="20">
        <v>-19.77</v>
      </c>
      <c r="AG681" s="20">
        <v>679.0</v>
      </c>
      <c r="AH681" s="20" t="s">
        <v>14</v>
      </c>
      <c r="AI681" s="20">
        <v>-17.84</v>
      </c>
      <c r="AJ681" s="20">
        <v>-17.96</v>
      </c>
      <c r="AM681" s="20">
        <v>349.0</v>
      </c>
      <c r="AN681" s="20" t="s">
        <v>14</v>
      </c>
      <c r="AO681" s="20">
        <v>-12.67</v>
      </c>
      <c r="AP681" s="20">
        <v>14.41</v>
      </c>
      <c r="AS681" s="20">
        <v>343.0</v>
      </c>
      <c r="AT681" s="20" t="s">
        <v>14</v>
      </c>
      <c r="AU681" s="20">
        <v>-29.91</v>
      </c>
      <c r="AV681" s="20">
        <v>-66.93</v>
      </c>
      <c r="BE681" s="20">
        <v>679.0</v>
      </c>
      <c r="BF681" s="20" t="s">
        <v>14</v>
      </c>
      <c r="BG681" s="20">
        <v>43.97</v>
      </c>
      <c r="BH681" s="20">
        <v>68.92</v>
      </c>
      <c r="BM681" s="20">
        <v>-19.42</v>
      </c>
      <c r="BN681" s="20">
        <v>39.85</v>
      </c>
      <c r="BW681" s="20">
        <v>-27.9</v>
      </c>
      <c r="BX681" s="20">
        <v>-41.47</v>
      </c>
      <c r="BZ681" s="20">
        <v>-34.61</v>
      </c>
      <c r="CA681" s="20">
        <v>40.84</v>
      </c>
      <c r="CO681" s="20">
        <v>23.35</v>
      </c>
      <c r="CP681" s="20">
        <v>-50.12</v>
      </c>
    </row>
    <row r="682">
      <c r="A682" s="20">
        <v>-47.92</v>
      </c>
      <c r="B682" s="20">
        <v>64.92</v>
      </c>
      <c r="D682" s="20"/>
      <c r="E682" s="20"/>
      <c r="F682" s="20">
        <v>14.72</v>
      </c>
      <c r="G682" s="20">
        <v>8.85</v>
      </c>
      <c r="I682" s="20"/>
      <c r="J682" s="20"/>
      <c r="K682" s="20">
        <v>340.0</v>
      </c>
      <c r="L682" s="20" t="s">
        <v>17</v>
      </c>
      <c r="M682" s="20">
        <v>-32.93</v>
      </c>
      <c r="N682" s="20">
        <v>-16.56</v>
      </c>
      <c r="P682" s="20">
        <v>-35.78</v>
      </c>
      <c r="Q682" s="20">
        <v>-25.79</v>
      </c>
      <c r="AG682" s="20">
        <v>680.0</v>
      </c>
      <c r="AH682" s="20" t="s">
        <v>14</v>
      </c>
      <c r="AI682" s="20">
        <v>-2.43</v>
      </c>
      <c r="AJ682" s="20">
        <v>29.83</v>
      </c>
      <c r="AM682" s="20">
        <v>349.0</v>
      </c>
      <c r="AN682" s="20" t="s">
        <v>17</v>
      </c>
      <c r="AO682" s="20">
        <v>-28.39</v>
      </c>
      <c r="AP682" s="20">
        <v>-17.37</v>
      </c>
      <c r="AS682" s="20">
        <v>343.0</v>
      </c>
      <c r="AT682" s="20" t="s">
        <v>17</v>
      </c>
      <c r="AU682" s="20">
        <v>-31.01</v>
      </c>
      <c r="AV682" s="20">
        <v>26.65</v>
      </c>
      <c r="BE682" s="20">
        <v>680.0</v>
      </c>
      <c r="BF682" s="20" t="s">
        <v>14</v>
      </c>
      <c r="BG682" s="20">
        <v>17.33</v>
      </c>
      <c r="BH682" s="20">
        <v>20.39</v>
      </c>
      <c r="BM682" s="20">
        <v>-21.73</v>
      </c>
      <c r="BN682" s="20">
        <v>39.07</v>
      </c>
      <c r="BW682" s="20">
        <v>-53.46</v>
      </c>
      <c r="BX682" s="20">
        <v>-1.4</v>
      </c>
      <c r="BZ682" s="20">
        <v>-52.82</v>
      </c>
      <c r="CA682" s="20">
        <v>70.57</v>
      </c>
      <c r="CO682" s="20">
        <v>10.93</v>
      </c>
      <c r="CP682" s="20">
        <v>-7.88</v>
      </c>
    </row>
    <row r="683">
      <c r="A683" s="20">
        <v>35.21</v>
      </c>
      <c r="B683" s="20">
        <v>57.05</v>
      </c>
      <c r="D683" s="20"/>
      <c r="E683" s="20"/>
      <c r="F683" s="20">
        <v>-0.76</v>
      </c>
      <c r="G683" s="20">
        <v>1.35</v>
      </c>
      <c r="I683" s="20"/>
      <c r="J683" s="20"/>
      <c r="K683" s="20">
        <v>341.0</v>
      </c>
      <c r="L683" s="20" t="s">
        <v>14</v>
      </c>
      <c r="M683" s="20">
        <v>-40.22</v>
      </c>
      <c r="N683" s="20">
        <v>-16.32</v>
      </c>
      <c r="P683" s="20">
        <v>-25.84</v>
      </c>
      <c r="Q683" s="20">
        <v>-10.65</v>
      </c>
      <c r="AG683" s="20">
        <v>681.0</v>
      </c>
      <c r="AH683" s="20" t="s">
        <v>14</v>
      </c>
      <c r="AI683" s="20">
        <v>0.93</v>
      </c>
      <c r="AJ683" s="20">
        <v>9.58</v>
      </c>
      <c r="AM683" s="20">
        <v>350.0</v>
      </c>
      <c r="AN683" s="20" t="s">
        <v>14</v>
      </c>
      <c r="AO683" s="20">
        <v>2.06</v>
      </c>
      <c r="AP683" s="20">
        <v>12.47</v>
      </c>
      <c r="AS683" s="20">
        <v>344.0</v>
      </c>
      <c r="AT683" s="20" t="s">
        <v>14</v>
      </c>
      <c r="AU683" s="20">
        <v>-33.57</v>
      </c>
      <c r="AV683" s="20">
        <v>2.89</v>
      </c>
      <c r="BE683" s="20">
        <v>681.0</v>
      </c>
      <c r="BF683" s="20" t="s">
        <v>14</v>
      </c>
      <c r="BG683" s="20">
        <v>-6.77</v>
      </c>
      <c r="BH683" s="20">
        <v>33.1</v>
      </c>
      <c r="BM683" s="20">
        <v>48.16</v>
      </c>
      <c r="BN683" s="20">
        <v>52.63</v>
      </c>
      <c r="BW683" s="20">
        <v>-53.39</v>
      </c>
      <c r="BX683" s="20">
        <v>-8.09</v>
      </c>
      <c r="BZ683" s="20">
        <v>-53.47</v>
      </c>
      <c r="CA683" s="20">
        <v>129.22</v>
      </c>
      <c r="CO683" s="20">
        <v>-23.9</v>
      </c>
      <c r="CP683" s="20">
        <v>-58.15</v>
      </c>
    </row>
    <row r="684">
      <c r="A684" s="20">
        <v>-2.19</v>
      </c>
      <c r="B684" s="20">
        <v>-19.76</v>
      </c>
      <c r="D684" s="20"/>
      <c r="E684" s="20"/>
      <c r="F684" s="20">
        <v>-4.26</v>
      </c>
      <c r="G684" s="20">
        <v>13.39</v>
      </c>
      <c r="I684" s="20"/>
      <c r="J684" s="20"/>
      <c r="K684" s="20">
        <v>341.0</v>
      </c>
      <c r="L684" s="20" t="s">
        <v>17</v>
      </c>
      <c r="M684" s="20">
        <v>-57.97</v>
      </c>
      <c r="N684" s="20">
        <v>-45.44</v>
      </c>
      <c r="P684" s="20">
        <v>5.12</v>
      </c>
      <c r="Q684" s="20">
        <v>-38.16</v>
      </c>
      <c r="AG684" s="20">
        <v>682.0</v>
      </c>
      <c r="AH684" s="20" t="s">
        <v>14</v>
      </c>
      <c r="AI684" s="20">
        <v>-17.93</v>
      </c>
      <c r="AJ684" s="20">
        <v>-18.42</v>
      </c>
      <c r="AM684" s="20">
        <v>350.0</v>
      </c>
      <c r="AN684" s="20" t="s">
        <v>17</v>
      </c>
      <c r="AO684" s="20">
        <v>14.05</v>
      </c>
      <c r="AP684" s="20">
        <v>11.21</v>
      </c>
      <c r="AS684" s="20">
        <v>344.0</v>
      </c>
      <c r="AT684" s="20" t="s">
        <v>17</v>
      </c>
      <c r="AU684" s="20">
        <v>-49.92</v>
      </c>
      <c r="AV684" s="20">
        <v>3.31</v>
      </c>
      <c r="BE684" s="20">
        <v>682.0</v>
      </c>
      <c r="BF684" s="20" t="s">
        <v>14</v>
      </c>
      <c r="BG684" s="20">
        <v>-14.68</v>
      </c>
      <c r="BH684" s="20">
        <v>13.5</v>
      </c>
      <c r="BM684" s="20">
        <v>36.92</v>
      </c>
      <c r="BN684" s="20">
        <v>58.72</v>
      </c>
      <c r="BW684" s="20">
        <v>-41.75</v>
      </c>
      <c r="BX684" s="20">
        <v>2.39</v>
      </c>
      <c r="BZ684" s="20">
        <v>-34.07</v>
      </c>
      <c r="CA684" s="20">
        <v>82.8</v>
      </c>
      <c r="CO684" s="20">
        <v>-1.17</v>
      </c>
      <c r="CP684" s="20">
        <v>-58.91</v>
      </c>
    </row>
    <row r="685">
      <c r="A685" s="20">
        <v>-41.19</v>
      </c>
      <c r="B685" s="20">
        <v>65.06</v>
      </c>
      <c r="D685" s="20"/>
      <c r="E685" s="20"/>
      <c r="F685" s="20">
        <v>-31.94</v>
      </c>
      <c r="G685" s="20">
        <v>-2.76</v>
      </c>
      <c r="I685" s="20"/>
      <c r="J685" s="20"/>
      <c r="K685" s="20">
        <v>342.0</v>
      </c>
      <c r="L685" s="20" t="s">
        <v>14</v>
      </c>
      <c r="M685" s="20">
        <v>-27.63</v>
      </c>
      <c r="N685" s="20">
        <v>-7.67</v>
      </c>
      <c r="P685" s="20">
        <v>29.63</v>
      </c>
      <c r="Q685" s="20">
        <v>13.01</v>
      </c>
      <c r="AG685" s="20">
        <v>683.0</v>
      </c>
      <c r="AH685" s="20" t="s">
        <v>14</v>
      </c>
      <c r="AI685" s="20">
        <v>-26.38</v>
      </c>
      <c r="AJ685" s="20">
        <v>-18.88</v>
      </c>
      <c r="AM685" s="20">
        <v>351.0</v>
      </c>
      <c r="AN685" s="20" t="s">
        <v>14</v>
      </c>
      <c r="AO685" s="20">
        <v>-5.76</v>
      </c>
      <c r="AP685" s="20">
        <v>-21.54</v>
      </c>
      <c r="AS685" s="20">
        <v>345.0</v>
      </c>
      <c r="AT685" s="20" t="s">
        <v>14</v>
      </c>
      <c r="AU685" s="20">
        <v>-21.21</v>
      </c>
      <c r="AV685" s="20">
        <v>-47.56</v>
      </c>
      <c r="BE685" s="20">
        <v>683.0</v>
      </c>
      <c r="BF685" s="20" t="s">
        <v>14</v>
      </c>
      <c r="BG685" s="20">
        <v>-21.09</v>
      </c>
      <c r="BH685" s="20">
        <v>3.87</v>
      </c>
      <c r="BM685" s="20">
        <v>50.58</v>
      </c>
      <c r="BN685" s="20">
        <v>68.78</v>
      </c>
      <c r="BW685" s="20">
        <v>-49.34</v>
      </c>
      <c r="BX685" s="20">
        <v>-12.9</v>
      </c>
      <c r="BZ685" s="20">
        <v>-50.44</v>
      </c>
      <c r="CA685" s="20">
        <v>77.4</v>
      </c>
      <c r="CO685" s="20">
        <v>-21.9</v>
      </c>
      <c r="CP685" s="20">
        <v>-43.02</v>
      </c>
    </row>
    <row r="686">
      <c r="A686" s="20">
        <v>-30.3</v>
      </c>
      <c r="B686" s="20">
        <v>5.55</v>
      </c>
      <c r="D686" s="20"/>
      <c r="E686" s="20"/>
      <c r="F686" s="20">
        <v>-39.41</v>
      </c>
      <c r="G686" s="20">
        <v>15.69</v>
      </c>
      <c r="I686" s="20"/>
      <c r="J686" s="20"/>
      <c r="K686" s="20">
        <v>342.0</v>
      </c>
      <c r="L686" s="20" t="s">
        <v>17</v>
      </c>
      <c r="M686" s="20">
        <v>-40.96</v>
      </c>
      <c r="N686" s="20">
        <v>41.63</v>
      </c>
      <c r="P686" s="20">
        <v>25.72</v>
      </c>
      <c r="Q686" s="20">
        <v>-49.26</v>
      </c>
      <c r="AG686" s="20">
        <v>684.0</v>
      </c>
      <c r="AH686" s="20" t="s">
        <v>14</v>
      </c>
      <c r="AI686" s="20">
        <v>-16.13</v>
      </c>
      <c r="AJ686" s="20">
        <v>-24.26</v>
      </c>
      <c r="AM686" s="20">
        <v>351.0</v>
      </c>
      <c r="AN686" s="20" t="s">
        <v>17</v>
      </c>
      <c r="AO686" s="20">
        <v>-12.19</v>
      </c>
      <c r="AP686" s="20">
        <v>24.74</v>
      </c>
      <c r="AS686" s="20">
        <v>345.0</v>
      </c>
      <c r="AT686" s="20" t="s">
        <v>17</v>
      </c>
      <c r="AU686" s="20">
        <v>-27.9</v>
      </c>
      <c r="AV686" s="20">
        <v>-32.49</v>
      </c>
      <c r="BE686" s="20">
        <v>684.0</v>
      </c>
      <c r="BF686" s="20" t="s">
        <v>14</v>
      </c>
      <c r="BG686" s="20">
        <v>-4.03</v>
      </c>
      <c r="BH686" s="20">
        <v>15.7</v>
      </c>
      <c r="BM686" s="20">
        <v>66.61</v>
      </c>
      <c r="BN686" s="20">
        <v>145.72</v>
      </c>
      <c r="BW686" s="20">
        <v>-31.93</v>
      </c>
      <c r="BX686" s="20">
        <v>22.5</v>
      </c>
      <c r="BZ686" s="20">
        <v>-33.28</v>
      </c>
      <c r="CA686" s="20">
        <v>73.72</v>
      </c>
      <c r="CO686" s="20">
        <v>35.97</v>
      </c>
      <c r="CP686" s="20">
        <v>-51.68</v>
      </c>
    </row>
    <row r="687">
      <c r="A687" s="20">
        <v>65.98</v>
      </c>
      <c r="B687" s="20">
        <v>8.11</v>
      </c>
      <c r="D687" s="20"/>
      <c r="E687" s="20"/>
      <c r="F687" s="20">
        <v>23.72</v>
      </c>
      <c r="G687" s="20">
        <v>18.22</v>
      </c>
      <c r="I687" s="20"/>
      <c r="J687" s="20"/>
      <c r="K687" s="20">
        <v>343.0</v>
      </c>
      <c r="L687" s="20" t="s">
        <v>14</v>
      </c>
      <c r="M687" s="20">
        <v>-35.99</v>
      </c>
      <c r="N687" s="20">
        <v>50.53</v>
      </c>
      <c r="P687" s="20">
        <v>9.65</v>
      </c>
      <c r="Q687" s="20">
        <v>30.97</v>
      </c>
      <c r="AG687" s="20">
        <v>685.0</v>
      </c>
      <c r="AH687" s="20" t="s">
        <v>14</v>
      </c>
      <c r="AI687" s="20">
        <v>1.92</v>
      </c>
      <c r="AJ687" s="20">
        <v>11.58</v>
      </c>
      <c r="AM687" s="20">
        <v>352.0</v>
      </c>
      <c r="AN687" s="20" t="s">
        <v>14</v>
      </c>
      <c r="AO687" s="20">
        <v>3.25</v>
      </c>
      <c r="AP687" s="20">
        <v>12.55</v>
      </c>
      <c r="AS687" s="20">
        <v>346.0</v>
      </c>
      <c r="AT687" s="20" t="s">
        <v>14</v>
      </c>
      <c r="AU687" s="20">
        <v>-11.13</v>
      </c>
      <c r="AV687" s="20">
        <v>-17.88</v>
      </c>
      <c r="BE687" s="20">
        <v>685.0</v>
      </c>
      <c r="BF687" s="20" t="s">
        <v>14</v>
      </c>
      <c r="BG687" s="20">
        <v>97.9</v>
      </c>
      <c r="BH687" s="20">
        <v>63.94</v>
      </c>
      <c r="BM687" s="20">
        <v>4.49</v>
      </c>
      <c r="BN687" s="20">
        <v>136.0</v>
      </c>
      <c r="BW687" s="20">
        <v>-61.26</v>
      </c>
      <c r="BX687" s="20">
        <v>-9.17</v>
      </c>
      <c r="BZ687" s="20">
        <v>-64.81</v>
      </c>
      <c r="CA687" s="20">
        <v>221.84</v>
      </c>
      <c r="CO687" s="20">
        <v>-1.69</v>
      </c>
      <c r="CP687" s="20">
        <v>-44.62</v>
      </c>
    </row>
    <row r="688">
      <c r="A688" s="20">
        <v>-28.35</v>
      </c>
      <c r="B688" s="20">
        <v>6.93</v>
      </c>
      <c r="D688" s="20"/>
      <c r="E688" s="20"/>
      <c r="F688" s="20">
        <v>1.33</v>
      </c>
      <c r="G688" s="20">
        <v>2.86</v>
      </c>
      <c r="I688" s="20"/>
      <c r="J688" s="20"/>
      <c r="K688" s="20">
        <v>343.0</v>
      </c>
      <c r="L688" s="20" t="s">
        <v>17</v>
      </c>
      <c r="M688" s="20">
        <v>-35.41</v>
      </c>
      <c r="N688" s="20">
        <v>16.84</v>
      </c>
      <c r="P688" s="20">
        <v>-39.58</v>
      </c>
      <c r="Q688" s="20">
        <v>-21.13</v>
      </c>
      <c r="AG688" s="20">
        <v>686.0</v>
      </c>
      <c r="AH688" s="20" t="s">
        <v>14</v>
      </c>
      <c r="AI688" s="20">
        <v>-15.93</v>
      </c>
      <c r="AJ688" s="20">
        <v>-13.91</v>
      </c>
      <c r="AM688" s="20">
        <v>352.0</v>
      </c>
      <c r="AN688" s="20" t="s">
        <v>17</v>
      </c>
      <c r="AO688" s="20">
        <v>-19.44</v>
      </c>
      <c r="AP688" s="20">
        <v>-0.31</v>
      </c>
      <c r="AS688" s="20">
        <v>346.0</v>
      </c>
      <c r="AT688" s="20" t="s">
        <v>17</v>
      </c>
      <c r="AU688" s="20">
        <v>-17.56</v>
      </c>
      <c r="AV688" s="20">
        <v>-4.81</v>
      </c>
      <c r="BE688" s="20">
        <v>686.0</v>
      </c>
      <c r="BF688" s="20" t="s">
        <v>14</v>
      </c>
      <c r="BG688" s="20">
        <v>28.78</v>
      </c>
      <c r="BH688" s="20">
        <v>12.74</v>
      </c>
      <c r="BM688" s="20">
        <v>28.53</v>
      </c>
      <c r="BN688" s="20">
        <v>37.48</v>
      </c>
      <c r="BW688" s="20">
        <v>-53.84</v>
      </c>
      <c r="BX688" s="20">
        <v>-17.87</v>
      </c>
      <c r="BZ688" s="20">
        <v>-53.83</v>
      </c>
      <c r="CA688" s="20">
        <v>118.11</v>
      </c>
      <c r="CO688" s="20">
        <v>-8.72</v>
      </c>
      <c r="CP688" s="20">
        <v>-53.35</v>
      </c>
    </row>
    <row r="689">
      <c r="A689" s="20">
        <v>-53.24</v>
      </c>
      <c r="B689" s="20">
        <v>38.41</v>
      </c>
      <c r="D689" s="20"/>
      <c r="E689" s="20"/>
      <c r="F689" s="20">
        <v>-8.24</v>
      </c>
      <c r="G689" s="20">
        <v>-15.11</v>
      </c>
      <c r="I689" s="20"/>
      <c r="J689" s="20"/>
      <c r="K689" s="20">
        <v>344.0</v>
      </c>
      <c r="L689" s="20" t="s">
        <v>14</v>
      </c>
      <c r="M689" s="20">
        <v>-37.4</v>
      </c>
      <c r="N689" s="20">
        <v>-27.28</v>
      </c>
      <c r="P689" s="20">
        <v>19.51</v>
      </c>
      <c r="Q689" s="20">
        <v>1.74</v>
      </c>
      <c r="AG689" s="20">
        <v>687.0</v>
      </c>
      <c r="AH689" s="20" t="s">
        <v>14</v>
      </c>
      <c r="AI689" s="20">
        <v>15.18</v>
      </c>
      <c r="AJ689" s="20">
        <v>10.84</v>
      </c>
      <c r="AM689" s="20">
        <v>353.0</v>
      </c>
      <c r="AN689" s="20" t="s">
        <v>14</v>
      </c>
      <c r="AO689" s="20">
        <v>-16.19</v>
      </c>
      <c r="AP689" s="20">
        <v>3.43</v>
      </c>
      <c r="AS689" s="20">
        <v>347.0</v>
      </c>
      <c r="AT689" s="20" t="s">
        <v>14</v>
      </c>
      <c r="AU689" s="20">
        <v>-22.39</v>
      </c>
      <c r="AV689" s="20">
        <v>-8.95</v>
      </c>
      <c r="BE689" s="20">
        <v>687.0</v>
      </c>
      <c r="BF689" s="20" t="s">
        <v>14</v>
      </c>
      <c r="BG689" s="20">
        <v>16.34</v>
      </c>
      <c r="BH689" s="20">
        <v>42.76</v>
      </c>
      <c r="BM689" s="20">
        <v>-18.74</v>
      </c>
      <c r="BN689" s="20">
        <v>47.38</v>
      </c>
      <c r="BW689" s="20">
        <v>-43.86</v>
      </c>
      <c r="BX689" s="20">
        <v>-34.3</v>
      </c>
      <c r="BZ689" s="20">
        <v>-64.36</v>
      </c>
      <c r="CA689" s="20">
        <v>64.45</v>
      </c>
      <c r="CO689" s="20">
        <v>-20.51</v>
      </c>
      <c r="CP689" s="20">
        <v>-59.98</v>
      </c>
    </row>
    <row r="690">
      <c r="A690" s="20">
        <v>-5.33</v>
      </c>
      <c r="B690" s="20">
        <v>198.41</v>
      </c>
      <c r="D690" s="20"/>
      <c r="E690" s="20"/>
      <c r="F690" s="20">
        <v>-14.13</v>
      </c>
      <c r="G690" s="20">
        <v>-42.48</v>
      </c>
      <c r="I690" s="20"/>
      <c r="J690" s="20"/>
      <c r="K690" s="20">
        <v>344.0</v>
      </c>
      <c r="L690" s="20" t="s">
        <v>17</v>
      </c>
      <c r="M690" s="20">
        <v>-47.2</v>
      </c>
      <c r="N690" s="20">
        <v>-35.02</v>
      </c>
      <c r="P690" s="20">
        <v>-6.11</v>
      </c>
      <c r="Q690" s="20">
        <v>-2.22</v>
      </c>
      <c r="AG690" s="20">
        <v>688.0</v>
      </c>
      <c r="AH690" s="20" t="s">
        <v>14</v>
      </c>
      <c r="AI690" s="20">
        <v>-11.28</v>
      </c>
      <c r="AJ690" s="20">
        <v>4.72</v>
      </c>
      <c r="AM690" s="20">
        <v>353.0</v>
      </c>
      <c r="AN690" s="20" t="s">
        <v>17</v>
      </c>
      <c r="AO690" s="20">
        <v>2.56</v>
      </c>
      <c r="AP690" s="20">
        <v>1.53</v>
      </c>
      <c r="AS690" s="20">
        <v>347.0</v>
      </c>
      <c r="AT690" s="20" t="s">
        <v>17</v>
      </c>
      <c r="AU690" s="20">
        <v>16.2</v>
      </c>
      <c r="AV690" s="20">
        <v>14.72</v>
      </c>
      <c r="BE690" s="20">
        <v>688.0</v>
      </c>
      <c r="BF690" s="20" t="s">
        <v>14</v>
      </c>
      <c r="BG690" s="20">
        <v>3.66</v>
      </c>
      <c r="BH690" s="20">
        <v>12.52</v>
      </c>
      <c r="BM690" s="20">
        <v>28.92</v>
      </c>
      <c r="BN690" s="20">
        <v>39.12</v>
      </c>
      <c r="BW690" s="20">
        <v>-40.79</v>
      </c>
      <c r="BX690" s="20">
        <v>2.63</v>
      </c>
      <c r="BZ690" s="20">
        <v>-31.02</v>
      </c>
      <c r="CA690" s="20">
        <v>-14.02</v>
      </c>
      <c r="CO690" s="20">
        <v>26.76</v>
      </c>
      <c r="CP690" s="20">
        <v>-34.92</v>
      </c>
    </row>
    <row r="691">
      <c r="A691" s="20">
        <v>-66.05</v>
      </c>
      <c r="B691" s="20">
        <v>7.99</v>
      </c>
      <c r="D691" s="20"/>
      <c r="E691" s="20"/>
      <c r="F691" s="20">
        <v>-32.28</v>
      </c>
      <c r="G691" s="20">
        <v>-18.47</v>
      </c>
      <c r="I691" s="20"/>
      <c r="J691" s="20"/>
      <c r="K691" s="20">
        <v>345.0</v>
      </c>
      <c r="L691" s="20" t="s">
        <v>14</v>
      </c>
      <c r="M691" s="20">
        <v>-41.73</v>
      </c>
      <c r="N691" s="20">
        <v>-15.79</v>
      </c>
      <c r="P691" s="20">
        <v>-8.04</v>
      </c>
      <c r="Q691" s="20">
        <v>-4.18</v>
      </c>
      <c r="AG691" s="20">
        <v>689.0</v>
      </c>
      <c r="AH691" s="20" t="s">
        <v>14</v>
      </c>
      <c r="AI691" s="20">
        <v>-20.9</v>
      </c>
      <c r="AJ691" s="20">
        <v>-21.69</v>
      </c>
      <c r="AM691" s="20">
        <v>354.0</v>
      </c>
      <c r="AN691" s="20" t="s">
        <v>14</v>
      </c>
      <c r="AO691" s="20">
        <v>-7.07</v>
      </c>
      <c r="AP691" s="20">
        <v>-22.81</v>
      </c>
      <c r="AS691" s="20">
        <v>348.0</v>
      </c>
      <c r="AT691" s="20" t="s">
        <v>14</v>
      </c>
      <c r="AU691" s="20">
        <v>31.01</v>
      </c>
      <c r="AV691" s="20">
        <v>-14.75</v>
      </c>
      <c r="BE691" s="20">
        <v>689.0</v>
      </c>
      <c r="BF691" s="20" t="s">
        <v>14</v>
      </c>
      <c r="BG691" s="20">
        <v>-0.83</v>
      </c>
      <c r="BH691" s="20">
        <v>14.27</v>
      </c>
      <c r="BM691" s="20">
        <v>180.32</v>
      </c>
      <c r="BN691" s="20">
        <v>55.24</v>
      </c>
      <c r="BW691" s="20">
        <v>-26.33</v>
      </c>
      <c r="BX691" s="20">
        <v>-24.15</v>
      </c>
      <c r="BZ691" s="20">
        <v>-35.43</v>
      </c>
      <c r="CA691" s="20">
        <v>10.54</v>
      </c>
      <c r="CO691" s="20">
        <v>-22.74</v>
      </c>
      <c r="CP691" s="20">
        <v>-47.75</v>
      </c>
    </row>
    <row r="692">
      <c r="A692" s="20">
        <v>2.39</v>
      </c>
      <c r="B692" s="20">
        <v>-32.59</v>
      </c>
      <c r="D692" s="20"/>
      <c r="E692" s="20"/>
      <c r="F692" s="20">
        <v>-51.63</v>
      </c>
      <c r="G692" s="20">
        <v>-29.82</v>
      </c>
      <c r="I692" s="20"/>
      <c r="J692" s="20"/>
      <c r="K692" s="20">
        <v>345.0</v>
      </c>
      <c r="L692" s="20" t="s">
        <v>17</v>
      </c>
      <c r="M692" s="20">
        <v>-38.43</v>
      </c>
      <c r="N692" s="20">
        <v>-51.25</v>
      </c>
      <c r="P692" s="20">
        <v>-17.28</v>
      </c>
      <c r="Q692" s="20">
        <v>1.88</v>
      </c>
      <c r="AG692" s="20">
        <v>690.0</v>
      </c>
      <c r="AH692" s="20" t="s">
        <v>14</v>
      </c>
      <c r="AI692" s="20">
        <v>-19.87</v>
      </c>
      <c r="AJ692" s="20">
        <v>-17.43</v>
      </c>
      <c r="AM692" s="20">
        <v>354.0</v>
      </c>
      <c r="AN692" s="20" t="s">
        <v>17</v>
      </c>
      <c r="AO692" s="20">
        <v>-21.88</v>
      </c>
      <c r="AP692" s="20">
        <v>-33.06</v>
      </c>
      <c r="AS692" s="20">
        <v>348.0</v>
      </c>
      <c r="AT692" s="20" t="s">
        <v>17</v>
      </c>
      <c r="AU692" s="20">
        <v>7.61</v>
      </c>
      <c r="AV692" s="20">
        <v>-16.5</v>
      </c>
      <c r="BE692" s="20">
        <v>690.0</v>
      </c>
      <c r="BF692" s="20" t="s">
        <v>14</v>
      </c>
      <c r="BG692" s="20">
        <v>-1.33</v>
      </c>
      <c r="BH692" s="20">
        <v>19.88</v>
      </c>
      <c r="BM692" s="20">
        <v>214.81</v>
      </c>
      <c r="BN692" s="20">
        <v>75.2</v>
      </c>
      <c r="BW692" s="20">
        <v>-36.93</v>
      </c>
      <c r="BX692" s="20">
        <v>-31.77</v>
      </c>
      <c r="BZ692" s="20">
        <v>-36.8</v>
      </c>
      <c r="CA692" s="20">
        <v>58.45</v>
      </c>
      <c r="CO692" s="20">
        <v>-20.37</v>
      </c>
      <c r="CP692" s="20">
        <v>-42.66</v>
      </c>
    </row>
    <row r="693">
      <c r="A693" s="20">
        <v>-9.86</v>
      </c>
      <c r="B693" s="20">
        <v>15.7</v>
      </c>
      <c r="D693" s="20"/>
      <c r="E693" s="20"/>
      <c r="F693" s="20">
        <v>25.12</v>
      </c>
      <c r="G693" s="20">
        <v>16.62</v>
      </c>
      <c r="I693" s="20"/>
      <c r="J693" s="20"/>
      <c r="K693" s="20">
        <v>346.0</v>
      </c>
      <c r="L693" s="20" t="s">
        <v>14</v>
      </c>
      <c r="M693" s="20">
        <v>-0.79</v>
      </c>
      <c r="N693" s="20">
        <v>56.18</v>
      </c>
      <c r="P693" s="20">
        <v>3.19</v>
      </c>
      <c r="Q693" s="20">
        <v>26.99</v>
      </c>
      <c r="AG693" s="20">
        <v>691.0</v>
      </c>
      <c r="AH693" s="20" t="s">
        <v>14</v>
      </c>
      <c r="AI693" s="20">
        <v>-15.11</v>
      </c>
      <c r="AJ693" s="20">
        <v>-7.56</v>
      </c>
      <c r="AM693" s="20">
        <v>355.0</v>
      </c>
      <c r="AN693" s="20" t="s">
        <v>14</v>
      </c>
      <c r="AO693" s="20">
        <v>-11.81</v>
      </c>
      <c r="AP693" s="20">
        <v>-30.96</v>
      </c>
      <c r="AS693" s="20">
        <v>349.0</v>
      </c>
      <c r="AT693" s="20" t="s">
        <v>14</v>
      </c>
      <c r="AU693" s="20">
        <v>-27.15</v>
      </c>
      <c r="AV693" s="20">
        <v>-63.06</v>
      </c>
      <c r="BE693" s="20">
        <v>691.0</v>
      </c>
      <c r="BF693" s="20" t="s">
        <v>14</v>
      </c>
      <c r="BG693" s="20">
        <v>-19.35</v>
      </c>
      <c r="BH693" s="20">
        <v>13.17</v>
      </c>
      <c r="BM693" s="20">
        <v>-5.89</v>
      </c>
      <c r="BN693" s="20">
        <v>14.87</v>
      </c>
      <c r="BW693" s="20">
        <v>-26.43</v>
      </c>
      <c r="BX693" s="20">
        <v>-25.01</v>
      </c>
      <c r="BZ693" s="20">
        <v>-52.46</v>
      </c>
      <c r="CA693" s="20">
        <v>67.52</v>
      </c>
      <c r="CO693" s="20">
        <v>22.18</v>
      </c>
      <c r="CP693" s="20">
        <v>-24.58</v>
      </c>
    </row>
    <row r="694">
      <c r="A694" s="20">
        <v>-40.83</v>
      </c>
      <c r="B694" s="20">
        <v>65.12</v>
      </c>
      <c r="D694" s="20"/>
      <c r="E694" s="20"/>
      <c r="F694" s="20">
        <v>18.6</v>
      </c>
      <c r="G694" s="20">
        <v>-3.45</v>
      </c>
      <c r="I694" s="20"/>
      <c r="J694" s="20"/>
      <c r="K694" s="20">
        <v>346.0</v>
      </c>
      <c r="L694" s="20" t="s">
        <v>17</v>
      </c>
      <c r="M694" s="20">
        <v>-37.76</v>
      </c>
      <c r="N694" s="20">
        <v>-10.65</v>
      </c>
      <c r="P694" s="20">
        <v>-1.56</v>
      </c>
      <c r="Q694" s="20">
        <v>38.82</v>
      </c>
      <c r="AG694" s="20">
        <v>692.0</v>
      </c>
      <c r="AH694" s="20" t="s">
        <v>14</v>
      </c>
      <c r="AI694" s="20">
        <v>3.8</v>
      </c>
      <c r="AJ694" s="20">
        <v>27.99</v>
      </c>
      <c r="AM694" s="20">
        <v>355.0</v>
      </c>
      <c r="AN694" s="20" t="s">
        <v>17</v>
      </c>
      <c r="AO694" s="20">
        <v>-22.2</v>
      </c>
      <c r="AP694" s="20">
        <v>-12.69</v>
      </c>
      <c r="AS694" s="20">
        <v>349.0</v>
      </c>
      <c r="AT694" s="20" t="s">
        <v>17</v>
      </c>
      <c r="AU694" s="20">
        <v>-2.29</v>
      </c>
      <c r="AV694" s="20">
        <v>-39.91</v>
      </c>
      <c r="BE694" s="20">
        <v>692.0</v>
      </c>
      <c r="BF694" s="20" t="s">
        <v>14</v>
      </c>
      <c r="BG694" s="20">
        <v>12.34</v>
      </c>
      <c r="BH694" s="20">
        <v>56.58</v>
      </c>
      <c r="BM694" s="20">
        <v>26.1</v>
      </c>
      <c r="BN694" s="20">
        <v>28.89</v>
      </c>
      <c r="BW694" s="20">
        <v>-51.88</v>
      </c>
      <c r="BX694" s="20">
        <v>-13.95</v>
      </c>
      <c r="BZ694" s="20">
        <v>-67.54</v>
      </c>
      <c r="CA694" s="20">
        <v>12.96</v>
      </c>
      <c r="CO694" s="20">
        <v>3.87</v>
      </c>
      <c r="CP694" s="20">
        <v>-29.19</v>
      </c>
    </row>
    <row r="695">
      <c r="A695" s="20">
        <v>33.28</v>
      </c>
      <c r="B695" s="20">
        <v>-40.55</v>
      </c>
      <c r="D695" s="20"/>
      <c r="E695" s="20"/>
      <c r="F695" s="20">
        <v>10.2</v>
      </c>
      <c r="G695" s="20">
        <v>11.24</v>
      </c>
      <c r="I695" s="20"/>
      <c r="J695" s="20"/>
      <c r="K695" s="20">
        <v>347.0</v>
      </c>
      <c r="L695" s="20" t="s">
        <v>14</v>
      </c>
      <c r="M695" s="20">
        <v>-6.96</v>
      </c>
      <c r="N695" s="20">
        <v>116.92</v>
      </c>
      <c r="P695" s="20">
        <v>-30.65</v>
      </c>
      <c r="Q695" s="20">
        <v>15.79</v>
      </c>
      <c r="AG695" s="20">
        <v>693.0</v>
      </c>
      <c r="AH695" s="20" t="s">
        <v>14</v>
      </c>
      <c r="AI695" s="20">
        <v>-4.83</v>
      </c>
      <c r="AJ695" s="20">
        <v>3.05</v>
      </c>
      <c r="AM695" s="20">
        <v>356.0</v>
      </c>
      <c r="AN695" s="20" t="s">
        <v>14</v>
      </c>
      <c r="AO695" s="20">
        <v>-28.1</v>
      </c>
      <c r="AP695" s="20">
        <v>-5.82</v>
      </c>
      <c r="AS695" s="20">
        <v>350.0</v>
      </c>
      <c r="AT695" s="20" t="s">
        <v>14</v>
      </c>
      <c r="AU695" s="20">
        <v>2.13</v>
      </c>
      <c r="AV695" s="20">
        <v>-48.6</v>
      </c>
      <c r="BE695" s="20">
        <v>693.0</v>
      </c>
      <c r="BF695" s="20" t="s">
        <v>14</v>
      </c>
      <c r="BG695" s="20">
        <v>12.27</v>
      </c>
      <c r="BH695" s="20">
        <v>26.21</v>
      </c>
      <c r="BM695" s="20">
        <v>53.79</v>
      </c>
      <c r="BN695" s="20">
        <v>57.84</v>
      </c>
      <c r="BW695" s="20">
        <v>-49.28</v>
      </c>
      <c r="BX695" s="20">
        <v>10.92</v>
      </c>
      <c r="BZ695" s="20">
        <v>-44.18</v>
      </c>
      <c r="CA695" s="20">
        <v>41.99</v>
      </c>
      <c r="CO695" s="20">
        <v>-14.42</v>
      </c>
      <c r="CP695" s="20">
        <v>-62.72</v>
      </c>
    </row>
    <row r="696">
      <c r="A696" s="20">
        <v>-12.33</v>
      </c>
      <c r="B696" s="20">
        <v>33.64</v>
      </c>
      <c r="D696" s="20"/>
      <c r="E696" s="20"/>
      <c r="F696" s="20">
        <v>30.18</v>
      </c>
      <c r="G696" s="20">
        <v>1.7</v>
      </c>
      <c r="I696" s="20"/>
      <c r="J696" s="20"/>
      <c r="K696" s="20">
        <v>347.0</v>
      </c>
      <c r="L696" s="20" t="s">
        <v>17</v>
      </c>
      <c r="M696" s="20">
        <v>106.98</v>
      </c>
      <c r="N696" s="20">
        <v>30.7</v>
      </c>
      <c r="P696" s="20">
        <v>-9.21</v>
      </c>
      <c r="Q696" s="20">
        <v>77.6</v>
      </c>
      <c r="AG696" s="20">
        <v>694.0</v>
      </c>
      <c r="AH696" s="20" t="s">
        <v>14</v>
      </c>
      <c r="AI696" s="20">
        <v>1.17</v>
      </c>
      <c r="AJ696" s="20">
        <v>25.84</v>
      </c>
      <c r="AM696" s="20">
        <v>356.0</v>
      </c>
      <c r="AN696" s="20" t="s">
        <v>17</v>
      </c>
      <c r="AO696" s="20">
        <v>-7.31</v>
      </c>
      <c r="AP696" s="20">
        <v>8.05</v>
      </c>
      <c r="AS696" s="20">
        <v>350.0</v>
      </c>
      <c r="AT696" s="20" t="s">
        <v>17</v>
      </c>
      <c r="AU696" s="20">
        <v>-9.73</v>
      </c>
      <c r="AV696" s="20">
        <v>-49.77</v>
      </c>
      <c r="BE696" s="20">
        <v>694.0</v>
      </c>
      <c r="BF696" s="20" t="s">
        <v>14</v>
      </c>
      <c r="BG696" s="20">
        <v>32.59</v>
      </c>
      <c r="BH696" s="20">
        <v>17.34</v>
      </c>
      <c r="BM696" s="20">
        <v>41.45</v>
      </c>
      <c r="BN696" s="20">
        <v>158.7</v>
      </c>
      <c r="BW696" s="20">
        <v>-50.06</v>
      </c>
      <c r="BX696" s="20">
        <v>-37.06</v>
      </c>
      <c r="BZ696" s="20">
        <v>-45.67</v>
      </c>
      <c r="CA696" s="20">
        <v>61.84</v>
      </c>
      <c r="CO696" s="20">
        <v>43.93</v>
      </c>
      <c r="CP696" s="20">
        <v>-53.02</v>
      </c>
    </row>
    <row r="697">
      <c r="A697" s="20">
        <v>-12.91</v>
      </c>
      <c r="B697" s="20">
        <v>10.74</v>
      </c>
      <c r="D697" s="20"/>
      <c r="E697" s="20"/>
      <c r="F697" s="20">
        <v>38.42</v>
      </c>
      <c r="G697" s="20">
        <v>0.24</v>
      </c>
      <c r="I697" s="20"/>
      <c r="J697" s="20"/>
      <c r="K697" s="20">
        <v>348.0</v>
      </c>
      <c r="L697" s="20" t="s">
        <v>14</v>
      </c>
      <c r="M697" s="20">
        <v>-22.75</v>
      </c>
      <c r="N697" s="20">
        <v>11.67</v>
      </c>
      <c r="P697" s="20">
        <v>-37.47</v>
      </c>
      <c r="Q697" s="20">
        <v>-43.51</v>
      </c>
      <c r="AG697" s="20">
        <v>695.0</v>
      </c>
      <c r="AH697" s="20" t="s">
        <v>14</v>
      </c>
      <c r="AI697" s="20">
        <v>6.97</v>
      </c>
      <c r="AJ697" s="20">
        <v>26.11</v>
      </c>
      <c r="AM697" s="20">
        <v>357.0</v>
      </c>
      <c r="AN697" s="20" t="s">
        <v>14</v>
      </c>
      <c r="AO697" s="20">
        <v>-16.01</v>
      </c>
      <c r="AP697" s="20">
        <v>-20.64</v>
      </c>
      <c r="AS697" s="20">
        <v>351.0</v>
      </c>
      <c r="AT697" s="20" t="s">
        <v>14</v>
      </c>
      <c r="AU697" s="20">
        <v>0.94</v>
      </c>
      <c r="AV697" s="20">
        <v>-47.81</v>
      </c>
      <c r="BE697" s="20">
        <v>695.0</v>
      </c>
      <c r="BF697" s="20" t="s">
        <v>14</v>
      </c>
      <c r="BG697" s="20">
        <v>28.32</v>
      </c>
      <c r="BH697" s="20">
        <v>26.56</v>
      </c>
      <c r="BM697" s="20">
        <v>27.28</v>
      </c>
      <c r="BN697" s="20">
        <v>36.26</v>
      </c>
      <c r="BW697" s="20">
        <v>-33.45</v>
      </c>
      <c r="BX697" s="20">
        <v>-22.22</v>
      </c>
      <c r="BZ697" s="20">
        <v>-53.5</v>
      </c>
      <c r="CA697" s="20">
        <v>99.5</v>
      </c>
      <c r="CO697" s="20">
        <v>16.72</v>
      </c>
      <c r="CP697" s="20">
        <v>-47.29</v>
      </c>
    </row>
    <row r="698">
      <c r="A698" s="20">
        <v>-63.95</v>
      </c>
      <c r="B698" s="20">
        <v>-53.53</v>
      </c>
      <c r="D698" s="20"/>
      <c r="E698" s="20"/>
      <c r="F698" s="20">
        <v>-8.76</v>
      </c>
      <c r="G698" s="20">
        <v>30.8</v>
      </c>
      <c r="I698" s="20"/>
      <c r="J698" s="20"/>
      <c r="K698" s="20">
        <v>348.0</v>
      </c>
      <c r="L698" s="20" t="s">
        <v>17</v>
      </c>
      <c r="M698" s="20">
        <v>-44.11</v>
      </c>
      <c r="N698" s="20">
        <v>-3.59</v>
      </c>
      <c r="P698" s="20">
        <v>6.41</v>
      </c>
      <c r="Q698" s="20">
        <v>9.95</v>
      </c>
      <c r="AG698" s="20">
        <v>696.0</v>
      </c>
      <c r="AH698" s="20" t="s">
        <v>14</v>
      </c>
      <c r="AI698" s="20">
        <v>-10.65</v>
      </c>
      <c r="AJ698" s="20">
        <v>-2.29</v>
      </c>
      <c r="AM698" s="20">
        <v>357.0</v>
      </c>
      <c r="AN698" s="20" t="s">
        <v>17</v>
      </c>
      <c r="AO698" s="20">
        <v>-30.95</v>
      </c>
      <c r="AP698" s="20">
        <v>-12.83</v>
      </c>
      <c r="AS698" s="20">
        <v>351.0</v>
      </c>
      <c r="AT698" s="20" t="s">
        <v>17</v>
      </c>
      <c r="AU698" s="20">
        <v>-9.05</v>
      </c>
      <c r="AV698" s="20">
        <v>-56.29</v>
      </c>
      <c r="BE698" s="20">
        <v>696.0</v>
      </c>
      <c r="BF698" s="20" t="s">
        <v>14</v>
      </c>
      <c r="BG698" s="20">
        <v>43.88</v>
      </c>
      <c r="BH698" s="20">
        <v>13.67</v>
      </c>
      <c r="BM698" s="20">
        <v>-11.12</v>
      </c>
      <c r="BN698" s="20">
        <v>99.68</v>
      </c>
      <c r="BW698" s="20">
        <v>-47.96</v>
      </c>
      <c r="BX698" s="20">
        <v>0.3</v>
      </c>
      <c r="BZ698" s="20">
        <v>-24.5</v>
      </c>
      <c r="CA698" s="20">
        <v>-15.28</v>
      </c>
      <c r="CO698" s="20">
        <v>10.93</v>
      </c>
      <c r="CP698" s="20">
        <v>-41.37</v>
      </c>
    </row>
    <row r="699">
      <c r="A699" s="20">
        <v>-46.05</v>
      </c>
      <c r="B699" s="20">
        <v>-44.05</v>
      </c>
      <c r="D699" s="20"/>
      <c r="E699" s="20"/>
      <c r="F699" s="20">
        <v>21.05</v>
      </c>
      <c r="G699" s="20">
        <v>14.39</v>
      </c>
      <c r="I699" s="20"/>
      <c r="J699" s="20"/>
      <c r="K699" s="20">
        <v>349.0</v>
      </c>
      <c r="L699" s="20" t="s">
        <v>14</v>
      </c>
      <c r="M699" s="20">
        <v>-30.66</v>
      </c>
      <c r="N699" s="20">
        <v>2.12</v>
      </c>
      <c r="P699" s="20">
        <v>-56.89</v>
      </c>
      <c r="Q699" s="20">
        <v>-48.54</v>
      </c>
      <c r="AG699" s="20">
        <v>697.0</v>
      </c>
      <c r="AH699" s="20" t="s">
        <v>14</v>
      </c>
      <c r="AI699" s="20">
        <v>1.32</v>
      </c>
      <c r="AJ699" s="20">
        <v>16.89</v>
      </c>
      <c r="AM699" s="20">
        <v>358.0</v>
      </c>
      <c r="AN699" s="20" t="s">
        <v>14</v>
      </c>
      <c r="AO699" s="20">
        <v>2.2</v>
      </c>
      <c r="AP699" s="20">
        <v>-15.52</v>
      </c>
      <c r="AS699" s="20">
        <v>352.0</v>
      </c>
      <c r="AT699" s="20" t="s">
        <v>14</v>
      </c>
      <c r="AU699" s="20">
        <v>101.26</v>
      </c>
      <c r="AV699" s="20">
        <v>-6.66</v>
      </c>
      <c r="BE699" s="20">
        <v>697.0</v>
      </c>
      <c r="BF699" s="20" t="s">
        <v>14</v>
      </c>
      <c r="BG699" s="20">
        <v>19.3</v>
      </c>
      <c r="BH699" s="20">
        <v>60.91</v>
      </c>
      <c r="BM699" s="20">
        <v>26.69</v>
      </c>
      <c r="BN699" s="20">
        <v>88.21</v>
      </c>
      <c r="BW699" s="20">
        <v>-65.68</v>
      </c>
      <c r="BX699" s="20">
        <v>0.79</v>
      </c>
      <c r="BZ699" s="20">
        <v>-29.07</v>
      </c>
      <c r="CA699" s="20">
        <v>147.81</v>
      </c>
      <c r="CO699" s="20">
        <v>-22.25</v>
      </c>
      <c r="CP699" s="20">
        <v>-53.7</v>
      </c>
    </row>
    <row r="700">
      <c r="A700" s="20">
        <v>-34.39</v>
      </c>
      <c r="B700" s="20">
        <v>10.56</v>
      </c>
      <c r="D700" s="20"/>
      <c r="E700" s="20"/>
      <c r="F700" s="20">
        <v>32.04</v>
      </c>
      <c r="G700" s="20">
        <v>26.61</v>
      </c>
      <c r="I700" s="20"/>
      <c r="J700" s="20"/>
      <c r="K700" s="20">
        <v>349.0</v>
      </c>
      <c r="L700" s="20" t="s">
        <v>17</v>
      </c>
      <c r="M700" s="20">
        <v>-39.31</v>
      </c>
      <c r="N700" s="20">
        <v>-11.94</v>
      </c>
      <c r="P700" s="20">
        <v>-80.96</v>
      </c>
      <c r="Q700" s="20">
        <v>-84.27</v>
      </c>
      <c r="AG700" s="20">
        <v>698.0</v>
      </c>
      <c r="AH700" s="20" t="s">
        <v>14</v>
      </c>
      <c r="AI700" s="20">
        <v>5.21</v>
      </c>
      <c r="AJ700" s="20">
        <v>16.39</v>
      </c>
      <c r="AM700" s="20">
        <v>358.0</v>
      </c>
      <c r="AN700" s="20" t="s">
        <v>17</v>
      </c>
      <c r="AO700" s="20">
        <v>35.69</v>
      </c>
      <c r="AP700" s="20">
        <v>-10.76</v>
      </c>
      <c r="AS700" s="20">
        <v>352.0</v>
      </c>
      <c r="AT700" s="20" t="s">
        <v>17</v>
      </c>
      <c r="AU700" s="20">
        <v>-5.39</v>
      </c>
      <c r="AV700" s="20">
        <v>-39.21</v>
      </c>
      <c r="BE700" s="20">
        <v>698.0</v>
      </c>
      <c r="BF700" s="20" t="s">
        <v>14</v>
      </c>
      <c r="BG700" s="20">
        <v>10.46</v>
      </c>
      <c r="BH700" s="20">
        <v>20.64</v>
      </c>
      <c r="BM700" s="20">
        <v>37.83</v>
      </c>
      <c r="BN700" s="20">
        <v>178.21</v>
      </c>
      <c r="BW700" s="20">
        <v>-64.66</v>
      </c>
      <c r="BX700" s="20">
        <v>-28.61</v>
      </c>
      <c r="BZ700" s="20">
        <v>-51.54</v>
      </c>
      <c r="CA700" s="20">
        <v>67.15</v>
      </c>
      <c r="CO700" s="20">
        <v>32.83</v>
      </c>
      <c r="CP700" s="20">
        <v>-35.85</v>
      </c>
    </row>
    <row r="701">
      <c r="A701" s="20">
        <v>15.0</v>
      </c>
      <c r="B701" s="20">
        <v>-17.58</v>
      </c>
      <c r="D701" s="20"/>
      <c r="E701" s="20"/>
      <c r="F701" s="20">
        <v>-3.52</v>
      </c>
      <c r="G701" s="20">
        <v>-8.5</v>
      </c>
      <c r="I701" s="20"/>
      <c r="J701" s="20"/>
      <c r="K701" s="20">
        <v>350.0</v>
      </c>
      <c r="L701" s="20" t="s">
        <v>14</v>
      </c>
      <c r="M701" s="20">
        <v>16.4</v>
      </c>
      <c r="N701" s="20">
        <v>-24.59</v>
      </c>
      <c r="P701" s="20">
        <v>-36.68</v>
      </c>
      <c r="Q701" s="20">
        <v>-22.15</v>
      </c>
      <c r="AG701" s="20">
        <v>699.0</v>
      </c>
      <c r="AH701" s="20" t="s">
        <v>14</v>
      </c>
      <c r="AI701" s="20">
        <v>-6.16</v>
      </c>
      <c r="AJ701" s="20">
        <v>8.0</v>
      </c>
      <c r="AM701" s="20">
        <v>359.0</v>
      </c>
      <c r="AN701" s="20" t="s">
        <v>14</v>
      </c>
      <c r="AO701" s="20">
        <v>-11.05</v>
      </c>
      <c r="AP701" s="20">
        <v>-6.7</v>
      </c>
      <c r="AS701" s="20">
        <v>353.0</v>
      </c>
      <c r="AT701" s="20" t="s">
        <v>14</v>
      </c>
      <c r="AU701" s="20">
        <v>-10.95</v>
      </c>
      <c r="AV701" s="20">
        <v>-52.63</v>
      </c>
      <c r="BE701" s="20">
        <v>699.0</v>
      </c>
      <c r="BF701" s="20" t="s">
        <v>14</v>
      </c>
      <c r="BG701" s="20">
        <v>24.71</v>
      </c>
      <c r="BH701" s="20">
        <v>16.12</v>
      </c>
      <c r="BM701" s="20">
        <v>-14.0</v>
      </c>
      <c r="BN701" s="20">
        <v>-14.77</v>
      </c>
      <c r="BW701" s="20">
        <v>-48.47</v>
      </c>
      <c r="BX701" s="20">
        <v>-12.9</v>
      </c>
      <c r="BZ701" s="20">
        <v>-54.03</v>
      </c>
      <c r="CA701" s="20">
        <v>57.37</v>
      </c>
      <c r="CO701" s="20">
        <v>7.31</v>
      </c>
      <c r="CP701" s="20">
        <v>-57.41</v>
      </c>
    </row>
    <row r="702">
      <c r="A702" s="20">
        <v>-18.81</v>
      </c>
      <c r="B702" s="20">
        <v>-60.86</v>
      </c>
      <c r="D702" s="20"/>
      <c r="E702" s="20"/>
      <c r="F702" s="20">
        <v>-22.42</v>
      </c>
      <c r="G702" s="20">
        <v>6.67</v>
      </c>
      <c r="I702" s="20"/>
      <c r="J702" s="20"/>
      <c r="K702" s="20">
        <v>350.0</v>
      </c>
      <c r="L702" s="20" t="s">
        <v>17</v>
      </c>
      <c r="M702" s="20">
        <v>-6.95</v>
      </c>
      <c r="N702" s="20">
        <v>6.68</v>
      </c>
      <c r="P702" s="20">
        <v>-20.23</v>
      </c>
      <c r="Q702" s="20">
        <v>10.63</v>
      </c>
      <c r="AG702" s="20">
        <v>700.0</v>
      </c>
      <c r="AH702" s="20" t="s">
        <v>14</v>
      </c>
      <c r="AI702" s="20">
        <v>-21.53</v>
      </c>
      <c r="AJ702" s="20">
        <v>-28.58</v>
      </c>
      <c r="AM702" s="20">
        <v>359.0</v>
      </c>
      <c r="AN702" s="20" t="s">
        <v>17</v>
      </c>
      <c r="AO702" s="20">
        <v>-14.98</v>
      </c>
      <c r="AP702" s="20">
        <v>-6.78</v>
      </c>
      <c r="AS702" s="20">
        <v>353.0</v>
      </c>
      <c r="AT702" s="20" t="s">
        <v>17</v>
      </c>
      <c r="AU702" s="20">
        <v>-11.82</v>
      </c>
      <c r="AV702" s="20">
        <v>-25.68</v>
      </c>
      <c r="BE702" s="20">
        <v>700.0</v>
      </c>
      <c r="BF702" s="20" t="s">
        <v>14</v>
      </c>
      <c r="BG702" s="20">
        <v>-4.63</v>
      </c>
      <c r="BH702" s="20">
        <v>-20.95</v>
      </c>
      <c r="BM702" s="20">
        <v>3.53</v>
      </c>
      <c r="BN702" s="20">
        <v>96.87</v>
      </c>
      <c r="BW702" s="20">
        <v>-59.56</v>
      </c>
      <c r="BX702" s="20">
        <v>-25.74</v>
      </c>
      <c r="BZ702" s="20">
        <v>-22.08</v>
      </c>
      <c r="CA702" s="20">
        <v>-19.11</v>
      </c>
      <c r="CO702" s="20">
        <v>28.06</v>
      </c>
      <c r="CP702" s="20">
        <v>-41.75</v>
      </c>
    </row>
    <row r="703">
      <c r="A703" s="20">
        <v>-33.29</v>
      </c>
      <c r="B703" s="20">
        <v>-45.36</v>
      </c>
      <c r="D703" s="20"/>
      <c r="E703" s="20"/>
      <c r="F703" s="20">
        <v>-25.73</v>
      </c>
      <c r="G703" s="20">
        <v>34.1</v>
      </c>
      <c r="I703" s="20"/>
      <c r="J703" s="20"/>
      <c r="K703" s="20">
        <v>351.0</v>
      </c>
      <c r="L703" s="20" t="s">
        <v>14</v>
      </c>
      <c r="M703" s="20">
        <v>-1.76</v>
      </c>
      <c r="N703" s="20">
        <v>52.21</v>
      </c>
      <c r="P703" s="20">
        <v>21.51</v>
      </c>
      <c r="Q703" s="20">
        <v>3.42</v>
      </c>
      <c r="AG703" s="20">
        <v>701.0</v>
      </c>
      <c r="AH703" s="20" t="s">
        <v>14</v>
      </c>
      <c r="AI703" s="20">
        <v>4.22</v>
      </c>
      <c r="AJ703" s="20">
        <v>13.14</v>
      </c>
      <c r="AM703" s="20">
        <v>360.0</v>
      </c>
      <c r="AN703" s="20" t="s">
        <v>14</v>
      </c>
      <c r="AO703" s="20">
        <v>-11.24</v>
      </c>
      <c r="AP703" s="20">
        <v>-16.01</v>
      </c>
      <c r="AS703" s="20">
        <v>354.0</v>
      </c>
      <c r="AT703" s="20" t="s">
        <v>14</v>
      </c>
      <c r="AU703" s="20">
        <v>-6.93</v>
      </c>
      <c r="AV703" s="20">
        <v>-30.35</v>
      </c>
      <c r="BE703" s="20">
        <v>701.0</v>
      </c>
      <c r="BF703" s="20" t="s">
        <v>14</v>
      </c>
      <c r="BG703" s="20">
        <v>-11.17</v>
      </c>
      <c r="BH703" s="20">
        <v>-25.54</v>
      </c>
      <c r="BM703" s="20">
        <v>49.49</v>
      </c>
      <c r="BN703" s="20">
        <v>19.83</v>
      </c>
      <c r="BW703" s="20">
        <v>-46.21</v>
      </c>
      <c r="BX703" s="20">
        <v>3.53</v>
      </c>
      <c r="BZ703" s="20">
        <v>2.64</v>
      </c>
      <c r="CA703" s="20">
        <v>137.74</v>
      </c>
      <c r="CO703" s="20">
        <v>67.59</v>
      </c>
      <c r="CP703" s="20">
        <v>-42.97</v>
      </c>
    </row>
    <row r="704">
      <c r="A704" s="20">
        <v>-42.33</v>
      </c>
      <c r="B704" s="20">
        <v>-42.99</v>
      </c>
      <c r="D704" s="20"/>
      <c r="E704" s="20"/>
      <c r="F704" s="20">
        <v>-25.34</v>
      </c>
      <c r="G704" s="20">
        <v>-8.53</v>
      </c>
      <c r="I704" s="20"/>
      <c r="J704" s="20"/>
      <c r="K704" s="20">
        <v>351.0</v>
      </c>
      <c r="L704" s="20" t="s">
        <v>17</v>
      </c>
      <c r="M704" s="20">
        <v>35.56</v>
      </c>
      <c r="N704" s="20">
        <v>-27.71</v>
      </c>
      <c r="P704" s="20">
        <v>-34.08</v>
      </c>
      <c r="Q704" s="20">
        <v>-29.05</v>
      </c>
      <c r="AG704" s="20">
        <v>702.0</v>
      </c>
      <c r="AH704" s="20" t="s">
        <v>14</v>
      </c>
      <c r="AI704" s="20">
        <v>14.26</v>
      </c>
      <c r="AJ704" s="20">
        <v>29.7</v>
      </c>
      <c r="AM704" s="20">
        <v>360.0</v>
      </c>
      <c r="AN704" s="20" t="s">
        <v>17</v>
      </c>
      <c r="AO704" s="20">
        <v>-18.03</v>
      </c>
      <c r="AP704" s="20">
        <v>-22.94</v>
      </c>
      <c r="AS704" s="20">
        <v>354.0</v>
      </c>
      <c r="AT704" s="20" t="s">
        <v>17</v>
      </c>
      <c r="AU704" s="20">
        <v>3.35</v>
      </c>
      <c r="AV704" s="20">
        <v>-1.87</v>
      </c>
      <c r="BE704" s="20">
        <v>702.0</v>
      </c>
      <c r="BF704" s="20" t="s">
        <v>14</v>
      </c>
      <c r="BG704" s="20">
        <v>-4.13</v>
      </c>
      <c r="BH704" s="20">
        <v>-10.88</v>
      </c>
      <c r="BM704" s="20">
        <v>61.27</v>
      </c>
      <c r="BN704" s="20">
        <v>22.71</v>
      </c>
      <c r="BW704" s="20">
        <v>-38.4</v>
      </c>
      <c r="BX704" s="20">
        <v>-1.9</v>
      </c>
      <c r="BZ704" s="20">
        <v>-30.14</v>
      </c>
      <c r="CA704" s="20">
        <v>19.67</v>
      </c>
      <c r="CO704" s="20">
        <v>112.74</v>
      </c>
      <c r="CP704" s="20">
        <v>-11.95</v>
      </c>
    </row>
    <row r="705">
      <c r="A705" s="20">
        <v>-8.69</v>
      </c>
      <c r="B705" s="20">
        <v>9.18</v>
      </c>
      <c r="D705" s="20"/>
      <c r="E705" s="20"/>
      <c r="F705" s="20">
        <v>-0.74</v>
      </c>
      <c r="G705" s="20">
        <v>-3.99</v>
      </c>
      <c r="I705" s="20"/>
      <c r="J705" s="20"/>
      <c r="K705" s="20">
        <v>352.0</v>
      </c>
      <c r="L705" s="20" t="s">
        <v>14</v>
      </c>
      <c r="M705" s="20">
        <v>1.69</v>
      </c>
      <c r="N705" s="20">
        <v>79.61</v>
      </c>
      <c r="P705" s="20">
        <v>6.56</v>
      </c>
      <c r="Q705" s="20">
        <v>-17.8</v>
      </c>
      <c r="AG705" s="20">
        <v>703.0</v>
      </c>
      <c r="AH705" s="20" t="s">
        <v>14</v>
      </c>
      <c r="AI705" s="20">
        <v>-6.92</v>
      </c>
      <c r="AJ705" s="20">
        <v>0.58</v>
      </c>
      <c r="AM705" s="20">
        <v>361.0</v>
      </c>
      <c r="AN705" s="20" t="s">
        <v>14</v>
      </c>
      <c r="AO705" s="20">
        <v>51.68</v>
      </c>
      <c r="AP705" s="20">
        <v>81.55</v>
      </c>
      <c r="AS705" s="20">
        <v>355.0</v>
      </c>
      <c r="AT705" s="20" t="s">
        <v>14</v>
      </c>
      <c r="AU705" s="20">
        <v>0.1</v>
      </c>
      <c r="AV705" s="20">
        <v>-24.67</v>
      </c>
      <c r="BE705" s="20">
        <v>703.0</v>
      </c>
      <c r="BF705" s="20" t="s">
        <v>14</v>
      </c>
      <c r="BG705" s="20">
        <v>64.66</v>
      </c>
      <c r="BH705" s="20">
        <v>82.34</v>
      </c>
      <c r="BM705" s="20">
        <v>79.71</v>
      </c>
      <c r="BN705" s="20">
        <v>94.78</v>
      </c>
      <c r="BW705" s="20">
        <v>-54.37</v>
      </c>
      <c r="BX705" s="20">
        <v>-15.88</v>
      </c>
      <c r="BZ705" s="20">
        <v>-30.93</v>
      </c>
      <c r="CA705" s="20">
        <v>101.94</v>
      </c>
      <c r="CO705" s="20">
        <v>28.89</v>
      </c>
      <c r="CP705" s="20">
        <v>-39.83</v>
      </c>
    </row>
    <row r="706">
      <c r="A706" s="20">
        <v>-46.23</v>
      </c>
      <c r="B706" s="20">
        <v>-42.77</v>
      </c>
      <c r="D706" s="20"/>
      <c r="E706" s="20"/>
      <c r="F706" s="20">
        <v>-0.65</v>
      </c>
      <c r="G706" s="20">
        <v>26.5</v>
      </c>
      <c r="I706" s="20"/>
      <c r="J706" s="20"/>
      <c r="K706" s="20">
        <v>352.0</v>
      </c>
      <c r="L706" s="20" t="s">
        <v>17</v>
      </c>
      <c r="M706" s="20">
        <v>-27.31</v>
      </c>
      <c r="N706" s="20">
        <v>32.52</v>
      </c>
      <c r="P706" s="20">
        <v>13.77</v>
      </c>
      <c r="Q706" s="20">
        <v>-12.48</v>
      </c>
      <c r="AG706" s="20">
        <v>704.0</v>
      </c>
      <c r="AH706" s="20" t="s">
        <v>14</v>
      </c>
      <c r="AI706" s="20">
        <v>-2.77</v>
      </c>
      <c r="AJ706" s="20">
        <v>16.66</v>
      </c>
      <c r="AM706" s="20">
        <v>361.0</v>
      </c>
      <c r="AN706" s="20" t="s">
        <v>17</v>
      </c>
      <c r="AO706" s="20">
        <v>25.65</v>
      </c>
      <c r="AP706" s="20">
        <v>234.24</v>
      </c>
      <c r="AS706" s="20">
        <v>355.0</v>
      </c>
      <c r="AT706" s="20" t="s">
        <v>17</v>
      </c>
      <c r="AU706" s="20">
        <v>-9.83</v>
      </c>
      <c r="AV706" s="20">
        <v>-6.43</v>
      </c>
      <c r="BE706" s="20">
        <v>704.0</v>
      </c>
      <c r="BF706" s="20" t="s">
        <v>14</v>
      </c>
      <c r="BG706" s="20">
        <v>-17.15</v>
      </c>
      <c r="BH706" s="20">
        <v>34.21</v>
      </c>
      <c r="BM706" s="20">
        <v>73.97</v>
      </c>
      <c r="BN706" s="20">
        <v>27.39</v>
      </c>
      <c r="BW706" s="20">
        <v>-47.52</v>
      </c>
      <c r="BX706" s="20">
        <v>-9.0</v>
      </c>
      <c r="BZ706" s="20">
        <v>-62.4</v>
      </c>
      <c r="CA706" s="20">
        <v>25.66</v>
      </c>
      <c r="CO706" s="20">
        <v>-15.58</v>
      </c>
      <c r="CP706" s="20">
        <v>-49.8</v>
      </c>
    </row>
    <row r="707">
      <c r="A707" s="20">
        <v>3.35</v>
      </c>
      <c r="B707" s="20">
        <v>5.29</v>
      </c>
      <c r="D707" s="20"/>
      <c r="E707" s="20"/>
      <c r="F707" s="20">
        <v>1.77</v>
      </c>
      <c r="G707" s="20">
        <v>16.47</v>
      </c>
      <c r="I707" s="20"/>
      <c r="J707" s="20"/>
      <c r="K707" s="20">
        <v>353.0</v>
      </c>
      <c r="L707" s="20" t="s">
        <v>14</v>
      </c>
      <c r="M707" s="20">
        <v>7.64</v>
      </c>
      <c r="N707" s="20">
        <v>38.41</v>
      </c>
      <c r="P707" s="20">
        <v>-21.91</v>
      </c>
      <c r="Q707" s="20">
        <v>17.7</v>
      </c>
      <c r="AG707" s="20">
        <v>705.0</v>
      </c>
      <c r="AH707" s="20" t="s">
        <v>14</v>
      </c>
      <c r="AI707" s="20">
        <v>-7.0</v>
      </c>
      <c r="AJ707" s="20">
        <v>13.61</v>
      </c>
      <c r="AM707" s="20">
        <v>362.0</v>
      </c>
      <c r="AN707" s="20" t="s">
        <v>14</v>
      </c>
      <c r="AO707" s="20">
        <v>-5.17</v>
      </c>
      <c r="AP707" s="20">
        <v>-9.63</v>
      </c>
      <c r="AS707" s="20">
        <v>356.0</v>
      </c>
      <c r="AT707" s="20" t="s">
        <v>14</v>
      </c>
      <c r="AU707" s="20">
        <v>-40.52</v>
      </c>
      <c r="AV707" s="20">
        <v>-39.09</v>
      </c>
      <c r="BE707" s="20">
        <v>705.0</v>
      </c>
      <c r="BF707" s="20" t="s">
        <v>14</v>
      </c>
      <c r="BG707" s="20">
        <v>-3.26</v>
      </c>
      <c r="BH707" s="20">
        <v>2.93</v>
      </c>
      <c r="BM707" s="20">
        <v>23.31</v>
      </c>
      <c r="BN707" s="20">
        <v>134.0</v>
      </c>
      <c r="BW707" s="20">
        <v>-33.87</v>
      </c>
      <c r="BX707" s="20">
        <v>-4.79</v>
      </c>
      <c r="BZ707" s="20">
        <v>-12.17</v>
      </c>
      <c r="CA707" s="20">
        <v>100.55</v>
      </c>
      <c r="CO707" s="20">
        <v>-49.91</v>
      </c>
      <c r="CP707" s="20">
        <v>-52.23</v>
      </c>
    </row>
    <row r="708">
      <c r="A708" s="20">
        <v>-7.53</v>
      </c>
      <c r="B708" s="20">
        <v>44.26</v>
      </c>
      <c r="D708" s="20"/>
      <c r="E708" s="20"/>
      <c r="F708" s="20">
        <v>-37.63</v>
      </c>
      <c r="G708" s="20">
        <v>-7.92</v>
      </c>
      <c r="I708" s="20"/>
      <c r="J708" s="20"/>
      <c r="K708" s="20">
        <v>353.0</v>
      </c>
      <c r="L708" s="20" t="s">
        <v>17</v>
      </c>
      <c r="M708" s="20">
        <v>-13.74</v>
      </c>
      <c r="N708" s="20">
        <v>5.8</v>
      </c>
      <c r="P708" s="20">
        <v>-50.83</v>
      </c>
      <c r="Q708" s="20">
        <v>-23.69</v>
      </c>
      <c r="AG708" s="20">
        <v>706.0</v>
      </c>
      <c r="AH708" s="20" t="s">
        <v>14</v>
      </c>
      <c r="AI708" s="20">
        <v>0.42</v>
      </c>
      <c r="AJ708" s="20">
        <v>-22.52</v>
      </c>
      <c r="AM708" s="20">
        <v>362.0</v>
      </c>
      <c r="AN708" s="20" t="s">
        <v>17</v>
      </c>
      <c r="AO708" s="20">
        <v>90.78</v>
      </c>
      <c r="AP708" s="20">
        <v>3.75</v>
      </c>
      <c r="AS708" s="20">
        <v>356.0</v>
      </c>
      <c r="AT708" s="20" t="s">
        <v>17</v>
      </c>
      <c r="AU708" s="20">
        <v>-44.81</v>
      </c>
      <c r="AV708" s="20">
        <v>-34.12</v>
      </c>
      <c r="BE708" s="20">
        <v>706.0</v>
      </c>
      <c r="BF708" s="20" t="s">
        <v>14</v>
      </c>
      <c r="BG708" s="20">
        <v>-6.92</v>
      </c>
      <c r="BH708" s="20">
        <v>45.99</v>
      </c>
      <c r="BM708" s="20">
        <v>41.57</v>
      </c>
      <c r="BN708" s="20">
        <v>109.95</v>
      </c>
      <c r="BW708" s="20">
        <v>-44.49</v>
      </c>
      <c r="BX708" s="20">
        <v>-32.83</v>
      </c>
      <c r="BZ708" s="20">
        <v>-37.75</v>
      </c>
      <c r="CA708" s="20">
        <v>0.73</v>
      </c>
      <c r="CO708" s="20">
        <v>-35.92</v>
      </c>
      <c r="CP708" s="20">
        <v>-40.92</v>
      </c>
    </row>
    <row r="709">
      <c r="A709" s="20">
        <v>-4.4</v>
      </c>
      <c r="B709" s="20">
        <v>32.63</v>
      </c>
      <c r="D709" s="20"/>
      <c r="E709" s="20"/>
      <c r="F709" s="20">
        <v>-48.56</v>
      </c>
      <c r="G709" s="20">
        <v>-3.9</v>
      </c>
      <c r="I709" s="20"/>
      <c r="J709" s="20"/>
      <c r="K709" s="20">
        <v>354.0</v>
      </c>
      <c r="L709" s="20" t="s">
        <v>14</v>
      </c>
      <c r="M709" s="20">
        <v>-27.39</v>
      </c>
      <c r="N709" s="20">
        <v>-10.88</v>
      </c>
      <c r="P709" s="20">
        <v>5.26</v>
      </c>
      <c r="Q709" s="20">
        <v>-1.48</v>
      </c>
      <c r="AG709" s="20">
        <v>707.0</v>
      </c>
      <c r="AH709" s="20" t="s">
        <v>14</v>
      </c>
      <c r="AI709" s="20">
        <v>8.5</v>
      </c>
      <c r="AJ709" s="20">
        <v>22.96</v>
      </c>
      <c r="AM709" s="20">
        <v>365.0</v>
      </c>
      <c r="AN709" s="20" t="s">
        <v>14</v>
      </c>
      <c r="AO709" s="20">
        <v>-16.6</v>
      </c>
      <c r="AP709" s="20">
        <v>-27.68</v>
      </c>
      <c r="AS709" s="20">
        <v>357.0</v>
      </c>
      <c r="AT709" s="20" t="s">
        <v>14</v>
      </c>
      <c r="AU709" s="20">
        <v>-3.61</v>
      </c>
      <c r="AV709" s="20">
        <v>-44.42</v>
      </c>
      <c r="BE709" s="20">
        <v>707.0</v>
      </c>
      <c r="BF709" s="20" t="s">
        <v>14</v>
      </c>
      <c r="BG709" s="20">
        <v>9.15</v>
      </c>
      <c r="BH709" s="20">
        <v>13.83</v>
      </c>
      <c r="BM709" s="20">
        <v>40.22</v>
      </c>
      <c r="BN709" s="20">
        <v>38.06</v>
      </c>
      <c r="BW709" s="20">
        <v>-38.1</v>
      </c>
      <c r="BX709" s="20">
        <v>-8.29</v>
      </c>
      <c r="BZ709" s="20">
        <v>-35.51</v>
      </c>
      <c r="CA709" s="20">
        <v>29.76</v>
      </c>
      <c r="CO709" s="20">
        <v>-28.31</v>
      </c>
      <c r="CP709" s="20">
        <v>-60.76</v>
      </c>
    </row>
    <row r="710">
      <c r="A710" s="20">
        <v>-25.84</v>
      </c>
      <c r="B710" s="20">
        <v>1.86</v>
      </c>
      <c r="D710" s="20"/>
      <c r="E710" s="20"/>
      <c r="F710" s="20">
        <v>-42.28</v>
      </c>
      <c r="G710" s="20">
        <v>7.09</v>
      </c>
      <c r="I710" s="20"/>
      <c r="J710" s="20"/>
      <c r="K710" s="20">
        <v>354.0</v>
      </c>
      <c r="L710" s="20" t="s">
        <v>17</v>
      </c>
      <c r="M710" s="20">
        <v>-25.74</v>
      </c>
      <c r="N710" s="20">
        <v>-15.84</v>
      </c>
      <c r="P710" s="20">
        <v>-22.1</v>
      </c>
      <c r="Q710" s="20">
        <v>-11.69</v>
      </c>
      <c r="AG710" s="20">
        <v>708.0</v>
      </c>
      <c r="AH710" s="20" t="s">
        <v>14</v>
      </c>
      <c r="AI710" s="20">
        <v>-24.96</v>
      </c>
      <c r="AJ710" s="20">
        <v>-18.48</v>
      </c>
      <c r="AM710" s="20">
        <v>365.0</v>
      </c>
      <c r="AN710" s="20" t="s">
        <v>17</v>
      </c>
      <c r="AO710" s="20">
        <v>-43.82</v>
      </c>
      <c r="AP710" s="20">
        <v>-48.8</v>
      </c>
      <c r="AS710" s="20">
        <v>357.0</v>
      </c>
      <c r="AT710" s="20" t="s">
        <v>17</v>
      </c>
      <c r="AU710" s="20">
        <v>19.3</v>
      </c>
      <c r="AV710" s="20">
        <v>-30.38</v>
      </c>
      <c r="BE710" s="20">
        <v>708.0</v>
      </c>
      <c r="BF710" s="20" t="s">
        <v>14</v>
      </c>
      <c r="BG710" s="20">
        <v>2.82</v>
      </c>
      <c r="BH710" s="20">
        <v>11.33</v>
      </c>
      <c r="BM710" s="20">
        <v>-62.72</v>
      </c>
      <c r="BN710" s="20">
        <v>-49.45</v>
      </c>
      <c r="BW710" s="20">
        <v>-7.38</v>
      </c>
      <c r="BX710" s="20">
        <v>-11.11</v>
      </c>
      <c r="BZ710" s="20">
        <v>-36.65</v>
      </c>
      <c r="CA710" s="20">
        <v>-8.72</v>
      </c>
      <c r="CO710" s="20">
        <v>52.82</v>
      </c>
      <c r="CP710" s="20">
        <v>-45.47</v>
      </c>
    </row>
    <row r="711">
      <c r="A711" s="20">
        <v>-36.99</v>
      </c>
      <c r="B711" s="20">
        <v>31.86</v>
      </c>
      <c r="D711" s="20"/>
      <c r="E711" s="20"/>
      <c r="F711" s="20">
        <v>-2.97</v>
      </c>
      <c r="G711" s="20">
        <v>9.82</v>
      </c>
      <c r="I711" s="20"/>
      <c r="J711" s="20"/>
      <c r="K711" s="20">
        <v>355.0</v>
      </c>
      <c r="L711" s="20" t="s">
        <v>14</v>
      </c>
      <c r="M711" s="20">
        <v>160.25</v>
      </c>
      <c r="N711" s="20">
        <v>66.61</v>
      </c>
      <c r="P711" s="20">
        <v>-31.04</v>
      </c>
      <c r="Q711" s="20">
        <v>36.78</v>
      </c>
      <c r="AG711" s="20">
        <v>709.0</v>
      </c>
      <c r="AH711" s="20" t="s">
        <v>14</v>
      </c>
      <c r="AI711" s="20">
        <v>5.79</v>
      </c>
      <c r="AJ711" s="20">
        <v>4.6</v>
      </c>
      <c r="AM711" s="20">
        <v>366.0</v>
      </c>
      <c r="AN711" s="20" t="s">
        <v>14</v>
      </c>
      <c r="AO711" s="20">
        <v>-16.88</v>
      </c>
      <c r="AP711" s="20">
        <v>-44.16</v>
      </c>
      <c r="AS711" s="20">
        <v>358.0</v>
      </c>
      <c r="AT711" s="20" t="s">
        <v>14</v>
      </c>
      <c r="AU711" s="20">
        <v>-15.47</v>
      </c>
      <c r="AV711" s="20">
        <v>-25.41</v>
      </c>
      <c r="BE711" s="20">
        <v>709.0</v>
      </c>
      <c r="BF711" s="20" t="s">
        <v>14</v>
      </c>
      <c r="BG711" s="20">
        <v>-16.01</v>
      </c>
      <c r="BH711" s="20">
        <v>1.21</v>
      </c>
      <c r="BM711" s="20">
        <v>64.24</v>
      </c>
      <c r="BN711" s="20">
        <v>58.83</v>
      </c>
      <c r="BW711" s="20">
        <v>-24.2</v>
      </c>
      <c r="BX711" s="20">
        <v>15.74</v>
      </c>
      <c r="BZ711" s="20">
        <v>32.62</v>
      </c>
      <c r="CA711" s="20">
        <v>68.08</v>
      </c>
      <c r="CO711" s="20">
        <v>-42.72</v>
      </c>
      <c r="CP711" s="20">
        <v>-64.54</v>
      </c>
    </row>
    <row r="712">
      <c r="A712" s="20">
        <v>52.04</v>
      </c>
      <c r="B712" s="20">
        <v>39.89</v>
      </c>
      <c r="D712" s="20"/>
      <c r="E712" s="20"/>
      <c r="F712" s="20">
        <v>-5.48</v>
      </c>
      <c r="G712" s="20">
        <v>-13.08</v>
      </c>
      <c r="I712" s="20"/>
      <c r="J712" s="20"/>
      <c r="K712" s="20">
        <v>355.0</v>
      </c>
      <c r="L712" s="20" t="s">
        <v>17</v>
      </c>
      <c r="M712" s="20">
        <v>-25.72</v>
      </c>
      <c r="N712" s="20">
        <v>31.13</v>
      </c>
      <c r="P712" s="20">
        <v>-67.58</v>
      </c>
      <c r="Q712" s="20">
        <v>-67.4</v>
      </c>
      <c r="AG712" s="20">
        <v>710.0</v>
      </c>
      <c r="AH712" s="20" t="s">
        <v>14</v>
      </c>
      <c r="AI712" s="20">
        <v>2.88</v>
      </c>
      <c r="AJ712" s="20">
        <v>30.48</v>
      </c>
      <c r="AM712" s="20">
        <v>366.0</v>
      </c>
      <c r="AN712" s="20" t="s">
        <v>17</v>
      </c>
      <c r="AO712" s="20">
        <v>-25.51</v>
      </c>
      <c r="AP712" s="20">
        <v>-31.38</v>
      </c>
      <c r="AS712" s="20">
        <v>358.0</v>
      </c>
      <c r="AT712" s="20" t="s">
        <v>17</v>
      </c>
      <c r="AU712" s="20">
        <v>-17.75</v>
      </c>
      <c r="AV712" s="20">
        <v>-17.95</v>
      </c>
      <c r="BE712" s="20">
        <v>710.0</v>
      </c>
      <c r="BF712" s="20" t="s">
        <v>14</v>
      </c>
      <c r="BG712" s="20">
        <v>-5.2</v>
      </c>
      <c r="BH712" s="20">
        <v>-2.39</v>
      </c>
      <c r="BM712" s="20">
        <v>94.07</v>
      </c>
      <c r="BN712" s="20">
        <v>123.98</v>
      </c>
      <c r="BW712" s="20">
        <v>-65.05</v>
      </c>
      <c r="BX712" s="20">
        <v>-28.63</v>
      </c>
      <c r="BZ712" s="20">
        <v>-33.79</v>
      </c>
      <c r="CA712" s="20">
        <v>53.3</v>
      </c>
      <c r="CO712" s="20">
        <v>-40.6</v>
      </c>
      <c r="CP712" s="20">
        <v>-3.06</v>
      </c>
    </row>
    <row r="713">
      <c r="A713" s="20">
        <v>16.03</v>
      </c>
      <c r="B713" s="20">
        <v>13.09</v>
      </c>
      <c r="D713" s="20"/>
      <c r="E713" s="20"/>
      <c r="F713" s="20">
        <v>-4.93</v>
      </c>
      <c r="G713" s="20">
        <v>22.95</v>
      </c>
      <c r="I713" s="20"/>
      <c r="J713" s="20"/>
      <c r="K713" s="20">
        <v>356.0</v>
      </c>
      <c r="L713" s="20" t="s">
        <v>14</v>
      </c>
      <c r="M713" s="20">
        <v>34.6</v>
      </c>
      <c r="N713" s="20">
        <v>15.57</v>
      </c>
      <c r="P713" s="20">
        <v>32.5</v>
      </c>
      <c r="Q713" s="20">
        <v>2.3</v>
      </c>
      <c r="AG713" s="20">
        <v>711.0</v>
      </c>
      <c r="AH713" s="20" t="s">
        <v>14</v>
      </c>
      <c r="AI713" s="20">
        <v>10.26</v>
      </c>
      <c r="AJ713" s="20">
        <v>29.19</v>
      </c>
      <c r="AM713" s="20">
        <v>367.0</v>
      </c>
      <c r="AN713" s="20" t="s">
        <v>14</v>
      </c>
      <c r="AO713" s="20">
        <v>-41.29</v>
      </c>
      <c r="AP713" s="20">
        <v>28.79</v>
      </c>
      <c r="AS713" s="20">
        <v>359.0</v>
      </c>
      <c r="AT713" s="20" t="s">
        <v>14</v>
      </c>
      <c r="AU713" s="20">
        <v>-9.21</v>
      </c>
      <c r="AV713" s="20">
        <v>-23.45</v>
      </c>
      <c r="BE713" s="20">
        <v>711.0</v>
      </c>
      <c r="BF713" s="20" t="s">
        <v>14</v>
      </c>
      <c r="BG713" s="20">
        <v>-0.52</v>
      </c>
      <c r="BH713" s="20">
        <v>25.39</v>
      </c>
      <c r="BM713" s="20">
        <v>62.59</v>
      </c>
      <c r="BN713" s="20">
        <v>86.59</v>
      </c>
      <c r="BW713" s="20">
        <v>-27.35</v>
      </c>
      <c r="BX713" s="20">
        <v>-20.97</v>
      </c>
      <c r="BZ713" s="20">
        <v>-42.95</v>
      </c>
      <c r="CA713" s="20">
        <v>55.82</v>
      </c>
      <c r="CO713" s="20">
        <v>33.06</v>
      </c>
      <c r="CP713" s="20">
        <v>-47.07</v>
      </c>
    </row>
    <row r="714">
      <c r="A714" s="20">
        <v>-5.64</v>
      </c>
      <c r="B714" s="20">
        <v>60.96</v>
      </c>
      <c r="D714" s="20"/>
      <c r="E714" s="20"/>
      <c r="F714" s="20">
        <v>18.95</v>
      </c>
      <c r="G714" s="20">
        <v>19.62</v>
      </c>
      <c r="I714" s="20"/>
      <c r="J714" s="20"/>
      <c r="K714" s="20">
        <v>356.0</v>
      </c>
      <c r="L714" s="20" t="s">
        <v>17</v>
      </c>
      <c r="M714" s="20">
        <v>-30.12</v>
      </c>
      <c r="N714" s="20">
        <v>24.06</v>
      </c>
      <c r="P714" s="20">
        <v>-18.28</v>
      </c>
      <c r="Q714" s="20">
        <v>-32.74</v>
      </c>
      <c r="AG714" s="20">
        <v>712.0</v>
      </c>
      <c r="AH714" s="20" t="s">
        <v>14</v>
      </c>
      <c r="AI714" s="20">
        <v>-29.31</v>
      </c>
      <c r="AJ714" s="20">
        <v>-19.9</v>
      </c>
      <c r="AM714" s="20">
        <v>367.0</v>
      </c>
      <c r="AN714" s="20" t="s">
        <v>17</v>
      </c>
      <c r="AO714" s="20">
        <v>-52.68</v>
      </c>
      <c r="AP714" s="20">
        <v>58.27</v>
      </c>
      <c r="AS714" s="20">
        <v>359.0</v>
      </c>
      <c r="AT714" s="20" t="s">
        <v>17</v>
      </c>
      <c r="AU714" s="20">
        <v>-21.33</v>
      </c>
      <c r="AV714" s="20">
        <v>-35.96</v>
      </c>
      <c r="BE714" s="20">
        <v>712.0</v>
      </c>
      <c r="BF714" s="20" t="s">
        <v>14</v>
      </c>
      <c r="BG714" s="20">
        <v>14.43</v>
      </c>
      <c r="BH714" s="20">
        <v>3.27</v>
      </c>
      <c r="BM714" s="20">
        <v>23.89</v>
      </c>
      <c r="BN714" s="20">
        <v>115.14</v>
      </c>
      <c r="BW714" s="20">
        <v>-68.39</v>
      </c>
      <c r="BX714" s="20">
        <v>-28.47</v>
      </c>
      <c r="BZ714" s="20">
        <v>-51.25</v>
      </c>
      <c r="CA714" s="20">
        <v>124.56</v>
      </c>
      <c r="CO714" s="20">
        <v>-5.58</v>
      </c>
      <c r="CP714" s="20">
        <v>-39.15</v>
      </c>
    </row>
    <row r="715">
      <c r="A715" s="20">
        <v>-51.79</v>
      </c>
      <c r="B715" s="20">
        <v>-6.03</v>
      </c>
      <c r="D715" s="20"/>
      <c r="E715" s="20"/>
      <c r="F715" s="20">
        <v>2.03</v>
      </c>
      <c r="G715" s="20">
        <v>21.92</v>
      </c>
      <c r="I715" s="20"/>
      <c r="J715" s="20"/>
      <c r="K715" s="20">
        <v>357.0</v>
      </c>
      <c r="L715" s="20" t="s">
        <v>14</v>
      </c>
      <c r="M715" s="20">
        <v>-3.34</v>
      </c>
      <c r="N715" s="20">
        <v>-26.75</v>
      </c>
      <c r="P715" s="20">
        <v>-15.13</v>
      </c>
      <c r="Q715" s="20">
        <v>-7.34</v>
      </c>
      <c r="AG715" s="20">
        <v>713.0</v>
      </c>
      <c r="AH715" s="20" t="s">
        <v>14</v>
      </c>
      <c r="AI715" s="20">
        <v>6.95</v>
      </c>
      <c r="AJ715" s="20">
        <v>1.22</v>
      </c>
      <c r="AM715" s="20">
        <v>368.0</v>
      </c>
      <c r="AN715" s="20" t="s">
        <v>14</v>
      </c>
      <c r="AO715" s="20">
        <v>-18.26</v>
      </c>
      <c r="AP715" s="20">
        <v>12.78</v>
      </c>
      <c r="AS715" s="20">
        <v>360.0</v>
      </c>
      <c r="AT715" s="20" t="s">
        <v>14</v>
      </c>
      <c r="AU715" s="20">
        <v>0.77</v>
      </c>
      <c r="AV715" s="20">
        <v>-21.9</v>
      </c>
      <c r="BE715" s="20">
        <v>713.0</v>
      </c>
      <c r="BF715" s="20" t="s">
        <v>14</v>
      </c>
      <c r="BG715" s="20">
        <v>8.11</v>
      </c>
      <c r="BH715" s="20">
        <v>9.94</v>
      </c>
      <c r="BM715" s="20">
        <v>-0.29</v>
      </c>
      <c r="BN715" s="20">
        <v>72.28</v>
      </c>
      <c r="BW715" s="20">
        <v>-51.44</v>
      </c>
      <c r="BX715" s="20">
        <v>-7.76</v>
      </c>
      <c r="BZ715" s="20">
        <v>30.3</v>
      </c>
      <c r="CA715" s="20">
        <v>98.24</v>
      </c>
      <c r="CO715" s="20">
        <v>-18.48</v>
      </c>
      <c r="CP715" s="20">
        <v>-71.94</v>
      </c>
    </row>
    <row r="716">
      <c r="A716" s="20">
        <v>-59.22</v>
      </c>
      <c r="B716" s="20">
        <v>-7.92</v>
      </c>
      <c r="D716" s="20"/>
      <c r="E716" s="20"/>
      <c r="F716" s="20">
        <v>-9.35</v>
      </c>
      <c r="G716" s="20">
        <v>0.71</v>
      </c>
      <c r="I716" s="20"/>
      <c r="J716" s="20"/>
      <c r="K716" s="20">
        <v>357.0</v>
      </c>
      <c r="L716" s="20" t="s">
        <v>17</v>
      </c>
      <c r="M716" s="20">
        <v>-43.48</v>
      </c>
      <c r="N716" s="20">
        <v>-54.94</v>
      </c>
      <c r="P716" s="20">
        <v>-9.25</v>
      </c>
      <c r="Q716" s="20">
        <v>32.5</v>
      </c>
      <c r="AG716" s="20">
        <v>714.0</v>
      </c>
      <c r="AH716" s="20" t="s">
        <v>14</v>
      </c>
      <c r="AI716" s="20">
        <v>38.49</v>
      </c>
      <c r="AJ716" s="20">
        <v>21.26</v>
      </c>
      <c r="AM716" s="20">
        <v>368.0</v>
      </c>
      <c r="AN716" s="20" t="s">
        <v>17</v>
      </c>
      <c r="AO716" s="20">
        <v>-28.65</v>
      </c>
      <c r="AP716" s="20">
        <v>-18.39</v>
      </c>
      <c r="AS716" s="20">
        <v>360.0</v>
      </c>
      <c r="AT716" s="20" t="s">
        <v>17</v>
      </c>
      <c r="AU716" s="20">
        <v>-9.03</v>
      </c>
      <c r="AV716" s="20">
        <v>-16.21</v>
      </c>
      <c r="BE716" s="20">
        <v>714.0</v>
      </c>
      <c r="BF716" s="20" t="s">
        <v>14</v>
      </c>
      <c r="BG716" s="20">
        <v>13.02</v>
      </c>
      <c r="BH716" s="20">
        <v>-9.68</v>
      </c>
      <c r="BM716" s="20">
        <v>7.96</v>
      </c>
      <c r="BN716" s="20">
        <v>77.31</v>
      </c>
      <c r="BW716" s="20">
        <v>-56.19</v>
      </c>
      <c r="BX716" s="20">
        <v>-26.86</v>
      </c>
      <c r="BZ716" s="20">
        <v>-11.95</v>
      </c>
      <c r="CA716" s="20">
        <v>30.27</v>
      </c>
      <c r="CO716" s="20">
        <v>-16.72</v>
      </c>
      <c r="CP716" s="20">
        <v>-56.92</v>
      </c>
    </row>
    <row r="717">
      <c r="A717" s="20">
        <v>-27.66</v>
      </c>
      <c r="B717" s="20">
        <v>5.67</v>
      </c>
      <c r="D717" s="20"/>
      <c r="E717" s="20"/>
      <c r="F717" s="20">
        <v>15.9</v>
      </c>
      <c r="G717" s="20">
        <v>12.48</v>
      </c>
      <c r="I717" s="20"/>
      <c r="J717" s="20"/>
      <c r="K717" s="20">
        <v>358.0</v>
      </c>
      <c r="L717" s="20" t="s">
        <v>14</v>
      </c>
      <c r="M717" s="20">
        <v>12.74</v>
      </c>
      <c r="N717" s="20">
        <v>-14.21</v>
      </c>
      <c r="P717" s="20">
        <v>-0.91</v>
      </c>
      <c r="Q717" s="20">
        <v>38.54</v>
      </c>
      <c r="AG717" s="20">
        <v>715.0</v>
      </c>
      <c r="AH717" s="20" t="s">
        <v>14</v>
      </c>
      <c r="AI717" s="20">
        <v>-6.71</v>
      </c>
      <c r="AJ717" s="20">
        <v>3.28</v>
      </c>
      <c r="AM717" s="20">
        <v>369.0</v>
      </c>
      <c r="AN717" s="20" t="s">
        <v>14</v>
      </c>
      <c r="AO717" s="20">
        <v>-2.36</v>
      </c>
      <c r="AP717" s="20">
        <v>9.0</v>
      </c>
      <c r="AS717" s="20">
        <v>361.0</v>
      </c>
      <c r="AT717" s="20" t="s">
        <v>14</v>
      </c>
      <c r="AU717" s="20">
        <v>-46.52</v>
      </c>
      <c r="AV717" s="20">
        <v>-38.27</v>
      </c>
      <c r="BE717" s="20">
        <v>715.0</v>
      </c>
      <c r="BF717" s="20" t="s">
        <v>14</v>
      </c>
      <c r="BG717" s="20">
        <v>27.41</v>
      </c>
      <c r="BH717" s="20">
        <v>12.58</v>
      </c>
      <c r="BM717" s="20">
        <v>5.01</v>
      </c>
      <c r="BN717" s="20">
        <v>60.19</v>
      </c>
      <c r="BW717" s="20">
        <v>-42.99</v>
      </c>
      <c r="BX717" s="20">
        <v>-10.82</v>
      </c>
      <c r="BZ717" s="20">
        <v>-47.29</v>
      </c>
      <c r="CA717" s="20">
        <v>13.69</v>
      </c>
      <c r="CO717" s="20">
        <v>-35.3</v>
      </c>
      <c r="CP717" s="20">
        <v>-58.09</v>
      </c>
    </row>
    <row r="718">
      <c r="A718" s="20">
        <v>6.49</v>
      </c>
      <c r="B718" s="20">
        <v>-6.3</v>
      </c>
      <c r="D718" s="20"/>
      <c r="E718" s="20"/>
      <c r="F718" s="20">
        <v>13.69</v>
      </c>
      <c r="G718" s="20">
        <v>19.17</v>
      </c>
      <c r="I718" s="20"/>
      <c r="J718" s="20"/>
      <c r="K718" s="20">
        <v>358.0</v>
      </c>
      <c r="L718" s="20" t="s">
        <v>17</v>
      </c>
      <c r="M718" s="20">
        <v>17.8</v>
      </c>
      <c r="N718" s="20">
        <v>-0.34</v>
      </c>
      <c r="P718" s="20">
        <v>19.57</v>
      </c>
      <c r="Q718" s="20">
        <v>12.91</v>
      </c>
      <c r="AG718" s="20">
        <v>716.0</v>
      </c>
      <c r="AH718" s="20" t="s">
        <v>14</v>
      </c>
      <c r="AI718" s="20">
        <v>5.3</v>
      </c>
      <c r="AJ718" s="20">
        <v>22.01</v>
      </c>
      <c r="AM718" s="20">
        <v>369.0</v>
      </c>
      <c r="AN718" s="20" t="s">
        <v>17</v>
      </c>
      <c r="AO718" s="20">
        <v>-50.45</v>
      </c>
      <c r="AP718" s="20">
        <v>31.0</v>
      </c>
      <c r="AS718" s="20">
        <v>361.0</v>
      </c>
      <c r="AT718" s="20" t="s">
        <v>17</v>
      </c>
      <c r="AU718" s="20">
        <v>-11.6</v>
      </c>
      <c r="AV718" s="20">
        <v>-28.09</v>
      </c>
      <c r="BE718" s="20">
        <v>716.0</v>
      </c>
      <c r="BF718" s="20" t="s">
        <v>14</v>
      </c>
      <c r="BG718" s="20">
        <v>13.98</v>
      </c>
      <c r="BH718" s="20">
        <v>29.6</v>
      </c>
      <c r="BM718" s="20">
        <v>8.9</v>
      </c>
      <c r="BN718" s="20">
        <v>55.16</v>
      </c>
      <c r="BW718" s="20">
        <v>-50.02</v>
      </c>
      <c r="BX718" s="20">
        <v>-10.45</v>
      </c>
      <c r="BZ718" s="20">
        <v>-34.67</v>
      </c>
      <c r="CA718" s="20">
        <v>15.14</v>
      </c>
      <c r="CO718" s="20">
        <v>-4.92</v>
      </c>
      <c r="CP718" s="20">
        <v>-24.79</v>
      </c>
    </row>
    <row r="719">
      <c r="A719" s="20">
        <v>27.01</v>
      </c>
      <c r="B719" s="20">
        <v>-13.01</v>
      </c>
      <c r="D719" s="20"/>
      <c r="E719" s="20"/>
      <c r="F719" s="20">
        <v>4.55</v>
      </c>
      <c r="G719" s="20">
        <v>4.61</v>
      </c>
      <c r="I719" s="20"/>
      <c r="J719" s="20"/>
      <c r="K719" s="20">
        <v>359.0</v>
      </c>
      <c r="L719" s="20" t="s">
        <v>14</v>
      </c>
      <c r="M719" s="20">
        <v>-29.88</v>
      </c>
      <c r="N719" s="20">
        <v>42.88</v>
      </c>
      <c r="P719" s="20">
        <v>-31.92</v>
      </c>
      <c r="Q719" s="20">
        <v>30.84</v>
      </c>
      <c r="AG719" s="20">
        <v>717.0</v>
      </c>
      <c r="AH719" s="20" t="s">
        <v>14</v>
      </c>
      <c r="AI719" s="20">
        <v>-14.36</v>
      </c>
      <c r="AJ719" s="20">
        <v>5.94</v>
      </c>
      <c r="AM719" s="20">
        <v>370.0</v>
      </c>
      <c r="AN719" s="20" t="s">
        <v>14</v>
      </c>
      <c r="AO719" s="20">
        <v>-23.09</v>
      </c>
      <c r="AP719" s="20">
        <v>-1.34</v>
      </c>
      <c r="AS719" s="20">
        <v>362.0</v>
      </c>
      <c r="AT719" s="20" t="s">
        <v>14</v>
      </c>
      <c r="AU719" s="20">
        <v>-12.62</v>
      </c>
      <c r="AV719" s="20">
        <v>-59.41</v>
      </c>
      <c r="BE719" s="20">
        <v>717.0</v>
      </c>
      <c r="BF719" s="20" t="s">
        <v>14</v>
      </c>
      <c r="BG719" s="20">
        <v>-3.84</v>
      </c>
      <c r="BH719" s="20">
        <v>26.78</v>
      </c>
      <c r="BM719" s="20">
        <v>163.49</v>
      </c>
      <c r="BN719" s="20">
        <v>59.22</v>
      </c>
      <c r="BW719" s="20">
        <v>-44.55</v>
      </c>
      <c r="BX719" s="20">
        <v>6.37</v>
      </c>
      <c r="BZ719" s="20">
        <v>-31.18</v>
      </c>
      <c r="CA719" s="20">
        <v>12.9</v>
      </c>
      <c r="CO719" s="20">
        <v>-56.25</v>
      </c>
      <c r="CP719" s="20">
        <v>-57.95</v>
      </c>
    </row>
    <row r="720">
      <c r="A720" s="20">
        <v>-35.83</v>
      </c>
      <c r="B720" s="20">
        <v>-66.29</v>
      </c>
      <c r="D720" s="20"/>
      <c r="E720" s="20"/>
      <c r="F720" s="20">
        <v>-17.39</v>
      </c>
      <c r="G720" s="20">
        <v>-7.59</v>
      </c>
      <c r="I720" s="20"/>
      <c r="J720" s="20"/>
      <c r="K720" s="20">
        <v>359.0</v>
      </c>
      <c r="L720" s="20" t="s">
        <v>17</v>
      </c>
      <c r="M720" s="20">
        <v>-33.84</v>
      </c>
      <c r="N720" s="20">
        <v>24.35</v>
      </c>
      <c r="P720" s="20">
        <v>-19.3</v>
      </c>
      <c r="Q720" s="20">
        <v>-10.17</v>
      </c>
      <c r="AG720" s="20">
        <v>718.0</v>
      </c>
      <c r="AH720" s="20" t="s">
        <v>14</v>
      </c>
      <c r="AI720" s="20">
        <v>-15.62</v>
      </c>
      <c r="AJ720" s="20">
        <v>-22.91</v>
      </c>
      <c r="AM720" s="20">
        <v>370.0</v>
      </c>
      <c r="AN720" s="20" t="s">
        <v>17</v>
      </c>
      <c r="AO720" s="20">
        <v>-16.9</v>
      </c>
      <c r="AP720" s="20">
        <v>-9.38</v>
      </c>
      <c r="AS720" s="20">
        <v>362.0</v>
      </c>
      <c r="AT720" s="20" t="s">
        <v>17</v>
      </c>
      <c r="AU720" s="20">
        <v>-46.43</v>
      </c>
      <c r="AV720" s="20">
        <v>-31.81</v>
      </c>
      <c r="BE720" s="20">
        <v>718.0</v>
      </c>
      <c r="BF720" s="20" t="s">
        <v>14</v>
      </c>
      <c r="BG720" s="20">
        <v>-21.1</v>
      </c>
      <c r="BH720" s="20">
        <v>20.22</v>
      </c>
      <c r="BM720" s="20">
        <v>140.66</v>
      </c>
      <c r="BN720" s="20">
        <v>72.12</v>
      </c>
      <c r="BW720" s="20">
        <v>-55.32</v>
      </c>
      <c r="BX720" s="20">
        <v>-24.78</v>
      </c>
      <c r="BZ720" s="20">
        <v>-47.9</v>
      </c>
      <c r="CA720" s="20">
        <v>37.0</v>
      </c>
      <c r="CO720" s="20">
        <v>-25.96</v>
      </c>
      <c r="CP720" s="20">
        <v>-54.94</v>
      </c>
    </row>
    <row r="721">
      <c r="A721" s="20">
        <v>15.86</v>
      </c>
      <c r="B721" s="20">
        <v>-43.71</v>
      </c>
      <c r="D721" s="20"/>
      <c r="E721" s="20"/>
      <c r="F721" s="20">
        <v>-12.13</v>
      </c>
      <c r="G721" s="20">
        <v>0.08</v>
      </c>
      <c r="I721" s="20"/>
      <c r="J721" s="20"/>
      <c r="K721" s="20">
        <v>360.0</v>
      </c>
      <c r="L721" s="20" t="s">
        <v>14</v>
      </c>
      <c r="M721" s="20">
        <v>-35.59</v>
      </c>
      <c r="N721" s="20">
        <v>-4.46</v>
      </c>
      <c r="P721" s="20">
        <v>-17.25</v>
      </c>
      <c r="Q721" s="20">
        <v>-15.09</v>
      </c>
      <c r="AG721" s="20">
        <v>719.0</v>
      </c>
      <c r="AH721" s="20" t="s">
        <v>14</v>
      </c>
      <c r="AI721" s="20">
        <v>10.06</v>
      </c>
      <c r="AJ721" s="20">
        <v>33.66</v>
      </c>
      <c r="AM721" s="20">
        <v>371.0</v>
      </c>
      <c r="AN721" s="20" t="s">
        <v>14</v>
      </c>
      <c r="AO721" s="20">
        <v>-4.6</v>
      </c>
      <c r="AP721" s="20">
        <v>-39.7</v>
      </c>
      <c r="AS721" s="20">
        <v>364.0</v>
      </c>
      <c r="AT721" s="20" t="s">
        <v>14</v>
      </c>
      <c r="AU721" s="20">
        <v>40.05</v>
      </c>
      <c r="AV721" s="20">
        <v>-74.35</v>
      </c>
      <c r="BE721" s="20">
        <v>719.0</v>
      </c>
      <c r="BF721" s="20" t="s">
        <v>14</v>
      </c>
      <c r="BG721" s="20">
        <v>-17.58</v>
      </c>
      <c r="BH721" s="20">
        <v>32.57</v>
      </c>
      <c r="BM721" s="20">
        <v>245.08</v>
      </c>
      <c r="BN721" s="20">
        <v>75.15</v>
      </c>
      <c r="BW721" s="20">
        <v>-44.18</v>
      </c>
      <c r="BX721" s="20">
        <v>-51.71</v>
      </c>
      <c r="BZ721" s="20">
        <v>-62.99</v>
      </c>
      <c r="CA721" s="20">
        <v>5.69</v>
      </c>
      <c r="CO721" s="20">
        <v>-38.91</v>
      </c>
      <c r="CP721" s="20">
        <v>-39.69</v>
      </c>
    </row>
    <row r="722">
      <c r="A722" s="20">
        <v>13.9</v>
      </c>
      <c r="B722" s="20">
        <v>-56.23</v>
      </c>
      <c r="D722" s="20"/>
      <c r="E722" s="20"/>
      <c r="F722" s="20">
        <v>-23.56</v>
      </c>
      <c r="G722" s="20">
        <v>-6.62</v>
      </c>
      <c r="I722" s="20"/>
      <c r="J722" s="20"/>
      <c r="K722" s="20">
        <v>360.0</v>
      </c>
      <c r="L722" s="20" t="s">
        <v>17</v>
      </c>
      <c r="M722" s="20">
        <v>-6.39</v>
      </c>
      <c r="N722" s="20">
        <v>11.1</v>
      </c>
      <c r="P722" s="20">
        <v>14.54</v>
      </c>
      <c r="Q722" s="20">
        <v>64.53</v>
      </c>
      <c r="AG722" s="20">
        <v>720.0</v>
      </c>
      <c r="AH722" s="20" t="s">
        <v>14</v>
      </c>
      <c r="AI722" s="20">
        <v>-5.48</v>
      </c>
      <c r="AJ722" s="20">
        <v>32.3</v>
      </c>
      <c r="AM722" s="20">
        <v>371.0</v>
      </c>
      <c r="AN722" s="20" t="s">
        <v>17</v>
      </c>
      <c r="AO722" s="20">
        <v>-20.06</v>
      </c>
      <c r="AP722" s="20">
        <v>48.89</v>
      </c>
      <c r="AS722" s="20">
        <v>364.0</v>
      </c>
      <c r="AT722" s="20" t="s">
        <v>17</v>
      </c>
      <c r="AU722" s="20">
        <v>41.7</v>
      </c>
      <c r="AV722" s="20">
        <v>13.31</v>
      </c>
      <c r="BE722" s="20">
        <v>720.0</v>
      </c>
      <c r="BF722" s="20" t="s">
        <v>14</v>
      </c>
      <c r="BG722" s="20">
        <v>12.98</v>
      </c>
      <c r="BH722" s="20">
        <v>16.83</v>
      </c>
      <c r="BM722" s="20">
        <v>242.62</v>
      </c>
      <c r="BN722" s="20">
        <v>96.13</v>
      </c>
      <c r="BW722" s="20">
        <v>-42.67</v>
      </c>
      <c r="BX722" s="20">
        <v>-21.28</v>
      </c>
      <c r="BZ722" s="20">
        <v>-40.57</v>
      </c>
      <c r="CA722" s="20">
        <v>140.66</v>
      </c>
      <c r="CO722" s="20">
        <v>21.93</v>
      </c>
      <c r="CP722" s="20">
        <v>-37.07</v>
      </c>
    </row>
    <row r="723">
      <c r="A723" s="20">
        <v>-53.5</v>
      </c>
      <c r="B723" s="20">
        <v>-50.52</v>
      </c>
      <c r="D723" s="20"/>
      <c r="E723" s="20"/>
      <c r="F723" s="20">
        <v>35.83</v>
      </c>
      <c r="G723" s="20">
        <v>17.33</v>
      </c>
      <c r="I723" s="20"/>
      <c r="J723" s="20"/>
      <c r="K723" s="20">
        <v>361.0</v>
      </c>
      <c r="L723" s="20" t="s">
        <v>14</v>
      </c>
      <c r="M723" s="20">
        <v>-25.61</v>
      </c>
      <c r="N723" s="20">
        <v>12.42</v>
      </c>
      <c r="P723" s="20">
        <v>1.72</v>
      </c>
      <c r="Q723" s="20">
        <v>6.32</v>
      </c>
      <c r="AG723" s="20">
        <v>721.0</v>
      </c>
      <c r="AH723" s="20" t="s">
        <v>14</v>
      </c>
      <c r="AI723" s="20">
        <v>-45.85</v>
      </c>
      <c r="AJ723" s="20">
        <v>-21.7</v>
      </c>
      <c r="AM723" s="20">
        <v>372.0</v>
      </c>
      <c r="AN723" s="20" t="s">
        <v>14</v>
      </c>
      <c r="AO723" s="20">
        <v>0.56</v>
      </c>
      <c r="AP723" s="20">
        <v>10.85</v>
      </c>
      <c r="AS723" s="20">
        <v>365.0</v>
      </c>
      <c r="AT723" s="20" t="s">
        <v>14</v>
      </c>
      <c r="AU723" s="20">
        <v>-28.2</v>
      </c>
      <c r="AV723" s="20">
        <v>-56.95</v>
      </c>
      <c r="BE723" s="20">
        <v>721.0</v>
      </c>
      <c r="BF723" s="20" t="s">
        <v>14</v>
      </c>
      <c r="BG723" s="20">
        <v>54.28</v>
      </c>
      <c r="BH723" s="20">
        <v>50.13</v>
      </c>
      <c r="BM723" s="20">
        <v>73.68</v>
      </c>
      <c r="BN723" s="20">
        <v>41.55</v>
      </c>
      <c r="BW723" s="20">
        <v>-61.17</v>
      </c>
      <c r="BX723" s="20">
        <v>-20.62</v>
      </c>
      <c r="BZ723" s="20">
        <v>-56.87</v>
      </c>
      <c r="CA723" s="20">
        <v>8.8</v>
      </c>
      <c r="CO723" s="20">
        <v>-27.35</v>
      </c>
      <c r="CP723" s="20">
        <v>-24.21</v>
      </c>
    </row>
    <row r="724">
      <c r="A724" s="20">
        <v>-57.26</v>
      </c>
      <c r="B724" s="20">
        <v>-23.85</v>
      </c>
      <c r="D724" s="20"/>
      <c r="E724" s="20"/>
      <c r="F724" s="20">
        <v>12.14</v>
      </c>
      <c r="G724" s="20">
        <v>14.66</v>
      </c>
      <c r="I724" s="20"/>
      <c r="J724" s="20"/>
      <c r="K724" s="20">
        <v>361.0</v>
      </c>
      <c r="L724" s="20" t="s">
        <v>17</v>
      </c>
      <c r="M724" s="20">
        <v>-30.64</v>
      </c>
      <c r="N724" s="20">
        <v>-9.65</v>
      </c>
      <c r="P724" s="20">
        <v>-3.65</v>
      </c>
      <c r="Q724" s="20">
        <v>-35.69</v>
      </c>
      <c r="AG724" s="20">
        <v>722.0</v>
      </c>
      <c r="AH724" s="20" t="s">
        <v>14</v>
      </c>
      <c r="AI724" s="20">
        <v>-4.64</v>
      </c>
      <c r="AJ724" s="20">
        <v>8.4</v>
      </c>
      <c r="AM724" s="20">
        <v>372.0</v>
      </c>
      <c r="AN724" s="20" t="s">
        <v>17</v>
      </c>
      <c r="AO724" s="20">
        <v>0.65</v>
      </c>
      <c r="AP724" s="20">
        <v>-9.08</v>
      </c>
      <c r="AS724" s="20">
        <v>365.0</v>
      </c>
      <c r="AT724" s="20" t="s">
        <v>17</v>
      </c>
      <c r="AU724" s="20">
        <v>-4.76</v>
      </c>
      <c r="AV724" s="20">
        <v>-33.77</v>
      </c>
      <c r="BE724" s="20">
        <v>722.0</v>
      </c>
      <c r="BF724" s="20" t="s">
        <v>14</v>
      </c>
      <c r="BG724" s="20">
        <v>20.57</v>
      </c>
      <c r="BH724" s="20">
        <v>6.84</v>
      </c>
      <c r="BM724" s="20">
        <v>73.64</v>
      </c>
      <c r="BN724" s="20">
        <v>62.41</v>
      </c>
      <c r="BW724" s="20">
        <v>-28.45</v>
      </c>
      <c r="BX724" s="20">
        <v>-23.56</v>
      </c>
      <c r="BZ724" s="20">
        <v>-10.78</v>
      </c>
      <c r="CA724" s="20">
        <v>273.67</v>
      </c>
      <c r="CO724" s="20">
        <v>-21.17</v>
      </c>
      <c r="CP724" s="20">
        <v>-27.68</v>
      </c>
    </row>
    <row r="725">
      <c r="A725" s="20">
        <v>20.53</v>
      </c>
      <c r="B725" s="20">
        <v>93.84</v>
      </c>
      <c r="D725" s="20"/>
      <c r="E725" s="20"/>
      <c r="F725" s="20">
        <v>23.23</v>
      </c>
      <c r="G725" s="20">
        <v>23.94</v>
      </c>
      <c r="I725" s="20"/>
      <c r="J725" s="20"/>
      <c r="K725" s="20">
        <v>362.0</v>
      </c>
      <c r="L725" s="20" t="s">
        <v>14</v>
      </c>
      <c r="M725" s="20">
        <v>-20.49</v>
      </c>
      <c r="N725" s="20">
        <v>22.44</v>
      </c>
      <c r="P725" s="20">
        <v>25.52</v>
      </c>
      <c r="Q725" s="20">
        <v>-21.58</v>
      </c>
      <c r="AG725" s="20">
        <v>723.0</v>
      </c>
      <c r="AH725" s="20" t="s">
        <v>14</v>
      </c>
      <c r="AI725" s="20">
        <v>-3.64</v>
      </c>
      <c r="AJ725" s="20">
        <v>7.38</v>
      </c>
      <c r="AM725" s="20">
        <v>373.0</v>
      </c>
      <c r="AN725" s="20" t="s">
        <v>14</v>
      </c>
      <c r="AO725" s="20">
        <v>-4.13</v>
      </c>
      <c r="AP725" s="20">
        <v>6.16</v>
      </c>
      <c r="AS725" s="20">
        <v>366.0</v>
      </c>
      <c r="AT725" s="20" t="s">
        <v>14</v>
      </c>
      <c r="AU725" s="20">
        <v>-20.67</v>
      </c>
      <c r="AV725" s="20">
        <v>-60.3</v>
      </c>
      <c r="BE725" s="20">
        <v>723.0</v>
      </c>
      <c r="BF725" s="20" t="s">
        <v>14</v>
      </c>
      <c r="BG725" s="20">
        <v>-1.3</v>
      </c>
      <c r="BH725" s="20">
        <v>4.28</v>
      </c>
      <c r="BM725" s="20">
        <v>73.81</v>
      </c>
      <c r="BN725" s="20">
        <v>48.37</v>
      </c>
      <c r="BW725" s="20">
        <v>-44.63</v>
      </c>
      <c r="BX725" s="20">
        <v>-5.75</v>
      </c>
      <c r="BZ725" s="20">
        <v>-38.29</v>
      </c>
      <c r="CA725" s="20">
        <v>56.14</v>
      </c>
      <c r="CO725" s="20">
        <v>7.5</v>
      </c>
      <c r="CP725" s="20">
        <v>-63.53</v>
      </c>
    </row>
    <row r="726">
      <c r="A726" s="20">
        <v>-56.98</v>
      </c>
      <c r="B726" s="20">
        <v>18.92</v>
      </c>
      <c r="D726" s="20"/>
      <c r="E726" s="20"/>
      <c r="F726" s="20">
        <v>-23.51</v>
      </c>
      <c r="G726" s="20">
        <v>14.38</v>
      </c>
      <c r="I726" s="20"/>
      <c r="J726" s="20"/>
      <c r="K726" s="20">
        <v>362.0</v>
      </c>
      <c r="L726" s="20" t="s">
        <v>17</v>
      </c>
      <c r="M726" s="20">
        <v>-16.01</v>
      </c>
      <c r="N726" s="20">
        <v>3.22</v>
      </c>
      <c r="P726" s="20">
        <v>-49.92</v>
      </c>
      <c r="Q726" s="20">
        <v>-50.12</v>
      </c>
      <c r="AG726" s="20">
        <v>724.0</v>
      </c>
      <c r="AH726" s="20" t="s">
        <v>14</v>
      </c>
      <c r="AI726" s="20">
        <v>-8.39</v>
      </c>
      <c r="AJ726" s="20">
        <v>2.34</v>
      </c>
      <c r="AM726" s="20">
        <v>373.0</v>
      </c>
      <c r="AN726" s="20" t="s">
        <v>17</v>
      </c>
      <c r="AO726" s="20">
        <v>-5.07</v>
      </c>
      <c r="AP726" s="20">
        <v>-16.24</v>
      </c>
      <c r="AS726" s="20">
        <v>366.0</v>
      </c>
      <c r="AT726" s="20" t="s">
        <v>17</v>
      </c>
      <c r="AU726" s="20">
        <v>54.52</v>
      </c>
      <c r="AV726" s="20">
        <v>-8.36</v>
      </c>
      <c r="BE726" s="20">
        <v>724.0</v>
      </c>
      <c r="BF726" s="20" t="s">
        <v>14</v>
      </c>
      <c r="BG726" s="20">
        <v>-9.0</v>
      </c>
      <c r="BH726" s="20">
        <v>-16.79</v>
      </c>
      <c r="BM726" s="20">
        <v>116.85</v>
      </c>
      <c r="BN726" s="20">
        <v>116.1</v>
      </c>
      <c r="BW726" s="20">
        <v>-60.62</v>
      </c>
      <c r="BX726" s="20">
        <v>-2.95</v>
      </c>
      <c r="BZ726" s="20">
        <v>-66.8</v>
      </c>
      <c r="CA726" s="20">
        <v>23.69</v>
      </c>
      <c r="CO726" s="20">
        <v>-35.52</v>
      </c>
      <c r="CP726" s="20">
        <v>-48.02</v>
      </c>
    </row>
    <row r="727">
      <c r="A727" s="20">
        <v>-41.43</v>
      </c>
      <c r="B727" s="20">
        <v>-22.92</v>
      </c>
      <c r="D727" s="20"/>
      <c r="E727" s="20"/>
      <c r="F727" s="20">
        <v>-42.42</v>
      </c>
      <c r="G727" s="20">
        <v>5.89</v>
      </c>
      <c r="I727" s="20"/>
      <c r="J727" s="20"/>
      <c r="K727" s="20">
        <v>363.0</v>
      </c>
      <c r="L727" s="20" t="s">
        <v>14</v>
      </c>
      <c r="M727" s="20">
        <v>-22.05</v>
      </c>
      <c r="N727" s="20">
        <v>-6.46</v>
      </c>
      <c r="P727" s="20">
        <v>30.56</v>
      </c>
      <c r="Q727" s="20">
        <v>12.7</v>
      </c>
      <c r="AG727" s="20">
        <v>725.0</v>
      </c>
      <c r="AH727" s="20" t="s">
        <v>14</v>
      </c>
      <c r="AI727" s="20">
        <v>-13.91</v>
      </c>
      <c r="AJ727" s="20">
        <v>-14.18</v>
      </c>
      <c r="AM727" s="20">
        <v>374.0</v>
      </c>
      <c r="AN727" s="20" t="s">
        <v>14</v>
      </c>
      <c r="AO727" s="20">
        <v>-18.87</v>
      </c>
      <c r="AP727" s="20">
        <v>-23.72</v>
      </c>
      <c r="AS727" s="20">
        <v>367.0</v>
      </c>
      <c r="AT727" s="20" t="s">
        <v>14</v>
      </c>
      <c r="AU727" s="20">
        <v>-39.21</v>
      </c>
      <c r="AV727" s="20">
        <v>-28.15</v>
      </c>
      <c r="BE727" s="20">
        <v>725.0</v>
      </c>
      <c r="BF727" s="20" t="s">
        <v>14</v>
      </c>
      <c r="BG727" s="20">
        <v>3.53</v>
      </c>
      <c r="BH727" s="20">
        <v>-0.12</v>
      </c>
      <c r="BM727" s="20">
        <v>29.34</v>
      </c>
      <c r="BN727" s="20">
        <v>129.69</v>
      </c>
      <c r="BW727" s="20">
        <v>-34.17</v>
      </c>
      <c r="BX727" s="20">
        <v>-16.45</v>
      </c>
      <c r="BZ727" s="20">
        <v>-42.73</v>
      </c>
      <c r="CA727" s="20">
        <v>6.64</v>
      </c>
      <c r="CO727" s="20">
        <v>-20.24</v>
      </c>
      <c r="CP727" s="20">
        <v>-61.27</v>
      </c>
    </row>
    <row r="728">
      <c r="A728" s="20">
        <v>-20.71</v>
      </c>
      <c r="B728" s="20">
        <v>-46.5</v>
      </c>
      <c r="D728" s="20"/>
      <c r="E728" s="20"/>
      <c r="F728" s="20">
        <v>-26.51</v>
      </c>
      <c r="G728" s="20">
        <v>27.13</v>
      </c>
      <c r="I728" s="20"/>
      <c r="J728" s="20"/>
      <c r="K728" s="20">
        <v>363.0</v>
      </c>
      <c r="L728" s="20" t="s">
        <v>17</v>
      </c>
      <c r="M728" s="20">
        <v>-16.17</v>
      </c>
      <c r="N728" s="20">
        <v>27.44</v>
      </c>
      <c r="P728" s="20">
        <v>-20.44</v>
      </c>
      <c r="Q728" s="20">
        <v>-55.89</v>
      </c>
      <c r="AG728" s="20">
        <v>726.0</v>
      </c>
      <c r="AH728" s="20" t="s">
        <v>14</v>
      </c>
      <c r="AI728" s="20">
        <v>1.32</v>
      </c>
      <c r="AJ728" s="20">
        <v>9.89</v>
      </c>
      <c r="AM728" s="20">
        <v>374.0</v>
      </c>
      <c r="AN728" s="20" t="s">
        <v>17</v>
      </c>
      <c r="AO728" s="20">
        <v>15.36</v>
      </c>
      <c r="AP728" s="20">
        <v>-27.04</v>
      </c>
      <c r="AS728" s="20">
        <v>367.0</v>
      </c>
      <c r="AT728" s="20" t="s">
        <v>17</v>
      </c>
      <c r="AU728" s="20">
        <v>-44.08</v>
      </c>
      <c r="AV728" s="20">
        <v>-18.56</v>
      </c>
      <c r="BE728" s="20">
        <v>726.0</v>
      </c>
      <c r="BF728" s="20" t="s">
        <v>14</v>
      </c>
      <c r="BG728" s="20">
        <v>-2.39</v>
      </c>
      <c r="BH728" s="20">
        <v>-6.3</v>
      </c>
      <c r="BM728" s="20">
        <v>24.07</v>
      </c>
      <c r="BN728" s="20">
        <v>-1.33</v>
      </c>
      <c r="BW728" s="20">
        <v>-39.49</v>
      </c>
      <c r="BX728" s="20">
        <v>22.04</v>
      </c>
      <c r="BZ728" s="20">
        <v>-33.5</v>
      </c>
      <c r="CA728" s="20">
        <v>146.85</v>
      </c>
      <c r="CO728" s="20">
        <v>2.07</v>
      </c>
      <c r="CP728" s="20">
        <v>-50.43</v>
      </c>
    </row>
    <row r="729">
      <c r="A729" s="20">
        <v>-34.52</v>
      </c>
      <c r="B729" s="20">
        <v>37.0</v>
      </c>
      <c r="D729" s="20"/>
      <c r="E729" s="20"/>
      <c r="F729" s="20">
        <v>23.7</v>
      </c>
      <c r="G729" s="20">
        <v>19.03</v>
      </c>
      <c r="I729" s="20"/>
      <c r="J729" s="20"/>
      <c r="K729" s="20">
        <v>364.0</v>
      </c>
      <c r="L729" s="20" t="s">
        <v>14</v>
      </c>
      <c r="M729" s="20">
        <v>-25.74</v>
      </c>
      <c r="N729" s="20">
        <v>37.91</v>
      </c>
      <c r="P729" s="20">
        <v>-23.43</v>
      </c>
      <c r="Q729" s="20">
        <v>1.93</v>
      </c>
      <c r="AG729" s="20">
        <v>727.0</v>
      </c>
      <c r="AH729" s="20" t="s">
        <v>14</v>
      </c>
      <c r="AI729" s="20">
        <v>-46.84</v>
      </c>
      <c r="AJ729" s="20">
        <v>-44.79</v>
      </c>
      <c r="AM729" s="20">
        <v>375.0</v>
      </c>
      <c r="AN729" s="20" t="s">
        <v>14</v>
      </c>
      <c r="AO729" s="20">
        <v>76.88</v>
      </c>
      <c r="AP729" s="20">
        <v>-22.85</v>
      </c>
      <c r="AS729" s="20">
        <v>368.0</v>
      </c>
      <c r="AT729" s="20" t="s">
        <v>14</v>
      </c>
      <c r="AU729" s="20">
        <v>-55.7</v>
      </c>
      <c r="AV729" s="20">
        <v>-69.47</v>
      </c>
      <c r="BE729" s="20">
        <v>727.0</v>
      </c>
      <c r="BF729" s="20" t="s">
        <v>14</v>
      </c>
      <c r="BG729" s="20">
        <v>30.29</v>
      </c>
      <c r="BH729" s="20">
        <v>39.71</v>
      </c>
      <c r="BM729" s="20">
        <v>35.68</v>
      </c>
      <c r="BN729" s="20">
        <v>30.48</v>
      </c>
      <c r="BW729" s="20">
        <v>-47.81</v>
      </c>
      <c r="BX729" s="20">
        <v>-34.11</v>
      </c>
      <c r="BZ729" s="20">
        <v>-43.86</v>
      </c>
      <c r="CA729" s="20">
        <v>19.34</v>
      </c>
      <c r="CO729" s="20">
        <v>-25.35</v>
      </c>
      <c r="CP729" s="20">
        <v>-65.28</v>
      </c>
    </row>
    <row r="730">
      <c r="A730" s="20">
        <v>-20.93</v>
      </c>
      <c r="B730" s="20">
        <v>5.04</v>
      </c>
      <c r="D730" s="20"/>
      <c r="E730" s="20"/>
      <c r="F730" s="20">
        <v>36.65</v>
      </c>
      <c r="G730" s="20">
        <v>32.52</v>
      </c>
      <c r="I730" s="20"/>
      <c r="J730" s="20"/>
      <c r="K730" s="20">
        <v>364.0</v>
      </c>
      <c r="L730" s="20" t="s">
        <v>17</v>
      </c>
      <c r="M730" s="20">
        <v>-54.2</v>
      </c>
      <c r="N730" s="20">
        <v>-43.91</v>
      </c>
      <c r="P730" s="20">
        <v>54.36</v>
      </c>
      <c r="Q730" s="20">
        <v>-0.19</v>
      </c>
      <c r="AG730" s="20">
        <v>728.0</v>
      </c>
      <c r="AH730" s="20" t="s">
        <v>14</v>
      </c>
      <c r="AI730" s="20">
        <v>1.59</v>
      </c>
      <c r="AJ730" s="20">
        <v>9.2</v>
      </c>
      <c r="AM730" s="20">
        <v>375.0</v>
      </c>
      <c r="AN730" s="20" t="s">
        <v>17</v>
      </c>
      <c r="AO730" s="20">
        <v>1.7</v>
      </c>
      <c r="AP730" s="20">
        <v>34.84</v>
      </c>
      <c r="AS730" s="20">
        <v>368.0</v>
      </c>
      <c r="AT730" s="20" t="s">
        <v>17</v>
      </c>
      <c r="AU730" s="20">
        <v>61.43</v>
      </c>
      <c r="AV730" s="20">
        <v>-35.66</v>
      </c>
      <c r="BE730" s="20">
        <v>728.0</v>
      </c>
      <c r="BF730" s="20" t="s">
        <v>14</v>
      </c>
      <c r="BG730" s="20">
        <v>2.83</v>
      </c>
      <c r="BH730" s="20">
        <v>27.82</v>
      </c>
      <c r="BM730" s="20">
        <v>52.93</v>
      </c>
      <c r="BN730" s="20">
        <v>103.56</v>
      </c>
      <c r="BW730" s="20">
        <v>-48.89</v>
      </c>
      <c r="BX730" s="20">
        <v>-0.87</v>
      </c>
      <c r="BZ730" s="20">
        <v>-60.08</v>
      </c>
      <c r="CA730" s="20">
        <v>0.49</v>
      </c>
      <c r="CO730" s="20">
        <v>28.69</v>
      </c>
      <c r="CP730" s="20">
        <v>-32.69</v>
      </c>
    </row>
    <row r="731">
      <c r="A731" s="20">
        <v>-24.51</v>
      </c>
      <c r="B731" s="20">
        <v>-2.07</v>
      </c>
      <c r="D731" s="20"/>
      <c r="E731" s="20"/>
      <c r="F731" s="20">
        <v>2.11</v>
      </c>
      <c r="G731" s="20">
        <v>4.08</v>
      </c>
      <c r="I731" s="20"/>
      <c r="J731" s="20"/>
      <c r="K731" s="20">
        <v>365.0</v>
      </c>
      <c r="L731" s="20" t="s">
        <v>14</v>
      </c>
      <c r="M731" s="20">
        <v>0.67</v>
      </c>
      <c r="N731" s="20">
        <v>-10.02</v>
      </c>
      <c r="P731" s="20">
        <v>-16.39</v>
      </c>
      <c r="Q731" s="20">
        <v>11.82</v>
      </c>
      <c r="AG731" s="20">
        <v>729.0</v>
      </c>
      <c r="AH731" s="20" t="s">
        <v>14</v>
      </c>
      <c r="AI731" s="20">
        <v>-7.05</v>
      </c>
      <c r="AJ731" s="20">
        <v>1.81</v>
      </c>
      <c r="AM731" s="20">
        <v>376.0</v>
      </c>
      <c r="AN731" s="20" t="s">
        <v>14</v>
      </c>
      <c r="AO731" s="20">
        <v>5.6</v>
      </c>
      <c r="AP731" s="20">
        <v>-18.98</v>
      </c>
      <c r="AS731" s="20">
        <v>369.0</v>
      </c>
      <c r="AT731" s="20" t="s">
        <v>14</v>
      </c>
      <c r="AU731" s="20">
        <v>-16.68</v>
      </c>
      <c r="AV731" s="20">
        <v>-31.44</v>
      </c>
      <c r="BE731" s="20">
        <v>729.0</v>
      </c>
      <c r="BF731" s="20" t="s">
        <v>14</v>
      </c>
      <c r="BG731" s="20">
        <v>-7.34</v>
      </c>
      <c r="BH731" s="20">
        <v>33.32</v>
      </c>
      <c r="BM731" s="20">
        <v>15.85</v>
      </c>
      <c r="BN731" s="20">
        <v>135.14</v>
      </c>
      <c r="BW731" s="20">
        <v>-42.54</v>
      </c>
      <c r="BX731" s="20">
        <v>3.37</v>
      </c>
      <c r="BZ731" s="20">
        <v>41.72</v>
      </c>
      <c r="CA731" s="20">
        <v>117.89</v>
      </c>
      <c r="CO731" s="20">
        <v>-11.97</v>
      </c>
      <c r="CP731" s="20">
        <v>-52.66</v>
      </c>
    </row>
    <row r="732">
      <c r="A732" s="20">
        <v>-51.11</v>
      </c>
      <c r="B732" s="20">
        <v>15.94</v>
      </c>
      <c r="D732" s="20"/>
      <c r="E732" s="20"/>
      <c r="F732" s="20">
        <v>-42.92</v>
      </c>
      <c r="G732" s="20">
        <v>6.56</v>
      </c>
      <c r="I732" s="20"/>
      <c r="J732" s="20"/>
      <c r="K732" s="20">
        <v>365.0</v>
      </c>
      <c r="L732" s="20" t="s">
        <v>17</v>
      </c>
      <c r="M732" s="20">
        <v>-50.01</v>
      </c>
      <c r="N732" s="20">
        <v>-22.92</v>
      </c>
      <c r="P732" s="20">
        <v>-42.76</v>
      </c>
      <c r="Q732" s="20">
        <v>-16.92</v>
      </c>
      <c r="AG732" s="20">
        <v>730.0</v>
      </c>
      <c r="AH732" s="20" t="s">
        <v>14</v>
      </c>
      <c r="AI732" s="20">
        <v>-15.81</v>
      </c>
      <c r="AJ732" s="20">
        <v>-16.64</v>
      </c>
      <c r="AM732" s="20">
        <v>376.0</v>
      </c>
      <c r="AN732" s="20" t="s">
        <v>17</v>
      </c>
      <c r="AO732" s="20">
        <v>-20.49</v>
      </c>
      <c r="AP732" s="20">
        <v>-24.53</v>
      </c>
      <c r="AS732" s="20">
        <v>369.0</v>
      </c>
      <c r="AT732" s="20" t="s">
        <v>17</v>
      </c>
      <c r="AU732" s="20">
        <v>71.93</v>
      </c>
      <c r="AV732" s="20">
        <v>15.0</v>
      </c>
      <c r="BE732" s="20">
        <v>730.0</v>
      </c>
      <c r="BF732" s="20" t="s">
        <v>14</v>
      </c>
      <c r="BG732" s="20">
        <v>-1.97</v>
      </c>
      <c r="BH732" s="20">
        <v>29.27</v>
      </c>
      <c r="BM732" s="20">
        <v>77.84</v>
      </c>
      <c r="BN732" s="20">
        <v>83.19</v>
      </c>
      <c r="BW732" s="20">
        <v>-28.9</v>
      </c>
      <c r="BX732" s="20">
        <v>-45.79</v>
      </c>
      <c r="BZ732" s="20">
        <v>73.23</v>
      </c>
      <c r="CA732" s="20">
        <v>85.77</v>
      </c>
      <c r="CO732" s="20">
        <v>-20.95</v>
      </c>
      <c r="CP732" s="20">
        <v>-49.89</v>
      </c>
    </row>
    <row r="733">
      <c r="A733" s="20">
        <v>-36.51</v>
      </c>
      <c r="B733" s="20">
        <v>48.14</v>
      </c>
      <c r="D733" s="20"/>
      <c r="E733" s="20"/>
      <c r="F733" s="20">
        <v>-45.18</v>
      </c>
      <c r="G733" s="20">
        <v>-7.24</v>
      </c>
      <c r="I733" s="20"/>
      <c r="J733" s="20"/>
      <c r="K733" s="20">
        <v>366.0</v>
      </c>
      <c r="L733" s="20" t="s">
        <v>14</v>
      </c>
      <c r="M733" s="20">
        <v>114.89</v>
      </c>
      <c r="N733" s="20">
        <v>55.62</v>
      </c>
      <c r="P733" s="20">
        <v>1.3</v>
      </c>
      <c r="Q733" s="20">
        <v>22.16</v>
      </c>
      <c r="AG733" s="20">
        <v>731.0</v>
      </c>
      <c r="AH733" s="20" t="s">
        <v>14</v>
      </c>
      <c r="AI733" s="20">
        <v>2.09</v>
      </c>
      <c r="AJ733" s="20">
        <v>0.69</v>
      </c>
      <c r="AM733" s="20">
        <v>377.0</v>
      </c>
      <c r="AN733" s="20" t="s">
        <v>14</v>
      </c>
      <c r="AO733" s="20">
        <v>-10.46</v>
      </c>
      <c r="AP733" s="20">
        <v>-18.72</v>
      </c>
      <c r="AS733" s="20">
        <v>370.0</v>
      </c>
      <c r="AT733" s="20" t="s">
        <v>14</v>
      </c>
      <c r="AU733" s="20">
        <v>-0.21</v>
      </c>
      <c r="AV733" s="20">
        <v>-14.08</v>
      </c>
      <c r="BE733" s="20">
        <v>731.0</v>
      </c>
      <c r="BF733" s="20" t="s">
        <v>14</v>
      </c>
      <c r="BG733" s="20">
        <v>-11.42</v>
      </c>
      <c r="BH733" s="20">
        <v>25.29</v>
      </c>
      <c r="BM733" s="20">
        <v>93.7</v>
      </c>
      <c r="BN733" s="20">
        <v>112.55</v>
      </c>
      <c r="BW733" s="20">
        <v>-48.54</v>
      </c>
      <c r="BX733" s="20">
        <v>-7.55</v>
      </c>
      <c r="BZ733" s="20">
        <v>-5.24</v>
      </c>
      <c r="CA733" s="20">
        <v>35.68</v>
      </c>
      <c r="CO733" s="20">
        <v>-21.45</v>
      </c>
      <c r="CP733" s="20">
        <v>-64.69</v>
      </c>
    </row>
    <row r="734">
      <c r="A734" s="20">
        <v>-49.49</v>
      </c>
      <c r="B734" s="20">
        <v>24.02</v>
      </c>
      <c r="D734" s="20"/>
      <c r="E734" s="20"/>
      <c r="F734" s="20">
        <v>-46.66</v>
      </c>
      <c r="G734" s="20">
        <v>-0.01</v>
      </c>
      <c r="I734" s="20"/>
      <c r="J734" s="20"/>
      <c r="K734" s="20">
        <v>366.0</v>
      </c>
      <c r="L734" s="20" t="s">
        <v>17</v>
      </c>
      <c r="M734" s="20">
        <v>23.94</v>
      </c>
      <c r="N734" s="20">
        <v>11.06</v>
      </c>
      <c r="P734" s="20">
        <v>-27.71</v>
      </c>
      <c r="Q734" s="20">
        <v>-16.69</v>
      </c>
      <c r="AG734" s="20">
        <v>732.0</v>
      </c>
      <c r="AH734" s="20" t="s">
        <v>14</v>
      </c>
      <c r="AI734" s="20">
        <v>-7.08</v>
      </c>
      <c r="AJ734" s="20">
        <v>-8.09</v>
      </c>
      <c r="AM734" s="20">
        <v>377.0</v>
      </c>
      <c r="AN734" s="20" t="s">
        <v>17</v>
      </c>
      <c r="AO734" s="20">
        <v>-10.16</v>
      </c>
      <c r="AP734" s="20">
        <v>1.68</v>
      </c>
      <c r="AS734" s="20">
        <v>370.0</v>
      </c>
      <c r="AT734" s="20" t="s">
        <v>17</v>
      </c>
      <c r="AU734" s="20">
        <v>-14.41</v>
      </c>
      <c r="AV734" s="20">
        <v>18.71</v>
      </c>
      <c r="BE734" s="20">
        <v>732.0</v>
      </c>
      <c r="BF734" s="20" t="s">
        <v>14</v>
      </c>
      <c r="BG734" s="20">
        <v>13.54</v>
      </c>
      <c r="BH734" s="20">
        <v>12.18</v>
      </c>
      <c r="BM734" s="20">
        <v>30.0</v>
      </c>
      <c r="BN734" s="20">
        <v>178.7</v>
      </c>
      <c r="BW734" s="20">
        <v>-19.82</v>
      </c>
      <c r="BX734" s="20">
        <v>25.02</v>
      </c>
      <c r="BZ734" s="20">
        <v>-20.55</v>
      </c>
      <c r="CA734" s="20">
        <v>16.36</v>
      </c>
      <c r="CO734" s="20">
        <v>-13.09</v>
      </c>
      <c r="CP734" s="20">
        <v>-58.79</v>
      </c>
    </row>
    <row r="735">
      <c r="A735" s="20">
        <v>-30.94</v>
      </c>
      <c r="B735" s="20">
        <v>31.89</v>
      </c>
      <c r="D735" s="20"/>
      <c r="E735" s="20"/>
      <c r="F735" s="20">
        <v>10.15</v>
      </c>
      <c r="G735" s="20">
        <v>32.46</v>
      </c>
      <c r="I735" s="20"/>
      <c r="J735" s="20"/>
      <c r="K735" s="20">
        <v>367.0</v>
      </c>
      <c r="L735" s="20" t="s">
        <v>14</v>
      </c>
      <c r="M735" s="20">
        <v>-51.44</v>
      </c>
      <c r="N735" s="20">
        <v>5.64</v>
      </c>
      <c r="P735" s="20">
        <v>-5.71</v>
      </c>
      <c r="Q735" s="20">
        <v>4.23</v>
      </c>
      <c r="AG735" s="20">
        <v>733.0</v>
      </c>
      <c r="AH735" s="20" t="s">
        <v>14</v>
      </c>
      <c r="AI735" s="20">
        <v>-4.31</v>
      </c>
      <c r="AJ735" s="20">
        <v>14.74</v>
      </c>
      <c r="AM735" s="20">
        <v>378.0</v>
      </c>
      <c r="AN735" s="20" t="s">
        <v>14</v>
      </c>
      <c r="AO735" s="20">
        <v>-6.88</v>
      </c>
      <c r="AP735" s="20">
        <v>22.07</v>
      </c>
      <c r="AS735" s="20">
        <v>371.0</v>
      </c>
      <c r="AT735" s="20" t="s">
        <v>14</v>
      </c>
      <c r="AU735" s="20">
        <v>-30.01</v>
      </c>
      <c r="AV735" s="20">
        <v>-56.46</v>
      </c>
      <c r="BE735" s="20">
        <v>733.0</v>
      </c>
      <c r="BF735" s="20" t="s">
        <v>14</v>
      </c>
      <c r="BG735" s="20">
        <v>6.78</v>
      </c>
      <c r="BH735" s="20">
        <v>27.59</v>
      </c>
      <c r="BM735" s="20">
        <v>46.95</v>
      </c>
      <c r="BN735" s="20">
        <v>78.35</v>
      </c>
      <c r="BW735" s="20">
        <v>-47.18</v>
      </c>
      <c r="BX735" s="20">
        <v>-19.77</v>
      </c>
      <c r="BZ735" s="20">
        <v>3.73</v>
      </c>
      <c r="CA735" s="20">
        <v>138.73</v>
      </c>
      <c r="CO735" s="20">
        <v>-26.72</v>
      </c>
      <c r="CP735" s="20">
        <v>-48.58</v>
      </c>
    </row>
    <row r="736">
      <c r="A736" s="20">
        <v>-29.96</v>
      </c>
      <c r="B736" s="20">
        <v>99.2</v>
      </c>
      <c r="D736" s="20"/>
      <c r="E736" s="20"/>
      <c r="F736" s="20">
        <v>4.58</v>
      </c>
      <c r="G736" s="20">
        <v>-7.56</v>
      </c>
      <c r="I736" s="20"/>
      <c r="J736" s="20"/>
      <c r="K736" s="20">
        <v>367.0</v>
      </c>
      <c r="L736" s="20" t="s">
        <v>17</v>
      </c>
      <c r="M736" s="20">
        <v>-64.01</v>
      </c>
      <c r="N736" s="20">
        <v>-73.51</v>
      </c>
      <c r="P736" s="20">
        <v>-47.52</v>
      </c>
      <c r="Q736" s="20">
        <v>-17.51</v>
      </c>
      <c r="AG736" s="20">
        <v>734.0</v>
      </c>
      <c r="AH736" s="20" t="s">
        <v>14</v>
      </c>
      <c r="AI736" s="20">
        <v>-19.68</v>
      </c>
      <c r="AJ736" s="20">
        <v>-3.22</v>
      </c>
      <c r="AM736" s="20">
        <v>378.0</v>
      </c>
      <c r="AN736" s="20" t="s">
        <v>17</v>
      </c>
      <c r="AO736" s="20">
        <v>-18.17</v>
      </c>
      <c r="AP736" s="20">
        <v>48.78</v>
      </c>
      <c r="AS736" s="20">
        <v>371.0</v>
      </c>
      <c r="AT736" s="20" t="s">
        <v>17</v>
      </c>
      <c r="AU736" s="20">
        <v>-60.95</v>
      </c>
      <c r="AV736" s="20">
        <v>-19.99</v>
      </c>
      <c r="BE736" s="20">
        <v>734.0</v>
      </c>
      <c r="BF736" s="20" t="s">
        <v>14</v>
      </c>
      <c r="BG736" s="20">
        <v>22.77</v>
      </c>
      <c r="BH736" s="20">
        <v>27.72</v>
      </c>
      <c r="BM736" s="20">
        <v>106.71</v>
      </c>
      <c r="BN736" s="20">
        <v>84.44</v>
      </c>
      <c r="BW736" s="20">
        <v>-37.4</v>
      </c>
      <c r="BX736" s="20">
        <v>-24.78</v>
      </c>
      <c r="BZ736" s="20">
        <v>-68.79</v>
      </c>
      <c r="CA736" s="20">
        <v>29.86</v>
      </c>
      <c r="CO736" s="20">
        <v>-22.97</v>
      </c>
      <c r="CP736" s="20">
        <v>-56.01</v>
      </c>
    </row>
    <row r="737">
      <c r="A737" s="20">
        <v>-42.21</v>
      </c>
      <c r="B737" s="20">
        <v>-0.12</v>
      </c>
      <c r="D737" s="20"/>
      <c r="E737" s="20"/>
      <c r="F737" s="20">
        <v>-8.92</v>
      </c>
      <c r="G737" s="20">
        <v>2.78</v>
      </c>
      <c r="I737" s="20"/>
      <c r="J737" s="20"/>
      <c r="K737" s="20">
        <v>368.0</v>
      </c>
      <c r="L737" s="20" t="s">
        <v>14</v>
      </c>
      <c r="M737" s="20">
        <v>-34.29</v>
      </c>
      <c r="N737" s="20">
        <v>-5.09</v>
      </c>
      <c r="P737" s="20">
        <v>-37.77</v>
      </c>
      <c r="Q737" s="20">
        <v>-1.33</v>
      </c>
      <c r="AG737" s="20">
        <v>735.0</v>
      </c>
      <c r="AH737" s="20" t="s">
        <v>14</v>
      </c>
      <c r="AI737" s="20">
        <v>15.3</v>
      </c>
      <c r="AJ737" s="20">
        <v>18.36</v>
      </c>
      <c r="AM737" s="20">
        <v>379.0</v>
      </c>
      <c r="AN737" s="20" t="s">
        <v>14</v>
      </c>
      <c r="AO737" s="20">
        <v>-50.82</v>
      </c>
      <c r="AP737" s="20">
        <v>-33.65</v>
      </c>
      <c r="AS737" s="20">
        <v>372.0</v>
      </c>
      <c r="AT737" s="20" t="s">
        <v>14</v>
      </c>
      <c r="AU737" s="20">
        <v>-23.75</v>
      </c>
      <c r="AV737" s="20">
        <v>-60.31</v>
      </c>
      <c r="BE737" s="20">
        <v>735.0</v>
      </c>
      <c r="BF737" s="20" t="s">
        <v>14</v>
      </c>
      <c r="BG737" s="20">
        <v>31.38</v>
      </c>
      <c r="BH737" s="20">
        <v>65.45</v>
      </c>
      <c r="BM737" s="20">
        <v>6.93</v>
      </c>
      <c r="BN737" s="20">
        <v>21.39</v>
      </c>
      <c r="BW737" s="20">
        <v>-50.3</v>
      </c>
      <c r="BX737" s="20">
        <v>-34.7</v>
      </c>
      <c r="BZ737" s="20">
        <v>-37.14</v>
      </c>
      <c r="CA737" s="20">
        <v>24.83</v>
      </c>
      <c r="CO737" s="20">
        <v>-23.2</v>
      </c>
      <c r="CP737" s="20">
        <v>-54.48</v>
      </c>
    </row>
    <row r="738">
      <c r="A738" s="20">
        <v>-9.14</v>
      </c>
      <c r="B738" s="20">
        <v>40.33</v>
      </c>
      <c r="D738" s="20"/>
      <c r="E738" s="20"/>
      <c r="F738" s="20">
        <v>-9.72</v>
      </c>
      <c r="G738" s="20">
        <v>0.07</v>
      </c>
      <c r="I738" s="20"/>
      <c r="J738" s="20"/>
      <c r="K738" s="20">
        <v>368.0</v>
      </c>
      <c r="L738" s="20" t="s">
        <v>17</v>
      </c>
      <c r="M738" s="20">
        <v>-28.93</v>
      </c>
      <c r="N738" s="20">
        <v>-2.31</v>
      </c>
      <c r="P738" s="20">
        <v>-37.68</v>
      </c>
      <c r="Q738" s="20">
        <v>-1.82</v>
      </c>
      <c r="AG738" s="20">
        <v>736.0</v>
      </c>
      <c r="AH738" s="20" t="s">
        <v>14</v>
      </c>
      <c r="AI738" s="20">
        <v>-19.9</v>
      </c>
      <c r="AJ738" s="20">
        <v>-12.85</v>
      </c>
      <c r="AM738" s="20">
        <v>379.0</v>
      </c>
      <c r="AN738" s="20" t="s">
        <v>17</v>
      </c>
      <c r="AO738" s="20">
        <v>-34.16</v>
      </c>
      <c r="AP738" s="20">
        <v>-30.57</v>
      </c>
      <c r="AS738" s="20">
        <v>372.0</v>
      </c>
      <c r="AT738" s="20" t="s">
        <v>17</v>
      </c>
      <c r="AU738" s="20">
        <v>20.69</v>
      </c>
      <c r="AV738" s="20">
        <v>46.97</v>
      </c>
      <c r="BE738" s="20">
        <v>736.0</v>
      </c>
      <c r="BF738" s="20" t="s">
        <v>14</v>
      </c>
      <c r="BG738" s="20">
        <v>-3.93</v>
      </c>
      <c r="BH738" s="20">
        <v>12.59</v>
      </c>
      <c r="BM738" s="20">
        <v>64.8</v>
      </c>
      <c r="BN738" s="20">
        <v>147.94</v>
      </c>
      <c r="BW738" s="20">
        <v>-42.84</v>
      </c>
      <c r="BX738" s="20">
        <v>-19.1</v>
      </c>
      <c r="BZ738" s="20">
        <v>-32.13</v>
      </c>
      <c r="CA738" s="20">
        <v>44.7</v>
      </c>
      <c r="CO738" s="20">
        <v>12.0</v>
      </c>
      <c r="CP738" s="20">
        <v>-40.34</v>
      </c>
    </row>
    <row r="739">
      <c r="A739" s="20">
        <v>-43.82</v>
      </c>
      <c r="B739" s="20">
        <v>-0.77</v>
      </c>
      <c r="D739" s="20"/>
      <c r="E739" s="20"/>
      <c r="F739" s="20">
        <v>-40.43</v>
      </c>
      <c r="G739" s="20">
        <v>-29.6</v>
      </c>
      <c r="I739" s="20"/>
      <c r="J739" s="20"/>
      <c r="K739" s="20">
        <v>369.0</v>
      </c>
      <c r="L739" s="20" t="s">
        <v>14</v>
      </c>
      <c r="M739" s="20">
        <v>95.59</v>
      </c>
      <c r="N739" s="20">
        <v>96.05</v>
      </c>
      <c r="P739" s="20">
        <v>-1.64</v>
      </c>
      <c r="Q739" s="20">
        <v>36.99</v>
      </c>
      <c r="AG739" s="20">
        <v>737.0</v>
      </c>
      <c r="AH739" s="20" t="s">
        <v>14</v>
      </c>
      <c r="AI739" s="20">
        <v>-8.33</v>
      </c>
      <c r="AJ739" s="20">
        <v>3.7</v>
      </c>
      <c r="AM739" s="20">
        <v>380.0</v>
      </c>
      <c r="AN739" s="20" t="s">
        <v>14</v>
      </c>
      <c r="AO739" s="20">
        <v>-24.82</v>
      </c>
      <c r="AP739" s="20">
        <v>13.77</v>
      </c>
      <c r="AS739" s="20">
        <v>373.0</v>
      </c>
      <c r="AT739" s="20" t="s">
        <v>14</v>
      </c>
      <c r="AU739" s="20">
        <v>-17.22</v>
      </c>
      <c r="AV739" s="20">
        <v>-30.83</v>
      </c>
      <c r="BE739" s="20">
        <v>737.0</v>
      </c>
      <c r="BF739" s="20" t="s">
        <v>14</v>
      </c>
      <c r="BG739" s="20">
        <v>-23.73</v>
      </c>
      <c r="BH739" s="20">
        <v>-15.53</v>
      </c>
      <c r="BM739" s="20">
        <v>29.72</v>
      </c>
      <c r="BN739" s="20">
        <v>58.45</v>
      </c>
      <c r="BW739" s="20">
        <v>-42.79</v>
      </c>
      <c r="BX739" s="20">
        <v>1.65</v>
      </c>
      <c r="BZ739" s="20">
        <v>-37.97</v>
      </c>
      <c r="CA739" s="20">
        <v>110.5</v>
      </c>
      <c r="CO739" s="20">
        <v>-18.21</v>
      </c>
      <c r="CP739" s="20">
        <v>-46.2</v>
      </c>
    </row>
    <row r="740">
      <c r="A740" s="20">
        <v>-48.22</v>
      </c>
      <c r="B740" s="20">
        <v>55.81</v>
      </c>
      <c r="D740" s="20"/>
      <c r="E740" s="20"/>
      <c r="F740" s="20">
        <v>-35.78</v>
      </c>
      <c r="G740" s="20">
        <v>-34.0</v>
      </c>
      <c r="I740" s="20"/>
      <c r="J740" s="20"/>
      <c r="K740" s="20">
        <v>369.0</v>
      </c>
      <c r="L740" s="20" t="s">
        <v>17</v>
      </c>
      <c r="M740" s="20">
        <v>-45.37</v>
      </c>
      <c r="N740" s="20">
        <v>-28.5</v>
      </c>
      <c r="P740" s="20">
        <v>8.35</v>
      </c>
      <c r="Q740" s="20">
        <v>79.78</v>
      </c>
      <c r="AG740" s="20">
        <v>738.0</v>
      </c>
      <c r="AH740" s="20" t="s">
        <v>14</v>
      </c>
      <c r="AI740" s="20">
        <v>-14.92</v>
      </c>
      <c r="AJ740" s="20">
        <v>-16.73</v>
      </c>
      <c r="AM740" s="20">
        <v>380.0</v>
      </c>
      <c r="AN740" s="20" t="s">
        <v>17</v>
      </c>
      <c r="AO740" s="20">
        <v>-8.44</v>
      </c>
      <c r="AP740" s="20">
        <v>74.17</v>
      </c>
      <c r="AS740" s="20">
        <v>373.0</v>
      </c>
      <c r="AT740" s="20" t="s">
        <v>17</v>
      </c>
      <c r="AU740" s="20">
        <v>-29.7</v>
      </c>
      <c r="AV740" s="20">
        <v>-45.86</v>
      </c>
      <c r="BE740" s="20">
        <v>738.0</v>
      </c>
      <c r="BF740" s="20" t="s">
        <v>14</v>
      </c>
      <c r="BG740" s="20">
        <v>17.68</v>
      </c>
      <c r="BH740" s="20">
        <v>17.55</v>
      </c>
      <c r="BM740" s="20">
        <v>58.16</v>
      </c>
      <c r="BN740" s="20">
        <v>114.82</v>
      </c>
      <c r="BW740" s="20">
        <v>-28.02</v>
      </c>
      <c r="BX740" s="20">
        <v>-3.39</v>
      </c>
      <c r="BZ740" s="20">
        <v>-41.05</v>
      </c>
      <c r="CA740" s="20">
        <v>181.93</v>
      </c>
      <c r="CO740" s="20">
        <v>19.15</v>
      </c>
      <c r="CP740" s="20">
        <v>-48.58</v>
      </c>
    </row>
    <row r="741">
      <c r="A741" s="20">
        <v>-38.28</v>
      </c>
      <c r="B741" s="20">
        <v>-3.87</v>
      </c>
      <c r="D741" s="20"/>
      <c r="E741" s="20"/>
      <c r="F741" s="20">
        <v>9.95</v>
      </c>
      <c r="G741" s="20">
        <v>-12.48</v>
      </c>
      <c r="I741" s="20"/>
      <c r="J741" s="20"/>
      <c r="K741" s="20">
        <v>370.0</v>
      </c>
      <c r="L741" s="20" t="s">
        <v>14</v>
      </c>
      <c r="M741" s="20">
        <v>-7.67</v>
      </c>
      <c r="N741" s="20">
        <v>79.59</v>
      </c>
      <c r="P741" s="20">
        <v>-29.53</v>
      </c>
      <c r="Q741" s="20">
        <v>-24.68</v>
      </c>
      <c r="AG741" s="20">
        <v>739.0</v>
      </c>
      <c r="AH741" s="20" t="s">
        <v>14</v>
      </c>
      <c r="AI741" s="20">
        <v>-5.1</v>
      </c>
      <c r="AJ741" s="20">
        <v>-1.07</v>
      </c>
      <c r="AM741" s="20">
        <v>381.0</v>
      </c>
      <c r="AN741" s="20" t="s">
        <v>14</v>
      </c>
      <c r="AO741" s="20">
        <v>-13.93</v>
      </c>
      <c r="AP741" s="20">
        <v>4.09</v>
      </c>
      <c r="AS741" s="20">
        <v>374.0</v>
      </c>
      <c r="AT741" s="20" t="s">
        <v>14</v>
      </c>
      <c r="AU741" s="20">
        <v>1.54</v>
      </c>
      <c r="AV741" s="20">
        <v>-57.37</v>
      </c>
      <c r="BE741" s="20">
        <v>739.0</v>
      </c>
      <c r="BF741" s="20" t="s">
        <v>14</v>
      </c>
      <c r="BG741" s="20">
        <v>12.05</v>
      </c>
      <c r="BH741" s="20">
        <v>13.44</v>
      </c>
      <c r="BM741" s="20">
        <v>8.46</v>
      </c>
      <c r="BN741" s="20">
        <v>25.81</v>
      </c>
      <c r="BW741" s="20">
        <v>-49.64</v>
      </c>
      <c r="BX741" s="20">
        <v>-54.65</v>
      </c>
      <c r="BZ741" s="20">
        <v>-56.93</v>
      </c>
      <c r="CA741" s="20">
        <v>57.81</v>
      </c>
      <c r="CO741" s="20">
        <v>-22.48</v>
      </c>
      <c r="CP741" s="20">
        <v>-58.03</v>
      </c>
    </row>
    <row r="742">
      <c r="A742" s="20">
        <v>-3.31</v>
      </c>
      <c r="B742" s="20">
        <v>28.62</v>
      </c>
      <c r="D742" s="20"/>
      <c r="E742" s="20"/>
      <c r="F742" s="20">
        <v>39.6</v>
      </c>
      <c r="G742" s="20">
        <v>-26.06</v>
      </c>
      <c r="I742" s="20"/>
      <c r="J742" s="20"/>
      <c r="K742" s="20">
        <v>370.0</v>
      </c>
      <c r="L742" s="20" t="s">
        <v>17</v>
      </c>
      <c r="M742" s="20">
        <v>17.79</v>
      </c>
      <c r="N742" s="20">
        <v>39.6</v>
      </c>
      <c r="P742" s="20">
        <v>-30.8</v>
      </c>
      <c r="Q742" s="20">
        <v>-19.65</v>
      </c>
      <c r="AG742" s="20">
        <v>740.0</v>
      </c>
      <c r="AH742" s="20" t="s">
        <v>14</v>
      </c>
      <c r="AI742" s="20">
        <v>-28.41</v>
      </c>
      <c r="AJ742" s="20">
        <v>-19.8</v>
      </c>
      <c r="AM742" s="20">
        <v>381.0</v>
      </c>
      <c r="AN742" s="20" t="s">
        <v>17</v>
      </c>
      <c r="AO742" s="20">
        <v>-9.0</v>
      </c>
      <c r="AP742" s="20">
        <v>-6.93</v>
      </c>
      <c r="AS742" s="20">
        <v>374.0</v>
      </c>
      <c r="AT742" s="20" t="s">
        <v>17</v>
      </c>
      <c r="AU742" s="20">
        <v>17.0</v>
      </c>
      <c r="AV742" s="20">
        <v>-50.93</v>
      </c>
      <c r="BE742" s="20">
        <v>740.0</v>
      </c>
      <c r="BF742" s="20" t="s">
        <v>14</v>
      </c>
      <c r="BG742" s="20">
        <v>-8.55</v>
      </c>
      <c r="BH742" s="20">
        <v>43.49</v>
      </c>
      <c r="BM742" s="20">
        <v>114.56</v>
      </c>
      <c r="BN742" s="20">
        <v>45.54</v>
      </c>
      <c r="BW742" s="20">
        <v>-53.75</v>
      </c>
      <c r="BX742" s="20">
        <v>-13.65</v>
      </c>
      <c r="BZ742" s="20">
        <v>-36.81</v>
      </c>
      <c r="CA742" s="20">
        <v>1.69</v>
      </c>
      <c r="CO742" s="20">
        <v>-21.77</v>
      </c>
      <c r="CP742" s="20">
        <v>-58.49</v>
      </c>
    </row>
    <row r="743">
      <c r="A743" s="20">
        <v>-49.82</v>
      </c>
      <c r="B743" s="20">
        <v>52.32</v>
      </c>
      <c r="D743" s="20"/>
      <c r="E743" s="20"/>
      <c r="F743" s="20">
        <v>22.33</v>
      </c>
      <c r="G743" s="20">
        <v>20.15</v>
      </c>
      <c r="I743" s="20"/>
      <c r="J743" s="20"/>
      <c r="K743" s="20">
        <v>371.0</v>
      </c>
      <c r="L743" s="20" t="s">
        <v>14</v>
      </c>
      <c r="M743" s="20">
        <v>25.76</v>
      </c>
      <c r="N743" s="20">
        <v>92.34</v>
      </c>
      <c r="P743" s="20">
        <v>-30.51</v>
      </c>
      <c r="Q743" s="20">
        <v>3.66</v>
      </c>
      <c r="AG743" s="20">
        <v>741.0</v>
      </c>
      <c r="AH743" s="20" t="s">
        <v>14</v>
      </c>
      <c r="AI743" s="20">
        <v>-11.96</v>
      </c>
      <c r="AJ743" s="20">
        <v>-5.77</v>
      </c>
      <c r="AM743" s="20">
        <v>382.0</v>
      </c>
      <c r="AN743" s="20" t="s">
        <v>14</v>
      </c>
      <c r="AO743" s="20">
        <v>-5.59</v>
      </c>
      <c r="AP743" s="20">
        <v>26.93</v>
      </c>
      <c r="AS743" s="20">
        <v>375.0</v>
      </c>
      <c r="AT743" s="20" t="s">
        <v>14</v>
      </c>
      <c r="AU743" s="20">
        <v>7.07</v>
      </c>
      <c r="AV743" s="20">
        <v>-34.61</v>
      </c>
      <c r="BE743" s="20">
        <v>741.0</v>
      </c>
      <c r="BF743" s="20" t="s">
        <v>14</v>
      </c>
      <c r="BG743" s="20">
        <v>-9.73</v>
      </c>
      <c r="BH743" s="20">
        <v>49.53</v>
      </c>
      <c r="BM743" s="20">
        <v>-4.53</v>
      </c>
      <c r="BN743" s="20">
        <v>35.57</v>
      </c>
      <c r="BW743" s="20">
        <v>-42.94</v>
      </c>
      <c r="BX743" s="20">
        <v>0.4</v>
      </c>
      <c r="BZ743" s="20">
        <v>-48.12</v>
      </c>
      <c r="CA743" s="20">
        <v>131.59</v>
      </c>
      <c r="CO743" s="20">
        <v>-24.54</v>
      </c>
      <c r="CP743" s="20">
        <v>-66.68</v>
      </c>
    </row>
    <row r="744">
      <c r="A744" s="20">
        <v>-35.29</v>
      </c>
      <c r="B744" s="20">
        <v>85.55</v>
      </c>
      <c r="D744" s="20"/>
      <c r="E744" s="20"/>
      <c r="F744" s="20">
        <v>22.83</v>
      </c>
      <c r="G744" s="20">
        <v>-0.26</v>
      </c>
      <c r="I744" s="20"/>
      <c r="J744" s="20"/>
      <c r="K744" s="20">
        <v>371.0</v>
      </c>
      <c r="L744" s="20" t="s">
        <v>17</v>
      </c>
      <c r="M744" s="20">
        <v>2.01</v>
      </c>
      <c r="N744" s="20">
        <v>49.16</v>
      </c>
      <c r="P744" s="20">
        <v>-60.53</v>
      </c>
      <c r="Q744" s="20">
        <v>-66.76</v>
      </c>
      <c r="AG744" s="20">
        <v>742.0</v>
      </c>
      <c r="AH744" s="20" t="s">
        <v>14</v>
      </c>
      <c r="AI744" s="20">
        <v>-47.15</v>
      </c>
      <c r="AJ744" s="20">
        <v>-32.81</v>
      </c>
      <c r="AM744" s="20">
        <v>382.0</v>
      </c>
      <c r="AN744" s="20" t="s">
        <v>17</v>
      </c>
      <c r="AO744" s="20">
        <v>15.25</v>
      </c>
      <c r="AP744" s="20">
        <v>-18.92</v>
      </c>
      <c r="AS744" s="20">
        <v>375.0</v>
      </c>
      <c r="AT744" s="20" t="s">
        <v>17</v>
      </c>
      <c r="AU744" s="20">
        <v>-38.68</v>
      </c>
      <c r="AV744" s="20">
        <v>-30.81</v>
      </c>
      <c r="BE744" s="20">
        <v>742.0</v>
      </c>
      <c r="BF744" s="20" t="s">
        <v>14</v>
      </c>
      <c r="BG744" s="20">
        <v>27.36</v>
      </c>
      <c r="BH744" s="20">
        <v>1.32</v>
      </c>
      <c r="BM744" s="20">
        <v>118.67</v>
      </c>
      <c r="BN744" s="20">
        <v>80.74</v>
      </c>
      <c r="BW744" s="20">
        <v>-47.72</v>
      </c>
      <c r="BX744" s="20">
        <v>-19.9</v>
      </c>
      <c r="BZ744" s="20">
        <v>-67.83</v>
      </c>
      <c r="CA744" s="20">
        <v>187.58</v>
      </c>
      <c r="CO744" s="20">
        <v>1.43</v>
      </c>
      <c r="CP744" s="20">
        <v>-50.58</v>
      </c>
    </row>
    <row r="745">
      <c r="A745" s="20">
        <v>-24.4</v>
      </c>
      <c r="B745" s="20">
        <v>24.72</v>
      </c>
      <c r="D745" s="20"/>
      <c r="E745" s="20"/>
      <c r="F745" s="20">
        <v>17.89</v>
      </c>
      <c r="G745" s="20">
        <v>-7.2</v>
      </c>
      <c r="I745" s="20"/>
      <c r="J745" s="20"/>
      <c r="K745" s="20">
        <v>372.0</v>
      </c>
      <c r="L745" s="20" t="s">
        <v>14</v>
      </c>
      <c r="M745" s="20">
        <v>-11.58</v>
      </c>
      <c r="N745" s="20">
        <v>-1.4</v>
      </c>
      <c r="P745" s="20">
        <v>-25.94</v>
      </c>
      <c r="Q745" s="20">
        <v>-34.5</v>
      </c>
      <c r="AG745" s="20">
        <v>743.0</v>
      </c>
      <c r="AH745" s="20" t="s">
        <v>14</v>
      </c>
      <c r="AI745" s="20">
        <v>-1.42</v>
      </c>
      <c r="AJ745" s="20">
        <v>8.45</v>
      </c>
      <c r="AM745" s="20">
        <v>383.0</v>
      </c>
      <c r="AN745" s="20" t="s">
        <v>14</v>
      </c>
      <c r="AO745" s="20">
        <v>10.18</v>
      </c>
      <c r="AP745" s="20">
        <v>33.22</v>
      </c>
      <c r="AS745" s="20">
        <v>376.0</v>
      </c>
      <c r="AT745" s="20" t="s">
        <v>14</v>
      </c>
      <c r="AU745" s="20">
        <v>12.25</v>
      </c>
      <c r="AV745" s="20">
        <v>-32.77</v>
      </c>
      <c r="BE745" s="20">
        <v>743.0</v>
      </c>
      <c r="BF745" s="20" t="s">
        <v>14</v>
      </c>
      <c r="BG745" s="20">
        <v>32.55</v>
      </c>
      <c r="BH745" s="20">
        <v>15.25</v>
      </c>
      <c r="BM745" s="20">
        <v>29.16</v>
      </c>
      <c r="BN745" s="20">
        <v>86.43</v>
      </c>
      <c r="BW745" s="20">
        <v>-48.52</v>
      </c>
      <c r="BX745" s="20">
        <v>-11.09</v>
      </c>
      <c r="BZ745" s="20">
        <v>-28.76</v>
      </c>
      <c r="CA745" s="20">
        <v>-13.94</v>
      </c>
      <c r="CO745" s="20">
        <v>-28.26</v>
      </c>
      <c r="CP745" s="20">
        <v>-60.83</v>
      </c>
    </row>
    <row r="746">
      <c r="A746" s="20">
        <v>-13.19</v>
      </c>
      <c r="B746" s="20">
        <v>68.4</v>
      </c>
      <c r="D746" s="20"/>
      <c r="E746" s="20"/>
      <c r="F746" s="20">
        <v>-24.88</v>
      </c>
      <c r="G746" s="20">
        <v>6.08</v>
      </c>
      <c r="I746" s="20"/>
      <c r="J746" s="20"/>
      <c r="K746" s="20">
        <v>372.0</v>
      </c>
      <c r="L746" s="20" t="s">
        <v>17</v>
      </c>
      <c r="M746" s="20">
        <v>-26.17</v>
      </c>
      <c r="N746" s="20">
        <v>4.35</v>
      </c>
      <c r="P746" s="20">
        <v>21.84</v>
      </c>
      <c r="Q746" s="20">
        <v>-38.71</v>
      </c>
      <c r="AG746" s="20">
        <v>744.0</v>
      </c>
      <c r="AH746" s="20" t="s">
        <v>14</v>
      </c>
      <c r="AI746" s="20">
        <v>20.6</v>
      </c>
      <c r="AJ746" s="20">
        <v>15.6</v>
      </c>
      <c r="AM746" s="20">
        <v>383.0</v>
      </c>
      <c r="AN746" s="20" t="s">
        <v>17</v>
      </c>
      <c r="AO746" s="20">
        <v>-30.05</v>
      </c>
      <c r="AP746" s="20">
        <v>-16.38</v>
      </c>
      <c r="AS746" s="20">
        <v>376.0</v>
      </c>
      <c r="AT746" s="20" t="s">
        <v>17</v>
      </c>
      <c r="AU746" s="20">
        <v>-16.7</v>
      </c>
      <c r="AV746" s="20">
        <v>-3.26</v>
      </c>
      <c r="BE746" s="20">
        <v>744.0</v>
      </c>
      <c r="BF746" s="20" t="s">
        <v>14</v>
      </c>
      <c r="BG746" s="20">
        <v>-0.76</v>
      </c>
      <c r="BH746" s="20">
        <v>34.11</v>
      </c>
      <c r="BM746" s="20">
        <v>7.29</v>
      </c>
      <c r="BN746" s="20">
        <v>59.0</v>
      </c>
      <c r="BW746" s="20">
        <v>-47.55</v>
      </c>
      <c r="BX746" s="20">
        <v>-10.35</v>
      </c>
      <c r="BZ746" s="20">
        <v>-46.85</v>
      </c>
      <c r="CA746" s="20">
        <v>-22.74</v>
      </c>
      <c r="CO746" s="20">
        <v>-4.94</v>
      </c>
      <c r="CP746" s="20">
        <v>-44.29</v>
      </c>
    </row>
    <row r="747">
      <c r="A747" s="20">
        <v>-39.93</v>
      </c>
      <c r="B747" s="20">
        <v>50.97</v>
      </c>
      <c r="D747" s="20"/>
      <c r="E747" s="20"/>
      <c r="F747" s="20">
        <v>20.92</v>
      </c>
      <c r="G747" s="20">
        <v>15.75</v>
      </c>
      <c r="I747" s="20"/>
      <c r="J747" s="20"/>
      <c r="K747" s="20">
        <v>373.0</v>
      </c>
      <c r="L747" s="20" t="s">
        <v>14</v>
      </c>
      <c r="M747" s="20">
        <v>-31.05</v>
      </c>
      <c r="N747" s="20">
        <v>-1.13</v>
      </c>
      <c r="P747" s="20">
        <v>4.41</v>
      </c>
      <c r="Q747" s="20">
        <v>-7.03</v>
      </c>
      <c r="AG747" s="20">
        <v>745.0</v>
      </c>
      <c r="AH747" s="20" t="s">
        <v>14</v>
      </c>
      <c r="AI747" s="20">
        <v>-14.26</v>
      </c>
      <c r="AJ747" s="20">
        <v>-11.74</v>
      </c>
      <c r="AM747" s="20">
        <v>384.0</v>
      </c>
      <c r="AN747" s="20" t="s">
        <v>14</v>
      </c>
      <c r="AO747" s="20">
        <v>3.65</v>
      </c>
      <c r="AP747" s="20">
        <v>14.02</v>
      </c>
      <c r="AS747" s="20">
        <v>377.0</v>
      </c>
      <c r="AT747" s="20" t="s">
        <v>14</v>
      </c>
      <c r="AU747" s="20">
        <v>42.08</v>
      </c>
      <c r="AV747" s="20">
        <v>31.97</v>
      </c>
      <c r="BE747" s="20">
        <v>745.0</v>
      </c>
      <c r="BF747" s="20" t="s">
        <v>14</v>
      </c>
      <c r="BG747" s="20">
        <v>-19.17</v>
      </c>
      <c r="BH747" s="20">
        <v>14.0</v>
      </c>
      <c r="BM747" s="20">
        <v>46.89</v>
      </c>
      <c r="BN747" s="20">
        <v>51.59</v>
      </c>
      <c r="BW747" s="20">
        <v>-51.69</v>
      </c>
      <c r="BX747" s="20">
        <v>-24.97</v>
      </c>
      <c r="BZ747" s="20">
        <v>-38.62</v>
      </c>
      <c r="CA747" s="20">
        <v>75.15</v>
      </c>
      <c r="CO747" s="20">
        <v>-4.41</v>
      </c>
      <c r="CP747" s="20">
        <v>-47.95</v>
      </c>
    </row>
    <row r="748">
      <c r="A748" s="20">
        <v>-48.77</v>
      </c>
      <c r="B748" s="20">
        <v>1.89</v>
      </c>
      <c r="D748" s="20"/>
      <c r="E748" s="20"/>
      <c r="F748" s="20">
        <v>13.81</v>
      </c>
      <c r="G748" s="20">
        <v>7.71</v>
      </c>
      <c r="I748" s="20"/>
      <c r="J748" s="20"/>
      <c r="K748" s="20">
        <v>373.0</v>
      </c>
      <c r="L748" s="20" t="s">
        <v>17</v>
      </c>
      <c r="M748" s="20">
        <v>-21.6</v>
      </c>
      <c r="N748" s="20">
        <v>23.15</v>
      </c>
      <c r="P748" s="20">
        <v>-33.02</v>
      </c>
      <c r="Q748" s="20">
        <v>-17.59</v>
      </c>
      <c r="AG748" s="20">
        <v>746.0</v>
      </c>
      <c r="AH748" s="20" t="s">
        <v>14</v>
      </c>
      <c r="AI748" s="20">
        <v>-2.92</v>
      </c>
      <c r="AJ748" s="20">
        <v>7.53</v>
      </c>
      <c r="AM748" s="20">
        <v>384.0</v>
      </c>
      <c r="AN748" s="20" t="s">
        <v>17</v>
      </c>
      <c r="AO748" s="20">
        <v>-26.37</v>
      </c>
      <c r="AP748" s="20">
        <v>-6.81</v>
      </c>
      <c r="AS748" s="20">
        <v>377.0</v>
      </c>
      <c r="AT748" s="20" t="s">
        <v>17</v>
      </c>
      <c r="AU748" s="20">
        <v>-0.41</v>
      </c>
      <c r="AV748" s="20">
        <v>-4.1</v>
      </c>
      <c r="BE748" s="20">
        <v>746.0</v>
      </c>
      <c r="BF748" s="20" t="s">
        <v>14</v>
      </c>
      <c r="BG748" s="20">
        <v>2.36</v>
      </c>
      <c r="BH748" s="20">
        <v>-21.57</v>
      </c>
      <c r="BM748" s="20">
        <v>62.15</v>
      </c>
      <c r="BN748" s="20">
        <v>83.92</v>
      </c>
      <c r="BW748" s="20">
        <v>-55.58</v>
      </c>
      <c r="BX748" s="20">
        <v>-33.15</v>
      </c>
      <c r="BZ748" s="20">
        <v>-25.1</v>
      </c>
      <c r="CA748" s="20">
        <v>93.4</v>
      </c>
      <c r="CO748" s="20">
        <v>57.02</v>
      </c>
      <c r="CP748" s="20">
        <v>-34.89</v>
      </c>
    </row>
    <row r="749">
      <c r="A749" s="20">
        <v>15.83</v>
      </c>
      <c r="B749" s="20">
        <v>53.56</v>
      </c>
      <c r="D749" s="20"/>
      <c r="E749" s="20"/>
      <c r="F749" s="20">
        <v>-11.58</v>
      </c>
      <c r="G749" s="20">
        <v>32.72</v>
      </c>
      <c r="I749" s="20"/>
      <c r="J749" s="20"/>
      <c r="K749" s="20">
        <v>374.0</v>
      </c>
      <c r="L749" s="20" t="s">
        <v>14</v>
      </c>
      <c r="M749" s="20">
        <v>-37.46</v>
      </c>
      <c r="N749" s="20">
        <v>-15.52</v>
      </c>
      <c r="P749" s="20">
        <v>3.27</v>
      </c>
      <c r="Q749" s="20">
        <v>13.09</v>
      </c>
      <c r="AG749" s="20">
        <v>747.0</v>
      </c>
      <c r="AH749" s="20" t="s">
        <v>14</v>
      </c>
      <c r="AI749" s="20">
        <v>-11.05</v>
      </c>
      <c r="AJ749" s="20">
        <v>-2.97</v>
      </c>
      <c r="AM749" s="20">
        <v>385.0</v>
      </c>
      <c r="AN749" s="20" t="s">
        <v>14</v>
      </c>
      <c r="AO749" s="20">
        <v>-28.58</v>
      </c>
      <c r="AP749" s="20">
        <v>-36.17</v>
      </c>
      <c r="AS749" s="20">
        <v>378.0</v>
      </c>
      <c r="AT749" s="20" t="s">
        <v>14</v>
      </c>
      <c r="AU749" s="20">
        <v>-27.09</v>
      </c>
      <c r="AV749" s="20">
        <v>-30.63</v>
      </c>
      <c r="BE749" s="20">
        <v>747.0</v>
      </c>
      <c r="BF749" s="20" t="s">
        <v>14</v>
      </c>
      <c r="BG749" s="20">
        <v>-2.36</v>
      </c>
      <c r="BH749" s="20">
        <v>43.89</v>
      </c>
      <c r="BM749" s="20">
        <v>-7.06</v>
      </c>
      <c r="BN749" s="20">
        <v>24.48</v>
      </c>
      <c r="BW749" s="20">
        <v>-36.1</v>
      </c>
      <c r="BX749" s="20">
        <v>-21.37</v>
      </c>
      <c r="BZ749" s="20">
        <v>-27.67</v>
      </c>
      <c r="CA749" s="20">
        <v>58.76</v>
      </c>
      <c r="CO749" s="20">
        <v>-26.19</v>
      </c>
      <c r="CP749" s="20">
        <v>-51.64</v>
      </c>
    </row>
    <row r="750">
      <c r="A750" s="20">
        <v>-43.73</v>
      </c>
      <c r="B750" s="20">
        <v>-19.02</v>
      </c>
      <c r="D750" s="20"/>
      <c r="E750" s="20"/>
      <c r="F750" s="20">
        <v>-24.33</v>
      </c>
      <c r="G750" s="20">
        <v>9.92</v>
      </c>
      <c r="I750" s="20"/>
      <c r="J750" s="20"/>
      <c r="K750" s="20">
        <v>374.0</v>
      </c>
      <c r="L750" s="20" t="s">
        <v>17</v>
      </c>
      <c r="M750" s="20">
        <v>-34.76</v>
      </c>
      <c r="N750" s="20">
        <v>-36.35</v>
      </c>
      <c r="P750" s="20">
        <v>12.74</v>
      </c>
      <c r="Q750" s="20">
        <v>13.07</v>
      </c>
      <c r="AG750" s="20">
        <v>748.0</v>
      </c>
      <c r="AH750" s="20" t="s">
        <v>14</v>
      </c>
      <c r="AI750" s="20">
        <v>-18.3</v>
      </c>
      <c r="AJ750" s="20">
        <v>-18.86</v>
      </c>
      <c r="AM750" s="20">
        <v>385.0</v>
      </c>
      <c r="AN750" s="20" t="s">
        <v>17</v>
      </c>
      <c r="AO750" s="20">
        <v>1.51</v>
      </c>
      <c r="AP750" s="20">
        <v>-2.28</v>
      </c>
      <c r="AS750" s="20">
        <v>378.0</v>
      </c>
      <c r="AT750" s="20" t="s">
        <v>17</v>
      </c>
      <c r="AU750" s="20">
        <v>-11.47</v>
      </c>
      <c r="AV750" s="20">
        <v>-3.72</v>
      </c>
      <c r="BE750" s="20">
        <v>748.0</v>
      </c>
      <c r="BF750" s="20" t="s">
        <v>14</v>
      </c>
      <c r="BG750" s="20">
        <v>5.08</v>
      </c>
      <c r="BH750" s="20">
        <v>-19.86</v>
      </c>
      <c r="BM750" s="20">
        <v>26.72</v>
      </c>
      <c r="BN750" s="20">
        <v>183.85</v>
      </c>
      <c r="BW750" s="20">
        <v>-39.05</v>
      </c>
      <c r="BX750" s="20">
        <v>7.95</v>
      </c>
      <c r="BZ750" s="20">
        <v>-41.54</v>
      </c>
      <c r="CA750" s="20">
        <v>-9.54</v>
      </c>
      <c r="CO750" s="20">
        <v>-1.55</v>
      </c>
      <c r="CP750" s="20">
        <v>-29.39</v>
      </c>
    </row>
    <row r="751">
      <c r="A751" s="20">
        <v>-56.17</v>
      </c>
      <c r="B751" s="20">
        <v>-36.12</v>
      </c>
      <c r="D751" s="20"/>
      <c r="E751" s="20"/>
      <c r="F751" s="20">
        <v>-18.14</v>
      </c>
      <c r="G751" s="20">
        <v>1.72</v>
      </c>
      <c r="I751" s="20"/>
      <c r="J751" s="20"/>
      <c r="K751" s="20">
        <v>375.0</v>
      </c>
      <c r="L751" s="20" t="s">
        <v>14</v>
      </c>
      <c r="M751" s="20">
        <v>35.92</v>
      </c>
      <c r="N751" s="20">
        <v>39.66</v>
      </c>
      <c r="P751" s="20">
        <v>-16.29</v>
      </c>
      <c r="Q751" s="20">
        <v>-10.93</v>
      </c>
      <c r="AG751" s="20">
        <v>749.0</v>
      </c>
      <c r="AH751" s="20" t="s">
        <v>14</v>
      </c>
      <c r="AI751" s="20">
        <v>-0.74</v>
      </c>
      <c r="AJ751" s="20">
        <v>7.07</v>
      </c>
      <c r="AM751" s="20">
        <v>386.0</v>
      </c>
      <c r="AN751" s="20" t="s">
        <v>14</v>
      </c>
      <c r="AO751" s="20">
        <v>16.05</v>
      </c>
      <c r="AP751" s="20">
        <v>-4.97</v>
      </c>
      <c r="AS751" s="20">
        <v>379.0</v>
      </c>
      <c r="AT751" s="20" t="s">
        <v>14</v>
      </c>
      <c r="AU751" s="20">
        <v>9.32</v>
      </c>
      <c r="AV751" s="20">
        <v>-50.82</v>
      </c>
      <c r="BE751" s="20">
        <v>749.0</v>
      </c>
      <c r="BF751" s="20" t="s">
        <v>14</v>
      </c>
      <c r="BG751" s="20">
        <v>-0.94</v>
      </c>
      <c r="BH751" s="20">
        <v>0.75</v>
      </c>
      <c r="BM751" s="20">
        <v>39.68</v>
      </c>
      <c r="BN751" s="20">
        <v>101.71</v>
      </c>
      <c r="BW751" s="20">
        <v>-60.41</v>
      </c>
      <c r="BX751" s="20">
        <v>-26.1</v>
      </c>
      <c r="BZ751" s="20">
        <v>-22.23</v>
      </c>
      <c r="CA751" s="20">
        <v>295.94</v>
      </c>
      <c r="CO751" s="20">
        <v>-20.83</v>
      </c>
      <c r="CP751" s="20">
        <v>-33.79</v>
      </c>
    </row>
    <row r="752">
      <c r="A752" s="20">
        <v>-36.89</v>
      </c>
      <c r="B752" s="20">
        <v>83.87</v>
      </c>
      <c r="D752" s="20"/>
      <c r="E752" s="20"/>
      <c r="F752" s="20">
        <v>-18.92</v>
      </c>
      <c r="G752" s="20">
        <v>-4.86</v>
      </c>
      <c r="I752" s="20"/>
      <c r="J752" s="20"/>
      <c r="K752" s="20">
        <v>375.0</v>
      </c>
      <c r="L752" s="20" t="s">
        <v>17</v>
      </c>
      <c r="M752" s="20">
        <v>-35.84</v>
      </c>
      <c r="N752" s="20">
        <v>-15.43</v>
      </c>
      <c r="P752" s="20">
        <v>-25.43</v>
      </c>
      <c r="Q752" s="20">
        <v>-18.8</v>
      </c>
      <c r="AG752" s="20">
        <v>750.0</v>
      </c>
      <c r="AH752" s="20" t="s">
        <v>14</v>
      </c>
      <c r="AI752" s="20">
        <v>-39.15</v>
      </c>
      <c r="AJ752" s="20">
        <v>-31.43</v>
      </c>
      <c r="AM752" s="20">
        <v>386.0</v>
      </c>
      <c r="AN752" s="20" t="s">
        <v>17</v>
      </c>
      <c r="AO752" s="20">
        <v>20.68</v>
      </c>
      <c r="AP752" s="20">
        <v>-17.93</v>
      </c>
      <c r="AS752" s="20">
        <v>379.0</v>
      </c>
      <c r="AT752" s="20" t="s">
        <v>17</v>
      </c>
      <c r="AU752" s="20">
        <v>-54.65</v>
      </c>
      <c r="AV752" s="20">
        <v>-40.93</v>
      </c>
      <c r="BE752" s="20">
        <v>750.0</v>
      </c>
      <c r="BF752" s="20" t="s">
        <v>14</v>
      </c>
      <c r="BG752" s="20">
        <v>-13.4</v>
      </c>
      <c r="BH752" s="20">
        <v>11.59</v>
      </c>
      <c r="BM752" s="20">
        <v>106.95</v>
      </c>
      <c r="BN752" s="20">
        <v>30.18</v>
      </c>
      <c r="BW752" s="20">
        <v>-37.0</v>
      </c>
      <c r="BX752" s="20">
        <v>12.99</v>
      </c>
      <c r="BZ752" s="20">
        <v>-67.62</v>
      </c>
      <c r="CA752" s="20">
        <v>156.45</v>
      </c>
      <c r="CO752" s="20">
        <v>-45.34</v>
      </c>
      <c r="CP752" s="20">
        <v>-29.45</v>
      </c>
    </row>
    <row r="753">
      <c r="A753" s="20">
        <v>-48.96</v>
      </c>
      <c r="B753" s="20">
        <v>-27.35</v>
      </c>
      <c r="D753" s="20"/>
      <c r="E753" s="20"/>
      <c r="F753" s="20">
        <v>16.62</v>
      </c>
      <c r="G753" s="20">
        <v>47.57</v>
      </c>
      <c r="I753" s="20"/>
      <c r="J753" s="20"/>
      <c r="K753" s="20">
        <v>376.0</v>
      </c>
      <c r="L753" s="20" t="s">
        <v>14</v>
      </c>
      <c r="M753" s="20">
        <v>-3.51</v>
      </c>
      <c r="N753" s="20">
        <v>54.63</v>
      </c>
      <c r="P753" s="20">
        <v>-24.72</v>
      </c>
      <c r="Q753" s="20">
        <v>-21.75</v>
      </c>
      <c r="AG753" s="20">
        <v>751.0</v>
      </c>
      <c r="AH753" s="20" t="s">
        <v>14</v>
      </c>
      <c r="AI753" s="20">
        <v>-8.8</v>
      </c>
      <c r="AJ753" s="20">
        <v>-7.96</v>
      </c>
      <c r="AM753" s="20">
        <v>387.0</v>
      </c>
      <c r="AN753" s="20" t="s">
        <v>14</v>
      </c>
      <c r="AO753" s="20">
        <v>-4.2</v>
      </c>
      <c r="AP753" s="20">
        <v>-24.31</v>
      </c>
      <c r="AS753" s="20">
        <v>380.0</v>
      </c>
      <c r="AT753" s="20" t="s">
        <v>14</v>
      </c>
      <c r="AU753" s="20">
        <v>9.29</v>
      </c>
      <c r="AV753" s="20">
        <v>-33.26</v>
      </c>
      <c r="BE753" s="20">
        <v>751.0</v>
      </c>
      <c r="BF753" s="20" t="s">
        <v>14</v>
      </c>
      <c r="BG753" s="20">
        <v>13.53</v>
      </c>
      <c r="BH753" s="20">
        <v>15.15</v>
      </c>
      <c r="BM753" s="20">
        <v>35.95</v>
      </c>
      <c r="BN753" s="20">
        <v>117.32</v>
      </c>
      <c r="BW753" s="20">
        <v>-9.47</v>
      </c>
      <c r="BX753" s="20">
        <v>-24.65</v>
      </c>
      <c r="BZ753" s="20">
        <v>-35.0</v>
      </c>
      <c r="CA753" s="20">
        <v>16.61</v>
      </c>
      <c r="CO753" s="20">
        <v>1.38</v>
      </c>
      <c r="CP753" s="20">
        <v>-60.55</v>
      </c>
    </row>
    <row r="754">
      <c r="A754" s="20">
        <v>-19.5</v>
      </c>
      <c r="B754" s="20">
        <v>106.31</v>
      </c>
      <c r="D754" s="20"/>
      <c r="E754" s="20"/>
      <c r="F754" s="20">
        <v>-22.23</v>
      </c>
      <c r="G754" s="20">
        <v>-2.52</v>
      </c>
      <c r="I754" s="20"/>
      <c r="J754" s="20"/>
      <c r="K754" s="20">
        <v>376.0</v>
      </c>
      <c r="L754" s="20" t="s">
        <v>17</v>
      </c>
      <c r="M754" s="20">
        <v>-12.68</v>
      </c>
      <c r="N754" s="20">
        <v>39.0</v>
      </c>
      <c r="P754" s="20">
        <v>-23.45</v>
      </c>
      <c r="Q754" s="20">
        <v>-5.62</v>
      </c>
      <c r="AG754" s="20">
        <v>752.0</v>
      </c>
      <c r="AH754" s="20" t="s">
        <v>14</v>
      </c>
      <c r="AI754" s="20">
        <v>-1.39</v>
      </c>
      <c r="AJ754" s="20">
        <v>34.18</v>
      </c>
      <c r="AM754" s="20">
        <v>387.0</v>
      </c>
      <c r="AN754" s="20" t="s">
        <v>17</v>
      </c>
      <c r="AO754" s="20">
        <v>-11.07</v>
      </c>
      <c r="AP754" s="20">
        <v>38.41</v>
      </c>
      <c r="AS754" s="20">
        <v>380.0</v>
      </c>
      <c r="AT754" s="20" t="s">
        <v>17</v>
      </c>
      <c r="AU754" s="20">
        <v>-62.85</v>
      </c>
      <c r="AV754" s="20">
        <v>-51.39</v>
      </c>
      <c r="BE754" s="20">
        <v>752.0</v>
      </c>
      <c r="BF754" s="20" t="s">
        <v>14</v>
      </c>
      <c r="BG754" s="20">
        <v>-10.01</v>
      </c>
      <c r="BH754" s="20">
        <v>35.21</v>
      </c>
      <c r="BM754" s="20">
        <v>23.45</v>
      </c>
      <c r="BN754" s="20">
        <v>102.77</v>
      </c>
      <c r="BW754" s="20">
        <v>-53.75</v>
      </c>
      <c r="BX754" s="20">
        <v>-33.94</v>
      </c>
      <c r="BZ754" s="20">
        <v>-47.88</v>
      </c>
      <c r="CA754" s="20">
        <v>20.64</v>
      </c>
      <c r="CO754" s="20">
        <v>-29.77</v>
      </c>
      <c r="CP754" s="20">
        <v>-53.58</v>
      </c>
    </row>
    <row r="755">
      <c r="A755" s="20">
        <v>-26.08</v>
      </c>
      <c r="B755" s="20">
        <v>101.5</v>
      </c>
      <c r="D755" s="20"/>
      <c r="E755" s="20"/>
      <c r="F755" s="20">
        <v>-18.44</v>
      </c>
      <c r="G755" s="20">
        <v>18.73</v>
      </c>
      <c r="I755" s="20"/>
      <c r="J755" s="20"/>
      <c r="K755" s="20">
        <v>377.0</v>
      </c>
      <c r="L755" s="20" t="s">
        <v>14</v>
      </c>
      <c r="M755" s="20">
        <v>23.22</v>
      </c>
      <c r="N755" s="20">
        <v>-34.0</v>
      </c>
      <c r="P755" s="20">
        <v>29.37</v>
      </c>
      <c r="Q755" s="20">
        <v>48.26</v>
      </c>
      <c r="AG755" s="20">
        <v>753.0</v>
      </c>
      <c r="AH755" s="20" t="s">
        <v>14</v>
      </c>
      <c r="AI755" s="20">
        <v>-9.67</v>
      </c>
      <c r="AJ755" s="20">
        <v>10.16</v>
      </c>
      <c r="AM755" s="20">
        <v>388.0</v>
      </c>
      <c r="AN755" s="20" t="s">
        <v>14</v>
      </c>
      <c r="AO755" s="20">
        <v>19.46</v>
      </c>
      <c r="AP755" s="20">
        <v>-4.79</v>
      </c>
      <c r="AS755" s="20">
        <v>381.0</v>
      </c>
      <c r="AT755" s="20" t="s">
        <v>14</v>
      </c>
      <c r="AU755" s="20">
        <v>53.25</v>
      </c>
      <c r="AV755" s="20">
        <v>-0.24</v>
      </c>
      <c r="BE755" s="20">
        <v>753.0</v>
      </c>
      <c r="BF755" s="20" t="s">
        <v>14</v>
      </c>
      <c r="BG755" s="20">
        <v>20.6</v>
      </c>
      <c r="BH755" s="20">
        <v>25.18</v>
      </c>
      <c r="BM755" s="20">
        <v>79.2</v>
      </c>
      <c r="BN755" s="20">
        <v>98.95</v>
      </c>
      <c r="BW755" s="20">
        <v>-44.87</v>
      </c>
      <c r="BX755" s="20">
        <v>5.02</v>
      </c>
      <c r="BZ755" s="20">
        <v>-21.79</v>
      </c>
      <c r="CA755" s="20">
        <v>154.19</v>
      </c>
      <c r="CO755" s="20">
        <v>-21.99</v>
      </c>
      <c r="CP755" s="20">
        <v>-43.98</v>
      </c>
    </row>
    <row r="756">
      <c r="A756" s="20">
        <v>11.82</v>
      </c>
      <c r="B756" s="20">
        <v>32.29</v>
      </c>
      <c r="D756" s="20"/>
      <c r="E756" s="20"/>
      <c r="F756" s="20">
        <v>-49.47</v>
      </c>
      <c r="G756" s="20">
        <v>-5.31</v>
      </c>
      <c r="I756" s="20"/>
      <c r="J756" s="20"/>
      <c r="K756" s="20">
        <v>377.0</v>
      </c>
      <c r="L756" s="20" t="s">
        <v>17</v>
      </c>
      <c r="M756" s="20">
        <v>-7.89</v>
      </c>
      <c r="N756" s="20">
        <v>112.7</v>
      </c>
      <c r="P756" s="20">
        <v>35.82</v>
      </c>
      <c r="Q756" s="20">
        <v>137.02</v>
      </c>
      <c r="AG756" s="20">
        <v>754.0</v>
      </c>
      <c r="AH756" s="20" t="s">
        <v>14</v>
      </c>
      <c r="AI756" s="20">
        <v>-31.49</v>
      </c>
      <c r="AJ756" s="20">
        <v>-29.98</v>
      </c>
      <c r="AM756" s="20">
        <v>388.0</v>
      </c>
      <c r="AN756" s="20" t="s">
        <v>17</v>
      </c>
      <c r="AO756" s="20">
        <v>3.47</v>
      </c>
      <c r="AP756" s="20">
        <v>-2.28</v>
      </c>
      <c r="AS756" s="20">
        <v>381.0</v>
      </c>
      <c r="AT756" s="20" t="s">
        <v>17</v>
      </c>
      <c r="AU756" s="20">
        <v>29.71</v>
      </c>
      <c r="AV756" s="20">
        <v>-43.65</v>
      </c>
      <c r="BE756" s="20">
        <v>754.0</v>
      </c>
      <c r="BF756" s="20" t="s">
        <v>14</v>
      </c>
      <c r="BG756" s="20">
        <v>11.4</v>
      </c>
      <c r="BH756" s="20">
        <v>61.9</v>
      </c>
      <c r="BM756" s="20">
        <v>174.05</v>
      </c>
      <c r="BN756" s="20">
        <v>137.4</v>
      </c>
      <c r="BW756" s="20">
        <v>-39.53</v>
      </c>
      <c r="BX756" s="20">
        <v>-31.02</v>
      </c>
      <c r="BZ756" s="20">
        <v>-45.26</v>
      </c>
      <c r="CA756" s="20">
        <v>127.49</v>
      </c>
      <c r="CO756" s="20">
        <v>-45.69</v>
      </c>
      <c r="CP756" s="20">
        <v>-64.87</v>
      </c>
    </row>
    <row r="757">
      <c r="A757" s="20">
        <v>-26.14</v>
      </c>
      <c r="B757" s="20">
        <v>3.01</v>
      </c>
      <c r="D757" s="20"/>
      <c r="E757" s="20"/>
      <c r="F757" s="20">
        <v>-43.45</v>
      </c>
      <c r="G757" s="20">
        <v>-4.07</v>
      </c>
      <c r="I757" s="20"/>
      <c r="J757" s="20"/>
      <c r="K757" s="20">
        <v>378.0</v>
      </c>
      <c r="L757" s="20" t="s">
        <v>14</v>
      </c>
      <c r="M757" s="20">
        <v>-21.94</v>
      </c>
      <c r="N757" s="20">
        <v>-4.11</v>
      </c>
      <c r="P757" s="20">
        <v>-16.52</v>
      </c>
      <c r="Q757" s="20">
        <v>-12.37</v>
      </c>
      <c r="AG757" s="20">
        <v>755.0</v>
      </c>
      <c r="AH757" s="20" t="s">
        <v>14</v>
      </c>
      <c r="AI757" s="20">
        <v>10.47</v>
      </c>
      <c r="AJ757" s="20">
        <v>25.17</v>
      </c>
      <c r="AM757" s="20">
        <v>389.0</v>
      </c>
      <c r="AN757" s="20" t="s">
        <v>14</v>
      </c>
      <c r="AO757" s="20">
        <v>9.41</v>
      </c>
      <c r="AP757" s="20">
        <v>-38.87</v>
      </c>
      <c r="AS757" s="20">
        <v>382.0</v>
      </c>
      <c r="AT757" s="20" t="s">
        <v>14</v>
      </c>
      <c r="AU757" s="20">
        <v>39.28</v>
      </c>
      <c r="AV757" s="20">
        <v>-14.35</v>
      </c>
      <c r="BE757" s="20">
        <v>755.0</v>
      </c>
      <c r="BF757" s="20" t="s">
        <v>14</v>
      </c>
      <c r="BG757" s="20">
        <v>-21.35</v>
      </c>
      <c r="BH757" s="20">
        <v>24.69</v>
      </c>
      <c r="BM757" s="20">
        <v>14.7</v>
      </c>
      <c r="BN757" s="20">
        <v>74.83</v>
      </c>
      <c r="BW757" s="20">
        <v>-35.8</v>
      </c>
      <c r="BX757" s="20">
        <v>-2.54</v>
      </c>
      <c r="BZ757" s="20">
        <v>-25.29</v>
      </c>
      <c r="CA757" s="20">
        <v>62.97</v>
      </c>
      <c r="CO757" s="20">
        <v>-17.35</v>
      </c>
      <c r="CP757" s="20">
        <v>-25.06</v>
      </c>
    </row>
    <row r="758">
      <c r="A758" s="20">
        <v>-5.38</v>
      </c>
      <c r="B758" s="20">
        <v>-28.44</v>
      </c>
      <c r="D758" s="20"/>
      <c r="E758" s="20"/>
      <c r="F758" s="20">
        <v>-45.84</v>
      </c>
      <c r="G758" s="20">
        <v>17.57</v>
      </c>
      <c r="I758" s="20"/>
      <c r="J758" s="20"/>
      <c r="K758" s="20">
        <v>378.0</v>
      </c>
      <c r="L758" s="20" t="s">
        <v>17</v>
      </c>
      <c r="M758" s="20">
        <v>-21.82</v>
      </c>
      <c r="N758" s="20">
        <v>-14.09</v>
      </c>
      <c r="P758" s="20">
        <v>-26.14</v>
      </c>
      <c r="Q758" s="20">
        <v>9.64</v>
      </c>
      <c r="AG758" s="20">
        <v>756.0</v>
      </c>
      <c r="AH758" s="20" t="s">
        <v>14</v>
      </c>
      <c r="AI758" s="20">
        <v>-14.31</v>
      </c>
      <c r="AJ758" s="20">
        <v>-10.26</v>
      </c>
      <c r="AM758" s="20">
        <v>389.0</v>
      </c>
      <c r="AN758" s="20" t="s">
        <v>17</v>
      </c>
      <c r="AO758" s="20">
        <v>48.06</v>
      </c>
      <c r="AP758" s="20">
        <v>-20.24</v>
      </c>
      <c r="AS758" s="20">
        <v>382.0</v>
      </c>
      <c r="AT758" s="20" t="s">
        <v>17</v>
      </c>
      <c r="AU758" s="20">
        <v>-37.61</v>
      </c>
      <c r="AV758" s="20">
        <v>-34.68</v>
      </c>
      <c r="BE758" s="20">
        <v>756.0</v>
      </c>
      <c r="BF758" s="20" t="s">
        <v>14</v>
      </c>
      <c r="BG758" s="20">
        <v>15.68</v>
      </c>
      <c r="BH758" s="20">
        <v>27.54</v>
      </c>
      <c r="BM758" s="20">
        <v>1.12</v>
      </c>
      <c r="BN758" s="20">
        <v>90.98</v>
      </c>
      <c r="BW758" s="20">
        <v>-29.39</v>
      </c>
      <c r="BX758" s="20">
        <v>16.84</v>
      </c>
      <c r="BZ758" s="20">
        <v>-34.83</v>
      </c>
      <c r="CA758" s="20">
        <v>24.13</v>
      </c>
      <c r="CO758" s="20">
        <v>-12.46</v>
      </c>
      <c r="CP758" s="20">
        <v>-28.16</v>
      </c>
    </row>
    <row r="759">
      <c r="A759" s="20">
        <v>-1.52</v>
      </c>
      <c r="B759" s="20">
        <v>-24.5</v>
      </c>
      <c r="D759" s="20"/>
      <c r="E759" s="20"/>
      <c r="F759" s="20">
        <v>5.58</v>
      </c>
      <c r="G759" s="20">
        <v>-4.69</v>
      </c>
      <c r="I759" s="20"/>
      <c r="J759" s="20"/>
      <c r="K759" s="20">
        <v>379.0</v>
      </c>
      <c r="L759" s="20" t="s">
        <v>14</v>
      </c>
      <c r="M759" s="20">
        <v>15.81</v>
      </c>
      <c r="N759" s="20">
        <v>87.0</v>
      </c>
      <c r="P759" s="20">
        <v>62.4</v>
      </c>
      <c r="Q759" s="20">
        <v>106.03</v>
      </c>
      <c r="AG759" s="20">
        <v>757.0</v>
      </c>
      <c r="AH759" s="20" t="s">
        <v>14</v>
      </c>
      <c r="AI759" s="20">
        <v>5.01</v>
      </c>
      <c r="AJ759" s="20">
        <v>17.76</v>
      </c>
      <c r="AM759" s="20">
        <v>390.0</v>
      </c>
      <c r="AN759" s="20" t="s">
        <v>14</v>
      </c>
      <c r="AO759" s="20">
        <v>5.27</v>
      </c>
      <c r="AP759" s="20">
        <v>-30.46</v>
      </c>
      <c r="AS759" s="20">
        <v>383.0</v>
      </c>
      <c r="AT759" s="20" t="s">
        <v>14</v>
      </c>
      <c r="AU759" s="20">
        <v>18.99</v>
      </c>
      <c r="AV759" s="20">
        <v>-9.37</v>
      </c>
      <c r="BE759" s="20">
        <v>757.0</v>
      </c>
      <c r="BF759" s="20" t="s">
        <v>14</v>
      </c>
      <c r="BG759" s="20">
        <v>31.5</v>
      </c>
      <c r="BH759" s="20">
        <v>36.41</v>
      </c>
      <c r="BM759" s="20">
        <v>43.31</v>
      </c>
      <c r="BN759" s="20">
        <v>101.75</v>
      </c>
      <c r="BW759" s="20">
        <v>-34.62</v>
      </c>
      <c r="BX759" s="20">
        <v>7.48</v>
      </c>
      <c r="BZ759" s="20">
        <v>-52.24</v>
      </c>
      <c r="CA759" s="20">
        <v>21.37</v>
      </c>
      <c r="CO759" s="20">
        <v>21.17</v>
      </c>
      <c r="CP759" s="20">
        <v>-26.81</v>
      </c>
    </row>
    <row r="760">
      <c r="A760" s="20">
        <v>-30.75</v>
      </c>
      <c r="B760" s="20">
        <v>61.54</v>
      </c>
      <c r="D760" s="20"/>
      <c r="E760" s="20"/>
      <c r="F760" s="20">
        <v>-11.24</v>
      </c>
      <c r="G760" s="20">
        <v>22.83</v>
      </c>
      <c r="I760" s="20"/>
      <c r="J760" s="20"/>
      <c r="K760" s="20">
        <v>379.0</v>
      </c>
      <c r="L760" s="20" t="s">
        <v>17</v>
      </c>
      <c r="M760" s="20">
        <v>54.91</v>
      </c>
      <c r="N760" s="20">
        <v>-28.83</v>
      </c>
      <c r="P760" s="20">
        <v>43.34</v>
      </c>
      <c r="Q760" s="20">
        <v>158.78</v>
      </c>
      <c r="AG760" s="20">
        <v>758.0</v>
      </c>
      <c r="AH760" s="20" t="s">
        <v>14</v>
      </c>
      <c r="AI760" s="20">
        <v>13.75</v>
      </c>
      <c r="AJ760" s="20">
        <v>25.72</v>
      </c>
      <c r="AM760" s="20">
        <v>390.0</v>
      </c>
      <c r="AN760" s="20" t="s">
        <v>17</v>
      </c>
      <c r="AO760" s="20">
        <v>0.42</v>
      </c>
      <c r="AP760" s="20">
        <v>-26.15</v>
      </c>
      <c r="AS760" s="20">
        <v>383.0</v>
      </c>
      <c r="AT760" s="20" t="s">
        <v>17</v>
      </c>
      <c r="AU760" s="20">
        <v>-40.65</v>
      </c>
      <c r="AV760" s="20">
        <v>0.77</v>
      </c>
      <c r="BE760" s="20">
        <v>758.0</v>
      </c>
      <c r="BF760" s="20" t="s">
        <v>14</v>
      </c>
      <c r="BG760" s="20">
        <v>-3.93</v>
      </c>
      <c r="BH760" s="20">
        <v>11.19</v>
      </c>
      <c r="BM760" s="20">
        <v>117.0</v>
      </c>
      <c r="BN760" s="20">
        <v>150.3</v>
      </c>
      <c r="BW760" s="20">
        <v>-64.01</v>
      </c>
      <c r="BX760" s="20">
        <v>-31.48</v>
      </c>
      <c r="BZ760" s="20">
        <v>-49.72</v>
      </c>
      <c r="CA760" s="20">
        <v>82.41</v>
      </c>
      <c r="CO760" s="20">
        <v>29.07</v>
      </c>
      <c r="CP760" s="20">
        <v>-53.59</v>
      </c>
    </row>
    <row r="761">
      <c r="A761" s="20">
        <v>-46.89</v>
      </c>
      <c r="B761" s="20">
        <v>28.34</v>
      </c>
      <c r="D761" s="20"/>
      <c r="E761" s="20"/>
      <c r="F761" s="20">
        <v>-16.83</v>
      </c>
      <c r="G761" s="20">
        <v>27.92</v>
      </c>
      <c r="I761" s="20"/>
      <c r="J761" s="20"/>
      <c r="K761" s="20">
        <v>380.0</v>
      </c>
      <c r="L761" s="20" t="s">
        <v>14</v>
      </c>
      <c r="M761" s="20">
        <v>65.92</v>
      </c>
      <c r="N761" s="20">
        <v>71.12</v>
      </c>
      <c r="P761" s="20">
        <v>-43.5</v>
      </c>
      <c r="Q761" s="20">
        <v>-33.08</v>
      </c>
      <c r="AG761" s="20">
        <v>759.0</v>
      </c>
      <c r="AH761" s="20" t="s">
        <v>14</v>
      </c>
      <c r="AI761" s="20">
        <v>5.18</v>
      </c>
      <c r="AJ761" s="20">
        <v>18.83</v>
      </c>
      <c r="AM761" s="20">
        <v>391.0</v>
      </c>
      <c r="AN761" s="20" t="s">
        <v>14</v>
      </c>
      <c r="AO761" s="20">
        <v>64.07</v>
      </c>
      <c r="AP761" s="20">
        <v>16.54</v>
      </c>
      <c r="AS761" s="20">
        <v>384.0</v>
      </c>
      <c r="AT761" s="20" t="s">
        <v>14</v>
      </c>
      <c r="AU761" s="20">
        <v>10.25</v>
      </c>
      <c r="AV761" s="20">
        <v>-24.66</v>
      </c>
      <c r="BE761" s="20">
        <v>759.0</v>
      </c>
      <c r="BF761" s="20" t="s">
        <v>14</v>
      </c>
      <c r="BG761" s="20">
        <v>4.67</v>
      </c>
      <c r="BH761" s="20">
        <v>3.22</v>
      </c>
      <c r="BM761" s="20">
        <v>6.16</v>
      </c>
      <c r="BN761" s="20">
        <v>109.66</v>
      </c>
      <c r="BW761" s="20">
        <v>-57.84</v>
      </c>
      <c r="BX761" s="20">
        <v>-0.74</v>
      </c>
      <c r="BZ761" s="20">
        <v>-25.48</v>
      </c>
      <c r="CA761" s="20">
        <v>20.84</v>
      </c>
      <c r="CO761" s="20">
        <v>-18.15</v>
      </c>
      <c r="CP761" s="20">
        <v>-24.41</v>
      </c>
    </row>
    <row r="762">
      <c r="A762" s="20">
        <v>-45.31</v>
      </c>
      <c r="B762" s="20">
        <v>50.51</v>
      </c>
      <c r="D762" s="20"/>
      <c r="E762" s="20"/>
      <c r="F762" s="20">
        <v>10.26</v>
      </c>
      <c r="G762" s="20">
        <v>-36.82</v>
      </c>
      <c r="I762" s="20"/>
      <c r="J762" s="20"/>
      <c r="K762" s="20">
        <v>380.0</v>
      </c>
      <c r="L762" s="20" t="s">
        <v>17</v>
      </c>
      <c r="M762" s="20">
        <v>-25.72</v>
      </c>
      <c r="N762" s="20">
        <v>0.89</v>
      </c>
      <c r="P762" s="20">
        <v>27.67</v>
      </c>
      <c r="Q762" s="20">
        <v>52.4</v>
      </c>
      <c r="AG762" s="20">
        <v>760.0</v>
      </c>
      <c r="AH762" s="20" t="s">
        <v>14</v>
      </c>
      <c r="AI762" s="20">
        <v>-45.69</v>
      </c>
      <c r="AJ762" s="20">
        <v>-42.71</v>
      </c>
      <c r="AM762" s="20">
        <v>391.0</v>
      </c>
      <c r="AN762" s="20" t="s">
        <v>17</v>
      </c>
      <c r="AO762" s="20">
        <v>18.51</v>
      </c>
      <c r="AP762" s="20">
        <v>11.51</v>
      </c>
      <c r="AS762" s="20">
        <v>384.0</v>
      </c>
      <c r="AT762" s="20" t="s">
        <v>17</v>
      </c>
      <c r="AU762" s="20">
        <v>-43.69</v>
      </c>
      <c r="AV762" s="20">
        <v>-14.97</v>
      </c>
      <c r="BE762" s="20">
        <v>760.0</v>
      </c>
      <c r="BF762" s="20" t="s">
        <v>14</v>
      </c>
      <c r="BG762" s="20">
        <v>28.36</v>
      </c>
      <c r="BH762" s="20">
        <v>1.37</v>
      </c>
      <c r="BM762" s="20">
        <v>-8.3</v>
      </c>
      <c r="BN762" s="20">
        <v>54.5</v>
      </c>
      <c r="BW762" s="20">
        <v>-55.21</v>
      </c>
      <c r="BX762" s="20">
        <v>25.64</v>
      </c>
      <c r="BZ762" s="20">
        <v>-29.05</v>
      </c>
      <c r="CA762" s="20">
        <v>22.68</v>
      </c>
      <c r="CO762" s="20">
        <v>-29.73</v>
      </c>
      <c r="CP762" s="20">
        <v>-30.74</v>
      </c>
    </row>
    <row r="763">
      <c r="A763" s="20">
        <v>65.53</v>
      </c>
      <c r="B763" s="20">
        <v>136.97</v>
      </c>
      <c r="D763" s="20"/>
      <c r="E763" s="20"/>
      <c r="F763" s="20">
        <v>-3.34</v>
      </c>
      <c r="G763" s="20">
        <v>-13.33</v>
      </c>
      <c r="I763" s="20"/>
      <c r="J763" s="20"/>
      <c r="K763" s="20">
        <v>381.0</v>
      </c>
      <c r="L763" s="20" t="s">
        <v>14</v>
      </c>
      <c r="M763" s="20">
        <v>-16.48</v>
      </c>
      <c r="N763" s="20">
        <v>-2.53</v>
      </c>
      <c r="P763" s="20">
        <v>-30.27</v>
      </c>
      <c r="Q763" s="20">
        <v>13.98</v>
      </c>
      <c r="AG763" s="20">
        <v>761.0</v>
      </c>
      <c r="AH763" s="20" t="s">
        <v>14</v>
      </c>
      <c r="AI763" s="20">
        <v>-18.8</v>
      </c>
      <c r="AJ763" s="20">
        <v>-11.47</v>
      </c>
      <c r="AM763" s="20">
        <v>392.0</v>
      </c>
      <c r="AN763" s="20" t="s">
        <v>14</v>
      </c>
      <c r="AO763" s="20">
        <v>25.53</v>
      </c>
      <c r="AP763" s="20">
        <v>-17.09</v>
      </c>
      <c r="AS763" s="20">
        <v>385.0</v>
      </c>
      <c r="AT763" s="20" t="s">
        <v>14</v>
      </c>
      <c r="AU763" s="20">
        <v>-42.69</v>
      </c>
      <c r="AV763" s="20">
        <v>-70.68</v>
      </c>
      <c r="BE763" s="20">
        <v>761.0</v>
      </c>
      <c r="BF763" s="20" t="s">
        <v>14</v>
      </c>
      <c r="BG763" s="20">
        <v>38.21</v>
      </c>
      <c r="BH763" s="20">
        <v>4.07</v>
      </c>
      <c r="BM763" s="20">
        <v>23.62</v>
      </c>
      <c r="BN763" s="20">
        <v>110.54</v>
      </c>
      <c r="BW763" s="20">
        <v>-41.02</v>
      </c>
      <c r="BX763" s="20">
        <v>-25.38</v>
      </c>
      <c r="BZ763" s="20">
        <v>-42.41</v>
      </c>
      <c r="CA763" s="20">
        <v>53.67</v>
      </c>
      <c r="CO763" s="20">
        <v>-15.08</v>
      </c>
      <c r="CP763" s="20">
        <v>-37.63</v>
      </c>
    </row>
    <row r="764">
      <c r="A764" s="20">
        <v>-13.73</v>
      </c>
      <c r="B764" s="20">
        <v>45.9</v>
      </c>
      <c r="D764" s="20"/>
      <c r="E764" s="20"/>
      <c r="F764" s="20">
        <v>-30.15</v>
      </c>
      <c r="G764" s="20">
        <v>-13.15</v>
      </c>
      <c r="I764" s="20"/>
      <c r="J764" s="20"/>
      <c r="K764" s="20">
        <v>381.0</v>
      </c>
      <c r="L764" s="20" t="s">
        <v>17</v>
      </c>
      <c r="M764" s="20">
        <v>-30.35</v>
      </c>
      <c r="N764" s="20">
        <v>-22.53</v>
      </c>
      <c r="P764" s="20">
        <v>31.02</v>
      </c>
      <c r="Q764" s="20">
        <v>71.12</v>
      </c>
      <c r="AG764" s="20">
        <v>762.0</v>
      </c>
      <c r="AH764" s="20" t="s">
        <v>14</v>
      </c>
      <c r="AI764" s="20">
        <v>-9.6</v>
      </c>
      <c r="AJ764" s="20">
        <v>-6.71</v>
      </c>
      <c r="AM764" s="20">
        <v>392.0</v>
      </c>
      <c r="AN764" s="20" t="s">
        <v>17</v>
      </c>
      <c r="AO764" s="20">
        <v>-56.65</v>
      </c>
      <c r="AP764" s="20">
        <v>-13.28</v>
      </c>
      <c r="AS764" s="20">
        <v>385.0</v>
      </c>
      <c r="AT764" s="20" t="s">
        <v>17</v>
      </c>
      <c r="AU764" s="20">
        <v>-39.9</v>
      </c>
      <c r="AV764" s="20">
        <v>-67.84</v>
      </c>
      <c r="BE764" s="20">
        <v>762.0</v>
      </c>
      <c r="BF764" s="20" t="s">
        <v>14</v>
      </c>
      <c r="BG764" s="20">
        <v>-7.09</v>
      </c>
      <c r="BH764" s="20">
        <v>1.17</v>
      </c>
      <c r="BM764" s="20">
        <v>34.39</v>
      </c>
      <c r="BN764" s="20">
        <v>81.2</v>
      </c>
      <c r="BW764" s="20">
        <v>-50.38</v>
      </c>
      <c r="BX764" s="20">
        <v>-19.32</v>
      </c>
      <c r="BZ764" s="20">
        <v>-29.03</v>
      </c>
      <c r="CA764" s="20">
        <v>-5.82</v>
      </c>
      <c r="CO764" s="20">
        <v>30.08</v>
      </c>
      <c r="CP764" s="20">
        <v>-44.14</v>
      </c>
    </row>
    <row r="765">
      <c r="A765" s="20">
        <v>-0.15</v>
      </c>
      <c r="B765" s="20">
        <v>104.08</v>
      </c>
      <c r="D765" s="20"/>
      <c r="E765" s="20"/>
      <c r="F765" s="20">
        <v>11.93</v>
      </c>
      <c r="G765" s="20">
        <v>8.57</v>
      </c>
      <c r="I765" s="20"/>
      <c r="J765" s="20"/>
      <c r="K765" s="20">
        <v>382.0</v>
      </c>
      <c r="L765" s="20" t="s">
        <v>14</v>
      </c>
      <c r="M765" s="20">
        <v>-25.16</v>
      </c>
      <c r="N765" s="20">
        <v>0.29</v>
      </c>
      <c r="P765" s="20">
        <v>-29.25</v>
      </c>
      <c r="Q765" s="20">
        <v>36.53</v>
      </c>
      <c r="AG765" s="20">
        <v>763.0</v>
      </c>
      <c r="AH765" s="20" t="s">
        <v>14</v>
      </c>
      <c r="AI765" s="20">
        <v>-6.9</v>
      </c>
      <c r="AJ765" s="20">
        <v>9.38</v>
      </c>
      <c r="AM765" s="20">
        <v>393.0</v>
      </c>
      <c r="AN765" s="20" t="s">
        <v>14</v>
      </c>
      <c r="AO765" s="20">
        <v>-11.85</v>
      </c>
      <c r="AP765" s="20">
        <v>-8.63</v>
      </c>
      <c r="AS765" s="20">
        <v>386.0</v>
      </c>
      <c r="AT765" s="20" t="s">
        <v>14</v>
      </c>
      <c r="AU765" s="20">
        <v>-43.05</v>
      </c>
      <c r="AV765" s="20">
        <v>-42.17</v>
      </c>
      <c r="BE765" s="20">
        <v>763.0</v>
      </c>
      <c r="BF765" s="20" t="s">
        <v>14</v>
      </c>
      <c r="BG765" s="20">
        <v>27.63</v>
      </c>
      <c r="BH765" s="20">
        <v>13.25</v>
      </c>
      <c r="BM765" s="20">
        <v>16.15</v>
      </c>
      <c r="BN765" s="20">
        <v>91.75</v>
      </c>
      <c r="BW765" s="20">
        <v>-36.45</v>
      </c>
      <c r="BX765" s="20">
        <v>-11.7</v>
      </c>
      <c r="BZ765" s="20">
        <v>-0.66</v>
      </c>
      <c r="CA765" s="20">
        <v>128.56</v>
      </c>
      <c r="CO765" s="20">
        <v>-31.32</v>
      </c>
      <c r="CP765" s="20">
        <v>-46.23</v>
      </c>
    </row>
    <row r="766">
      <c r="A766" s="20">
        <v>41.67</v>
      </c>
      <c r="B766" s="20">
        <v>-1.34</v>
      </c>
      <c r="D766" s="20"/>
      <c r="E766" s="20"/>
      <c r="F766" s="20">
        <v>10.53</v>
      </c>
      <c r="G766" s="20">
        <v>-6.12</v>
      </c>
      <c r="I766" s="20"/>
      <c r="J766" s="20"/>
      <c r="K766" s="20">
        <v>382.0</v>
      </c>
      <c r="L766" s="20" t="s">
        <v>17</v>
      </c>
      <c r="M766" s="20">
        <v>99.34</v>
      </c>
      <c r="N766" s="20">
        <v>17.32</v>
      </c>
      <c r="P766" s="20">
        <v>-35.84</v>
      </c>
      <c r="Q766" s="20">
        <v>9.46</v>
      </c>
      <c r="AG766" s="20">
        <v>764.0</v>
      </c>
      <c r="AH766" s="20" t="s">
        <v>14</v>
      </c>
      <c r="AI766" s="20">
        <v>2.78</v>
      </c>
      <c r="AJ766" s="20">
        <v>16.02</v>
      </c>
      <c r="AM766" s="20">
        <v>393.0</v>
      </c>
      <c r="AN766" s="20" t="s">
        <v>17</v>
      </c>
      <c r="AO766" s="20">
        <v>13.62</v>
      </c>
      <c r="AP766" s="20">
        <v>-27.71</v>
      </c>
      <c r="AS766" s="20">
        <v>386.0</v>
      </c>
      <c r="AT766" s="20" t="s">
        <v>17</v>
      </c>
      <c r="AU766" s="20">
        <v>-19.97</v>
      </c>
      <c r="AV766" s="20">
        <v>-33.68</v>
      </c>
      <c r="BE766" s="20">
        <v>764.0</v>
      </c>
      <c r="BF766" s="20" t="s">
        <v>14</v>
      </c>
      <c r="BG766" s="20">
        <v>-19.0</v>
      </c>
      <c r="BH766" s="20">
        <v>34.24</v>
      </c>
      <c r="BM766" s="20">
        <v>20.52</v>
      </c>
      <c r="BN766" s="20">
        <v>116.01</v>
      </c>
      <c r="BW766" s="20">
        <v>-45.57</v>
      </c>
      <c r="BX766" s="20">
        <v>-12.34</v>
      </c>
      <c r="BZ766" s="20">
        <v>-40.27</v>
      </c>
      <c r="CA766" s="20">
        <v>-13.45</v>
      </c>
      <c r="CO766" s="20">
        <v>-31.54</v>
      </c>
      <c r="CP766" s="20">
        <v>-57.56</v>
      </c>
    </row>
    <row r="767">
      <c r="A767" s="20">
        <v>-19.44</v>
      </c>
      <c r="B767" s="20">
        <v>62.07</v>
      </c>
      <c r="D767" s="20"/>
      <c r="E767" s="20"/>
      <c r="F767" s="20">
        <v>-5.88</v>
      </c>
      <c r="G767" s="20">
        <v>-16.3</v>
      </c>
      <c r="I767" s="20"/>
      <c r="J767" s="20"/>
      <c r="K767" s="20">
        <v>383.0</v>
      </c>
      <c r="L767" s="20" t="s">
        <v>14</v>
      </c>
      <c r="M767" s="20">
        <v>-14.62</v>
      </c>
      <c r="N767" s="20">
        <v>-25.12</v>
      </c>
      <c r="P767" s="20">
        <v>-33.5</v>
      </c>
      <c r="Q767" s="20">
        <v>-47.62</v>
      </c>
      <c r="AG767" s="20">
        <v>765.0</v>
      </c>
      <c r="AH767" s="20" t="s">
        <v>14</v>
      </c>
      <c r="AI767" s="20">
        <v>-4.6</v>
      </c>
      <c r="AJ767" s="20">
        <v>2.79</v>
      </c>
      <c r="AM767" s="20">
        <v>394.0</v>
      </c>
      <c r="AN767" s="20" t="s">
        <v>14</v>
      </c>
      <c r="AO767" s="20">
        <v>-28.92</v>
      </c>
      <c r="AP767" s="20">
        <v>-37.99</v>
      </c>
      <c r="AS767" s="20">
        <v>387.0</v>
      </c>
      <c r="AT767" s="20" t="s">
        <v>14</v>
      </c>
      <c r="AU767" s="20">
        <v>-7.52</v>
      </c>
      <c r="AV767" s="20">
        <v>-73.92</v>
      </c>
      <c r="BE767" s="20">
        <v>765.0</v>
      </c>
      <c r="BF767" s="20" t="s">
        <v>14</v>
      </c>
      <c r="BG767" s="20">
        <v>-3.48</v>
      </c>
      <c r="BH767" s="20">
        <v>13.04</v>
      </c>
      <c r="BM767" s="20">
        <v>64.87</v>
      </c>
      <c r="BN767" s="20">
        <v>148.12</v>
      </c>
      <c r="BW767" s="20">
        <v>-49.35</v>
      </c>
      <c r="BX767" s="20">
        <v>5.9</v>
      </c>
      <c r="BZ767" s="20">
        <v>-30.07</v>
      </c>
      <c r="CA767" s="20">
        <v>32.41</v>
      </c>
      <c r="CO767" s="20">
        <v>-34.16</v>
      </c>
      <c r="CP767" s="20">
        <v>-62.19</v>
      </c>
    </row>
    <row r="768">
      <c r="A768" s="20">
        <v>70.77</v>
      </c>
      <c r="B768" s="20">
        <v>37.17</v>
      </c>
      <c r="D768" s="20"/>
      <c r="E768" s="20"/>
      <c r="F768" s="20">
        <v>3.24</v>
      </c>
      <c r="G768" s="20">
        <v>1.25</v>
      </c>
      <c r="I768" s="20"/>
      <c r="J768" s="20"/>
      <c r="K768" s="20">
        <v>383.0</v>
      </c>
      <c r="L768" s="20" t="s">
        <v>17</v>
      </c>
      <c r="M768" s="20">
        <v>-13.62</v>
      </c>
      <c r="N768" s="20">
        <v>-19.41</v>
      </c>
      <c r="P768" s="20">
        <v>32.21</v>
      </c>
      <c r="Q768" s="20">
        <v>137.29</v>
      </c>
      <c r="AG768" s="20">
        <v>766.0</v>
      </c>
      <c r="AH768" s="20" t="s">
        <v>14</v>
      </c>
      <c r="AI768" s="20">
        <v>3.58</v>
      </c>
      <c r="AJ768" s="20">
        <v>22.63</v>
      </c>
      <c r="AM768" s="20">
        <v>394.0</v>
      </c>
      <c r="AN768" s="20" t="s">
        <v>17</v>
      </c>
      <c r="AO768" s="20">
        <v>-38.54</v>
      </c>
      <c r="AP768" s="20">
        <v>7.39</v>
      </c>
      <c r="AS768" s="20">
        <v>387.0</v>
      </c>
      <c r="AT768" s="20" t="s">
        <v>17</v>
      </c>
      <c r="AU768" s="20">
        <v>-62.6</v>
      </c>
      <c r="AV768" s="20">
        <v>-63.41</v>
      </c>
      <c r="BE768" s="20">
        <v>766.0</v>
      </c>
      <c r="BF768" s="20" t="s">
        <v>14</v>
      </c>
      <c r="BG768" s="20">
        <v>14.29</v>
      </c>
      <c r="BH768" s="20">
        <v>16.95</v>
      </c>
      <c r="BM768" s="20">
        <v>201.59</v>
      </c>
      <c r="BN768" s="20">
        <v>63.17</v>
      </c>
      <c r="BW768" s="20">
        <v>19.32</v>
      </c>
      <c r="BX768" s="20">
        <v>-50.02</v>
      </c>
      <c r="BZ768" s="20">
        <v>-60.34</v>
      </c>
      <c r="CA768" s="20">
        <v>27.93</v>
      </c>
      <c r="CO768" s="20">
        <v>-28.32</v>
      </c>
      <c r="CP768" s="20">
        <v>-48.95</v>
      </c>
    </row>
    <row r="769">
      <c r="A769" s="20">
        <v>-24.28</v>
      </c>
      <c r="B769" s="20">
        <v>73.38</v>
      </c>
      <c r="D769" s="20"/>
      <c r="E769" s="20"/>
      <c r="F769" s="20">
        <v>-14.65</v>
      </c>
      <c r="G769" s="20">
        <v>17.34</v>
      </c>
      <c r="I769" s="20"/>
      <c r="J769" s="20"/>
      <c r="K769" s="20">
        <v>384.0</v>
      </c>
      <c r="L769" s="20" t="s">
        <v>14</v>
      </c>
      <c r="M769" s="20">
        <v>-22.92</v>
      </c>
      <c r="N769" s="20">
        <v>42.19</v>
      </c>
      <c r="P769" s="20">
        <v>-34.27</v>
      </c>
      <c r="Q769" s="20">
        <v>26.8</v>
      </c>
      <c r="AG769" s="20">
        <v>767.0</v>
      </c>
      <c r="AH769" s="20" t="s">
        <v>14</v>
      </c>
      <c r="AI769" s="20">
        <v>-14.79</v>
      </c>
      <c r="AJ769" s="20">
        <v>12.21</v>
      </c>
      <c r="AM769" s="20">
        <v>395.0</v>
      </c>
      <c r="AN769" s="20" t="s">
        <v>14</v>
      </c>
      <c r="AO769" s="20">
        <v>81.8</v>
      </c>
      <c r="AP769" s="20">
        <v>-18.28</v>
      </c>
      <c r="AS769" s="20">
        <v>388.0</v>
      </c>
      <c r="AT769" s="20" t="s">
        <v>14</v>
      </c>
      <c r="AU769" s="20">
        <v>-23.6</v>
      </c>
      <c r="AV769" s="20">
        <v>-47.98</v>
      </c>
      <c r="BE769" s="20">
        <v>767.0</v>
      </c>
      <c r="BF769" s="20" t="s">
        <v>14</v>
      </c>
      <c r="BG769" s="20">
        <v>28.17</v>
      </c>
      <c r="BH769" s="20">
        <v>5.68</v>
      </c>
      <c r="BM769" s="20">
        <v>100.75</v>
      </c>
      <c r="BN769" s="20">
        <v>133.49</v>
      </c>
      <c r="BW769" s="20">
        <v>-54.5</v>
      </c>
      <c r="BX769" s="20">
        <v>-32.48</v>
      </c>
      <c r="BZ769" s="20">
        <v>-53.96</v>
      </c>
      <c r="CA769" s="20">
        <v>18.98</v>
      </c>
      <c r="CO769" s="20">
        <v>-24.28</v>
      </c>
      <c r="CP769" s="20">
        <v>-51.87</v>
      </c>
    </row>
    <row r="770">
      <c r="A770" s="20">
        <v>-52.85</v>
      </c>
      <c r="B770" s="20">
        <v>11.22</v>
      </c>
      <c r="D770" s="20"/>
      <c r="E770" s="20"/>
      <c r="F770" s="20">
        <v>-18.41</v>
      </c>
      <c r="G770" s="20">
        <v>-6.1</v>
      </c>
      <c r="I770" s="20"/>
      <c r="J770" s="20"/>
      <c r="K770" s="20">
        <v>384.0</v>
      </c>
      <c r="L770" s="20" t="s">
        <v>17</v>
      </c>
      <c r="M770" s="20">
        <v>61.56</v>
      </c>
      <c r="N770" s="20">
        <v>58.72</v>
      </c>
      <c r="P770" s="20">
        <v>-33.58</v>
      </c>
      <c r="Q770" s="20">
        <v>23.03</v>
      </c>
      <c r="AG770" s="20">
        <v>768.0</v>
      </c>
      <c r="AH770" s="20" t="s">
        <v>14</v>
      </c>
      <c r="AI770" s="20">
        <v>-11.68</v>
      </c>
      <c r="AJ770" s="20">
        <v>-0.88</v>
      </c>
      <c r="AM770" s="20">
        <v>395.0</v>
      </c>
      <c r="AN770" s="20" t="s">
        <v>17</v>
      </c>
      <c r="AO770" s="20">
        <v>-28.24</v>
      </c>
      <c r="AP770" s="20">
        <v>21.73</v>
      </c>
      <c r="AS770" s="20">
        <v>388.0</v>
      </c>
      <c r="AT770" s="20" t="s">
        <v>17</v>
      </c>
      <c r="AU770" s="20">
        <v>-55.86</v>
      </c>
      <c r="AV770" s="20">
        <v>-67.79</v>
      </c>
      <c r="BE770" s="20">
        <v>768.0</v>
      </c>
      <c r="BF770" s="20" t="s">
        <v>14</v>
      </c>
      <c r="BG770" s="20">
        <v>-29.39</v>
      </c>
      <c r="BH770" s="20">
        <v>15.86</v>
      </c>
      <c r="BM770" s="20">
        <v>80.83</v>
      </c>
      <c r="BN770" s="20">
        <v>105.52</v>
      </c>
      <c r="BW770" s="20">
        <v>-53.38</v>
      </c>
      <c r="BX770" s="20">
        <v>-30.94</v>
      </c>
      <c r="BZ770" s="20">
        <v>-27.39</v>
      </c>
      <c r="CA770" s="20">
        <v>-57.75</v>
      </c>
      <c r="CO770" s="20">
        <v>9.15</v>
      </c>
      <c r="CP770" s="20">
        <v>-35.46</v>
      </c>
    </row>
    <row r="771">
      <c r="A771" s="20">
        <v>-36.15</v>
      </c>
      <c r="B771" s="20">
        <v>128.21</v>
      </c>
      <c r="D771" s="20"/>
      <c r="E771" s="20"/>
      <c r="F771" s="20">
        <v>-3.08</v>
      </c>
      <c r="G771" s="20">
        <v>-26.35</v>
      </c>
      <c r="I771" s="20"/>
      <c r="J771" s="20"/>
      <c r="K771" s="20">
        <v>385.0</v>
      </c>
      <c r="L771" s="20" t="s">
        <v>14</v>
      </c>
      <c r="M771" s="20">
        <v>11.8</v>
      </c>
      <c r="N771" s="20">
        <v>63.42</v>
      </c>
      <c r="P771" s="20">
        <v>13.41</v>
      </c>
      <c r="Q771" s="20">
        <v>20.25</v>
      </c>
      <c r="AG771" s="20">
        <v>769.0</v>
      </c>
      <c r="AH771" s="20" t="s">
        <v>14</v>
      </c>
      <c r="AI771" s="20">
        <v>-56.79</v>
      </c>
      <c r="AJ771" s="20">
        <v>-48.18</v>
      </c>
      <c r="AM771" s="20">
        <v>396.0</v>
      </c>
      <c r="AN771" s="20" t="s">
        <v>14</v>
      </c>
      <c r="AO771" s="20">
        <v>-8.51</v>
      </c>
      <c r="AP771" s="20">
        <v>3.48</v>
      </c>
      <c r="AS771" s="20">
        <v>389.0</v>
      </c>
      <c r="AT771" s="20" t="s">
        <v>14</v>
      </c>
      <c r="AU771" s="20">
        <v>-20.57</v>
      </c>
      <c r="AV771" s="20">
        <v>-44.06</v>
      </c>
      <c r="BE771" s="20">
        <v>769.0</v>
      </c>
      <c r="BF771" s="20" t="s">
        <v>14</v>
      </c>
      <c r="BG771" s="20">
        <v>32.66</v>
      </c>
      <c r="BH771" s="20">
        <v>12.38</v>
      </c>
      <c r="BM771" s="20">
        <v>133.97</v>
      </c>
      <c r="BN771" s="20">
        <v>133.74</v>
      </c>
      <c r="BW771" s="20">
        <v>-30.98</v>
      </c>
      <c r="BX771" s="20">
        <v>18.03</v>
      </c>
      <c r="BZ771" s="20">
        <v>-6.93</v>
      </c>
      <c r="CA771" s="20">
        <v>145.14</v>
      </c>
      <c r="CO771" s="20">
        <v>-29.03</v>
      </c>
      <c r="CP771" s="20">
        <v>-67.03</v>
      </c>
    </row>
    <row r="772">
      <c r="A772" s="20">
        <v>22.88</v>
      </c>
      <c r="B772" s="20">
        <v>92.93</v>
      </c>
      <c r="D772" s="20"/>
      <c r="E772" s="20"/>
      <c r="F772" s="20">
        <v>15.82</v>
      </c>
      <c r="G772" s="20">
        <v>-20.02</v>
      </c>
      <c r="I772" s="20"/>
      <c r="J772" s="20"/>
      <c r="K772" s="20">
        <v>385.0</v>
      </c>
      <c r="L772" s="20" t="s">
        <v>17</v>
      </c>
      <c r="M772" s="20">
        <v>-21.3</v>
      </c>
      <c r="N772" s="20">
        <v>59.03</v>
      </c>
      <c r="P772" s="20">
        <v>20.01</v>
      </c>
      <c r="Q772" s="20">
        <v>81.81</v>
      </c>
      <c r="AG772" s="20">
        <v>770.0</v>
      </c>
      <c r="AH772" s="20" t="s">
        <v>14</v>
      </c>
      <c r="AI772" s="20">
        <v>-1.87</v>
      </c>
      <c r="AJ772" s="20">
        <v>15.17</v>
      </c>
      <c r="AM772" s="20">
        <v>396.0</v>
      </c>
      <c r="AN772" s="20" t="s">
        <v>17</v>
      </c>
      <c r="AO772" s="20">
        <v>-8.87</v>
      </c>
      <c r="AP772" s="20">
        <v>33.33</v>
      </c>
      <c r="AS772" s="20">
        <v>389.0</v>
      </c>
      <c r="AT772" s="20" t="s">
        <v>17</v>
      </c>
      <c r="AU772" s="20">
        <v>-12.7</v>
      </c>
      <c r="AV772" s="20">
        <v>-51.1</v>
      </c>
      <c r="BE772" s="20">
        <v>770.0</v>
      </c>
      <c r="BF772" s="20" t="s">
        <v>14</v>
      </c>
      <c r="BG772" s="20">
        <v>27.87</v>
      </c>
      <c r="BH772" s="20">
        <v>10.0</v>
      </c>
      <c r="BM772" s="20">
        <v>109.09</v>
      </c>
      <c r="BN772" s="20">
        <v>43.59</v>
      </c>
      <c r="BW772" s="20">
        <v>-42.59</v>
      </c>
      <c r="BX772" s="20">
        <v>-16.75</v>
      </c>
      <c r="BZ772" s="20">
        <v>-20.37</v>
      </c>
      <c r="CA772" s="20">
        <v>-6.52</v>
      </c>
      <c r="CO772" s="20">
        <v>-28.31</v>
      </c>
      <c r="CP772" s="20">
        <v>-40.43</v>
      </c>
    </row>
    <row r="773">
      <c r="A773" s="20">
        <v>-29.27</v>
      </c>
      <c r="B773" s="20">
        <v>40.65</v>
      </c>
      <c r="D773" s="20"/>
      <c r="E773" s="20"/>
      <c r="F773" s="20">
        <v>-18.53</v>
      </c>
      <c r="G773" s="20">
        <v>1.41</v>
      </c>
      <c r="I773" s="20"/>
      <c r="J773" s="20"/>
      <c r="K773" s="20">
        <v>386.0</v>
      </c>
      <c r="L773" s="20" t="s">
        <v>14</v>
      </c>
      <c r="M773" s="20">
        <v>-9.3</v>
      </c>
      <c r="N773" s="20">
        <v>-11.65</v>
      </c>
      <c r="P773" s="20">
        <v>12.1</v>
      </c>
      <c r="Q773" s="20">
        <v>54.38</v>
      </c>
      <c r="AG773" s="20">
        <v>771.0</v>
      </c>
      <c r="AH773" s="20" t="s">
        <v>14</v>
      </c>
      <c r="AI773" s="20">
        <v>19.65</v>
      </c>
      <c r="AJ773" s="20">
        <v>5.88</v>
      </c>
      <c r="AM773" s="20">
        <v>397.0</v>
      </c>
      <c r="AN773" s="20" t="s">
        <v>14</v>
      </c>
      <c r="AO773" s="20">
        <v>-0.65</v>
      </c>
      <c r="AP773" s="20">
        <v>-11.93</v>
      </c>
      <c r="AS773" s="20">
        <v>390.0</v>
      </c>
      <c r="AT773" s="20" t="s">
        <v>14</v>
      </c>
      <c r="AU773" s="20">
        <v>-6.76</v>
      </c>
      <c r="AV773" s="20">
        <v>-27.77</v>
      </c>
      <c r="BE773" s="20">
        <v>771.0</v>
      </c>
      <c r="BF773" s="20" t="s">
        <v>14</v>
      </c>
      <c r="BG773" s="20">
        <v>43.03</v>
      </c>
      <c r="BH773" s="20">
        <v>7.58</v>
      </c>
      <c r="BM773" s="20">
        <v>127.66</v>
      </c>
      <c r="BN773" s="20">
        <v>112.36</v>
      </c>
      <c r="BW773" s="20">
        <v>-51.36</v>
      </c>
      <c r="BX773" s="20">
        <v>-18.19</v>
      </c>
      <c r="BZ773" s="20">
        <v>-41.92</v>
      </c>
      <c r="CA773" s="20">
        <v>79.42</v>
      </c>
      <c r="CO773" s="20">
        <v>-26.08</v>
      </c>
      <c r="CP773" s="20">
        <v>-37.08</v>
      </c>
    </row>
    <row r="774">
      <c r="A774" s="20">
        <v>34.88</v>
      </c>
      <c r="B774" s="20">
        <v>64.13</v>
      </c>
      <c r="D774" s="20"/>
      <c r="E774" s="20"/>
      <c r="F774" s="20">
        <v>63.69</v>
      </c>
      <c r="G774" s="20">
        <v>-17.49</v>
      </c>
      <c r="I774" s="20"/>
      <c r="J774" s="20"/>
      <c r="K774" s="20">
        <v>386.0</v>
      </c>
      <c r="L774" s="20" t="s">
        <v>17</v>
      </c>
      <c r="M774" s="20">
        <v>11.29</v>
      </c>
      <c r="N774" s="20">
        <v>4.58</v>
      </c>
      <c r="P774" s="20">
        <v>14.88</v>
      </c>
      <c r="Q774" s="20">
        <v>-0.89</v>
      </c>
      <c r="AG774" s="20">
        <v>772.0</v>
      </c>
      <c r="AH774" s="20" t="s">
        <v>14</v>
      </c>
      <c r="AI774" s="20">
        <v>-42.03</v>
      </c>
      <c r="AJ774" s="20">
        <v>-38.52</v>
      </c>
      <c r="AM774" s="20">
        <v>397.0</v>
      </c>
      <c r="AN774" s="20" t="s">
        <v>17</v>
      </c>
      <c r="AO774" s="20">
        <v>1.62</v>
      </c>
      <c r="AP774" s="20">
        <v>-31.01</v>
      </c>
      <c r="AS774" s="20">
        <v>390.0</v>
      </c>
      <c r="AT774" s="20" t="s">
        <v>17</v>
      </c>
      <c r="AU774" s="20">
        <v>-27.08</v>
      </c>
      <c r="AV774" s="20">
        <v>-18.01</v>
      </c>
      <c r="BE774" s="20">
        <v>772.0</v>
      </c>
      <c r="BF774" s="20" t="s">
        <v>14</v>
      </c>
      <c r="BG774" s="20">
        <v>7.92</v>
      </c>
      <c r="BH774" s="20">
        <v>39.77</v>
      </c>
      <c r="BM774" s="20">
        <v>197.19</v>
      </c>
      <c r="BN774" s="20">
        <v>148.12</v>
      </c>
      <c r="BW774" s="20">
        <v>-19.01</v>
      </c>
      <c r="BX774" s="20">
        <v>-46.98</v>
      </c>
      <c r="BZ774" s="20">
        <v>8.36</v>
      </c>
      <c r="CA774" s="20">
        <v>-18.03</v>
      </c>
      <c r="CO774" s="20">
        <v>-0.94</v>
      </c>
      <c r="CP774" s="20">
        <v>-36.42</v>
      </c>
    </row>
    <row r="775">
      <c r="A775" s="20">
        <v>52.67</v>
      </c>
      <c r="B775" s="20">
        <v>-15.63</v>
      </c>
      <c r="D775" s="20"/>
      <c r="E775" s="20"/>
      <c r="F775" s="20">
        <v>-30.32</v>
      </c>
      <c r="G775" s="20">
        <v>-69.32</v>
      </c>
      <c r="I775" s="20"/>
      <c r="J775" s="20"/>
      <c r="K775" s="20">
        <v>387.0</v>
      </c>
      <c r="L775" s="20" t="s">
        <v>14</v>
      </c>
      <c r="M775" s="20">
        <v>33.69</v>
      </c>
      <c r="N775" s="20">
        <v>45.87</v>
      </c>
      <c r="P775" s="20">
        <v>7.9</v>
      </c>
      <c r="Q775" s="20">
        <v>38.25</v>
      </c>
      <c r="AG775" s="20">
        <v>773.0</v>
      </c>
      <c r="AH775" s="20" t="s">
        <v>14</v>
      </c>
      <c r="AI775" s="20">
        <v>-35.25</v>
      </c>
      <c r="AJ775" s="20">
        <v>-18.15</v>
      </c>
      <c r="AM775" s="20">
        <v>398.0</v>
      </c>
      <c r="AN775" s="20" t="s">
        <v>14</v>
      </c>
      <c r="AO775" s="20">
        <v>-30.63</v>
      </c>
      <c r="AP775" s="20">
        <v>-33.42</v>
      </c>
      <c r="AS775" s="20">
        <v>391.0</v>
      </c>
      <c r="AT775" s="20" t="s">
        <v>14</v>
      </c>
      <c r="AU775" s="20">
        <v>-13.25</v>
      </c>
      <c r="AV775" s="20">
        <v>-50.52</v>
      </c>
      <c r="BE775" s="20">
        <v>773.0</v>
      </c>
      <c r="BF775" s="20" t="s">
        <v>14</v>
      </c>
      <c r="BG775" s="20">
        <v>45.56</v>
      </c>
      <c r="BH775" s="20">
        <v>8.13</v>
      </c>
      <c r="BM775" s="20">
        <v>97.86</v>
      </c>
      <c r="BN775" s="20">
        <v>51.96</v>
      </c>
      <c r="BW775" s="20">
        <v>27.35</v>
      </c>
      <c r="BX775" s="20">
        <v>-32.07</v>
      </c>
      <c r="BZ775" s="20">
        <v>-45.61</v>
      </c>
      <c r="CA775" s="20">
        <v>85.64</v>
      </c>
      <c r="CO775" s="20">
        <v>-28.43</v>
      </c>
      <c r="CP775" s="20">
        <v>-20.66</v>
      </c>
    </row>
    <row r="776">
      <c r="A776" s="20">
        <v>-2.9</v>
      </c>
      <c r="B776" s="20">
        <v>60.3</v>
      </c>
      <c r="D776" s="20"/>
      <c r="E776" s="20"/>
      <c r="F776" s="20">
        <v>-33.63</v>
      </c>
      <c r="G776" s="20">
        <v>-47.03</v>
      </c>
      <c r="I776" s="20"/>
      <c r="J776" s="20"/>
      <c r="K776" s="20">
        <v>387.0</v>
      </c>
      <c r="L776" s="20" t="s">
        <v>17</v>
      </c>
      <c r="M776" s="20">
        <v>-11.14</v>
      </c>
      <c r="N776" s="20">
        <v>8.72</v>
      </c>
      <c r="P776" s="20">
        <v>-9.08</v>
      </c>
      <c r="Q776" s="20">
        <v>70.09</v>
      </c>
      <c r="AG776" s="20">
        <v>774.0</v>
      </c>
      <c r="AH776" s="20" t="s">
        <v>14</v>
      </c>
      <c r="AI776" s="20">
        <v>-17.61</v>
      </c>
      <c r="AJ776" s="20">
        <v>-26.38</v>
      </c>
      <c r="AM776" s="20">
        <v>398.0</v>
      </c>
      <c r="AN776" s="20" t="s">
        <v>17</v>
      </c>
      <c r="AO776" s="20">
        <v>-36.11</v>
      </c>
      <c r="AP776" s="20">
        <v>-1.57</v>
      </c>
      <c r="AS776" s="20">
        <v>391.0</v>
      </c>
      <c r="AT776" s="20" t="s">
        <v>17</v>
      </c>
      <c r="AU776" s="20">
        <v>25.2</v>
      </c>
      <c r="AV776" s="20">
        <v>-14.92</v>
      </c>
      <c r="BE776" s="20">
        <v>774.0</v>
      </c>
      <c r="BF776" s="20" t="s">
        <v>14</v>
      </c>
      <c r="BG776" s="20">
        <v>19.68</v>
      </c>
      <c r="BH776" s="20">
        <v>80.4</v>
      </c>
      <c r="BM776" s="20">
        <v>41.16</v>
      </c>
      <c r="BN776" s="20">
        <v>81.65</v>
      </c>
      <c r="BW776" s="20">
        <v>-29.13</v>
      </c>
      <c r="BX776" s="20">
        <v>-17.01</v>
      </c>
      <c r="BZ776" s="20">
        <v>-50.6</v>
      </c>
      <c r="CA776" s="20">
        <v>117.91</v>
      </c>
      <c r="CO776" s="20">
        <v>-27.61</v>
      </c>
      <c r="CP776" s="20">
        <v>-34.17</v>
      </c>
    </row>
    <row r="777">
      <c r="A777" s="20">
        <v>53.47</v>
      </c>
      <c r="B777" s="20">
        <v>77.11</v>
      </c>
      <c r="D777" s="20"/>
      <c r="E777" s="20"/>
      <c r="F777" s="20">
        <v>-24.56</v>
      </c>
      <c r="G777" s="20">
        <v>103.85</v>
      </c>
      <c r="I777" s="20"/>
      <c r="J777" s="20"/>
      <c r="K777" s="20">
        <v>388.0</v>
      </c>
      <c r="L777" s="20" t="s">
        <v>14</v>
      </c>
      <c r="M777" s="20">
        <v>-0.17</v>
      </c>
      <c r="N777" s="20">
        <v>-3.86</v>
      </c>
      <c r="P777" s="20">
        <v>1.68</v>
      </c>
      <c r="Q777" s="20">
        <v>45.71</v>
      </c>
      <c r="AG777" s="20">
        <v>775.0</v>
      </c>
      <c r="AH777" s="20" t="s">
        <v>14</v>
      </c>
      <c r="AI777" s="20">
        <v>-55.9</v>
      </c>
      <c r="AJ777" s="20">
        <v>-40.24</v>
      </c>
      <c r="AM777" s="20">
        <v>399.0</v>
      </c>
      <c r="AN777" s="20" t="s">
        <v>14</v>
      </c>
      <c r="AO777" s="20">
        <v>-14.68</v>
      </c>
      <c r="AP777" s="20">
        <v>-16.78</v>
      </c>
      <c r="AS777" s="20">
        <v>392.0</v>
      </c>
      <c r="AT777" s="20" t="s">
        <v>14</v>
      </c>
      <c r="AU777" s="20">
        <v>-15.76</v>
      </c>
      <c r="AV777" s="20">
        <v>-32.31</v>
      </c>
      <c r="BE777" s="20">
        <v>775.0</v>
      </c>
      <c r="BF777" s="20" t="s">
        <v>14</v>
      </c>
      <c r="BG777" s="20">
        <v>54.16</v>
      </c>
      <c r="BH777" s="20">
        <v>12.05</v>
      </c>
      <c r="BM777" s="20">
        <v>42.49</v>
      </c>
      <c r="BN777" s="20">
        <v>130.36</v>
      </c>
      <c r="BW777" s="20">
        <v>-43.2</v>
      </c>
      <c r="BX777" s="20">
        <v>-29.58</v>
      </c>
      <c r="BZ777" s="20">
        <v>-43.55</v>
      </c>
      <c r="CA777" s="20">
        <v>33.94</v>
      </c>
      <c r="CO777" s="20">
        <v>1.34</v>
      </c>
      <c r="CP777" s="20">
        <v>-32.95</v>
      </c>
    </row>
    <row r="778">
      <c r="A778" s="20">
        <v>-37.78</v>
      </c>
      <c r="B778" s="20">
        <v>4.37</v>
      </c>
      <c r="D778" s="20"/>
      <c r="E778" s="20"/>
      <c r="F778" s="20">
        <v>-34.53</v>
      </c>
      <c r="G778" s="20">
        <v>-30.39</v>
      </c>
      <c r="I778" s="20"/>
      <c r="J778" s="20"/>
      <c r="K778" s="20">
        <v>388.0</v>
      </c>
      <c r="L778" s="20" t="s">
        <v>17</v>
      </c>
      <c r="M778" s="20">
        <v>17.13</v>
      </c>
      <c r="N778" s="20">
        <v>-4.56</v>
      </c>
      <c r="P778" s="20">
        <v>-24.54</v>
      </c>
      <c r="Q778" s="20">
        <v>16.32</v>
      </c>
      <c r="AG778" s="20">
        <v>776.0</v>
      </c>
      <c r="AH778" s="20" t="s">
        <v>14</v>
      </c>
      <c r="AI778" s="20">
        <v>-79.17</v>
      </c>
      <c r="AJ778" s="20">
        <v>-64.68</v>
      </c>
      <c r="AM778" s="20">
        <v>399.0</v>
      </c>
      <c r="AN778" s="20" t="s">
        <v>17</v>
      </c>
      <c r="AO778" s="20">
        <v>4.43</v>
      </c>
      <c r="AP778" s="20">
        <v>-11.2</v>
      </c>
      <c r="AS778" s="20">
        <v>392.0</v>
      </c>
      <c r="AT778" s="20" t="s">
        <v>17</v>
      </c>
      <c r="AU778" s="20">
        <v>22.88</v>
      </c>
      <c r="AV778" s="20">
        <v>-25.32</v>
      </c>
      <c r="BE778" s="20">
        <v>776.0</v>
      </c>
      <c r="BF778" s="20" t="s">
        <v>14</v>
      </c>
      <c r="BG778" s="20">
        <v>34.0</v>
      </c>
      <c r="BH778" s="20">
        <v>-4.24</v>
      </c>
      <c r="BM778" s="20">
        <v>16.47</v>
      </c>
      <c r="BN778" s="20">
        <v>96.11</v>
      </c>
      <c r="BW778" s="20">
        <v>-24.98</v>
      </c>
      <c r="BX778" s="20">
        <v>-10.08</v>
      </c>
      <c r="BZ778" s="20">
        <v>-56.85</v>
      </c>
      <c r="CA778" s="20">
        <v>47.72</v>
      </c>
      <c r="CO778" s="20">
        <v>34.67</v>
      </c>
      <c r="CP778" s="20">
        <v>-47.13</v>
      </c>
    </row>
    <row r="779">
      <c r="A779" s="20">
        <v>-54.6</v>
      </c>
      <c r="B779" s="20">
        <v>-34.86</v>
      </c>
      <c r="D779" s="20"/>
      <c r="E779" s="20"/>
      <c r="F779" s="20">
        <v>-40.66</v>
      </c>
      <c r="G779" s="20">
        <v>-21.62</v>
      </c>
      <c r="I779" s="20"/>
      <c r="J779" s="20"/>
      <c r="K779" s="20">
        <v>389.0</v>
      </c>
      <c r="L779" s="20" t="s">
        <v>14</v>
      </c>
      <c r="M779" s="20">
        <v>19.48</v>
      </c>
      <c r="N779" s="20">
        <v>14.16</v>
      </c>
      <c r="P779" s="20">
        <v>-37.48</v>
      </c>
      <c r="Q779" s="20">
        <v>-6.26</v>
      </c>
      <c r="AG779" s="20">
        <v>777.0</v>
      </c>
      <c r="AH779" s="20" t="s">
        <v>14</v>
      </c>
      <c r="AI779" s="20">
        <v>-8.87</v>
      </c>
      <c r="AJ779" s="20">
        <v>-18.28</v>
      </c>
      <c r="AM779" s="20">
        <v>400.0</v>
      </c>
      <c r="AN779" s="20" t="s">
        <v>14</v>
      </c>
      <c r="AO779" s="20">
        <v>-30.77</v>
      </c>
      <c r="AP779" s="20">
        <v>-41.32</v>
      </c>
      <c r="AS779" s="20">
        <v>393.0</v>
      </c>
      <c r="AT779" s="20" t="s">
        <v>14</v>
      </c>
      <c r="AU779" s="20">
        <v>-29.54</v>
      </c>
      <c r="AV779" s="20">
        <v>-43.17</v>
      </c>
      <c r="BE779" s="20">
        <v>777.0</v>
      </c>
      <c r="BF779" s="20" t="s">
        <v>14</v>
      </c>
      <c r="BG779" s="20">
        <v>42.14</v>
      </c>
      <c r="BH779" s="20">
        <v>8.76</v>
      </c>
      <c r="BM779" s="20">
        <v>29.47</v>
      </c>
      <c r="BN779" s="20">
        <v>33.0</v>
      </c>
      <c r="BW779" s="20">
        <v>-11.63</v>
      </c>
      <c r="BX779" s="20">
        <v>-28.81</v>
      </c>
      <c r="BZ779" s="20">
        <v>2.06</v>
      </c>
      <c r="CA779" s="20">
        <v>42.78</v>
      </c>
      <c r="CO779" s="20">
        <v>5.35</v>
      </c>
      <c r="CP779" s="20">
        <v>-35.53</v>
      </c>
    </row>
    <row r="780">
      <c r="A780" s="20">
        <v>-54.53</v>
      </c>
      <c r="B780" s="20">
        <v>-39.98</v>
      </c>
      <c r="D780" s="20"/>
      <c r="E780" s="20"/>
      <c r="F780" s="20">
        <v>-40.61</v>
      </c>
      <c r="G780" s="20">
        <v>-3.67</v>
      </c>
      <c r="I780" s="20"/>
      <c r="J780" s="20"/>
      <c r="K780" s="20">
        <v>389.0</v>
      </c>
      <c r="L780" s="20" t="s">
        <v>17</v>
      </c>
      <c r="M780" s="20">
        <v>18.24</v>
      </c>
      <c r="N780" s="20">
        <v>6.48</v>
      </c>
      <c r="P780" s="20">
        <v>37.17</v>
      </c>
      <c r="Q780" s="20">
        <v>146.23</v>
      </c>
      <c r="AG780" s="20">
        <v>778.0</v>
      </c>
      <c r="AH780" s="20" t="s">
        <v>14</v>
      </c>
      <c r="AI780" s="20">
        <v>-41.22</v>
      </c>
      <c r="AJ780" s="20">
        <v>-41.39</v>
      </c>
      <c r="AM780" s="20">
        <v>400.0</v>
      </c>
      <c r="AN780" s="20" t="s">
        <v>17</v>
      </c>
      <c r="AO780" s="20">
        <v>-21.88</v>
      </c>
      <c r="AP780" s="20">
        <v>-8.05</v>
      </c>
      <c r="AS780" s="20">
        <v>393.0</v>
      </c>
      <c r="AT780" s="20" t="s">
        <v>17</v>
      </c>
      <c r="AU780" s="20">
        <v>3.72</v>
      </c>
      <c r="AV780" s="20">
        <v>-33.55</v>
      </c>
      <c r="BE780" s="20">
        <v>778.0</v>
      </c>
      <c r="BF780" s="20" t="s">
        <v>14</v>
      </c>
      <c r="BG780" s="20">
        <v>15.68</v>
      </c>
      <c r="BH780" s="20">
        <v>51.16</v>
      </c>
      <c r="BM780" s="20">
        <v>79.94</v>
      </c>
      <c r="BN780" s="20">
        <v>170.69</v>
      </c>
      <c r="BW780" s="20">
        <v>-32.45</v>
      </c>
      <c r="BX780" s="20">
        <v>-28.17</v>
      </c>
      <c r="BZ780" s="20">
        <v>-6.31</v>
      </c>
      <c r="CA780" s="20">
        <v>196.48</v>
      </c>
      <c r="CO780" s="20">
        <v>-19.51</v>
      </c>
      <c r="CP780" s="20">
        <v>-62.51</v>
      </c>
    </row>
    <row r="781">
      <c r="A781" s="20">
        <v>42.95</v>
      </c>
      <c r="B781" s="20">
        <v>7.89</v>
      </c>
      <c r="D781" s="20"/>
      <c r="E781" s="20"/>
      <c r="F781" s="20">
        <v>-49.54</v>
      </c>
      <c r="G781" s="20">
        <v>-26.58</v>
      </c>
      <c r="I781" s="20"/>
      <c r="J781" s="20"/>
      <c r="K781" s="20">
        <v>390.0</v>
      </c>
      <c r="L781" s="20" t="s">
        <v>14</v>
      </c>
      <c r="M781" s="20">
        <v>3.14</v>
      </c>
      <c r="N781" s="20">
        <v>3.35</v>
      </c>
      <c r="P781" s="20">
        <v>-3.9</v>
      </c>
      <c r="Q781" s="20">
        <v>10.62</v>
      </c>
      <c r="AG781" s="20">
        <v>779.0</v>
      </c>
      <c r="AH781" s="20" t="s">
        <v>14</v>
      </c>
      <c r="AI781" s="20">
        <v>-22.67</v>
      </c>
      <c r="AJ781" s="20">
        <v>-19.29</v>
      </c>
      <c r="AM781" s="20">
        <v>401.0</v>
      </c>
      <c r="AN781" s="20" t="s">
        <v>14</v>
      </c>
      <c r="AO781" s="20">
        <v>-6.97</v>
      </c>
      <c r="AP781" s="20">
        <v>-18.17</v>
      </c>
      <c r="AS781" s="20">
        <v>394.0</v>
      </c>
      <c r="AT781" s="20" t="s">
        <v>14</v>
      </c>
      <c r="AU781" s="20">
        <v>-25.58</v>
      </c>
      <c r="AV781" s="20">
        <v>-14.58</v>
      </c>
      <c r="BE781" s="20">
        <v>779.0</v>
      </c>
      <c r="BF781" s="20" t="s">
        <v>14</v>
      </c>
      <c r="BG781" s="20">
        <v>57.39</v>
      </c>
      <c r="BH781" s="20">
        <v>6.74</v>
      </c>
      <c r="BM781" s="20">
        <v>129.46</v>
      </c>
      <c r="BN781" s="20">
        <v>80.92</v>
      </c>
      <c r="BW781" s="20">
        <v>-4.24</v>
      </c>
      <c r="BX781" s="20">
        <v>-44.74</v>
      </c>
      <c r="BZ781" s="20">
        <v>-35.18</v>
      </c>
      <c r="CA781" s="20">
        <v>15.0</v>
      </c>
      <c r="CO781" s="20">
        <v>-40.15</v>
      </c>
      <c r="CP781" s="20">
        <v>-46.97</v>
      </c>
    </row>
    <row r="782">
      <c r="A782" s="20">
        <v>16.01</v>
      </c>
      <c r="B782" s="20">
        <v>-8.31</v>
      </c>
      <c r="D782" s="20"/>
      <c r="E782" s="20"/>
      <c r="F782" s="20">
        <v>-55.03</v>
      </c>
      <c r="G782" s="20">
        <v>-16.86</v>
      </c>
      <c r="I782" s="20"/>
      <c r="J782" s="20"/>
      <c r="K782" s="20">
        <v>390.0</v>
      </c>
      <c r="L782" s="20" t="s">
        <v>17</v>
      </c>
      <c r="M782" s="20">
        <v>29.97</v>
      </c>
      <c r="N782" s="20">
        <v>18.56</v>
      </c>
      <c r="P782" s="20">
        <v>9.4</v>
      </c>
      <c r="Q782" s="20">
        <v>51.23</v>
      </c>
      <c r="AG782" s="20">
        <v>780.0</v>
      </c>
      <c r="AH782" s="20" t="s">
        <v>14</v>
      </c>
      <c r="AI782" s="20">
        <v>-9.56</v>
      </c>
      <c r="AJ782" s="20">
        <v>0.74</v>
      </c>
      <c r="AM782" s="20">
        <v>401.0</v>
      </c>
      <c r="AN782" s="20" t="s">
        <v>17</v>
      </c>
      <c r="AO782" s="20">
        <v>-1.58</v>
      </c>
      <c r="AP782" s="20">
        <v>26.04</v>
      </c>
      <c r="AS782" s="20">
        <v>394.0</v>
      </c>
      <c r="AT782" s="20" t="s">
        <v>17</v>
      </c>
      <c r="AU782" s="20">
        <v>-16.04</v>
      </c>
      <c r="AV782" s="20">
        <v>-6.2</v>
      </c>
      <c r="BE782" s="20">
        <v>780.0</v>
      </c>
      <c r="BF782" s="20" t="s">
        <v>14</v>
      </c>
      <c r="BG782" s="20">
        <v>27.92</v>
      </c>
      <c r="BH782" s="20">
        <v>15.81</v>
      </c>
      <c r="BM782" s="20">
        <v>83.36</v>
      </c>
      <c r="BN782" s="20">
        <v>152.64</v>
      </c>
      <c r="BW782" s="20">
        <v>-33.77</v>
      </c>
      <c r="BX782" s="20">
        <v>-10.01</v>
      </c>
      <c r="BZ782" s="20">
        <v>-40.98</v>
      </c>
      <c r="CA782" s="20">
        <v>7.84</v>
      </c>
      <c r="CO782" s="20">
        <v>-24.56</v>
      </c>
      <c r="CP782" s="20">
        <v>-45.7</v>
      </c>
    </row>
    <row r="783">
      <c r="A783" s="20">
        <v>2.09</v>
      </c>
      <c r="B783" s="20">
        <v>82.86</v>
      </c>
      <c r="D783" s="20"/>
      <c r="E783" s="20"/>
      <c r="F783" s="20">
        <v>64.35</v>
      </c>
      <c r="G783" s="20">
        <v>5.01</v>
      </c>
      <c r="I783" s="20"/>
      <c r="J783" s="20"/>
      <c r="K783" s="20">
        <v>391.0</v>
      </c>
      <c r="L783" s="20" t="s">
        <v>14</v>
      </c>
      <c r="M783" s="20">
        <v>-4.38</v>
      </c>
      <c r="N783" s="20">
        <v>32.12</v>
      </c>
      <c r="P783" s="20">
        <v>3.43</v>
      </c>
      <c r="Q783" s="20">
        <v>75.23</v>
      </c>
      <c r="AG783" s="20">
        <v>781.0</v>
      </c>
      <c r="AH783" s="20" t="s">
        <v>14</v>
      </c>
      <c r="AI783" s="20">
        <v>-33.12</v>
      </c>
      <c r="AJ783" s="20">
        <v>-28.41</v>
      </c>
      <c r="AM783" s="20">
        <v>402.0</v>
      </c>
      <c r="AN783" s="20" t="s">
        <v>14</v>
      </c>
      <c r="AO783" s="20">
        <v>-28.78</v>
      </c>
      <c r="AP783" s="20">
        <v>-30.71</v>
      </c>
      <c r="AS783" s="20">
        <v>395.0</v>
      </c>
      <c r="AT783" s="20" t="s">
        <v>14</v>
      </c>
      <c r="AU783" s="20">
        <v>-34.84</v>
      </c>
      <c r="AV783" s="20">
        <v>-34.48</v>
      </c>
      <c r="BE783" s="20">
        <v>781.0</v>
      </c>
      <c r="BF783" s="20" t="s">
        <v>14</v>
      </c>
      <c r="BG783" s="20">
        <v>15.62</v>
      </c>
      <c r="BH783" s="20">
        <v>88.2</v>
      </c>
      <c r="BM783" s="20">
        <v>91.05</v>
      </c>
      <c r="BN783" s="20">
        <v>72.34</v>
      </c>
      <c r="BW783" s="20">
        <v>-4.53</v>
      </c>
      <c r="BX783" s="20">
        <v>-20.06</v>
      </c>
      <c r="BZ783" s="20">
        <v>-12.52</v>
      </c>
      <c r="CA783" s="20">
        <v>91.59</v>
      </c>
      <c r="CO783" s="20">
        <v>-14.79</v>
      </c>
      <c r="CP783" s="20">
        <v>-43.86</v>
      </c>
    </row>
    <row r="784">
      <c r="A784" s="20">
        <v>20.28</v>
      </c>
      <c r="B784" s="20">
        <v>11.67</v>
      </c>
      <c r="D784" s="20"/>
      <c r="E784" s="20"/>
      <c r="F784" s="20">
        <v>-18.43</v>
      </c>
      <c r="G784" s="20">
        <v>-33.28</v>
      </c>
      <c r="I784" s="20"/>
      <c r="J784" s="20"/>
      <c r="K784" s="20">
        <v>391.0</v>
      </c>
      <c r="L784" s="20" t="s">
        <v>17</v>
      </c>
      <c r="M784" s="20">
        <v>11.73</v>
      </c>
      <c r="N784" s="20">
        <v>-9.23</v>
      </c>
      <c r="P784" s="20">
        <v>36.18</v>
      </c>
      <c r="Q784" s="20">
        <v>110.4</v>
      </c>
      <c r="AG784" s="20">
        <v>782.0</v>
      </c>
      <c r="AH784" s="20" t="s">
        <v>14</v>
      </c>
      <c r="AI784" s="20">
        <v>-21.7</v>
      </c>
      <c r="AJ784" s="20">
        <v>-6.1</v>
      </c>
      <c r="AM784" s="20">
        <v>402.0</v>
      </c>
      <c r="AN784" s="20" t="s">
        <v>17</v>
      </c>
      <c r="AO784" s="20">
        <v>-21.33</v>
      </c>
      <c r="AP784" s="20">
        <v>-36.96</v>
      </c>
      <c r="AS784" s="20">
        <v>395.0</v>
      </c>
      <c r="AT784" s="20" t="s">
        <v>17</v>
      </c>
      <c r="AU784" s="20">
        <v>-6.03</v>
      </c>
      <c r="AV784" s="20">
        <v>-41.18</v>
      </c>
      <c r="BE784" s="20">
        <v>782.0</v>
      </c>
      <c r="BF784" s="20" t="s">
        <v>14</v>
      </c>
      <c r="BG784" s="20">
        <v>17.63</v>
      </c>
      <c r="BH784" s="20">
        <v>38.4</v>
      </c>
      <c r="BM784" s="20">
        <v>25.4</v>
      </c>
      <c r="BN784" s="20">
        <v>16.13</v>
      </c>
      <c r="BW784" s="20">
        <v>-51.95</v>
      </c>
      <c r="BX784" s="20">
        <v>-41.26</v>
      </c>
      <c r="BZ784" s="20">
        <v>-65.67</v>
      </c>
      <c r="CA784" s="20">
        <v>30.77</v>
      </c>
      <c r="CO784" s="20">
        <v>21.18</v>
      </c>
      <c r="CP784" s="20">
        <v>-53.88</v>
      </c>
    </row>
    <row r="785">
      <c r="A785" s="20">
        <v>1.12</v>
      </c>
      <c r="B785" s="20">
        <v>22.56</v>
      </c>
      <c r="D785" s="20"/>
      <c r="E785" s="20"/>
      <c r="F785" s="20">
        <v>-24.91</v>
      </c>
      <c r="G785" s="20">
        <v>-9.02</v>
      </c>
      <c r="I785" s="20"/>
      <c r="J785" s="20"/>
      <c r="K785" s="20">
        <v>392.0</v>
      </c>
      <c r="L785" s="20" t="s">
        <v>14</v>
      </c>
      <c r="M785" s="20">
        <v>-33.02</v>
      </c>
      <c r="N785" s="20">
        <v>6.77</v>
      </c>
      <c r="P785" s="20">
        <v>-20.27</v>
      </c>
      <c r="Q785" s="20">
        <v>15.3</v>
      </c>
      <c r="AG785" s="20">
        <v>783.0</v>
      </c>
      <c r="AH785" s="20" t="s">
        <v>14</v>
      </c>
      <c r="AI785" s="20">
        <v>-9.24</v>
      </c>
      <c r="AJ785" s="20">
        <v>1.96</v>
      </c>
      <c r="AM785" s="20">
        <v>403.0</v>
      </c>
      <c r="AN785" s="20" t="s">
        <v>14</v>
      </c>
      <c r="AO785" s="20">
        <v>78.82</v>
      </c>
      <c r="AP785" s="20">
        <v>-25.27</v>
      </c>
      <c r="AS785" s="20">
        <v>396.0</v>
      </c>
      <c r="AT785" s="20" t="s">
        <v>14</v>
      </c>
      <c r="AU785" s="20">
        <v>-28.97</v>
      </c>
      <c r="AV785" s="20">
        <v>-12.21</v>
      </c>
      <c r="BE785" s="20">
        <v>783.0</v>
      </c>
      <c r="BF785" s="20" t="s">
        <v>14</v>
      </c>
      <c r="BG785" s="20">
        <v>33.68</v>
      </c>
      <c r="BH785" s="20">
        <v>31.3</v>
      </c>
      <c r="BM785" s="20">
        <v>122.96</v>
      </c>
      <c r="BN785" s="20">
        <v>126.36</v>
      </c>
      <c r="BW785" s="20">
        <v>-20.39</v>
      </c>
      <c r="BX785" s="20">
        <v>-37.61</v>
      </c>
      <c r="BZ785" s="20">
        <v>-38.84</v>
      </c>
      <c r="CA785" s="20">
        <v>-4.18</v>
      </c>
      <c r="CO785" s="20">
        <v>-18.02</v>
      </c>
      <c r="CP785" s="20">
        <v>-42.59</v>
      </c>
    </row>
    <row r="786">
      <c r="A786" s="20">
        <v>75.32</v>
      </c>
      <c r="B786" s="20">
        <v>85.49</v>
      </c>
      <c r="D786" s="20"/>
      <c r="E786" s="20"/>
      <c r="F786" s="20">
        <v>4.16</v>
      </c>
      <c r="G786" s="20">
        <v>20.01</v>
      </c>
      <c r="I786" s="20"/>
      <c r="J786" s="20"/>
      <c r="K786" s="20">
        <v>392.0</v>
      </c>
      <c r="L786" s="20" t="s">
        <v>17</v>
      </c>
      <c r="M786" s="20">
        <v>-26.28</v>
      </c>
      <c r="N786" s="20">
        <v>-13.04</v>
      </c>
      <c r="P786" s="20">
        <v>-2.48</v>
      </c>
      <c r="Q786" s="20">
        <v>95.43</v>
      </c>
      <c r="AG786" s="20">
        <v>784.0</v>
      </c>
      <c r="AH786" s="20" t="s">
        <v>14</v>
      </c>
      <c r="AI786" s="20">
        <v>-24.53</v>
      </c>
      <c r="AJ786" s="20">
        <v>-18.14</v>
      </c>
      <c r="AM786" s="20">
        <v>403.0</v>
      </c>
      <c r="AN786" s="20" t="s">
        <v>17</v>
      </c>
      <c r="AO786" s="20">
        <v>-14.14</v>
      </c>
      <c r="AP786" s="20">
        <v>1.94</v>
      </c>
      <c r="AS786" s="20">
        <v>396.0</v>
      </c>
      <c r="AT786" s="20" t="s">
        <v>17</v>
      </c>
      <c r="AU786" s="20">
        <v>-21.03</v>
      </c>
      <c r="AV786" s="20">
        <v>-17.53</v>
      </c>
      <c r="BE786" s="20">
        <v>784.0</v>
      </c>
      <c r="BF786" s="20" t="s">
        <v>14</v>
      </c>
      <c r="BG786" s="20">
        <v>31.75</v>
      </c>
      <c r="BH786" s="20">
        <v>13.72</v>
      </c>
      <c r="BM786" s="20">
        <v>12.39</v>
      </c>
      <c r="BN786" s="20">
        <v>132.03</v>
      </c>
      <c r="BW786" s="20">
        <v>-38.48</v>
      </c>
      <c r="BX786" s="20">
        <v>-29.23</v>
      </c>
      <c r="BZ786" s="20">
        <v>-32.78</v>
      </c>
      <c r="CA786" s="20">
        <v>-14.96</v>
      </c>
      <c r="CO786" s="20">
        <v>-34.08</v>
      </c>
      <c r="CP786" s="20">
        <v>-54.76</v>
      </c>
    </row>
    <row r="787">
      <c r="A787" s="20">
        <v>-33.45</v>
      </c>
      <c r="B787" s="20">
        <v>-51.71</v>
      </c>
      <c r="D787" s="20"/>
      <c r="E787" s="20"/>
      <c r="F787" s="20">
        <v>-12.49</v>
      </c>
      <c r="G787" s="20">
        <v>-26.43</v>
      </c>
      <c r="I787" s="20"/>
      <c r="J787" s="20"/>
      <c r="K787" s="20">
        <v>393.0</v>
      </c>
      <c r="L787" s="20" t="s">
        <v>14</v>
      </c>
      <c r="M787" s="20">
        <v>48.06</v>
      </c>
      <c r="N787" s="20">
        <v>-2.21</v>
      </c>
      <c r="P787" s="20">
        <v>-6.76</v>
      </c>
      <c r="Q787" s="20">
        <v>2.95</v>
      </c>
      <c r="AG787" s="20">
        <v>785.0</v>
      </c>
      <c r="AH787" s="20" t="s">
        <v>14</v>
      </c>
      <c r="AI787" s="20">
        <v>-35.43</v>
      </c>
      <c r="AJ787" s="20">
        <v>-31.91</v>
      </c>
      <c r="AM787" s="20">
        <v>404.0</v>
      </c>
      <c r="AN787" s="20" t="s">
        <v>14</v>
      </c>
      <c r="AO787" s="20">
        <v>18.74</v>
      </c>
      <c r="AP787" s="20">
        <v>12.08</v>
      </c>
      <c r="AS787" s="20">
        <v>397.0</v>
      </c>
      <c r="AT787" s="20" t="s">
        <v>14</v>
      </c>
      <c r="AU787" s="20">
        <v>-21.5</v>
      </c>
      <c r="AV787" s="20">
        <v>-52.69</v>
      </c>
      <c r="BE787" s="20">
        <v>785.0</v>
      </c>
      <c r="BF787" s="20" t="s">
        <v>14</v>
      </c>
      <c r="BG787" s="20">
        <v>27.15</v>
      </c>
      <c r="BH787" s="20">
        <v>62.64</v>
      </c>
      <c r="BM787" s="20">
        <v>51.72</v>
      </c>
      <c r="BN787" s="20">
        <v>115.3</v>
      </c>
      <c r="BW787" s="20">
        <v>-35.8</v>
      </c>
      <c r="BX787" s="20">
        <v>-18.99</v>
      </c>
      <c r="BZ787" s="20">
        <v>-18.66</v>
      </c>
      <c r="CA787" s="20">
        <v>84.38</v>
      </c>
      <c r="CO787" s="20">
        <v>-27.87</v>
      </c>
      <c r="CP787" s="20">
        <v>-56.27</v>
      </c>
    </row>
    <row r="788">
      <c r="A788" s="20">
        <v>37.77</v>
      </c>
      <c r="B788" s="20">
        <v>93.96</v>
      </c>
      <c r="D788" s="20"/>
      <c r="E788" s="20"/>
      <c r="F788" s="20">
        <v>-32.96</v>
      </c>
      <c r="G788" s="20">
        <v>-30.88</v>
      </c>
      <c r="I788" s="20"/>
      <c r="J788" s="20"/>
      <c r="K788" s="20">
        <v>393.0</v>
      </c>
      <c r="L788" s="20" t="s">
        <v>17</v>
      </c>
      <c r="M788" s="20">
        <v>4.32</v>
      </c>
      <c r="N788" s="20">
        <v>15.9</v>
      </c>
      <c r="P788" s="20">
        <v>-7.78</v>
      </c>
      <c r="Q788" s="20">
        <v>-3.18</v>
      </c>
      <c r="AG788" s="20">
        <v>786.0</v>
      </c>
      <c r="AH788" s="20" t="s">
        <v>14</v>
      </c>
      <c r="AI788" s="20">
        <v>-5.77</v>
      </c>
      <c r="AJ788" s="20">
        <v>-47.05</v>
      </c>
      <c r="AM788" s="20">
        <v>404.0</v>
      </c>
      <c r="AN788" s="20" t="s">
        <v>17</v>
      </c>
      <c r="AO788" s="20">
        <v>-22.79</v>
      </c>
      <c r="AP788" s="20">
        <v>21.5</v>
      </c>
      <c r="AS788" s="20">
        <v>397.0</v>
      </c>
      <c r="AT788" s="20" t="s">
        <v>17</v>
      </c>
      <c r="AU788" s="20">
        <v>-12.9</v>
      </c>
      <c r="AV788" s="20">
        <v>-32.38</v>
      </c>
      <c r="BE788" s="20">
        <v>786.0</v>
      </c>
      <c r="BF788" s="20" t="s">
        <v>14</v>
      </c>
      <c r="BG788" s="20">
        <v>21.19</v>
      </c>
      <c r="BH788" s="20">
        <v>15.13</v>
      </c>
      <c r="BM788" s="20">
        <v>86.53</v>
      </c>
      <c r="BN788" s="20">
        <v>143.19</v>
      </c>
      <c r="BW788" s="20">
        <v>-43.58</v>
      </c>
      <c r="BX788" s="20">
        <v>-22.12</v>
      </c>
      <c r="BZ788" s="20">
        <v>-39.28</v>
      </c>
      <c r="CA788" s="20">
        <v>80.84</v>
      </c>
      <c r="CO788" s="20">
        <v>-15.27</v>
      </c>
      <c r="CP788" s="20">
        <v>-52.52</v>
      </c>
    </row>
    <row r="789">
      <c r="A789" s="20">
        <v>-47.46</v>
      </c>
      <c r="B789" s="20">
        <v>16.95</v>
      </c>
      <c r="D789" s="20"/>
      <c r="E789" s="20"/>
      <c r="F789" s="20">
        <v>37.9</v>
      </c>
      <c r="G789" s="20">
        <v>37.81</v>
      </c>
      <c r="I789" s="20"/>
      <c r="J789" s="20"/>
      <c r="K789" s="20">
        <v>394.0</v>
      </c>
      <c r="L789" s="20" t="s">
        <v>14</v>
      </c>
      <c r="M789" s="20">
        <v>33.45</v>
      </c>
      <c r="N789" s="20">
        <v>24.88</v>
      </c>
      <c r="P789" s="20">
        <v>3.37</v>
      </c>
      <c r="Q789" s="20">
        <v>10.41</v>
      </c>
      <c r="AG789" s="20">
        <v>787.0</v>
      </c>
      <c r="AH789" s="20" t="s">
        <v>14</v>
      </c>
      <c r="AI789" s="20">
        <v>-43.21</v>
      </c>
      <c r="AJ789" s="20">
        <v>-39.94</v>
      </c>
      <c r="AM789" s="20">
        <v>405.0</v>
      </c>
      <c r="AN789" s="20" t="s">
        <v>14</v>
      </c>
      <c r="AO789" s="20">
        <v>-6.8</v>
      </c>
      <c r="AP789" s="20">
        <v>-33.46</v>
      </c>
      <c r="AS789" s="20">
        <v>398.0</v>
      </c>
      <c r="AT789" s="20" t="s">
        <v>14</v>
      </c>
      <c r="AU789" s="20">
        <v>-4.97</v>
      </c>
      <c r="AV789" s="20">
        <v>-23.83</v>
      </c>
      <c r="BE789" s="20">
        <v>787.0</v>
      </c>
      <c r="BF789" s="20" t="s">
        <v>14</v>
      </c>
      <c r="BG789" s="20">
        <v>39.38</v>
      </c>
      <c r="BH789" s="20">
        <v>26.64</v>
      </c>
      <c r="BM789" s="20">
        <v>39.4</v>
      </c>
      <c r="BN789" s="20">
        <v>110.69</v>
      </c>
      <c r="BW789" s="20">
        <v>-48.88</v>
      </c>
      <c r="BX789" s="20">
        <v>-20.71</v>
      </c>
      <c r="BZ789" s="20">
        <v>-49.82</v>
      </c>
      <c r="CA789" s="20">
        <v>38.15</v>
      </c>
      <c r="CO789" s="20">
        <v>-39.11</v>
      </c>
      <c r="CP789" s="20">
        <v>-50.9</v>
      </c>
    </row>
    <row r="790">
      <c r="A790" s="20">
        <v>-12.23</v>
      </c>
      <c r="B790" s="20">
        <v>-35.75</v>
      </c>
      <c r="D790" s="20"/>
      <c r="E790" s="20"/>
      <c r="F790" s="20">
        <v>-20.51</v>
      </c>
      <c r="G790" s="20">
        <v>9.0</v>
      </c>
      <c r="I790" s="20"/>
      <c r="J790" s="20"/>
      <c r="K790" s="20">
        <v>394.0</v>
      </c>
      <c r="L790" s="20" t="s">
        <v>17</v>
      </c>
      <c r="M790" s="20">
        <v>31.87</v>
      </c>
      <c r="N790" s="20">
        <v>9.12</v>
      </c>
      <c r="P790" s="20">
        <v>-2.43</v>
      </c>
      <c r="Q790" s="20">
        <v>50.55</v>
      </c>
      <c r="AG790" s="20">
        <v>788.0</v>
      </c>
      <c r="AH790" s="20" t="s">
        <v>14</v>
      </c>
      <c r="AI790" s="20">
        <v>-30.14</v>
      </c>
      <c r="AJ790" s="20">
        <v>-33.28</v>
      </c>
      <c r="AM790" s="20">
        <v>405.0</v>
      </c>
      <c r="AN790" s="20" t="s">
        <v>17</v>
      </c>
      <c r="AO790" s="20">
        <v>1.16</v>
      </c>
      <c r="AP790" s="20">
        <v>-30.23</v>
      </c>
      <c r="AS790" s="20">
        <v>398.0</v>
      </c>
      <c r="AT790" s="20" t="s">
        <v>17</v>
      </c>
      <c r="AU790" s="20">
        <v>-6.32</v>
      </c>
      <c r="AV790" s="20">
        <v>-33.99</v>
      </c>
      <c r="BE790" s="20">
        <v>788.0</v>
      </c>
      <c r="BF790" s="20" t="s">
        <v>14</v>
      </c>
      <c r="BG790" s="20">
        <v>-8.03</v>
      </c>
      <c r="BH790" s="20">
        <v>0.79</v>
      </c>
      <c r="BM790" s="20">
        <v>112.34</v>
      </c>
      <c r="BN790" s="20">
        <v>52.6</v>
      </c>
      <c r="BW790" s="20">
        <v>-44.37</v>
      </c>
      <c r="BX790" s="20">
        <v>-30.06</v>
      </c>
      <c r="BZ790" s="20">
        <v>-49.91</v>
      </c>
      <c r="CA790" s="20">
        <v>-17.33</v>
      </c>
      <c r="CO790" s="20">
        <v>-0.68</v>
      </c>
      <c r="CP790" s="20">
        <v>-45.18</v>
      </c>
    </row>
    <row r="791">
      <c r="A791" s="20">
        <v>-11.57</v>
      </c>
      <c r="B791" s="20">
        <v>-7.09</v>
      </c>
      <c r="D791" s="20"/>
      <c r="E791" s="20"/>
      <c r="F791" s="20">
        <v>65.65</v>
      </c>
      <c r="G791" s="20">
        <v>29.71</v>
      </c>
      <c r="I791" s="20"/>
      <c r="J791" s="20"/>
      <c r="K791" s="20">
        <v>395.0</v>
      </c>
      <c r="L791" s="20" t="s">
        <v>14</v>
      </c>
      <c r="M791" s="20">
        <v>-1.9</v>
      </c>
      <c r="N791" s="20">
        <v>54.04</v>
      </c>
      <c r="P791" s="20">
        <v>-10.25</v>
      </c>
      <c r="Q791" s="20">
        <v>38.76</v>
      </c>
      <c r="AG791" s="20">
        <v>789.0</v>
      </c>
      <c r="AH791" s="20" t="s">
        <v>14</v>
      </c>
      <c r="AI791" s="20">
        <v>-19.84</v>
      </c>
      <c r="AJ791" s="20">
        <v>-25.59</v>
      </c>
      <c r="AM791" s="20">
        <v>406.0</v>
      </c>
      <c r="AN791" s="20" t="s">
        <v>14</v>
      </c>
      <c r="AO791" s="20">
        <v>-21.31</v>
      </c>
      <c r="AP791" s="20">
        <v>-24.37</v>
      </c>
      <c r="AS791" s="20">
        <v>399.0</v>
      </c>
      <c r="AT791" s="20" t="s">
        <v>14</v>
      </c>
      <c r="AU791" s="20">
        <v>-29.55</v>
      </c>
      <c r="AV791" s="20">
        <v>-35.63</v>
      </c>
      <c r="BE791" s="20">
        <v>789.0</v>
      </c>
      <c r="BF791" s="20" t="s">
        <v>14</v>
      </c>
      <c r="BG791" s="20">
        <v>-7.98</v>
      </c>
      <c r="BH791" s="20">
        <v>-1.79</v>
      </c>
      <c r="BM791" s="20">
        <v>55.28</v>
      </c>
      <c r="BN791" s="20">
        <v>57.78</v>
      </c>
      <c r="BW791" s="20">
        <v>-37.55</v>
      </c>
      <c r="BX791" s="20">
        <v>-36.5</v>
      </c>
      <c r="BZ791" s="20">
        <v>-42.68</v>
      </c>
      <c r="CA791" s="20">
        <v>106.17</v>
      </c>
      <c r="CO791" s="20">
        <v>-12.44</v>
      </c>
      <c r="CP791" s="20">
        <v>-45.45</v>
      </c>
    </row>
    <row r="792">
      <c r="A792" s="20">
        <v>0.24</v>
      </c>
      <c r="B792" s="20">
        <v>65.62</v>
      </c>
      <c r="D792" s="20"/>
      <c r="E792" s="20"/>
      <c r="F792" s="20">
        <v>-26.82</v>
      </c>
      <c r="G792" s="20">
        <v>36.93</v>
      </c>
      <c r="I792" s="20"/>
      <c r="J792" s="20"/>
      <c r="K792" s="20">
        <v>395.0</v>
      </c>
      <c r="L792" s="20" t="s">
        <v>17</v>
      </c>
      <c r="M792" s="20">
        <v>-26.18</v>
      </c>
      <c r="N792" s="20">
        <v>12.91</v>
      </c>
      <c r="P792" s="20">
        <v>2.55</v>
      </c>
      <c r="Q792" s="20">
        <v>47.75</v>
      </c>
      <c r="AG792" s="20">
        <v>790.0</v>
      </c>
      <c r="AH792" s="20" t="s">
        <v>14</v>
      </c>
      <c r="AI792" s="20">
        <v>-9.85</v>
      </c>
      <c r="AJ792" s="20">
        <v>-29.87</v>
      </c>
      <c r="AM792" s="20">
        <v>406.0</v>
      </c>
      <c r="AN792" s="20" t="s">
        <v>17</v>
      </c>
      <c r="AO792" s="20">
        <v>-17.05</v>
      </c>
      <c r="AP792" s="20">
        <v>-35.14</v>
      </c>
      <c r="AS792" s="20">
        <v>399.0</v>
      </c>
      <c r="AT792" s="20" t="s">
        <v>17</v>
      </c>
      <c r="AU792" s="20">
        <v>-15.19</v>
      </c>
      <c r="AV792" s="20">
        <v>-13.81</v>
      </c>
      <c r="BE792" s="20">
        <v>790.0</v>
      </c>
      <c r="BF792" s="20" t="s">
        <v>14</v>
      </c>
      <c r="BG792" s="20">
        <v>56.1</v>
      </c>
      <c r="BH792" s="20">
        <v>46.25</v>
      </c>
      <c r="BM792" s="20">
        <v>-13.79</v>
      </c>
      <c r="BN792" s="20">
        <v>45.37</v>
      </c>
      <c r="BW792" s="20">
        <v>-45.56</v>
      </c>
      <c r="BX792" s="20">
        <v>-42.91</v>
      </c>
      <c r="BZ792" s="20">
        <v>-64.61</v>
      </c>
      <c r="CA792" s="20">
        <v>66.59</v>
      </c>
      <c r="CO792" s="20">
        <v>32.26</v>
      </c>
      <c r="CP792" s="20">
        <v>-46.02</v>
      </c>
    </row>
    <row r="793">
      <c r="A793" s="20">
        <v>4.79</v>
      </c>
      <c r="B793" s="20">
        <v>-11.2</v>
      </c>
      <c r="D793" s="20"/>
      <c r="E793" s="20"/>
      <c r="F793" s="20">
        <v>-33.51</v>
      </c>
      <c r="G793" s="20">
        <v>27.35</v>
      </c>
      <c r="I793" s="20"/>
      <c r="J793" s="20"/>
      <c r="K793" s="20">
        <v>396.0</v>
      </c>
      <c r="L793" s="20" t="s">
        <v>14</v>
      </c>
      <c r="M793" s="20">
        <v>-19.2</v>
      </c>
      <c r="N793" s="20">
        <v>26.93</v>
      </c>
      <c r="P793" s="20">
        <v>3.53</v>
      </c>
      <c r="Q793" s="20">
        <v>101.45</v>
      </c>
      <c r="AG793" s="20">
        <v>791.0</v>
      </c>
      <c r="AH793" s="20" t="s">
        <v>14</v>
      </c>
      <c r="AI793" s="20">
        <v>-13.37</v>
      </c>
      <c r="AJ793" s="20">
        <v>-20.13</v>
      </c>
      <c r="AM793" s="20">
        <v>407.0</v>
      </c>
      <c r="AN793" s="20" t="s">
        <v>14</v>
      </c>
      <c r="AO793" s="20">
        <v>-8.44</v>
      </c>
      <c r="AP793" s="20">
        <v>-30.49</v>
      </c>
      <c r="AS793" s="20">
        <v>400.0</v>
      </c>
      <c r="AT793" s="20" t="s">
        <v>14</v>
      </c>
      <c r="AU793" s="20">
        <v>-12.53</v>
      </c>
      <c r="AV793" s="20">
        <v>-21.2</v>
      </c>
      <c r="BE793" s="20">
        <v>791.0</v>
      </c>
      <c r="BF793" s="20" t="s">
        <v>14</v>
      </c>
      <c r="BG793" s="20">
        <v>37.6</v>
      </c>
      <c r="BH793" s="20">
        <v>13.69</v>
      </c>
      <c r="BM793" s="20">
        <v>96.49</v>
      </c>
      <c r="BN793" s="20">
        <v>82.11</v>
      </c>
      <c r="BW793" s="20">
        <v>-43.33</v>
      </c>
      <c r="BX793" s="20">
        <v>-36.07</v>
      </c>
      <c r="BZ793" s="20">
        <v>-49.77</v>
      </c>
      <c r="CA793" s="20">
        <v>-8.91</v>
      </c>
      <c r="CO793" s="20">
        <v>-30.76</v>
      </c>
      <c r="CP793" s="20">
        <v>-59.97</v>
      </c>
    </row>
    <row r="794">
      <c r="A794" s="20">
        <v>46.37</v>
      </c>
      <c r="B794" s="20">
        <v>95.71</v>
      </c>
      <c r="D794" s="20"/>
      <c r="E794" s="20"/>
      <c r="F794" s="20">
        <v>-36.23</v>
      </c>
      <c r="G794" s="20">
        <v>-26.91</v>
      </c>
      <c r="I794" s="20"/>
      <c r="J794" s="20"/>
      <c r="K794" s="20">
        <v>396.0</v>
      </c>
      <c r="L794" s="20" t="s">
        <v>17</v>
      </c>
      <c r="M794" s="20">
        <v>-15.4</v>
      </c>
      <c r="N794" s="20">
        <v>5.08</v>
      </c>
      <c r="P794" s="20">
        <v>12.65</v>
      </c>
      <c r="Q794" s="20">
        <v>55.92</v>
      </c>
      <c r="AG794" s="20">
        <v>792.0</v>
      </c>
      <c r="AH794" s="20" t="s">
        <v>14</v>
      </c>
      <c r="AI794" s="20">
        <v>18.42</v>
      </c>
      <c r="AJ794" s="20">
        <v>-28.36</v>
      </c>
      <c r="AM794" s="20">
        <v>407.0</v>
      </c>
      <c r="AN794" s="20" t="s">
        <v>17</v>
      </c>
      <c r="AO794" s="20">
        <v>-6.85</v>
      </c>
      <c r="AP794" s="20">
        <v>-24.35</v>
      </c>
      <c r="AS794" s="20">
        <v>400.0</v>
      </c>
      <c r="AT794" s="20" t="s">
        <v>17</v>
      </c>
      <c r="AU794" s="20">
        <v>-13.11</v>
      </c>
      <c r="AV794" s="20">
        <v>-49.24</v>
      </c>
      <c r="BE794" s="20">
        <v>792.0</v>
      </c>
      <c r="BF794" s="20" t="s">
        <v>14</v>
      </c>
      <c r="BG794" s="20">
        <v>30.95</v>
      </c>
      <c r="BH794" s="20">
        <v>2.07</v>
      </c>
      <c r="BM794" s="20">
        <v>72.69</v>
      </c>
      <c r="BN794" s="20">
        <v>138.92</v>
      </c>
      <c r="BW794" s="20">
        <v>-31.42</v>
      </c>
      <c r="BX794" s="20">
        <v>-20.27</v>
      </c>
      <c r="BZ794" s="20">
        <v>-52.3</v>
      </c>
      <c r="CA794" s="20">
        <v>6.06</v>
      </c>
      <c r="CO794" s="20">
        <v>-11.87</v>
      </c>
      <c r="CP794" s="20">
        <v>-20.51</v>
      </c>
    </row>
    <row r="795">
      <c r="A795" s="20">
        <v>-35.73</v>
      </c>
      <c r="B795" s="20">
        <v>-6.59</v>
      </c>
      <c r="D795" s="20"/>
      <c r="E795" s="20"/>
      <c r="F795" s="20">
        <v>-21.35</v>
      </c>
      <c r="G795" s="20">
        <v>29.97</v>
      </c>
      <c r="I795" s="20"/>
      <c r="J795" s="20"/>
      <c r="K795" s="20">
        <v>397.0</v>
      </c>
      <c r="L795" s="20" t="s">
        <v>14</v>
      </c>
      <c r="M795" s="20">
        <v>17.4</v>
      </c>
      <c r="N795" s="20">
        <v>29.42</v>
      </c>
      <c r="P795" s="20">
        <v>-4.43</v>
      </c>
      <c r="Q795" s="20">
        <v>33.24</v>
      </c>
      <c r="AG795" s="20">
        <v>793.0</v>
      </c>
      <c r="AH795" s="20" t="s">
        <v>14</v>
      </c>
      <c r="AI795" s="20">
        <v>-53.19</v>
      </c>
      <c r="AJ795" s="20">
        <v>-51.5</v>
      </c>
      <c r="AM795" s="20">
        <v>408.0</v>
      </c>
      <c r="AN795" s="20" t="s">
        <v>14</v>
      </c>
      <c r="AO795" s="20">
        <v>-22.68</v>
      </c>
      <c r="AP795" s="20">
        <v>-40.36</v>
      </c>
      <c r="AS795" s="20">
        <v>401.0</v>
      </c>
      <c r="AT795" s="20" t="s">
        <v>14</v>
      </c>
      <c r="AU795" s="20">
        <v>-7.04</v>
      </c>
      <c r="AV795" s="20">
        <v>-40.57</v>
      </c>
      <c r="BE795" s="20">
        <v>793.0</v>
      </c>
      <c r="BF795" s="20" t="s">
        <v>14</v>
      </c>
      <c r="BG795" s="20">
        <v>27.09</v>
      </c>
      <c r="BH795" s="20">
        <v>-1.0</v>
      </c>
      <c r="BM795" s="20">
        <v>25.15</v>
      </c>
      <c r="BN795" s="20">
        <v>35.6</v>
      </c>
      <c r="BW795" s="20">
        <v>-49.66</v>
      </c>
      <c r="BX795" s="20">
        <v>-23.35</v>
      </c>
      <c r="BZ795" s="20">
        <v>-61.12</v>
      </c>
      <c r="CA795" s="20">
        <v>15.13</v>
      </c>
      <c r="CO795" s="20">
        <v>9.19</v>
      </c>
      <c r="CP795" s="20">
        <v>-63.92</v>
      </c>
    </row>
    <row r="796">
      <c r="A796" s="20">
        <v>-1.61</v>
      </c>
      <c r="B796" s="20">
        <v>-26.49</v>
      </c>
      <c r="D796" s="20"/>
      <c r="E796" s="20"/>
      <c r="F796" s="20">
        <v>-29.58</v>
      </c>
      <c r="G796" s="20">
        <v>-6.49</v>
      </c>
      <c r="I796" s="20"/>
      <c r="J796" s="20"/>
      <c r="K796" s="20">
        <v>397.0</v>
      </c>
      <c r="L796" s="20" t="s">
        <v>17</v>
      </c>
      <c r="M796" s="20">
        <v>-10.76</v>
      </c>
      <c r="N796" s="20">
        <v>37.7</v>
      </c>
      <c r="P796" s="20">
        <v>25.27</v>
      </c>
      <c r="Q796" s="20">
        <v>50.93</v>
      </c>
      <c r="AG796" s="20">
        <v>794.0</v>
      </c>
      <c r="AH796" s="20" t="s">
        <v>14</v>
      </c>
      <c r="AI796" s="20">
        <v>-24.28</v>
      </c>
      <c r="AJ796" s="20">
        <v>-30.97</v>
      </c>
      <c r="AM796" s="20">
        <v>408.0</v>
      </c>
      <c r="AN796" s="20" t="s">
        <v>17</v>
      </c>
      <c r="AO796" s="20">
        <v>-26.73</v>
      </c>
      <c r="AP796" s="20">
        <v>-33.66</v>
      </c>
      <c r="AS796" s="20">
        <v>401.0</v>
      </c>
      <c r="AT796" s="20" t="s">
        <v>17</v>
      </c>
      <c r="AU796" s="20">
        <v>-19.27</v>
      </c>
      <c r="AV796" s="20">
        <v>-29.02</v>
      </c>
      <c r="BE796" s="20">
        <v>794.0</v>
      </c>
      <c r="BF796" s="20" t="s">
        <v>14</v>
      </c>
      <c r="BG796" s="20">
        <v>46.66</v>
      </c>
      <c r="BH796" s="20">
        <v>-8.86</v>
      </c>
      <c r="BM796" s="20">
        <v>42.88</v>
      </c>
      <c r="BN796" s="20">
        <v>117.82</v>
      </c>
      <c r="BW796" s="20">
        <v>-52.06</v>
      </c>
      <c r="BX796" s="20">
        <v>-31.91</v>
      </c>
      <c r="BZ796" s="20">
        <v>-40.38</v>
      </c>
      <c r="CA796" s="20">
        <v>37.36</v>
      </c>
      <c r="CO796" s="20">
        <v>15.22</v>
      </c>
      <c r="CP796" s="20">
        <v>-64.19</v>
      </c>
    </row>
    <row r="797">
      <c r="A797" s="20">
        <v>-52.47</v>
      </c>
      <c r="B797" s="20">
        <v>-7.08</v>
      </c>
      <c r="D797" s="20"/>
      <c r="E797" s="20"/>
      <c r="F797" s="20">
        <v>5.67</v>
      </c>
      <c r="G797" s="20">
        <v>18.76</v>
      </c>
      <c r="I797" s="20"/>
      <c r="J797" s="20"/>
      <c r="K797" s="20">
        <v>398.0</v>
      </c>
      <c r="L797" s="20" t="s">
        <v>14</v>
      </c>
      <c r="M797" s="20">
        <v>21.72</v>
      </c>
      <c r="N797" s="20">
        <v>10.42</v>
      </c>
      <c r="P797" s="20">
        <v>-11.79</v>
      </c>
      <c r="Q797" s="20">
        <v>20.52</v>
      </c>
      <c r="AG797" s="20">
        <v>795.0</v>
      </c>
      <c r="AH797" s="20" t="s">
        <v>14</v>
      </c>
      <c r="AI797" s="20">
        <v>-9.4</v>
      </c>
      <c r="AJ797" s="20">
        <v>-33.22</v>
      </c>
      <c r="AM797" s="20">
        <v>409.0</v>
      </c>
      <c r="AN797" s="20" t="s">
        <v>14</v>
      </c>
      <c r="AO797" s="20">
        <v>3.98</v>
      </c>
      <c r="AP797" s="20">
        <v>14.99</v>
      </c>
      <c r="AS797" s="20">
        <v>402.0</v>
      </c>
      <c r="AT797" s="20" t="s">
        <v>14</v>
      </c>
      <c r="AU797" s="20">
        <v>2.05</v>
      </c>
      <c r="AV797" s="20">
        <v>-16.98</v>
      </c>
      <c r="BE797" s="20">
        <v>795.0</v>
      </c>
      <c r="BF797" s="20" t="s">
        <v>14</v>
      </c>
      <c r="BG797" s="20">
        <v>74.26</v>
      </c>
      <c r="BH797" s="20">
        <v>5.74</v>
      </c>
      <c r="BM797" s="20">
        <v>154.1</v>
      </c>
      <c r="BN797" s="20">
        <v>105.4</v>
      </c>
      <c r="BW797" s="20">
        <v>-24.31</v>
      </c>
      <c r="BX797" s="20">
        <v>-24.12</v>
      </c>
      <c r="BZ797" s="20">
        <v>-19.07</v>
      </c>
      <c r="CA797" s="20">
        <v>75.16</v>
      </c>
      <c r="CO797" s="20">
        <v>-2.98</v>
      </c>
      <c r="CP797" s="20">
        <v>-55.01</v>
      </c>
    </row>
    <row r="798">
      <c r="A798" s="20">
        <v>-16.92</v>
      </c>
      <c r="B798" s="20">
        <v>36.14</v>
      </c>
      <c r="D798" s="20"/>
      <c r="E798" s="20"/>
      <c r="F798" s="20">
        <v>-58.71</v>
      </c>
      <c r="G798" s="20">
        <v>-28.48</v>
      </c>
      <c r="I798" s="20"/>
      <c r="J798" s="20"/>
      <c r="K798" s="20">
        <v>398.0</v>
      </c>
      <c r="L798" s="20" t="s">
        <v>17</v>
      </c>
      <c r="M798" s="20">
        <v>38.35</v>
      </c>
      <c r="N798" s="20">
        <v>20.16</v>
      </c>
      <c r="P798" s="20">
        <v>-4.68</v>
      </c>
      <c r="Q798" s="20">
        <v>25.25</v>
      </c>
      <c r="AG798" s="20">
        <v>796.0</v>
      </c>
      <c r="AH798" s="20" t="s">
        <v>14</v>
      </c>
      <c r="AI798" s="20">
        <v>-64.44</v>
      </c>
      <c r="AJ798" s="20">
        <v>-54.19</v>
      </c>
      <c r="AM798" s="20">
        <v>409.0</v>
      </c>
      <c r="AN798" s="20" t="s">
        <v>17</v>
      </c>
      <c r="AO798" s="20">
        <v>-0.43</v>
      </c>
      <c r="AP798" s="20">
        <v>115.51</v>
      </c>
      <c r="AS798" s="20">
        <v>402.0</v>
      </c>
      <c r="AT798" s="20" t="s">
        <v>17</v>
      </c>
      <c r="AU798" s="20">
        <v>-29.28</v>
      </c>
      <c r="AV798" s="20">
        <v>-49.67</v>
      </c>
      <c r="BE798" s="20">
        <v>796.0</v>
      </c>
      <c r="BF798" s="20" t="s">
        <v>14</v>
      </c>
      <c r="BG798" s="20">
        <v>-4.78</v>
      </c>
      <c r="BH798" s="20">
        <v>40.75</v>
      </c>
      <c r="BM798" s="20">
        <v>80.69</v>
      </c>
      <c r="BN798" s="20">
        <v>131.98</v>
      </c>
      <c r="BW798" s="20">
        <v>-55.31</v>
      </c>
      <c r="BX798" s="20">
        <v>10.32</v>
      </c>
      <c r="BZ798" s="20">
        <v>0.33</v>
      </c>
      <c r="CA798" s="20">
        <v>74.85</v>
      </c>
      <c r="CO798" s="20">
        <v>-12.78</v>
      </c>
      <c r="CP798" s="20">
        <v>-61.51</v>
      </c>
    </row>
    <row r="799">
      <c r="A799" s="20">
        <v>85.55</v>
      </c>
      <c r="B799" s="20">
        <v>-42.92</v>
      </c>
      <c r="D799" s="20"/>
      <c r="E799" s="20"/>
      <c r="F799" s="20">
        <v>-54.15</v>
      </c>
      <c r="G799" s="20">
        <v>-47.67</v>
      </c>
      <c r="I799" s="20"/>
      <c r="J799" s="20"/>
      <c r="K799" s="20">
        <v>399.0</v>
      </c>
      <c r="L799" s="20" t="s">
        <v>14</v>
      </c>
      <c r="M799" s="20">
        <v>-6.14</v>
      </c>
      <c r="N799" s="20">
        <v>30.34</v>
      </c>
      <c r="P799" s="20">
        <v>-12.62</v>
      </c>
      <c r="Q799" s="20">
        <v>59.5</v>
      </c>
      <c r="AG799" s="20">
        <v>797.0</v>
      </c>
      <c r="AH799" s="20" t="s">
        <v>14</v>
      </c>
      <c r="AI799" s="20">
        <v>-31.27</v>
      </c>
      <c r="AJ799" s="20">
        <v>-45.81</v>
      </c>
      <c r="AM799" s="20">
        <v>410.0</v>
      </c>
      <c r="AN799" s="20" t="s">
        <v>14</v>
      </c>
      <c r="AO799" s="20">
        <v>-8.33</v>
      </c>
      <c r="AP799" s="20">
        <v>-7.39</v>
      </c>
      <c r="AS799" s="20">
        <v>403.0</v>
      </c>
      <c r="AT799" s="20" t="s">
        <v>14</v>
      </c>
      <c r="AU799" s="20">
        <v>4.2</v>
      </c>
      <c r="AV799" s="20">
        <v>-46.74</v>
      </c>
      <c r="BE799" s="20">
        <v>797.0</v>
      </c>
      <c r="BF799" s="20" t="s">
        <v>14</v>
      </c>
      <c r="BG799" s="20">
        <v>41.49</v>
      </c>
      <c r="BH799" s="20">
        <v>45.92</v>
      </c>
      <c r="BM799" s="20">
        <v>66.5</v>
      </c>
      <c r="BN799" s="20">
        <v>56.78</v>
      </c>
      <c r="BW799" s="20">
        <v>-46.55</v>
      </c>
      <c r="BX799" s="20">
        <v>-23.15</v>
      </c>
      <c r="BZ799" s="20">
        <v>-34.2</v>
      </c>
      <c r="CA799" s="20">
        <v>115.57</v>
      </c>
      <c r="CO799" s="20">
        <v>-42.88</v>
      </c>
      <c r="CP799" s="20">
        <v>-41.69</v>
      </c>
    </row>
    <row r="800">
      <c r="A800" s="20">
        <v>59.55</v>
      </c>
      <c r="B800" s="20">
        <v>24.03</v>
      </c>
      <c r="D800" s="20"/>
      <c r="E800" s="20"/>
      <c r="F800" s="20">
        <v>-19.44</v>
      </c>
      <c r="G800" s="20">
        <v>-4.49</v>
      </c>
      <c r="I800" s="20"/>
      <c r="J800" s="20"/>
      <c r="K800" s="20">
        <v>399.0</v>
      </c>
      <c r="L800" s="20" t="s">
        <v>17</v>
      </c>
      <c r="M800" s="20">
        <v>-6.86</v>
      </c>
      <c r="N800" s="20">
        <v>32.86</v>
      </c>
      <c r="P800" s="20">
        <v>-10.0</v>
      </c>
      <c r="Q800" s="20">
        <v>77.0</v>
      </c>
      <c r="AG800" s="20">
        <v>798.0</v>
      </c>
      <c r="AH800" s="20" t="s">
        <v>14</v>
      </c>
      <c r="AI800" s="20">
        <v>-27.99</v>
      </c>
      <c r="AJ800" s="20">
        <v>-49.33</v>
      </c>
      <c r="AM800" s="20">
        <v>410.0</v>
      </c>
      <c r="AN800" s="20" t="s">
        <v>17</v>
      </c>
      <c r="AO800" s="20">
        <v>10.77</v>
      </c>
      <c r="AP800" s="20">
        <v>18.76</v>
      </c>
      <c r="AS800" s="20">
        <v>403.0</v>
      </c>
      <c r="AT800" s="20" t="s">
        <v>17</v>
      </c>
      <c r="AU800" s="20">
        <v>-38.86</v>
      </c>
      <c r="AV800" s="20">
        <v>-46.35</v>
      </c>
      <c r="BE800" s="20">
        <v>798.0</v>
      </c>
      <c r="BF800" s="20" t="s">
        <v>14</v>
      </c>
      <c r="BG800" s="20">
        <v>80.56</v>
      </c>
      <c r="BH800" s="20">
        <v>53.98</v>
      </c>
      <c r="BM800" s="20">
        <v>139.35</v>
      </c>
      <c r="BN800" s="20">
        <v>95.62</v>
      </c>
      <c r="BW800" s="20">
        <v>-36.38</v>
      </c>
      <c r="BX800" s="20">
        <v>14.62</v>
      </c>
      <c r="BZ800" s="20">
        <v>-64.47</v>
      </c>
      <c r="CA800" s="20">
        <v>61.14</v>
      </c>
      <c r="CO800" s="20">
        <v>-20.5</v>
      </c>
      <c r="CP800" s="20">
        <v>-45.55</v>
      </c>
    </row>
    <row r="801">
      <c r="A801" s="20">
        <v>22.71</v>
      </c>
      <c r="B801" s="20">
        <v>32.53</v>
      </c>
      <c r="D801" s="20"/>
      <c r="E801" s="20"/>
      <c r="F801" s="20">
        <v>-15.85</v>
      </c>
      <c r="G801" s="20">
        <v>22.46</v>
      </c>
      <c r="I801" s="20"/>
      <c r="J801" s="20"/>
      <c r="K801" s="20">
        <v>400.0</v>
      </c>
      <c r="L801" s="20" t="s">
        <v>14</v>
      </c>
      <c r="M801" s="20">
        <v>11.96</v>
      </c>
      <c r="N801" s="20">
        <v>58.84</v>
      </c>
      <c r="P801" s="20">
        <v>0.52</v>
      </c>
      <c r="Q801" s="20">
        <v>36.02</v>
      </c>
      <c r="AG801" s="20">
        <v>799.0</v>
      </c>
      <c r="AH801" s="20" t="s">
        <v>14</v>
      </c>
      <c r="AI801" s="20">
        <v>-59.24</v>
      </c>
      <c r="AJ801" s="20">
        <v>-53.79</v>
      </c>
      <c r="AM801" s="20">
        <v>411.0</v>
      </c>
      <c r="AN801" s="20" t="s">
        <v>14</v>
      </c>
      <c r="AO801" s="20">
        <v>24.22</v>
      </c>
      <c r="AP801" s="20">
        <v>-2.71</v>
      </c>
      <c r="AS801" s="20">
        <v>404.0</v>
      </c>
      <c r="AT801" s="20" t="s">
        <v>14</v>
      </c>
      <c r="AU801" s="20">
        <v>-4.87</v>
      </c>
      <c r="AV801" s="20">
        <v>-25.15</v>
      </c>
      <c r="BE801" s="20">
        <v>799.0</v>
      </c>
      <c r="BF801" s="20" t="s">
        <v>14</v>
      </c>
      <c r="BG801" s="20">
        <v>35.46</v>
      </c>
      <c r="BH801" s="20">
        <v>-16.21</v>
      </c>
      <c r="BM801" s="20">
        <v>166.95</v>
      </c>
      <c r="BN801" s="20">
        <v>120.14</v>
      </c>
      <c r="BW801" s="20">
        <v>-15.05</v>
      </c>
      <c r="BX801" s="20">
        <v>-11.23</v>
      </c>
      <c r="BZ801" s="20">
        <v>1.39</v>
      </c>
      <c r="CA801" s="20">
        <v>15.38</v>
      </c>
      <c r="CO801" s="20">
        <v>-34.42</v>
      </c>
      <c r="CP801" s="20">
        <v>-52.84</v>
      </c>
    </row>
    <row r="802">
      <c r="A802" s="20">
        <v>68.12</v>
      </c>
      <c r="B802" s="20">
        <v>-23.59</v>
      </c>
      <c r="D802" s="20"/>
      <c r="E802" s="20"/>
      <c r="F802" s="20">
        <v>-47.23</v>
      </c>
      <c r="G802" s="20">
        <v>-2.33</v>
      </c>
      <c r="I802" s="20"/>
      <c r="J802" s="20"/>
      <c r="K802" s="20">
        <v>400.0</v>
      </c>
      <c r="L802" s="20" t="s">
        <v>17</v>
      </c>
      <c r="M802" s="20">
        <v>19.32</v>
      </c>
      <c r="N802" s="20">
        <v>67.73</v>
      </c>
      <c r="P802" s="20">
        <v>-0.97</v>
      </c>
      <c r="Q802" s="20">
        <v>27.54</v>
      </c>
      <c r="AG802" s="20">
        <v>800.0</v>
      </c>
      <c r="AH802" s="20" t="s">
        <v>14</v>
      </c>
      <c r="AI802" s="20">
        <v>-50.61</v>
      </c>
      <c r="AJ802" s="20">
        <v>-7.58</v>
      </c>
      <c r="AM802" s="20">
        <v>411.0</v>
      </c>
      <c r="AN802" s="20" t="s">
        <v>17</v>
      </c>
      <c r="AO802" s="20">
        <v>14.06</v>
      </c>
      <c r="AP802" s="20">
        <v>49.93</v>
      </c>
      <c r="AS802" s="20">
        <v>404.0</v>
      </c>
      <c r="AT802" s="20" t="s">
        <v>17</v>
      </c>
      <c r="AU802" s="20">
        <v>-32.7</v>
      </c>
      <c r="AV802" s="20">
        <v>-12.12</v>
      </c>
      <c r="BE802" s="20">
        <v>800.0</v>
      </c>
      <c r="BF802" s="20" t="s">
        <v>14</v>
      </c>
      <c r="BG802" s="20">
        <v>63.95</v>
      </c>
      <c r="BH802" s="20">
        <v>6.39</v>
      </c>
      <c r="BM802" s="20">
        <v>-31.64</v>
      </c>
      <c r="BN802" s="20">
        <v>-30.56</v>
      </c>
      <c r="BW802" s="20">
        <v>-19.5</v>
      </c>
      <c r="BX802" s="20">
        <v>-21.2</v>
      </c>
      <c r="BZ802" s="20">
        <v>-32.2</v>
      </c>
      <c r="CA802" s="20">
        <v>-53.82</v>
      </c>
      <c r="CO802" s="20">
        <v>-30.01</v>
      </c>
      <c r="CP802" s="20">
        <v>-40.69</v>
      </c>
    </row>
    <row r="803">
      <c r="A803" s="20">
        <v>-7.53</v>
      </c>
      <c r="B803" s="20">
        <v>-11.52</v>
      </c>
      <c r="D803" s="20"/>
      <c r="E803" s="20"/>
      <c r="F803" s="20">
        <v>3.56</v>
      </c>
      <c r="G803" s="20">
        <v>17.3</v>
      </c>
      <c r="I803" s="20"/>
      <c r="J803" s="20"/>
      <c r="K803" s="20">
        <v>401.0</v>
      </c>
      <c r="L803" s="20" t="s">
        <v>14</v>
      </c>
      <c r="M803" s="20">
        <v>28.86</v>
      </c>
      <c r="N803" s="20">
        <v>25.81</v>
      </c>
      <c r="P803" s="20">
        <v>-15.12</v>
      </c>
      <c r="Q803" s="20">
        <v>23.85</v>
      </c>
      <c r="AG803" s="20">
        <v>801.0</v>
      </c>
      <c r="AH803" s="20" t="s">
        <v>14</v>
      </c>
      <c r="AI803" s="20">
        <v>-5.17</v>
      </c>
      <c r="AJ803" s="20">
        <v>0.16</v>
      </c>
      <c r="AM803" s="20">
        <v>412.0</v>
      </c>
      <c r="AN803" s="20" t="s">
        <v>14</v>
      </c>
      <c r="AO803" s="20">
        <v>-0.34</v>
      </c>
      <c r="AP803" s="20">
        <v>-37.24</v>
      </c>
      <c r="AS803" s="20">
        <v>405.0</v>
      </c>
      <c r="AT803" s="20" t="s">
        <v>14</v>
      </c>
      <c r="AU803" s="20">
        <v>0.03</v>
      </c>
      <c r="AV803" s="20">
        <v>-32.29</v>
      </c>
      <c r="BE803" s="20">
        <v>801.0</v>
      </c>
      <c r="BF803" s="20" t="s">
        <v>14</v>
      </c>
      <c r="BG803" s="20">
        <v>69.22</v>
      </c>
      <c r="BH803" s="20">
        <v>-4.52</v>
      </c>
      <c r="BM803" s="20">
        <v>26.55</v>
      </c>
      <c r="BN803" s="20">
        <v>51.8</v>
      </c>
      <c r="BW803" s="20">
        <v>-28.44</v>
      </c>
      <c r="BX803" s="20">
        <v>-29.82</v>
      </c>
      <c r="BZ803" s="20">
        <v>-24.09</v>
      </c>
      <c r="CA803" s="20">
        <v>118.21</v>
      </c>
      <c r="CO803" s="20">
        <v>-61.49</v>
      </c>
      <c r="CP803" s="20">
        <v>-27.0</v>
      </c>
    </row>
    <row r="804">
      <c r="A804" s="20">
        <v>-5.2</v>
      </c>
      <c r="B804" s="20">
        <v>-12.02</v>
      </c>
      <c r="D804" s="20"/>
      <c r="E804" s="20"/>
      <c r="F804" s="20">
        <v>-47.42</v>
      </c>
      <c r="G804" s="20">
        <v>-15.82</v>
      </c>
      <c r="I804" s="20"/>
      <c r="J804" s="20"/>
      <c r="K804" s="20">
        <v>401.0</v>
      </c>
      <c r="L804" s="20" t="s">
        <v>17</v>
      </c>
      <c r="M804" s="20">
        <v>-7.34</v>
      </c>
      <c r="N804" s="20">
        <v>46.49</v>
      </c>
      <c r="P804" s="20">
        <v>45.33</v>
      </c>
      <c r="Q804" s="20">
        <v>74.77</v>
      </c>
      <c r="AG804" s="20">
        <v>802.0</v>
      </c>
      <c r="AH804" s="20" t="s">
        <v>14</v>
      </c>
      <c r="AI804" s="20">
        <v>-62.25</v>
      </c>
      <c r="AJ804" s="20">
        <v>-49.85</v>
      </c>
      <c r="AM804" s="20">
        <v>412.0</v>
      </c>
      <c r="AN804" s="20" t="s">
        <v>17</v>
      </c>
      <c r="AO804" s="20">
        <v>-14.97</v>
      </c>
      <c r="AP804" s="20">
        <v>-18.57</v>
      </c>
      <c r="AS804" s="20">
        <v>405.0</v>
      </c>
      <c r="AT804" s="20" t="s">
        <v>17</v>
      </c>
      <c r="AU804" s="20">
        <v>-26.24</v>
      </c>
      <c r="AV804" s="20">
        <v>-30.51</v>
      </c>
      <c r="BE804" s="20">
        <v>802.0</v>
      </c>
      <c r="BF804" s="20" t="s">
        <v>14</v>
      </c>
      <c r="BG804" s="20">
        <v>3.66</v>
      </c>
      <c r="BH804" s="20">
        <v>33.12</v>
      </c>
      <c r="BM804" s="20">
        <v>148.08</v>
      </c>
      <c r="BN804" s="20">
        <v>49.2</v>
      </c>
      <c r="BW804" s="20">
        <v>-40.14</v>
      </c>
      <c r="BX804" s="20">
        <v>-7.51</v>
      </c>
      <c r="BZ804" s="20">
        <v>-40.34</v>
      </c>
      <c r="CA804" s="20">
        <v>171.81</v>
      </c>
      <c r="CO804" s="20">
        <v>-59.65</v>
      </c>
      <c r="CP804" s="20">
        <v>-66.7</v>
      </c>
    </row>
    <row r="805">
      <c r="A805" s="20">
        <v>34.01</v>
      </c>
      <c r="B805" s="20">
        <v>12.47</v>
      </c>
      <c r="D805" s="20"/>
      <c r="E805" s="20"/>
      <c r="F805" s="20">
        <v>-47.28</v>
      </c>
      <c r="G805" s="20">
        <v>-9.89</v>
      </c>
      <c r="I805" s="20"/>
      <c r="J805" s="20"/>
      <c r="K805" s="20">
        <v>402.0</v>
      </c>
      <c r="L805" s="20" t="s">
        <v>14</v>
      </c>
      <c r="M805" s="20">
        <v>26.69</v>
      </c>
      <c r="N805" s="20">
        <v>16.06</v>
      </c>
      <c r="P805" s="20">
        <v>31.43</v>
      </c>
      <c r="Q805" s="20">
        <v>128.76</v>
      </c>
      <c r="AG805" s="20">
        <v>803.0</v>
      </c>
      <c r="AH805" s="20" t="s">
        <v>14</v>
      </c>
      <c r="AI805" s="20">
        <v>-49.35</v>
      </c>
      <c r="AJ805" s="20">
        <v>-55.73</v>
      </c>
      <c r="AM805" s="20">
        <v>413.0</v>
      </c>
      <c r="AN805" s="20" t="s">
        <v>14</v>
      </c>
      <c r="AO805" s="20">
        <v>1.48</v>
      </c>
      <c r="AP805" s="20">
        <v>-30.44</v>
      </c>
      <c r="AS805" s="20">
        <v>406.0</v>
      </c>
      <c r="AT805" s="20" t="s">
        <v>14</v>
      </c>
      <c r="AU805" s="20">
        <v>-18.52</v>
      </c>
      <c r="AV805" s="20">
        <v>-22.81</v>
      </c>
      <c r="BE805" s="20">
        <v>803.0</v>
      </c>
      <c r="BF805" s="20" t="s">
        <v>14</v>
      </c>
      <c r="BG805" s="20">
        <v>20.93</v>
      </c>
      <c r="BH805" s="20">
        <v>36.21</v>
      </c>
      <c r="BM805" s="20">
        <v>60.98</v>
      </c>
      <c r="BN805" s="20">
        <v>77.59</v>
      </c>
      <c r="BW805" s="20">
        <v>6.26</v>
      </c>
      <c r="BX805" s="20">
        <v>-23.03</v>
      </c>
      <c r="BZ805" s="20">
        <v>-46.19</v>
      </c>
      <c r="CA805" s="20">
        <v>45.13</v>
      </c>
      <c r="CO805" s="20">
        <v>-29.06</v>
      </c>
      <c r="CP805" s="20">
        <v>-38.34</v>
      </c>
    </row>
    <row r="806">
      <c r="A806" s="20">
        <v>-55.08</v>
      </c>
      <c r="B806" s="20">
        <v>-35.1</v>
      </c>
      <c r="D806" s="20"/>
      <c r="E806" s="20"/>
      <c r="F806" s="20">
        <v>-39.61</v>
      </c>
      <c r="G806" s="20">
        <v>-1.68</v>
      </c>
      <c r="I806" s="20"/>
      <c r="J806" s="20"/>
      <c r="K806" s="20">
        <v>402.0</v>
      </c>
      <c r="L806" s="20" t="s">
        <v>17</v>
      </c>
      <c r="M806" s="20">
        <v>8.62</v>
      </c>
      <c r="N806" s="20">
        <v>7.83</v>
      </c>
      <c r="P806" s="20">
        <v>21.4</v>
      </c>
      <c r="Q806" s="20">
        <v>154.25</v>
      </c>
      <c r="AG806" s="20">
        <v>804.0</v>
      </c>
      <c r="AH806" s="20" t="s">
        <v>14</v>
      </c>
      <c r="AI806" s="20">
        <v>-17.61</v>
      </c>
      <c r="AJ806" s="20">
        <v>-37.91</v>
      </c>
      <c r="AM806" s="20">
        <v>413.0</v>
      </c>
      <c r="AN806" s="20" t="s">
        <v>17</v>
      </c>
      <c r="AO806" s="20">
        <v>2.42</v>
      </c>
      <c r="AP806" s="20">
        <v>-44.01</v>
      </c>
      <c r="AS806" s="20">
        <v>406.0</v>
      </c>
      <c r="AT806" s="20" t="s">
        <v>17</v>
      </c>
      <c r="AU806" s="20">
        <v>-4.61</v>
      </c>
      <c r="AV806" s="20">
        <v>-40.05</v>
      </c>
      <c r="BE806" s="20">
        <v>804.0</v>
      </c>
      <c r="BF806" s="20" t="s">
        <v>14</v>
      </c>
      <c r="BG806" s="20">
        <v>51.37</v>
      </c>
      <c r="BH806" s="20">
        <v>30.08</v>
      </c>
      <c r="BM806" s="20">
        <v>152.81</v>
      </c>
      <c r="BN806" s="20">
        <v>58.55</v>
      </c>
      <c r="BW806" s="20">
        <v>-49.85</v>
      </c>
      <c r="BX806" s="20">
        <v>-27.02</v>
      </c>
      <c r="BZ806" s="20">
        <v>-24.47</v>
      </c>
      <c r="CA806" s="20">
        <v>6.57</v>
      </c>
      <c r="CO806" s="20">
        <v>-27.32</v>
      </c>
      <c r="CP806" s="20">
        <v>-25.02</v>
      </c>
    </row>
    <row r="807">
      <c r="A807" s="20">
        <v>-42.4</v>
      </c>
      <c r="B807" s="20">
        <v>19.38</v>
      </c>
      <c r="D807" s="20"/>
      <c r="E807" s="20"/>
      <c r="F807" s="20">
        <v>57.72</v>
      </c>
      <c r="G807" s="20">
        <v>-12.99</v>
      </c>
      <c r="I807" s="20"/>
      <c r="J807" s="20"/>
      <c r="K807" s="20">
        <v>403.0</v>
      </c>
      <c r="L807" s="20" t="s">
        <v>14</v>
      </c>
      <c r="M807" s="20">
        <v>16.07</v>
      </c>
      <c r="N807" s="20">
        <v>45.04</v>
      </c>
      <c r="P807" s="20">
        <v>-8.53</v>
      </c>
      <c r="Q807" s="20">
        <v>78.66</v>
      </c>
      <c r="AG807" s="20">
        <v>805.0</v>
      </c>
      <c r="AH807" s="20" t="s">
        <v>14</v>
      </c>
      <c r="AI807" s="20">
        <v>-53.78</v>
      </c>
      <c r="AJ807" s="20">
        <v>-57.33</v>
      </c>
      <c r="AM807" s="20">
        <v>414.0</v>
      </c>
      <c r="AN807" s="20" t="s">
        <v>14</v>
      </c>
      <c r="AO807" s="20">
        <v>60.45</v>
      </c>
      <c r="AP807" s="20">
        <v>-43.48</v>
      </c>
      <c r="AS807" s="20">
        <v>407.0</v>
      </c>
      <c r="AT807" s="20" t="s">
        <v>14</v>
      </c>
      <c r="AU807" s="20">
        <v>-12.71</v>
      </c>
      <c r="AV807" s="20">
        <v>-35.16</v>
      </c>
      <c r="BE807" s="20">
        <v>805.0</v>
      </c>
      <c r="BF807" s="20" t="s">
        <v>14</v>
      </c>
      <c r="BG807" s="20">
        <v>45.18</v>
      </c>
      <c r="BH807" s="20">
        <v>17.2</v>
      </c>
      <c r="BM807" s="20">
        <v>32.32</v>
      </c>
      <c r="BN807" s="20">
        <v>80.75</v>
      </c>
      <c r="BW807" s="20">
        <v>-11.38</v>
      </c>
      <c r="BX807" s="20">
        <v>-23.56</v>
      </c>
      <c r="BZ807" s="20">
        <v>-36.02</v>
      </c>
      <c r="CA807" s="20">
        <v>132.9</v>
      </c>
      <c r="CO807" s="20">
        <v>-28.93</v>
      </c>
      <c r="CP807" s="20">
        <v>-51.11</v>
      </c>
    </row>
    <row r="808">
      <c r="A808" s="20">
        <v>-22.46</v>
      </c>
      <c r="B808" s="20">
        <v>18.91</v>
      </c>
      <c r="D808" s="20"/>
      <c r="E808" s="20"/>
      <c r="F808" s="20">
        <v>-32.62</v>
      </c>
      <c r="G808" s="20">
        <v>2.31</v>
      </c>
      <c r="I808" s="20"/>
      <c r="J808" s="20"/>
      <c r="K808" s="20">
        <v>403.0</v>
      </c>
      <c r="L808" s="20" t="s">
        <v>17</v>
      </c>
      <c r="M808" s="20">
        <v>-32.55</v>
      </c>
      <c r="N808" s="20">
        <v>33.88</v>
      </c>
      <c r="P808" s="20">
        <v>23.33</v>
      </c>
      <c r="Q808" s="20">
        <v>207.8</v>
      </c>
      <c r="AG808" s="20">
        <v>806.0</v>
      </c>
      <c r="AH808" s="20" t="s">
        <v>14</v>
      </c>
      <c r="AI808" s="20">
        <v>-27.41</v>
      </c>
      <c r="AJ808" s="20">
        <v>-6.67</v>
      </c>
      <c r="AM808" s="20">
        <v>414.0</v>
      </c>
      <c r="AN808" s="20" t="s">
        <v>17</v>
      </c>
      <c r="AO808" s="20">
        <v>83.07</v>
      </c>
      <c r="AP808" s="20">
        <v>-20.98</v>
      </c>
      <c r="AS808" s="20">
        <v>407.0</v>
      </c>
      <c r="AT808" s="20" t="s">
        <v>17</v>
      </c>
      <c r="AU808" s="20">
        <v>-23.14</v>
      </c>
      <c r="AV808" s="20">
        <v>-44.36</v>
      </c>
      <c r="BE808" s="20">
        <v>806.0</v>
      </c>
      <c r="BF808" s="20" t="s">
        <v>14</v>
      </c>
      <c r="BG808" s="20">
        <v>38.11</v>
      </c>
      <c r="BH808" s="20">
        <v>26.25</v>
      </c>
      <c r="BM808" s="20">
        <v>106.76</v>
      </c>
      <c r="BN808" s="20">
        <v>161.71</v>
      </c>
      <c r="BW808" s="20">
        <v>-51.74</v>
      </c>
      <c r="BX808" s="20">
        <v>24.45</v>
      </c>
      <c r="BZ808" s="20">
        <v>-56.36</v>
      </c>
      <c r="CA808" s="20">
        <v>71.3</v>
      </c>
      <c r="CO808" s="20">
        <v>26.3</v>
      </c>
      <c r="CP808" s="20">
        <v>-26.26</v>
      </c>
    </row>
    <row r="809">
      <c r="A809" s="20">
        <v>-14.4</v>
      </c>
      <c r="B809" s="20">
        <v>49.29</v>
      </c>
      <c r="D809" s="20"/>
      <c r="E809" s="20"/>
      <c r="F809" s="20">
        <v>-7.97</v>
      </c>
      <c r="G809" s="20">
        <v>28.7</v>
      </c>
      <c r="I809" s="20"/>
      <c r="J809" s="20"/>
      <c r="K809" s="20">
        <v>404.0</v>
      </c>
      <c r="L809" s="20" t="s">
        <v>14</v>
      </c>
      <c r="M809" s="20">
        <v>22.36</v>
      </c>
      <c r="N809" s="20">
        <v>18.93</v>
      </c>
      <c r="P809" s="20">
        <v>13.5</v>
      </c>
      <c r="Q809" s="20">
        <v>109.41</v>
      </c>
      <c r="AG809" s="20">
        <v>807.0</v>
      </c>
      <c r="AH809" s="20" t="s">
        <v>14</v>
      </c>
      <c r="AI809" s="20">
        <v>1.51</v>
      </c>
      <c r="AJ809" s="20">
        <v>9.36</v>
      </c>
      <c r="AM809" s="20">
        <v>415.0</v>
      </c>
      <c r="AN809" s="20" t="s">
        <v>14</v>
      </c>
      <c r="AO809" s="20">
        <v>-17.2</v>
      </c>
      <c r="AP809" s="20">
        <v>-37.86</v>
      </c>
      <c r="AS809" s="20">
        <v>408.0</v>
      </c>
      <c r="AT809" s="20" t="s">
        <v>14</v>
      </c>
      <c r="AU809" s="20">
        <v>-5.07</v>
      </c>
      <c r="AV809" s="20">
        <v>-6.2</v>
      </c>
      <c r="BE809" s="20">
        <v>807.0</v>
      </c>
      <c r="BF809" s="20" t="s">
        <v>14</v>
      </c>
      <c r="BG809" s="20">
        <v>21.0</v>
      </c>
      <c r="BH809" s="20">
        <v>55.77</v>
      </c>
      <c r="BM809" s="20">
        <v>124.59</v>
      </c>
      <c r="BN809" s="20">
        <v>114.11</v>
      </c>
      <c r="BW809" s="20">
        <v>-33.37</v>
      </c>
      <c r="BX809" s="20">
        <v>-11.82</v>
      </c>
      <c r="BZ809" s="20">
        <v>-40.01</v>
      </c>
      <c r="CA809" s="20">
        <v>26.32</v>
      </c>
      <c r="CO809" s="20">
        <v>-41.18</v>
      </c>
      <c r="CP809" s="20">
        <v>-33.66</v>
      </c>
    </row>
    <row r="810">
      <c r="A810" s="20">
        <v>-42.99</v>
      </c>
      <c r="B810" s="20">
        <v>0.88</v>
      </c>
      <c r="D810" s="20"/>
      <c r="E810" s="20"/>
      <c r="F810" s="20">
        <v>-9.62</v>
      </c>
      <c r="G810" s="20">
        <v>24.4</v>
      </c>
      <c r="I810" s="20"/>
      <c r="J810" s="20"/>
      <c r="K810" s="20">
        <v>404.0</v>
      </c>
      <c r="L810" s="20" t="s">
        <v>17</v>
      </c>
      <c r="M810" s="20">
        <v>8.39</v>
      </c>
      <c r="N810" s="20">
        <v>41.57</v>
      </c>
      <c r="P810" s="20">
        <v>16.54</v>
      </c>
      <c r="Q810" s="20">
        <v>172.37</v>
      </c>
      <c r="AG810" s="20">
        <v>808.0</v>
      </c>
      <c r="AH810" s="20" t="s">
        <v>14</v>
      </c>
      <c r="AI810" s="20">
        <v>-15.91</v>
      </c>
      <c r="AJ810" s="20">
        <v>-51.41</v>
      </c>
      <c r="AM810" s="20">
        <v>415.0</v>
      </c>
      <c r="AN810" s="20" t="s">
        <v>17</v>
      </c>
      <c r="AO810" s="20">
        <v>-3.7</v>
      </c>
      <c r="AP810" s="20">
        <v>49.48</v>
      </c>
      <c r="AS810" s="20">
        <v>408.0</v>
      </c>
      <c r="AT810" s="20" t="s">
        <v>17</v>
      </c>
      <c r="AU810" s="20">
        <v>17.65</v>
      </c>
      <c r="AV810" s="20">
        <v>5.73</v>
      </c>
      <c r="BE810" s="20">
        <v>808.0</v>
      </c>
      <c r="BF810" s="20" t="s">
        <v>14</v>
      </c>
      <c r="BG810" s="20">
        <v>53.7</v>
      </c>
      <c r="BH810" s="20">
        <v>52.56</v>
      </c>
      <c r="BM810" s="20">
        <v>132.18</v>
      </c>
      <c r="BN810" s="20">
        <v>121.47</v>
      </c>
      <c r="BW810" s="20">
        <v>-37.15</v>
      </c>
      <c r="BX810" s="20">
        <v>-21.86</v>
      </c>
      <c r="BZ810" s="20">
        <v>-37.43</v>
      </c>
      <c r="CA810" s="20">
        <v>16.08</v>
      </c>
      <c r="CO810" s="20">
        <v>-41.46</v>
      </c>
      <c r="CP810" s="20">
        <v>-40.97</v>
      </c>
    </row>
    <row r="811">
      <c r="A811" s="20">
        <v>-21.54</v>
      </c>
      <c r="B811" s="20">
        <v>41.24</v>
      </c>
      <c r="D811" s="20"/>
      <c r="E811" s="20"/>
      <c r="F811" s="20">
        <v>-20.24</v>
      </c>
      <c r="G811" s="20">
        <v>1.01</v>
      </c>
      <c r="I811" s="20"/>
      <c r="J811" s="20"/>
      <c r="K811" s="20">
        <v>405.0</v>
      </c>
      <c r="L811" s="20" t="s">
        <v>14</v>
      </c>
      <c r="M811" s="20">
        <v>6.54</v>
      </c>
      <c r="N811" s="20">
        <v>16.28</v>
      </c>
      <c r="P811" s="20">
        <v>-3.14</v>
      </c>
      <c r="Q811" s="20">
        <v>20.5</v>
      </c>
      <c r="AG811" s="20">
        <v>809.0</v>
      </c>
      <c r="AH811" s="20" t="s">
        <v>14</v>
      </c>
      <c r="AI811" s="20">
        <v>-28.75</v>
      </c>
      <c r="AJ811" s="20">
        <v>-40.9</v>
      </c>
      <c r="AM811" s="20">
        <v>416.0</v>
      </c>
      <c r="AN811" s="20" t="s">
        <v>14</v>
      </c>
      <c r="AO811" s="20">
        <v>59.65</v>
      </c>
      <c r="AP811" s="20">
        <v>-22.47</v>
      </c>
      <c r="AS811" s="20">
        <v>409.0</v>
      </c>
      <c r="AT811" s="20" t="s">
        <v>14</v>
      </c>
      <c r="AU811" s="20">
        <v>-31.7</v>
      </c>
      <c r="AV811" s="20">
        <v>-62.31</v>
      </c>
      <c r="BE811" s="20">
        <v>809.0</v>
      </c>
      <c r="BF811" s="20" t="s">
        <v>14</v>
      </c>
      <c r="BG811" s="20">
        <v>31.75</v>
      </c>
      <c r="BH811" s="20">
        <v>55.87</v>
      </c>
      <c r="BM811" s="20">
        <v>17.97</v>
      </c>
      <c r="BN811" s="20">
        <v>67.81</v>
      </c>
      <c r="BW811" s="20">
        <v>5.71</v>
      </c>
      <c r="BX811" s="20">
        <v>-31.74</v>
      </c>
      <c r="BZ811" s="20">
        <v>-30.04</v>
      </c>
      <c r="CA811" s="20">
        <v>-5.96</v>
      </c>
      <c r="CO811" s="20">
        <v>-21.44</v>
      </c>
      <c r="CP811" s="20">
        <v>-37.86</v>
      </c>
    </row>
    <row r="812">
      <c r="A812" s="20">
        <v>-8.49</v>
      </c>
      <c r="B812" s="20">
        <v>97.3</v>
      </c>
      <c r="D812" s="20"/>
      <c r="E812" s="20"/>
      <c r="F812" s="20">
        <v>11.68</v>
      </c>
      <c r="G812" s="20">
        <v>12.17</v>
      </c>
      <c r="I812" s="20"/>
      <c r="J812" s="20"/>
      <c r="K812" s="20">
        <v>405.0</v>
      </c>
      <c r="L812" s="20" t="s">
        <v>17</v>
      </c>
      <c r="M812" s="20">
        <v>-37.39</v>
      </c>
      <c r="N812" s="20">
        <v>-13.98</v>
      </c>
      <c r="P812" s="20">
        <v>24.51</v>
      </c>
      <c r="Q812" s="20">
        <v>66.52</v>
      </c>
      <c r="AG812" s="20">
        <v>810.0</v>
      </c>
      <c r="AH812" s="20" t="s">
        <v>14</v>
      </c>
      <c r="AI812" s="20">
        <v>-11.5</v>
      </c>
      <c r="AJ812" s="20">
        <v>-44.3</v>
      </c>
      <c r="AM812" s="20">
        <v>416.0</v>
      </c>
      <c r="AN812" s="20" t="s">
        <v>17</v>
      </c>
      <c r="AO812" s="20">
        <v>-48.46</v>
      </c>
      <c r="AP812" s="20">
        <v>-21.6</v>
      </c>
      <c r="AS812" s="20">
        <v>409.0</v>
      </c>
      <c r="AT812" s="20" t="s">
        <v>17</v>
      </c>
      <c r="AU812" s="20">
        <v>-36.95</v>
      </c>
      <c r="AV812" s="20">
        <v>-38.22</v>
      </c>
      <c r="BE812" s="20">
        <v>810.0</v>
      </c>
      <c r="BF812" s="20" t="s">
        <v>14</v>
      </c>
      <c r="BG812" s="20">
        <v>49.55</v>
      </c>
      <c r="BH812" s="20">
        <v>28.14</v>
      </c>
      <c r="BM812" s="20">
        <v>58.62</v>
      </c>
      <c r="BN812" s="20">
        <v>168.93</v>
      </c>
      <c r="BW812" s="20">
        <v>-47.65</v>
      </c>
      <c r="BX812" s="20">
        <v>-24.04</v>
      </c>
      <c r="BZ812" s="20">
        <v>-53.02</v>
      </c>
      <c r="CA812" s="20">
        <v>33.04</v>
      </c>
      <c r="CO812" s="20">
        <v>3.3</v>
      </c>
      <c r="CP812" s="20">
        <v>-51.26</v>
      </c>
    </row>
    <row r="813">
      <c r="A813" s="20">
        <v>-34.79</v>
      </c>
      <c r="B813" s="20">
        <v>60.06</v>
      </c>
      <c r="D813" s="20"/>
      <c r="E813" s="20"/>
      <c r="F813" s="20">
        <v>19.68</v>
      </c>
      <c r="G813" s="20">
        <v>45.78</v>
      </c>
      <c r="I813" s="20"/>
      <c r="J813" s="20"/>
      <c r="K813" s="20">
        <v>406.0</v>
      </c>
      <c r="L813" s="20" t="s">
        <v>14</v>
      </c>
      <c r="M813" s="20">
        <v>13.22</v>
      </c>
      <c r="N813" s="20">
        <v>26.36</v>
      </c>
      <c r="P813" s="20">
        <v>-22.6</v>
      </c>
      <c r="Q813" s="20">
        <v>-8.48</v>
      </c>
      <c r="AG813" s="20">
        <v>811.0</v>
      </c>
      <c r="AH813" s="20" t="s">
        <v>14</v>
      </c>
      <c r="AI813" s="20">
        <v>-15.81</v>
      </c>
      <c r="AJ813" s="20">
        <v>6.13</v>
      </c>
      <c r="AM813" s="20">
        <v>417.0</v>
      </c>
      <c r="AN813" s="20" t="s">
        <v>14</v>
      </c>
      <c r="AO813" s="20">
        <v>-19.1</v>
      </c>
      <c r="AP813" s="20">
        <v>-7.29</v>
      </c>
      <c r="AS813" s="20">
        <v>410.0</v>
      </c>
      <c r="AT813" s="20" t="s">
        <v>14</v>
      </c>
      <c r="AU813" s="20">
        <v>0.38</v>
      </c>
      <c r="AV813" s="20">
        <v>-40.76</v>
      </c>
      <c r="BE813" s="20">
        <v>811.0</v>
      </c>
      <c r="BF813" s="20" t="s">
        <v>14</v>
      </c>
      <c r="BG813" s="20">
        <v>12.66</v>
      </c>
      <c r="BH813" s="20">
        <v>44.18</v>
      </c>
      <c r="BM813" s="20">
        <v>84.63</v>
      </c>
      <c r="BN813" s="20">
        <v>67.01</v>
      </c>
      <c r="BW813" s="20">
        <v>-19.33</v>
      </c>
      <c r="BX813" s="20">
        <v>-56.8</v>
      </c>
      <c r="BZ813" s="20">
        <v>-45.27</v>
      </c>
      <c r="CA813" s="20">
        <v>78.26</v>
      </c>
      <c r="CO813" s="20">
        <v>20.12</v>
      </c>
      <c r="CP813" s="20">
        <v>-44.34</v>
      </c>
    </row>
    <row r="814">
      <c r="A814" s="20">
        <v>-10.65</v>
      </c>
      <c r="B814" s="20">
        <v>113.93</v>
      </c>
      <c r="D814" s="20"/>
      <c r="E814" s="20"/>
      <c r="F814" s="20">
        <v>14.64</v>
      </c>
      <c r="G814" s="20">
        <v>15.73</v>
      </c>
      <c r="I814" s="20"/>
      <c r="J814" s="20"/>
      <c r="K814" s="20">
        <v>406.0</v>
      </c>
      <c r="L814" s="20" t="s">
        <v>17</v>
      </c>
      <c r="M814" s="20">
        <v>-13.58</v>
      </c>
      <c r="N814" s="20">
        <v>6.82</v>
      </c>
      <c r="P814" s="20">
        <v>-28.13</v>
      </c>
      <c r="Q814" s="20">
        <v>-5.49</v>
      </c>
      <c r="AG814" s="20">
        <v>812.0</v>
      </c>
      <c r="AH814" s="20" t="s">
        <v>14</v>
      </c>
      <c r="AI814" s="20">
        <v>-33.18</v>
      </c>
      <c r="AJ814" s="20">
        <v>-18.95</v>
      </c>
      <c r="AM814" s="20">
        <v>417.0</v>
      </c>
      <c r="AN814" s="20" t="s">
        <v>17</v>
      </c>
      <c r="AO814" s="20">
        <v>-0.31</v>
      </c>
      <c r="AP814" s="20">
        <v>73.44</v>
      </c>
      <c r="AS814" s="20">
        <v>410.0</v>
      </c>
      <c r="AT814" s="20" t="s">
        <v>17</v>
      </c>
      <c r="AU814" s="20">
        <v>-29.81</v>
      </c>
      <c r="AV814" s="20">
        <v>-28.6</v>
      </c>
      <c r="BE814" s="20">
        <v>812.0</v>
      </c>
      <c r="BF814" s="20" t="s">
        <v>14</v>
      </c>
      <c r="BG814" s="20">
        <v>-14.85</v>
      </c>
      <c r="BH814" s="20">
        <v>32.11</v>
      </c>
      <c r="BM814" s="20">
        <v>109.56</v>
      </c>
      <c r="BN814" s="20">
        <v>180.79</v>
      </c>
      <c r="BW814" s="20">
        <v>-34.05</v>
      </c>
      <c r="BX814" s="20">
        <v>42.81</v>
      </c>
      <c r="BZ814" s="20">
        <v>-63.24</v>
      </c>
      <c r="CA814" s="20">
        <v>-18.27</v>
      </c>
      <c r="CO814" s="20">
        <v>-6.56</v>
      </c>
      <c r="CP814" s="20">
        <v>-53.02</v>
      </c>
    </row>
    <row r="815">
      <c r="A815" s="20">
        <v>-0.35</v>
      </c>
      <c r="B815" s="20">
        <v>151.67</v>
      </c>
      <c r="D815" s="20"/>
      <c r="E815" s="20"/>
      <c r="F815" s="20">
        <v>-13.36</v>
      </c>
      <c r="G815" s="20">
        <v>-3.84</v>
      </c>
      <c r="I815" s="20"/>
      <c r="J815" s="20"/>
      <c r="K815" s="20">
        <v>407.0</v>
      </c>
      <c r="L815" s="20" t="s">
        <v>14</v>
      </c>
      <c r="M815" s="20">
        <v>-32.56</v>
      </c>
      <c r="N815" s="20">
        <v>-7.39</v>
      </c>
      <c r="P815" s="20">
        <v>-26.95</v>
      </c>
      <c r="Q815" s="20">
        <v>-8.99</v>
      </c>
      <c r="AG815" s="20">
        <v>813.0</v>
      </c>
      <c r="AH815" s="20" t="s">
        <v>14</v>
      </c>
      <c r="AI815" s="20">
        <v>-24.75</v>
      </c>
      <c r="AJ815" s="20">
        <v>-28.32</v>
      </c>
      <c r="AM815" s="20">
        <v>418.0</v>
      </c>
      <c r="AN815" s="20" t="s">
        <v>14</v>
      </c>
      <c r="AO815" s="20">
        <v>-15.45</v>
      </c>
      <c r="AP815" s="20">
        <v>-23.64</v>
      </c>
      <c r="AS815" s="20">
        <v>411.0</v>
      </c>
      <c r="AT815" s="20" t="s">
        <v>14</v>
      </c>
      <c r="AU815" s="20">
        <v>-17.06</v>
      </c>
      <c r="AV815" s="20">
        <v>-39.94</v>
      </c>
      <c r="BE815" s="20">
        <v>813.0</v>
      </c>
      <c r="BF815" s="20" t="s">
        <v>14</v>
      </c>
      <c r="BG815" s="20">
        <v>-3.29</v>
      </c>
      <c r="BH815" s="20">
        <v>13.67</v>
      </c>
      <c r="BM815" s="20">
        <v>41.62</v>
      </c>
      <c r="BN815" s="20">
        <v>108.48</v>
      </c>
      <c r="BW815" s="20">
        <v>-40.27</v>
      </c>
      <c r="BX815" s="20">
        <v>-27.36</v>
      </c>
      <c r="BZ815" s="20">
        <v>-18.74</v>
      </c>
      <c r="CA815" s="20">
        <v>74.32</v>
      </c>
      <c r="CO815" s="20">
        <v>-13.77</v>
      </c>
      <c r="CP815" s="20">
        <v>-62.24</v>
      </c>
    </row>
    <row r="816">
      <c r="A816" s="20">
        <v>-32.76</v>
      </c>
      <c r="B816" s="20">
        <v>50.35</v>
      </c>
      <c r="D816" s="20"/>
      <c r="E816" s="20"/>
      <c r="F816" s="20">
        <v>1.25</v>
      </c>
      <c r="G816" s="20">
        <v>51.15</v>
      </c>
      <c r="I816" s="20"/>
      <c r="J816" s="20"/>
      <c r="K816" s="20">
        <v>407.0</v>
      </c>
      <c r="L816" s="20" t="s">
        <v>17</v>
      </c>
      <c r="M816" s="20">
        <v>-35.32</v>
      </c>
      <c r="N816" s="20">
        <v>-18.28</v>
      </c>
      <c r="P816" s="20">
        <v>8.65</v>
      </c>
      <c r="Q816" s="20">
        <v>76.42</v>
      </c>
      <c r="AG816" s="20">
        <v>814.0</v>
      </c>
      <c r="AH816" s="20" t="s">
        <v>14</v>
      </c>
      <c r="AI816" s="20">
        <v>-28.71</v>
      </c>
      <c r="AJ816" s="20">
        <v>-36.14</v>
      </c>
      <c r="AM816" s="20">
        <v>418.0</v>
      </c>
      <c r="AN816" s="20" t="s">
        <v>17</v>
      </c>
      <c r="AO816" s="20">
        <v>19.02</v>
      </c>
      <c r="AP816" s="20">
        <v>13.73</v>
      </c>
      <c r="AS816" s="20">
        <v>411.0</v>
      </c>
      <c r="AT816" s="20" t="s">
        <v>17</v>
      </c>
      <c r="AU816" s="20">
        <v>50.81</v>
      </c>
      <c r="AV816" s="20">
        <v>-17.77</v>
      </c>
      <c r="BE816" s="20">
        <v>814.0</v>
      </c>
      <c r="BF816" s="20" t="s">
        <v>14</v>
      </c>
      <c r="BG816" s="20">
        <v>18.11</v>
      </c>
      <c r="BH816" s="20">
        <v>23.68</v>
      </c>
      <c r="BM816" s="20">
        <v>103.8</v>
      </c>
      <c r="BN816" s="20">
        <v>59.85</v>
      </c>
      <c r="BW816" s="20">
        <v>-39.0</v>
      </c>
      <c r="BX816" s="20">
        <v>-56.37</v>
      </c>
      <c r="BZ816" s="20">
        <v>-51.28</v>
      </c>
      <c r="CA816" s="20">
        <v>49.87</v>
      </c>
      <c r="CO816" s="20">
        <v>-9.52</v>
      </c>
      <c r="CP816" s="20">
        <v>-51.09</v>
      </c>
    </row>
    <row r="817">
      <c r="A817" s="20">
        <v>-36.26</v>
      </c>
      <c r="B817" s="20">
        <v>46.6</v>
      </c>
      <c r="D817" s="20"/>
      <c r="E817" s="20"/>
      <c r="F817" s="20">
        <v>-15.58</v>
      </c>
      <c r="G817" s="20">
        <v>-2.61</v>
      </c>
      <c r="I817" s="20"/>
      <c r="J817" s="20"/>
      <c r="K817" s="20">
        <v>408.0</v>
      </c>
      <c r="L817" s="20" t="s">
        <v>14</v>
      </c>
      <c r="M817" s="20">
        <v>0.64</v>
      </c>
      <c r="N817" s="20">
        <v>25.89</v>
      </c>
      <c r="P817" s="20">
        <v>5.33</v>
      </c>
      <c r="Q817" s="20">
        <v>25.74</v>
      </c>
      <c r="AG817" s="20">
        <v>815.0</v>
      </c>
      <c r="AH817" s="20" t="s">
        <v>14</v>
      </c>
      <c r="AI817" s="20">
        <v>-32.15</v>
      </c>
      <c r="AJ817" s="20">
        <v>0.16</v>
      </c>
      <c r="AM817" s="20">
        <v>419.0</v>
      </c>
      <c r="AN817" s="20" t="s">
        <v>14</v>
      </c>
      <c r="AO817" s="20">
        <v>-22.91</v>
      </c>
      <c r="AP817" s="20">
        <v>-30.55</v>
      </c>
      <c r="AS817" s="20">
        <v>412.0</v>
      </c>
      <c r="AT817" s="20" t="s">
        <v>14</v>
      </c>
      <c r="AU817" s="20">
        <v>93.56</v>
      </c>
      <c r="AV817" s="20">
        <v>-18.16</v>
      </c>
      <c r="BE817" s="20">
        <v>815.0</v>
      </c>
      <c r="BF817" s="20" t="s">
        <v>14</v>
      </c>
      <c r="BG817" s="20">
        <v>8.56</v>
      </c>
      <c r="BH817" s="20">
        <v>8.46</v>
      </c>
      <c r="BM817" s="20">
        <v>26.66</v>
      </c>
      <c r="BN817" s="20">
        <v>167.77</v>
      </c>
      <c r="BW817" s="20">
        <v>-30.03</v>
      </c>
      <c r="BX817" s="20">
        <v>-31.34</v>
      </c>
      <c r="BZ817" s="20">
        <v>49.54</v>
      </c>
      <c r="CA817" s="20">
        <v>91.64</v>
      </c>
      <c r="CO817" s="20">
        <v>-41.78</v>
      </c>
      <c r="CP817" s="20">
        <v>-44.02</v>
      </c>
    </row>
    <row r="818">
      <c r="A818" s="20">
        <v>5.04</v>
      </c>
      <c r="B818" s="20">
        <v>122.54</v>
      </c>
      <c r="D818" s="20"/>
      <c r="E818" s="20"/>
      <c r="F818" s="20">
        <v>-32.41</v>
      </c>
      <c r="G818" s="20">
        <v>36.4</v>
      </c>
      <c r="I818" s="20"/>
      <c r="J818" s="20"/>
      <c r="K818" s="20">
        <v>408.0</v>
      </c>
      <c r="L818" s="20" t="s">
        <v>17</v>
      </c>
      <c r="M818" s="20">
        <v>-21.19</v>
      </c>
      <c r="N818" s="20">
        <v>26.54</v>
      </c>
      <c r="P818" s="20">
        <v>-36.73</v>
      </c>
      <c r="Q818" s="20">
        <v>-18.98</v>
      </c>
      <c r="AG818" s="20">
        <v>816.0</v>
      </c>
      <c r="AH818" s="20" t="s">
        <v>14</v>
      </c>
      <c r="AI818" s="20">
        <v>-22.42</v>
      </c>
      <c r="AJ818" s="20">
        <v>-30.14</v>
      </c>
      <c r="AM818" s="20">
        <v>419.0</v>
      </c>
      <c r="AN818" s="20" t="s">
        <v>17</v>
      </c>
      <c r="AO818" s="20">
        <v>-14.73</v>
      </c>
      <c r="AP818" s="20">
        <v>-11.21</v>
      </c>
      <c r="AS818" s="20">
        <v>412.0</v>
      </c>
      <c r="AT818" s="20" t="s">
        <v>17</v>
      </c>
      <c r="AU818" s="20">
        <v>6.89</v>
      </c>
      <c r="AV818" s="20">
        <v>-41.24</v>
      </c>
      <c r="BE818" s="20">
        <v>816.0</v>
      </c>
      <c r="BF818" s="20" t="s">
        <v>14</v>
      </c>
      <c r="BG818" s="20">
        <v>61.37</v>
      </c>
      <c r="BH818" s="20">
        <v>12.85</v>
      </c>
      <c r="BM818" s="20">
        <v>32.99</v>
      </c>
      <c r="BN818" s="20">
        <v>80.84</v>
      </c>
      <c r="BW818" s="20">
        <v>-51.35</v>
      </c>
      <c r="BX818" s="20">
        <v>-21.94</v>
      </c>
      <c r="BZ818" s="20">
        <v>-62.33</v>
      </c>
      <c r="CA818" s="20">
        <v>-8.1</v>
      </c>
      <c r="CO818" s="20">
        <v>-16.8</v>
      </c>
      <c r="CP818" s="20">
        <v>-43.06</v>
      </c>
    </row>
    <row r="819">
      <c r="A819" s="20">
        <v>-32.77</v>
      </c>
      <c r="B819" s="20">
        <v>49.9</v>
      </c>
      <c r="D819" s="20"/>
      <c r="E819" s="20"/>
      <c r="F819" s="20">
        <v>19.0</v>
      </c>
      <c r="G819" s="20">
        <v>-33.7</v>
      </c>
      <c r="I819" s="20"/>
      <c r="J819" s="20"/>
      <c r="K819" s="20">
        <v>409.0</v>
      </c>
      <c r="L819" s="20" t="s">
        <v>14</v>
      </c>
      <c r="M819" s="20">
        <v>-0.59</v>
      </c>
      <c r="N819" s="20">
        <v>60.08</v>
      </c>
      <c r="P819" s="20">
        <v>30.98</v>
      </c>
      <c r="Q819" s="20">
        <v>49.38</v>
      </c>
      <c r="AG819" s="20">
        <v>817.0</v>
      </c>
      <c r="AH819" s="20" t="s">
        <v>14</v>
      </c>
      <c r="AI819" s="20">
        <v>-51.12</v>
      </c>
      <c r="AJ819" s="20">
        <v>-36.24</v>
      </c>
      <c r="AM819" s="20">
        <v>420.0</v>
      </c>
      <c r="AN819" s="20" t="s">
        <v>14</v>
      </c>
      <c r="AO819" s="20">
        <v>-26.64</v>
      </c>
      <c r="AP819" s="20">
        <v>-17.37</v>
      </c>
      <c r="AS819" s="20">
        <v>413.0</v>
      </c>
      <c r="AT819" s="20" t="s">
        <v>14</v>
      </c>
      <c r="AU819" s="20">
        <v>-17.68</v>
      </c>
      <c r="AV819" s="20">
        <v>-21.27</v>
      </c>
      <c r="BE819" s="20">
        <v>817.0</v>
      </c>
      <c r="BF819" s="20" t="s">
        <v>14</v>
      </c>
      <c r="BG819" s="20">
        <v>65.83</v>
      </c>
      <c r="BH819" s="20">
        <v>60.15</v>
      </c>
      <c r="BM819" s="20">
        <v>101.04</v>
      </c>
      <c r="BN819" s="20">
        <v>117.43</v>
      </c>
      <c r="BW819" s="20">
        <v>-4.18</v>
      </c>
      <c r="BX819" s="20">
        <v>-13.75</v>
      </c>
      <c r="BZ819" s="20">
        <v>-21.55</v>
      </c>
      <c r="CA819" s="20">
        <v>94.02</v>
      </c>
      <c r="CO819" s="20">
        <v>-34.37</v>
      </c>
      <c r="CP819" s="20">
        <v>-56.73</v>
      </c>
    </row>
    <row r="820">
      <c r="A820" s="20">
        <v>-43.3</v>
      </c>
      <c r="B820" s="20">
        <v>-3.97</v>
      </c>
      <c r="D820" s="20"/>
      <c r="E820" s="20"/>
      <c r="F820" s="20">
        <v>11.68</v>
      </c>
      <c r="G820" s="20">
        <v>-41.79</v>
      </c>
      <c r="I820" s="20"/>
      <c r="J820" s="20"/>
      <c r="K820" s="20">
        <v>409.0</v>
      </c>
      <c r="L820" s="20" t="s">
        <v>17</v>
      </c>
      <c r="M820" s="20">
        <v>-30.55</v>
      </c>
      <c r="N820" s="20">
        <v>29.18</v>
      </c>
      <c r="P820" s="20">
        <v>1.67</v>
      </c>
      <c r="Q820" s="20">
        <v>86.87</v>
      </c>
      <c r="AG820" s="20">
        <v>818.0</v>
      </c>
      <c r="AH820" s="20" t="s">
        <v>14</v>
      </c>
      <c r="AI820" s="20">
        <v>-18.04</v>
      </c>
      <c r="AJ820" s="20">
        <v>-17.88</v>
      </c>
      <c r="AM820" s="20">
        <v>420.0</v>
      </c>
      <c r="AN820" s="20" t="s">
        <v>17</v>
      </c>
      <c r="AO820" s="20">
        <v>-11.58</v>
      </c>
      <c r="AP820" s="20">
        <v>9.52</v>
      </c>
      <c r="AS820" s="20">
        <v>413.0</v>
      </c>
      <c r="AT820" s="20" t="s">
        <v>17</v>
      </c>
      <c r="AU820" s="20">
        <v>-58.07</v>
      </c>
      <c r="AV820" s="20">
        <v>-52.06</v>
      </c>
      <c r="BE820" s="20">
        <v>818.0</v>
      </c>
      <c r="BF820" s="20" t="s">
        <v>14</v>
      </c>
      <c r="BG820" s="20">
        <v>46.18</v>
      </c>
      <c r="BH820" s="20">
        <v>-6.96</v>
      </c>
      <c r="BM820" s="20">
        <v>208.47</v>
      </c>
      <c r="BN820" s="20">
        <v>111.03</v>
      </c>
      <c r="BW820" s="20">
        <v>-31.93</v>
      </c>
      <c r="BX820" s="20">
        <v>-23.07</v>
      </c>
      <c r="BZ820" s="20">
        <v>-42.73</v>
      </c>
      <c r="CA820" s="20">
        <v>19.37</v>
      </c>
      <c r="CO820" s="20">
        <v>0.85</v>
      </c>
      <c r="CP820" s="20">
        <v>-39.34</v>
      </c>
    </row>
    <row r="821">
      <c r="A821" s="20">
        <v>-36.3</v>
      </c>
      <c r="B821" s="20">
        <v>68.99</v>
      </c>
      <c r="D821" s="20"/>
      <c r="E821" s="20"/>
      <c r="F821" s="20">
        <v>-17.33</v>
      </c>
      <c r="G821" s="20">
        <v>-9.17</v>
      </c>
      <c r="I821" s="20"/>
      <c r="J821" s="20"/>
      <c r="K821" s="20">
        <v>410.0</v>
      </c>
      <c r="L821" s="20" t="s">
        <v>14</v>
      </c>
      <c r="M821" s="20">
        <v>37.53</v>
      </c>
      <c r="N821" s="20">
        <v>50.13</v>
      </c>
      <c r="P821" s="20">
        <v>28.87</v>
      </c>
      <c r="Q821" s="20">
        <v>34.15</v>
      </c>
      <c r="AG821" s="20">
        <v>819.0</v>
      </c>
      <c r="AH821" s="20" t="s">
        <v>14</v>
      </c>
      <c r="AI821" s="20">
        <v>7.56</v>
      </c>
      <c r="AJ821" s="20">
        <v>-3.99</v>
      </c>
      <c r="AM821" s="20">
        <v>421.0</v>
      </c>
      <c r="AN821" s="20" t="s">
        <v>14</v>
      </c>
      <c r="AO821" s="20">
        <v>-15.4</v>
      </c>
      <c r="AP821" s="20">
        <v>-20.99</v>
      </c>
      <c r="AS821" s="20">
        <v>414.0</v>
      </c>
      <c r="AT821" s="20" t="s">
        <v>14</v>
      </c>
      <c r="AU821" s="20">
        <v>12.91</v>
      </c>
      <c r="AV821" s="20">
        <v>-28.03</v>
      </c>
      <c r="BE821" s="20">
        <v>819.0</v>
      </c>
      <c r="BF821" s="20" t="s">
        <v>14</v>
      </c>
      <c r="BG821" s="20">
        <v>40.34</v>
      </c>
      <c r="BH821" s="20">
        <v>-1.38</v>
      </c>
      <c r="BM821" s="20">
        <v>157.13</v>
      </c>
      <c r="BN821" s="20">
        <v>155.77</v>
      </c>
      <c r="BW821" s="20">
        <v>-40.92</v>
      </c>
      <c r="BX821" s="20">
        <v>-20.06</v>
      </c>
      <c r="BZ821" s="20">
        <v>-48.11</v>
      </c>
      <c r="CA821" s="20">
        <v>120.72</v>
      </c>
      <c r="CO821" s="20">
        <v>-20.26</v>
      </c>
      <c r="CP821" s="20">
        <v>-50.24</v>
      </c>
    </row>
    <row r="822">
      <c r="A822" s="20">
        <v>-5.94</v>
      </c>
      <c r="B822" s="20">
        <v>66.12</v>
      </c>
      <c r="D822" s="20"/>
      <c r="E822" s="20"/>
      <c r="F822" s="20">
        <v>-10.06</v>
      </c>
      <c r="G822" s="20">
        <v>-23.54</v>
      </c>
      <c r="I822" s="20"/>
      <c r="J822" s="20"/>
      <c r="K822" s="20">
        <v>410.0</v>
      </c>
      <c r="L822" s="20" t="s">
        <v>17</v>
      </c>
      <c r="M822" s="20">
        <v>-9.67</v>
      </c>
      <c r="N822" s="20">
        <v>88.47</v>
      </c>
      <c r="P822" s="20">
        <v>-27.25</v>
      </c>
      <c r="Q822" s="20">
        <v>16.3</v>
      </c>
      <c r="AG822" s="20">
        <v>820.0</v>
      </c>
      <c r="AH822" s="20" t="s">
        <v>14</v>
      </c>
      <c r="AI822" s="20">
        <v>-57.07</v>
      </c>
      <c r="AJ822" s="20">
        <v>-58.94</v>
      </c>
      <c r="AM822" s="20">
        <v>421.0</v>
      </c>
      <c r="AN822" s="20" t="s">
        <v>17</v>
      </c>
      <c r="AO822" s="20">
        <v>8.24</v>
      </c>
      <c r="AP822" s="20">
        <v>16.37</v>
      </c>
      <c r="AS822" s="20">
        <v>414.0</v>
      </c>
      <c r="AT822" s="20" t="s">
        <v>17</v>
      </c>
      <c r="AU822" s="20">
        <v>12.68</v>
      </c>
      <c r="AV822" s="20">
        <v>-33.53</v>
      </c>
      <c r="BE822" s="20">
        <v>820.0</v>
      </c>
      <c r="BF822" s="20" t="s">
        <v>14</v>
      </c>
      <c r="BG822" s="20">
        <v>24.25</v>
      </c>
      <c r="BH822" s="20">
        <v>30.09</v>
      </c>
      <c r="BM822" s="20">
        <v>192.6</v>
      </c>
      <c r="BN822" s="20">
        <v>125.91</v>
      </c>
      <c r="BW822" s="20">
        <v>-44.2</v>
      </c>
      <c r="BX822" s="20">
        <v>-60.72</v>
      </c>
      <c r="BZ822" s="20">
        <v>-63.77</v>
      </c>
      <c r="CA822" s="20">
        <v>90.62</v>
      </c>
      <c r="CO822" s="20">
        <v>-3.26</v>
      </c>
      <c r="CP822" s="20">
        <v>-35.54</v>
      </c>
    </row>
    <row r="823">
      <c r="A823" s="20">
        <v>17.73</v>
      </c>
      <c r="B823" s="20">
        <v>127.48</v>
      </c>
      <c r="D823" s="20"/>
      <c r="E823" s="20"/>
      <c r="F823" s="20">
        <v>0.46</v>
      </c>
      <c r="G823" s="20">
        <v>-49.77</v>
      </c>
      <c r="I823" s="20"/>
      <c r="J823" s="20"/>
      <c r="K823" s="20">
        <v>411.0</v>
      </c>
      <c r="L823" s="20" t="s">
        <v>14</v>
      </c>
      <c r="M823" s="20">
        <v>78.83</v>
      </c>
      <c r="N823" s="20">
        <v>88.54</v>
      </c>
      <c r="P823" s="20">
        <v>-14.04</v>
      </c>
      <c r="Q823" s="20">
        <v>12.44</v>
      </c>
      <c r="AG823" s="20">
        <v>821.0</v>
      </c>
      <c r="AH823" s="20" t="s">
        <v>14</v>
      </c>
      <c r="AI823" s="20">
        <v>-19.52</v>
      </c>
      <c r="AJ823" s="20">
        <v>-16.96</v>
      </c>
      <c r="AM823" s="20">
        <v>422.0</v>
      </c>
      <c r="AN823" s="20" t="s">
        <v>14</v>
      </c>
      <c r="AO823" s="20">
        <v>-23.77</v>
      </c>
      <c r="AP823" s="20">
        <v>-26.65</v>
      </c>
      <c r="AS823" s="20">
        <v>415.0</v>
      </c>
      <c r="AT823" s="20" t="s">
        <v>14</v>
      </c>
      <c r="AU823" s="20">
        <v>19.68</v>
      </c>
      <c r="AV823" s="20">
        <v>-34.92</v>
      </c>
      <c r="BE823" s="20">
        <v>821.0</v>
      </c>
      <c r="BF823" s="20" t="s">
        <v>14</v>
      </c>
      <c r="BG823" s="20">
        <v>34.78</v>
      </c>
      <c r="BH823" s="20">
        <v>21.71</v>
      </c>
      <c r="BM823" s="20">
        <v>24.46</v>
      </c>
      <c r="BN823" s="20">
        <v>60.49</v>
      </c>
      <c r="BW823" s="20">
        <v>-59.21</v>
      </c>
      <c r="BX823" s="20">
        <v>-26.6</v>
      </c>
      <c r="BZ823" s="20">
        <v>-26.0</v>
      </c>
      <c r="CA823" s="20">
        <v>73.0</v>
      </c>
      <c r="CO823" s="20">
        <v>-31.09</v>
      </c>
      <c r="CP823" s="20">
        <v>-33.47</v>
      </c>
    </row>
    <row r="824">
      <c r="A824" s="20">
        <v>-41.6</v>
      </c>
      <c r="B824" s="20">
        <v>157.52</v>
      </c>
      <c r="D824" s="20"/>
      <c r="E824" s="20"/>
      <c r="F824" s="20">
        <v>-23.62</v>
      </c>
      <c r="G824" s="20">
        <v>-23.23</v>
      </c>
      <c r="I824" s="20"/>
      <c r="J824" s="20"/>
      <c r="K824" s="20">
        <v>411.0</v>
      </c>
      <c r="L824" s="20" t="s">
        <v>17</v>
      </c>
      <c r="M824" s="20">
        <v>-9.03</v>
      </c>
      <c r="N824" s="20">
        <v>43.06</v>
      </c>
      <c r="P824" s="20">
        <v>-20.36</v>
      </c>
      <c r="Q824" s="20">
        <v>27.57</v>
      </c>
      <c r="AG824" s="20">
        <v>822.0</v>
      </c>
      <c r="AH824" s="20" t="s">
        <v>14</v>
      </c>
      <c r="AI824" s="20">
        <v>-14.87</v>
      </c>
      <c r="AJ824" s="20">
        <v>-26.08</v>
      </c>
      <c r="AM824" s="20">
        <v>422.0</v>
      </c>
      <c r="AN824" s="20" t="s">
        <v>17</v>
      </c>
      <c r="AO824" s="20">
        <v>-26.75</v>
      </c>
      <c r="AP824" s="20">
        <v>-15.29</v>
      </c>
      <c r="AS824" s="20">
        <v>415.0</v>
      </c>
      <c r="AT824" s="20" t="s">
        <v>17</v>
      </c>
      <c r="AU824" s="20">
        <v>64.25</v>
      </c>
      <c r="AV824" s="20">
        <v>-38.24</v>
      </c>
      <c r="BE824" s="20">
        <v>822.0</v>
      </c>
      <c r="BF824" s="20" t="s">
        <v>14</v>
      </c>
      <c r="BG824" s="20">
        <v>42.27</v>
      </c>
      <c r="BH824" s="20">
        <v>55.43</v>
      </c>
      <c r="BM824" s="20">
        <v>106.72</v>
      </c>
      <c r="BN824" s="20">
        <v>80.79</v>
      </c>
      <c r="BW824" s="20">
        <v>0.58</v>
      </c>
      <c r="BX824" s="20">
        <v>-31.79</v>
      </c>
      <c r="BZ824" s="20">
        <v>-54.65</v>
      </c>
      <c r="CA824" s="20">
        <v>43.7</v>
      </c>
      <c r="CO824" s="20">
        <v>-31.9</v>
      </c>
      <c r="CP824" s="20">
        <v>-33.43</v>
      </c>
    </row>
    <row r="825">
      <c r="A825" s="20">
        <v>-27.26</v>
      </c>
      <c r="B825" s="20">
        <v>59.25</v>
      </c>
      <c r="D825" s="20"/>
      <c r="E825" s="20"/>
      <c r="F825" s="20">
        <v>-16.85</v>
      </c>
      <c r="G825" s="20">
        <v>18.46</v>
      </c>
      <c r="I825" s="20"/>
      <c r="J825" s="20"/>
      <c r="K825" s="20">
        <v>412.0</v>
      </c>
      <c r="L825" s="20" t="s">
        <v>14</v>
      </c>
      <c r="M825" s="20">
        <v>6.05</v>
      </c>
      <c r="N825" s="20">
        <v>59.74</v>
      </c>
      <c r="P825" s="20">
        <v>0.57</v>
      </c>
      <c r="Q825" s="20">
        <v>9.13</v>
      </c>
      <c r="AG825" s="20">
        <v>823.0</v>
      </c>
      <c r="AH825" s="20" t="s">
        <v>14</v>
      </c>
      <c r="AI825" s="20">
        <v>-72.42</v>
      </c>
      <c r="AJ825" s="20">
        <v>-54.71</v>
      </c>
      <c r="AM825" s="20">
        <v>423.0</v>
      </c>
      <c r="AN825" s="20" t="s">
        <v>14</v>
      </c>
      <c r="AO825" s="20">
        <v>9.15</v>
      </c>
      <c r="AP825" s="20">
        <v>-1.34</v>
      </c>
      <c r="AS825" s="20">
        <v>416.0</v>
      </c>
      <c r="AT825" s="20" t="s">
        <v>14</v>
      </c>
      <c r="AU825" s="20">
        <v>-20.2</v>
      </c>
      <c r="AV825" s="20">
        <v>-28.38</v>
      </c>
      <c r="BE825" s="20">
        <v>823.0</v>
      </c>
      <c r="BF825" s="20" t="s">
        <v>14</v>
      </c>
      <c r="BG825" s="20">
        <v>60.87</v>
      </c>
      <c r="BH825" s="20">
        <v>53.44</v>
      </c>
      <c r="BM825" s="20">
        <v>140.88</v>
      </c>
      <c r="BN825" s="20">
        <v>129.09</v>
      </c>
      <c r="BW825" s="20">
        <v>-54.42</v>
      </c>
      <c r="BX825" s="20">
        <v>-28.2</v>
      </c>
      <c r="BZ825" s="20">
        <v>-41.17</v>
      </c>
      <c r="CA825" s="20">
        <v>223.2</v>
      </c>
      <c r="CO825" s="20">
        <v>-27.04</v>
      </c>
      <c r="CP825" s="20">
        <v>-41.73</v>
      </c>
    </row>
    <row r="826">
      <c r="A826" s="20">
        <v>-8.03</v>
      </c>
      <c r="B826" s="20">
        <v>41.01</v>
      </c>
      <c r="D826" s="20"/>
      <c r="E826" s="20"/>
      <c r="F826" s="20">
        <v>-21.03</v>
      </c>
      <c r="G826" s="20">
        <v>-6.89</v>
      </c>
      <c r="I826" s="20"/>
      <c r="J826" s="20"/>
      <c r="K826" s="20">
        <v>412.0</v>
      </c>
      <c r="L826" s="20" t="s">
        <v>17</v>
      </c>
      <c r="M826" s="20">
        <v>7.86</v>
      </c>
      <c r="N826" s="20">
        <v>28.21</v>
      </c>
      <c r="P826" s="20">
        <v>-17.43</v>
      </c>
      <c r="Q826" s="20">
        <v>45.08</v>
      </c>
      <c r="AG826" s="20">
        <v>824.0</v>
      </c>
      <c r="AH826" s="20" t="s">
        <v>14</v>
      </c>
      <c r="AI826" s="20">
        <v>-65.81</v>
      </c>
      <c r="AJ826" s="20">
        <v>-57.29</v>
      </c>
      <c r="AM826" s="20">
        <v>423.0</v>
      </c>
      <c r="AN826" s="20" t="s">
        <v>17</v>
      </c>
      <c r="AO826" s="20">
        <v>-19.91</v>
      </c>
      <c r="AP826" s="20">
        <v>-8.14</v>
      </c>
      <c r="AS826" s="20">
        <v>416.0</v>
      </c>
      <c r="AT826" s="20" t="s">
        <v>17</v>
      </c>
      <c r="AU826" s="20">
        <v>-29.59</v>
      </c>
      <c r="AV826" s="20">
        <v>-31.01</v>
      </c>
      <c r="BE826" s="20">
        <v>824.0</v>
      </c>
      <c r="BF826" s="20" t="s">
        <v>14</v>
      </c>
      <c r="BG826" s="20">
        <v>41.03</v>
      </c>
      <c r="BH826" s="20">
        <v>12.17</v>
      </c>
      <c r="BM826" s="20">
        <v>134.59</v>
      </c>
      <c r="BN826" s="20">
        <v>134.38</v>
      </c>
      <c r="BW826" s="20">
        <v>-4.66</v>
      </c>
      <c r="BX826" s="20">
        <v>-21.6</v>
      </c>
      <c r="BZ826" s="20">
        <v>-63.41</v>
      </c>
      <c r="CA826" s="20">
        <v>215.03</v>
      </c>
      <c r="CO826" s="20">
        <v>-41.27</v>
      </c>
      <c r="CP826" s="20">
        <v>-46.37</v>
      </c>
    </row>
    <row r="827">
      <c r="A827" s="20">
        <v>19.06</v>
      </c>
      <c r="B827" s="20">
        <v>92.5</v>
      </c>
      <c r="D827" s="20"/>
      <c r="E827" s="20"/>
      <c r="F827" s="20">
        <v>-20.03</v>
      </c>
      <c r="G827" s="20">
        <v>12.07</v>
      </c>
      <c r="I827" s="20"/>
      <c r="J827" s="20"/>
      <c r="K827" s="20">
        <v>413.0</v>
      </c>
      <c r="L827" s="20" t="s">
        <v>14</v>
      </c>
      <c r="M827" s="20">
        <v>16.48</v>
      </c>
      <c r="N827" s="20">
        <v>48.09</v>
      </c>
      <c r="P827" s="20">
        <v>-6.34</v>
      </c>
      <c r="Q827" s="20">
        <v>79.73</v>
      </c>
      <c r="AG827" s="20">
        <v>825.0</v>
      </c>
      <c r="AH827" s="20" t="s">
        <v>14</v>
      </c>
      <c r="AI827" s="20">
        <v>-45.47</v>
      </c>
      <c r="AJ827" s="20">
        <v>-46.0</v>
      </c>
      <c r="AM827" s="20">
        <v>424.0</v>
      </c>
      <c r="AN827" s="20" t="s">
        <v>14</v>
      </c>
      <c r="AO827" s="20">
        <v>-14.16</v>
      </c>
      <c r="AP827" s="20">
        <v>-17.24</v>
      </c>
      <c r="AS827" s="20">
        <v>417.0</v>
      </c>
      <c r="AT827" s="20" t="s">
        <v>14</v>
      </c>
      <c r="AU827" s="20">
        <v>-23.93</v>
      </c>
      <c r="AV827" s="20">
        <v>-46.62</v>
      </c>
      <c r="BE827" s="20">
        <v>825.0</v>
      </c>
      <c r="BF827" s="20" t="s">
        <v>14</v>
      </c>
      <c r="BG827" s="20">
        <v>38.4</v>
      </c>
      <c r="BH827" s="20">
        <v>13.22</v>
      </c>
      <c r="BM827" s="20">
        <v>18.28</v>
      </c>
      <c r="BN827" s="20">
        <v>95.01</v>
      </c>
      <c r="BW827" s="20">
        <v>-39.8</v>
      </c>
      <c r="BX827" s="20">
        <v>-40.73</v>
      </c>
      <c r="BZ827" s="20">
        <v>-32.09</v>
      </c>
      <c r="CA827" s="20">
        <v>3.22</v>
      </c>
      <c r="CO827" s="20">
        <v>-30.75</v>
      </c>
      <c r="CP827" s="20">
        <v>-14.3</v>
      </c>
    </row>
    <row r="828">
      <c r="A828" s="20">
        <v>-43.85</v>
      </c>
      <c r="B828" s="20">
        <v>10.23</v>
      </c>
      <c r="D828" s="20"/>
      <c r="E828" s="20"/>
      <c r="F828" s="20">
        <v>-41.55</v>
      </c>
      <c r="G828" s="20">
        <v>3.47</v>
      </c>
      <c r="I828" s="20"/>
      <c r="J828" s="20"/>
      <c r="K828" s="20">
        <v>413.0</v>
      </c>
      <c r="L828" s="20" t="s">
        <v>17</v>
      </c>
      <c r="M828" s="20">
        <v>-7.94</v>
      </c>
      <c r="N828" s="20">
        <v>-21.05</v>
      </c>
      <c r="P828" s="20">
        <v>8.09</v>
      </c>
      <c r="Q828" s="20">
        <v>126.16</v>
      </c>
      <c r="AG828" s="20">
        <v>826.0</v>
      </c>
      <c r="AH828" s="20" t="s">
        <v>14</v>
      </c>
      <c r="AI828" s="20">
        <v>-71.14</v>
      </c>
      <c r="AJ828" s="20">
        <v>-63.62</v>
      </c>
      <c r="AM828" s="20">
        <v>424.0</v>
      </c>
      <c r="AN828" s="20" t="s">
        <v>17</v>
      </c>
      <c r="AO828" s="20">
        <v>-31.89</v>
      </c>
      <c r="AP828" s="20">
        <v>-2.03</v>
      </c>
      <c r="AS828" s="20">
        <v>417.0</v>
      </c>
      <c r="AT828" s="20" t="s">
        <v>17</v>
      </c>
      <c r="AU828" s="20">
        <v>-15.16</v>
      </c>
      <c r="AV828" s="20">
        <v>-26.38</v>
      </c>
      <c r="BE828" s="20">
        <v>826.0</v>
      </c>
      <c r="BF828" s="20" t="s">
        <v>14</v>
      </c>
      <c r="BG828" s="20">
        <v>35.58</v>
      </c>
      <c r="BH828" s="20">
        <v>11.3</v>
      </c>
      <c r="BM828" s="20">
        <v>22.03</v>
      </c>
      <c r="BN828" s="20">
        <v>66.64</v>
      </c>
      <c r="BW828" s="20">
        <v>-31.49</v>
      </c>
      <c r="BX828" s="20">
        <v>1.52</v>
      </c>
      <c r="BZ828" s="20">
        <v>13.6</v>
      </c>
      <c r="CA828" s="20">
        <v>-19.68</v>
      </c>
      <c r="CO828" s="20">
        <v>-14.24</v>
      </c>
      <c r="CP828" s="20">
        <v>-45.84</v>
      </c>
    </row>
    <row r="829">
      <c r="A829" s="20">
        <v>-0.99</v>
      </c>
      <c r="B829" s="20">
        <v>-14.77</v>
      </c>
      <c r="D829" s="20"/>
      <c r="E829" s="20"/>
      <c r="F829" s="20">
        <v>-54.44</v>
      </c>
      <c r="G829" s="20">
        <v>-39.03</v>
      </c>
      <c r="I829" s="20"/>
      <c r="J829" s="20"/>
      <c r="K829" s="20">
        <v>414.0</v>
      </c>
      <c r="L829" s="20" t="s">
        <v>14</v>
      </c>
      <c r="M829" s="20">
        <v>-5.87</v>
      </c>
      <c r="N829" s="20">
        <v>3.41</v>
      </c>
      <c r="P829" s="20">
        <v>-6.25</v>
      </c>
      <c r="Q829" s="20">
        <v>21.98</v>
      </c>
      <c r="AG829" s="20">
        <v>827.0</v>
      </c>
      <c r="AH829" s="20" t="s">
        <v>14</v>
      </c>
      <c r="AI829" s="20">
        <v>-46.98</v>
      </c>
      <c r="AJ829" s="20">
        <v>-54.42</v>
      </c>
      <c r="AM829" s="20">
        <v>425.0</v>
      </c>
      <c r="AN829" s="20" t="s">
        <v>14</v>
      </c>
      <c r="AO829" s="20">
        <v>32.47</v>
      </c>
      <c r="AP829" s="20">
        <v>-3.69</v>
      </c>
      <c r="AS829" s="20">
        <v>418.0</v>
      </c>
      <c r="AT829" s="20" t="s">
        <v>14</v>
      </c>
      <c r="AU829" s="20">
        <v>-7.92</v>
      </c>
      <c r="AV829" s="20">
        <v>-20.39</v>
      </c>
      <c r="BE829" s="20">
        <v>827.0</v>
      </c>
      <c r="BF829" s="20" t="s">
        <v>14</v>
      </c>
      <c r="BG829" s="20">
        <v>59.49</v>
      </c>
      <c r="BH829" s="20">
        <v>15.0</v>
      </c>
      <c r="BM829" s="20">
        <v>109.76</v>
      </c>
      <c r="BN829" s="20">
        <v>128.4</v>
      </c>
      <c r="BW829" s="20">
        <v>27.56</v>
      </c>
      <c r="BX829" s="20">
        <v>-68.02</v>
      </c>
      <c r="BZ829" s="20">
        <v>-31.23</v>
      </c>
      <c r="CA829" s="20">
        <v>79.67</v>
      </c>
      <c r="CO829" s="20">
        <v>-34.39</v>
      </c>
      <c r="CP829" s="20">
        <v>-33.85</v>
      </c>
    </row>
    <row r="830">
      <c r="A830" s="20">
        <v>8.39</v>
      </c>
      <c r="B830" s="20">
        <v>83.91</v>
      </c>
      <c r="D830" s="20"/>
      <c r="E830" s="20"/>
      <c r="F830" s="20">
        <v>-29.57</v>
      </c>
      <c r="G830" s="20">
        <v>-22.1</v>
      </c>
      <c r="I830" s="20"/>
      <c r="J830" s="20"/>
      <c r="K830" s="20">
        <v>414.0</v>
      </c>
      <c r="L830" s="20" t="s">
        <v>17</v>
      </c>
      <c r="M830" s="20">
        <v>-24.14</v>
      </c>
      <c r="N830" s="20">
        <v>11.86</v>
      </c>
      <c r="P830" s="20">
        <v>-7.38</v>
      </c>
      <c r="Q830" s="20">
        <v>36.56</v>
      </c>
      <c r="AG830" s="20">
        <v>828.0</v>
      </c>
      <c r="AH830" s="20" t="s">
        <v>14</v>
      </c>
      <c r="AI830" s="20">
        <v>-26.65</v>
      </c>
      <c r="AJ830" s="20">
        <v>-7.27</v>
      </c>
      <c r="AM830" s="20">
        <v>425.0</v>
      </c>
      <c r="AN830" s="20" t="s">
        <v>17</v>
      </c>
      <c r="AO830" s="20">
        <v>55.18</v>
      </c>
      <c r="AP830" s="20">
        <v>-7.31</v>
      </c>
      <c r="AS830" s="20">
        <v>418.0</v>
      </c>
      <c r="AT830" s="20" t="s">
        <v>17</v>
      </c>
      <c r="AU830" s="20">
        <v>-16.83</v>
      </c>
      <c r="AV830" s="20">
        <v>-33.09</v>
      </c>
      <c r="BE830" s="20">
        <v>828.0</v>
      </c>
      <c r="BF830" s="20" t="s">
        <v>14</v>
      </c>
      <c r="BG830" s="20">
        <v>-4.68</v>
      </c>
      <c r="BH830" s="20">
        <v>-2.65</v>
      </c>
      <c r="BM830" s="20">
        <v>110.14</v>
      </c>
      <c r="BN830" s="20">
        <v>126.94</v>
      </c>
      <c r="BW830" s="20">
        <v>-17.85</v>
      </c>
      <c r="BX830" s="20">
        <v>-29.82</v>
      </c>
      <c r="BZ830" s="20">
        <v>-39.32</v>
      </c>
      <c r="CA830" s="20">
        <v>21.06</v>
      </c>
      <c r="CO830" s="20">
        <v>-15.01</v>
      </c>
      <c r="CP830" s="20">
        <v>-54.15</v>
      </c>
    </row>
    <row r="831">
      <c r="A831" s="20">
        <v>-39.45</v>
      </c>
      <c r="B831" s="20">
        <v>39.7</v>
      </c>
      <c r="D831" s="20"/>
      <c r="E831" s="20"/>
      <c r="F831" s="20">
        <v>-15.16</v>
      </c>
      <c r="G831" s="20">
        <v>-0.27</v>
      </c>
      <c r="I831" s="20"/>
      <c r="J831" s="20"/>
      <c r="K831" s="20">
        <v>415.0</v>
      </c>
      <c r="L831" s="20" t="s">
        <v>14</v>
      </c>
      <c r="M831" s="20">
        <v>-23.07</v>
      </c>
      <c r="N831" s="20">
        <v>3.79</v>
      </c>
      <c r="P831" s="20">
        <v>-23.57</v>
      </c>
      <c r="Q831" s="20">
        <v>71.36</v>
      </c>
      <c r="AG831" s="20">
        <v>829.0</v>
      </c>
      <c r="AH831" s="20" t="s">
        <v>14</v>
      </c>
      <c r="AI831" s="20">
        <v>-45.9</v>
      </c>
      <c r="AJ831" s="20">
        <v>-43.45</v>
      </c>
      <c r="AM831" s="20">
        <v>426.0</v>
      </c>
      <c r="AN831" s="20" t="s">
        <v>14</v>
      </c>
      <c r="AO831" s="20">
        <v>-27.36</v>
      </c>
      <c r="AP831" s="20">
        <v>-17.56</v>
      </c>
      <c r="AS831" s="20">
        <v>419.0</v>
      </c>
      <c r="AT831" s="20" t="s">
        <v>14</v>
      </c>
      <c r="AU831" s="20">
        <v>-14.82</v>
      </c>
      <c r="AV831" s="20">
        <v>-36.25</v>
      </c>
      <c r="BE831" s="20">
        <v>829.0</v>
      </c>
      <c r="BF831" s="20" t="s">
        <v>14</v>
      </c>
      <c r="BG831" s="20">
        <v>16.75</v>
      </c>
      <c r="BH831" s="20">
        <v>15.25</v>
      </c>
      <c r="BM831" s="20">
        <v>80.28</v>
      </c>
      <c r="BN831" s="20">
        <v>76.27</v>
      </c>
      <c r="BW831" s="20">
        <v>-30.42</v>
      </c>
      <c r="BX831" s="20">
        <v>-22.53</v>
      </c>
      <c r="BZ831" s="20">
        <v>-39.64</v>
      </c>
      <c r="CA831" s="20">
        <v>51.2</v>
      </c>
      <c r="CO831" s="20">
        <v>-22.18</v>
      </c>
      <c r="CP831" s="20">
        <v>-32.2</v>
      </c>
    </row>
    <row r="832">
      <c r="A832" s="20">
        <v>-34.45</v>
      </c>
      <c r="B832" s="20">
        <v>28.13</v>
      </c>
      <c r="D832" s="20"/>
      <c r="E832" s="20"/>
      <c r="F832" s="20">
        <v>-12.64</v>
      </c>
      <c r="G832" s="20">
        <v>-4.64</v>
      </c>
      <c r="I832" s="20"/>
      <c r="J832" s="20"/>
      <c r="K832" s="20">
        <v>415.0</v>
      </c>
      <c r="L832" s="20" t="s">
        <v>17</v>
      </c>
      <c r="M832" s="20">
        <v>-26.54</v>
      </c>
      <c r="N832" s="20">
        <v>12.3</v>
      </c>
      <c r="P832" s="20">
        <v>-6.37</v>
      </c>
      <c r="Q832" s="20">
        <v>72.38</v>
      </c>
      <c r="AG832" s="20">
        <v>830.0</v>
      </c>
      <c r="AH832" s="20" t="s">
        <v>14</v>
      </c>
      <c r="AI832" s="20">
        <v>-26.41</v>
      </c>
      <c r="AJ832" s="20">
        <v>-13.22</v>
      </c>
      <c r="AM832" s="20">
        <v>426.0</v>
      </c>
      <c r="AN832" s="20" t="s">
        <v>17</v>
      </c>
      <c r="AO832" s="20">
        <v>-35.73</v>
      </c>
      <c r="AP832" s="20">
        <v>-48.42</v>
      </c>
      <c r="AS832" s="20">
        <v>419.0</v>
      </c>
      <c r="AT832" s="20" t="s">
        <v>17</v>
      </c>
      <c r="AU832" s="20">
        <v>-7.4</v>
      </c>
      <c r="AV832" s="20">
        <v>-27.37</v>
      </c>
      <c r="BE832" s="20">
        <v>830.0</v>
      </c>
      <c r="BF832" s="20" t="s">
        <v>14</v>
      </c>
      <c r="BG832" s="20">
        <v>8.66</v>
      </c>
      <c r="BH832" s="20">
        <v>1.14</v>
      </c>
      <c r="BM832" s="20">
        <v>5.36</v>
      </c>
      <c r="BN832" s="20">
        <v>142.34</v>
      </c>
      <c r="BW832" s="20">
        <v>-51.51</v>
      </c>
      <c r="BX832" s="20">
        <v>-31.37</v>
      </c>
      <c r="BZ832" s="20">
        <v>-73.33</v>
      </c>
      <c r="CA832" s="20">
        <v>61.3</v>
      </c>
      <c r="CO832" s="20">
        <v>-1.32</v>
      </c>
      <c r="CP832" s="20">
        <v>-34.18</v>
      </c>
    </row>
    <row r="833">
      <c r="A833" s="20">
        <v>-17.48</v>
      </c>
      <c r="B833" s="20">
        <v>67.3</v>
      </c>
      <c r="D833" s="20"/>
      <c r="E833" s="20"/>
      <c r="F833" s="20">
        <v>-27.33</v>
      </c>
      <c r="G833" s="20">
        <v>-33.07</v>
      </c>
      <c r="I833" s="20"/>
      <c r="J833" s="20"/>
      <c r="K833" s="20">
        <v>416.0</v>
      </c>
      <c r="L833" s="20" t="s">
        <v>14</v>
      </c>
      <c r="M833" s="20">
        <v>-19.29</v>
      </c>
      <c r="N833" s="20">
        <v>62.18</v>
      </c>
      <c r="P833" s="20">
        <v>-15.63</v>
      </c>
      <c r="Q833" s="20">
        <v>45.16</v>
      </c>
      <c r="AG833" s="20">
        <v>831.0</v>
      </c>
      <c r="AH833" s="20" t="s">
        <v>14</v>
      </c>
      <c r="AI833" s="20">
        <v>-21.4</v>
      </c>
      <c r="AJ833" s="20">
        <v>-14.95</v>
      </c>
      <c r="AM833" s="20">
        <v>427.0</v>
      </c>
      <c r="AN833" s="20" t="s">
        <v>14</v>
      </c>
      <c r="AO833" s="20">
        <v>-19.23</v>
      </c>
      <c r="AP833" s="20">
        <v>-29.15</v>
      </c>
      <c r="AS833" s="20">
        <v>420.0</v>
      </c>
      <c r="AT833" s="20" t="s">
        <v>14</v>
      </c>
      <c r="AU833" s="20">
        <v>25.37</v>
      </c>
      <c r="AV833" s="20">
        <v>-9.09</v>
      </c>
      <c r="BE833" s="20">
        <v>831.0</v>
      </c>
      <c r="BF833" s="20" t="s">
        <v>14</v>
      </c>
      <c r="BG833" s="20">
        <v>29.49</v>
      </c>
      <c r="BH833" s="20">
        <v>27.58</v>
      </c>
      <c r="BM833" s="20">
        <v>76.12</v>
      </c>
      <c r="BN833" s="20">
        <v>187.49</v>
      </c>
      <c r="BW833" s="20">
        <v>-48.18</v>
      </c>
      <c r="BX833" s="20">
        <v>-33.13</v>
      </c>
      <c r="BZ833" s="20">
        <v>-42.47</v>
      </c>
      <c r="CA833" s="20">
        <v>2.97</v>
      </c>
      <c r="CO833" s="20">
        <v>-45.47</v>
      </c>
      <c r="CP833" s="20">
        <v>-59.51</v>
      </c>
    </row>
    <row r="834">
      <c r="A834" s="20">
        <v>17.17</v>
      </c>
      <c r="B834" s="20">
        <v>-18.35</v>
      </c>
      <c r="D834" s="20"/>
      <c r="E834" s="20"/>
      <c r="F834" s="20">
        <v>-7.02</v>
      </c>
      <c r="G834" s="20">
        <v>25.33</v>
      </c>
      <c r="I834" s="20"/>
      <c r="J834" s="20"/>
      <c r="K834" s="20">
        <v>416.0</v>
      </c>
      <c r="L834" s="20" t="s">
        <v>17</v>
      </c>
      <c r="M834" s="20">
        <v>-28.16</v>
      </c>
      <c r="N834" s="20">
        <v>11.28</v>
      </c>
      <c r="P834" s="20">
        <v>-1.24</v>
      </c>
      <c r="Q834" s="20">
        <v>98.46</v>
      </c>
      <c r="AG834" s="20">
        <v>832.0</v>
      </c>
      <c r="AH834" s="20" t="s">
        <v>14</v>
      </c>
      <c r="AI834" s="20">
        <v>-45.23</v>
      </c>
      <c r="AJ834" s="20">
        <v>-47.83</v>
      </c>
      <c r="AM834" s="20">
        <v>427.0</v>
      </c>
      <c r="AN834" s="20" t="s">
        <v>17</v>
      </c>
      <c r="AO834" s="20">
        <v>-23.54</v>
      </c>
      <c r="AP834" s="20">
        <v>-13.14</v>
      </c>
      <c r="AS834" s="20">
        <v>420.0</v>
      </c>
      <c r="AT834" s="20" t="s">
        <v>17</v>
      </c>
      <c r="AU834" s="20">
        <v>7.71</v>
      </c>
      <c r="AV834" s="20">
        <v>-12.32</v>
      </c>
      <c r="BE834" s="20">
        <v>832.0</v>
      </c>
      <c r="BF834" s="20" t="s">
        <v>14</v>
      </c>
      <c r="BG834" s="20">
        <v>85.49</v>
      </c>
      <c r="BH834" s="20">
        <v>50.94</v>
      </c>
      <c r="BM834" s="20">
        <v>16.28</v>
      </c>
      <c r="BN834" s="20">
        <v>147.72</v>
      </c>
      <c r="BW834" s="20">
        <v>-31.83</v>
      </c>
      <c r="BX834" s="20">
        <v>-33.51</v>
      </c>
      <c r="BZ834" s="20">
        <v>-47.9</v>
      </c>
      <c r="CA834" s="20">
        <v>114.23</v>
      </c>
      <c r="CO834" s="20">
        <v>-23.85</v>
      </c>
      <c r="CP834" s="20">
        <v>-60.56</v>
      </c>
    </row>
    <row r="835">
      <c r="A835" s="20">
        <v>-5.1</v>
      </c>
      <c r="B835" s="20">
        <v>-36.59</v>
      </c>
      <c r="D835" s="20"/>
      <c r="E835" s="20"/>
      <c r="F835" s="20">
        <v>0.59</v>
      </c>
      <c r="G835" s="20">
        <v>-7.21</v>
      </c>
      <c r="I835" s="20"/>
      <c r="J835" s="20"/>
      <c r="K835" s="20">
        <v>417.0</v>
      </c>
      <c r="L835" s="20" t="s">
        <v>14</v>
      </c>
      <c r="M835" s="20">
        <v>6.77</v>
      </c>
      <c r="N835" s="20">
        <v>12.6</v>
      </c>
      <c r="P835" s="20">
        <v>9.94</v>
      </c>
      <c r="Q835" s="20">
        <v>77.2</v>
      </c>
      <c r="AG835" s="20">
        <v>833.0</v>
      </c>
      <c r="AH835" s="20" t="s">
        <v>14</v>
      </c>
      <c r="AI835" s="20">
        <v>-18.41</v>
      </c>
      <c r="AJ835" s="20">
        <v>-19.22</v>
      </c>
      <c r="AM835" s="20">
        <v>428.0</v>
      </c>
      <c r="AN835" s="20" t="s">
        <v>14</v>
      </c>
      <c r="AO835" s="20">
        <v>-17.58</v>
      </c>
      <c r="AP835" s="20">
        <v>-29.35</v>
      </c>
      <c r="AS835" s="20">
        <v>421.0</v>
      </c>
      <c r="AT835" s="20" t="s">
        <v>14</v>
      </c>
      <c r="AU835" s="20">
        <v>-13.21</v>
      </c>
      <c r="AV835" s="20">
        <v>-32.96</v>
      </c>
      <c r="BE835" s="20">
        <v>833.0</v>
      </c>
      <c r="BF835" s="20" t="s">
        <v>14</v>
      </c>
      <c r="BG835" s="20">
        <v>-19.98</v>
      </c>
      <c r="BH835" s="20">
        <v>15.67</v>
      </c>
      <c r="BM835" s="20">
        <v>81.67</v>
      </c>
      <c r="BN835" s="20">
        <v>102.35</v>
      </c>
      <c r="BW835" s="20">
        <v>-46.99</v>
      </c>
      <c r="BX835" s="20">
        <v>-13.15</v>
      </c>
      <c r="BZ835" s="20">
        <v>-27.56</v>
      </c>
      <c r="CA835" s="20">
        <v>6.63</v>
      </c>
      <c r="CO835" s="20">
        <v>-13.23</v>
      </c>
      <c r="CP835" s="20">
        <v>-24.67</v>
      </c>
    </row>
    <row r="836">
      <c r="A836" s="20">
        <v>-41.71</v>
      </c>
      <c r="B836" s="20">
        <v>3.35</v>
      </c>
      <c r="D836" s="20"/>
      <c r="E836" s="20"/>
      <c r="F836" s="20">
        <v>-12.01</v>
      </c>
      <c r="G836" s="20">
        <v>13.96</v>
      </c>
      <c r="I836" s="20"/>
      <c r="J836" s="20"/>
      <c r="K836" s="20">
        <v>417.0</v>
      </c>
      <c r="L836" s="20" t="s">
        <v>17</v>
      </c>
      <c r="M836" s="20">
        <v>14.97</v>
      </c>
      <c r="N836" s="20">
        <v>12.86</v>
      </c>
      <c r="P836" s="20">
        <v>80.6</v>
      </c>
      <c r="Q836" s="20">
        <v>69.52</v>
      </c>
      <c r="AG836" s="20">
        <v>834.0</v>
      </c>
      <c r="AH836" s="20" t="s">
        <v>14</v>
      </c>
      <c r="AI836" s="20">
        <v>-18.11</v>
      </c>
      <c r="AJ836" s="20">
        <v>-26.74</v>
      </c>
      <c r="AM836" s="20">
        <v>428.0</v>
      </c>
      <c r="AN836" s="20" t="s">
        <v>17</v>
      </c>
      <c r="AO836" s="20">
        <v>-39.47</v>
      </c>
      <c r="AP836" s="20">
        <v>22.97</v>
      </c>
      <c r="AS836" s="20">
        <v>421.0</v>
      </c>
      <c r="AT836" s="20" t="s">
        <v>17</v>
      </c>
      <c r="AU836" s="20">
        <v>-22.19</v>
      </c>
      <c r="AV836" s="20">
        <v>-27.45</v>
      </c>
      <c r="BE836" s="20">
        <v>834.0</v>
      </c>
      <c r="BF836" s="20" t="s">
        <v>14</v>
      </c>
      <c r="BG836" s="20">
        <v>52.24</v>
      </c>
      <c r="BH836" s="20">
        <v>5.17</v>
      </c>
      <c r="BM836" s="20">
        <v>137.12</v>
      </c>
      <c r="BN836" s="20">
        <v>3.96</v>
      </c>
      <c r="BW836" s="20">
        <v>-38.95</v>
      </c>
      <c r="BX836" s="20">
        <v>-20.16</v>
      </c>
      <c r="BZ836" s="20">
        <v>-14.03</v>
      </c>
      <c r="CA836" s="20">
        <v>-41.44</v>
      </c>
      <c r="CO836" s="20">
        <v>-14.63</v>
      </c>
      <c r="CP836" s="20">
        <v>-51.99</v>
      </c>
    </row>
    <row r="837">
      <c r="A837" s="20">
        <v>-49.96</v>
      </c>
      <c r="B837" s="20">
        <v>-47.67</v>
      </c>
      <c r="D837" s="20"/>
      <c r="E837" s="20"/>
      <c r="F837" s="20">
        <v>21.49</v>
      </c>
      <c r="G837" s="20">
        <v>-5.15</v>
      </c>
      <c r="I837" s="20"/>
      <c r="J837" s="20"/>
      <c r="K837" s="20">
        <v>418.0</v>
      </c>
      <c r="L837" s="20" t="s">
        <v>14</v>
      </c>
      <c r="M837" s="20">
        <v>21.92</v>
      </c>
      <c r="N837" s="20">
        <v>-0.57</v>
      </c>
      <c r="P837" s="20">
        <v>-11.04</v>
      </c>
      <c r="Q837" s="20">
        <v>19.86</v>
      </c>
      <c r="AG837" s="20">
        <v>835.0</v>
      </c>
      <c r="AH837" s="20" t="s">
        <v>14</v>
      </c>
      <c r="AI837" s="20">
        <v>-25.07</v>
      </c>
      <c r="AJ837" s="20">
        <v>-19.3</v>
      </c>
      <c r="AM837" s="20">
        <v>429.0</v>
      </c>
      <c r="AN837" s="20" t="s">
        <v>14</v>
      </c>
      <c r="AO837" s="20">
        <v>12.12</v>
      </c>
      <c r="AP837" s="20">
        <v>-25.97</v>
      </c>
      <c r="AS837" s="20">
        <v>422.0</v>
      </c>
      <c r="AT837" s="20" t="s">
        <v>14</v>
      </c>
      <c r="AU837" s="20">
        <v>6.71</v>
      </c>
      <c r="AV837" s="20">
        <v>-12.25</v>
      </c>
      <c r="BE837" s="20">
        <v>835.0</v>
      </c>
      <c r="BF837" s="20" t="s">
        <v>14</v>
      </c>
      <c r="BG837" s="20">
        <v>14.54</v>
      </c>
      <c r="BH837" s="20">
        <v>-5.76</v>
      </c>
      <c r="BM837" s="20">
        <v>84.65</v>
      </c>
      <c r="BN837" s="20">
        <v>128.79</v>
      </c>
      <c r="BW837" s="20">
        <v>-26.3</v>
      </c>
      <c r="BX837" s="20">
        <v>-37.99</v>
      </c>
      <c r="BZ837" s="20">
        <v>-34.11</v>
      </c>
      <c r="CA837" s="20">
        <v>47.68</v>
      </c>
      <c r="CO837" s="20">
        <v>-35.32</v>
      </c>
      <c r="CP837" s="20">
        <v>-65.56</v>
      </c>
    </row>
    <row r="838">
      <c r="A838" s="20">
        <v>-17.93</v>
      </c>
      <c r="B838" s="20">
        <v>57.97</v>
      </c>
      <c r="D838" s="20"/>
      <c r="E838" s="20"/>
      <c r="F838" s="20">
        <v>-17.29</v>
      </c>
      <c r="G838" s="20">
        <v>1.9</v>
      </c>
      <c r="I838" s="20"/>
      <c r="J838" s="20"/>
      <c r="K838" s="20">
        <v>418.0</v>
      </c>
      <c r="L838" s="20" t="s">
        <v>17</v>
      </c>
      <c r="M838" s="20">
        <v>-31.19</v>
      </c>
      <c r="N838" s="20">
        <v>-75.25</v>
      </c>
      <c r="P838" s="20">
        <v>16.89</v>
      </c>
      <c r="Q838" s="20">
        <v>17.73</v>
      </c>
      <c r="AG838" s="20">
        <v>836.0</v>
      </c>
      <c r="AH838" s="20" t="s">
        <v>14</v>
      </c>
      <c r="AI838" s="20">
        <v>-33.53</v>
      </c>
      <c r="AJ838" s="20">
        <v>-37.56</v>
      </c>
      <c r="AM838" s="20">
        <v>429.0</v>
      </c>
      <c r="AN838" s="20" t="s">
        <v>17</v>
      </c>
      <c r="AO838" s="20">
        <v>-3.56</v>
      </c>
      <c r="AP838" s="20">
        <v>-32.37</v>
      </c>
      <c r="AS838" s="20">
        <v>422.0</v>
      </c>
      <c r="AT838" s="20" t="s">
        <v>17</v>
      </c>
      <c r="AU838" s="20">
        <v>-29.07</v>
      </c>
      <c r="AV838" s="20">
        <v>-53.7</v>
      </c>
      <c r="BE838" s="20">
        <v>836.0</v>
      </c>
      <c r="BF838" s="20" t="s">
        <v>14</v>
      </c>
      <c r="BG838" s="20">
        <v>-1.74</v>
      </c>
      <c r="BH838" s="20">
        <v>8.33</v>
      </c>
      <c r="BM838" s="20">
        <v>360.09</v>
      </c>
      <c r="BN838" s="20">
        <v>52.41</v>
      </c>
      <c r="BW838" s="20">
        <v>-41.87</v>
      </c>
      <c r="BX838" s="20">
        <v>-24.81</v>
      </c>
      <c r="BZ838" s="20">
        <v>-38.44</v>
      </c>
      <c r="CA838" s="20">
        <v>118.34</v>
      </c>
      <c r="CO838" s="20">
        <v>-20.67</v>
      </c>
      <c r="CP838" s="20">
        <v>-41.35</v>
      </c>
    </row>
    <row r="839">
      <c r="A839" s="20">
        <v>-5.57</v>
      </c>
      <c r="B839" s="20">
        <v>-43.22</v>
      </c>
      <c r="D839" s="20"/>
      <c r="E839" s="20"/>
      <c r="F839" s="20">
        <v>-10.8</v>
      </c>
      <c r="G839" s="20">
        <v>12.0</v>
      </c>
      <c r="I839" s="20"/>
      <c r="J839" s="20"/>
      <c r="K839" s="20">
        <v>419.0</v>
      </c>
      <c r="L839" s="20" t="s">
        <v>14</v>
      </c>
      <c r="M839" s="20">
        <v>-8.8</v>
      </c>
      <c r="N839" s="20">
        <v>36.4</v>
      </c>
      <c r="P839" s="20">
        <v>11.17</v>
      </c>
      <c r="Q839" s="20">
        <v>25.27</v>
      </c>
      <c r="AG839" s="20">
        <v>837.0</v>
      </c>
      <c r="AH839" s="20" t="s">
        <v>14</v>
      </c>
      <c r="AI839" s="20">
        <v>-28.34</v>
      </c>
      <c r="AJ839" s="20">
        <v>-32.88</v>
      </c>
      <c r="AM839" s="20">
        <v>430.0</v>
      </c>
      <c r="AN839" s="20" t="s">
        <v>14</v>
      </c>
      <c r="AO839" s="20">
        <v>-15.04</v>
      </c>
      <c r="AP839" s="20">
        <v>-34.14</v>
      </c>
      <c r="AS839" s="20">
        <v>423.0</v>
      </c>
      <c r="AT839" s="20" t="s">
        <v>14</v>
      </c>
      <c r="AU839" s="20">
        <v>-17.11</v>
      </c>
      <c r="AV839" s="20">
        <v>-26.38</v>
      </c>
      <c r="BE839" s="20">
        <v>837.0</v>
      </c>
      <c r="BF839" s="20" t="s">
        <v>14</v>
      </c>
      <c r="BG839" s="20">
        <v>-11.84</v>
      </c>
      <c r="BH839" s="20">
        <v>-3.76</v>
      </c>
      <c r="BM839" s="20">
        <v>14.73</v>
      </c>
      <c r="BN839" s="20">
        <v>57.94</v>
      </c>
      <c r="BW839" s="20">
        <v>-44.31</v>
      </c>
      <c r="BX839" s="20">
        <v>-32.9</v>
      </c>
      <c r="BZ839" s="20">
        <v>-37.72</v>
      </c>
      <c r="CA839" s="20">
        <v>125.91</v>
      </c>
      <c r="CO839" s="20">
        <v>-18.55</v>
      </c>
      <c r="CP839" s="20">
        <v>-54.07</v>
      </c>
    </row>
    <row r="840">
      <c r="A840" s="20">
        <v>-28.57</v>
      </c>
      <c r="B840" s="20">
        <v>-42.88</v>
      </c>
      <c r="D840" s="20"/>
      <c r="E840" s="20"/>
      <c r="F840" s="20">
        <v>45.67</v>
      </c>
      <c r="G840" s="20">
        <v>92.53</v>
      </c>
      <c r="I840" s="20"/>
      <c r="J840" s="20"/>
      <c r="K840" s="20">
        <v>419.0</v>
      </c>
      <c r="L840" s="20" t="s">
        <v>17</v>
      </c>
      <c r="M840" s="20">
        <v>-9.54</v>
      </c>
      <c r="N840" s="20">
        <v>21.43</v>
      </c>
      <c r="P840" s="20">
        <v>3.31</v>
      </c>
      <c r="Q840" s="20">
        <v>89.37</v>
      </c>
      <c r="AG840" s="20">
        <v>838.0</v>
      </c>
      <c r="AH840" s="20" t="s">
        <v>14</v>
      </c>
      <c r="AI840" s="20">
        <v>-32.86</v>
      </c>
      <c r="AJ840" s="20">
        <v>-32.05</v>
      </c>
      <c r="AM840" s="20">
        <v>430.0</v>
      </c>
      <c r="AN840" s="20" t="s">
        <v>17</v>
      </c>
      <c r="AO840" s="20">
        <v>-17.09</v>
      </c>
      <c r="AP840" s="20">
        <v>-42.88</v>
      </c>
      <c r="AS840" s="20">
        <v>423.0</v>
      </c>
      <c r="AT840" s="20" t="s">
        <v>17</v>
      </c>
      <c r="AU840" s="20">
        <v>12.67</v>
      </c>
      <c r="AV840" s="20">
        <v>-20.0</v>
      </c>
      <c r="BE840" s="20">
        <v>838.0</v>
      </c>
      <c r="BF840" s="20" t="s">
        <v>14</v>
      </c>
      <c r="BG840" s="20">
        <v>11.37</v>
      </c>
      <c r="BH840" s="20">
        <v>60.06</v>
      </c>
      <c r="BM840" s="20">
        <v>50.02</v>
      </c>
      <c r="BN840" s="20">
        <v>60.71</v>
      </c>
      <c r="BW840" s="20">
        <v>-16.24</v>
      </c>
      <c r="BX840" s="20">
        <v>-3.15</v>
      </c>
      <c r="BZ840" s="20">
        <v>-51.11</v>
      </c>
      <c r="CA840" s="20">
        <v>130.22</v>
      </c>
      <c r="CO840" s="20">
        <v>23.14</v>
      </c>
      <c r="CP840" s="20">
        <v>-25.61</v>
      </c>
    </row>
    <row r="841">
      <c r="A841" s="20">
        <v>-29.67</v>
      </c>
      <c r="B841" s="20">
        <v>28.36</v>
      </c>
      <c r="D841" s="20"/>
      <c r="E841" s="20"/>
      <c r="F841" s="20">
        <v>-16.09</v>
      </c>
      <c r="G841" s="20">
        <v>17.85</v>
      </c>
      <c r="I841" s="20"/>
      <c r="J841" s="20"/>
      <c r="K841" s="20">
        <v>420.0</v>
      </c>
      <c r="L841" s="20" t="s">
        <v>14</v>
      </c>
      <c r="M841" s="20">
        <v>-22.95</v>
      </c>
      <c r="N841" s="20">
        <v>-1.0</v>
      </c>
      <c r="P841" s="20">
        <v>-6.66</v>
      </c>
      <c r="Q841" s="20">
        <v>59.09</v>
      </c>
      <c r="AG841" s="20">
        <v>839.0</v>
      </c>
      <c r="AH841" s="20" t="s">
        <v>14</v>
      </c>
      <c r="AI841" s="20">
        <v>-25.73</v>
      </c>
      <c r="AJ841" s="20">
        <v>-25.58</v>
      </c>
      <c r="AM841" s="20">
        <v>431.0</v>
      </c>
      <c r="AN841" s="20" t="s">
        <v>14</v>
      </c>
      <c r="AO841" s="20">
        <v>-14.36</v>
      </c>
      <c r="AP841" s="20">
        <v>-29.98</v>
      </c>
      <c r="AS841" s="20">
        <v>424.0</v>
      </c>
      <c r="AT841" s="20" t="s">
        <v>14</v>
      </c>
      <c r="AU841" s="20">
        <v>0.73</v>
      </c>
      <c r="AV841" s="20">
        <v>-32.19</v>
      </c>
      <c r="BE841" s="20">
        <v>839.0</v>
      </c>
      <c r="BF841" s="20" t="s">
        <v>14</v>
      </c>
      <c r="BG841" s="20">
        <v>49.4</v>
      </c>
      <c r="BH841" s="20">
        <v>14.16</v>
      </c>
      <c r="BM841" s="20">
        <v>90.84</v>
      </c>
      <c r="BN841" s="20">
        <v>95.74</v>
      </c>
      <c r="BW841" s="20">
        <v>-30.16</v>
      </c>
      <c r="BX841" s="20">
        <v>-20.15</v>
      </c>
      <c r="BZ841" s="20">
        <v>-30.73</v>
      </c>
      <c r="CA841" s="20">
        <v>64.41</v>
      </c>
      <c r="CO841" s="20">
        <v>-4.39</v>
      </c>
      <c r="CP841" s="20">
        <v>-58.39</v>
      </c>
    </row>
    <row r="842">
      <c r="A842" s="20">
        <v>-48.37</v>
      </c>
      <c r="B842" s="20">
        <v>101.03</v>
      </c>
      <c r="D842" s="20"/>
      <c r="E842" s="20"/>
      <c r="F842" s="20">
        <v>-47.63</v>
      </c>
      <c r="G842" s="20">
        <v>-20.26</v>
      </c>
      <c r="I842" s="20"/>
      <c r="J842" s="20"/>
      <c r="K842" s="20">
        <v>420.0</v>
      </c>
      <c r="L842" s="20" t="s">
        <v>17</v>
      </c>
      <c r="M842" s="20">
        <v>-19.09</v>
      </c>
      <c r="N842" s="20">
        <v>27.62</v>
      </c>
      <c r="P842" s="20">
        <v>24.15</v>
      </c>
      <c r="Q842" s="20">
        <v>118.61</v>
      </c>
      <c r="AG842" s="20">
        <v>840.0</v>
      </c>
      <c r="AH842" s="20" t="s">
        <v>14</v>
      </c>
      <c r="AI842" s="20">
        <v>-9.06</v>
      </c>
      <c r="AJ842" s="20">
        <v>-24.04</v>
      </c>
      <c r="AM842" s="20">
        <v>431.0</v>
      </c>
      <c r="AN842" s="20" t="s">
        <v>17</v>
      </c>
      <c r="AO842" s="20">
        <v>2.16</v>
      </c>
      <c r="AP842" s="20">
        <v>-25.7</v>
      </c>
      <c r="AS842" s="20">
        <v>424.0</v>
      </c>
      <c r="AT842" s="20" t="s">
        <v>17</v>
      </c>
      <c r="AU842" s="20">
        <v>17.71</v>
      </c>
      <c r="AV842" s="20">
        <v>-17.21</v>
      </c>
      <c r="BE842" s="20">
        <v>840.0</v>
      </c>
      <c r="BF842" s="20" t="s">
        <v>14</v>
      </c>
      <c r="BG842" s="20">
        <v>17.07</v>
      </c>
      <c r="BH842" s="20">
        <v>14.48</v>
      </c>
      <c r="BM842" s="20">
        <v>61.9</v>
      </c>
      <c r="BN842" s="20">
        <v>180.08</v>
      </c>
      <c r="BW842" s="20">
        <v>-61.83</v>
      </c>
      <c r="BX842" s="20">
        <v>-35.18</v>
      </c>
      <c r="BZ842" s="20">
        <v>-45.47</v>
      </c>
      <c r="CA842" s="20">
        <v>51.68</v>
      </c>
      <c r="CO842" s="20">
        <v>-32.59</v>
      </c>
      <c r="CP842" s="20">
        <v>-55.93</v>
      </c>
    </row>
    <row r="843">
      <c r="A843" s="20">
        <v>-43.01</v>
      </c>
      <c r="B843" s="20">
        <v>99.36</v>
      </c>
      <c r="D843" s="20"/>
      <c r="E843" s="20"/>
      <c r="F843" s="20">
        <v>-40.71</v>
      </c>
      <c r="G843" s="20">
        <v>19.24</v>
      </c>
      <c r="I843" s="20"/>
      <c r="J843" s="20"/>
      <c r="K843" s="20">
        <v>421.0</v>
      </c>
      <c r="L843" s="20" t="s">
        <v>14</v>
      </c>
      <c r="M843" s="20">
        <v>2.95</v>
      </c>
      <c r="N843" s="20">
        <v>12.68</v>
      </c>
      <c r="P843" s="20">
        <v>14.04</v>
      </c>
      <c r="Q843" s="20">
        <v>38.24</v>
      </c>
      <c r="AG843" s="20">
        <v>841.0</v>
      </c>
      <c r="AH843" s="20" t="s">
        <v>14</v>
      </c>
      <c r="AI843" s="20">
        <v>-52.45</v>
      </c>
      <c r="AJ843" s="20">
        <v>-56.09</v>
      </c>
      <c r="AM843" s="20">
        <v>432.0</v>
      </c>
      <c r="AN843" s="20" t="s">
        <v>14</v>
      </c>
      <c r="AO843" s="20">
        <v>-28.56</v>
      </c>
      <c r="AP843" s="20">
        <v>-38.14</v>
      </c>
      <c r="AS843" s="20">
        <v>425.0</v>
      </c>
      <c r="AT843" s="20" t="s">
        <v>14</v>
      </c>
      <c r="AU843" s="20">
        <v>-23.17</v>
      </c>
      <c r="AV843" s="20">
        <v>-45.86</v>
      </c>
      <c r="BE843" s="20">
        <v>841.0</v>
      </c>
      <c r="BF843" s="20" t="s">
        <v>14</v>
      </c>
      <c r="BG843" s="20">
        <v>60.8</v>
      </c>
      <c r="BH843" s="20">
        <v>33.54</v>
      </c>
      <c r="BM843" s="20">
        <v>32.59</v>
      </c>
      <c r="BN843" s="20">
        <v>82.74</v>
      </c>
      <c r="BW843" s="20">
        <v>-39.36</v>
      </c>
      <c r="BX843" s="20">
        <v>-1.04</v>
      </c>
      <c r="BZ843" s="20">
        <v>-45.43</v>
      </c>
      <c r="CA843" s="20">
        <v>57.77</v>
      </c>
      <c r="CO843" s="20">
        <v>5.1</v>
      </c>
      <c r="CP843" s="20">
        <v>-53.52</v>
      </c>
    </row>
    <row r="844">
      <c r="A844" s="20">
        <v>-14.57</v>
      </c>
      <c r="B844" s="20">
        <v>83.13</v>
      </c>
      <c r="D844" s="20"/>
      <c r="E844" s="20"/>
      <c r="F844" s="20">
        <v>-31.9</v>
      </c>
      <c r="G844" s="20">
        <v>-6.62</v>
      </c>
      <c r="I844" s="20"/>
      <c r="J844" s="20"/>
      <c r="K844" s="20">
        <v>421.0</v>
      </c>
      <c r="L844" s="20" t="s">
        <v>17</v>
      </c>
      <c r="M844" s="20">
        <v>-34.55</v>
      </c>
      <c r="N844" s="20">
        <v>-29.64</v>
      </c>
      <c r="P844" s="20">
        <v>40.8</v>
      </c>
      <c r="Q844" s="20">
        <v>48.89</v>
      </c>
      <c r="AG844" s="20">
        <v>842.0</v>
      </c>
      <c r="AH844" s="20" t="s">
        <v>14</v>
      </c>
      <c r="AI844" s="20">
        <v>-25.68</v>
      </c>
      <c r="AJ844" s="20">
        <v>-17.91</v>
      </c>
      <c r="AM844" s="20">
        <v>432.0</v>
      </c>
      <c r="AN844" s="20" t="s">
        <v>17</v>
      </c>
      <c r="AO844" s="20">
        <v>-15.99</v>
      </c>
      <c r="AP844" s="20">
        <v>-32.38</v>
      </c>
      <c r="AS844" s="20">
        <v>425.0</v>
      </c>
      <c r="AT844" s="20" t="s">
        <v>17</v>
      </c>
      <c r="AU844" s="20">
        <v>-4.09</v>
      </c>
      <c r="AV844" s="20">
        <v>-25.79</v>
      </c>
      <c r="BE844" s="20">
        <v>842.0</v>
      </c>
      <c r="BF844" s="20" t="s">
        <v>14</v>
      </c>
      <c r="BG844" s="20">
        <v>69.04</v>
      </c>
      <c r="BH844" s="20">
        <v>-0.72</v>
      </c>
      <c r="BM844" s="20">
        <v>-10.31</v>
      </c>
      <c r="BN844" s="20">
        <v>97.39</v>
      </c>
      <c r="BW844" s="20">
        <v>-41.63</v>
      </c>
      <c r="BX844" s="20">
        <v>-27.54</v>
      </c>
      <c r="BZ844" s="20">
        <v>-48.18</v>
      </c>
      <c r="CA844" s="20">
        <v>43.12</v>
      </c>
      <c r="CO844" s="20">
        <v>-1.39</v>
      </c>
      <c r="CP844" s="20">
        <v>-61.82</v>
      </c>
    </row>
    <row r="845">
      <c r="A845" s="20">
        <v>21.28</v>
      </c>
      <c r="B845" s="20">
        <v>0.1</v>
      </c>
      <c r="D845" s="20"/>
      <c r="E845" s="20"/>
      <c r="F845" s="20">
        <v>2.7</v>
      </c>
      <c r="G845" s="20">
        <v>35.0</v>
      </c>
      <c r="I845" s="20"/>
      <c r="J845" s="20"/>
      <c r="K845" s="20">
        <v>422.0</v>
      </c>
      <c r="L845" s="20" t="s">
        <v>14</v>
      </c>
      <c r="M845" s="20">
        <v>-3.73</v>
      </c>
      <c r="N845" s="20">
        <v>8.58</v>
      </c>
      <c r="P845" s="20">
        <v>-1.9</v>
      </c>
      <c r="Q845" s="20">
        <v>35.14</v>
      </c>
      <c r="AG845" s="20">
        <v>843.0</v>
      </c>
      <c r="AH845" s="20" t="s">
        <v>14</v>
      </c>
      <c r="AI845" s="20">
        <v>-5.7</v>
      </c>
      <c r="AJ845" s="20">
        <v>-16.13</v>
      </c>
      <c r="AM845" s="20">
        <v>433.0</v>
      </c>
      <c r="AN845" s="20" t="s">
        <v>14</v>
      </c>
      <c r="AO845" s="20">
        <v>-5.17</v>
      </c>
      <c r="AP845" s="20">
        <v>23.67</v>
      </c>
      <c r="AS845" s="20">
        <v>426.0</v>
      </c>
      <c r="AT845" s="20" t="s">
        <v>14</v>
      </c>
      <c r="AU845" s="20">
        <v>17.31</v>
      </c>
      <c r="AV845" s="20">
        <v>-33.04</v>
      </c>
      <c r="BE845" s="20">
        <v>843.0</v>
      </c>
      <c r="BF845" s="20" t="s">
        <v>14</v>
      </c>
      <c r="BG845" s="20">
        <v>55.2</v>
      </c>
      <c r="BH845" s="20">
        <v>-8.33</v>
      </c>
      <c r="BM845" s="20">
        <v>157.06</v>
      </c>
      <c r="BN845" s="20">
        <v>130.11</v>
      </c>
      <c r="BW845" s="20">
        <v>-31.18</v>
      </c>
      <c r="BX845" s="20">
        <v>-29.34</v>
      </c>
      <c r="BZ845" s="20">
        <v>-25.47</v>
      </c>
      <c r="CA845" s="20">
        <v>72.88</v>
      </c>
      <c r="CO845" s="20">
        <v>32.76</v>
      </c>
      <c r="CP845" s="20">
        <v>-49.37</v>
      </c>
    </row>
    <row r="846">
      <c r="A846" s="20">
        <v>-34.06</v>
      </c>
      <c r="B846" s="20">
        <v>56.18</v>
      </c>
      <c r="D846" s="20"/>
      <c r="E846" s="20"/>
      <c r="F846" s="20">
        <v>-13.76</v>
      </c>
      <c r="G846" s="20">
        <v>34.98</v>
      </c>
      <c r="I846" s="20"/>
      <c r="J846" s="20"/>
      <c r="K846" s="20">
        <v>422.0</v>
      </c>
      <c r="L846" s="20" t="s">
        <v>17</v>
      </c>
      <c r="M846" s="20">
        <v>-16.44</v>
      </c>
      <c r="N846" s="20">
        <v>39.55</v>
      </c>
      <c r="P846" s="20">
        <v>0.21</v>
      </c>
      <c r="Q846" s="20">
        <v>28.04</v>
      </c>
      <c r="AG846" s="20">
        <v>844.0</v>
      </c>
      <c r="AH846" s="20" t="s">
        <v>14</v>
      </c>
      <c r="AI846" s="20">
        <v>-57.78</v>
      </c>
      <c r="AJ846" s="20">
        <v>-49.26</v>
      </c>
      <c r="AM846" s="20">
        <v>433.0</v>
      </c>
      <c r="AN846" s="20" t="s">
        <v>17</v>
      </c>
      <c r="AO846" s="20">
        <v>-13.89</v>
      </c>
      <c r="AP846" s="20">
        <v>5.11</v>
      </c>
      <c r="AS846" s="20">
        <v>426.0</v>
      </c>
      <c r="AT846" s="20" t="s">
        <v>17</v>
      </c>
      <c r="AU846" s="20">
        <v>37.96</v>
      </c>
      <c r="AV846" s="20">
        <v>-46.77</v>
      </c>
      <c r="BE846" s="20">
        <v>844.0</v>
      </c>
      <c r="BF846" s="20" t="s">
        <v>14</v>
      </c>
      <c r="BG846" s="20">
        <v>24.9</v>
      </c>
      <c r="BH846" s="20">
        <v>17.39</v>
      </c>
      <c r="BM846" s="20">
        <v>172.86</v>
      </c>
      <c r="BN846" s="20">
        <v>104.87</v>
      </c>
      <c r="BW846" s="20">
        <v>7.15</v>
      </c>
      <c r="BX846" s="20">
        <v>-19.51</v>
      </c>
      <c r="BZ846" s="20">
        <v>-45.46</v>
      </c>
      <c r="CA846" s="20">
        <v>35.23</v>
      </c>
      <c r="CO846" s="20">
        <v>5.22</v>
      </c>
      <c r="CP846" s="20">
        <v>-63.96</v>
      </c>
    </row>
    <row r="847">
      <c r="A847" s="20">
        <v>-44.72</v>
      </c>
      <c r="B847" s="20">
        <v>3.4</v>
      </c>
      <c r="D847" s="20"/>
      <c r="E847" s="20"/>
      <c r="F847" s="20">
        <v>-29.43</v>
      </c>
      <c r="G847" s="20">
        <v>-3.89</v>
      </c>
      <c r="I847" s="20"/>
      <c r="J847" s="20"/>
      <c r="K847" s="20">
        <v>423.0</v>
      </c>
      <c r="L847" s="20" t="s">
        <v>14</v>
      </c>
      <c r="M847" s="20">
        <v>-27.82</v>
      </c>
      <c r="N847" s="20">
        <v>23.29</v>
      </c>
      <c r="P847" s="20">
        <v>19.18</v>
      </c>
      <c r="Q847" s="20">
        <v>14.02</v>
      </c>
      <c r="AG847" s="20">
        <v>845.0</v>
      </c>
      <c r="AH847" s="20" t="s">
        <v>14</v>
      </c>
      <c r="AI847" s="20">
        <v>-36.14</v>
      </c>
      <c r="AJ847" s="20">
        <v>-41.85</v>
      </c>
      <c r="AM847" s="20">
        <v>434.0</v>
      </c>
      <c r="AN847" s="20" t="s">
        <v>14</v>
      </c>
      <c r="AO847" s="20">
        <v>-10.35</v>
      </c>
      <c r="AP847" s="20">
        <v>-11.31</v>
      </c>
      <c r="AS847" s="20">
        <v>427.0</v>
      </c>
      <c r="AT847" s="20" t="s">
        <v>14</v>
      </c>
      <c r="AU847" s="20">
        <v>4.06</v>
      </c>
      <c r="AV847" s="20">
        <v>-37.03</v>
      </c>
      <c r="BE847" s="20">
        <v>845.0</v>
      </c>
      <c r="BF847" s="20" t="s">
        <v>14</v>
      </c>
      <c r="BG847" s="20">
        <v>-0.49</v>
      </c>
      <c r="BH847" s="20">
        <v>43.18</v>
      </c>
      <c r="BM847" s="20">
        <v>59.43</v>
      </c>
      <c r="BN847" s="20">
        <v>95.53</v>
      </c>
      <c r="BW847" s="20">
        <v>1.52</v>
      </c>
      <c r="BX847" s="20">
        <v>-26.34</v>
      </c>
      <c r="BZ847" s="20">
        <v>-31.06</v>
      </c>
      <c r="CA847" s="20">
        <v>87.23</v>
      </c>
      <c r="CO847" s="20">
        <v>51.43</v>
      </c>
      <c r="CP847" s="20">
        <v>-55.0</v>
      </c>
    </row>
    <row r="848">
      <c r="A848" s="20">
        <v>-20.13</v>
      </c>
      <c r="B848" s="20">
        <v>105.88</v>
      </c>
      <c r="D848" s="20"/>
      <c r="E848" s="20"/>
      <c r="F848" s="20">
        <v>2.44</v>
      </c>
      <c r="G848" s="20">
        <v>-47.05</v>
      </c>
      <c r="I848" s="20"/>
      <c r="J848" s="20"/>
      <c r="K848" s="20">
        <v>423.0</v>
      </c>
      <c r="L848" s="20" t="s">
        <v>17</v>
      </c>
      <c r="M848" s="20">
        <v>-21.15</v>
      </c>
      <c r="N848" s="20">
        <v>28.59</v>
      </c>
      <c r="P848" s="20">
        <v>-15.02</v>
      </c>
      <c r="Q848" s="20">
        <v>53.73</v>
      </c>
      <c r="AG848" s="20">
        <v>846.0</v>
      </c>
      <c r="AH848" s="20" t="s">
        <v>14</v>
      </c>
      <c r="AI848" s="20">
        <v>-7.8</v>
      </c>
      <c r="AJ848" s="20">
        <v>-33.9</v>
      </c>
      <c r="AM848" s="20">
        <v>434.0</v>
      </c>
      <c r="AN848" s="20" t="s">
        <v>17</v>
      </c>
      <c r="AO848" s="20">
        <v>28.02</v>
      </c>
      <c r="AP848" s="20">
        <v>7.89</v>
      </c>
      <c r="AS848" s="20">
        <v>427.0</v>
      </c>
      <c r="AT848" s="20" t="s">
        <v>17</v>
      </c>
      <c r="AU848" s="20">
        <v>52.52</v>
      </c>
      <c r="AV848" s="20">
        <v>-41.73</v>
      </c>
      <c r="BE848" s="20">
        <v>846.0</v>
      </c>
      <c r="BF848" s="20" t="s">
        <v>14</v>
      </c>
      <c r="BG848" s="20">
        <v>17.63</v>
      </c>
      <c r="BH848" s="20">
        <v>29.66</v>
      </c>
      <c r="BM848" s="20">
        <v>113.74</v>
      </c>
      <c r="BN848" s="20">
        <v>31.05</v>
      </c>
      <c r="BW848" s="20">
        <v>11.77</v>
      </c>
      <c r="BX848" s="20">
        <v>-26.63</v>
      </c>
      <c r="BZ848" s="20">
        <v>-58.84</v>
      </c>
      <c r="CA848" s="20">
        <v>112.6</v>
      </c>
      <c r="CO848" s="20">
        <v>-9.46</v>
      </c>
      <c r="CP848" s="20">
        <v>-52.46</v>
      </c>
    </row>
    <row r="849">
      <c r="A849" s="20">
        <v>-1.77</v>
      </c>
      <c r="B849" s="20">
        <v>93.65</v>
      </c>
      <c r="D849" s="20"/>
      <c r="E849" s="20"/>
      <c r="F849" s="20">
        <v>-13.47</v>
      </c>
      <c r="G849" s="20">
        <v>62.06</v>
      </c>
      <c r="I849" s="20"/>
      <c r="J849" s="20"/>
      <c r="K849" s="20">
        <v>424.0</v>
      </c>
      <c r="L849" s="20" t="s">
        <v>14</v>
      </c>
      <c r="M849" s="20">
        <v>-12.1</v>
      </c>
      <c r="N849" s="20">
        <v>41.0</v>
      </c>
      <c r="P849" s="20">
        <v>-5.64</v>
      </c>
      <c r="Q849" s="20">
        <v>54.35</v>
      </c>
      <c r="AG849" s="20">
        <v>847.0</v>
      </c>
      <c r="AH849" s="20" t="s">
        <v>14</v>
      </c>
      <c r="AI849" s="20">
        <v>-51.03</v>
      </c>
      <c r="AJ849" s="20">
        <v>-44.47</v>
      </c>
      <c r="AM849" s="20">
        <v>435.0</v>
      </c>
      <c r="AN849" s="20" t="s">
        <v>14</v>
      </c>
      <c r="AO849" s="20">
        <v>-29.57</v>
      </c>
      <c r="AP849" s="20">
        <v>-6.2</v>
      </c>
      <c r="AS849" s="20">
        <v>428.0</v>
      </c>
      <c r="AT849" s="20" t="s">
        <v>14</v>
      </c>
      <c r="AU849" s="20">
        <v>36.57</v>
      </c>
      <c r="AV849" s="20">
        <v>-35.38</v>
      </c>
      <c r="BE849" s="20">
        <v>847.0</v>
      </c>
      <c r="BF849" s="20" t="s">
        <v>14</v>
      </c>
      <c r="BG849" s="20">
        <v>-5.74</v>
      </c>
      <c r="BH849" s="20">
        <v>-27.4</v>
      </c>
      <c r="BM849" s="20">
        <v>131.73</v>
      </c>
      <c r="BN849" s="20">
        <v>163.18</v>
      </c>
      <c r="BW849" s="20">
        <v>-38.88</v>
      </c>
      <c r="BX849" s="20">
        <v>-12.02</v>
      </c>
      <c r="BZ849" s="20">
        <v>-42.97</v>
      </c>
      <c r="CA849" s="20">
        <v>47.21</v>
      </c>
      <c r="CO849" s="20">
        <v>2.65</v>
      </c>
      <c r="CP849" s="20">
        <v>-59.37</v>
      </c>
    </row>
    <row r="850">
      <c r="A850" s="20">
        <v>-29.78</v>
      </c>
      <c r="B850" s="20">
        <v>9.29</v>
      </c>
      <c r="D850" s="20"/>
      <c r="E850" s="20"/>
      <c r="F850" s="20">
        <v>-31.94</v>
      </c>
      <c r="G850" s="20">
        <v>19.08</v>
      </c>
      <c r="I850" s="20"/>
      <c r="J850" s="20"/>
      <c r="K850" s="20">
        <v>424.0</v>
      </c>
      <c r="L850" s="20" t="s">
        <v>17</v>
      </c>
      <c r="M850" s="20">
        <v>-0.58</v>
      </c>
      <c r="N850" s="20">
        <v>42.24</v>
      </c>
      <c r="P850" s="20">
        <v>-0.41</v>
      </c>
      <c r="Q850" s="20">
        <v>27.92</v>
      </c>
      <c r="AG850" s="20">
        <v>848.0</v>
      </c>
      <c r="AH850" s="20" t="s">
        <v>14</v>
      </c>
      <c r="AI850" s="20">
        <v>-72.68</v>
      </c>
      <c r="AJ850" s="20">
        <v>-41.7</v>
      </c>
      <c r="AM850" s="20">
        <v>435.0</v>
      </c>
      <c r="AN850" s="20" t="s">
        <v>17</v>
      </c>
      <c r="AO850" s="20">
        <v>84.78</v>
      </c>
      <c r="AP850" s="20">
        <v>-49.85</v>
      </c>
      <c r="AS850" s="20">
        <v>428.0</v>
      </c>
      <c r="AT850" s="20" t="s">
        <v>17</v>
      </c>
      <c r="AU850" s="20">
        <v>4.05</v>
      </c>
      <c r="AV850" s="20">
        <v>-26.97</v>
      </c>
      <c r="BE850" s="20">
        <v>848.0</v>
      </c>
      <c r="BF850" s="20" t="s">
        <v>14</v>
      </c>
      <c r="BG850" s="20">
        <v>42.57</v>
      </c>
      <c r="BH850" s="20">
        <v>-9.66</v>
      </c>
      <c r="BM850" s="20">
        <v>180.63</v>
      </c>
      <c r="BN850" s="20">
        <v>106.87</v>
      </c>
      <c r="BW850" s="20">
        <v>-47.62</v>
      </c>
      <c r="BX850" s="20">
        <v>-29.83</v>
      </c>
      <c r="BZ850" s="20">
        <v>-47.89</v>
      </c>
      <c r="CA850" s="20">
        <v>118.66</v>
      </c>
      <c r="CO850" s="20">
        <v>44.98</v>
      </c>
      <c r="CP850" s="20">
        <v>-39.7</v>
      </c>
    </row>
    <row r="851">
      <c r="A851" s="20">
        <v>-29.14</v>
      </c>
      <c r="B851" s="20">
        <v>122.71</v>
      </c>
      <c r="D851" s="20"/>
      <c r="E851" s="20"/>
      <c r="F851" s="20">
        <v>-23.57</v>
      </c>
      <c r="G851" s="20">
        <v>37.46</v>
      </c>
      <c r="I851" s="20"/>
      <c r="J851" s="20"/>
      <c r="K851" s="20">
        <v>425.0</v>
      </c>
      <c r="L851" s="20" t="s">
        <v>14</v>
      </c>
      <c r="M851" s="20">
        <v>-6.12</v>
      </c>
      <c r="N851" s="20">
        <v>17.86</v>
      </c>
      <c r="P851" s="20">
        <v>36.86</v>
      </c>
      <c r="Q851" s="20">
        <v>153.59</v>
      </c>
      <c r="AG851" s="20">
        <v>849.0</v>
      </c>
      <c r="AH851" s="20" t="s">
        <v>14</v>
      </c>
      <c r="AI851" s="20">
        <v>-21.16</v>
      </c>
      <c r="AJ851" s="20">
        <v>-8.15</v>
      </c>
      <c r="AM851" s="20">
        <v>436.0</v>
      </c>
      <c r="AN851" s="20" t="s">
        <v>14</v>
      </c>
      <c r="AO851" s="20">
        <v>34.14</v>
      </c>
      <c r="AP851" s="20">
        <v>5.67</v>
      </c>
      <c r="AS851" s="20">
        <v>429.0</v>
      </c>
      <c r="AT851" s="20" t="s">
        <v>14</v>
      </c>
      <c r="AU851" s="20">
        <v>-0.75</v>
      </c>
      <c r="AV851" s="20">
        <v>-32.83</v>
      </c>
      <c r="BE851" s="20">
        <v>849.0</v>
      </c>
      <c r="BF851" s="20" t="s">
        <v>14</v>
      </c>
      <c r="BG851" s="20">
        <v>55.12</v>
      </c>
      <c r="BH851" s="20">
        <v>8.19</v>
      </c>
      <c r="BM851" s="20">
        <v>19.41</v>
      </c>
      <c r="BN851" s="20">
        <v>152.52</v>
      </c>
      <c r="BW851" s="20">
        <v>-1.28</v>
      </c>
      <c r="BX851" s="20">
        <v>-17.49</v>
      </c>
      <c r="BZ851" s="20">
        <v>-45.09</v>
      </c>
      <c r="CA851" s="20">
        <v>59.96</v>
      </c>
      <c r="CO851" s="20">
        <v>15.63</v>
      </c>
      <c r="CP851" s="20">
        <v>-51.15</v>
      </c>
    </row>
    <row r="852">
      <c r="A852" s="20">
        <v>-15.77</v>
      </c>
      <c r="B852" s="20">
        <v>106.38</v>
      </c>
      <c r="D852" s="20"/>
      <c r="E852" s="20"/>
      <c r="F852" s="20">
        <v>-31.96</v>
      </c>
      <c r="G852" s="20">
        <v>5.99</v>
      </c>
      <c r="I852" s="20"/>
      <c r="J852" s="20"/>
      <c r="K852" s="20">
        <v>425.0</v>
      </c>
      <c r="L852" s="20" t="s">
        <v>17</v>
      </c>
      <c r="M852" s="20">
        <v>-26.86</v>
      </c>
      <c r="N852" s="20">
        <v>-30.23</v>
      </c>
      <c r="P852" s="20">
        <v>27.46</v>
      </c>
      <c r="Q852" s="20">
        <v>189.0</v>
      </c>
      <c r="AG852" s="20">
        <v>850.0</v>
      </c>
      <c r="AH852" s="20" t="s">
        <v>14</v>
      </c>
      <c r="AI852" s="20">
        <v>-74.73</v>
      </c>
      <c r="AJ852" s="20">
        <v>-64.79</v>
      </c>
      <c r="AM852" s="20">
        <v>436.0</v>
      </c>
      <c r="AN852" s="20" t="s">
        <v>17</v>
      </c>
      <c r="AO852" s="20">
        <v>47.62</v>
      </c>
      <c r="AP852" s="20">
        <v>-3.08</v>
      </c>
      <c r="AS852" s="20">
        <v>429.0</v>
      </c>
      <c r="AT852" s="20" t="s">
        <v>17</v>
      </c>
      <c r="AU852" s="20">
        <v>-24.42</v>
      </c>
      <c r="AV852" s="20">
        <v>-18.11</v>
      </c>
      <c r="BE852" s="20">
        <v>850.0</v>
      </c>
      <c r="BF852" s="20" t="s">
        <v>14</v>
      </c>
      <c r="BG852" s="20">
        <v>40.23</v>
      </c>
      <c r="BH852" s="20">
        <v>65.67</v>
      </c>
      <c r="BM852" s="20">
        <v>22.67</v>
      </c>
      <c r="BN852" s="20">
        <v>89.84</v>
      </c>
      <c r="BW852" s="20">
        <v>-52.96</v>
      </c>
      <c r="BX852" s="20">
        <v>-12.6</v>
      </c>
      <c r="BZ852" s="20">
        <v>-25.18</v>
      </c>
      <c r="CA852" s="20">
        <v>114.04</v>
      </c>
      <c r="CO852" s="20">
        <v>-1.99</v>
      </c>
      <c r="CP852" s="20">
        <v>-56.04</v>
      </c>
    </row>
    <row r="853">
      <c r="A853" s="20">
        <v>-15.25</v>
      </c>
      <c r="B853" s="20">
        <v>41.72</v>
      </c>
      <c r="D853" s="20"/>
      <c r="E853" s="20"/>
      <c r="F853" s="20">
        <v>-40.51</v>
      </c>
      <c r="G853" s="20">
        <v>-6.24</v>
      </c>
      <c r="I853" s="20"/>
      <c r="J853" s="20"/>
      <c r="K853" s="20">
        <v>426.0</v>
      </c>
      <c r="L853" s="20" t="s">
        <v>14</v>
      </c>
      <c r="M853" s="20">
        <v>-0.45</v>
      </c>
      <c r="N853" s="20">
        <v>-4.14</v>
      </c>
      <c r="P853" s="20">
        <v>-17.72</v>
      </c>
      <c r="Q853" s="20">
        <v>-4.14</v>
      </c>
      <c r="AG853" s="20">
        <v>851.0</v>
      </c>
      <c r="AH853" s="20" t="s">
        <v>14</v>
      </c>
      <c r="AI853" s="20">
        <v>-39.73</v>
      </c>
      <c r="AJ853" s="20">
        <v>-46.29</v>
      </c>
      <c r="AM853" s="20">
        <v>437.0</v>
      </c>
      <c r="AN853" s="20" t="s">
        <v>14</v>
      </c>
      <c r="AO853" s="20">
        <v>-0.55</v>
      </c>
      <c r="AP853" s="20">
        <v>-12.79</v>
      </c>
      <c r="AS853" s="20">
        <v>430.0</v>
      </c>
      <c r="AT853" s="20" t="s">
        <v>14</v>
      </c>
      <c r="AU853" s="20">
        <v>2.12</v>
      </c>
      <c r="AV853" s="20">
        <v>-17.48</v>
      </c>
      <c r="BE853" s="20">
        <v>851.0</v>
      </c>
      <c r="BF853" s="20" t="s">
        <v>14</v>
      </c>
      <c r="BG853" s="20">
        <v>88.6</v>
      </c>
      <c r="BH853" s="20">
        <v>62.01</v>
      </c>
      <c r="BM853" s="20">
        <v>68.96</v>
      </c>
      <c r="BN853" s="20">
        <v>97.74</v>
      </c>
      <c r="BW853" s="20">
        <v>12.78</v>
      </c>
      <c r="BX853" s="20">
        <v>-23.57</v>
      </c>
      <c r="BZ853" s="20">
        <v>-39.11</v>
      </c>
      <c r="CA853" s="20">
        <v>58.42</v>
      </c>
      <c r="CO853" s="20">
        <v>-21.11</v>
      </c>
      <c r="CP853" s="20">
        <v>-48.97</v>
      </c>
    </row>
    <row r="854">
      <c r="A854" s="20">
        <v>23.14</v>
      </c>
      <c r="B854" s="20">
        <v>69.76</v>
      </c>
      <c r="D854" s="20"/>
      <c r="E854" s="20"/>
      <c r="F854" s="20">
        <v>-56.42</v>
      </c>
      <c r="G854" s="20">
        <v>-34.36</v>
      </c>
      <c r="I854" s="20"/>
      <c r="J854" s="20"/>
      <c r="K854" s="20">
        <v>426.0</v>
      </c>
      <c r="L854" s="20" t="s">
        <v>17</v>
      </c>
      <c r="M854" s="20">
        <v>10.81</v>
      </c>
      <c r="N854" s="20">
        <v>34.75</v>
      </c>
      <c r="P854" s="20">
        <v>-36.57</v>
      </c>
      <c r="Q854" s="20">
        <v>-7.0</v>
      </c>
      <c r="AG854" s="20">
        <v>852.0</v>
      </c>
      <c r="AH854" s="20" t="s">
        <v>14</v>
      </c>
      <c r="AI854" s="20">
        <v>-21.44</v>
      </c>
      <c r="AJ854" s="20">
        <v>-40.52</v>
      </c>
      <c r="AM854" s="20">
        <v>437.0</v>
      </c>
      <c r="AN854" s="20" t="s">
        <v>17</v>
      </c>
      <c r="AO854" s="20">
        <v>-21.05</v>
      </c>
      <c r="AP854" s="20">
        <v>-35.87</v>
      </c>
      <c r="AS854" s="20">
        <v>430.0</v>
      </c>
      <c r="AT854" s="20" t="s">
        <v>17</v>
      </c>
      <c r="AU854" s="20">
        <v>-21.12</v>
      </c>
      <c r="AV854" s="20">
        <v>-31.54</v>
      </c>
      <c r="BE854" s="20">
        <v>852.0</v>
      </c>
      <c r="BF854" s="20" t="s">
        <v>14</v>
      </c>
      <c r="BG854" s="20">
        <v>28.7</v>
      </c>
      <c r="BH854" s="20">
        <v>30.69</v>
      </c>
      <c r="BM854" s="20">
        <v>216.69</v>
      </c>
      <c r="BN854" s="20">
        <v>53.42</v>
      </c>
      <c r="BW854" s="20">
        <v>-12.41</v>
      </c>
      <c r="BX854" s="20">
        <v>-20.91</v>
      </c>
      <c r="BZ854" s="20">
        <v>-52.46</v>
      </c>
      <c r="CA854" s="20">
        <v>20.99</v>
      </c>
      <c r="CO854" s="20">
        <v>-25.75</v>
      </c>
      <c r="CP854" s="20">
        <v>-61.61</v>
      </c>
    </row>
    <row r="855">
      <c r="A855" s="20">
        <v>24.63</v>
      </c>
      <c r="B855" s="20">
        <v>11.62</v>
      </c>
      <c r="D855" s="20"/>
      <c r="E855" s="20"/>
      <c r="F855" s="20">
        <v>-25.32</v>
      </c>
      <c r="G855" s="20">
        <v>67.16</v>
      </c>
      <c r="I855" s="20"/>
      <c r="J855" s="20"/>
      <c r="K855" s="20">
        <v>427.0</v>
      </c>
      <c r="L855" s="20" t="s">
        <v>14</v>
      </c>
      <c r="M855" s="20">
        <v>-36.37</v>
      </c>
      <c r="N855" s="20">
        <v>-18.32</v>
      </c>
      <c r="P855" s="20">
        <v>-33.96</v>
      </c>
      <c r="Q855" s="20">
        <v>-46.5</v>
      </c>
      <c r="AG855" s="20">
        <v>853.0</v>
      </c>
      <c r="AH855" s="20" t="s">
        <v>14</v>
      </c>
      <c r="AI855" s="20">
        <v>-49.02</v>
      </c>
      <c r="AJ855" s="20">
        <v>-47.49</v>
      </c>
      <c r="AM855" s="20">
        <v>438.0</v>
      </c>
      <c r="AN855" s="20" t="s">
        <v>14</v>
      </c>
      <c r="AO855" s="20">
        <v>-24.31</v>
      </c>
      <c r="AP855" s="20">
        <v>-2.71</v>
      </c>
      <c r="AS855" s="20">
        <v>431.0</v>
      </c>
      <c r="AT855" s="20" t="s">
        <v>14</v>
      </c>
      <c r="AU855" s="20">
        <v>-4.66</v>
      </c>
      <c r="AV855" s="20">
        <v>-34.08</v>
      </c>
      <c r="BE855" s="20">
        <v>853.0</v>
      </c>
      <c r="BF855" s="20" t="s">
        <v>14</v>
      </c>
      <c r="BG855" s="20">
        <v>28.55</v>
      </c>
      <c r="BH855" s="20">
        <v>18.65</v>
      </c>
      <c r="BM855" s="20">
        <v>12.74</v>
      </c>
      <c r="BN855" s="20">
        <v>114.73</v>
      </c>
      <c r="BW855" s="20">
        <v>-15.94</v>
      </c>
      <c r="BX855" s="20">
        <v>-37.78</v>
      </c>
      <c r="BZ855" s="20">
        <v>-17.75</v>
      </c>
      <c r="CA855" s="20">
        <v>162.36</v>
      </c>
      <c r="CO855" s="20">
        <v>14.87</v>
      </c>
      <c r="CP855" s="20">
        <v>-45.56</v>
      </c>
    </row>
    <row r="856">
      <c r="A856" s="20">
        <v>-33.08</v>
      </c>
      <c r="B856" s="20">
        <v>-7.11</v>
      </c>
      <c r="D856" s="20"/>
      <c r="E856" s="20"/>
      <c r="F856" s="20">
        <v>-20.41</v>
      </c>
      <c r="G856" s="20">
        <v>-5.19</v>
      </c>
      <c r="I856" s="20"/>
      <c r="J856" s="20"/>
      <c r="K856" s="20">
        <v>427.0</v>
      </c>
      <c r="L856" s="20" t="s">
        <v>17</v>
      </c>
      <c r="M856" s="20">
        <v>-48.81</v>
      </c>
      <c r="N856" s="20">
        <v>-17.75</v>
      </c>
      <c r="P856" s="20">
        <v>-10.64</v>
      </c>
      <c r="Q856" s="20">
        <v>34.84</v>
      </c>
      <c r="AG856" s="20">
        <v>854.0</v>
      </c>
      <c r="AH856" s="20" t="s">
        <v>14</v>
      </c>
      <c r="AI856" s="20">
        <v>7.82</v>
      </c>
      <c r="AJ856" s="20">
        <v>7.85</v>
      </c>
      <c r="AM856" s="20">
        <v>438.0</v>
      </c>
      <c r="AN856" s="20" t="s">
        <v>17</v>
      </c>
      <c r="AO856" s="20">
        <v>-5.59</v>
      </c>
      <c r="AP856" s="20">
        <v>20.17</v>
      </c>
      <c r="AS856" s="20">
        <v>431.0</v>
      </c>
      <c r="AT856" s="20" t="s">
        <v>17</v>
      </c>
      <c r="AU856" s="20">
        <v>-32.08</v>
      </c>
      <c r="AV856" s="20">
        <v>-62.01</v>
      </c>
      <c r="BE856" s="20">
        <v>854.0</v>
      </c>
      <c r="BF856" s="20" t="s">
        <v>14</v>
      </c>
      <c r="BG856" s="20">
        <v>44.79</v>
      </c>
      <c r="BH856" s="20">
        <v>5.97</v>
      </c>
      <c r="BM856" s="20">
        <v>83.45</v>
      </c>
      <c r="BN856" s="20">
        <v>177.84</v>
      </c>
      <c r="BW856" s="20">
        <v>-42.11</v>
      </c>
      <c r="BX856" s="20">
        <v>-16.26</v>
      </c>
      <c r="BZ856" s="20">
        <v>-56.52</v>
      </c>
      <c r="CA856" s="20">
        <v>44.12</v>
      </c>
      <c r="CO856" s="20">
        <v>6.56</v>
      </c>
      <c r="CP856" s="20">
        <v>-39.69</v>
      </c>
    </row>
    <row r="857">
      <c r="A857" s="20">
        <v>-45.77</v>
      </c>
      <c r="B857" s="20">
        <v>-45.16</v>
      </c>
      <c r="D857" s="20"/>
      <c r="E857" s="20"/>
      <c r="F857" s="20">
        <v>-0.44</v>
      </c>
      <c r="G857" s="20">
        <v>36.54</v>
      </c>
      <c r="I857" s="20"/>
      <c r="J857" s="20"/>
      <c r="K857" s="20">
        <v>428.0</v>
      </c>
      <c r="L857" s="20" t="s">
        <v>14</v>
      </c>
      <c r="M857" s="20">
        <v>-4.09</v>
      </c>
      <c r="N857" s="20">
        <v>16.87</v>
      </c>
      <c r="P857" s="20">
        <v>-1.43</v>
      </c>
      <c r="Q857" s="20">
        <v>35.08</v>
      </c>
      <c r="AG857" s="20">
        <v>855.0</v>
      </c>
      <c r="AH857" s="20" t="s">
        <v>14</v>
      </c>
      <c r="AI857" s="20">
        <v>8.11</v>
      </c>
      <c r="AJ857" s="20">
        <v>10.01</v>
      </c>
      <c r="AM857" s="20">
        <v>439.0</v>
      </c>
      <c r="AN857" s="20" t="s">
        <v>14</v>
      </c>
      <c r="AO857" s="20">
        <v>41.34</v>
      </c>
      <c r="AP857" s="20">
        <v>4.78</v>
      </c>
      <c r="AS857" s="20">
        <v>432.0</v>
      </c>
      <c r="AT857" s="20" t="s">
        <v>14</v>
      </c>
      <c r="AU857" s="20">
        <v>-4.41</v>
      </c>
      <c r="AV857" s="20">
        <v>-17.58</v>
      </c>
      <c r="BE857" s="20">
        <v>855.0</v>
      </c>
      <c r="BF857" s="20" t="s">
        <v>14</v>
      </c>
      <c r="BG857" s="20">
        <v>-17.38</v>
      </c>
      <c r="BH857" s="20">
        <v>17.1</v>
      </c>
      <c r="BM857" s="20">
        <v>20.68</v>
      </c>
      <c r="BN857" s="20">
        <v>135.71</v>
      </c>
      <c r="BW857" s="20">
        <v>-19.93</v>
      </c>
      <c r="BX857" s="20">
        <v>-27.15</v>
      </c>
      <c r="BZ857" s="20">
        <v>-36.41</v>
      </c>
      <c r="CA857" s="20">
        <v>61.82</v>
      </c>
      <c r="CO857" s="20">
        <v>-28.37</v>
      </c>
      <c r="CP857" s="20">
        <v>-63.76</v>
      </c>
    </row>
    <row r="858">
      <c r="A858" s="20">
        <v>-0.28</v>
      </c>
      <c r="B858" s="20">
        <v>-15.45</v>
      </c>
      <c r="D858" s="20"/>
      <c r="E858" s="20"/>
      <c r="F858" s="20">
        <v>-39.64</v>
      </c>
      <c r="G858" s="20">
        <v>-2.58</v>
      </c>
      <c r="I858" s="20"/>
      <c r="J858" s="20"/>
      <c r="K858" s="20">
        <v>428.0</v>
      </c>
      <c r="L858" s="20" t="s">
        <v>17</v>
      </c>
      <c r="M858" s="20">
        <v>-10.46</v>
      </c>
      <c r="N858" s="20">
        <v>63.55</v>
      </c>
      <c r="P858" s="20">
        <v>-11.17</v>
      </c>
      <c r="Q858" s="20">
        <v>8.32</v>
      </c>
      <c r="AG858" s="20">
        <v>856.0</v>
      </c>
      <c r="AH858" s="20" t="s">
        <v>14</v>
      </c>
      <c r="AI858" s="20">
        <v>-53.55</v>
      </c>
      <c r="AJ858" s="20">
        <v>-51.33</v>
      </c>
      <c r="AM858" s="20">
        <v>439.0</v>
      </c>
      <c r="AN858" s="20" t="s">
        <v>17</v>
      </c>
      <c r="AO858" s="20">
        <v>12.73</v>
      </c>
      <c r="AP858" s="20">
        <v>5.17</v>
      </c>
      <c r="AS858" s="20">
        <v>432.0</v>
      </c>
      <c r="AT858" s="20" t="s">
        <v>17</v>
      </c>
      <c r="AU858" s="20">
        <v>27.08</v>
      </c>
      <c r="AV858" s="20">
        <v>-32.84</v>
      </c>
      <c r="BE858" s="20">
        <v>856.0</v>
      </c>
      <c r="BF858" s="20" t="s">
        <v>14</v>
      </c>
      <c r="BG858" s="20">
        <v>46.23</v>
      </c>
      <c r="BH858" s="20">
        <v>24.42</v>
      </c>
      <c r="BM858" s="20">
        <v>121.58</v>
      </c>
      <c r="BN858" s="20">
        <v>138.61</v>
      </c>
      <c r="BW858" s="20">
        <v>-24.41</v>
      </c>
      <c r="BX858" s="20">
        <v>-16.36</v>
      </c>
      <c r="BZ858" s="20">
        <v>-45.94</v>
      </c>
      <c r="CA858" s="20">
        <v>1.63</v>
      </c>
      <c r="CO858" s="20">
        <v>-13.9</v>
      </c>
      <c r="CP858" s="20">
        <v>-45.71</v>
      </c>
    </row>
    <row r="859">
      <c r="A859" s="20">
        <v>-59.59</v>
      </c>
      <c r="B859" s="20">
        <v>-17.34</v>
      </c>
      <c r="D859" s="20"/>
      <c r="E859" s="20"/>
      <c r="F859" s="20">
        <v>-36.48</v>
      </c>
      <c r="G859" s="20">
        <v>6.51</v>
      </c>
      <c r="I859" s="20"/>
      <c r="J859" s="20"/>
      <c r="K859" s="20">
        <v>429.0</v>
      </c>
      <c r="L859" s="20" t="s">
        <v>14</v>
      </c>
      <c r="M859" s="20">
        <v>-22.22</v>
      </c>
      <c r="N859" s="20">
        <v>3.72</v>
      </c>
      <c r="P859" s="20">
        <v>-17.04</v>
      </c>
      <c r="Q859" s="20">
        <v>16.26</v>
      </c>
      <c r="AG859" s="20">
        <v>857.0</v>
      </c>
      <c r="AH859" s="20" t="s">
        <v>14</v>
      </c>
      <c r="AI859" s="20">
        <v>-21.69</v>
      </c>
      <c r="AJ859" s="20">
        <v>-28.63</v>
      </c>
      <c r="AM859" s="20">
        <v>440.0</v>
      </c>
      <c r="AN859" s="20" t="s">
        <v>14</v>
      </c>
      <c r="AO859" s="20">
        <v>-27.46</v>
      </c>
      <c r="AP859" s="20">
        <v>-1.34</v>
      </c>
      <c r="AS859" s="20">
        <v>433.0</v>
      </c>
      <c r="AT859" s="20" t="s">
        <v>14</v>
      </c>
      <c r="AU859" s="20">
        <v>5.68</v>
      </c>
      <c r="AV859" s="20">
        <v>-48.68</v>
      </c>
      <c r="BE859" s="20">
        <v>857.0</v>
      </c>
      <c r="BF859" s="20" t="s">
        <v>14</v>
      </c>
      <c r="BG859" s="20">
        <v>50.58</v>
      </c>
      <c r="BH859" s="20">
        <v>27.46</v>
      </c>
      <c r="BM859" s="20">
        <v>-2.3</v>
      </c>
      <c r="BN859" s="20">
        <v>105.81</v>
      </c>
      <c r="BW859" s="20">
        <v>-29.54</v>
      </c>
      <c r="BX859" s="20">
        <v>10.67</v>
      </c>
      <c r="BZ859" s="20">
        <v>0.68</v>
      </c>
      <c r="CA859" s="20">
        <v>16.55</v>
      </c>
      <c r="CO859" s="20">
        <v>-16.03</v>
      </c>
      <c r="CP859" s="20">
        <v>-47.95</v>
      </c>
    </row>
    <row r="860">
      <c r="A860" s="20">
        <v>-46.66</v>
      </c>
      <c r="B860" s="20">
        <v>-13.1</v>
      </c>
      <c r="D860" s="20"/>
      <c r="E860" s="20"/>
      <c r="F860" s="20">
        <v>-2.46</v>
      </c>
      <c r="G860" s="20">
        <v>4.33</v>
      </c>
      <c r="I860" s="20"/>
      <c r="J860" s="20"/>
      <c r="K860" s="20">
        <v>429.0</v>
      </c>
      <c r="L860" s="20" t="s">
        <v>17</v>
      </c>
      <c r="M860" s="20">
        <v>-42.12</v>
      </c>
      <c r="N860" s="20">
        <v>-23.99</v>
      </c>
      <c r="P860" s="20">
        <v>-23.96</v>
      </c>
      <c r="Q860" s="20">
        <v>19.27</v>
      </c>
      <c r="AG860" s="20">
        <v>858.0</v>
      </c>
      <c r="AH860" s="20" t="s">
        <v>14</v>
      </c>
      <c r="AI860" s="20">
        <v>-15.31</v>
      </c>
      <c r="AJ860" s="20">
        <v>-44.54</v>
      </c>
      <c r="AM860" s="20">
        <v>440.0</v>
      </c>
      <c r="AN860" s="20" t="s">
        <v>17</v>
      </c>
      <c r="AO860" s="20">
        <v>-19.71</v>
      </c>
      <c r="AP860" s="20">
        <v>-30.17</v>
      </c>
      <c r="AS860" s="20">
        <v>433.0</v>
      </c>
      <c r="AT860" s="20" t="s">
        <v>17</v>
      </c>
      <c r="AU860" s="20">
        <v>9.42</v>
      </c>
      <c r="AV860" s="20">
        <v>-51.9</v>
      </c>
      <c r="BE860" s="20">
        <v>858.0</v>
      </c>
      <c r="BF860" s="20" t="s">
        <v>14</v>
      </c>
      <c r="BG860" s="20">
        <v>20.81</v>
      </c>
      <c r="BH860" s="20">
        <v>47.2</v>
      </c>
      <c r="BM860" s="20">
        <v>34.66</v>
      </c>
      <c r="BN860" s="20">
        <v>138.57</v>
      </c>
      <c r="BW860" s="20">
        <v>-38.22</v>
      </c>
      <c r="BX860" s="20">
        <v>-38.45</v>
      </c>
      <c r="BZ860" s="20">
        <v>-21.95</v>
      </c>
      <c r="CA860" s="20">
        <v>0.91</v>
      </c>
      <c r="CO860" s="20">
        <v>-32.53</v>
      </c>
      <c r="CP860" s="20">
        <v>-51.3</v>
      </c>
    </row>
    <row r="861">
      <c r="A861" s="20">
        <v>-45.12</v>
      </c>
      <c r="B861" s="20">
        <v>-17.94</v>
      </c>
      <c r="D861" s="20"/>
      <c r="E861" s="20"/>
      <c r="F861" s="20">
        <v>-8.85</v>
      </c>
      <c r="G861" s="20">
        <v>5.29</v>
      </c>
      <c r="I861" s="20"/>
      <c r="J861" s="20"/>
      <c r="K861" s="20">
        <v>430.0</v>
      </c>
      <c r="L861" s="20" t="s">
        <v>14</v>
      </c>
      <c r="M861" s="20">
        <v>-3.49</v>
      </c>
      <c r="N861" s="20">
        <v>17.08</v>
      </c>
      <c r="P861" s="20">
        <v>-5.2</v>
      </c>
      <c r="Q861" s="20">
        <v>21.09</v>
      </c>
      <c r="AG861" s="20">
        <v>859.0</v>
      </c>
      <c r="AH861" s="20" t="s">
        <v>14</v>
      </c>
      <c r="AI861" s="20">
        <v>-44.57</v>
      </c>
      <c r="AJ861" s="20">
        <v>-52.91</v>
      </c>
      <c r="AM861" s="20">
        <v>441.0</v>
      </c>
      <c r="AN861" s="20" t="s">
        <v>14</v>
      </c>
      <c r="AO861" s="20">
        <v>27.67</v>
      </c>
      <c r="AP861" s="20">
        <v>-22.57</v>
      </c>
      <c r="AS861" s="20">
        <v>434.0</v>
      </c>
      <c r="AT861" s="20" t="s">
        <v>14</v>
      </c>
      <c r="AU861" s="20">
        <v>25.83</v>
      </c>
      <c r="AV861" s="20">
        <v>-38.48</v>
      </c>
      <c r="BE861" s="20">
        <v>859.0</v>
      </c>
      <c r="BF861" s="20" t="s">
        <v>14</v>
      </c>
      <c r="BG861" s="20">
        <v>14.5</v>
      </c>
      <c r="BH861" s="20">
        <v>32.92</v>
      </c>
      <c r="BM861" s="20">
        <v>138.6</v>
      </c>
      <c r="BN861" s="20">
        <v>71.35</v>
      </c>
      <c r="BW861" s="20">
        <v>-9.0</v>
      </c>
      <c r="BX861" s="20">
        <v>-30.35</v>
      </c>
      <c r="BZ861" s="20">
        <v>-18.03</v>
      </c>
      <c r="CA861" s="20">
        <v>78.05</v>
      </c>
      <c r="CO861" s="20">
        <v>-2.51</v>
      </c>
      <c r="CP861" s="20">
        <v>-39.32</v>
      </c>
    </row>
    <row r="862">
      <c r="A862" s="20">
        <v>-36.37</v>
      </c>
      <c r="B862" s="20">
        <v>-59.94</v>
      </c>
      <c r="D862" s="20"/>
      <c r="E862" s="20"/>
      <c r="F862" s="20">
        <v>5.85</v>
      </c>
      <c r="G862" s="20">
        <v>18.79</v>
      </c>
      <c r="I862" s="20"/>
      <c r="J862" s="20"/>
      <c r="K862" s="20">
        <v>430.0</v>
      </c>
      <c r="L862" s="20" t="s">
        <v>17</v>
      </c>
      <c r="M862" s="20">
        <v>-29.99</v>
      </c>
      <c r="N862" s="20">
        <v>-4.04</v>
      </c>
      <c r="P862" s="20">
        <v>7.39</v>
      </c>
      <c r="Q862" s="20">
        <v>26.15</v>
      </c>
      <c r="AG862" s="20">
        <v>860.0</v>
      </c>
      <c r="AH862" s="20" t="s">
        <v>14</v>
      </c>
      <c r="AI862" s="20">
        <v>-27.49</v>
      </c>
      <c r="AJ862" s="20">
        <v>-1.09</v>
      </c>
      <c r="AM862" s="20">
        <v>441.0</v>
      </c>
      <c r="AN862" s="20" t="s">
        <v>17</v>
      </c>
      <c r="AO862" s="20">
        <v>12.5</v>
      </c>
      <c r="AP862" s="20">
        <v>-12.16</v>
      </c>
      <c r="AS862" s="20">
        <v>434.0</v>
      </c>
      <c r="AT862" s="20" t="s">
        <v>17</v>
      </c>
      <c r="AU862" s="20">
        <v>1.57</v>
      </c>
      <c r="AV862" s="20">
        <v>-27.35</v>
      </c>
      <c r="BE862" s="20">
        <v>860.0</v>
      </c>
      <c r="BF862" s="20" t="s">
        <v>14</v>
      </c>
      <c r="BG862" s="20">
        <v>-12.11</v>
      </c>
      <c r="BH862" s="20">
        <v>31.47</v>
      </c>
      <c r="BM862" s="20">
        <v>48.21</v>
      </c>
      <c r="BN862" s="20">
        <v>214.31</v>
      </c>
      <c r="BW862" s="20">
        <v>-44.6</v>
      </c>
      <c r="BX862" s="20">
        <v>-28.63</v>
      </c>
      <c r="BZ862" s="20">
        <v>-45.23</v>
      </c>
      <c r="CA862" s="20">
        <v>-10.97</v>
      </c>
      <c r="CO862" s="20">
        <v>16.81</v>
      </c>
      <c r="CP862" s="20">
        <v>-25.3</v>
      </c>
    </row>
    <row r="863">
      <c r="A863" s="20">
        <v>-4.05</v>
      </c>
      <c r="B863" s="20">
        <v>55.93</v>
      </c>
      <c r="D863" s="20"/>
      <c r="E863" s="20"/>
      <c r="F863" s="20">
        <v>-16.25</v>
      </c>
      <c r="G863" s="20">
        <v>-3.11</v>
      </c>
      <c r="I863" s="20"/>
      <c r="J863" s="20"/>
      <c r="K863" s="20">
        <v>431.0</v>
      </c>
      <c r="L863" s="20" t="s">
        <v>14</v>
      </c>
      <c r="M863" s="20">
        <v>-37.73</v>
      </c>
      <c r="N863" s="20">
        <v>-5.29</v>
      </c>
      <c r="P863" s="20">
        <v>-11.89</v>
      </c>
      <c r="Q863" s="20">
        <v>8.27</v>
      </c>
      <c r="AG863" s="20">
        <v>861.0</v>
      </c>
      <c r="AH863" s="20" t="s">
        <v>14</v>
      </c>
      <c r="AI863" s="20">
        <v>-15.38</v>
      </c>
      <c r="AJ863" s="20">
        <v>-26.72</v>
      </c>
      <c r="AM863" s="20">
        <v>442.0</v>
      </c>
      <c r="AN863" s="20" t="s">
        <v>14</v>
      </c>
      <c r="AO863" s="20">
        <v>-18.3</v>
      </c>
      <c r="AP863" s="20">
        <v>25.31</v>
      </c>
      <c r="AS863" s="20">
        <v>435.0</v>
      </c>
      <c r="AT863" s="20" t="s">
        <v>14</v>
      </c>
      <c r="AU863" s="20">
        <v>9.6</v>
      </c>
      <c r="AV863" s="20">
        <v>-45.76</v>
      </c>
      <c r="BE863" s="20">
        <v>861.0</v>
      </c>
      <c r="BF863" s="20" t="s">
        <v>14</v>
      </c>
      <c r="BG863" s="20">
        <v>-18.43</v>
      </c>
      <c r="BH863" s="20">
        <v>33.79</v>
      </c>
      <c r="BM863" s="20">
        <v>57.9</v>
      </c>
      <c r="BN863" s="20">
        <v>98.63</v>
      </c>
      <c r="BW863" s="20">
        <v>-44.67</v>
      </c>
      <c r="BX863" s="20">
        <v>-19.76</v>
      </c>
      <c r="BZ863" s="20">
        <v>-52.48</v>
      </c>
      <c r="CA863" s="20">
        <v>0.26</v>
      </c>
      <c r="CO863" s="20">
        <v>-47.27</v>
      </c>
      <c r="CP863" s="20">
        <v>-62.81</v>
      </c>
    </row>
    <row r="864">
      <c r="A864" s="20">
        <v>-42.87</v>
      </c>
      <c r="B864" s="20">
        <v>-51.64</v>
      </c>
      <c r="D864" s="20"/>
      <c r="E864" s="20"/>
      <c r="F864" s="20">
        <v>-24.6</v>
      </c>
      <c r="G864" s="20">
        <v>60.52</v>
      </c>
      <c r="I864" s="20"/>
      <c r="J864" s="20"/>
      <c r="K864" s="20">
        <v>431.0</v>
      </c>
      <c r="L864" s="20" t="s">
        <v>17</v>
      </c>
      <c r="M864" s="20">
        <v>-45.62</v>
      </c>
      <c r="N864" s="20">
        <v>-12.31</v>
      </c>
      <c r="P864" s="20">
        <v>26.38</v>
      </c>
      <c r="Q864" s="20">
        <v>20.12</v>
      </c>
      <c r="AG864" s="20">
        <v>862.0</v>
      </c>
      <c r="AH864" s="20" t="s">
        <v>14</v>
      </c>
      <c r="AI864" s="20">
        <v>-48.73</v>
      </c>
      <c r="AJ864" s="20">
        <v>-57.77</v>
      </c>
      <c r="AM864" s="20">
        <v>442.0</v>
      </c>
      <c r="AN864" s="20" t="s">
        <v>17</v>
      </c>
      <c r="AO864" s="20">
        <v>-21.79</v>
      </c>
      <c r="AP864" s="20">
        <v>20.7</v>
      </c>
      <c r="AS864" s="20">
        <v>435.0</v>
      </c>
      <c r="AT864" s="20" t="s">
        <v>17</v>
      </c>
      <c r="AU864" s="20">
        <v>178.26</v>
      </c>
      <c r="AV864" s="20">
        <v>-32.96</v>
      </c>
      <c r="BE864" s="20">
        <v>862.0</v>
      </c>
      <c r="BF864" s="20" t="s">
        <v>14</v>
      </c>
      <c r="BG864" s="20">
        <v>7.25</v>
      </c>
      <c r="BH864" s="20">
        <v>9.66</v>
      </c>
      <c r="BM864" s="20">
        <v>5.65</v>
      </c>
      <c r="BN864" s="20">
        <v>116.6</v>
      </c>
      <c r="BW864" s="20">
        <v>-15.65</v>
      </c>
      <c r="BX864" s="20">
        <v>-16.33</v>
      </c>
      <c r="BZ864" s="20">
        <v>-63.21</v>
      </c>
      <c r="CA864" s="20">
        <v>75.4</v>
      </c>
      <c r="CO864" s="20">
        <v>-10.36</v>
      </c>
      <c r="CP864" s="20">
        <v>-33.48</v>
      </c>
    </row>
    <row r="865">
      <c r="A865" s="20">
        <v>-30.41</v>
      </c>
      <c r="B865" s="20">
        <v>-33.7</v>
      </c>
      <c r="D865" s="20"/>
      <c r="E865" s="20"/>
      <c r="F865" s="20">
        <v>-33.0</v>
      </c>
      <c r="G865" s="20">
        <v>39.03</v>
      </c>
      <c r="I865" s="20"/>
      <c r="J865" s="20"/>
      <c r="K865" s="20">
        <v>432.0</v>
      </c>
      <c r="L865" s="20" t="s">
        <v>14</v>
      </c>
      <c r="M865" s="20">
        <v>0.27</v>
      </c>
      <c r="N865" s="20">
        <v>25.53</v>
      </c>
      <c r="P865" s="20">
        <v>-39.66</v>
      </c>
      <c r="Q865" s="20">
        <v>10.21</v>
      </c>
      <c r="AG865" s="20">
        <v>863.0</v>
      </c>
      <c r="AH865" s="20" t="s">
        <v>14</v>
      </c>
      <c r="AI865" s="20">
        <v>-10.85</v>
      </c>
      <c r="AJ865" s="20">
        <v>-28.86</v>
      </c>
      <c r="AM865" s="20">
        <v>443.0</v>
      </c>
      <c r="AN865" s="20" t="s">
        <v>14</v>
      </c>
      <c r="AO865" s="20">
        <v>-9.75</v>
      </c>
      <c r="AP865" s="20">
        <v>-8.88</v>
      </c>
      <c r="AS865" s="20">
        <v>436.0</v>
      </c>
      <c r="AT865" s="20" t="s">
        <v>14</v>
      </c>
      <c r="AU865" s="20">
        <v>4.91</v>
      </c>
      <c r="AV865" s="20">
        <v>-18.7</v>
      </c>
      <c r="BE865" s="20">
        <v>863.0</v>
      </c>
      <c r="BF865" s="20" t="s">
        <v>14</v>
      </c>
      <c r="BG865" s="20">
        <v>5.81</v>
      </c>
      <c r="BH865" s="20">
        <v>4.78</v>
      </c>
      <c r="BM865" s="20">
        <v>55.76</v>
      </c>
      <c r="BN865" s="20">
        <v>115.65</v>
      </c>
      <c r="BW865" s="20">
        <v>-36.59</v>
      </c>
      <c r="BX865" s="20">
        <v>-50.42</v>
      </c>
      <c r="BZ865" s="20">
        <v>53.72</v>
      </c>
      <c r="CA865" s="20">
        <v>198.11</v>
      </c>
      <c r="CO865" s="20">
        <v>-26.3</v>
      </c>
      <c r="CP865" s="20">
        <v>-62.45</v>
      </c>
    </row>
    <row r="866">
      <c r="A866" s="20">
        <v>-6.76</v>
      </c>
      <c r="B866" s="20">
        <v>37.31</v>
      </c>
      <c r="D866" s="20"/>
      <c r="E866" s="20"/>
      <c r="F866" s="20">
        <v>-21.36</v>
      </c>
      <c r="G866" s="20">
        <v>20.38</v>
      </c>
      <c r="I866" s="20"/>
      <c r="J866" s="20"/>
      <c r="K866" s="20">
        <v>432.0</v>
      </c>
      <c r="L866" s="20" t="s">
        <v>17</v>
      </c>
      <c r="M866" s="20">
        <v>-42.79</v>
      </c>
      <c r="N866" s="20">
        <v>-25.4</v>
      </c>
      <c r="P866" s="20">
        <v>-2.71</v>
      </c>
      <c r="Q866" s="20">
        <v>17.55</v>
      </c>
      <c r="AG866" s="20">
        <v>864.0</v>
      </c>
      <c r="AH866" s="20" t="s">
        <v>14</v>
      </c>
      <c r="AI866" s="20">
        <v>-3.45</v>
      </c>
      <c r="AJ866" s="20">
        <v>-32.72</v>
      </c>
      <c r="AM866" s="20">
        <v>443.0</v>
      </c>
      <c r="AN866" s="20" t="s">
        <v>17</v>
      </c>
      <c r="AO866" s="20">
        <v>9.56</v>
      </c>
      <c r="AP866" s="20">
        <v>-1.34</v>
      </c>
      <c r="AS866" s="20">
        <v>436.0</v>
      </c>
      <c r="AT866" s="20" t="s">
        <v>17</v>
      </c>
      <c r="AU866" s="20">
        <v>12.79</v>
      </c>
      <c r="AV866" s="20">
        <v>-53.27</v>
      </c>
      <c r="BE866" s="20">
        <v>864.0</v>
      </c>
      <c r="BF866" s="20" t="s">
        <v>14</v>
      </c>
      <c r="BG866" s="20">
        <v>30.75</v>
      </c>
      <c r="BH866" s="20">
        <v>9.73</v>
      </c>
      <c r="BM866" s="20">
        <v>52.95</v>
      </c>
      <c r="BN866" s="20">
        <v>98.79</v>
      </c>
      <c r="BW866" s="20">
        <v>-44.32</v>
      </c>
      <c r="BX866" s="20">
        <v>-42.93</v>
      </c>
      <c r="BZ866" s="20">
        <v>-60.17</v>
      </c>
      <c r="CA866" s="20">
        <v>-20.01</v>
      </c>
      <c r="CO866" s="20">
        <v>8.7</v>
      </c>
      <c r="CP866" s="20">
        <v>-44.93</v>
      </c>
    </row>
    <row r="867">
      <c r="A867" s="20">
        <v>19.74</v>
      </c>
      <c r="B867" s="20">
        <v>-41.92</v>
      </c>
      <c r="D867" s="20"/>
      <c r="E867" s="20"/>
      <c r="F867" s="20">
        <v>32.29</v>
      </c>
      <c r="G867" s="20">
        <v>-32.87</v>
      </c>
      <c r="I867" s="20"/>
      <c r="J867" s="20"/>
      <c r="K867" s="20">
        <v>433.0</v>
      </c>
      <c r="L867" s="20" t="s">
        <v>14</v>
      </c>
      <c r="M867" s="20">
        <v>7.48</v>
      </c>
      <c r="N867" s="20">
        <v>41.06</v>
      </c>
      <c r="P867" s="20">
        <v>34.7</v>
      </c>
      <c r="Q867" s="20">
        <v>31.0</v>
      </c>
      <c r="AG867" s="20">
        <v>865.0</v>
      </c>
      <c r="AH867" s="20" t="s">
        <v>14</v>
      </c>
      <c r="AI867" s="20">
        <v>-44.84</v>
      </c>
      <c r="AJ867" s="20">
        <v>-31.27</v>
      </c>
      <c r="AM867" s="20">
        <v>444.0</v>
      </c>
      <c r="AN867" s="20" t="s">
        <v>14</v>
      </c>
      <c r="AO867" s="20">
        <v>-11.58</v>
      </c>
      <c r="AP867" s="20">
        <v>-37.12</v>
      </c>
      <c r="AS867" s="20">
        <v>437.0</v>
      </c>
      <c r="AT867" s="20" t="s">
        <v>14</v>
      </c>
      <c r="AU867" s="20">
        <v>1.47</v>
      </c>
      <c r="AV867" s="20">
        <v>-49.06</v>
      </c>
      <c r="BE867" s="20">
        <v>865.0</v>
      </c>
      <c r="BF867" s="20" t="s">
        <v>14</v>
      </c>
      <c r="BG867" s="20">
        <v>-27.59</v>
      </c>
      <c r="BH867" s="20">
        <v>2.96</v>
      </c>
      <c r="BM867" s="20">
        <v>-34.82</v>
      </c>
      <c r="BN867" s="20">
        <v>-19.26</v>
      </c>
      <c r="BW867" s="20">
        <v>-66.44</v>
      </c>
      <c r="BX867" s="20">
        <v>-29.11</v>
      </c>
      <c r="BZ867" s="20">
        <v>-20.42</v>
      </c>
      <c r="CA867" s="20">
        <v>136.13</v>
      </c>
      <c r="CO867" s="20">
        <v>-44.69</v>
      </c>
      <c r="CP867" s="20">
        <v>-62.25</v>
      </c>
    </row>
    <row r="868">
      <c r="A868" s="20">
        <v>-39.99</v>
      </c>
      <c r="B868" s="20">
        <v>-43.11</v>
      </c>
      <c r="D868" s="20"/>
      <c r="E868" s="20"/>
      <c r="F868" s="20">
        <v>33.54</v>
      </c>
      <c r="G868" s="20">
        <v>-35.38</v>
      </c>
      <c r="I868" s="20"/>
      <c r="J868" s="20"/>
      <c r="K868" s="20">
        <v>433.0</v>
      </c>
      <c r="L868" s="20" t="s">
        <v>17</v>
      </c>
      <c r="M868" s="20">
        <v>-33.82</v>
      </c>
      <c r="N868" s="20">
        <v>30.3</v>
      </c>
      <c r="P868" s="20">
        <v>-16.44</v>
      </c>
      <c r="Q868" s="20">
        <v>14.82</v>
      </c>
      <c r="AG868" s="20">
        <v>866.0</v>
      </c>
      <c r="AH868" s="20" t="s">
        <v>14</v>
      </c>
      <c r="AI868" s="20">
        <v>-21.91</v>
      </c>
      <c r="AJ868" s="20">
        <v>-22.56</v>
      </c>
      <c r="AM868" s="20">
        <v>444.0</v>
      </c>
      <c r="AN868" s="20" t="s">
        <v>17</v>
      </c>
      <c r="AO868" s="20">
        <v>5.83</v>
      </c>
      <c r="AP868" s="20">
        <v>-29.31</v>
      </c>
      <c r="AS868" s="20">
        <v>437.0</v>
      </c>
      <c r="AT868" s="20" t="s">
        <v>17</v>
      </c>
      <c r="AU868" s="20">
        <v>33.88</v>
      </c>
      <c r="AV868" s="20">
        <v>-55.39</v>
      </c>
      <c r="BE868" s="20">
        <v>866.0</v>
      </c>
      <c r="BF868" s="20" t="s">
        <v>14</v>
      </c>
      <c r="BG868" s="20">
        <v>-8.48</v>
      </c>
      <c r="BH868" s="20">
        <v>38.82</v>
      </c>
      <c r="BM868" s="20">
        <v>41.89</v>
      </c>
      <c r="BN868" s="20">
        <v>140.81</v>
      </c>
      <c r="BW868" s="20">
        <v>-51.03</v>
      </c>
      <c r="BX868" s="20">
        <v>-12.02</v>
      </c>
      <c r="BZ868" s="20">
        <v>-16.06</v>
      </c>
      <c r="CA868" s="20">
        <v>68.23</v>
      </c>
      <c r="CO868" s="20">
        <v>-11.58</v>
      </c>
      <c r="CP868" s="20">
        <v>-27.0</v>
      </c>
    </row>
    <row r="869">
      <c r="A869" s="20">
        <v>-52.16</v>
      </c>
      <c r="B869" s="20">
        <v>23.37</v>
      </c>
      <c r="D869" s="20"/>
      <c r="E869" s="20"/>
      <c r="F869" s="20">
        <v>-10.64</v>
      </c>
      <c r="G869" s="20">
        <v>-11.99</v>
      </c>
      <c r="I869" s="20"/>
      <c r="J869" s="20"/>
      <c r="K869" s="20">
        <v>434.0</v>
      </c>
      <c r="L869" s="20" t="s">
        <v>14</v>
      </c>
      <c r="M869" s="20">
        <v>26.71</v>
      </c>
      <c r="N869" s="20">
        <v>-11.98</v>
      </c>
      <c r="P869" s="20">
        <v>-0.73</v>
      </c>
      <c r="Q869" s="20">
        <v>34.49</v>
      </c>
      <c r="AG869" s="20">
        <v>867.0</v>
      </c>
      <c r="AH869" s="20" t="s">
        <v>14</v>
      </c>
      <c r="AI869" s="20">
        <v>-19.71</v>
      </c>
      <c r="AJ869" s="20">
        <v>-14.04</v>
      </c>
      <c r="AM869" s="20">
        <v>445.0</v>
      </c>
      <c r="AN869" s="20" t="s">
        <v>14</v>
      </c>
      <c r="AO869" s="20">
        <v>-19.72</v>
      </c>
      <c r="AP869" s="20">
        <v>28.89</v>
      </c>
      <c r="AS869" s="20">
        <v>438.0</v>
      </c>
      <c r="AT869" s="20" t="s">
        <v>14</v>
      </c>
      <c r="AU869" s="20">
        <v>27.71</v>
      </c>
      <c r="AV869" s="20">
        <v>-34.37</v>
      </c>
      <c r="BE869" s="20">
        <v>867.0</v>
      </c>
      <c r="BF869" s="20" t="s">
        <v>14</v>
      </c>
      <c r="BG869" s="20">
        <v>6.65</v>
      </c>
      <c r="BH869" s="20">
        <v>50.15</v>
      </c>
      <c r="BM869" s="20">
        <v>99.05</v>
      </c>
      <c r="BN869" s="20">
        <v>109.72</v>
      </c>
      <c r="BW869" s="20">
        <v>-51.26</v>
      </c>
      <c r="BX869" s="20">
        <v>-26.67</v>
      </c>
      <c r="BZ869" s="20">
        <v>-57.29</v>
      </c>
      <c r="CA869" s="20">
        <v>75.92</v>
      </c>
      <c r="CO869" s="20">
        <v>-0.1</v>
      </c>
      <c r="CP869" s="20">
        <v>-51.76</v>
      </c>
    </row>
    <row r="870">
      <c r="A870" s="20">
        <v>-23.99</v>
      </c>
      <c r="B870" s="20">
        <v>20.51</v>
      </c>
      <c r="D870" s="20"/>
      <c r="E870" s="20"/>
      <c r="F870" s="20">
        <v>-25.88</v>
      </c>
      <c r="G870" s="20">
        <v>-17.29</v>
      </c>
      <c r="I870" s="20"/>
      <c r="J870" s="20"/>
      <c r="K870" s="20">
        <v>434.0</v>
      </c>
      <c r="L870" s="20" t="s">
        <v>17</v>
      </c>
      <c r="M870" s="20">
        <v>7.47</v>
      </c>
      <c r="N870" s="20">
        <v>62.58</v>
      </c>
      <c r="P870" s="20">
        <v>-11.91</v>
      </c>
      <c r="Q870" s="20">
        <v>5.75</v>
      </c>
      <c r="AG870" s="20">
        <v>868.0</v>
      </c>
      <c r="AH870" s="20" t="s">
        <v>14</v>
      </c>
      <c r="AI870" s="20">
        <v>-42.08</v>
      </c>
      <c r="AJ870" s="20">
        <v>-2.22</v>
      </c>
      <c r="AM870" s="20">
        <v>445.0</v>
      </c>
      <c r="AN870" s="20" t="s">
        <v>17</v>
      </c>
      <c r="AO870" s="20">
        <v>-2.97</v>
      </c>
      <c r="AP870" s="20">
        <v>3.7</v>
      </c>
      <c r="AS870" s="20">
        <v>438.0</v>
      </c>
      <c r="AT870" s="20" t="s">
        <v>17</v>
      </c>
      <c r="AU870" s="20">
        <v>0.52</v>
      </c>
      <c r="AV870" s="20">
        <v>-43.8</v>
      </c>
      <c r="BE870" s="20">
        <v>868.0</v>
      </c>
      <c r="BF870" s="20" t="s">
        <v>14</v>
      </c>
      <c r="BG870" s="20">
        <v>81.03</v>
      </c>
      <c r="BH870" s="20">
        <v>40.75</v>
      </c>
      <c r="BM870" s="20">
        <v>36.44</v>
      </c>
      <c r="BN870" s="20">
        <v>72.18</v>
      </c>
      <c r="BW870" s="20">
        <v>-30.47</v>
      </c>
      <c r="BX870" s="20">
        <v>-52.07</v>
      </c>
      <c r="BZ870" s="20">
        <v>-75.13</v>
      </c>
      <c r="CA870" s="20">
        <v>2.12</v>
      </c>
      <c r="CO870" s="20">
        <v>8.97</v>
      </c>
      <c r="CP870" s="20">
        <v>-46.31</v>
      </c>
    </row>
    <row r="871">
      <c r="A871" s="20">
        <v>-35.51</v>
      </c>
      <c r="B871" s="20">
        <v>-18.55</v>
      </c>
      <c r="D871" s="20"/>
      <c r="E871" s="20"/>
      <c r="F871" s="20">
        <v>1.87</v>
      </c>
      <c r="G871" s="20">
        <v>-42.23</v>
      </c>
      <c r="I871" s="20"/>
      <c r="J871" s="20"/>
      <c r="K871" s="20">
        <v>435.0</v>
      </c>
      <c r="L871" s="20" t="s">
        <v>14</v>
      </c>
      <c r="M871" s="20">
        <v>-21.97</v>
      </c>
      <c r="N871" s="20">
        <v>-6.93</v>
      </c>
      <c r="P871" s="20">
        <v>-4.49</v>
      </c>
      <c r="Q871" s="20">
        <v>106.46</v>
      </c>
      <c r="AG871" s="20">
        <v>869.0</v>
      </c>
      <c r="AH871" s="20" t="s">
        <v>14</v>
      </c>
      <c r="AI871" s="20">
        <v>-27.82</v>
      </c>
      <c r="AJ871" s="20">
        <v>-33.29</v>
      </c>
      <c r="AM871" s="20">
        <v>446.0</v>
      </c>
      <c r="AN871" s="20" t="s">
        <v>14</v>
      </c>
      <c r="AO871" s="20">
        <v>-10.92</v>
      </c>
      <c r="AP871" s="20">
        <v>-36.0</v>
      </c>
      <c r="AS871" s="20">
        <v>439.0</v>
      </c>
      <c r="AT871" s="20" t="s">
        <v>14</v>
      </c>
      <c r="AU871" s="20">
        <v>-9.21</v>
      </c>
      <c r="AV871" s="20">
        <v>-40.13</v>
      </c>
      <c r="BE871" s="20">
        <v>869.0</v>
      </c>
      <c r="BF871" s="20" t="s">
        <v>14</v>
      </c>
      <c r="BG871" s="20">
        <v>18.34</v>
      </c>
      <c r="BH871" s="20">
        <v>-8.89</v>
      </c>
      <c r="BM871" s="20">
        <v>67.36</v>
      </c>
      <c r="BN871" s="20">
        <v>70.63</v>
      </c>
      <c r="BW871" s="20">
        <v>-29.0</v>
      </c>
      <c r="BX871" s="20">
        <v>-45.93</v>
      </c>
      <c r="BZ871" s="20">
        <v>-13.85</v>
      </c>
      <c r="CA871" s="20">
        <v>59.54</v>
      </c>
      <c r="CO871" s="20">
        <v>-23.11</v>
      </c>
      <c r="CP871" s="20">
        <v>-50.51</v>
      </c>
    </row>
    <row r="872">
      <c r="A872" s="20">
        <v>-59.07</v>
      </c>
      <c r="B872" s="20">
        <v>27.07</v>
      </c>
      <c r="D872" s="20"/>
      <c r="E872" s="20"/>
      <c r="F872" s="20">
        <v>-33.85</v>
      </c>
      <c r="G872" s="20">
        <v>-19.56</v>
      </c>
      <c r="I872" s="20"/>
      <c r="J872" s="20"/>
      <c r="K872" s="20">
        <v>435.0</v>
      </c>
      <c r="L872" s="20" t="s">
        <v>17</v>
      </c>
      <c r="M872" s="20">
        <v>-12.39</v>
      </c>
      <c r="N872" s="20">
        <v>24.94</v>
      </c>
      <c r="P872" s="20">
        <v>-12.44</v>
      </c>
      <c r="Q872" s="20">
        <v>63.62</v>
      </c>
      <c r="AG872" s="20">
        <v>870.0</v>
      </c>
      <c r="AH872" s="20" t="s">
        <v>14</v>
      </c>
      <c r="AI872" s="20">
        <v>8.14</v>
      </c>
      <c r="AJ872" s="20">
        <v>-1.42</v>
      </c>
      <c r="AM872" s="20">
        <v>446.0</v>
      </c>
      <c r="AN872" s="20" t="s">
        <v>17</v>
      </c>
      <c r="AO872" s="20">
        <v>-29.64</v>
      </c>
      <c r="AP872" s="20">
        <v>-22.8</v>
      </c>
      <c r="AS872" s="20">
        <v>439.0</v>
      </c>
      <c r="AT872" s="20" t="s">
        <v>17</v>
      </c>
      <c r="AU872" s="20">
        <v>-4.9</v>
      </c>
      <c r="AV872" s="20">
        <v>-32.95</v>
      </c>
      <c r="BE872" s="20">
        <v>870.0</v>
      </c>
      <c r="BF872" s="20" t="s">
        <v>14</v>
      </c>
      <c r="BG872" s="20">
        <v>68.46</v>
      </c>
      <c r="BH872" s="20">
        <v>98.27</v>
      </c>
      <c r="BM872" s="20">
        <v>-65.01</v>
      </c>
      <c r="BN872" s="20">
        <v>-14.85</v>
      </c>
      <c r="BW872" s="20">
        <v>-47.82</v>
      </c>
      <c r="BX872" s="20">
        <v>-3.45</v>
      </c>
      <c r="BZ872" s="20">
        <v>27.86</v>
      </c>
      <c r="CA872" s="20">
        <v>135.2</v>
      </c>
      <c r="CO872" s="20">
        <v>-10.8</v>
      </c>
      <c r="CP872" s="20">
        <v>-45.2</v>
      </c>
    </row>
    <row r="873">
      <c r="A873" s="20">
        <v>-18.3</v>
      </c>
      <c r="B873" s="20">
        <v>34.54</v>
      </c>
      <c r="D873" s="20"/>
      <c r="E873" s="20"/>
      <c r="F873" s="20">
        <v>-17.54</v>
      </c>
      <c r="G873" s="20">
        <v>17.99</v>
      </c>
      <c r="I873" s="20"/>
      <c r="J873" s="20"/>
      <c r="K873" s="20">
        <v>436.0</v>
      </c>
      <c r="L873" s="20" t="s">
        <v>14</v>
      </c>
      <c r="M873" s="20">
        <v>15.01</v>
      </c>
      <c r="N873" s="20">
        <v>28.8</v>
      </c>
      <c r="P873" s="20">
        <v>-26.94</v>
      </c>
      <c r="Q873" s="20">
        <v>13.48</v>
      </c>
      <c r="AG873" s="20">
        <v>871.0</v>
      </c>
      <c r="AH873" s="20" t="s">
        <v>14</v>
      </c>
      <c r="AI873" s="20">
        <v>-50.81</v>
      </c>
      <c r="AJ873" s="20">
        <v>-25.9</v>
      </c>
      <c r="AM873" s="20">
        <v>447.0</v>
      </c>
      <c r="AN873" s="20" t="s">
        <v>14</v>
      </c>
      <c r="AO873" s="20">
        <v>-9.01</v>
      </c>
      <c r="AP873" s="20">
        <v>-12.79</v>
      </c>
      <c r="AS873" s="20">
        <v>440.0</v>
      </c>
      <c r="AT873" s="20" t="s">
        <v>14</v>
      </c>
      <c r="AU873" s="20">
        <v>18.14</v>
      </c>
      <c r="AV873" s="20">
        <v>-30.53</v>
      </c>
      <c r="BE873" s="20">
        <v>871.0</v>
      </c>
      <c r="BF873" s="20" t="s">
        <v>14</v>
      </c>
      <c r="BG873" s="20">
        <v>44.15</v>
      </c>
      <c r="BH873" s="20">
        <v>26.54</v>
      </c>
      <c r="BM873" s="20">
        <v>84.93</v>
      </c>
      <c r="BN873" s="20">
        <v>114.11</v>
      </c>
      <c r="BW873" s="20">
        <v>-58.85</v>
      </c>
      <c r="BX873" s="20">
        <v>-55.43</v>
      </c>
      <c r="BZ873" s="20">
        <v>-41.8</v>
      </c>
      <c r="CA873" s="20">
        <v>76.45</v>
      </c>
      <c r="CO873" s="20">
        <v>-34.88</v>
      </c>
      <c r="CP873" s="20">
        <v>-47.96</v>
      </c>
    </row>
    <row r="874">
      <c r="A874" s="20">
        <v>-52.79</v>
      </c>
      <c r="B874" s="20">
        <v>-18.7</v>
      </c>
      <c r="D874" s="20"/>
      <c r="E874" s="20"/>
      <c r="F874" s="20">
        <v>-33.71</v>
      </c>
      <c r="G874" s="20">
        <v>-30.52</v>
      </c>
      <c r="I874" s="20"/>
      <c r="J874" s="20"/>
      <c r="K874" s="20">
        <v>436.0</v>
      </c>
      <c r="L874" s="20" t="s">
        <v>17</v>
      </c>
      <c r="M874" s="20">
        <v>4.17</v>
      </c>
      <c r="N874" s="20">
        <v>36.27</v>
      </c>
      <c r="P874" s="20">
        <v>-33.97</v>
      </c>
      <c r="Q874" s="20">
        <v>-5.76</v>
      </c>
      <c r="AG874" s="20">
        <v>872.0</v>
      </c>
      <c r="AH874" s="20" t="s">
        <v>14</v>
      </c>
      <c r="AI874" s="20">
        <v>-44.23</v>
      </c>
      <c r="AJ874" s="20">
        <v>-30.39</v>
      </c>
      <c r="AM874" s="20">
        <v>447.0</v>
      </c>
      <c r="AN874" s="20" t="s">
        <v>17</v>
      </c>
      <c r="AO874" s="20">
        <v>-1.96</v>
      </c>
      <c r="AP874" s="20">
        <v>8.69</v>
      </c>
      <c r="AS874" s="20">
        <v>440.0</v>
      </c>
      <c r="AT874" s="20" t="s">
        <v>17</v>
      </c>
      <c r="AU874" s="20">
        <v>-9.37</v>
      </c>
      <c r="AV874" s="20">
        <v>-18.68</v>
      </c>
      <c r="BE874" s="20">
        <v>872.0</v>
      </c>
      <c r="BF874" s="20" t="s">
        <v>14</v>
      </c>
      <c r="BG874" s="20">
        <v>-1.48</v>
      </c>
      <c r="BH874" s="20">
        <v>51.3</v>
      </c>
      <c r="BM874" s="20">
        <v>45.32</v>
      </c>
      <c r="BN874" s="20">
        <v>112.1</v>
      </c>
      <c r="BW874" s="20">
        <v>-38.13</v>
      </c>
      <c r="BX874" s="20">
        <v>-37.71</v>
      </c>
      <c r="BZ874" s="20">
        <v>-60.37</v>
      </c>
      <c r="CA874" s="20">
        <v>105.99</v>
      </c>
      <c r="CO874" s="20">
        <v>18.35</v>
      </c>
      <c r="CP874" s="20">
        <v>-47.32</v>
      </c>
    </row>
    <row r="875">
      <c r="A875" s="20">
        <v>-43.51</v>
      </c>
      <c r="B875" s="20">
        <v>-38.65</v>
      </c>
      <c r="D875" s="20"/>
      <c r="E875" s="20"/>
      <c r="F875" s="20">
        <v>-24.69</v>
      </c>
      <c r="G875" s="20">
        <v>27.34</v>
      </c>
      <c r="I875" s="20"/>
      <c r="J875" s="20"/>
      <c r="K875" s="20">
        <v>437.0</v>
      </c>
      <c r="L875" s="20" t="s">
        <v>14</v>
      </c>
      <c r="M875" s="20">
        <v>-3.15</v>
      </c>
      <c r="N875" s="20">
        <v>4.43</v>
      </c>
      <c r="P875" s="20">
        <v>34.51</v>
      </c>
      <c r="Q875" s="20">
        <v>27.5</v>
      </c>
      <c r="AG875" s="20">
        <v>873.0</v>
      </c>
      <c r="AH875" s="20" t="s">
        <v>14</v>
      </c>
      <c r="AI875" s="20">
        <v>-21.93</v>
      </c>
      <c r="AJ875" s="20">
        <v>-7.82</v>
      </c>
      <c r="AM875" s="20">
        <v>448.0</v>
      </c>
      <c r="AN875" s="20" t="s">
        <v>14</v>
      </c>
      <c r="AO875" s="20">
        <v>2.73</v>
      </c>
      <c r="AP875" s="20">
        <v>-16.35</v>
      </c>
      <c r="AS875" s="20">
        <v>441.0</v>
      </c>
      <c r="AT875" s="20" t="s">
        <v>14</v>
      </c>
      <c r="AU875" s="20">
        <v>-18.07</v>
      </c>
      <c r="AV875" s="20">
        <v>-22.07</v>
      </c>
      <c r="BE875" s="20">
        <v>873.0</v>
      </c>
      <c r="BF875" s="20" t="s">
        <v>14</v>
      </c>
      <c r="BG875" s="20">
        <v>28.99</v>
      </c>
      <c r="BH875" s="20">
        <v>41.02</v>
      </c>
      <c r="BM875" s="20">
        <v>56.58</v>
      </c>
      <c r="BN875" s="20">
        <v>51.62</v>
      </c>
      <c r="BW875" s="20">
        <v>-33.97</v>
      </c>
      <c r="BX875" s="20">
        <v>-23.44</v>
      </c>
      <c r="BZ875" s="20">
        <v>-30.5</v>
      </c>
      <c r="CA875" s="20">
        <v>52.32</v>
      </c>
      <c r="CO875" s="20">
        <v>-23.05</v>
      </c>
      <c r="CP875" s="20">
        <v>-54.77</v>
      </c>
    </row>
    <row r="876">
      <c r="A876" s="20">
        <v>-26.49</v>
      </c>
      <c r="B876" s="20">
        <v>8.83</v>
      </c>
      <c r="D876" s="20"/>
      <c r="E876" s="20"/>
      <c r="F876" s="20">
        <v>-26.54</v>
      </c>
      <c r="G876" s="20">
        <v>-30.64</v>
      </c>
      <c r="I876" s="20"/>
      <c r="J876" s="20"/>
      <c r="K876" s="20">
        <v>437.0</v>
      </c>
      <c r="L876" s="20" t="s">
        <v>17</v>
      </c>
      <c r="M876" s="20">
        <v>-41.73</v>
      </c>
      <c r="N876" s="20">
        <v>-38.4</v>
      </c>
      <c r="P876" s="20">
        <v>-1.1</v>
      </c>
      <c r="Q876" s="20">
        <v>28.37</v>
      </c>
      <c r="AG876" s="20">
        <v>874.0</v>
      </c>
      <c r="AH876" s="20" t="s">
        <v>14</v>
      </c>
      <c r="AI876" s="20">
        <v>-58.89</v>
      </c>
      <c r="AJ876" s="20">
        <v>-54.0</v>
      </c>
      <c r="AM876" s="20">
        <v>448.0</v>
      </c>
      <c r="AN876" s="20" t="s">
        <v>17</v>
      </c>
      <c r="AO876" s="20">
        <v>-1.57</v>
      </c>
      <c r="AP876" s="20">
        <v>-34.61</v>
      </c>
      <c r="AS876" s="20">
        <v>441.0</v>
      </c>
      <c r="AT876" s="20" t="s">
        <v>17</v>
      </c>
      <c r="AU876" s="20">
        <v>-25.26</v>
      </c>
      <c r="AV876" s="20">
        <v>-39.73</v>
      </c>
      <c r="BE876" s="20">
        <v>874.0</v>
      </c>
      <c r="BF876" s="20" t="s">
        <v>14</v>
      </c>
      <c r="BG876" s="20">
        <v>-0.83</v>
      </c>
      <c r="BH876" s="20">
        <v>14.82</v>
      </c>
      <c r="BM876" s="20">
        <v>80.99</v>
      </c>
      <c r="BN876" s="20">
        <v>138.43</v>
      </c>
      <c r="BW876" s="20">
        <v>-59.49</v>
      </c>
      <c r="BX876" s="20">
        <v>-19.54</v>
      </c>
      <c r="BZ876" s="20">
        <v>-51.18</v>
      </c>
      <c r="CA876" s="20">
        <v>9.82</v>
      </c>
      <c r="CO876" s="20">
        <v>-9.05</v>
      </c>
      <c r="CP876" s="20">
        <v>-56.2</v>
      </c>
    </row>
    <row r="877">
      <c r="A877" s="20">
        <v>12.35</v>
      </c>
      <c r="B877" s="20">
        <v>20.39</v>
      </c>
      <c r="D877" s="20"/>
      <c r="E877" s="20"/>
      <c r="F877" s="20">
        <v>-47.98</v>
      </c>
      <c r="G877" s="20">
        <v>-38.34</v>
      </c>
      <c r="I877" s="20"/>
      <c r="J877" s="20"/>
      <c r="K877" s="20">
        <v>438.0</v>
      </c>
      <c r="L877" s="20" t="s">
        <v>14</v>
      </c>
      <c r="M877" s="20">
        <v>39.08</v>
      </c>
      <c r="N877" s="20">
        <v>41.12</v>
      </c>
      <c r="P877" s="20">
        <v>47.19</v>
      </c>
      <c r="Q877" s="20">
        <v>43.8</v>
      </c>
      <c r="AG877" s="20">
        <v>875.0</v>
      </c>
      <c r="AH877" s="20" t="s">
        <v>14</v>
      </c>
      <c r="AI877" s="20">
        <v>-43.31</v>
      </c>
      <c r="AJ877" s="20">
        <v>-42.08</v>
      </c>
      <c r="AM877" s="20">
        <v>449.0</v>
      </c>
      <c r="AN877" s="20" t="s">
        <v>14</v>
      </c>
      <c r="AO877" s="20">
        <v>30.24</v>
      </c>
      <c r="AP877" s="20">
        <v>-30.06</v>
      </c>
      <c r="AS877" s="20">
        <v>442.0</v>
      </c>
      <c r="AT877" s="20" t="s">
        <v>14</v>
      </c>
      <c r="AU877" s="20">
        <v>-26.85</v>
      </c>
      <c r="AV877" s="20">
        <v>-35.56</v>
      </c>
      <c r="BE877" s="20">
        <v>875.0</v>
      </c>
      <c r="BF877" s="20" t="s">
        <v>14</v>
      </c>
      <c r="BG877" s="20">
        <v>36.29</v>
      </c>
      <c r="BH877" s="20">
        <v>35.64</v>
      </c>
      <c r="BM877" s="20">
        <v>44.56</v>
      </c>
      <c r="BN877" s="20">
        <v>67.51</v>
      </c>
      <c r="BW877" s="20">
        <v>-33.94</v>
      </c>
      <c r="BX877" s="20">
        <v>-13.91</v>
      </c>
      <c r="BZ877" s="20">
        <v>-50.92</v>
      </c>
      <c r="CA877" s="20">
        <v>12.99</v>
      </c>
      <c r="CO877" s="20">
        <v>-15.09</v>
      </c>
      <c r="CP877" s="20">
        <v>-55.35</v>
      </c>
    </row>
    <row r="878">
      <c r="A878" s="20">
        <v>-20.71</v>
      </c>
      <c r="B878" s="20">
        <v>62.85</v>
      </c>
      <c r="D878" s="20"/>
      <c r="E878" s="20"/>
      <c r="F878" s="20">
        <v>-52.32</v>
      </c>
      <c r="G878" s="20">
        <v>-21.06</v>
      </c>
      <c r="I878" s="20"/>
      <c r="J878" s="20"/>
      <c r="K878" s="20">
        <v>438.0</v>
      </c>
      <c r="L878" s="20" t="s">
        <v>17</v>
      </c>
      <c r="M878" s="20">
        <v>56.93</v>
      </c>
      <c r="N878" s="20">
        <v>47.18</v>
      </c>
      <c r="P878" s="20">
        <v>-4.48</v>
      </c>
      <c r="Q878" s="20">
        <v>21.13</v>
      </c>
      <c r="AG878" s="20">
        <v>876.0</v>
      </c>
      <c r="AH878" s="20" t="s">
        <v>14</v>
      </c>
      <c r="AI878" s="20">
        <v>-15.41</v>
      </c>
      <c r="AJ878" s="20">
        <v>-29.51</v>
      </c>
      <c r="AM878" s="20">
        <v>449.0</v>
      </c>
      <c r="AN878" s="20" t="s">
        <v>17</v>
      </c>
      <c r="AO878" s="20">
        <v>29.42</v>
      </c>
      <c r="AP878" s="20">
        <v>1.61</v>
      </c>
      <c r="AS878" s="20">
        <v>442.0</v>
      </c>
      <c r="AT878" s="20" t="s">
        <v>17</v>
      </c>
      <c r="AU878" s="20">
        <v>5.27</v>
      </c>
      <c r="AV878" s="20">
        <v>-63.85</v>
      </c>
      <c r="BE878" s="20">
        <v>876.0</v>
      </c>
      <c r="BF878" s="20" t="s">
        <v>14</v>
      </c>
      <c r="BG878" s="20">
        <v>10.15</v>
      </c>
      <c r="BH878" s="20">
        <v>10.17</v>
      </c>
      <c r="BM878" s="20">
        <v>29.81</v>
      </c>
      <c r="BN878" s="20">
        <v>48.96</v>
      </c>
      <c r="BW878" s="20">
        <v>-30.03</v>
      </c>
      <c r="BX878" s="20">
        <v>-31.53</v>
      </c>
      <c r="BZ878" s="20">
        <v>-53.39</v>
      </c>
      <c r="CA878" s="20">
        <v>38.83</v>
      </c>
      <c r="CO878" s="20">
        <v>7.19</v>
      </c>
      <c r="CP878" s="20">
        <v>-50.94</v>
      </c>
    </row>
    <row r="879">
      <c r="A879" s="20">
        <v>-5.95</v>
      </c>
      <c r="B879" s="20">
        <v>6.26</v>
      </c>
      <c r="D879" s="20"/>
      <c r="E879" s="20"/>
      <c r="F879" s="20">
        <v>-27.9</v>
      </c>
      <c r="G879" s="20">
        <v>-25.38</v>
      </c>
      <c r="I879" s="20"/>
      <c r="J879" s="20"/>
      <c r="K879" s="20">
        <v>439.0</v>
      </c>
      <c r="L879" s="20" t="s">
        <v>14</v>
      </c>
      <c r="M879" s="20">
        <v>-31.46</v>
      </c>
      <c r="N879" s="20">
        <v>7.63</v>
      </c>
      <c r="P879" s="20">
        <v>-27.29</v>
      </c>
      <c r="Q879" s="20">
        <v>-3.6</v>
      </c>
      <c r="AG879" s="20">
        <v>877.0</v>
      </c>
      <c r="AH879" s="20" t="s">
        <v>14</v>
      </c>
      <c r="AI879" s="20">
        <v>25.75</v>
      </c>
      <c r="AJ879" s="20">
        <v>-24.14</v>
      </c>
      <c r="AM879" s="20">
        <v>450.0</v>
      </c>
      <c r="AN879" s="20" t="s">
        <v>14</v>
      </c>
      <c r="AO879" s="20">
        <v>-30.86</v>
      </c>
      <c r="AP879" s="20">
        <v>-34.75</v>
      </c>
      <c r="AS879" s="20">
        <v>443.0</v>
      </c>
      <c r="AT879" s="20" t="s">
        <v>14</v>
      </c>
      <c r="AU879" s="20">
        <v>-28.9</v>
      </c>
      <c r="AV879" s="20">
        <v>-43.88</v>
      </c>
      <c r="BE879" s="20">
        <v>877.0</v>
      </c>
      <c r="BF879" s="20" t="s">
        <v>14</v>
      </c>
      <c r="BG879" s="20">
        <v>-19.82</v>
      </c>
      <c r="BH879" s="20">
        <v>-2.48</v>
      </c>
      <c r="BM879" s="20">
        <v>48.09</v>
      </c>
      <c r="BN879" s="20">
        <v>88.67</v>
      </c>
      <c r="BW879" s="20">
        <v>-10.74</v>
      </c>
      <c r="BX879" s="20">
        <v>-20.82</v>
      </c>
      <c r="BZ879" s="20">
        <v>-12.49</v>
      </c>
      <c r="CA879" s="20">
        <v>93.08</v>
      </c>
      <c r="CO879" s="20">
        <v>-36.51</v>
      </c>
      <c r="CP879" s="20">
        <v>-31.85</v>
      </c>
    </row>
    <row r="880">
      <c r="A880" s="20">
        <v>-35.26</v>
      </c>
      <c r="B880" s="20">
        <v>58.94</v>
      </c>
      <c r="D880" s="20"/>
      <c r="E880" s="20"/>
      <c r="F880" s="20">
        <v>-3.95</v>
      </c>
      <c r="G880" s="20">
        <v>-43.9</v>
      </c>
      <c r="I880" s="20"/>
      <c r="J880" s="20"/>
      <c r="K880" s="20">
        <v>439.0</v>
      </c>
      <c r="L880" s="20" t="s">
        <v>17</v>
      </c>
      <c r="M880" s="20">
        <v>37.07</v>
      </c>
      <c r="N880" s="20">
        <v>-8.25</v>
      </c>
      <c r="P880" s="20">
        <v>-1.15</v>
      </c>
      <c r="Q880" s="20">
        <v>7.89</v>
      </c>
      <c r="AG880" s="20">
        <v>878.0</v>
      </c>
      <c r="AH880" s="20" t="s">
        <v>14</v>
      </c>
      <c r="AI880" s="20">
        <v>-8.52</v>
      </c>
      <c r="AJ880" s="20">
        <v>-8.94</v>
      </c>
      <c r="AM880" s="20">
        <v>450.0</v>
      </c>
      <c r="AN880" s="20" t="s">
        <v>17</v>
      </c>
      <c r="AO880" s="20">
        <v>-20.83</v>
      </c>
      <c r="AP880" s="20">
        <v>-28.65</v>
      </c>
      <c r="AS880" s="20">
        <v>443.0</v>
      </c>
      <c r="AT880" s="20" t="s">
        <v>17</v>
      </c>
      <c r="AU880" s="20">
        <v>-18.35</v>
      </c>
      <c r="AV880" s="20">
        <v>-26.36</v>
      </c>
      <c r="BE880" s="20">
        <v>878.0</v>
      </c>
      <c r="BF880" s="20" t="s">
        <v>14</v>
      </c>
      <c r="BG880" s="20">
        <v>1.83</v>
      </c>
      <c r="BH880" s="20">
        <v>20.57</v>
      </c>
      <c r="BM880" s="20">
        <v>20.97</v>
      </c>
      <c r="BN880" s="20">
        <v>100.33</v>
      </c>
      <c r="BW880" s="20">
        <v>-41.48</v>
      </c>
      <c r="BX880" s="20">
        <v>-26.92</v>
      </c>
      <c r="BZ880" s="20">
        <v>-35.52</v>
      </c>
      <c r="CA880" s="20">
        <v>199.82</v>
      </c>
      <c r="CO880" s="20">
        <v>21.14</v>
      </c>
      <c r="CP880" s="20">
        <v>-47.49</v>
      </c>
    </row>
    <row r="881">
      <c r="A881" s="20">
        <v>-50.65</v>
      </c>
      <c r="B881" s="20">
        <v>-39.14</v>
      </c>
      <c r="D881" s="20"/>
      <c r="E881" s="20"/>
      <c r="F881" s="20">
        <v>-38.86</v>
      </c>
      <c r="G881" s="20">
        <v>-17.41</v>
      </c>
      <c r="I881" s="20"/>
      <c r="J881" s="20"/>
      <c r="K881" s="20">
        <v>440.0</v>
      </c>
      <c r="L881" s="20" t="s">
        <v>14</v>
      </c>
      <c r="M881" s="20">
        <v>-35.6</v>
      </c>
      <c r="N881" s="20">
        <v>33.27</v>
      </c>
      <c r="P881" s="20">
        <v>-22.86</v>
      </c>
      <c r="Q881" s="20">
        <v>18.96</v>
      </c>
      <c r="AG881" s="20">
        <v>879.0</v>
      </c>
      <c r="AH881" s="20" t="s">
        <v>14</v>
      </c>
      <c r="AI881" s="20">
        <v>-14.12</v>
      </c>
      <c r="AJ881" s="20">
        <v>-11.75</v>
      </c>
      <c r="AM881" s="20">
        <v>451.0</v>
      </c>
      <c r="AN881" s="20" t="s">
        <v>14</v>
      </c>
      <c r="AO881" s="20">
        <v>19.42</v>
      </c>
      <c r="AP881" s="20">
        <v>-16.17</v>
      </c>
      <c r="AS881" s="20">
        <v>444.0</v>
      </c>
      <c r="AT881" s="20" t="s">
        <v>14</v>
      </c>
      <c r="AU881" s="20">
        <v>-20.48</v>
      </c>
      <c r="AV881" s="20">
        <v>-8.23</v>
      </c>
      <c r="BE881" s="20">
        <v>879.0</v>
      </c>
      <c r="BF881" s="20" t="s">
        <v>14</v>
      </c>
      <c r="BG881" s="20">
        <v>-6.66</v>
      </c>
      <c r="BH881" s="20">
        <v>16.52</v>
      </c>
      <c r="BM881" s="20">
        <v>49.1</v>
      </c>
      <c r="BN881" s="20">
        <v>128.3</v>
      </c>
      <c r="BW881" s="20">
        <v>-44.36</v>
      </c>
      <c r="BX881" s="20">
        <v>-26.96</v>
      </c>
      <c r="BZ881" s="20">
        <v>-14.17</v>
      </c>
      <c r="CA881" s="20">
        <v>32.17</v>
      </c>
      <c r="CO881" s="20">
        <v>49.15</v>
      </c>
      <c r="CP881" s="20">
        <v>-42.81</v>
      </c>
    </row>
    <row r="882">
      <c r="A882" s="20">
        <v>2.68</v>
      </c>
      <c r="B882" s="20">
        <v>7.75</v>
      </c>
      <c r="D882" s="20"/>
      <c r="E882" s="20"/>
      <c r="F882" s="20">
        <v>1.88</v>
      </c>
      <c r="G882" s="20">
        <v>-38.6</v>
      </c>
      <c r="I882" s="20"/>
      <c r="J882" s="20"/>
      <c r="K882" s="20">
        <v>440.0</v>
      </c>
      <c r="L882" s="20" t="s">
        <v>17</v>
      </c>
      <c r="M882" s="20">
        <v>-2.5</v>
      </c>
      <c r="N882" s="20">
        <v>17.75</v>
      </c>
      <c r="P882" s="20">
        <v>9.5</v>
      </c>
      <c r="Q882" s="20">
        <v>35.85</v>
      </c>
      <c r="AG882" s="20">
        <v>880.0</v>
      </c>
      <c r="AH882" s="20" t="s">
        <v>14</v>
      </c>
      <c r="AI882" s="20">
        <v>-42.4</v>
      </c>
      <c r="AJ882" s="20">
        <v>-48.0</v>
      </c>
      <c r="AM882" s="20">
        <v>451.0</v>
      </c>
      <c r="AN882" s="20" t="s">
        <v>17</v>
      </c>
      <c r="AO882" s="20">
        <v>29.42</v>
      </c>
      <c r="AP882" s="20">
        <v>8.09</v>
      </c>
      <c r="AS882" s="20">
        <v>444.0</v>
      </c>
      <c r="AT882" s="20" t="s">
        <v>17</v>
      </c>
      <c r="AU882" s="20">
        <v>-19.68</v>
      </c>
      <c r="AV882" s="20">
        <v>-14.38</v>
      </c>
      <c r="BE882" s="20">
        <v>880.0</v>
      </c>
      <c r="BF882" s="20" t="s">
        <v>14</v>
      </c>
      <c r="BG882" s="20">
        <v>39.39</v>
      </c>
      <c r="BH882" s="20">
        <v>15.13</v>
      </c>
      <c r="BM882" s="20">
        <v>98.29</v>
      </c>
      <c r="BN882" s="20">
        <v>86.71</v>
      </c>
      <c r="BW882" s="20">
        <v>-55.24</v>
      </c>
      <c r="BX882" s="20">
        <v>-13.16</v>
      </c>
      <c r="BZ882" s="20">
        <v>-42.38</v>
      </c>
      <c r="CA882" s="20">
        <v>63.82</v>
      </c>
      <c r="CO882" s="20">
        <v>37.25</v>
      </c>
      <c r="CP882" s="20">
        <v>-59.22</v>
      </c>
    </row>
    <row r="883">
      <c r="A883" s="20">
        <v>-3.11</v>
      </c>
      <c r="B883" s="20">
        <v>27.06</v>
      </c>
      <c r="D883" s="20"/>
      <c r="E883" s="20"/>
      <c r="F883" s="20">
        <v>-14.09</v>
      </c>
      <c r="G883" s="20">
        <v>-31.11</v>
      </c>
      <c r="I883" s="20"/>
      <c r="J883" s="20"/>
      <c r="K883" s="20">
        <v>441.0</v>
      </c>
      <c r="L883" s="20" t="s">
        <v>14</v>
      </c>
      <c r="M883" s="20">
        <v>2.16</v>
      </c>
      <c r="N883" s="20">
        <v>3.84</v>
      </c>
      <c r="P883" s="20">
        <v>8.16</v>
      </c>
      <c r="Q883" s="20">
        <v>12.96</v>
      </c>
      <c r="AG883" s="20">
        <v>881.0</v>
      </c>
      <c r="AH883" s="20" t="s">
        <v>14</v>
      </c>
      <c r="AI883" s="20">
        <v>-7.52</v>
      </c>
      <c r="AJ883" s="20">
        <v>-17.74</v>
      </c>
      <c r="AM883" s="20">
        <v>452.0</v>
      </c>
      <c r="AN883" s="20" t="s">
        <v>14</v>
      </c>
      <c r="AO883" s="20">
        <v>-18.98</v>
      </c>
      <c r="AP883" s="20">
        <v>-19.88</v>
      </c>
      <c r="AS883" s="20">
        <v>445.0</v>
      </c>
      <c r="AT883" s="20" t="s">
        <v>14</v>
      </c>
      <c r="AU883" s="20">
        <v>-7.3</v>
      </c>
      <c r="AV883" s="20">
        <v>-30.0</v>
      </c>
      <c r="BE883" s="20">
        <v>881.0</v>
      </c>
      <c r="BF883" s="20" t="s">
        <v>14</v>
      </c>
      <c r="BG883" s="20">
        <v>19.3</v>
      </c>
      <c r="BH883" s="20">
        <v>28.53</v>
      </c>
      <c r="BM883" s="20">
        <v>73.91</v>
      </c>
      <c r="BN883" s="20">
        <v>67.55</v>
      </c>
      <c r="BW883" s="20">
        <v>-23.4</v>
      </c>
      <c r="BX883" s="20">
        <v>-51.58</v>
      </c>
      <c r="BZ883" s="20">
        <v>-20.86</v>
      </c>
      <c r="CA883" s="20">
        <v>98.26</v>
      </c>
      <c r="CO883" s="20">
        <v>-6.09</v>
      </c>
      <c r="CP883" s="20">
        <v>-51.8</v>
      </c>
    </row>
    <row r="884">
      <c r="A884" s="20">
        <v>-8.08</v>
      </c>
      <c r="B884" s="20">
        <v>7.49</v>
      </c>
      <c r="D884" s="20"/>
      <c r="E884" s="20"/>
      <c r="F884" s="20">
        <v>-20.57</v>
      </c>
      <c r="G884" s="20">
        <v>-17.89</v>
      </c>
      <c r="I884" s="20"/>
      <c r="J884" s="20"/>
      <c r="K884" s="20">
        <v>441.0</v>
      </c>
      <c r="L884" s="20" t="s">
        <v>17</v>
      </c>
      <c r="M884" s="20">
        <v>78.57</v>
      </c>
      <c r="N884" s="20">
        <v>6.14</v>
      </c>
      <c r="P884" s="20">
        <v>16.87</v>
      </c>
      <c r="Q884" s="20">
        <v>22.23</v>
      </c>
      <c r="AG884" s="20">
        <v>882.0</v>
      </c>
      <c r="AH884" s="20" t="s">
        <v>14</v>
      </c>
      <c r="AI884" s="20">
        <v>-15.16</v>
      </c>
      <c r="AJ884" s="20">
        <v>-14.56</v>
      </c>
      <c r="AM884" s="20">
        <v>452.0</v>
      </c>
      <c r="AN884" s="20" t="s">
        <v>17</v>
      </c>
      <c r="AO884" s="20">
        <v>-9.96</v>
      </c>
      <c r="AP884" s="20">
        <v>26.06</v>
      </c>
      <c r="AS884" s="20">
        <v>445.0</v>
      </c>
      <c r="AT884" s="20" t="s">
        <v>17</v>
      </c>
      <c r="AU884" s="20">
        <v>19.88</v>
      </c>
      <c r="AV884" s="20">
        <v>-25.55</v>
      </c>
      <c r="BE884" s="20">
        <v>882.0</v>
      </c>
      <c r="BF884" s="20" t="s">
        <v>14</v>
      </c>
      <c r="BG884" s="20">
        <v>4.26</v>
      </c>
      <c r="BH884" s="20">
        <v>-12.14</v>
      </c>
      <c r="BM884" s="20">
        <v>57.73</v>
      </c>
      <c r="BN884" s="20">
        <v>65.12</v>
      </c>
      <c r="BW884" s="20">
        <v>60.45</v>
      </c>
      <c r="BX884" s="20">
        <v>-29.96</v>
      </c>
      <c r="BZ884" s="20">
        <v>-48.25</v>
      </c>
      <c r="CA884" s="20">
        <v>21.71</v>
      </c>
      <c r="CO884" s="20">
        <v>-6.02</v>
      </c>
      <c r="CP884" s="20">
        <v>-58.39</v>
      </c>
    </row>
    <row r="885">
      <c r="A885" s="20">
        <v>-59.61</v>
      </c>
      <c r="B885" s="20">
        <v>28.19</v>
      </c>
      <c r="D885" s="20"/>
      <c r="E885" s="20"/>
      <c r="F885" s="20">
        <v>72.53</v>
      </c>
      <c r="G885" s="20">
        <v>54.08</v>
      </c>
      <c r="I885" s="20"/>
      <c r="J885" s="20"/>
      <c r="K885" s="20">
        <v>442.0</v>
      </c>
      <c r="L885" s="20" t="s">
        <v>14</v>
      </c>
      <c r="M885" s="20">
        <v>17.25</v>
      </c>
      <c r="N885" s="20">
        <v>26.15</v>
      </c>
      <c r="P885" s="20">
        <v>-2.63</v>
      </c>
      <c r="Q885" s="20">
        <v>1.13</v>
      </c>
      <c r="AG885" s="20">
        <v>883.0</v>
      </c>
      <c r="AH885" s="20" t="s">
        <v>14</v>
      </c>
      <c r="AI885" s="20">
        <v>-33.84</v>
      </c>
      <c r="AJ885" s="20">
        <v>-30.68</v>
      </c>
      <c r="AM885" s="20">
        <v>453.0</v>
      </c>
      <c r="AN885" s="20" t="s">
        <v>14</v>
      </c>
      <c r="AO885" s="20">
        <v>-28.66</v>
      </c>
      <c r="AP885" s="20">
        <v>-20.04</v>
      </c>
      <c r="AS885" s="20">
        <v>446.0</v>
      </c>
      <c r="AT885" s="20" t="s">
        <v>14</v>
      </c>
      <c r="AU885" s="20">
        <v>-17.01</v>
      </c>
      <c r="AV885" s="20">
        <v>-22.01</v>
      </c>
      <c r="BE885" s="20">
        <v>883.0</v>
      </c>
      <c r="BF885" s="20" t="s">
        <v>14</v>
      </c>
      <c r="BG885" s="20">
        <v>-2.19</v>
      </c>
      <c r="BH885" s="20">
        <v>-10.5</v>
      </c>
      <c r="BM885" s="20">
        <v>55.79</v>
      </c>
      <c r="BN885" s="20">
        <v>57.03</v>
      </c>
      <c r="BW885" s="20">
        <v>-34.49</v>
      </c>
      <c r="BX885" s="20">
        <v>-34.59</v>
      </c>
      <c r="BZ885" s="20">
        <v>-24.08</v>
      </c>
      <c r="CA885" s="20">
        <v>13.24</v>
      </c>
      <c r="CO885" s="20">
        <v>-2.61</v>
      </c>
      <c r="CP885" s="20">
        <v>-60.6</v>
      </c>
    </row>
    <row r="886">
      <c r="A886" s="20">
        <v>-44.21</v>
      </c>
      <c r="B886" s="20">
        <v>6.53</v>
      </c>
      <c r="D886" s="20"/>
      <c r="E886" s="20"/>
      <c r="F886" s="20">
        <v>27.27</v>
      </c>
      <c r="G886" s="20">
        <v>2.89</v>
      </c>
      <c r="I886" s="20"/>
      <c r="J886" s="20"/>
      <c r="K886" s="20">
        <v>442.0</v>
      </c>
      <c r="L886" s="20" t="s">
        <v>17</v>
      </c>
      <c r="M886" s="20">
        <v>-6.13</v>
      </c>
      <c r="N886" s="20">
        <v>-18.23</v>
      </c>
      <c r="P886" s="20">
        <v>3.34</v>
      </c>
      <c r="Q886" s="20">
        <v>14.13</v>
      </c>
      <c r="AG886" s="20">
        <v>884.0</v>
      </c>
      <c r="AH886" s="20" t="s">
        <v>14</v>
      </c>
      <c r="AI886" s="20">
        <v>-22.8</v>
      </c>
      <c r="AJ886" s="20">
        <v>-36.2</v>
      </c>
      <c r="AM886" s="20">
        <v>453.0</v>
      </c>
      <c r="AN886" s="20" t="s">
        <v>17</v>
      </c>
      <c r="AO886" s="20">
        <v>-33.83</v>
      </c>
      <c r="AP886" s="20">
        <v>-25.58</v>
      </c>
      <c r="AS886" s="20">
        <v>446.0</v>
      </c>
      <c r="AT886" s="20" t="s">
        <v>17</v>
      </c>
      <c r="AU886" s="20">
        <v>-38.71</v>
      </c>
      <c r="AV886" s="20">
        <v>-39.14</v>
      </c>
      <c r="BE886" s="20">
        <v>884.0</v>
      </c>
      <c r="BF886" s="20" t="s">
        <v>14</v>
      </c>
      <c r="BG886" s="20">
        <v>-11.58</v>
      </c>
      <c r="BH886" s="20">
        <v>5.12</v>
      </c>
      <c r="BM886" s="20">
        <v>22.83</v>
      </c>
      <c r="BN886" s="20">
        <v>14.42</v>
      </c>
      <c r="BW886" s="20">
        <v>-38.26</v>
      </c>
      <c r="BX886" s="20">
        <v>-27.13</v>
      </c>
      <c r="BZ886" s="20">
        <v>-57.18</v>
      </c>
      <c r="CA886" s="20">
        <v>-6.44</v>
      </c>
      <c r="CO886" s="20">
        <v>-0.69</v>
      </c>
      <c r="CP886" s="20">
        <v>-61.45</v>
      </c>
    </row>
    <row r="887">
      <c r="A887" s="20">
        <v>-41.8</v>
      </c>
      <c r="B887" s="20">
        <v>0.17</v>
      </c>
      <c r="D887" s="20"/>
      <c r="E887" s="20"/>
      <c r="F887" s="20">
        <v>1.17</v>
      </c>
      <c r="G887" s="20">
        <v>1.61</v>
      </c>
      <c r="I887" s="20"/>
      <c r="J887" s="20"/>
      <c r="K887" s="20">
        <v>443.0</v>
      </c>
      <c r="L887" s="20" t="s">
        <v>14</v>
      </c>
      <c r="M887" s="20">
        <v>-23.15</v>
      </c>
      <c r="N887" s="20">
        <v>32.27</v>
      </c>
      <c r="P887" s="20">
        <v>-7.1</v>
      </c>
      <c r="Q887" s="20">
        <v>6.66</v>
      </c>
      <c r="AG887" s="20">
        <v>885.0</v>
      </c>
      <c r="AH887" s="20" t="s">
        <v>14</v>
      </c>
      <c r="AI887" s="20">
        <v>-2.86</v>
      </c>
      <c r="AJ887" s="20">
        <v>-22.63</v>
      </c>
      <c r="AM887" s="20">
        <v>454.0</v>
      </c>
      <c r="AN887" s="20" t="s">
        <v>14</v>
      </c>
      <c r="AO887" s="20">
        <v>-24.17</v>
      </c>
      <c r="AP887" s="20">
        <v>-14.59</v>
      </c>
      <c r="AS887" s="20">
        <v>447.0</v>
      </c>
      <c r="AT887" s="20" t="s">
        <v>14</v>
      </c>
      <c r="AU887" s="20">
        <v>-9.91</v>
      </c>
      <c r="AV887" s="20">
        <v>-32.81</v>
      </c>
      <c r="BE887" s="20">
        <v>885.0</v>
      </c>
      <c r="BF887" s="20" t="s">
        <v>14</v>
      </c>
      <c r="BG887" s="20">
        <v>17.51</v>
      </c>
      <c r="BH887" s="20">
        <v>1.22</v>
      </c>
      <c r="BM887" s="20">
        <v>36.39</v>
      </c>
      <c r="BN887" s="20">
        <v>104.31</v>
      </c>
      <c r="BW887" s="20">
        <v>-33.93</v>
      </c>
      <c r="BX887" s="20">
        <v>-11.54</v>
      </c>
      <c r="BZ887" s="20">
        <v>-11.03</v>
      </c>
      <c r="CA887" s="20">
        <v>86.78</v>
      </c>
      <c r="CO887" s="20">
        <v>-26.9</v>
      </c>
      <c r="CP887" s="20">
        <v>-62.98</v>
      </c>
    </row>
    <row r="888">
      <c r="A888" s="20">
        <v>-53.43</v>
      </c>
      <c r="B888" s="20">
        <v>-31.29</v>
      </c>
      <c r="D888" s="20"/>
      <c r="E888" s="20"/>
      <c r="F888" s="20">
        <v>-43.03</v>
      </c>
      <c r="G888" s="20">
        <v>-2.15</v>
      </c>
      <c r="I888" s="20"/>
      <c r="J888" s="20"/>
      <c r="K888" s="20">
        <v>443.0</v>
      </c>
      <c r="L888" s="20" t="s">
        <v>17</v>
      </c>
      <c r="M888" s="20">
        <v>-26.21</v>
      </c>
      <c r="N888" s="20">
        <v>14.23</v>
      </c>
      <c r="P888" s="20">
        <v>30.84</v>
      </c>
      <c r="Q888" s="20">
        <v>45.89</v>
      </c>
      <c r="AG888" s="20">
        <v>886.0</v>
      </c>
      <c r="AH888" s="20" t="s">
        <v>14</v>
      </c>
      <c r="AI888" s="20">
        <v>-7.77</v>
      </c>
      <c r="AJ888" s="20">
        <v>-4.04</v>
      </c>
      <c r="AM888" s="20">
        <v>454.0</v>
      </c>
      <c r="AN888" s="20" t="s">
        <v>17</v>
      </c>
      <c r="AO888" s="20">
        <v>-22.0</v>
      </c>
      <c r="AP888" s="20">
        <v>-21.5</v>
      </c>
      <c r="AS888" s="20">
        <v>447.0</v>
      </c>
      <c r="AT888" s="20" t="s">
        <v>17</v>
      </c>
      <c r="AU888" s="20">
        <v>-34.32</v>
      </c>
      <c r="AV888" s="20">
        <v>-43.24</v>
      </c>
      <c r="BE888" s="20">
        <v>886.0</v>
      </c>
      <c r="BF888" s="20" t="s">
        <v>14</v>
      </c>
      <c r="BG888" s="20">
        <v>18.55</v>
      </c>
      <c r="BH888" s="20">
        <v>18.05</v>
      </c>
      <c r="BM888" s="20">
        <v>96.24</v>
      </c>
      <c r="BN888" s="20">
        <v>200.82</v>
      </c>
      <c r="BW888" s="20">
        <v>-9.44</v>
      </c>
      <c r="BX888" s="20">
        <v>-51.33</v>
      </c>
      <c r="BZ888" s="20">
        <v>-51.75</v>
      </c>
      <c r="CA888" s="20">
        <v>259.24</v>
      </c>
      <c r="CO888" s="20">
        <v>1.6</v>
      </c>
      <c r="CP888" s="20">
        <v>-50.26</v>
      </c>
    </row>
    <row r="889">
      <c r="A889" s="20">
        <v>-37.78</v>
      </c>
      <c r="B889" s="20">
        <v>1.54</v>
      </c>
      <c r="D889" s="20"/>
      <c r="E889" s="20"/>
      <c r="F889" s="20">
        <v>-37.31</v>
      </c>
      <c r="G889" s="20">
        <v>4.96</v>
      </c>
      <c r="I889" s="20"/>
      <c r="J889" s="20"/>
      <c r="K889" s="20">
        <v>444.0</v>
      </c>
      <c r="L889" s="20" t="s">
        <v>14</v>
      </c>
      <c r="M889" s="20">
        <v>-8.91</v>
      </c>
      <c r="N889" s="20">
        <v>21.18</v>
      </c>
      <c r="P889" s="20">
        <v>2.21</v>
      </c>
      <c r="Q889" s="20">
        <v>41.37</v>
      </c>
      <c r="AG889" s="20">
        <v>887.0</v>
      </c>
      <c r="AH889" s="20" t="s">
        <v>14</v>
      </c>
      <c r="AI889" s="20">
        <v>0.31</v>
      </c>
      <c r="AJ889" s="20">
        <v>-14.84</v>
      </c>
      <c r="AM889" s="20">
        <v>455.0</v>
      </c>
      <c r="AN889" s="20" t="s">
        <v>14</v>
      </c>
      <c r="AO889" s="20">
        <v>-6.81</v>
      </c>
      <c r="AP889" s="20">
        <v>20.77</v>
      </c>
      <c r="AS889" s="20">
        <v>448.0</v>
      </c>
      <c r="AT889" s="20" t="s">
        <v>14</v>
      </c>
      <c r="AU889" s="20">
        <v>0.66</v>
      </c>
      <c r="AV889" s="20">
        <v>12.42</v>
      </c>
      <c r="BE889" s="20">
        <v>887.0</v>
      </c>
      <c r="BF889" s="20" t="s">
        <v>14</v>
      </c>
      <c r="BG889" s="20">
        <v>4.81</v>
      </c>
      <c r="BH889" s="20">
        <v>7.06</v>
      </c>
      <c r="BM889" s="20">
        <v>60.28</v>
      </c>
      <c r="BN889" s="20">
        <v>64.28</v>
      </c>
      <c r="BW889" s="20">
        <v>-42.68</v>
      </c>
      <c r="BX889" s="20">
        <v>-19.25</v>
      </c>
      <c r="BZ889" s="20">
        <v>-25.42</v>
      </c>
      <c r="CA889" s="20">
        <v>85.04</v>
      </c>
      <c r="CO889" s="20">
        <v>-6.02</v>
      </c>
      <c r="CP889" s="20">
        <v>-48.74</v>
      </c>
    </row>
    <row r="890">
      <c r="A890" s="20">
        <v>-32.95</v>
      </c>
      <c r="B890" s="20">
        <v>78.77</v>
      </c>
      <c r="D890" s="20"/>
      <c r="E890" s="20"/>
      <c r="F890" s="20">
        <v>-32.23</v>
      </c>
      <c r="G890" s="20">
        <v>4.69</v>
      </c>
      <c r="I890" s="20"/>
      <c r="J890" s="20"/>
      <c r="K890" s="20">
        <v>444.0</v>
      </c>
      <c r="L890" s="20" t="s">
        <v>17</v>
      </c>
      <c r="M890" s="20">
        <v>-13.01</v>
      </c>
      <c r="N890" s="20">
        <v>-12.13</v>
      </c>
      <c r="P890" s="20">
        <v>18.9</v>
      </c>
      <c r="Q890" s="20">
        <v>33.43</v>
      </c>
      <c r="AG890" s="20">
        <v>888.0</v>
      </c>
      <c r="AH890" s="20" t="s">
        <v>14</v>
      </c>
      <c r="AI890" s="20">
        <v>23.13</v>
      </c>
      <c r="AJ890" s="20">
        <v>-2.42</v>
      </c>
      <c r="AM890" s="20">
        <v>455.0</v>
      </c>
      <c r="AN890" s="20" t="s">
        <v>17</v>
      </c>
      <c r="AO890" s="20">
        <v>0.25</v>
      </c>
      <c r="AP890" s="20">
        <v>-5.34</v>
      </c>
      <c r="AS890" s="20">
        <v>448.0</v>
      </c>
      <c r="AT890" s="20" t="s">
        <v>17</v>
      </c>
      <c r="AU890" s="20">
        <v>-14.12</v>
      </c>
      <c r="AV890" s="20">
        <v>-39.8</v>
      </c>
      <c r="BE890" s="20">
        <v>888.0</v>
      </c>
      <c r="BF890" s="20" t="s">
        <v>14</v>
      </c>
      <c r="BG890" s="20">
        <v>49.96</v>
      </c>
      <c r="BH890" s="20">
        <v>13.48</v>
      </c>
      <c r="BM890" s="20">
        <v>41.17</v>
      </c>
      <c r="BN890" s="20">
        <v>64.01</v>
      </c>
      <c r="BW890" s="20">
        <v>-45.24</v>
      </c>
      <c r="BX890" s="20">
        <v>-34.39</v>
      </c>
      <c r="BZ890" s="20">
        <v>-53.71</v>
      </c>
      <c r="CA890" s="20">
        <v>32.15</v>
      </c>
      <c r="CO890" s="20">
        <v>-7.48</v>
      </c>
      <c r="CP890" s="20">
        <v>-54.43</v>
      </c>
    </row>
    <row r="891">
      <c r="A891" s="20">
        <v>-39.61</v>
      </c>
      <c r="B891" s="20">
        <v>-14.42</v>
      </c>
      <c r="D891" s="20"/>
      <c r="E891" s="20"/>
      <c r="F891" s="20">
        <v>-8.69</v>
      </c>
      <c r="G891" s="20">
        <v>-1.82</v>
      </c>
      <c r="I891" s="20"/>
      <c r="J891" s="20"/>
      <c r="K891" s="20">
        <v>445.0</v>
      </c>
      <c r="L891" s="20" t="s">
        <v>14</v>
      </c>
      <c r="M891" s="20">
        <v>26.5</v>
      </c>
      <c r="N891" s="20">
        <v>13.0</v>
      </c>
      <c r="P891" s="20">
        <v>25.07</v>
      </c>
      <c r="Q891" s="20">
        <v>33.2</v>
      </c>
      <c r="AG891" s="20">
        <v>889.0</v>
      </c>
      <c r="AH891" s="20" t="s">
        <v>14</v>
      </c>
      <c r="AI891" s="20">
        <v>-54.89</v>
      </c>
      <c r="AJ891" s="20">
        <v>-34.22</v>
      </c>
      <c r="AM891" s="20">
        <v>456.0</v>
      </c>
      <c r="AN891" s="20" t="s">
        <v>14</v>
      </c>
      <c r="AO891" s="20">
        <v>-16.55</v>
      </c>
      <c r="AP891" s="20">
        <v>-23.1</v>
      </c>
      <c r="AS891" s="20">
        <v>449.0</v>
      </c>
      <c r="AT891" s="20" t="s">
        <v>14</v>
      </c>
      <c r="AU891" s="20">
        <v>0.27</v>
      </c>
      <c r="AV891" s="20">
        <v>-21.05</v>
      </c>
      <c r="BE891" s="20">
        <v>889.0</v>
      </c>
      <c r="BF891" s="20" t="s">
        <v>14</v>
      </c>
      <c r="BG891" s="20">
        <v>-22.78</v>
      </c>
      <c r="BH891" s="20">
        <v>-23.64</v>
      </c>
      <c r="BM891" s="20">
        <v>27.75</v>
      </c>
      <c r="BN891" s="20">
        <v>66.62</v>
      </c>
      <c r="BW891" s="20">
        <v>-60.89</v>
      </c>
      <c r="BX891" s="20">
        <v>-33.06</v>
      </c>
      <c r="BZ891" s="20">
        <v>-35.16</v>
      </c>
      <c r="CA891" s="20">
        <v>96.54</v>
      </c>
      <c r="CO891" s="20">
        <v>-42.81</v>
      </c>
      <c r="CP891" s="20">
        <v>-62.69</v>
      </c>
    </row>
    <row r="892">
      <c r="A892" s="20">
        <v>-23.68</v>
      </c>
      <c r="B892" s="20">
        <v>-24.09</v>
      </c>
      <c r="D892" s="20"/>
      <c r="E892" s="20"/>
      <c r="F892" s="20">
        <v>-18.52</v>
      </c>
      <c r="G892" s="20">
        <v>4.75</v>
      </c>
      <c r="I892" s="20"/>
      <c r="J892" s="20"/>
      <c r="K892" s="20">
        <v>445.0</v>
      </c>
      <c r="L892" s="20" t="s">
        <v>17</v>
      </c>
      <c r="M892" s="20">
        <v>-3.03</v>
      </c>
      <c r="N892" s="20">
        <v>22.38</v>
      </c>
      <c r="P892" s="20">
        <v>1.04</v>
      </c>
      <c r="Q892" s="20">
        <v>16.78</v>
      </c>
      <c r="AG892" s="20">
        <v>890.0</v>
      </c>
      <c r="AH892" s="20" t="s">
        <v>14</v>
      </c>
      <c r="AI892" s="20">
        <v>1.93</v>
      </c>
      <c r="AJ892" s="20">
        <v>8.39</v>
      </c>
      <c r="AM892" s="20">
        <v>456.0</v>
      </c>
      <c r="AN892" s="20" t="s">
        <v>17</v>
      </c>
      <c r="AO892" s="20">
        <v>-23.79</v>
      </c>
      <c r="AP892" s="20">
        <v>-41.61</v>
      </c>
      <c r="AS892" s="20">
        <v>449.0</v>
      </c>
      <c r="AT892" s="20" t="s">
        <v>17</v>
      </c>
      <c r="AU892" s="20">
        <v>-32.9</v>
      </c>
      <c r="AV892" s="20">
        <v>-46.44</v>
      </c>
      <c r="BE892" s="20">
        <v>890.0</v>
      </c>
      <c r="BF892" s="20" t="s">
        <v>14</v>
      </c>
      <c r="BG892" s="20">
        <v>2.06</v>
      </c>
      <c r="BH892" s="20">
        <v>-31.47</v>
      </c>
      <c r="BM892" s="20">
        <v>48.84</v>
      </c>
      <c r="BN892" s="20">
        <v>114.39</v>
      </c>
      <c r="BW892" s="20">
        <v>-24.29</v>
      </c>
      <c r="BX892" s="20">
        <v>-9.38</v>
      </c>
      <c r="BZ892" s="20">
        <v>-43.97</v>
      </c>
      <c r="CA892" s="20">
        <v>25.28</v>
      </c>
      <c r="CO892" s="20">
        <v>43.4</v>
      </c>
      <c r="CP892" s="20">
        <v>-57.17</v>
      </c>
    </row>
    <row r="893">
      <c r="A893" s="20">
        <v>-51.87</v>
      </c>
      <c r="B893" s="20">
        <v>28.13</v>
      </c>
      <c r="D893" s="20"/>
      <c r="E893" s="20"/>
      <c r="F893" s="20">
        <v>-39.36</v>
      </c>
      <c r="G893" s="20">
        <v>51.45</v>
      </c>
      <c r="I893" s="20"/>
      <c r="J893" s="20"/>
      <c r="K893" s="20">
        <v>446.0</v>
      </c>
      <c r="L893" s="20" t="s">
        <v>14</v>
      </c>
      <c r="M893" s="20">
        <v>32.24</v>
      </c>
      <c r="N893" s="20">
        <v>18.97</v>
      </c>
      <c r="P893" s="20">
        <v>48.84</v>
      </c>
      <c r="Q893" s="20">
        <v>31.53</v>
      </c>
      <c r="AG893" s="20">
        <v>891.0</v>
      </c>
      <c r="AH893" s="20" t="s">
        <v>14</v>
      </c>
      <c r="AI893" s="20">
        <v>-12.66</v>
      </c>
      <c r="AJ893" s="20">
        <v>-7.09</v>
      </c>
      <c r="AM893" s="20">
        <v>457.0</v>
      </c>
      <c r="AN893" s="20" t="s">
        <v>14</v>
      </c>
      <c r="AO893" s="20">
        <v>9.14</v>
      </c>
      <c r="AP893" s="20">
        <v>-7.71</v>
      </c>
      <c r="AS893" s="20">
        <v>450.0</v>
      </c>
      <c r="AT893" s="20" t="s">
        <v>14</v>
      </c>
      <c r="AU893" s="20">
        <v>-9.6</v>
      </c>
      <c r="AV893" s="20">
        <v>-5.49</v>
      </c>
      <c r="BE893" s="20">
        <v>891.0</v>
      </c>
      <c r="BF893" s="20" t="s">
        <v>14</v>
      </c>
      <c r="BG893" s="20">
        <v>-13.0</v>
      </c>
      <c r="BH893" s="20">
        <v>-24.0</v>
      </c>
      <c r="BM893" s="20">
        <v>21.34</v>
      </c>
      <c r="BN893" s="20">
        <v>33.09</v>
      </c>
      <c r="BW893" s="20">
        <v>-43.77</v>
      </c>
      <c r="BX893" s="20">
        <v>-31.55</v>
      </c>
      <c r="BZ893" s="20">
        <v>-29.8</v>
      </c>
      <c r="CA893" s="20">
        <v>25.29</v>
      </c>
      <c r="CO893" s="20">
        <v>11.32</v>
      </c>
      <c r="CP893" s="20">
        <v>-51.21</v>
      </c>
    </row>
    <row r="894">
      <c r="A894" s="20">
        <v>5.24</v>
      </c>
      <c r="B894" s="20">
        <v>57.47</v>
      </c>
      <c r="D894" s="20"/>
      <c r="E894" s="20"/>
      <c r="F894" s="20">
        <v>-3.74</v>
      </c>
      <c r="G894" s="20">
        <v>9.68</v>
      </c>
      <c r="I894" s="20"/>
      <c r="J894" s="20"/>
      <c r="K894" s="20">
        <v>446.0</v>
      </c>
      <c r="L894" s="20" t="s">
        <v>17</v>
      </c>
      <c r="M894" s="20">
        <v>14.96</v>
      </c>
      <c r="N894" s="20">
        <v>31.7</v>
      </c>
      <c r="P894" s="20">
        <v>0.15</v>
      </c>
      <c r="Q894" s="20">
        <v>11.59</v>
      </c>
      <c r="AG894" s="20">
        <v>892.0</v>
      </c>
      <c r="AH894" s="20" t="s">
        <v>14</v>
      </c>
      <c r="AI894" s="20">
        <v>-59.83</v>
      </c>
      <c r="AJ894" s="20">
        <v>-46.26</v>
      </c>
      <c r="AM894" s="20">
        <v>457.0</v>
      </c>
      <c r="AN894" s="20" t="s">
        <v>17</v>
      </c>
      <c r="AO894" s="20">
        <v>64.95</v>
      </c>
      <c r="AP894" s="20">
        <v>13.47</v>
      </c>
      <c r="AS894" s="20">
        <v>450.0</v>
      </c>
      <c r="AT894" s="20" t="s">
        <v>17</v>
      </c>
      <c r="AU894" s="20">
        <v>11.14</v>
      </c>
      <c r="AV894" s="20">
        <v>-32.02</v>
      </c>
      <c r="BE894" s="20">
        <v>892.0</v>
      </c>
      <c r="BF894" s="20" t="s">
        <v>14</v>
      </c>
      <c r="BG894" s="20">
        <v>-28.81</v>
      </c>
      <c r="BH894" s="20">
        <v>-13.77</v>
      </c>
      <c r="BM894" s="20">
        <v>19.15</v>
      </c>
      <c r="BN894" s="20">
        <v>43.28</v>
      </c>
      <c r="BW894" s="20">
        <v>-42.35</v>
      </c>
      <c r="BX894" s="20">
        <v>-6.31</v>
      </c>
      <c r="BZ894" s="20">
        <v>-33.89</v>
      </c>
      <c r="CA894" s="20">
        <v>60.9</v>
      </c>
      <c r="CO894" s="20">
        <v>-8.28</v>
      </c>
      <c r="CP894" s="20">
        <v>-58.42</v>
      </c>
    </row>
    <row r="895">
      <c r="A895" s="20">
        <v>-28.85</v>
      </c>
      <c r="B895" s="20">
        <v>50.03</v>
      </c>
      <c r="D895" s="20"/>
      <c r="E895" s="20"/>
      <c r="F895" s="20">
        <v>32.42</v>
      </c>
      <c r="G895" s="20">
        <v>-24.88</v>
      </c>
      <c r="I895" s="20"/>
      <c r="J895" s="20"/>
      <c r="K895" s="20">
        <v>447.0</v>
      </c>
      <c r="L895" s="20" t="s">
        <v>14</v>
      </c>
      <c r="M895" s="20">
        <v>-2.55</v>
      </c>
      <c r="N895" s="20">
        <v>61.46</v>
      </c>
      <c r="P895" s="20">
        <v>-1.43</v>
      </c>
      <c r="Q895" s="20">
        <v>5.45</v>
      </c>
      <c r="AG895" s="20">
        <v>893.0</v>
      </c>
      <c r="AH895" s="20" t="s">
        <v>14</v>
      </c>
      <c r="AI895" s="20">
        <v>2.45</v>
      </c>
      <c r="AJ895" s="20">
        <v>3.43</v>
      </c>
      <c r="AM895" s="20">
        <v>458.0</v>
      </c>
      <c r="AN895" s="20" t="s">
        <v>14</v>
      </c>
      <c r="AO895" s="20">
        <v>2.89</v>
      </c>
      <c r="AP895" s="20">
        <v>-12.53</v>
      </c>
      <c r="AS895" s="20">
        <v>451.0</v>
      </c>
      <c r="AT895" s="20" t="s">
        <v>14</v>
      </c>
      <c r="AU895" s="20">
        <v>6.23</v>
      </c>
      <c r="AV895" s="20">
        <v>-31.06</v>
      </c>
      <c r="BE895" s="20">
        <v>893.0</v>
      </c>
      <c r="BF895" s="20" t="s">
        <v>14</v>
      </c>
      <c r="BG895" s="20">
        <v>7.37</v>
      </c>
      <c r="BH895" s="20">
        <v>-10.37</v>
      </c>
      <c r="BM895" s="20">
        <v>14.99</v>
      </c>
      <c r="BN895" s="20">
        <v>31.71</v>
      </c>
      <c r="BW895" s="20">
        <v>30.41</v>
      </c>
      <c r="BX895" s="20">
        <v>8.33</v>
      </c>
      <c r="BZ895" s="20">
        <v>-39.01</v>
      </c>
      <c r="CA895" s="20">
        <v>60.87</v>
      </c>
      <c r="CO895" s="20">
        <v>18.65</v>
      </c>
      <c r="CP895" s="20">
        <v>-61.57</v>
      </c>
    </row>
    <row r="896">
      <c r="A896" s="20">
        <v>7.28</v>
      </c>
      <c r="B896" s="20">
        <v>96.62</v>
      </c>
      <c r="D896" s="20"/>
      <c r="E896" s="20"/>
      <c r="F896" s="20">
        <v>-30.56</v>
      </c>
      <c r="G896" s="20">
        <v>-4.45</v>
      </c>
      <c r="I896" s="20"/>
      <c r="J896" s="20"/>
      <c r="K896" s="20">
        <v>447.0</v>
      </c>
      <c r="L896" s="20" t="s">
        <v>17</v>
      </c>
      <c r="M896" s="20">
        <v>7.69</v>
      </c>
      <c r="N896" s="20">
        <v>6.8</v>
      </c>
      <c r="P896" s="20">
        <v>11.23</v>
      </c>
      <c r="Q896" s="20">
        <v>26.42</v>
      </c>
      <c r="AG896" s="20">
        <v>894.0</v>
      </c>
      <c r="AH896" s="20" t="s">
        <v>14</v>
      </c>
      <c r="AI896" s="20">
        <v>-6.72</v>
      </c>
      <c r="AJ896" s="20">
        <v>-27.17</v>
      </c>
      <c r="AM896" s="20">
        <v>458.0</v>
      </c>
      <c r="AN896" s="20" t="s">
        <v>17</v>
      </c>
      <c r="AO896" s="20">
        <v>-17.56</v>
      </c>
      <c r="AP896" s="20">
        <v>-2.97</v>
      </c>
      <c r="AS896" s="20">
        <v>451.0</v>
      </c>
      <c r="AT896" s="20" t="s">
        <v>17</v>
      </c>
      <c r="AU896" s="20">
        <v>-41.68</v>
      </c>
      <c r="AV896" s="20">
        <v>-41.58</v>
      </c>
      <c r="BE896" s="20">
        <v>894.0</v>
      </c>
      <c r="BF896" s="20" t="s">
        <v>14</v>
      </c>
      <c r="BG896" s="20">
        <v>12.6</v>
      </c>
      <c r="BH896" s="20">
        <v>4.69</v>
      </c>
      <c r="BM896" s="20">
        <v>36.09</v>
      </c>
      <c r="BN896" s="20">
        <v>72.07</v>
      </c>
      <c r="BW896" s="20">
        <v>-34.71</v>
      </c>
      <c r="BX896" s="20">
        <v>-36.87</v>
      </c>
      <c r="BZ896" s="20">
        <v>-59.71</v>
      </c>
      <c r="CA896" s="20">
        <v>76.47</v>
      </c>
      <c r="CO896" s="20">
        <v>-5.92</v>
      </c>
      <c r="CP896" s="20">
        <v>-62.46</v>
      </c>
    </row>
    <row r="897">
      <c r="A897" s="20">
        <v>-23.58</v>
      </c>
      <c r="B897" s="20">
        <v>97.63</v>
      </c>
      <c r="D897" s="20"/>
      <c r="E897" s="20"/>
      <c r="F897" s="20">
        <v>-14.67</v>
      </c>
      <c r="G897" s="20">
        <v>31.59</v>
      </c>
      <c r="I897" s="20"/>
      <c r="J897" s="20"/>
      <c r="K897" s="20">
        <v>448.0</v>
      </c>
      <c r="L897" s="20" t="s">
        <v>14</v>
      </c>
      <c r="M897" s="20">
        <v>-15.94</v>
      </c>
      <c r="N897" s="20">
        <v>66.11</v>
      </c>
      <c r="P897" s="20">
        <v>13.89</v>
      </c>
      <c r="Q897" s="20">
        <v>29.48</v>
      </c>
      <c r="AG897" s="20">
        <v>895.0</v>
      </c>
      <c r="AH897" s="20" t="s">
        <v>14</v>
      </c>
      <c r="AI897" s="20">
        <v>-23.31</v>
      </c>
      <c r="AJ897" s="20">
        <v>-24.43</v>
      </c>
      <c r="AM897" s="20">
        <v>459.0</v>
      </c>
      <c r="AN897" s="20" t="s">
        <v>14</v>
      </c>
      <c r="AO897" s="20">
        <v>-14.39</v>
      </c>
      <c r="AP897" s="20">
        <v>-8.23</v>
      </c>
      <c r="AS897" s="20">
        <v>452.0</v>
      </c>
      <c r="AT897" s="20" t="s">
        <v>14</v>
      </c>
      <c r="AU897" s="20">
        <v>-16.67</v>
      </c>
      <c r="AV897" s="20">
        <v>-42.89</v>
      </c>
      <c r="BE897" s="20">
        <v>895.0</v>
      </c>
      <c r="BF897" s="20" t="s">
        <v>14</v>
      </c>
      <c r="BG897" s="20">
        <v>21.54</v>
      </c>
      <c r="BH897" s="20">
        <v>30.48</v>
      </c>
      <c r="BM897" s="20">
        <v>59.3</v>
      </c>
      <c r="BN897" s="20">
        <v>86.62</v>
      </c>
      <c r="BW897" s="20">
        <v>-48.36</v>
      </c>
      <c r="BX897" s="20">
        <v>-18.24</v>
      </c>
      <c r="BZ897" s="20">
        <v>-38.04</v>
      </c>
      <c r="CA897" s="20">
        <v>88.7</v>
      </c>
      <c r="CO897" s="20">
        <v>74.18</v>
      </c>
      <c r="CP897" s="20">
        <v>-54.23</v>
      </c>
    </row>
    <row r="898">
      <c r="A898" s="20">
        <v>27.75</v>
      </c>
      <c r="B898" s="20">
        <v>77.17</v>
      </c>
      <c r="D898" s="20"/>
      <c r="E898" s="20"/>
      <c r="F898" s="20">
        <v>-26.28</v>
      </c>
      <c r="G898" s="20">
        <v>-14.98</v>
      </c>
      <c r="I898" s="20"/>
      <c r="J898" s="20"/>
      <c r="K898" s="20">
        <v>448.0</v>
      </c>
      <c r="L898" s="20" t="s">
        <v>17</v>
      </c>
      <c r="M898" s="20">
        <v>29.79</v>
      </c>
      <c r="N898" s="20">
        <v>84.04</v>
      </c>
      <c r="P898" s="20">
        <v>-18.81</v>
      </c>
      <c r="Q898" s="20">
        <v>-12.01</v>
      </c>
      <c r="AG898" s="20">
        <v>896.0</v>
      </c>
      <c r="AH898" s="20" t="s">
        <v>14</v>
      </c>
      <c r="AI898" s="20">
        <v>-27.45</v>
      </c>
      <c r="AJ898" s="20">
        <v>-33.27</v>
      </c>
      <c r="AM898" s="20">
        <v>459.0</v>
      </c>
      <c r="AN898" s="20" t="s">
        <v>17</v>
      </c>
      <c r="AO898" s="20">
        <v>2.29</v>
      </c>
      <c r="AP898" s="20">
        <v>9.66</v>
      </c>
      <c r="AS898" s="20">
        <v>452.0</v>
      </c>
      <c r="AT898" s="20" t="s">
        <v>17</v>
      </c>
      <c r="AU898" s="20">
        <v>0.37</v>
      </c>
      <c r="AV898" s="20">
        <v>-48.98</v>
      </c>
      <c r="BE898" s="20">
        <v>896.0</v>
      </c>
      <c r="BF898" s="20" t="s">
        <v>14</v>
      </c>
      <c r="BG898" s="20">
        <v>3.95</v>
      </c>
      <c r="BH898" s="20">
        <v>20.72</v>
      </c>
      <c r="BM898" s="20">
        <v>87.04</v>
      </c>
      <c r="BN898" s="20">
        <v>74.31</v>
      </c>
      <c r="BW898" s="20">
        <v>-12.69</v>
      </c>
      <c r="BX898" s="20">
        <v>-28.02</v>
      </c>
      <c r="BZ898" s="20">
        <v>-57.58</v>
      </c>
      <c r="CA898" s="20">
        <v>84.26</v>
      </c>
      <c r="CO898" s="20">
        <v>-8.36</v>
      </c>
      <c r="CP898" s="20">
        <v>-44.16</v>
      </c>
    </row>
    <row r="899">
      <c r="A899" s="20">
        <v>-28.56</v>
      </c>
      <c r="B899" s="20">
        <v>52.66</v>
      </c>
      <c r="D899" s="20"/>
      <c r="E899" s="20"/>
      <c r="F899" s="20">
        <v>-33.28</v>
      </c>
      <c r="G899" s="20">
        <v>29.25</v>
      </c>
      <c r="I899" s="20"/>
      <c r="J899" s="20"/>
      <c r="K899" s="20">
        <v>449.0</v>
      </c>
      <c r="L899" s="20" t="s">
        <v>14</v>
      </c>
      <c r="M899" s="20">
        <v>27.43</v>
      </c>
      <c r="N899" s="20">
        <v>24.62</v>
      </c>
      <c r="P899" s="20">
        <v>1.47</v>
      </c>
      <c r="Q899" s="20">
        <v>48.78</v>
      </c>
      <c r="AG899" s="20">
        <v>897.0</v>
      </c>
      <c r="AH899" s="20" t="s">
        <v>14</v>
      </c>
      <c r="AI899" s="20">
        <v>-20.22</v>
      </c>
      <c r="AJ899" s="20">
        <v>-27.86</v>
      </c>
      <c r="AM899" s="20">
        <v>460.0</v>
      </c>
      <c r="AN899" s="20" t="s">
        <v>14</v>
      </c>
      <c r="AO899" s="20">
        <v>14.4</v>
      </c>
      <c r="AP899" s="20">
        <v>2.32</v>
      </c>
      <c r="AS899" s="20">
        <v>453.0</v>
      </c>
      <c r="AT899" s="20" t="s">
        <v>14</v>
      </c>
      <c r="AU899" s="20">
        <v>-19.08</v>
      </c>
      <c r="AV899" s="20">
        <v>-23.57</v>
      </c>
      <c r="BE899" s="20">
        <v>897.0</v>
      </c>
      <c r="BF899" s="20" t="s">
        <v>14</v>
      </c>
      <c r="BG899" s="20">
        <v>16.7</v>
      </c>
      <c r="BH899" s="20">
        <v>12.19</v>
      </c>
      <c r="BM899" s="20">
        <v>-31.51</v>
      </c>
      <c r="BN899" s="20">
        <v>77.19</v>
      </c>
      <c r="BW899" s="20">
        <v>-20.03</v>
      </c>
      <c r="BX899" s="20">
        <v>-32.67</v>
      </c>
      <c r="BZ899" s="20">
        <v>-21.76</v>
      </c>
      <c r="CA899" s="20">
        <v>37.15</v>
      </c>
      <c r="CO899" s="20">
        <v>-18.46</v>
      </c>
      <c r="CP899" s="20">
        <v>-49.52</v>
      </c>
    </row>
    <row r="900">
      <c r="A900" s="20">
        <v>-6.69</v>
      </c>
      <c r="B900" s="20">
        <v>32.58</v>
      </c>
      <c r="D900" s="20"/>
      <c r="E900" s="20"/>
      <c r="F900" s="20">
        <v>-44.61</v>
      </c>
      <c r="G900" s="20">
        <v>-0.43</v>
      </c>
      <c r="I900" s="20"/>
      <c r="J900" s="20"/>
      <c r="K900" s="20">
        <v>449.0</v>
      </c>
      <c r="L900" s="20" t="s">
        <v>17</v>
      </c>
      <c r="M900" s="20">
        <v>20.01</v>
      </c>
      <c r="N900" s="20">
        <v>0.75</v>
      </c>
      <c r="P900" s="20">
        <v>-12.72</v>
      </c>
      <c r="Q900" s="20">
        <v>152.41</v>
      </c>
      <c r="AG900" s="20">
        <v>898.0</v>
      </c>
      <c r="AH900" s="20" t="s">
        <v>14</v>
      </c>
      <c r="AI900" s="20">
        <v>-28.33</v>
      </c>
      <c r="AJ900" s="20">
        <v>-10.05</v>
      </c>
      <c r="AM900" s="20">
        <v>460.0</v>
      </c>
      <c r="AN900" s="20" t="s">
        <v>17</v>
      </c>
      <c r="AO900" s="20">
        <v>5.04</v>
      </c>
      <c r="AP900" s="20">
        <v>5.9</v>
      </c>
      <c r="AS900" s="20">
        <v>453.0</v>
      </c>
      <c r="AT900" s="20" t="s">
        <v>17</v>
      </c>
      <c r="AU900" s="20">
        <v>-23.53</v>
      </c>
      <c r="AV900" s="20">
        <v>-31.9</v>
      </c>
      <c r="BE900" s="20">
        <v>898.0</v>
      </c>
      <c r="BF900" s="20" t="s">
        <v>14</v>
      </c>
      <c r="BG900" s="20">
        <v>27.4</v>
      </c>
      <c r="BH900" s="20">
        <v>-7.92</v>
      </c>
      <c r="BM900" s="20">
        <v>56.06</v>
      </c>
      <c r="BN900" s="20">
        <v>120.33</v>
      </c>
      <c r="BW900" s="20">
        <v>-52.63</v>
      </c>
      <c r="BX900" s="20">
        <v>-30.7</v>
      </c>
      <c r="BZ900" s="20">
        <v>-28.43</v>
      </c>
      <c r="CA900" s="20">
        <v>26.93</v>
      </c>
      <c r="CO900" s="20">
        <v>-34.79</v>
      </c>
      <c r="CP900" s="20">
        <v>-62.57</v>
      </c>
    </row>
    <row r="901">
      <c r="A901" s="20">
        <v>27.84</v>
      </c>
      <c r="B901" s="20">
        <v>87.63</v>
      </c>
      <c r="D901" s="20"/>
      <c r="E901" s="20"/>
      <c r="F901" s="20">
        <v>-58.59</v>
      </c>
      <c r="G901" s="20">
        <v>-9.63</v>
      </c>
      <c r="I901" s="20"/>
      <c r="J901" s="20"/>
      <c r="K901" s="20">
        <v>450.0</v>
      </c>
      <c r="L901" s="20" t="s">
        <v>14</v>
      </c>
      <c r="M901" s="20">
        <v>42.66</v>
      </c>
      <c r="N901" s="20">
        <v>41.88</v>
      </c>
      <c r="P901" s="20">
        <v>-26.73</v>
      </c>
      <c r="Q901" s="20">
        <v>-3.82</v>
      </c>
      <c r="AG901" s="20">
        <v>899.0</v>
      </c>
      <c r="AH901" s="20" t="s">
        <v>14</v>
      </c>
      <c r="AI901" s="20">
        <v>-16.27</v>
      </c>
      <c r="AJ901" s="20">
        <v>-18.97</v>
      </c>
      <c r="AM901" s="20">
        <v>461.0</v>
      </c>
      <c r="AN901" s="20" t="s">
        <v>14</v>
      </c>
      <c r="AO901" s="20">
        <v>-22.64</v>
      </c>
      <c r="AP901" s="20">
        <v>-3.96</v>
      </c>
      <c r="AS901" s="20">
        <v>454.0</v>
      </c>
      <c r="AT901" s="20" t="s">
        <v>14</v>
      </c>
      <c r="AU901" s="20">
        <v>-2.39</v>
      </c>
      <c r="AV901" s="20">
        <v>-12.11</v>
      </c>
      <c r="BE901" s="20">
        <v>899.0</v>
      </c>
      <c r="BF901" s="20" t="s">
        <v>14</v>
      </c>
      <c r="BG901" s="20">
        <v>34.7</v>
      </c>
      <c r="BH901" s="20">
        <v>10.2</v>
      </c>
      <c r="BM901" s="20">
        <v>32.51</v>
      </c>
      <c r="BN901" s="20">
        <v>36.56</v>
      </c>
      <c r="BW901" s="20">
        <v>155.62</v>
      </c>
      <c r="BX901" s="20">
        <v>-5.18</v>
      </c>
      <c r="BZ901" s="20">
        <v>-31.27</v>
      </c>
      <c r="CA901" s="20">
        <v>26.38</v>
      </c>
      <c r="CO901" s="20">
        <v>-24.75</v>
      </c>
      <c r="CP901" s="20">
        <v>-67.34</v>
      </c>
    </row>
    <row r="902">
      <c r="A902" s="20">
        <v>-52.38</v>
      </c>
      <c r="B902" s="20">
        <v>61.31</v>
      </c>
      <c r="D902" s="20"/>
      <c r="E902" s="20"/>
      <c r="F902" s="20">
        <v>-26.22</v>
      </c>
      <c r="G902" s="20">
        <v>-20.0</v>
      </c>
      <c r="I902" s="20"/>
      <c r="J902" s="20"/>
      <c r="K902" s="20">
        <v>450.0</v>
      </c>
      <c r="L902" s="20" t="s">
        <v>17</v>
      </c>
      <c r="M902" s="20">
        <v>8.85</v>
      </c>
      <c r="N902" s="20">
        <v>8.32</v>
      </c>
      <c r="P902" s="20">
        <v>-28.74</v>
      </c>
      <c r="Q902" s="20">
        <v>37.85</v>
      </c>
      <c r="AG902" s="20">
        <v>900.0</v>
      </c>
      <c r="AH902" s="20" t="s">
        <v>14</v>
      </c>
      <c r="AI902" s="20">
        <v>3.17</v>
      </c>
      <c r="AJ902" s="20">
        <v>2.22</v>
      </c>
      <c r="AM902" s="20">
        <v>461.0</v>
      </c>
      <c r="AN902" s="20" t="s">
        <v>17</v>
      </c>
      <c r="AO902" s="20">
        <v>-29.58</v>
      </c>
      <c r="AP902" s="20">
        <v>-39.2</v>
      </c>
      <c r="AS902" s="20">
        <v>454.0</v>
      </c>
      <c r="AT902" s="20" t="s">
        <v>17</v>
      </c>
      <c r="AU902" s="20">
        <v>-26.37</v>
      </c>
      <c r="AV902" s="20">
        <v>-27.95</v>
      </c>
      <c r="BE902" s="20">
        <v>900.0</v>
      </c>
      <c r="BF902" s="20" t="s">
        <v>14</v>
      </c>
      <c r="BG902" s="20">
        <v>43.71</v>
      </c>
      <c r="BH902" s="20">
        <v>-6.41</v>
      </c>
      <c r="BM902" s="20">
        <v>48.92</v>
      </c>
      <c r="BN902" s="20">
        <v>75.21</v>
      </c>
      <c r="BW902" s="20">
        <v>117.23</v>
      </c>
      <c r="BX902" s="20">
        <v>-23.48</v>
      </c>
      <c r="BZ902" s="20">
        <v>-22.59</v>
      </c>
      <c r="CA902" s="20">
        <v>89.02</v>
      </c>
      <c r="CO902" s="20">
        <v>-21.49</v>
      </c>
      <c r="CP902" s="20">
        <v>-56.91</v>
      </c>
    </row>
    <row r="903">
      <c r="A903" s="20">
        <v>-45.34</v>
      </c>
      <c r="B903" s="20">
        <v>0.36</v>
      </c>
      <c r="D903" s="20"/>
      <c r="E903" s="20"/>
      <c r="F903" s="20">
        <v>10.88</v>
      </c>
      <c r="G903" s="20">
        <v>1.41</v>
      </c>
      <c r="I903" s="20"/>
      <c r="J903" s="20"/>
      <c r="K903" s="20">
        <v>451.0</v>
      </c>
      <c r="L903" s="20" t="s">
        <v>14</v>
      </c>
      <c r="M903" s="20">
        <v>-21.93</v>
      </c>
      <c r="N903" s="20">
        <v>-2.58</v>
      </c>
      <c r="P903" s="20">
        <v>2.42</v>
      </c>
      <c r="Q903" s="20">
        <v>23.97</v>
      </c>
      <c r="AG903" s="20">
        <v>901.0</v>
      </c>
      <c r="AH903" s="20" t="s">
        <v>14</v>
      </c>
      <c r="AI903" s="20">
        <v>-41.12</v>
      </c>
      <c r="AJ903" s="20">
        <v>-24.07</v>
      </c>
      <c r="AM903" s="20">
        <v>462.0</v>
      </c>
      <c r="AN903" s="20" t="s">
        <v>14</v>
      </c>
      <c r="AO903" s="20">
        <v>2.67</v>
      </c>
      <c r="AP903" s="20">
        <v>-4.45</v>
      </c>
      <c r="AS903" s="20">
        <v>455.0</v>
      </c>
      <c r="AT903" s="20" t="s">
        <v>14</v>
      </c>
      <c r="AU903" s="20">
        <v>-6.23</v>
      </c>
      <c r="AV903" s="20">
        <v>-31.09</v>
      </c>
      <c r="BE903" s="20">
        <v>901.0</v>
      </c>
      <c r="BF903" s="20" t="s">
        <v>14</v>
      </c>
      <c r="BG903" s="20">
        <v>-4.16</v>
      </c>
      <c r="BH903" s="20">
        <v>-17.2</v>
      </c>
      <c r="BM903" s="20">
        <v>21.94</v>
      </c>
      <c r="BN903" s="20">
        <v>49.2</v>
      </c>
      <c r="BW903" s="20">
        <v>-46.99</v>
      </c>
      <c r="BX903" s="20">
        <v>-18.48</v>
      </c>
      <c r="BZ903" s="20">
        <v>-47.2</v>
      </c>
      <c r="CA903" s="20">
        <v>32.21</v>
      </c>
      <c r="CO903" s="20">
        <v>-8.69</v>
      </c>
      <c r="CP903" s="20">
        <v>-54.48</v>
      </c>
    </row>
    <row r="904">
      <c r="A904" s="20">
        <v>-33.68</v>
      </c>
      <c r="B904" s="20">
        <v>64.57</v>
      </c>
      <c r="D904" s="20"/>
      <c r="E904" s="20"/>
      <c r="F904" s="20">
        <v>4.86</v>
      </c>
      <c r="G904" s="20">
        <v>-0.83</v>
      </c>
      <c r="I904" s="20"/>
      <c r="J904" s="20"/>
      <c r="K904" s="20">
        <v>451.0</v>
      </c>
      <c r="L904" s="20" t="s">
        <v>17</v>
      </c>
      <c r="M904" s="20">
        <v>-17.67</v>
      </c>
      <c r="N904" s="20">
        <v>12.69</v>
      </c>
      <c r="P904" s="20">
        <v>-81.92</v>
      </c>
      <c r="Q904" s="20">
        <v>-91.67</v>
      </c>
      <c r="AG904" s="20">
        <v>902.0</v>
      </c>
      <c r="AH904" s="20" t="s">
        <v>14</v>
      </c>
      <c r="AI904" s="20">
        <v>-13.54</v>
      </c>
      <c r="AJ904" s="20">
        <v>-23.13</v>
      </c>
      <c r="AM904" s="20">
        <v>462.0</v>
      </c>
      <c r="AN904" s="20" t="s">
        <v>17</v>
      </c>
      <c r="AO904" s="20">
        <v>-32.93</v>
      </c>
      <c r="AP904" s="20">
        <v>-4.08</v>
      </c>
      <c r="AS904" s="20">
        <v>455.0</v>
      </c>
      <c r="AT904" s="20" t="s">
        <v>17</v>
      </c>
      <c r="AU904" s="20">
        <v>0.94</v>
      </c>
      <c r="AV904" s="20">
        <v>-28.9</v>
      </c>
      <c r="BE904" s="20">
        <v>902.0</v>
      </c>
      <c r="BF904" s="20" t="s">
        <v>14</v>
      </c>
      <c r="BG904" s="20">
        <v>-41.91</v>
      </c>
      <c r="BH904" s="20">
        <v>-22.16</v>
      </c>
      <c r="BM904" s="20">
        <v>27.55</v>
      </c>
      <c r="BN904" s="20">
        <v>106.89</v>
      </c>
      <c r="BW904" s="20">
        <v>-39.59</v>
      </c>
      <c r="BX904" s="20">
        <v>-24.47</v>
      </c>
      <c r="BZ904" s="20">
        <v>-65.71</v>
      </c>
      <c r="CA904" s="20">
        <v>0.93</v>
      </c>
      <c r="CO904" s="20">
        <v>-8.73</v>
      </c>
      <c r="CP904" s="20">
        <v>-43.4</v>
      </c>
    </row>
    <row r="905">
      <c r="A905" s="20">
        <v>-19.99</v>
      </c>
      <c r="B905" s="20">
        <v>19.74</v>
      </c>
      <c r="D905" s="20"/>
      <c r="E905" s="20"/>
      <c r="F905" s="20">
        <v>12.43</v>
      </c>
      <c r="G905" s="20">
        <v>74.39</v>
      </c>
      <c r="I905" s="20"/>
      <c r="J905" s="20"/>
      <c r="K905" s="20">
        <v>452.0</v>
      </c>
      <c r="L905" s="20" t="s">
        <v>14</v>
      </c>
      <c r="M905" s="20">
        <v>5.95</v>
      </c>
      <c r="N905" s="20">
        <v>23.58</v>
      </c>
      <c r="P905" s="20">
        <v>-35.32</v>
      </c>
      <c r="Q905" s="20">
        <v>-17.91</v>
      </c>
      <c r="AG905" s="20">
        <v>903.0</v>
      </c>
      <c r="AH905" s="20" t="s">
        <v>14</v>
      </c>
      <c r="AI905" s="20">
        <v>-13.4</v>
      </c>
      <c r="AJ905" s="20">
        <v>-20.77</v>
      </c>
      <c r="AM905" s="20">
        <v>463.0</v>
      </c>
      <c r="AN905" s="20" t="s">
        <v>14</v>
      </c>
      <c r="AO905" s="20">
        <v>11.69</v>
      </c>
      <c r="AP905" s="20">
        <v>-20.99</v>
      </c>
      <c r="AS905" s="20">
        <v>456.0</v>
      </c>
      <c r="AT905" s="20" t="s">
        <v>14</v>
      </c>
      <c r="AU905" s="20">
        <v>-16.7</v>
      </c>
      <c r="AV905" s="20">
        <v>-24.72</v>
      </c>
      <c r="BE905" s="20">
        <v>903.0</v>
      </c>
      <c r="BF905" s="20" t="s">
        <v>14</v>
      </c>
      <c r="BG905" s="20">
        <v>26.76</v>
      </c>
      <c r="BH905" s="20">
        <v>63.25</v>
      </c>
      <c r="BM905" s="20">
        <v>45.21</v>
      </c>
      <c r="BN905" s="20">
        <v>54.76</v>
      </c>
      <c r="BW905" s="20">
        <v>-18.79</v>
      </c>
      <c r="BX905" s="20">
        <v>-15.94</v>
      </c>
      <c r="BZ905" s="20">
        <v>-42.71</v>
      </c>
      <c r="CA905" s="20">
        <v>12.4</v>
      </c>
      <c r="CO905" s="20">
        <v>-23.44</v>
      </c>
      <c r="CP905" s="20">
        <v>-48.01</v>
      </c>
    </row>
    <row r="906">
      <c r="A906" s="20">
        <v>-32.51</v>
      </c>
      <c r="B906" s="20">
        <v>48.28</v>
      </c>
      <c r="D906" s="20"/>
      <c r="E906" s="20"/>
      <c r="F906" s="20">
        <v>-41.0</v>
      </c>
      <c r="G906" s="20">
        <v>-11.68</v>
      </c>
      <c r="I906" s="20"/>
      <c r="J906" s="20"/>
      <c r="K906" s="20">
        <v>452.0</v>
      </c>
      <c r="L906" s="20" t="s">
        <v>17</v>
      </c>
      <c r="M906" s="20">
        <v>5.05</v>
      </c>
      <c r="N906" s="20">
        <v>69.28</v>
      </c>
      <c r="P906" s="20">
        <v>-19.24</v>
      </c>
      <c r="Q906" s="20">
        <v>28.37</v>
      </c>
      <c r="AG906" s="20">
        <v>904.0</v>
      </c>
      <c r="AH906" s="20" t="s">
        <v>14</v>
      </c>
      <c r="AI906" s="20">
        <v>-36.23</v>
      </c>
      <c r="AJ906" s="20">
        <v>-25.4</v>
      </c>
      <c r="AM906" s="20">
        <v>463.0</v>
      </c>
      <c r="AN906" s="20" t="s">
        <v>17</v>
      </c>
      <c r="AO906" s="20">
        <v>30.49</v>
      </c>
      <c r="AP906" s="20">
        <v>2.12</v>
      </c>
      <c r="AS906" s="20">
        <v>456.0</v>
      </c>
      <c r="AT906" s="20" t="s">
        <v>17</v>
      </c>
      <c r="AU906" s="20">
        <v>12.75</v>
      </c>
      <c r="AV906" s="20">
        <v>-17.84</v>
      </c>
      <c r="BE906" s="20">
        <v>904.0</v>
      </c>
      <c r="BF906" s="20" t="s">
        <v>14</v>
      </c>
      <c r="BG906" s="20">
        <v>-2.44</v>
      </c>
      <c r="BH906" s="20">
        <v>11.49</v>
      </c>
      <c r="BM906" s="20">
        <v>19.42</v>
      </c>
      <c r="BN906" s="20">
        <v>77.95</v>
      </c>
      <c r="BW906" s="20">
        <v>-25.8</v>
      </c>
      <c r="BX906" s="20">
        <v>-3.24</v>
      </c>
      <c r="BZ906" s="20">
        <v>-69.9</v>
      </c>
      <c r="CA906" s="20">
        <v>72.26</v>
      </c>
      <c r="CO906" s="20">
        <v>-28.58</v>
      </c>
      <c r="CP906" s="20">
        <v>-34.57</v>
      </c>
    </row>
    <row r="907">
      <c r="A907" s="20">
        <v>30.0</v>
      </c>
      <c r="B907" s="20">
        <v>72.26</v>
      </c>
      <c r="D907" s="20"/>
      <c r="E907" s="20"/>
      <c r="F907" s="20">
        <v>-33.82</v>
      </c>
      <c r="G907" s="20">
        <v>22.87</v>
      </c>
      <c r="I907" s="20"/>
      <c r="J907" s="20"/>
      <c r="K907" s="20">
        <v>453.0</v>
      </c>
      <c r="L907" s="20" t="s">
        <v>14</v>
      </c>
      <c r="M907" s="20">
        <v>-34.41</v>
      </c>
      <c r="N907" s="20">
        <v>-13.42</v>
      </c>
      <c r="P907" s="20">
        <v>-21.49</v>
      </c>
      <c r="Q907" s="20">
        <v>-3.08</v>
      </c>
      <c r="AG907" s="20">
        <v>905.0</v>
      </c>
      <c r="AH907" s="20" t="s">
        <v>14</v>
      </c>
      <c r="AI907" s="20">
        <v>-36.84</v>
      </c>
      <c r="AJ907" s="20">
        <v>-36.01</v>
      </c>
      <c r="AM907" s="20">
        <v>464.0</v>
      </c>
      <c r="AN907" s="20" t="s">
        <v>14</v>
      </c>
      <c r="AO907" s="20">
        <v>6.15</v>
      </c>
      <c r="AP907" s="20">
        <v>-14.36</v>
      </c>
      <c r="AS907" s="20">
        <v>457.0</v>
      </c>
      <c r="AT907" s="20" t="s">
        <v>14</v>
      </c>
      <c r="AU907" s="20">
        <v>30.18</v>
      </c>
      <c r="AV907" s="20">
        <v>-12.08</v>
      </c>
      <c r="BE907" s="20">
        <v>905.0</v>
      </c>
      <c r="BF907" s="20" t="s">
        <v>14</v>
      </c>
      <c r="BG907" s="20">
        <v>28.55</v>
      </c>
      <c r="BH907" s="20">
        <v>6.13</v>
      </c>
      <c r="BM907" s="20">
        <v>-2.0</v>
      </c>
      <c r="BN907" s="20">
        <v>76.34</v>
      </c>
      <c r="BW907" s="20">
        <v>-48.01</v>
      </c>
      <c r="BX907" s="20">
        <v>-53.28</v>
      </c>
      <c r="BZ907" s="20">
        <v>-56.78</v>
      </c>
      <c r="CA907" s="20">
        <v>-8.28</v>
      </c>
      <c r="CO907" s="20">
        <v>-39.18</v>
      </c>
      <c r="CP907" s="20">
        <v>-73.98</v>
      </c>
    </row>
    <row r="908">
      <c r="A908" s="20">
        <v>43.16</v>
      </c>
      <c r="B908" s="20">
        <v>56.14</v>
      </c>
      <c r="D908" s="20"/>
      <c r="E908" s="20"/>
      <c r="F908" s="20">
        <v>9.13</v>
      </c>
      <c r="G908" s="20">
        <v>27.68</v>
      </c>
      <c r="I908" s="20"/>
      <c r="J908" s="20"/>
      <c r="K908" s="20">
        <v>453.0</v>
      </c>
      <c r="L908" s="20" t="s">
        <v>17</v>
      </c>
      <c r="M908" s="20">
        <v>-24.84</v>
      </c>
      <c r="N908" s="20">
        <v>-4.62</v>
      </c>
      <c r="P908" s="20">
        <v>11.49</v>
      </c>
      <c r="Q908" s="20">
        <v>3.15</v>
      </c>
      <c r="AG908" s="20">
        <v>906.0</v>
      </c>
      <c r="AH908" s="20" t="s">
        <v>14</v>
      </c>
      <c r="AI908" s="20">
        <v>-19.44</v>
      </c>
      <c r="AJ908" s="20">
        <v>-30.89</v>
      </c>
      <c r="AM908" s="20">
        <v>464.0</v>
      </c>
      <c r="AN908" s="20" t="s">
        <v>17</v>
      </c>
      <c r="AO908" s="20">
        <v>17.9</v>
      </c>
      <c r="AP908" s="20">
        <v>-23.16</v>
      </c>
      <c r="AS908" s="20">
        <v>457.0</v>
      </c>
      <c r="AT908" s="20" t="s">
        <v>17</v>
      </c>
      <c r="AU908" s="20">
        <v>27.16</v>
      </c>
      <c r="AV908" s="20">
        <v>-26.67</v>
      </c>
      <c r="BE908" s="20">
        <v>906.0</v>
      </c>
      <c r="BF908" s="20" t="s">
        <v>14</v>
      </c>
      <c r="BG908" s="20">
        <v>60.47</v>
      </c>
      <c r="BH908" s="20">
        <v>34.25</v>
      </c>
      <c r="BM908" s="20">
        <v>12.8</v>
      </c>
      <c r="BN908" s="20">
        <v>106.39</v>
      </c>
      <c r="BW908" s="20">
        <v>-16.8</v>
      </c>
      <c r="BX908" s="20">
        <v>-33.82</v>
      </c>
      <c r="BZ908" s="20">
        <v>-40.29</v>
      </c>
      <c r="CA908" s="20">
        <v>-21.87</v>
      </c>
      <c r="CO908" s="20">
        <v>-29.3</v>
      </c>
      <c r="CP908" s="20">
        <v>-61.15</v>
      </c>
    </row>
    <row r="909">
      <c r="A909" s="20">
        <v>-36.56</v>
      </c>
      <c r="B909" s="20">
        <v>68.84</v>
      </c>
      <c r="D909" s="20"/>
      <c r="E909" s="20"/>
      <c r="F909" s="20">
        <v>125.62</v>
      </c>
      <c r="G909" s="20">
        <v>14.14</v>
      </c>
      <c r="I909" s="20"/>
      <c r="J909" s="20"/>
      <c r="K909" s="20">
        <v>454.0</v>
      </c>
      <c r="L909" s="20" t="s">
        <v>14</v>
      </c>
      <c r="M909" s="20">
        <v>4.61</v>
      </c>
      <c r="N909" s="20">
        <v>33.0</v>
      </c>
      <c r="P909" s="20">
        <v>-13.41</v>
      </c>
      <c r="Q909" s="20">
        <v>30.11</v>
      </c>
      <c r="AG909" s="20">
        <v>907.0</v>
      </c>
      <c r="AH909" s="20" t="s">
        <v>14</v>
      </c>
      <c r="AI909" s="20">
        <v>-60.11</v>
      </c>
      <c r="AJ909" s="20">
        <v>-48.67</v>
      </c>
      <c r="AM909" s="20">
        <v>465.0</v>
      </c>
      <c r="AN909" s="20" t="s">
        <v>14</v>
      </c>
      <c r="AO909" s="20">
        <v>34.3</v>
      </c>
      <c r="AP909" s="20">
        <v>-42.26</v>
      </c>
      <c r="AS909" s="20">
        <v>458.0</v>
      </c>
      <c r="AT909" s="20" t="s">
        <v>14</v>
      </c>
      <c r="AU909" s="20">
        <v>20.91</v>
      </c>
      <c r="AV909" s="20">
        <v>-52.65</v>
      </c>
      <c r="BE909" s="20">
        <v>907.0</v>
      </c>
      <c r="BF909" s="20" t="s">
        <v>14</v>
      </c>
      <c r="BG909" s="20">
        <v>36.61</v>
      </c>
      <c r="BH909" s="20">
        <v>43.54</v>
      </c>
      <c r="BM909" s="20">
        <v>20.03</v>
      </c>
      <c r="BN909" s="20">
        <v>145.55</v>
      </c>
      <c r="BW909" s="20">
        <v>-45.79</v>
      </c>
      <c r="BX909" s="20">
        <v>-19.76</v>
      </c>
      <c r="BZ909" s="20">
        <v>-36.34</v>
      </c>
      <c r="CA909" s="20">
        <v>183.24</v>
      </c>
      <c r="CO909" s="20">
        <v>-36.3</v>
      </c>
      <c r="CP909" s="20">
        <v>-65.26</v>
      </c>
    </row>
    <row r="910">
      <c r="A910" s="20">
        <v>-35.05</v>
      </c>
      <c r="B910" s="20">
        <v>-15.24</v>
      </c>
      <c r="D910" s="20"/>
      <c r="E910" s="20"/>
      <c r="F910" s="20">
        <v>-1.7</v>
      </c>
      <c r="G910" s="20">
        <v>9.97</v>
      </c>
      <c r="I910" s="20"/>
      <c r="J910" s="20"/>
      <c r="K910" s="20">
        <v>454.0</v>
      </c>
      <c r="L910" s="20" t="s">
        <v>17</v>
      </c>
      <c r="M910" s="20">
        <v>0.37</v>
      </c>
      <c r="N910" s="20">
        <v>1.99</v>
      </c>
      <c r="P910" s="20">
        <v>-2.35</v>
      </c>
      <c r="Q910" s="20">
        <v>-4.8</v>
      </c>
      <c r="AG910" s="20">
        <v>908.0</v>
      </c>
      <c r="AH910" s="20" t="s">
        <v>14</v>
      </c>
      <c r="AI910" s="20">
        <v>-23.65</v>
      </c>
      <c r="AJ910" s="20">
        <v>-43.37</v>
      </c>
      <c r="AM910" s="20">
        <v>465.0</v>
      </c>
      <c r="AN910" s="20" t="s">
        <v>17</v>
      </c>
      <c r="AO910" s="20">
        <v>43.82</v>
      </c>
      <c r="AP910" s="20">
        <v>9.12</v>
      </c>
      <c r="AS910" s="20">
        <v>458.0</v>
      </c>
      <c r="AT910" s="20" t="s">
        <v>17</v>
      </c>
      <c r="AU910" s="20">
        <v>-27.71</v>
      </c>
      <c r="AV910" s="20">
        <v>-39.74</v>
      </c>
      <c r="BE910" s="20">
        <v>908.0</v>
      </c>
      <c r="BF910" s="20" t="s">
        <v>14</v>
      </c>
      <c r="BG910" s="20">
        <v>3.08</v>
      </c>
      <c r="BH910" s="20">
        <v>78.05</v>
      </c>
      <c r="BM910" s="20">
        <v>13.22</v>
      </c>
      <c r="BN910" s="20">
        <v>17.78</v>
      </c>
      <c r="BW910" s="20">
        <v>-25.42</v>
      </c>
      <c r="BX910" s="20">
        <v>-23.93</v>
      </c>
      <c r="BZ910" s="20">
        <v>-54.99</v>
      </c>
      <c r="CA910" s="20">
        <v>24.45</v>
      </c>
      <c r="CO910" s="20">
        <v>-28.71</v>
      </c>
      <c r="CP910" s="20">
        <v>-49.64</v>
      </c>
    </row>
    <row r="911">
      <c r="A911" s="20">
        <v>-8.11</v>
      </c>
      <c r="B911" s="20">
        <v>69.04</v>
      </c>
      <c r="D911" s="20"/>
      <c r="E911" s="20"/>
      <c r="F911" s="20">
        <v>-13.34</v>
      </c>
      <c r="G911" s="20">
        <v>-0.37</v>
      </c>
      <c r="I911" s="20"/>
      <c r="J911" s="20"/>
      <c r="K911" s="20">
        <v>455.0</v>
      </c>
      <c r="L911" s="20" t="s">
        <v>14</v>
      </c>
      <c r="M911" s="20">
        <v>-32.71</v>
      </c>
      <c r="N911" s="20">
        <v>4.77</v>
      </c>
      <c r="P911" s="20">
        <v>-38.78</v>
      </c>
      <c r="Q911" s="20">
        <v>-3.48</v>
      </c>
      <c r="AG911" s="20">
        <v>909.0</v>
      </c>
      <c r="AH911" s="20" t="s">
        <v>14</v>
      </c>
      <c r="AI911" s="20">
        <v>-17.83</v>
      </c>
      <c r="AJ911" s="20">
        <v>-21.77</v>
      </c>
      <c r="AM911" s="20">
        <v>466.0</v>
      </c>
      <c r="AN911" s="20" t="s">
        <v>14</v>
      </c>
      <c r="AO911" s="20">
        <v>-25.49</v>
      </c>
      <c r="AP911" s="20">
        <v>-21.58</v>
      </c>
      <c r="AS911" s="20">
        <v>459.0</v>
      </c>
      <c r="AT911" s="20" t="s">
        <v>14</v>
      </c>
      <c r="AU911" s="20">
        <v>-22.21</v>
      </c>
      <c r="AV911" s="20">
        <v>-73.4</v>
      </c>
      <c r="BE911" s="20">
        <v>909.0</v>
      </c>
      <c r="BF911" s="20" t="s">
        <v>14</v>
      </c>
      <c r="BG911" s="20">
        <v>-3.28</v>
      </c>
      <c r="BH911" s="20">
        <v>-6.47</v>
      </c>
      <c r="BM911" s="20">
        <v>117.81</v>
      </c>
      <c r="BN911" s="20">
        <v>76.78</v>
      </c>
      <c r="BW911" s="20">
        <v>-48.92</v>
      </c>
      <c r="BX911" s="20">
        <v>-30.14</v>
      </c>
      <c r="BZ911" s="20">
        <v>-57.97</v>
      </c>
      <c r="CA911" s="20">
        <v>-1.2</v>
      </c>
      <c r="CO911" s="20">
        <v>-39.5</v>
      </c>
      <c r="CP911" s="20">
        <v>-67.11</v>
      </c>
    </row>
    <row r="912">
      <c r="A912" s="20">
        <v>-53.61</v>
      </c>
      <c r="B912" s="20">
        <v>69.37</v>
      </c>
      <c r="D912" s="20"/>
      <c r="E912" s="20"/>
      <c r="F912" s="20">
        <v>-22.2</v>
      </c>
      <c r="G912" s="20">
        <v>48.81</v>
      </c>
      <c r="I912" s="20"/>
      <c r="J912" s="20"/>
      <c r="K912" s="20">
        <v>455.0</v>
      </c>
      <c r="L912" s="20" t="s">
        <v>17</v>
      </c>
      <c r="M912" s="20">
        <v>-44.23</v>
      </c>
      <c r="N912" s="20">
        <v>-11.13</v>
      </c>
      <c r="P912" s="20">
        <v>-26.66</v>
      </c>
      <c r="Q912" s="20">
        <v>-8.6</v>
      </c>
      <c r="AG912" s="20">
        <v>910.0</v>
      </c>
      <c r="AH912" s="20" t="s">
        <v>14</v>
      </c>
      <c r="AI912" s="20">
        <v>-46.94</v>
      </c>
      <c r="AJ912" s="20">
        <v>-25.71</v>
      </c>
      <c r="AM912" s="20">
        <v>466.0</v>
      </c>
      <c r="AN912" s="20" t="s">
        <v>17</v>
      </c>
      <c r="AO912" s="20">
        <v>-12.32</v>
      </c>
      <c r="AP912" s="20">
        <v>-9.35</v>
      </c>
      <c r="AS912" s="20">
        <v>459.0</v>
      </c>
      <c r="AT912" s="20" t="s">
        <v>17</v>
      </c>
      <c r="AU912" s="20">
        <v>58.69</v>
      </c>
      <c r="AV912" s="20">
        <v>-7.1</v>
      </c>
      <c r="BE912" s="20">
        <v>910.0</v>
      </c>
      <c r="BF912" s="20" t="s">
        <v>14</v>
      </c>
      <c r="BG912" s="20">
        <v>-11.11</v>
      </c>
      <c r="BH912" s="20">
        <v>32.97</v>
      </c>
      <c r="BM912" s="20">
        <v>65.95</v>
      </c>
      <c r="BN912" s="20">
        <v>77.16</v>
      </c>
      <c r="BW912" s="20">
        <v>-40.62</v>
      </c>
      <c r="BX912" s="20">
        <v>-49.57</v>
      </c>
      <c r="BZ912" s="20">
        <v>-56.08</v>
      </c>
      <c r="CA912" s="20">
        <v>-9.49</v>
      </c>
      <c r="CO912" s="20">
        <v>-15.69</v>
      </c>
      <c r="CP912" s="20">
        <v>-49.86</v>
      </c>
    </row>
    <row r="913">
      <c r="A913" s="20">
        <v>-6.56</v>
      </c>
      <c r="B913" s="20">
        <v>20.76</v>
      </c>
      <c r="D913" s="20"/>
      <c r="E913" s="20"/>
      <c r="F913" s="20">
        <v>-6.71</v>
      </c>
      <c r="G913" s="20">
        <v>-2.21</v>
      </c>
      <c r="I913" s="20"/>
      <c r="J913" s="20"/>
      <c r="K913" s="20">
        <v>456.0</v>
      </c>
      <c r="L913" s="20" t="s">
        <v>14</v>
      </c>
      <c r="M913" s="20">
        <v>-28.37</v>
      </c>
      <c r="N913" s="20">
        <v>15.71</v>
      </c>
      <c r="P913" s="20">
        <v>-2.29</v>
      </c>
      <c r="Q913" s="20">
        <v>48.28</v>
      </c>
      <c r="AG913" s="20">
        <v>911.0</v>
      </c>
      <c r="AH913" s="20" t="s">
        <v>14</v>
      </c>
      <c r="AI913" s="20">
        <v>-15.72</v>
      </c>
      <c r="AJ913" s="20">
        <v>-20.23</v>
      </c>
      <c r="AM913" s="20">
        <v>467.0</v>
      </c>
      <c r="AN913" s="20" t="s">
        <v>14</v>
      </c>
      <c r="AO913" s="20">
        <v>-12.75</v>
      </c>
      <c r="AP913" s="20">
        <v>-36.18</v>
      </c>
      <c r="AS913" s="20">
        <v>460.0</v>
      </c>
      <c r="AT913" s="20" t="s">
        <v>14</v>
      </c>
      <c r="AU913" s="20">
        <v>-26.15</v>
      </c>
      <c r="AV913" s="20">
        <v>-61.37</v>
      </c>
      <c r="BE913" s="20">
        <v>911.0</v>
      </c>
      <c r="BF913" s="20" t="s">
        <v>14</v>
      </c>
      <c r="BG913" s="20">
        <v>7.32</v>
      </c>
      <c r="BH913" s="20">
        <v>-0.29</v>
      </c>
      <c r="BM913" s="20">
        <v>18.48</v>
      </c>
      <c r="BN913" s="20">
        <v>158.71</v>
      </c>
      <c r="BW913" s="20">
        <v>-18.61</v>
      </c>
      <c r="BX913" s="20">
        <v>-15.98</v>
      </c>
      <c r="BZ913" s="20">
        <v>-19.79</v>
      </c>
      <c r="CA913" s="20">
        <v>193.91</v>
      </c>
      <c r="CO913" s="20">
        <v>-53.68</v>
      </c>
      <c r="CP913" s="20">
        <v>-36.14</v>
      </c>
    </row>
    <row r="914">
      <c r="A914" s="20">
        <v>-24.6</v>
      </c>
      <c r="B914" s="20">
        <v>60.55</v>
      </c>
      <c r="D914" s="20"/>
      <c r="E914" s="20"/>
      <c r="F914" s="20">
        <v>-38.81</v>
      </c>
      <c r="G914" s="20">
        <v>13.25</v>
      </c>
      <c r="I914" s="20"/>
      <c r="J914" s="20"/>
      <c r="K914" s="20">
        <v>456.0</v>
      </c>
      <c r="L914" s="20" t="s">
        <v>17</v>
      </c>
      <c r="M914" s="20">
        <v>-12.64</v>
      </c>
      <c r="N914" s="20">
        <v>41.9</v>
      </c>
      <c r="P914" s="20">
        <v>-22.08</v>
      </c>
      <c r="Q914" s="20">
        <v>-1.9</v>
      </c>
      <c r="AG914" s="20">
        <v>912.0</v>
      </c>
      <c r="AH914" s="20" t="s">
        <v>14</v>
      </c>
      <c r="AI914" s="20">
        <v>18.96</v>
      </c>
      <c r="AJ914" s="20">
        <v>2.08</v>
      </c>
      <c r="AM914" s="20">
        <v>467.0</v>
      </c>
      <c r="AN914" s="20" t="s">
        <v>17</v>
      </c>
      <c r="AO914" s="20">
        <v>-23.14</v>
      </c>
      <c r="AP914" s="20">
        <v>6.32</v>
      </c>
      <c r="AS914" s="20">
        <v>460.0</v>
      </c>
      <c r="AT914" s="20" t="s">
        <v>17</v>
      </c>
      <c r="AU914" s="20">
        <v>-6.51</v>
      </c>
      <c r="AV914" s="20">
        <v>-23.57</v>
      </c>
      <c r="BE914" s="20">
        <v>912.0</v>
      </c>
      <c r="BF914" s="20" t="s">
        <v>14</v>
      </c>
      <c r="BG914" s="20">
        <v>26.27</v>
      </c>
      <c r="BH914" s="20">
        <v>14.53</v>
      </c>
      <c r="BM914" s="20">
        <v>22.97</v>
      </c>
      <c r="BN914" s="20">
        <v>132.23</v>
      </c>
      <c r="BW914" s="20">
        <v>-42.9</v>
      </c>
      <c r="BX914" s="20">
        <v>-19.36</v>
      </c>
      <c r="BZ914" s="20">
        <v>-32.22</v>
      </c>
      <c r="CA914" s="20">
        <v>87.0</v>
      </c>
      <c r="CO914" s="20">
        <v>-22.98</v>
      </c>
      <c r="CP914" s="20">
        <v>-39.42</v>
      </c>
    </row>
    <row r="915">
      <c r="A915" s="20">
        <v>-6.99</v>
      </c>
      <c r="B915" s="20">
        <v>155.11</v>
      </c>
      <c r="D915" s="20"/>
      <c r="E915" s="20"/>
      <c r="F915" s="20">
        <v>-39.52</v>
      </c>
      <c r="G915" s="20">
        <v>-35.35</v>
      </c>
      <c r="I915" s="20"/>
      <c r="J915" s="20"/>
      <c r="K915" s="20">
        <v>457.0</v>
      </c>
      <c r="L915" s="20" t="s">
        <v>14</v>
      </c>
      <c r="M915" s="20">
        <v>53.5</v>
      </c>
      <c r="N915" s="20">
        <v>104.45</v>
      </c>
      <c r="P915" s="20">
        <v>27.3</v>
      </c>
      <c r="Q915" s="20">
        <v>81.4</v>
      </c>
      <c r="AG915" s="20">
        <v>913.0</v>
      </c>
      <c r="AH915" s="20" t="s">
        <v>14</v>
      </c>
      <c r="AI915" s="20">
        <v>-55.02</v>
      </c>
      <c r="AJ915" s="20">
        <v>-33.75</v>
      </c>
      <c r="AM915" s="20">
        <v>468.0</v>
      </c>
      <c r="AN915" s="20" t="s">
        <v>14</v>
      </c>
      <c r="AO915" s="20">
        <v>-18.97</v>
      </c>
      <c r="AP915" s="20">
        <v>-38.92</v>
      </c>
      <c r="AS915" s="20">
        <v>461.0</v>
      </c>
      <c r="AT915" s="20" t="s">
        <v>14</v>
      </c>
      <c r="AU915" s="20">
        <v>2.52</v>
      </c>
      <c r="AV915" s="20">
        <v>-45.65</v>
      </c>
      <c r="BE915" s="20">
        <v>913.0</v>
      </c>
      <c r="BF915" s="20" t="s">
        <v>14</v>
      </c>
      <c r="BG915" s="20">
        <v>-7.23</v>
      </c>
      <c r="BH915" s="20">
        <v>27.72</v>
      </c>
      <c r="BM915" s="20">
        <v>89.3</v>
      </c>
      <c r="BN915" s="20">
        <v>53.32</v>
      </c>
      <c r="BW915" s="20">
        <v>-68.25</v>
      </c>
      <c r="BX915" s="20">
        <v>-51.16</v>
      </c>
      <c r="BZ915" s="20">
        <v>-33.98</v>
      </c>
      <c r="CA915" s="20">
        <v>58.98</v>
      </c>
      <c r="CO915" s="20">
        <v>-47.57</v>
      </c>
      <c r="CP915" s="20">
        <v>-44.08</v>
      </c>
    </row>
    <row r="916">
      <c r="A916" s="20">
        <v>-27.92</v>
      </c>
      <c r="B916" s="20">
        <v>11.8</v>
      </c>
      <c r="D916" s="20"/>
      <c r="E916" s="20"/>
      <c r="F916" s="20">
        <v>35.94</v>
      </c>
      <c r="G916" s="20">
        <v>-37.09</v>
      </c>
      <c r="I916" s="20"/>
      <c r="J916" s="20"/>
      <c r="K916" s="20">
        <v>457.0</v>
      </c>
      <c r="L916" s="20" t="s">
        <v>17</v>
      </c>
      <c r="M916" s="20">
        <v>-7.38</v>
      </c>
      <c r="N916" s="20">
        <v>22.76</v>
      </c>
      <c r="P916" s="20">
        <v>-9.6</v>
      </c>
      <c r="Q916" s="20">
        <v>23.89</v>
      </c>
      <c r="AG916" s="20">
        <v>914.0</v>
      </c>
      <c r="AH916" s="20" t="s">
        <v>14</v>
      </c>
      <c r="AI916" s="20">
        <v>-13.1</v>
      </c>
      <c r="AJ916" s="20">
        <v>19.75</v>
      </c>
      <c r="AM916" s="20">
        <v>468.0</v>
      </c>
      <c r="AN916" s="20" t="s">
        <v>17</v>
      </c>
      <c r="AO916" s="20">
        <v>3.45</v>
      </c>
      <c r="AP916" s="20">
        <v>21.62</v>
      </c>
      <c r="AS916" s="20">
        <v>461.0</v>
      </c>
      <c r="AT916" s="20" t="s">
        <v>17</v>
      </c>
      <c r="AU916" s="20">
        <v>-42.23</v>
      </c>
      <c r="AV916" s="20">
        <v>-39.82</v>
      </c>
      <c r="BE916" s="20">
        <v>914.0</v>
      </c>
      <c r="BF916" s="20" t="s">
        <v>14</v>
      </c>
      <c r="BG916" s="20">
        <v>-7.27</v>
      </c>
      <c r="BH916" s="20">
        <v>24.39</v>
      </c>
      <c r="BM916" s="20">
        <v>-38.23</v>
      </c>
      <c r="BN916" s="20">
        <v>-20.58</v>
      </c>
      <c r="BW916" s="20">
        <v>-51.25</v>
      </c>
      <c r="BX916" s="20">
        <v>-6.92</v>
      </c>
      <c r="BZ916" s="20">
        <v>-47.56</v>
      </c>
      <c r="CA916" s="20">
        <v>78.97</v>
      </c>
      <c r="CO916" s="20">
        <v>-30.78</v>
      </c>
      <c r="CP916" s="20">
        <v>-54.21</v>
      </c>
    </row>
    <row r="917">
      <c r="A917" s="20">
        <v>54.82</v>
      </c>
      <c r="B917" s="20">
        <v>79.52</v>
      </c>
      <c r="D917" s="20"/>
      <c r="E917" s="20"/>
      <c r="F917" s="20">
        <v>-46.61</v>
      </c>
      <c r="G917" s="20">
        <v>6.0</v>
      </c>
      <c r="I917" s="20"/>
      <c r="J917" s="20"/>
      <c r="K917" s="20">
        <v>458.0</v>
      </c>
      <c r="L917" s="20" t="s">
        <v>14</v>
      </c>
      <c r="M917" s="20">
        <v>-28.61</v>
      </c>
      <c r="N917" s="20">
        <v>1.34</v>
      </c>
      <c r="P917" s="20">
        <v>1.82</v>
      </c>
      <c r="Q917" s="20">
        <v>19.42</v>
      </c>
      <c r="AG917" s="20">
        <v>915.0</v>
      </c>
      <c r="AH917" s="20" t="s">
        <v>14</v>
      </c>
      <c r="AI917" s="20">
        <v>-20.23</v>
      </c>
      <c r="AJ917" s="20">
        <v>6.52</v>
      </c>
      <c r="AM917" s="20">
        <v>469.0</v>
      </c>
      <c r="AN917" s="20" t="s">
        <v>14</v>
      </c>
      <c r="AO917" s="20">
        <v>-20.33</v>
      </c>
      <c r="AP917" s="20">
        <v>-31.76</v>
      </c>
      <c r="AS917" s="20">
        <v>462.0</v>
      </c>
      <c r="AT917" s="20" t="s">
        <v>14</v>
      </c>
      <c r="AU917" s="20">
        <v>-20.76</v>
      </c>
      <c r="AV917" s="20">
        <v>-28.22</v>
      </c>
      <c r="BE917" s="20">
        <v>915.0</v>
      </c>
      <c r="BF917" s="20" t="s">
        <v>14</v>
      </c>
      <c r="BG917" s="20">
        <v>11.67</v>
      </c>
      <c r="BH917" s="20">
        <v>26.34</v>
      </c>
      <c r="BM917" s="20">
        <v>111.6</v>
      </c>
      <c r="BN917" s="20">
        <v>153.22</v>
      </c>
      <c r="BW917" s="20">
        <v>-48.71</v>
      </c>
      <c r="BX917" s="20">
        <v>-15.63</v>
      </c>
      <c r="BZ917" s="20">
        <v>9.02</v>
      </c>
      <c r="CA917" s="20">
        <v>157.19</v>
      </c>
      <c r="CO917" s="20">
        <v>-20.13</v>
      </c>
      <c r="CP917" s="20">
        <v>-52.13</v>
      </c>
    </row>
    <row r="918">
      <c r="A918" s="20">
        <v>14.18</v>
      </c>
      <c r="B918" s="20">
        <v>-25.59</v>
      </c>
      <c r="D918" s="20"/>
      <c r="E918" s="20"/>
      <c r="F918" s="20">
        <v>-11.35</v>
      </c>
      <c r="G918" s="20">
        <v>-63.31</v>
      </c>
      <c r="I918" s="20"/>
      <c r="J918" s="20"/>
      <c r="K918" s="20">
        <v>458.0</v>
      </c>
      <c r="L918" s="20" t="s">
        <v>17</v>
      </c>
      <c r="M918" s="20">
        <v>23.57</v>
      </c>
      <c r="N918" s="20">
        <v>-39.62</v>
      </c>
      <c r="P918" s="20">
        <v>7.09</v>
      </c>
      <c r="Q918" s="20">
        <v>49.41</v>
      </c>
      <c r="AG918" s="20">
        <v>916.0</v>
      </c>
      <c r="AH918" s="20" t="s">
        <v>14</v>
      </c>
      <c r="AI918" s="20">
        <v>-49.9</v>
      </c>
      <c r="AJ918" s="20">
        <v>-37.41</v>
      </c>
      <c r="AM918" s="20">
        <v>469.0</v>
      </c>
      <c r="AN918" s="20" t="s">
        <v>17</v>
      </c>
      <c r="AO918" s="20">
        <v>14.4</v>
      </c>
      <c r="AP918" s="20">
        <v>21.64</v>
      </c>
      <c r="AS918" s="20">
        <v>462.0</v>
      </c>
      <c r="AT918" s="20" t="s">
        <v>17</v>
      </c>
      <c r="AU918" s="20">
        <v>-12.69</v>
      </c>
      <c r="AV918" s="20">
        <v>-8.58</v>
      </c>
      <c r="BE918" s="20">
        <v>916.0</v>
      </c>
      <c r="BF918" s="20" t="s">
        <v>14</v>
      </c>
      <c r="BG918" s="20">
        <v>-4.19</v>
      </c>
      <c r="BH918" s="20">
        <v>-27.77</v>
      </c>
      <c r="BM918" s="20">
        <v>71.42</v>
      </c>
      <c r="BN918" s="20">
        <v>49.19</v>
      </c>
      <c r="BW918" s="20">
        <v>-47.88</v>
      </c>
      <c r="BX918" s="20">
        <v>-43.25</v>
      </c>
      <c r="BZ918" s="20">
        <v>-58.43</v>
      </c>
      <c r="CA918" s="20">
        <v>138.78</v>
      </c>
      <c r="CO918" s="20">
        <v>-9.31</v>
      </c>
      <c r="CP918" s="20">
        <v>-62.03</v>
      </c>
    </row>
    <row r="919">
      <c r="A919" s="20">
        <v>-19.03</v>
      </c>
      <c r="B919" s="20">
        <v>88.54</v>
      </c>
      <c r="D919" s="20"/>
      <c r="E919" s="20"/>
      <c r="F919" s="20">
        <v>-27.57</v>
      </c>
      <c r="G919" s="20">
        <v>-55.23</v>
      </c>
      <c r="I919" s="20"/>
      <c r="J919" s="20"/>
      <c r="K919" s="20">
        <v>459.0</v>
      </c>
      <c r="L919" s="20" t="s">
        <v>14</v>
      </c>
      <c r="M919" s="20">
        <v>146.92</v>
      </c>
      <c r="N919" s="20">
        <v>23.74</v>
      </c>
      <c r="P919" s="20">
        <v>-3.17</v>
      </c>
      <c r="Q919" s="20">
        <v>60.79</v>
      </c>
      <c r="AG919" s="20">
        <v>917.0</v>
      </c>
      <c r="AH919" s="20" t="s">
        <v>14</v>
      </c>
      <c r="AI919" s="20">
        <v>-24.61</v>
      </c>
      <c r="AJ919" s="20">
        <v>-9.37</v>
      </c>
      <c r="AM919" s="20">
        <v>470.0</v>
      </c>
      <c r="AN919" s="20" t="s">
        <v>14</v>
      </c>
      <c r="AO919" s="20">
        <v>-6.15</v>
      </c>
      <c r="AP919" s="20">
        <v>5.14</v>
      </c>
      <c r="AS919" s="20">
        <v>463.0</v>
      </c>
      <c r="AT919" s="20" t="s">
        <v>14</v>
      </c>
      <c r="AU919" s="20">
        <v>-14.8</v>
      </c>
      <c r="AV919" s="20">
        <v>-42.07</v>
      </c>
      <c r="BE919" s="20">
        <v>917.0</v>
      </c>
      <c r="BF919" s="20" t="s">
        <v>14</v>
      </c>
      <c r="BG919" s="20">
        <v>-9.8</v>
      </c>
      <c r="BH919" s="20">
        <v>-4.71</v>
      </c>
      <c r="BM919" s="20">
        <v>72.44</v>
      </c>
      <c r="BN919" s="20">
        <v>119.43</v>
      </c>
      <c r="BW919" s="20">
        <v>-35.57</v>
      </c>
      <c r="BX919" s="20">
        <v>-24.73</v>
      </c>
      <c r="BZ919" s="20">
        <v>-36.54</v>
      </c>
      <c r="CA919" s="20">
        <v>72.39</v>
      </c>
      <c r="CO919" s="20">
        <v>-38.84</v>
      </c>
      <c r="CP919" s="20">
        <v>-63.35</v>
      </c>
    </row>
    <row r="920">
      <c r="A920" s="20">
        <v>28.69</v>
      </c>
      <c r="B920" s="20">
        <v>-38.44</v>
      </c>
      <c r="D920" s="20"/>
      <c r="E920" s="20"/>
      <c r="F920" s="20">
        <v>-34.46</v>
      </c>
      <c r="G920" s="20">
        <v>-34.02</v>
      </c>
      <c r="I920" s="20"/>
      <c r="J920" s="20"/>
      <c r="K920" s="20">
        <v>459.0</v>
      </c>
      <c r="L920" s="20" t="s">
        <v>17</v>
      </c>
      <c r="M920" s="20">
        <v>56.91</v>
      </c>
      <c r="N920" s="20">
        <v>72.97</v>
      </c>
      <c r="P920" s="20">
        <v>-33.6</v>
      </c>
      <c r="Q920" s="20">
        <v>-3.54</v>
      </c>
      <c r="AG920" s="20">
        <v>918.0</v>
      </c>
      <c r="AH920" s="20" t="s">
        <v>14</v>
      </c>
      <c r="AI920" s="20">
        <v>5.4</v>
      </c>
      <c r="AJ920" s="20">
        <v>1.72</v>
      </c>
      <c r="AM920" s="20">
        <v>470.0</v>
      </c>
      <c r="AN920" s="20" t="s">
        <v>17</v>
      </c>
      <c r="AO920" s="20">
        <v>2.12</v>
      </c>
      <c r="AP920" s="20">
        <v>4.3</v>
      </c>
      <c r="AS920" s="20">
        <v>463.0</v>
      </c>
      <c r="AT920" s="20" t="s">
        <v>17</v>
      </c>
      <c r="AU920" s="20">
        <v>-38.29</v>
      </c>
      <c r="AV920" s="20">
        <v>-33.42</v>
      </c>
      <c r="BE920" s="20">
        <v>918.0</v>
      </c>
      <c r="BF920" s="20" t="s">
        <v>14</v>
      </c>
      <c r="BG920" s="20">
        <v>96.36</v>
      </c>
      <c r="BH920" s="20">
        <v>61.8</v>
      </c>
      <c r="BM920" s="20">
        <v>15.32</v>
      </c>
      <c r="BN920" s="20">
        <v>233.33</v>
      </c>
      <c r="BW920" s="20">
        <v>-23.79</v>
      </c>
      <c r="BX920" s="20">
        <v>-28.69</v>
      </c>
      <c r="BZ920" s="20">
        <v>-77.47</v>
      </c>
      <c r="CA920" s="20">
        <v>-56.36</v>
      </c>
      <c r="CO920" s="20">
        <v>-21.7</v>
      </c>
      <c r="CP920" s="20">
        <v>-48.95</v>
      </c>
    </row>
    <row r="921">
      <c r="A921" s="20">
        <v>77.84</v>
      </c>
      <c r="B921" s="20">
        <v>-12.73</v>
      </c>
      <c r="D921" s="20"/>
      <c r="E921" s="20"/>
      <c r="F921" s="20">
        <v>-3.89</v>
      </c>
      <c r="G921" s="20">
        <v>8.61</v>
      </c>
      <c r="I921" s="20"/>
      <c r="J921" s="20"/>
      <c r="K921" s="20">
        <v>460.0</v>
      </c>
      <c r="L921" s="20" t="s">
        <v>14</v>
      </c>
      <c r="M921" s="20">
        <v>-16.2</v>
      </c>
      <c r="N921" s="20">
        <v>71.45</v>
      </c>
      <c r="P921" s="20">
        <v>-6.96</v>
      </c>
      <c r="Q921" s="20">
        <v>22.66</v>
      </c>
      <c r="AG921" s="20">
        <v>919.0</v>
      </c>
      <c r="AH921" s="20" t="s">
        <v>14</v>
      </c>
      <c r="AI921" s="20">
        <v>-46.24</v>
      </c>
      <c r="AJ921" s="20">
        <v>-28.24</v>
      </c>
      <c r="AM921" s="20">
        <v>471.0</v>
      </c>
      <c r="AN921" s="20" t="s">
        <v>14</v>
      </c>
      <c r="AO921" s="20">
        <v>-21.91</v>
      </c>
      <c r="AP921" s="20">
        <v>-35.13</v>
      </c>
      <c r="AS921" s="20">
        <v>464.0</v>
      </c>
      <c r="AT921" s="20" t="s">
        <v>14</v>
      </c>
      <c r="AU921" s="20">
        <v>5.12</v>
      </c>
      <c r="AV921" s="20">
        <v>-29.57</v>
      </c>
      <c r="BE921" s="20">
        <v>919.0</v>
      </c>
      <c r="BF921" s="20" t="s">
        <v>14</v>
      </c>
      <c r="BG921" s="20">
        <v>-7.24</v>
      </c>
      <c r="BH921" s="20">
        <v>67.71</v>
      </c>
      <c r="BM921" s="20">
        <v>59.69</v>
      </c>
      <c r="BN921" s="20">
        <v>118.35</v>
      </c>
      <c r="BW921" s="20">
        <v>-28.45</v>
      </c>
      <c r="BX921" s="20">
        <v>-29.25</v>
      </c>
      <c r="BZ921" s="20">
        <v>18.69</v>
      </c>
      <c r="CA921" s="20">
        <v>131.96</v>
      </c>
      <c r="CO921" s="20">
        <v>-16.89</v>
      </c>
      <c r="CP921" s="20">
        <v>-55.88</v>
      </c>
    </row>
    <row r="922">
      <c r="A922" s="20">
        <v>-31.74</v>
      </c>
      <c r="B922" s="20">
        <v>44.24</v>
      </c>
      <c r="D922" s="20"/>
      <c r="E922" s="20"/>
      <c r="F922" s="20">
        <v>-17.08</v>
      </c>
      <c r="G922" s="20">
        <v>-14.45</v>
      </c>
      <c r="I922" s="20"/>
      <c r="J922" s="20"/>
      <c r="K922" s="20">
        <v>460.0</v>
      </c>
      <c r="L922" s="20" t="s">
        <v>17</v>
      </c>
      <c r="M922" s="20">
        <v>16.16</v>
      </c>
      <c r="N922" s="20">
        <v>11.8</v>
      </c>
      <c r="P922" s="20">
        <v>-60.71</v>
      </c>
      <c r="Q922" s="20">
        <v>-76.57</v>
      </c>
      <c r="AG922" s="20">
        <v>920.0</v>
      </c>
      <c r="AH922" s="20" t="s">
        <v>14</v>
      </c>
      <c r="AI922" s="20">
        <v>-21.61</v>
      </c>
      <c r="AJ922" s="20">
        <v>-14.6</v>
      </c>
      <c r="AM922" s="20">
        <v>471.0</v>
      </c>
      <c r="AN922" s="20" t="s">
        <v>17</v>
      </c>
      <c r="AO922" s="20">
        <v>-28.87</v>
      </c>
      <c r="AP922" s="20">
        <v>-12.84</v>
      </c>
      <c r="AS922" s="20">
        <v>464.0</v>
      </c>
      <c r="AT922" s="20" t="s">
        <v>17</v>
      </c>
      <c r="AU922" s="20">
        <v>-32.53</v>
      </c>
      <c r="AV922" s="20">
        <v>-37.07</v>
      </c>
      <c r="BE922" s="20">
        <v>920.0</v>
      </c>
      <c r="BF922" s="20" t="s">
        <v>14</v>
      </c>
      <c r="BG922" s="20">
        <v>-4.26</v>
      </c>
      <c r="BH922" s="20">
        <v>9.81</v>
      </c>
      <c r="BM922" s="20">
        <v>44.67</v>
      </c>
      <c r="BN922" s="20">
        <v>198.53</v>
      </c>
      <c r="BW922" s="20">
        <v>-30.33</v>
      </c>
      <c r="BX922" s="20">
        <v>-43.71</v>
      </c>
      <c r="BZ922" s="20">
        <v>-24.14</v>
      </c>
      <c r="CA922" s="20">
        <v>2.48</v>
      </c>
      <c r="CO922" s="20">
        <v>-14.63</v>
      </c>
      <c r="CP922" s="20">
        <v>-49.9</v>
      </c>
    </row>
    <row r="923">
      <c r="A923" s="20">
        <v>-16.95</v>
      </c>
      <c r="B923" s="20">
        <v>11.25</v>
      </c>
      <c r="D923" s="20"/>
      <c r="E923" s="20"/>
      <c r="F923" s="20">
        <v>-45.86</v>
      </c>
      <c r="G923" s="20">
        <v>-17.48</v>
      </c>
      <c r="I923" s="20"/>
      <c r="J923" s="20"/>
      <c r="K923" s="20">
        <v>461.0</v>
      </c>
      <c r="L923" s="20" t="s">
        <v>14</v>
      </c>
      <c r="M923" s="20">
        <v>1.89</v>
      </c>
      <c r="N923" s="20">
        <v>31.3</v>
      </c>
      <c r="P923" s="20">
        <v>0.45</v>
      </c>
      <c r="Q923" s="20">
        <v>43.01</v>
      </c>
      <c r="AG923" s="20">
        <v>921.0</v>
      </c>
      <c r="AH923" s="20" t="s">
        <v>14</v>
      </c>
      <c r="AI923" s="20">
        <v>-18.2</v>
      </c>
      <c r="AJ923" s="20">
        <v>-13.76</v>
      </c>
      <c r="AM923" s="20">
        <v>472.0</v>
      </c>
      <c r="AN923" s="20" t="s">
        <v>14</v>
      </c>
      <c r="AO923" s="20">
        <v>-1.14</v>
      </c>
      <c r="AP923" s="20">
        <v>-29.93</v>
      </c>
      <c r="AS923" s="20">
        <v>465.0</v>
      </c>
      <c r="AT923" s="20" t="s">
        <v>14</v>
      </c>
      <c r="AU923" s="20">
        <v>-21.79</v>
      </c>
      <c r="AV923" s="20">
        <v>-26.89</v>
      </c>
      <c r="BE923" s="20">
        <v>921.0</v>
      </c>
      <c r="BF923" s="20" t="s">
        <v>14</v>
      </c>
      <c r="BG923" s="20">
        <v>29.35</v>
      </c>
      <c r="BH923" s="20">
        <v>42.33</v>
      </c>
      <c r="BM923" s="20">
        <v>57.13</v>
      </c>
      <c r="BN923" s="20">
        <v>82.22</v>
      </c>
      <c r="BW923" s="20">
        <v>-22.15</v>
      </c>
      <c r="BX923" s="20">
        <v>-31.32</v>
      </c>
      <c r="BZ923" s="20">
        <v>-36.57</v>
      </c>
      <c r="CA923" s="20">
        <v>8.56</v>
      </c>
      <c r="CO923" s="20">
        <v>-8.97</v>
      </c>
      <c r="CP923" s="20">
        <v>-65.17</v>
      </c>
    </row>
    <row r="924">
      <c r="A924" s="20">
        <v>-35.88</v>
      </c>
      <c r="B924" s="20">
        <v>54.63</v>
      </c>
      <c r="D924" s="20"/>
      <c r="E924" s="20"/>
      <c r="F924" s="20">
        <v>-31.53</v>
      </c>
      <c r="G924" s="20">
        <v>-35.1</v>
      </c>
      <c r="I924" s="20"/>
      <c r="J924" s="20"/>
      <c r="K924" s="20">
        <v>461.0</v>
      </c>
      <c r="L924" s="20" t="s">
        <v>17</v>
      </c>
      <c r="M924" s="20">
        <v>-56.41</v>
      </c>
      <c r="N924" s="20">
        <v>-46.87</v>
      </c>
      <c r="P924" s="20">
        <v>-35.59</v>
      </c>
      <c r="Q924" s="20">
        <v>5.55</v>
      </c>
      <c r="AG924" s="20">
        <v>922.0</v>
      </c>
      <c r="AH924" s="20" t="s">
        <v>14</v>
      </c>
      <c r="AI924" s="20">
        <v>-17.42</v>
      </c>
      <c r="AJ924" s="20">
        <v>25.92</v>
      </c>
      <c r="AM924" s="20">
        <v>472.0</v>
      </c>
      <c r="AN924" s="20" t="s">
        <v>17</v>
      </c>
      <c r="AO924" s="20">
        <v>-12.23</v>
      </c>
      <c r="AP924" s="20">
        <v>-18.7</v>
      </c>
      <c r="AS924" s="20">
        <v>465.0</v>
      </c>
      <c r="AT924" s="20" t="s">
        <v>17</v>
      </c>
      <c r="AU924" s="20">
        <v>-20.23</v>
      </c>
      <c r="AV924" s="20">
        <v>-66.66</v>
      </c>
      <c r="BE924" s="20">
        <v>922.0</v>
      </c>
      <c r="BF924" s="20" t="s">
        <v>14</v>
      </c>
      <c r="BG924" s="20">
        <v>18.24</v>
      </c>
      <c r="BH924" s="20">
        <v>6.65</v>
      </c>
      <c r="BM924" s="20">
        <v>32.45</v>
      </c>
      <c r="BN924" s="20">
        <v>212.82</v>
      </c>
      <c r="BW924" s="20">
        <v>-62.17</v>
      </c>
      <c r="BX924" s="20">
        <v>-49.02</v>
      </c>
      <c r="BZ924" s="20">
        <v>-38.7</v>
      </c>
      <c r="CA924" s="20">
        <v>22.8</v>
      </c>
      <c r="CO924" s="20">
        <v>-17.27</v>
      </c>
      <c r="CP924" s="20">
        <v>-52.79</v>
      </c>
    </row>
    <row r="925">
      <c r="A925" s="20">
        <v>-45.34</v>
      </c>
      <c r="B925" s="20">
        <v>0.57</v>
      </c>
      <c r="D925" s="20"/>
      <c r="E925" s="20"/>
      <c r="F925" s="20">
        <v>-50.06</v>
      </c>
      <c r="G925" s="20">
        <v>2.87</v>
      </c>
      <c r="I925" s="20"/>
      <c r="J925" s="20"/>
      <c r="K925" s="20">
        <v>462.0</v>
      </c>
      <c r="L925" s="20" t="s">
        <v>14</v>
      </c>
      <c r="M925" s="20">
        <v>-25.08</v>
      </c>
      <c r="N925" s="20">
        <v>-10.14</v>
      </c>
      <c r="P925" s="20">
        <v>-15.74</v>
      </c>
      <c r="Q925" s="20">
        <v>0.83</v>
      </c>
      <c r="AG925" s="20">
        <v>923.0</v>
      </c>
      <c r="AH925" s="20" t="s">
        <v>14</v>
      </c>
      <c r="AI925" s="20">
        <v>-33.52</v>
      </c>
      <c r="AJ925" s="20">
        <v>-31.83</v>
      </c>
      <c r="AM925" s="20">
        <v>473.0</v>
      </c>
      <c r="AN925" s="20" t="s">
        <v>14</v>
      </c>
      <c r="AO925" s="20">
        <v>-3.67</v>
      </c>
      <c r="AP925" s="20">
        <v>-12.94</v>
      </c>
      <c r="AS925" s="20">
        <v>466.0</v>
      </c>
      <c r="AT925" s="20" t="s">
        <v>14</v>
      </c>
      <c r="AU925" s="20">
        <v>15.78</v>
      </c>
      <c r="AV925" s="20">
        <v>-9.93</v>
      </c>
      <c r="BE925" s="20">
        <v>923.0</v>
      </c>
      <c r="BF925" s="20" t="s">
        <v>14</v>
      </c>
      <c r="BG925" s="20">
        <v>36.71</v>
      </c>
      <c r="BH925" s="20">
        <v>46.24</v>
      </c>
      <c r="BM925" s="20">
        <v>79.77</v>
      </c>
      <c r="BN925" s="20">
        <v>95.89</v>
      </c>
      <c r="BW925" s="20">
        <v>-35.83</v>
      </c>
      <c r="BX925" s="20">
        <v>-23.19</v>
      </c>
      <c r="BZ925" s="20">
        <v>-10.86</v>
      </c>
      <c r="CA925" s="20">
        <v>141.06</v>
      </c>
      <c r="CO925" s="20">
        <v>-15.55</v>
      </c>
      <c r="CP925" s="20">
        <v>-61.61</v>
      </c>
    </row>
    <row r="926">
      <c r="A926" s="20">
        <v>51.76</v>
      </c>
      <c r="B926" s="20">
        <v>-32.97</v>
      </c>
      <c r="D926" s="20"/>
      <c r="E926" s="20"/>
      <c r="F926" s="20">
        <v>-38.64</v>
      </c>
      <c r="G926" s="20">
        <v>-34.99</v>
      </c>
      <c r="I926" s="20"/>
      <c r="J926" s="20"/>
      <c r="K926" s="20">
        <v>462.0</v>
      </c>
      <c r="L926" s="20" t="s">
        <v>17</v>
      </c>
      <c r="M926" s="20">
        <v>-24.33</v>
      </c>
      <c r="N926" s="20">
        <v>11.63</v>
      </c>
      <c r="P926" s="20">
        <v>-34.32</v>
      </c>
      <c r="Q926" s="20">
        <v>-15.53</v>
      </c>
      <c r="AG926" s="20">
        <v>924.0</v>
      </c>
      <c r="AH926" s="20" t="s">
        <v>14</v>
      </c>
      <c r="AI926" s="20">
        <v>-18.76</v>
      </c>
      <c r="AJ926" s="20">
        <v>-27.85</v>
      </c>
      <c r="AM926" s="20">
        <v>473.0</v>
      </c>
      <c r="AN926" s="20" t="s">
        <v>17</v>
      </c>
      <c r="AO926" s="20">
        <v>25.61</v>
      </c>
      <c r="AP926" s="20">
        <v>4.84</v>
      </c>
      <c r="AS926" s="20">
        <v>466.0</v>
      </c>
      <c r="AT926" s="20" t="s">
        <v>17</v>
      </c>
      <c r="AU926" s="20">
        <v>-27.29</v>
      </c>
      <c r="AV926" s="20">
        <v>-65.94</v>
      </c>
      <c r="BE926" s="20">
        <v>924.0</v>
      </c>
      <c r="BF926" s="20" t="s">
        <v>14</v>
      </c>
      <c r="BG926" s="20">
        <v>26.22</v>
      </c>
      <c r="BH926" s="20">
        <v>2.24</v>
      </c>
      <c r="BM926" s="20">
        <v>45.39</v>
      </c>
      <c r="BN926" s="20">
        <v>46.31</v>
      </c>
      <c r="BW926" s="20">
        <v>-14.84</v>
      </c>
      <c r="BX926" s="20">
        <v>-39.5</v>
      </c>
      <c r="BZ926" s="20">
        <v>-59.95</v>
      </c>
      <c r="CA926" s="20">
        <v>85.19</v>
      </c>
      <c r="CO926" s="20">
        <v>-31.15</v>
      </c>
      <c r="CP926" s="20">
        <v>-61.97</v>
      </c>
    </row>
    <row r="927">
      <c r="A927" s="20">
        <v>29.02</v>
      </c>
      <c r="B927" s="20">
        <v>4.41</v>
      </c>
      <c r="D927" s="20"/>
      <c r="E927" s="20"/>
      <c r="F927" s="20">
        <v>-18.64</v>
      </c>
      <c r="G927" s="20">
        <v>-47.71</v>
      </c>
      <c r="I927" s="20"/>
      <c r="J927" s="20"/>
      <c r="K927" s="20">
        <v>463.0</v>
      </c>
      <c r="L927" s="20" t="s">
        <v>14</v>
      </c>
      <c r="M927" s="20">
        <v>-28.95</v>
      </c>
      <c r="N927" s="20">
        <v>18.1</v>
      </c>
      <c r="P927" s="20">
        <v>4.97</v>
      </c>
      <c r="Q927" s="20">
        <v>123.58</v>
      </c>
      <c r="AG927" s="20">
        <v>925.0</v>
      </c>
      <c r="AH927" s="20" t="s">
        <v>14</v>
      </c>
      <c r="AI927" s="20">
        <v>-34.85</v>
      </c>
      <c r="AJ927" s="20">
        <v>-19.85</v>
      </c>
      <c r="AM927" s="20">
        <v>474.0</v>
      </c>
      <c r="AN927" s="20" t="s">
        <v>14</v>
      </c>
      <c r="AO927" s="20">
        <v>0.02</v>
      </c>
      <c r="AP927" s="20">
        <v>1.8</v>
      </c>
      <c r="AS927" s="20">
        <v>467.0</v>
      </c>
      <c r="AT927" s="20" t="s">
        <v>14</v>
      </c>
      <c r="AU927" s="20">
        <v>-12.65</v>
      </c>
      <c r="AV927" s="20">
        <v>-27.72</v>
      </c>
      <c r="BE927" s="20">
        <v>925.0</v>
      </c>
      <c r="BF927" s="20" t="s">
        <v>14</v>
      </c>
      <c r="BG927" s="20">
        <v>-12.22</v>
      </c>
      <c r="BH927" s="20">
        <v>-0.51</v>
      </c>
      <c r="BM927" s="20">
        <v>36.46</v>
      </c>
      <c r="BN927" s="20">
        <v>129.72</v>
      </c>
      <c r="BW927" s="20">
        <v>-42.9</v>
      </c>
      <c r="BX927" s="20">
        <v>-29.59</v>
      </c>
      <c r="BZ927" s="20">
        <v>-34.63</v>
      </c>
      <c r="CA927" s="20">
        <v>55.11</v>
      </c>
      <c r="CO927" s="20">
        <v>-24.88</v>
      </c>
      <c r="CP927" s="20">
        <v>-55.59</v>
      </c>
    </row>
    <row r="928">
      <c r="A928" s="20">
        <v>13.49</v>
      </c>
      <c r="B928" s="20">
        <v>21.91</v>
      </c>
      <c r="D928" s="20"/>
      <c r="E928" s="20"/>
      <c r="F928" s="20">
        <v>-27.71</v>
      </c>
      <c r="G928" s="20">
        <v>-18.23</v>
      </c>
      <c r="I928" s="20"/>
      <c r="J928" s="20"/>
      <c r="K928" s="20">
        <v>463.0</v>
      </c>
      <c r="L928" s="20" t="s">
        <v>17</v>
      </c>
      <c r="M928" s="20">
        <v>15.58</v>
      </c>
      <c r="N928" s="20">
        <v>-20.68</v>
      </c>
      <c r="P928" s="20">
        <v>-40.13</v>
      </c>
      <c r="Q928" s="20">
        <v>11.38</v>
      </c>
      <c r="AG928" s="20">
        <v>926.0</v>
      </c>
      <c r="AH928" s="20" t="s">
        <v>14</v>
      </c>
      <c r="AI928" s="20">
        <v>-25.44</v>
      </c>
      <c r="AJ928" s="20">
        <v>-20.35</v>
      </c>
      <c r="AM928" s="20">
        <v>474.0</v>
      </c>
      <c r="AN928" s="20" t="s">
        <v>17</v>
      </c>
      <c r="AO928" s="20">
        <v>-24.15</v>
      </c>
      <c r="AP928" s="20">
        <v>1.35</v>
      </c>
      <c r="AS928" s="20">
        <v>467.0</v>
      </c>
      <c r="AT928" s="20" t="s">
        <v>17</v>
      </c>
      <c r="AU928" s="20">
        <v>-31.82</v>
      </c>
      <c r="AV928" s="20">
        <v>-70.46</v>
      </c>
      <c r="BE928" s="20">
        <v>926.0</v>
      </c>
      <c r="BF928" s="20" t="s">
        <v>14</v>
      </c>
      <c r="BG928" s="20">
        <v>-18.57</v>
      </c>
      <c r="BH928" s="20">
        <v>16.67</v>
      </c>
      <c r="BM928" s="20">
        <v>83.76</v>
      </c>
      <c r="BN928" s="20">
        <v>81.83</v>
      </c>
      <c r="BW928" s="20">
        <v>-18.83</v>
      </c>
      <c r="BX928" s="20">
        <v>-32.19</v>
      </c>
      <c r="BZ928" s="20">
        <v>-21.38</v>
      </c>
      <c r="CA928" s="20">
        <v>-8.86</v>
      </c>
      <c r="CO928" s="20">
        <v>-7.77</v>
      </c>
      <c r="CP928" s="20">
        <v>-63.17</v>
      </c>
    </row>
    <row r="929">
      <c r="A929" s="20">
        <v>27.63</v>
      </c>
      <c r="B929" s="20">
        <v>16.67</v>
      </c>
      <c r="D929" s="20"/>
      <c r="E929" s="20"/>
      <c r="F929" s="20">
        <v>-27.37</v>
      </c>
      <c r="G929" s="20">
        <v>-24.48</v>
      </c>
      <c r="I929" s="20"/>
      <c r="J929" s="20"/>
      <c r="K929" s="20">
        <v>464.0</v>
      </c>
      <c r="L929" s="20" t="s">
        <v>14</v>
      </c>
      <c r="M929" s="20">
        <v>-30.8</v>
      </c>
      <c r="N929" s="20">
        <v>18.43</v>
      </c>
      <c r="P929" s="20">
        <v>-14.98</v>
      </c>
      <c r="Q929" s="20">
        <v>5.24</v>
      </c>
      <c r="AG929" s="20">
        <v>927.0</v>
      </c>
      <c r="AH929" s="20" t="s">
        <v>14</v>
      </c>
      <c r="AI929" s="20">
        <v>-19.54</v>
      </c>
      <c r="AJ929" s="20">
        <v>-13.71</v>
      </c>
      <c r="AM929" s="20">
        <v>475.0</v>
      </c>
      <c r="AN929" s="20" t="s">
        <v>14</v>
      </c>
      <c r="AO929" s="20">
        <v>1.83</v>
      </c>
      <c r="AP929" s="20">
        <v>17.29</v>
      </c>
      <c r="AS929" s="20">
        <v>468.0</v>
      </c>
      <c r="AT929" s="20" t="s">
        <v>14</v>
      </c>
      <c r="AU929" s="20">
        <v>-15.28</v>
      </c>
      <c r="AV929" s="20">
        <v>-15.18</v>
      </c>
      <c r="BE929" s="20">
        <v>927.0</v>
      </c>
      <c r="BF929" s="20" t="s">
        <v>14</v>
      </c>
      <c r="BG929" s="20">
        <v>25.86</v>
      </c>
      <c r="BH929" s="20">
        <v>14.74</v>
      </c>
      <c r="BM929" s="20">
        <v>164.05</v>
      </c>
      <c r="BN929" s="20">
        <v>134.51</v>
      </c>
      <c r="BW929" s="20">
        <v>-39.55</v>
      </c>
      <c r="BX929" s="20">
        <v>-8.06</v>
      </c>
      <c r="BZ929" s="20">
        <v>-32.36</v>
      </c>
      <c r="CA929" s="20">
        <v>67.32</v>
      </c>
      <c r="CO929" s="20">
        <v>-42.54</v>
      </c>
      <c r="CP929" s="20">
        <v>-48.08</v>
      </c>
    </row>
    <row r="930">
      <c r="A930" s="20">
        <v>28.88</v>
      </c>
      <c r="B930" s="20">
        <v>54.88</v>
      </c>
      <c r="D930" s="20"/>
      <c r="E930" s="20"/>
      <c r="F930" s="20">
        <v>-2.13</v>
      </c>
      <c r="G930" s="20">
        <v>11.66</v>
      </c>
      <c r="I930" s="20"/>
      <c r="J930" s="20"/>
      <c r="K930" s="20">
        <v>464.0</v>
      </c>
      <c r="L930" s="20" t="s">
        <v>17</v>
      </c>
      <c r="M930" s="20">
        <v>-22.57</v>
      </c>
      <c r="N930" s="20">
        <v>-18.9</v>
      </c>
      <c r="P930" s="20">
        <v>-24.1</v>
      </c>
      <c r="Q930" s="20">
        <v>20.66</v>
      </c>
      <c r="AG930" s="20">
        <v>928.0</v>
      </c>
      <c r="AH930" s="20" t="s">
        <v>14</v>
      </c>
      <c r="AI930" s="20">
        <v>-18.02</v>
      </c>
      <c r="AJ930" s="20">
        <v>-6.58</v>
      </c>
      <c r="AM930" s="20">
        <v>475.0</v>
      </c>
      <c r="AN930" s="20" t="s">
        <v>17</v>
      </c>
      <c r="AO930" s="20">
        <v>6.07</v>
      </c>
      <c r="AP930" s="20">
        <v>10.27</v>
      </c>
      <c r="AS930" s="20">
        <v>468.0</v>
      </c>
      <c r="AT930" s="20" t="s">
        <v>17</v>
      </c>
      <c r="AU930" s="20">
        <v>11.0</v>
      </c>
      <c r="AV930" s="20">
        <v>-32.98</v>
      </c>
      <c r="BE930" s="20">
        <v>928.0</v>
      </c>
      <c r="BF930" s="20" t="s">
        <v>14</v>
      </c>
      <c r="BG930" s="20">
        <v>1.87</v>
      </c>
      <c r="BH930" s="20">
        <v>4.17</v>
      </c>
      <c r="BM930" s="20">
        <v>75.95</v>
      </c>
      <c r="BN930" s="20">
        <v>137.13</v>
      </c>
      <c r="BW930" s="20">
        <v>-11.48</v>
      </c>
      <c r="BX930" s="20">
        <v>6.98</v>
      </c>
      <c r="BZ930" s="20">
        <v>-43.45</v>
      </c>
      <c r="CA930" s="20">
        <v>131.74</v>
      </c>
      <c r="CO930" s="20">
        <v>4.84</v>
      </c>
      <c r="CP930" s="20">
        <v>-64.15</v>
      </c>
    </row>
    <row r="931">
      <c r="A931" s="20">
        <v>111.65</v>
      </c>
      <c r="B931" s="20">
        <v>111.48</v>
      </c>
      <c r="D931" s="20"/>
      <c r="E931" s="20"/>
      <c r="F931" s="20">
        <v>-32.36</v>
      </c>
      <c r="G931" s="20">
        <v>-52.53</v>
      </c>
      <c r="I931" s="20"/>
      <c r="J931" s="20"/>
      <c r="K931" s="20">
        <v>465.0</v>
      </c>
      <c r="L931" s="20" t="s">
        <v>14</v>
      </c>
      <c r="M931" s="20">
        <v>17.23</v>
      </c>
      <c r="N931" s="20">
        <v>13.5</v>
      </c>
      <c r="P931" s="20">
        <v>-2.69</v>
      </c>
      <c r="Q931" s="20">
        <v>-1.38</v>
      </c>
      <c r="AG931" s="20">
        <v>929.0</v>
      </c>
      <c r="AH931" s="20" t="s">
        <v>14</v>
      </c>
      <c r="AI931" s="20">
        <v>-15.45</v>
      </c>
      <c r="AJ931" s="20">
        <v>-26.06</v>
      </c>
      <c r="AM931" s="20">
        <v>476.0</v>
      </c>
      <c r="AN931" s="20" t="s">
        <v>14</v>
      </c>
      <c r="AO931" s="20">
        <v>25.89</v>
      </c>
      <c r="AP931" s="20">
        <v>9.3</v>
      </c>
      <c r="AS931" s="20">
        <v>469.0</v>
      </c>
      <c r="AT931" s="20" t="s">
        <v>14</v>
      </c>
      <c r="AU931" s="20">
        <v>-4.26</v>
      </c>
      <c r="AV931" s="20">
        <v>-39.57</v>
      </c>
      <c r="BE931" s="20">
        <v>929.0</v>
      </c>
      <c r="BF931" s="20" t="s">
        <v>14</v>
      </c>
      <c r="BG931" s="20">
        <v>9.75</v>
      </c>
      <c r="BH931" s="20">
        <v>-10.31</v>
      </c>
      <c r="BM931" s="20">
        <v>10.8</v>
      </c>
      <c r="BN931" s="20">
        <v>64.13</v>
      </c>
      <c r="BW931" s="20">
        <v>-16.65</v>
      </c>
      <c r="BX931" s="20">
        <v>-30.07</v>
      </c>
      <c r="BZ931" s="20">
        <v>-47.8</v>
      </c>
      <c r="CA931" s="20">
        <v>23.6</v>
      </c>
      <c r="CO931" s="20">
        <v>-22.35</v>
      </c>
      <c r="CP931" s="20">
        <v>-60.2</v>
      </c>
    </row>
    <row r="932">
      <c r="A932" s="20">
        <v>46.5</v>
      </c>
      <c r="B932" s="20">
        <v>71.38</v>
      </c>
      <c r="D932" s="20"/>
      <c r="E932" s="20"/>
      <c r="F932" s="20">
        <v>-31.77</v>
      </c>
      <c r="G932" s="20">
        <v>16.9</v>
      </c>
      <c r="I932" s="20"/>
      <c r="J932" s="20"/>
      <c r="K932" s="20">
        <v>465.0</v>
      </c>
      <c r="L932" s="20" t="s">
        <v>17</v>
      </c>
      <c r="M932" s="20">
        <v>12.91</v>
      </c>
      <c r="N932" s="20">
        <v>-20.78</v>
      </c>
      <c r="P932" s="20">
        <v>-12.63</v>
      </c>
      <c r="Q932" s="20">
        <v>11.91</v>
      </c>
      <c r="AG932" s="20">
        <v>930.0</v>
      </c>
      <c r="AH932" s="20" t="s">
        <v>14</v>
      </c>
      <c r="AI932" s="20">
        <v>5.76</v>
      </c>
      <c r="AJ932" s="20">
        <v>-12.5</v>
      </c>
      <c r="AM932" s="20">
        <v>476.0</v>
      </c>
      <c r="AN932" s="20" t="s">
        <v>17</v>
      </c>
      <c r="AO932" s="20">
        <v>-24.91</v>
      </c>
      <c r="AP932" s="20">
        <v>53.77</v>
      </c>
      <c r="AS932" s="20">
        <v>469.0</v>
      </c>
      <c r="AT932" s="20" t="s">
        <v>17</v>
      </c>
      <c r="AU932" s="20">
        <v>-16.77</v>
      </c>
      <c r="AV932" s="20">
        <v>-43.45</v>
      </c>
      <c r="BE932" s="20">
        <v>930.0</v>
      </c>
      <c r="BF932" s="20" t="s">
        <v>14</v>
      </c>
      <c r="BG932" s="20">
        <v>16.91</v>
      </c>
      <c r="BH932" s="20">
        <v>15.45</v>
      </c>
      <c r="BM932" s="20">
        <v>42.73</v>
      </c>
      <c r="BN932" s="20">
        <v>102.27</v>
      </c>
      <c r="BW932" s="20">
        <v>-12.33</v>
      </c>
      <c r="BX932" s="20">
        <v>-23.08</v>
      </c>
      <c r="BZ932" s="20">
        <v>-47.48</v>
      </c>
      <c r="CA932" s="20">
        <v>-29.14</v>
      </c>
      <c r="CO932" s="20">
        <v>-19.23</v>
      </c>
      <c r="CP932" s="20">
        <v>-59.73</v>
      </c>
    </row>
    <row r="933">
      <c r="A933" s="20">
        <v>-34.06</v>
      </c>
      <c r="B933" s="20">
        <v>46.42</v>
      </c>
      <c r="D933" s="20"/>
      <c r="E933" s="20"/>
      <c r="F933" s="20">
        <v>-5.07</v>
      </c>
      <c r="G933" s="20">
        <v>-1.45</v>
      </c>
      <c r="I933" s="20"/>
      <c r="J933" s="20"/>
      <c r="K933" s="20">
        <v>466.0</v>
      </c>
      <c r="L933" s="20" t="s">
        <v>14</v>
      </c>
      <c r="M933" s="20">
        <v>23.59</v>
      </c>
      <c r="N933" s="20">
        <v>-1.81</v>
      </c>
      <c r="P933" s="20">
        <v>-16.41</v>
      </c>
      <c r="Q933" s="20">
        <v>-14.29</v>
      </c>
      <c r="AG933" s="20">
        <v>931.0</v>
      </c>
      <c r="AH933" s="20" t="s">
        <v>14</v>
      </c>
      <c r="AI933" s="20">
        <v>-19.37</v>
      </c>
      <c r="AJ933" s="20">
        <v>-0.58</v>
      </c>
      <c r="AM933" s="20">
        <v>477.0</v>
      </c>
      <c r="AN933" s="20" t="s">
        <v>14</v>
      </c>
      <c r="AO933" s="20">
        <v>2.12</v>
      </c>
      <c r="AP933" s="20">
        <v>-5.5</v>
      </c>
      <c r="AS933" s="20">
        <v>470.0</v>
      </c>
      <c r="AT933" s="20" t="s">
        <v>14</v>
      </c>
      <c r="AU933" s="20">
        <v>-2.66</v>
      </c>
      <c r="AV933" s="20">
        <v>-21.59</v>
      </c>
      <c r="BE933" s="20">
        <v>931.0</v>
      </c>
      <c r="BF933" s="20" t="s">
        <v>14</v>
      </c>
      <c r="BG933" s="20">
        <v>4.55</v>
      </c>
      <c r="BH933" s="20">
        <v>33.72</v>
      </c>
      <c r="BM933" s="20">
        <v>67.18</v>
      </c>
      <c r="BN933" s="20">
        <v>126.41</v>
      </c>
      <c r="BW933" s="20">
        <v>-35.33</v>
      </c>
      <c r="BX933" s="20">
        <v>-23.06</v>
      </c>
      <c r="BZ933" s="20">
        <v>-44.27</v>
      </c>
      <c r="CA933" s="20">
        <v>334.17</v>
      </c>
      <c r="CO933" s="20">
        <v>-17.82</v>
      </c>
      <c r="CP933" s="20">
        <v>-56.64</v>
      </c>
    </row>
    <row r="934">
      <c r="A934" s="20">
        <v>79.38</v>
      </c>
      <c r="B934" s="20">
        <v>84.64</v>
      </c>
      <c r="D934" s="20"/>
      <c r="E934" s="20"/>
      <c r="F934" s="20">
        <v>-0.09</v>
      </c>
      <c r="G934" s="20">
        <v>-3.49</v>
      </c>
      <c r="I934" s="20"/>
      <c r="J934" s="20"/>
      <c r="K934" s="20">
        <v>466.0</v>
      </c>
      <c r="L934" s="20" t="s">
        <v>17</v>
      </c>
      <c r="M934" s="20">
        <v>13.83</v>
      </c>
      <c r="N934" s="20">
        <v>-3.02</v>
      </c>
      <c r="P934" s="20">
        <v>-19.37</v>
      </c>
      <c r="Q934" s="20">
        <v>-10.8</v>
      </c>
      <c r="AG934" s="20">
        <v>932.0</v>
      </c>
      <c r="AH934" s="20" t="s">
        <v>14</v>
      </c>
      <c r="AI934" s="20">
        <v>-14.12</v>
      </c>
      <c r="AJ934" s="20">
        <v>-20.69</v>
      </c>
      <c r="AM934" s="20">
        <v>477.0</v>
      </c>
      <c r="AN934" s="20" t="s">
        <v>17</v>
      </c>
      <c r="AO934" s="20">
        <v>-15.33</v>
      </c>
      <c r="AP934" s="20">
        <v>-9.62</v>
      </c>
      <c r="AS934" s="20">
        <v>470.0</v>
      </c>
      <c r="AT934" s="20" t="s">
        <v>17</v>
      </c>
      <c r="AU934" s="20">
        <v>-22.61</v>
      </c>
      <c r="AV934" s="20">
        <v>-49.21</v>
      </c>
      <c r="BE934" s="20">
        <v>932.0</v>
      </c>
      <c r="BF934" s="20" t="s">
        <v>14</v>
      </c>
      <c r="BG934" s="20">
        <v>-9.84</v>
      </c>
      <c r="BH934" s="20">
        <v>-10.03</v>
      </c>
      <c r="BM934" s="20">
        <v>56.9</v>
      </c>
      <c r="BN934" s="20">
        <v>138.22</v>
      </c>
      <c r="BW934" s="20">
        <v>-38.63</v>
      </c>
      <c r="BX934" s="20">
        <v>-28.12</v>
      </c>
      <c r="BZ934" s="20">
        <v>-63.69</v>
      </c>
      <c r="CA934" s="20">
        <v>109.88</v>
      </c>
      <c r="CO934" s="20">
        <v>-11.8</v>
      </c>
      <c r="CP934" s="20">
        <v>-53.63</v>
      </c>
    </row>
    <row r="935">
      <c r="A935" s="20">
        <v>-3.61</v>
      </c>
      <c r="B935" s="20">
        <v>129.59</v>
      </c>
      <c r="D935" s="20"/>
      <c r="E935" s="20"/>
      <c r="F935" s="20">
        <v>20.34</v>
      </c>
      <c r="G935" s="20">
        <v>9.89</v>
      </c>
      <c r="I935" s="20"/>
      <c r="J935" s="20"/>
      <c r="K935" s="20">
        <v>467.0</v>
      </c>
      <c r="L935" s="20" t="s">
        <v>14</v>
      </c>
      <c r="M935" s="20">
        <v>-19.87</v>
      </c>
      <c r="N935" s="20">
        <v>50.66</v>
      </c>
      <c r="P935" s="20">
        <v>14.5</v>
      </c>
      <c r="Q935" s="20">
        <v>3.86</v>
      </c>
      <c r="AG935" s="20">
        <v>933.0</v>
      </c>
      <c r="AH935" s="20" t="s">
        <v>14</v>
      </c>
      <c r="AI935" s="20">
        <v>-0.44</v>
      </c>
      <c r="AJ935" s="20">
        <v>-21.56</v>
      </c>
      <c r="AM935" s="20">
        <v>478.0</v>
      </c>
      <c r="AN935" s="20" t="s">
        <v>14</v>
      </c>
      <c r="AO935" s="20">
        <v>-9.25</v>
      </c>
      <c r="AP935" s="20">
        <v>-18.03</v>
      </c>
      <c r="AS935" s="20">
        <v>471.0</v>
      </c>
      <c r="AT935" s="20" t="s">
        <v>14</v>
      </c>
      <c r="AU935" s="20">
        <v>-20.94</v>
      </c>
      <c r="AV935" s="20">
        <v>-26.89</v>
      </c>
      <c r="BE935" s="20">
        <v>933.0</v>
      </c>
      <c r="BF935" s="20" t="s">
        <v>14</v>
      </c>
      <c r="BG935" s="20">
        <v>0.18</v>
      </c>
      <c r="BH935" s="20">
        <v>0.42</v>
      </c>
      <c r="BM935" s="20">
        <v>-21.35</v>
      </c>
      <c r="BN935" s="20">
        <v>21.48</v>
      </c>
      <c r="BW935" s="20">
        <v>-30.58</v>
      </c>
      <c r="BX935" s="20">
        <v>-18.28</v>
      </c>
      <c r="BZ935" s="20">
        <v>-38.56</v>
      </c>
      <c r="CA935" s="20">
        <v>14.26</v>
      </c>
      <c r="CO935" s="20">
        <v>-27.73</v>
      </c>
      <c r="CP935" s="20">
        <v>-62.78</v>
      </c>
    </row>
    <row r="936">
      <c r="A936" s="20">
        <v>16.41</v>
      </c>
      <c r="B936" s="20">
        <v>257.84</v>
      </c>
      <c r="D936" s="20"/>
      <c r="E936" s="20"/>
      <c r="F936" s="20">
        <v>-5.99</v>
      </c>
      <c r="G936" s="20">
        <v>22.86</v>
      </c>
      <c r="I936" s="20"/>
      <c r="J936" s="20"/>
      <c r="K936" s="20">
        <v>467.0</v>
      </c>
      <c r="L936" s="20" t="s">
        <v>17</v>
      </c>
      <c r="M936" s="20">
        <v>-35.34</v>
      </c>
      <c r="N936" s="20">
        <v>0.89</v>
      </c>
      <c r="P936" s="20">
        <v>-25.9</v>
      </c>
      <c r="Q936" s="20">
        <v>53.56</v>
      </c>
      <c r="AG936" s="20">
        <v>934.0</v>
      </c>
      <c r="AH936" s="20" t="s">
        <v>14</v>
      </c>
      <c r="AI936" s="20">
        <v>-51.18</v>
      </c>
      <c r="AJ936" s="20">
        <v>-33.97</v>
      </c>
      <c r="AM936" s="20">
        <v>478.0</v>
      </c>
      <c r="AN936" s="20" t="s">
        <v>17</v>
      </c>
      <c r="AO936" s="20">
        <v>-20.39</v>
      </c>
      <c r="AP936" s="20">
        <v>-26.37</v>
      </c>
      <c r="AS936" s="20">
        <v>471.0</v>
      </c>
      <c r="AT936" s="20" t="s">
        <v>17</v>
      </c>
      <c r="AU936" s="20">
        <v>-0.19</v>
      </c>
      <c r="AV936" s="20">
        <v>-32.85</v>
      </c>
      <c r="BE936" s="20">
        <v>934.0</v>
      </c>
      <c r="BF936" s="20" t="s">
        <v>14</v>
      </c>
      <c r="BG936" s="20">
        <v>37.74</v>
      </c>
      <c r="BH936" s="20">
        <v>12.39</v>
      </c>
      <c r="BM936" s="20">
        <v>31.11</v>
      </c>
      <c r="BN936" s="20">
        <v>123.35</v>
      </c>
      <c r="BW936" s="20">
        <v>-52.47</v>
      </c>
      <c r="BX936" s="20">
        <v>-39.43</v>
      </c>
      <c r="BZ936" s="20">
        <v>-35.19</v>
      </c>
      <c r="CA936" s="20">
        <v>-14.11</v>
      </c>
      <c r="CO936" s="20">
        <v>-26.53</v>
      </c>
      <c r="CP936" s="20">
        <v>-46.89</v>
      </c>
    </row>
    <row r="937">
      <c r="A937" s="20">
        <v>-39.52</v>
      </c>
      <c r="B937" s="20">
        <v>41.92</v>
      </c>
      <c r="D937" s="20"/>
      <c r="E937" s="20"/>
      <c r="F937" s="20">
        <v>-32.71</v>
      </c>
      <c r="G937" s="20">
        <v>4.67</v>
      </c>
      <c r="I937" s="20"/>
      <c r="J937" s="20"/>
      <c r="K937" s="20">
        <v>468.0</v>
      </c>
      <c r="L937" s="20" t="s">
        <v>14</v>
      </c>
      <c r="M937" s="20">
        <v>-2.75</v>
      </c>
      <c r="N937" s="20">
        <v>60.82</v>
      </c>
      <c r="P937" s="20">
        <v>17.67</v>
      </c>
      <c r="Q937" s="20">
        <v>30.89</v>
      </c>
      <c r="AG937" s="20">
        <v>935.0</v>
      </c>
      <c r="AH937" s="20" t="s">
        <v>14</v>
      </c>
      <c r="AI937" s="20">
        <v>12.0</v>
      </c>
      <c r="AJ937" s="20">
        <v>-7.49</v>
      </c>
      <c r="AM937" s="20">
        <v>479.0</v>
      </c>
      <c r="AN937" s="20" t="s">
        <v>14</v>
      </c>
      <c r="AO937" s="20">
        <v>9.43</v>
      </c>
      <c r="AP937" s="20">
        <v>-20.35</v>
      </c>
      <c r="AS937" s="20">
        <v>472.0</v>
      </c>
      <c r="AT937" s="20" t="s">
        <v>14</v>
      </c>
      <c r="AU937" s="20">
        <v>-1.82</v>
      </c>
      <c r="AV937" s="20">
        <v>-18.54</v>
      </c>
      <c r="BE937" s="20">
        <v>935.0</v>
      </c>
      <c r="BF937" s="20" t="s">
        <v>14</v>
      </c>
      <c r="BG937" s="20">
        <v>-8.89</v>
      </c>
      <c r="BH937" s="20">
        <v>12.4</v>
      </c>
      <c r="BM937" s="20">
        <v>36.56</v>
      </c>
      <c r="BN937" s="20">
        <v>81.42</v>
      </c>
      <c r="BW937" s="20">
        <v>-47.31</v>
      </c>
      <c r="BX937" s="20">
        <v>-38.04</v>
      </c>
      <c r="BZ937" s="20">
        <v>-27.73</v>
      </c>
      <c r="CA937" s="20">
        <v>95.92</v>
      </c>
      <c r="CO937" s="20">
        <v>-19.19</v>
      </c>
      <c r="CP937" s="20">
        <v>-62.5</v>
      </c>
    </row>
    <row r="938">
      <c r="A938" s="20">
        <v>-31.55</v>
      </c>
      <c r="B938" s="20">
        <v>69.53</v>
      </c>
      <c r="D938" s="20"/>
      <c r="E938" s="20"/>
      <c r="F938" s="20">
        <v>-31.76</v>
      </c>
      <c r="G938" s="20">
        <v>5.33</v>
      </c>
      <c r="I938" s="20"/>
      <c r="J938" s="20"/>
      <c r="K938" s="20">
        <v>468.0</v>
      </c>
      <c r="L938" s="20" t="s">
        <v>17</v>
      </c>
      <c r="M938" s="20">
        <v>-0.98</v>
      </c>
      <c r="N938" s="20">
        <v>22.35</v>
      </c>
      <c r="P938" s="20">
        <v>-19.53</v>
      </c>
      <c r="Q938" s="20">
        <v>51.99</v>
      </c>
      <c r="AG938" s="20">
        <v>936.0</v>
      </c>
      <c r="AH938" s="20" t="s">
        <v>14</v>
      </c>
      <c r="AI938" s="20">
        <v>-15.35</v>
      </c>
      <c r="AJ938" s="20">
        <v>-24.38</v>
      </c>
      <c r="AM938" s="20">
        <v>479.0</v>
      </c>
      <c r="AN938" s="20" t="s">
        <v>17</v>
      </c>
      <c r="AO938" s="20">
        <v>-31.34</v>
      </c>
      <c r="AP938" s="20">
        <v>7.22</v>
      </c>
      <c r="AS938" s="20">
        <v>472.0</v>
      </c>
      <c r="AT938" s="20" t="s">
        <v>17</v>
      </c>
      <c r="AU938" s="20">
        <v>10.72</v>
      </c>
      <c r="AV938" s="20">
        <v>-35.44</v>
      </c>
      <c r="BE938" s="20">
        <v>936.0</v>
      </c>
      <c r="BF938" s="20" t="s">
        <v>14</v>
      </c>
      <c r="BG938" s="20">
        <v>46.81</v>
      </c>
      <c r="BH938" s="20">
        <v>0.06</v>
      </c>
      <c r="BM938" s="20">
        <v>11.14</v>
      </c>
      <c r="BN938" s="20">
        <v>124.0</v>
      </c>
      <c r="BW938" s="20">
        <v>-16.75</v>
      </c>
      <c r="BX938" s="20">
        <v>-15.05</v>
      </c>
      <c r="BZ938" s="20">
        <v>-34.87</v>
      </c>
      <c r="CA938" s="20">
        <v>114.36</v>
      </c>
      <c r="CO938" s="20">
        <v>-32.47</v>
      </c>
      <c r="CP938" s="20">
        <v>-74.01</v>
      </c>
    </row>
    <row r="939">
      <c r="A939" s="20">
        <v>174.0</v>
      </c>
      <c r="B939" s="20">
        <v>128.67</v>
      </c>
      <c r="D939" s="20"/>
      <c r="E939" s="20"/>
      <c r="F939" s="20">
        <v>-45.66</v>
      </c>
      <c r="G939" s="20">
        <v>-14.33</v>
      </c>
      <c r="I939" s="20"/>
      <c r="J939" s="20"/>
      <c r="K939" s="20">
        <v>469.0</v>
      </c>
      <c r="L939" s="20" t="s">
        <v>14</v>
      </c>
      <c r="M939" s="20">
        <v>22.32</v>
      </c>
      <c r="N939" s="20">
        <v>38.85</v>
      </c>
      <c r="P939" s="20">
        <v>-12.05</v>
      </c>
      <c r="Q939" s="20">
        <v>14.17</v>
      </c>
      <c r="AG939" s="20">
        <v>937.0</v>
      </c>
      <c r="AH939" s="20" t="s">
        <v>14</v>
      </c>
      <c r="AI939" s="20">
        <v>-44.26</v>
      </c>
      <c r="AJ939" s="20">
        <v>-42.09</v>
      </c>
      <c r="AM939" s="20">
        <v>480.0</v>
      </c>
      <c r="AN939" s="20" t="s">
        <v>14</v>
      </c>
      <c r="AO939" s="20">
        <v>4.39</v>
      </c>
      <c r="AP939" s="20">
        <v>-10.96</v>
      </c>
      <c r="AS939" s="20">
        <v>473.0</v>
      </c>
      <c r="AT939" s="20" t="s">
        <v>14</v>
      </c>
      <c r="AU939" s="20">
        <v>-19.09</v>
      </c>
      <c r="AV939" s="20">
        <v>-36.73</v>
      </c>
      <c r="BE939" s="20">
        <v>937.0</v>
      </c>
      <c r="BF939" s="20" t="s">
        <v>14</v>
      </c>
      <c r="BG939" s="20">
        <v>19.48</v>
      </c>
      <c r="BH939" s="20">
        <v>-14.5</v>
      </c>
      <c r="BM939" s="20">
        <v>-55.45</v>
      </c>
      <c r="BN939" s="20">
        <v>-30.62</v>
      </c>
      <c r="BW939" s="20">
        <v>-50.48</v>
      </c>
      <c r="BX939" s="20">
        <v>-31.53</v>
      </c>
      <c r="BZ939" s="20">
        <v>-45.8</v>
      </c>
      <c r="CA939" s="20">
        <v>1.78</v>
      </c>
      <c r="CO939" s="20">
        <v>-36.19</v>
      </c>
      <c r="CP939" s="20">
        <v>-63.92</v>
      </c>
    </row>
    <row r="940">
      <c r="A940" s="20">
        <v>152.44</v>
      </c>
      <c r="B940" s="20">
        <v>74.34</v>
      </c>
      <c r="D940" s="20"/>
      <c r="E940" s="20"/>
      <c r="F940" s="20">
        <v>-26.29</v>
      </c>
      <c r="G940" s="20">
        <v>-36.64</v>
      </c>
      <c r="I940" s="20"/>
      <c r="J940" s="20"/>
      <c r="K940" s="20">
        <v>469.0</v>
      </c>
      <c r="L940" s="20" t="s">
        <v>17</v>
      </c>
      <c r="M940" s="20">
        <v>-26.47</v>
      </c>
      <c r="N940" s="20">
        <v>64.89</v>
      </c>
      <c r="P940" s="20">
        <v>-51.87</v>
      </c>
      <c r="Q940" s="20">
        <v>-22.09</v>
      </c>
      <c r="AG940" s="20">
        <v>938.0</v>
      </c>
      <c r="AH940" s="20" t="s">
        <v>14</v>
      </c>
      <c r="AI940" s="20">
        <v>-45.46</v>
      </c>
      <c r="AJ940" s="20">
        <v>-14.74</v>
      </c>
      <c r="AM940" s="20">
        <v>480.0</v>
      </c>
      <c r="AN940" s="20" t="s">
        <v>17</v>
      </c>
      <c r="AO940" s="20">
        <v>0.92</v>
      </c>
      <c r="AP940" s="20">
        <v>-18.64</v>
      </c>
      <c r="AS940" s="20">
        <v>473.0</v>
      </c>
      <c r="AT940" s="20" t="s">
        <v>17</v>
      </c>
      <c r="AU940" s="20">
        <v>-12.76</v>
      </c>
      <c r="AV940" s="20">
        <v>-34.39</v>
      </c>
      <c r="BE940" s="20">
        <v>938.0</v>
      </c>
      <c r="BF940" s="20" t="s">
        <v>14</v>
      </c>
      <c r="BG940" s="20">
        <v>-16.43</v>
      </c>
      <c r="BH940" s="20">
        <v>-49.5</v>
      </c>
      <c r="BM940" s="20">
        <v>47.65</v>
      </c>
      <c r="BN940" s="20">
        <v>89.23</v>
      </c>
      <c r="BW940" s="20">
        <v>-12.47</v>
      </c>
      <c r="BX940" s="20">
        <v>-6.93</v>
      </c>
      <c r="BZ940" s="20">
        <v>-55.79</v>
      </c>
      <c r="CA940" s="20">
        <v>-1.46</v>
      </c>
      <c r="CO940" s="20">
        <v>-40.29</v>
      </c>
      <c r="CP940" s="20">
        <v>-61.74</v>
      </c>
    </row>
    <row r="941">
      <c r="A941" s="20">
        <v>131.02</v>
      </c>
      <c r="B941" s="20">
        <v>120.94</v>
      </c>
      <c r="D941" s="20"/>
      <c r="E941" s="20"/>
      <c r="F941" s="20">
        <v>-33.17</v>
      </c>
      <c r="G941" s="20">
        <v>0.59</v>
      </c>
      <c r="I941" s="20"/>
      <c r="J941" s="20"/>
      <c r="K941" s="20">
        <v>470.0</v>
      </c>
      <c r="L941" s="20" t="s">
        <v>14</v>
      </c>
      <c r="M941" s="20">
        <v>6.89</v>
      </c>
      <c r="N941" s="20">
        <v>26.79</v>
      </c>
      <c r="P941" s="20">
        <v>-12.28</v>
      </c>
      <c r="Q941" s="20">
        <v>14.31</v>
      </c>
      <c r="AG941" s="20">
        <v>939.0</v>
      </c>
      <c r="AH941" s="20" t="s">
        <v>14</v>
      </c>
      <c r="AI941" s="20">
        <v>31.7</v>
      </c>
      <c r="AJ941" s="20">
        <v>47.64</v>
      </c>
      <c r="AM941" s="20">
        <v>481.0</v>
      </c>
      <c r="AN941" s="20" t="s">
        <v>14</v>
      </c>
      <c r="AO941" s="20">
        <v>-42.5</v>
      </c>
      <c r="AP941" s="20">
        <v>-28.88</v>
      </c>
      <c r="AS941" s="20">
        <v>474.0</v>
      </c>
      <c r="AT941" s="20" t="s">
        <v>14</v>
      </c>
      <c r="AU941" s="20">
        <v>5.02</v>
      </c>
      <c r="AV941" s="20">
        <v>-27.12</v>
      </c>
      <c r="BE941" s="20">
        <v>939.0</v>
      </c>
      <c r="BF941" s="20" t="s">
        <v>14</v>
      </c>
      <c r="BG941" s="20">
        <v>-30.58</v>
      </c>
      <c r="BH941" s="20">
        <v>-24.4</v>
      </c>
      <c r="BM941" s="20">
        <v>67.19</v>
      </c>
      <c r="BN941" s="20">
        <v>90.08</v>
      </c>
      <c r="BW941" s="20">
        <v>-46.34</v>
      </c>
      <c r="BX941" s="20">
        <v>-24.41</v>
      </c>
      <c r="BZ941" s="20">
        <v>-43.58</v>
      </c>
      <c r="CA941" s="20">
        <v>135.65</v>
      </c>
      <c r="CO941" s="20">
        <v>-38.46</v>
      </c>
      <c r="CP941" s="20">
        <v>-57.05</v>
      </c>
    </row>
    <row r="942">
      <c r="A942" s="20">
        <v>15.33</v>
      </c>
      <c r="B942" s="20">
        <v>116.28</v>
      </c>
      <c r="D942" s="20"/>
      <c r="E942" s="20"/>
      <c r="F942" s="20">
        <v>-23.13</v>
      </c>
      <c r="G942" s="20">
        <v>-8.01</v>
      </c>
      <c r="I942" s="20"/>
      <c r="J942" s="20"/>
      <c r="K942" s="20">
        <v>470.0</v>
      </c>
      <c r="L942" s="20" t="s">
        <v>17</v>
      </c>
      <c r="M942" s="20">
        <v>-23.32</v>
      </c>
      <c r="N942" s="20">
        <v>37.29</v>
      </c>
      <c r="P942" s="20">
        <v>-32.05</v>
      </c>
      <c r="Q942" s="20">
        <v>-30.51</v>
      </c>
      <c r="AG942" s="20">
        <v>940.0</v>
      </c>
      <c r="AH942" s="20" t="s">
        <v>14</v>
      </c>
      <c r="AI942" s="20">
        <v>-62.03</v>
      </c>
      <c r="AJ942" s="20">
        <v>-44.39</v>
      </c>
      <c r="AM942" s="20">
        <v>481.0</v>
      </c>
      <c r="AN942" s="20" t="s">
        <v>17</v>
      </c>
      <c r="AO942" s="20">
        <v>-17.06</v>
      </c>
      <c r="AP942" s="20">
        <v>22.55</v>
      </c>
      <c r="AS942" s="20">
        <v>474.0</v>
      </c>
      <c r="AT942" s="20" t="s">
        <v>17</v>
      </c>
      <c r="AU942" s="20">
        <v>9.0</v>
      </c>
      <c r="AV942" s="20">
        <v>-27.37</v>
      </c>
      <c r="BE942" s="20">
        <v>940.0</v>
      </c>
      <c r="BF942" s="20" t="s">
        <v>14</v>
      </c>
      <c r="BG942" s="20">
        <v>-1.53</v>
      </c>
      <c r="BH942" s="20">
        <v>-0.7</v>
      </c>
      <c r="BM942" s="20">
        <v>29.77</v>
      </c>
      <c r="BN942" s="20">
        <v>73.24</v>
      </c>
      <c r="BW942" s="20">
        <v>-64.57</v>
      </c>
      <c r="BX942" s="20">
        <v>-30.2</v>
      </c>
      <c r="BZ942" s="20">
        <v>-68.29</v>
      </c>
      <c r="CA942" s="20">
        <v>-0.4</v>
      </c>
      <c r="CO942" s="20">
        <v>-1.59</v>
      </c>
      <c r="CP942" s="20">
        <v>-59.47</v>
      </c>
    </row>
    <row r="943">
      <c r="A943" s="20">
        <v>-29.36</v>
      </c>
      <c r="B943" s="20">
        <v>157.11</v>
      </c>
      <c r="D943" s="20"/>
      <c r="E943" s="20"/>
      <c r="F943" s="20">
        <v>-4.09</v>
      </c>
      <c r="G943" s="20">
        <v>-41.34</v>
      </c>
      <c r="I943" s="20"/>
      <c r="J943" s="20"/>
      <c r="K943" s="20">
        <v>471.0</v>
      </c>
      <c r="L943" s="20" t="s">
        <v>14</v>
      </c>
      <c r="M943" s="20">
        <v>-17.77</v>
      </c>
      <c r="N943" s="20">
        <v>18.05</v>
      </c>
      <c r="P943" s="20">
        <v>-8.76</v>
      </c>
      <c r="Q943" s="20">
        <v>2.85</v>
      </c>
      <c r="AG943" s="20">
        <v>941.0</v>
      </c>
      <c r="AH943" s="20" t="s">
        <v>14</v>
      </c>
      <c r="AI943" s="20">
        <v>-21.06</v>
      </c>
      <c r="AJ943" s="20">
        <v>-31.05</v>
      </c>
      <c r="AM943" s="20">
        <v>482.0</v>
      </c>
      <c r="AN943" s="20" t="s">
        <v>14</v>
      </c>
      <c r="AO943" s="20">
        <v>13.85</v>
      </c>
      <c r="AP943" s="20">
        <v>-7.51</v>
      </c>
      <c r="AS943" s="20">
        <v>475.0</v>
      </c>
      <c r="AT943" s="20" t="s">
        <v>14</v>
      </c>
      <c r="AU943" s="20">
        <v>-22.46</v>
      </c>
      <c r="AV943" s="20">
        <v>-47.3</v>
      </c>
      <c r="BE943" s="20">
        <v>941.0</v>
      </c>
      <c r="BF943" s="20" t="s">
        <v>14</v>
      </c>
      <c r="BG943" s="20">
        <v>15.14</v>
      </c>
      <c r="BH943" s="20">
        <v>4.78</v>
      </c>
      <c r="BM943" s="20">
        <v>-20.34</v>
      </c>
      <c r="BN943" s="20">
        <v>16.34</v>
      </c>
      <c r="BW943" s="20">
        <v>-20.22</v>
      </c>
      <c r="BX943" s="20">
        <v>-24.56</v>
      </c>
      <c r="BZ943" s="20">
        <v>-42.2</v>
      </c>
      <c r="CA943" s="20">
        <v>14.02</v>
      </c>
      <c r="CO943" s="20">
        <v>-35.47</v>
      </c>
      <c r="CP943" s="20">
        <v>-38.89</v>
      </c>
    </row>
    <row r="944">
      <c r="A944" s="20">
        <v>-55.32</v>
      </c>
      <c r="B944" s="20">
        <v>7.62</v>
      </c>
      <c r="D944" s="20"/>
      <c r="E944" s="20"/>
      <c r="F944" s="20">
        <v>-37.46</v>
      </c>
      <c r="G944" s="20">
        <v>-16.08</v>
      </c>
      <c r="I944" s="20"/>
      <c r="J944" s="20"/>
      <c r="K944" s="20">
        <v>471.0</v>
      </c>
      <c r="L944" s="20" t="s">
        <v>17</v>
      </c>
      <c r="M944" s="20">
        <v>-7.73</v>
      </c>
      <c r="N944" s="20">
        <v>31.03</v>
      </c>
      <c r="P944" s="20">
        <v>-44.99</v>
      </c>
      <c r="Q944" s="20">
        <v>7.31</v>
      </c>
      <c r="AG944" s="20">
        <v>942.0</v>
      </c>
      <c r="AH944" s="20" t="s">
        <v>14</v>
      </c>
      <c r="AI944" s="20">
        <v>-14.41</v>
      </c>
      <c r="AJ944" s="20">
        <v>-25.56</v>
      </c>
      <c r="AM944" s="20">
        <v>482.0</v>
      </c>
      <c r="AN944" s="20" t="s">
        <v>17</v>
      </c>
      <c r="AO944" s="20">
        <v>45.03</v>
      </c>
      <c r="AP944" s="20">
        <v>47.58</v>
      </c>
      <c r="AS944" s="20">
        <v>475.0</v>
      </c>
      <c r="AT944" s="20" t="s">
        <v>17</v>
      </c>
      <c r="AU944" s="20">
        <v>-30.61</v>
      </c>
      <c r="AV944" s="20">
        <v>-40.61</v>
      </c>
      <c r="BE944" s="20">
        <v>942.0</v>
      </c>
      <c r="BF944" s="20" t="s">
        <v>14</v>
      </c>
      <c r="BG944" s="20">
        <v>16.23</v>
      </c>
      <c r="BH944" s="20">
        <v>18.82</v>
      </c>
      <c r="BM944" s="20">
        <v>9.65</v>
      </c>
      <c r="BN944" s="20">
        <v>10.82</v>
      </c>
      <c r="BW944" s="20">
        <v>-4.22</v>
      </c>
      <c r="BX944" s="20">
        <v>-27.35</v>
      </c>
      <c r="BZ944" s="20">
        <v>-57.9</v>
      </c>
      <c r="CA944" s="20">
        <v>-9.08</v>
      </c>
      <c r="CO944" s="20">
        <v>-52.23</v>
      </c>
      <c r="CP944" s="20">
        <v>-55.27</v>
      </c>
    </row>
    <row r="945">
      <c r="A945" s="20">
        <v>80.46</v>
      </c>
      <c r="B945" s="20">
        <v>160.45</v>
      </c>
      <c r="D945" s="20"/>
      <c r="E945" s="20"/>
      <c r="F945" s="20">
        <v>-22.61</v>
      </c>
      <c r="G945" s="20">
        <v>14.11</v>
      </c>
      <c r="I945" s="20"/>
      <c r="J945" s="20"/>
      <c r="K945" s="20">
        <v>472.0</v>
      </c>
      <c r="L945" s="20" t="s">
        <v>14</v>
      </c>
      <c r="M945" s="20">
        <v>-26.19</v>
      </c>
      <c r="N945" s="20">
        <v>12.77</v>
      </c>
      <c r="P945" s="20">
        <v>-8.65</v>
      </c>
      <c r="Q945" s="20">
        <v>2.2</v>
      </c>
      <c r="AG945" s="20">
        <v>943.0</v>
      </c>
      <c r="AH945" s="20" t="s">
        <v>14</v>
      </c>
      <c r="AI945" s="20">
        <v>-35.38</v>
      </c>
      <c r="AJ945" s="20">
        <v>-15.78</v>
      </c>
      <c r="AM945" s="20">
        <v>483.0</v>
      </c>
      <c r="AN945" s="20" t="s">
        <v>14</v>
      </c>
      <c r="AO945" s="20">
        <v>-16.34</v>
      </c>
      <c r="AP945" s="20">
        <v>7.25</v>
      </c>
      <c r="AS945" s="20">
        <v>476.0</v>
      </c>
      <c r="AT945" s="20" t="s">
        <v>14</v>
      </c>
      <c r="AU945" s="20">
        <v>-2.11</v>
      </c>
      <c r="AV945" s="20">
        <v>-40.37</v>
      </c>
      <c r="BE945" s="20">
        <v>943.0</v>
      </c>
      <c r="BF945" s="20" t="s">
        <v>14</v>
      </c>
      <c r="BG945" s="20">
        <v>-22.03</v>
      </c>
      <c r="BH945" s="20">
        <v>6.84</v>
      </c>
      <c r="BM945" s="20">
        <v>74.86</v>
      </c>
      <c r="BN945" s="20">
        <v>135.14</v>
      </c>
      <c r="BW945" s="20">
        <v>-50.65</v>
      </c>
      <c r="BX945" s="20">
        <v>-44.06</v>
      </c>
      <c r="BZ945" s="20">
        <v>-42.67</v>
      </c>
      <c r="CA945" s="20">
        <v>162.37</v>
      </c>
      <c r="CO945" s="20">
        <v>-0.82</v>
      </c>
      <c r="CP945" s="20">
        <v>-62.82</v>
      </c>
    </row>
    <row r="946">
      <c r="A946" s="20">
        <v>57.08</v>
      </c>
      <c r="B946" s="20">
        <v>109.9</v>
      </c>
      <c r="D946" s="20"/>
      <c r="E946" s="20"/>
      <c r="F946" s="20">
        <v>-10.24</v>
      </c>
      <c r="G946" s="20">
        <v>7.57</v>
      </c>
      <c r="I946" s="20"/>
      <c r="J946" s="20"/>
      <c r="K946" s="20">
        <v>472.0</v>
      </c>
      <c r="L946" s="20" t="s">
        <v>17</v>
      </c>
      <c r="M946" s="20">
        <v>-17.98</v>
      </c>
      <c r="N946" s="20">
        <v>16.03</v>
      </c>
      <c r="P946" s="20">
        <v>-41.34</v>
      </c>
      <c r="Q946" s="20">
        <v>-12.18</v>
      </c>
      <c r="AG946" s="20">
        <v>944.0</v>
      </c>
      <c r="AH946" s="20" t="s">
        <v>14</v>
      </c>
      <c r="AI946" s="20">
        <v>-33.77</v>
      </c>
      <c r="AJ946" s="20">
        <v>-30.25</v>
      </c>
      <c r="AM946" s="20">
        <v>483.0</v>
      </c>
      <c r="AN946" s="20" t="s">
        <v>17</v>
      </c>
      <c r="AO946" s="20">
        <v>-15.72</v>
      </c>
      <c r="AP946" s="20">
        <v>32.87</v>
      </c>
      <c r="AS946" s="20">
        <v>476.0</v>
      </c>
      <c r="AT946" s="20" t="s">
        <v>17</v>
      </c>
      <c r="AU946" s="20">
        <v>16.05</v>
      </c>
      <c r="AV946" s="20">
        <v>-35.57</v>
      </c>
      <c r="BE946" s="20">
        <v>944.0</v>
      </c>
      <c r="BF946" s="20" t="s">
        <v>14</v>
      </c>
      <c r="BG946" s="20">
        <v>2.23</v>
      </c>
      <c r="BH946" s="20">
        <v>2.41</v>
      </c>
      <c r="BM946" s="20">
        <v>47.77</v>
      </c>
      <c r="BN946" s="20">
        <v>75.16</v>
      </c>
      <c r="BW946" s="20">
        <v>-26.71</v>
      </c>
      <c r="BX946" s="20">
        <v>-14.09</v>
      </c>
      <c r="BZ946" s="20">
        <v>-44.9</v>
      </c>
      <c r="CA946" s="20">
        <v>107.27</v>
      </c>
      <c r="CO946" s="20">
        <v>-5.55</v>
      </c>
      <c r="CP946" s="20">
        <v>-72.71</v>
      </c>
    </row>
    <row r="947">
      <c r="A947" s="20">
        <v>362.97</v>
      </c>
      <c r="B947" s="20">
        <v>103.94</v>
      </c>
      <c r="D947" s="20"/>
      <c r="E947" s="20"/>
      <c r="F947" s="20">
        <v>-16.49</v>
      </c>
      <c r="G947" s="20">
        <v>13.44</v>
      </c>
      <c r="I947" s="20"/>
      <c r="J947" s="20"/>
      <c r="K947" s="20">
        <v>473.0</v>
      </c>
      <c r="L947" s="20" t="s">
        <v>14</v>
      </c>
      <c r="M947" s="20">
        <v>-12.73</v>
      </c>
      <c r="N947" s="20">
        <v>12.25</v>
      </c>
      <c r="P947" s="20">
        <v>168.33</v>
      </c>
      <c r="Q947" s="20">
        <v>33.55</v>
      </c>
      <c r="AG947" s="20">
        <v>945.0</v>
      </c>
      <c r="AH947" s="20" t="s">
        <v>14</v>
      </c>
      <c r="AI947" s="20">
        <v>-14.53</v>
      </c>
      <c r="AJ947" s="20">
        <v>-5.52</v>
      </c>
      <c r="AM947" s="20">
        <v>484.0</v>
      </c>
      <c r="AN947" s="20" t="s">
        <v>14</v>
      </c>
      <c r="AO947" s="20">
        <v>-17.63</v>
      </c>
      <c r="AP947" s="20">
        <v>-60.5</v>
      </c>
      <c r="AS947" s="20">
        <v>477.0</v>
      </c>
      <c r="AT947" s="20" t="s">
        <v>14</v>
      </c>
      <c r="AU947" s="20">
        <v>-3.68</v>
      </c>
      <c r="AV947" s="20">
        <v>-5.15</v>
      </c>
      <c r="BE947" s="20">
        <v>945.0</v>
      </c>
      <c r="BF947" s="20" t="s">
        <v>14</v>
      </c>
      <c r="BG947" s="20">
        <v>42.43</v>
      </c>
      <c r="BH947" s="20">
        <v>10.31</v>
      </c>
      <c r="BM947" s="20">
        <v>23.25</v>
      </c>
      <c r="BN947" s="20">
        <v>71.78</v>
      </c>
      <c r="BW947" s="20">
        <v>-27.08</v>
      </c>
      <c r="BX947" s="20">
        <v>-44.61</v>
      </c>
      <c r="BZ947" s="20">
        <v>-34.45</v>
      </c>
      <c r="CA947" s="20">
        <v>26.53</v>
      </c>
      <c r="CO947" s="20">
        <v>-18.48</v>
      </c>
      <c r="CP947" s="20">
        <v>-48.57</v>
      </c>
    </row>
    <row r="948">
      <c r="A948" s="20">
        <v>-49.03</v>
      </c>
      <c r="B948" s="20">
        <v>10.41</v>
      </c>
      <c r="D948" s="20"/>
      <c r="E948" s="20"/>
      <c r="F948" s="20">
        <v>-34.05</v>
      </c>
      <c r="G948" s="20">
        <v>77.09</v>
      </c>
      <c r="I948" s="20"/>
      <c r="J948" s="20"/>
      <c r="K948" s="20">
        <v>473.0</v>
      </c>
      <c r="L948" s="20" t="s">
        <v>17</v>
      </c>
      <c r="M948" s="20">
        <v>-46.09</v>
      </c>
      <c r="N948" s="20">
        <v>-10.91</v>
      </c>
      <c r="P948" s="20">
        <v>22.6</v>
      </c>
      <c r="Q948" s="20">
        <v>68.43</v>
      </c>
      <c r="AG948" s="20">
        <v>946.0</v>
      </c>
      <c r="AH948" s="20" t="s">
        <v>14</v>
      </c>
      <c r="AI948" s="20">
        <v>-65.39</v>
      </c>
      <c r="AJ948" s="20">
        <v>-44.95</v>
      </c>
      <c r="AM948" s="20">
        <v>484.0</v>
      </c>
      <c r="AN948" s="20" t="s">
        <v>17</v>
      </c>
      <c r="AO948" s="20">
        <v>3.68</v>
      </c>
      <c r="AP948" s="20">
        <v>15.0</v>
      </c>
      <c r="AS948" s="20">
        <v>477.0</v>
      </c>
      <c r="AT948" s="20" t="s">
        <v>17</v>
      </c>
      <c r="AU948" s="20">
        <v>16.53</v>
      </c>
      <c r="AV948" s="20">
        <v>-11.67</v>
      </c>
      <c r="BE948" s="20">
        <v>946.0</v>
      </c>
      <c r="BF948" s="20" t="s">
        <v>14</v>
      </c>
      <c r="BG948" s="20">
        <v>-26.35</v>
      </c>
      <c r="BH948" s="20">
        <v>-35.17</v>
      </c>
      <c r="BM948" s="20">
        <v>57.89</v>
      </c>
      <c r="BN948" s="20">
        <v>97.17</v>
      </c>
      <c r="BW948" s="20">
        <v>-54.18</v>
      </c>
      <c r="BX948" s="20">
        <v>-49.18</v>
      </c>
      <c r="BZ948" s="20">
        <v>-44.46</v>
      </c>
      <c r="CA948" s="20">
        <v>8.3</v>
      </c>
      <c r="CO948" s="20">
        <v>-40.41</v>
      </c>
      <c r="CP948" s="20">
        <v>-55.45</v>
      </c>
    </row>
    <row r="949">
      <c r="A949" s="20">
        <v>92.23</v>
      </c>
      <c r="B949" s="20">
        <v>48.42</v>
      </c>
      <c r="D949" s="20"/>
      <c r="E949" s="20"/>
      <c r="F949" s="20">
        <v>-59.14</v>
      </c>
      <c r="G949" s="20">
        <v>-6.33</v>
      </c>
      <c r="I949" s="20"/>
      <c r="J949" s="20"/>
      <c r="K949" s="20">
        <v>474.0</v>
      </c>
      <c r="L949" s="20" t="s">
        <v>14</v>
      </c>
      <c r="M949" s="20">
        <v>-26.08</v>
      </c>
      <c r="N949" s="20">
        <v>7.39</v>
      </c>
      <c r="P949" s="20">
        <v>-30.25</v>
      </c>
      <c r="Q949" s="20">
        <v>54.39</v>
      </c>
      <c r="AG949" s="20">
        <v>947.0</v>
      </c>
      <c r="AH949" s="20" t="s">
        <v>14</v>
      </c>
      <c r="AI949" s="20">
        <v>-26.61</v>
      </c>
      <c r="AJ949" s="20">
        <v>-23.93</v>
      </c>
      <c r="AM949" s="20">
        <v>485.0</v>
      </c>
      <c r="AN949" s="20" t="s">
        <v>14</v>
      </c>
      <c r="AO949" s="20">
        <v>-18.04</v>
      </c>
      <c r="AP949" s="20">
        <v>-50.62</v>
      </c>
      <c r="AS949" s="20">
        <v>478.0</v>
      </c>
      <c r="AT949" s="20" t="s">
        <v>14</v>
      </c>
      <c r="AU949" s="20">
        <v>5.49</v>
      </c>
      <c r="AV949" s="20">
        <v>-11.26</v>
      </c>
      <c r="BE949" s="20">
        <v>947.0</v>
      </c>
      <c r="BF949" s="20" t="s">
        <v>14</v>
      </c>
      <c r="BG949" s="20">
        <v>33.52</v>
      </c>
      <c r="BH949" s="20">
        <v>58.4</v>
      </c>
      <c r="BM949" s="20">
        <v>60.77</v>
      </c>
      <c r="BN949" s="20">
        <v>64.86</v>
      </c>
      <c r="BW949" s="20">
        <v>-25.4</v>
      </c>
      <c r="BX949" s="20">
        <v>-4.3</v>
      </c>
      <c r="BZ949" s="20">
        <v>-35.97</v>
      </c>
      <c r="CA949" s="20">
        <v>120.76</v>
      </c>
      <c r="CO949" s="20">
        <v>-31.1</v>
      </c>
      <c r="CP949" s="20">
        <v>-56.5</v>
      </c>
    </row>
    <row r="950">
      <c r="A950" s="20">
        <v>21.02</v>
      </c>
      <c r="B950" s="20">
        <v>60.7</v>
      </c>
      <c r="D950" s="20"/>
      <c r="E950" s="20"/>
      <c r="F950" s="20">
        <v>-58.37</v>
      </c>
      <c r="G950" s="20">
        <v>-4.56</v>
      </c>
      <c r="I950" s="20"/>
      <c r="J950" s="20"/>
      <c r="K950" s="20">
        <v>474.0</v>
      </c>
      <c r="L950" s="20" t="s">
        <v>17</v>
      </c>
      <c r="M950" s="20">
        <v>4.78</v>
      </c>
      <c r="N950" s="20">
        <v>37.79</v>
      </c>
      <c r="P950" s="20">
        <v>-55.94</v>
      </c>
      <c r="Q950" s="20">
        <v>-86.37</v>
      </c>
      <c r="AG950" s="20">
        <v>948.0</v>
      </c>
      <c r="AH950" s="20" t="s">
        <v>14</v>
      </c>
      <c r="AI950" s="20">
        <v>-8.13</v>
      </c>
      <c r="AJ950" s="20">
        <v>-33.11</v>
      </c>
      <c r="AM950" s="20">
        <v>485.0</v>
      </c>
      <c r="AN950" s="20" t="s">
        <v>17</v>
      </c>
      <c r="AO950" s="20">
        <v>-21.14</v>
      </c>
      <c r="AP950" s="20">
        <v>-41.12</v>
      </c>
      <c r="AS950" s="20">
        <v>478.0</v>
      </c>
      <c r="AT950" s="20" t="s">
        <v>17</v>
      </c>
      <c r="AU950" s="20">
        <v>-26.77</v>
      </c>
      <c r="AV950" s="20">
        <v>-53.1</v>
      </c>
      <c r="BE950" s="20">
        <v>948.0</v>
      </c>
      <c r="BF950" s="20" t="s">
        <v>14</v>
      </c>
      <c r="BG950" s="20">
        <v>42.62</v>
      </c>
      <c r="BH950" s="20">
        <v>12.85</v>
      </c>
      <c r="BM950" s="20">
        <v>57.14</v>
      </c>
      <c r="BN950" s="20">
        <v>107.66</v>
      </c>
      <c r="BW950" s="20">
        <v>17.97</v>
      </c>
      <c r="BX950" s="20">
        <v>-14.92</v>
      </c>
      <c r="BZ950" s="20">
        <v>-60.55</v>
      </c>
      <c r="CA950" s="20">
        <v>112.6</v>
      </c>
      <c r="CO950" s="20">
        <v>-17.54</v>
      </c>
      <c r="CP950" s="20">
        <v>-56.13</v>
      </c>
    </row>
    <row r="951">
      <c r="A951" s="20">
        <v>44.41</v>
      </c>
      <c r="B951" s="20">
        <v>-40.71</v>
      </c>
      <c r="D951" s="20"/>
      <c r="E951" s="20"/>
      <c r="F951" s="20">
        <v>27.24</v>
      </c>
      <c r="G951" s="20">
        <v>53.8</v>
      </c>
      <c r="I951" s="20"/>
      <c r="J951" s="20"/>
      <c r="K951" s="20">
        <v>475.0</v>
      </c>
      <c r="L951" s="20" t="s">
        <v>14</v>
      </c>
      <c r="M951" s="20">
        <v>-23.09</v>
      </c>
      <c r="N951" s="20">
        <v>3.19</v>
      </c>
      <c r="P951" s="20">
        <v>69.31</v>
      </c>
      <c r="Q951" s="20">
        <v>95.83</v>
      </c>
      <c r="AG951" s="20">
        <v>949.0</v>
      </c>
      <c r="AH951" s="20" t="s">
        <v>14</v>
      </c>
      <c r="AI951" s="20">
        <v>-55.2</v>
      </c>
      <c r="AJ951" s="20">
        <v>-5.74</v>
      </c>
      <c r="AM951" s="20">
        <v>486.0</v>
      </c>
      <c r="AN951" s="20" t="s">
        <v>14</v>
      </c>
      <c r="AO951" s="20">
        <v>8.24</v>
      </c>
      <c r="AP951" s="20">
        <v>-21.99</v>
      </c>
      <c r="AS951" s="20">
        <v>479.0</v>
      </c>
      <c r="AT951" s="20" t="s">
        <v>14</v>
      </c>
      <c r="AU951" s="20">
        <v>-23.66</v>
      </c>
      <c r="AV951" s="20">
        <v>-35.75</v>
      </c>
      <c r="BE951" s="20">
        <v>949.0</v>
      </c>
      <c r="BF951" s="20" t="s">
        <v>14</v>
      </c>
      <c r="BG951" s="20">
        <v>-5.53</v>
      </c>
      <c r="BH951" s="20">
        <v>-35.45</v>
      </c>
      <c r="BM951" s="20">
        <v>19.31</v>
      </c>
      <c r="BN951" s="20">
        <v>127.94</v>
      </c>
      <c r="BW951" s="20">
        <v>-25.3</v>
      </c>
      <c r="BX951" s="20">
        <v>18.68</v>
      </c>
      <c r="BZ951" s="20">
        <v>-34.32</v>
      </c>
      <c r="CA951" s="20">
        <v>25.02</v>
      </c>
      <c r="CO951" s="20">
        <v>-25.22</v>
      </c>
      <c r="CP951" s="20">
        <v>-46.05</v>
      </c>
    </row>
    <row r="952">
      <c r="A952" s="20">
        <v>-55.26</v>
      </c>
      <c r="B952" s="20">
        <v>-39.02</v>
      </c>
      <c r="D952" s="20"/>
      <c r="E952" s="20"/>
      <c r="F952" s="20">
        <v>0.7</v>
      </c>
      <c r="G952" s="20">
        <v>30.03</v>
      </c>
      <c r="I952" s="20"/>
      <c r="J952" s="20"/>
      <c r="K952" s="20">
        <v>475.0</v>
      </c>
      <c r="L952" s="20" t="s">
        <v>17</v>
      </c>
      <c r="M952" s="20">
        <v>-16.45</v>
      </c>
      <c r="N952" s="20">
        <v>-4.06</v>
      </c>
      <c r="P952" s="20">
        <v>99.02</v>
      </c>
      <c r="Q952" s="20">
        <v>143.32</v>
      </c>
      <c r="AG952" s="20">
        <v>950.0</v>
      </c>
      <c r="AH952" s="20" t="s">
        <v>14</v>
      </c>
      <c r="AI952" s="20">
        <v>-36.12</v>
      </c>
      <c r="AJ952" s="20">
        <v>-43.72</v>
      </c>
      <c r="AM952" s="20">
        <v>486.0</v>
      </c>
      <c r="AN952" s="20" t="s">
        <v>17</v>
      </c>
      <c r="AO952" s="20">
        <v>-0.22</v>
      </c>
      <c r="AP952" s="20">
        <v>-32.06</v>
      </c>
      <c r="AS952" s="20">
        <v>479.0</v>
      </c>
      <c r="AT952" s="20" t="s">
        <v>17</v>
      </c>
      <c r="AU952" s="20">
        <v>-7.54</v>
      </c>
      <c r="AV952" s="20">
        <v>-63.35</v>
      </c>
      <c r="BE952" s="20">
        <v>950.0</v>
      </c>
      <c r="BF952" s="20" t="s">
        <v>14</v>
      </c>
      <c r="BG952" s="20">
        <v>9.04</v>
      </c>
      <c r="BH952" s="20">
        <v>-6.74</v>
      </c>
      <c r="BM952" s="20">
        <v>33.13</v>
      </c>
      <c r="BN952" s="20">
        <v>99.46</v>
      </c>
      <c r="BW952" s="20">
        <v>-38.23</v>
      </c>
      <c r="BX952" s="20">
        <v>-13.06</v>
      </c>
      <c r="BZ952" s="20">
        <v>-26.23</v>
      </c>
      <c r="CA952" s="20">
        <v>-8.85</v>
      </c>
      <c r="CO952" s="20">
        <v>19.58</v>
      </c>
      <c r="CP952" s="20">
        <v>-70.94</v>
      </c>
    </row>
    <row r="953">
      <c r="A953" s="20">
        <v>-46.63</v>
      </c>
      <c r="B953" s="20">
        <v>85.99</v>
      </c>
      <c r="D953" s="20"/>
      <c r="E953" s="20"/>
      <c r="F953" s="20">
        <v>-2.82</v>
      </c>
      <c r="G953" s="20">
        <v>49.38</v>
      </c>
      <c r="I953" s="20"/>
      <c r="J953" s="20"/>
      <c r="K953" s="20">
        <v>476.0</v>
      </c>
      <c r="L953" s="20" t="s">
        <v>14</v>
      </c>
      <c r="M953" s="20">
        <v>1.1</v>
      </c>
      <c r="N953" s="20">
        <v>48.59</v>
      </c>
      <c r="P953" s="20">
        <v>11.43</v>
      </c>
      <c r="Q953" s="20">
        <v>27.58</v>
      </c>
      <c r="AG953" s="20">
        <v>951.0</v>
      </c>
      <c r="AH953" s="20" t="s">
        <v>14</v>
      </c>
      <c r="AI953" s="20">
        <v>-7.75</v>
      </c>
      <c r="AJ953" s="20">
        <v>-21.23</v>
      </c>
      <c r="AM953" s="20">
        <v>487.0</v>
      </c>
      <c r="AN953" s="20" t="s">
        <v>14</v>
      </c>
      <c r="AO953" s="20">
        <v>-32.13</v>
      </c>
      <c r="AP953" s="20">
        <v>-66.98</v>
      </c>
      <c r="AS953" s="20">
        <v>480.0</v>
      </c>
      <c r="AT953" s="20" t="s">
        <v>14</v>
      </c>
      <c r="AU953" s="20">
        <v>16.61</v>
      </c>
      <c r="AV953" s="20">
        <v>-12.47</v>
      </c>
      <c r="BE953" s="20">
        <v>951.0</v>
      </c>
      <c r="BF953" s="20" t="s">
        <v>14</v>
      </c>
      <c r="BG953" s="20">
        <v>-16.83</v>
      </c>
      <c r="BH953" s="20">
        <v>14.91</v>
      </c>
      <c r="BM953" s="20">
        <v>115.52</v>
      </c>
      <c r="BN953" s="20">
        <v>117.25</v>
      </c>
      <c r="BW953" s="20">
        <v>-43.22</v>
      </c>
      <c r="BX953" s="20">
        <v>-24.53</v>
      </c>
      <c r="BZ953" s="20">
        <v>-47.31</v>
      </c>
      <c r="CA953" s="20">
        <v>4.06</v>
      </c>
      <c r="CO953" s="20">
        <v>-33.57</v>
      </c>
      <c r="CP953" s="20">
        <v>-13.73</v>
      </c>
    </row>
    <row r="954">
      <c r="A954" s="20">
        <v>-36.07</v>
      </c>
      <c r="B954" s="20">
        <v>14.49</v>
      </c>
      <c r="D954" s="20"/>
      <c r="E954" s="20"/>
      <c r="F954" s="20">
        <v>-26.13</v>
      </c>
      <c r="G954" s="20">
        <v>-14.43</v>
      </c>
      <c r="I954" s="20"/>
      <c r="J954" s="20"/>
      <c r="K954" s="20">
        <v>476.0</v>
      </c>
      <c r="L954" s="20" t="s">
        <v>17</v>
      </c>
      <c r="M954" s="20">
        <v>-17.44</v>
      </c>
      <c r="N954" s="20">
        <v>62.56</v>
      </c>
      <c r="P954" s="20">
        <v>-2.51</v>
      </c>
      <c r="Q954" s="20">
        <v>6.46</v>
      </c>
      <c r="AG954" s="20">
        <v>952.0</v>
      </c>
      <c r="AH954" s="20" t="s">
        <v>14</v>
      </c>
      <c r="AI954" s="20">
        <v>3.78</v>
      </c>
      <c r="AJ954" s="20">
        <v>-2.86</v>
      </c>
      <c r="AM954" s="20">
        <v>487.0</v>
      </c>
      <c r="AN954" s="20" t="s">
        <v>17</v>
      </c>
      <c r="AO954" s="20">
        <v>6.27</v>
      </c>
      <c r="AP954" s="20">
        <v>12.4</v>
      </c>
      <c r="AS954" s="20">
        <v>480.0</v>
      </c>
      <c r="AT954" s="20" t="s">
        <v>17</v>
      </c>
      <c r="AU954" s="20">
        <v>-7.18</v>
      </c>
      <c r="AV954" s="20">
        <v>-46.37</v>
      </c>
      <c r="BE954" s="20">
        <v>952.0</v>
      </c>
      <c r="BF954" s="20" t="s">
        <v>14</v>
      </c>
      <c r="BG954" s="20">
        <v>44.51</v>
      </c>
      <c r="BH954" s="20">
        <v>-0.14</v>
      </c>
      <c r="BM954" s="20">
        <v>30.43</v>
      </c>
      <c r="BN954" s="20">
        <v>135.4</v>
      </c>
      <c r="BW954" s="20">
        <v>-26.61</v>
      </c>
      <c r="BX954" s="20">
        <v>5.74</v>
      </c>
      <c r="BZ954" s="20">
        <v>-74.24</v>
      </c>
      <c r="CA954" s="20">
        <v>-33.41</v>
      </c>
      <c r="CO954" s="20">
        <v>57.84</v>
      </c>
      <c r="CP954" s="20">
        <v>-43.61</v>
      </c>
    </row>
    <row r="955">
      <c r="A955" s="20">
        <v>-8.69</v>
      </c>
      <c r="B955" s="20">
        <v>-42.06</v>
      </c>
      <c r="D955" s="20"/>
      <c r="E955" s="20"/>
      <c r="F955" s="20">
        <v>31.79</v>
      </c>
      <c r="G955" s="20">
        <v>-10.1</v>
      </c>
      <c r="I955" s="20"/>
      <c r="J955" s="20"/>
      <c r="K955" s="20">
        <v>477.0</v>
      </c>
      <c r="L955" s="20" t="s">
        <v>14</v>
      </c>
      <c r="M955" s="20">
        <v>-29.91</v>
      </c>
      <c r="N955" s="20">
        <v>-7.32</v>
      </c>
      <c r="P955" s="20">
        <v>40.96</v>
      </c>
      <c r="Q955" s="20">
        <v>96.92</v>
      </c>
      <c r="AG955" s="20">
        <v>953.0</v>
      </c>
      <c r="AH955" s="20" t="s">
        <v>14</v>
      </c>
      <c r="AI955" s="20">
        <v>-32.82</v>
      </c>
      <c r="AJ955" s="20">
        <v>-40.07</v>
      </c>
      <c r="AM955" s="20">
        <v>488.0</v>
      </c>
      <c r="AN955" s="20" t="s">
        <v>14</v>
      </c>
      <c r="AO955" s="20">
        <v>38.98</v>
      </c>
      <c r="AP955" s="20">
        <v>-19.64</v>
      </c>
      <c r="AS955" s="20">
        <v>481.0</v>
      </c>
      <c r="AT955" s="20" t="s">
        <v>14</v>
      </c>
      <c r="AU955" s="20">
        <v>-25.37</v>
      </c>
      <c r="AV955" s="20">
        <v>-48.83</v>
      </c>
      <c r="BE955" s="20">
        <v>953.0</v>
      </c>
      <c r="BF955" s="20" t="s">
        <v>14</v>
      </c>
      <c r="BG955" s="20">
        <v>28.2</v>
      </c>
      <c r="BH955" s="20">
        <v>27.91</v>
      </c>
      <c r="BM955" s="20">
        <v>43.39</v>
      </c>
      <c r="BN955" s="20">
        <v>62.25</v>
      </c>
      <c r="BW955" s="20">
        <v>-24.17</v>
      </c>
      <c r="BX955" s="20">
        <v>-16.96</v>
      </c>
      <c r="BZ955" s="20">
        <v>-50.75</v>
      </c>
      <c r="CA955" s="20">
        <v>-30.27</v>
      </c>
      <c r="CO955" s="20">
        <v>4.86</v>
      </c>
      <c r="CP955" s="20">
        <v>-52.02</v>
      </c>
    </row>
    <row r="956">
      <c r="A956" s="20">
        <v>-61.38</v>
      </c>
      <c r="B956" s="20">
        <v>7.09</v>
      </c>
      <c r="D956" s="20"/>
      <c r="E956" s="20"/>
      <c r="F956" s="20">
        <v>31.69</v>
      </c>
      <c r="G956" s="20">
        <v>-4.9</v>
      </c>
      <c r="I956" s="20"/>
      <c r="J956" s="20"/>
      <c r="K956" s="20">
        <v>477.0</v>
      </c>
      <c r="L956" s="20" t="s">
        <v>17</v>
      </c>
      <c r="M956" s="20">
        <v>-47.41</v>
      </c>
      <c r="N956" s="20">
        <v>-27.88</v>
      </c>
      <c r="P956" s="20">
        <v>-4.82</v>
      </c>
      <c r="Q956" s="20">
        <v>37.76</v>
      </c>
      <c r="AG956" s="20">
        <v>954.0</v>
      </c>
      <c r="AH956" s="20" t="s">
        <v>14</v>
      </c>
      <c r="AI956" s="20">
        <v>30.81</v>
      </c>
      <c r="AJ956" s="20">
        <v>-11.99</v>
      </c>
      <c r="AM956" s="20">
        <v>488.0</v>
      </c>
      <c r="AN956" s="20" t="s">
        <v>17</v>
      </c>
      <c r="AO956" s="20">
        <v>20.74</v>
      </c>
      <c r="AP956" s="20">
        <v>-19.72</v>
      </c>
      <c r="AS956" s="20">
        <v>481.0</v>
      </c>
      <c r="AT956" s="20" t="s">
        <v>17</v>
      </c>
      <c r="AU956" s="20">
        <v>41.32</v>
      </c>
      <c r="AV956" s="20">
        <v>-41.25</v>
      </c>
      <c r="BE956" s="20">
        <v>954.0</v>
      </c>
      <c r="BF956" s="20" t="s">
        <v>14</v>
      </c>
      <c r="BG956" s="20">
        <v>53.59</v>
      </c>
      <c r="BH956" s="20">
        <v>48.66</v>
      </c>
      <c r="BM956" s="20">
        <v>52.48</v>
      </c>
      <c r="BN956" s="20">
        <v>133.32</v>
      </c>
      <c r="BW956" s="20">
        <v>-39.66</v>
      </c>
      <c r="BX956" s="20">
        <v>-19.28</v>
      </c>
      <c r="BZ956" s="20">
        <v>-43.1</v>
      </c>
      <c r="CA956" s="20">
        <v>-33.59</v>
      </c>
      <c r="CO956" s="20">
        <v>10.79</v>
      </c>
      <c r="CP956" s="20">
        <v>-41.73</v>
      </c>
    </row>
    <row r="957">
      <c r="A957" s="20">
        <v>9.31</v>
      </c>
      <c r="B957" s="20">
        <v>-24.61</v>
      </c>
      <c r="D957" s="20"/>
      <c r="E957" s="20"/>
      <c r="F957" s="20">
        <v>88.7</v>
      </c>
      <c r="G957" s="20">
        <v>41.47</v>
      </c>
      <c r="I957" s="20"/>
      <c r="J957" s="20"/>
      <c r="K957" s="20">
        <v>478.0</v>
      </c>
      <c r="L957" s="20" t="s">
        <v>14</v>
      </c>
      <c r="M957" s="20">
        <v>-16.72</v>
      </c>
      <c r="N957" s="20">
        <v>4.98</v>
      </c>
      <c r="P957" s="20">
        <v>-15.55</v>
      </c>
      <c r="Q957" s="20">
        <v>89.52</v>
      </c>
      <c r="AG957" s="20">
        <v>955.0</v>
      </c>
      <c r="AH957" s="20" t="s">
        <v>14</v>
      </c>
      <c r="AI957" s="20">
        <v>-40.89</v>
      </c>
      <c r="AJ957" s="20">
        <v>-29.82</v>
      </c>
      <c r="AM957" s="20">
        <v>489.0</v>
      </c>
      <c r="AN957" s="20" t="s">
        <v>14</v>
      </c>
      <c r="AO957" s="20">
        <v>64.43</v>
      </c>
      <c r="AP957" s="20">
        <v>-10.01</v>
      </c>
      <c r="AS957" s="20">
        <v>482.0</v>
      </c>
      <c r="AT957" s="20" t="s">
        <v>14</v>
      </c>
      <c r="AU957" s="20">
        <v>17.09</v>
      </c>
      <c r="AV957" s="20">
        <v>-31.36</v>
      </c>
      <c r="BE957" s="20">
        <v>955.0</v>
      </c>
      <c r="BF957" s="20" t="s">
        <v>14</v>
      </c>
      <c r="BG957" s="20">
        <v>-12.87</v>
      </c>
      <c r="BH957" s="20">
        <v>23.29</v>
      </c>
      <c r="BM957" s="20">
        <v>1.09</v>
      </c>
      <c r="BN957" s="20">
        <v>57.91</v>
      </c>
      <c r="BW957" s="20">
        <v>-35.99</v>
      </c>
      <c r="BX957" s="20">
        <v>-30.8</v>
      </c>
      <c r="BZ957" s="20">
        <v>-40.98</v>
      </c>
      <c r="CA957" s="20">
        <v>73.86</v>
      </c>
      <c r="CO957" s="20">
        <v>-12.3</v>
      </c>
      <c r="CP957" s="20">
        <v>-61.87</v>
      </c>
    </row>
    <row r="958">
      <c r="A958" s="20">
        <v>-0.98</v>
      </c>
      <c r="B958" s="20">
        <v>-14.38</v>
      </c>
      <c r="D958" s="20"/>
      <c r="E958" s="20"/>
      <c r="F958" s="20">
        <v>6.11</v>
      </c>
      <c r="G958" s="20">
        <v>20.24</v>
      </c>
      <c r="I958" s="20"/>
      <c r="J958" s="20"/>
      <c r="K958" s="20">
        <v>478.0</v>
      </c>
      <c r="L958" s="20" t="s">
        <v>17</v>
      </c>
      <c r="M958" s="20">
        <v>-42.69</v>
      </c>
      <c r="N958" s="20">
        <v>-24.48</v>
      </c>
      <c r="P958" s="20">
        <v>-35.48</v>
      </c>
      <c r="Q958" s="20">
        <v>11.91</v>
      </c>
      <c r="AG958" s="20">
        <v>956.0</v>
      </c>
      <c r="AH958" s="20" t="s">
        <v>14</v>
      </c>
      <c r="AI958" s="20">
        <v>-33.04</v>
      </c>
      <c r="AJ958" s="20">
        <v>-34.34</v>
      </c>
      <c r="AM958" s="20">
        <v>489.0</v>
      </c>
      <c r="AN958" s="20" t="s">
        <v>17</v>
      </c>
      <c r="AO958" s="20">
        <v>-20.06</v>
      </c>
      <c r="AP958" s="20">
        <v>-0.31</v>
      </c>
      <c r="AS958" s="20">
        <v>482.0</v>
      </c>
      <c r="AT958" s="20" t="s">
        <v>17</v>
      </c>
      <c r="AU958" s="20">
        <v>-5.06</v>
      </c>
      <c r="AV958" s="20">
        <v>-59.82</v>
      </c>
      <c r="BE958" s="20">
        <v>956.0</v>
      </c>
      <c r="BF958" s="20" t="s">
        <v>14</v>
      </c>
      <c r="BG958" s="20">
        <v>7.95</v>
      </c>
      <c r="BH958" s="20">
        <v>25.19</v>
      </c>
      <c r="BM958" s="20">
        <v>15.61</v>
      </c>
      <c r="BN958" s="20">
        <v>142.59</v>
      </c>
      <c r="BW958" s="20">
        <v>-23.89</v>
      </c>
      <c r="BX958" s="20">
        <v>-36.67</v>
      </c>
      <c r="BZ958" s="20">
        <v>-57.15</v>
      </c>
      <c r="CA958" s="20">
        <v>-33.45</v>
      </c>
      <c r="CO958" s="20">
        <v>22.59</v>
      </c>
      <c r="CP958" s="20">
        <v>-56.18</v>
      </c>
    </row>
    <row r="959">
      <c r="A959" s="20">
        <v>-22.03</v>
      </c>
      <c r="B959" s="20">
        <v>-48.91</v>
      </c>
      <c r="D959" s="20"/>
      <c r="E959" s="20"/>
      <c r="F959" s="20">
        <v>-2.02</v>
      </c>
      <c r="G959" s="20">
        <v>22.29</v>
      </c>
      <c r="I959" s="20"/>
      <c r="J959" s="20"/>
      <c r="K959" s="20">
        <v>479.0</v>
      </c>
      <c r="L959" s="20" t="s">
        <v>14</v>
      </c>
      <c r="M959" s="20">
        <v>-10.99</v>
      </c>
      <c r="N959" s="20">
        <v>-8.08</v>
      </c>
      <c r="P959" s="20">
        <v>-13.18</v>
      </c>
      <c r="Q959" s="20">
        <v>29.42</v>
      </c>
      <c r="AG959" s="20">
        <v>957.0</v>
      </c>
      <c r="AH959" s="20" t="s">
        <v>14</v>
      </c>
      <c r="AI959" s="20">
        <v>-21.09</v>
      </c>
      <c r="AJ959" s="20">
        <v>-16.53</v>
      </c>
      <c r="AM959" s="20">
        <v>490.0</v>
      </c>
      <c r="AN959" s="20" t="s">
        <v>14</v>
      </c>
      <c r="AO959" s="20">
        <v>-32.07</v>
      </c>
      <c r="AP959" s="20">
        <v>-11.9</v>
      </c>
      <c r="AS959" s="20">
        <v>483.0</v>
      </c>
      <c r="AT959" s="20" t="s">
        <v>14</v>
      </c>
      <c r="AU959" s="20">
        <v>-4.84</v>
      </c>
      <c r="AV959" s="20">
        <v>-36.85</v>
      </c>
      <c r="BE959" s="20">
        <v>957.0</v>
      </c>
      <c r="BF959" s="20" t="s">
        <v>14</v>
      </c>
      <c r="BG959" s="20">
        <v>-0.21</v>
      </c>
      <c r="BH959" s="20">
        <v>4.85</v>
      </c>
      <c r="BM959" s="20">
        <v>39.86</v>
      </c>
      <c r="BN959" s="20">
        <v>111.21</v>
      </c>
      <c r="BW959" s="20">
        <v>-54.14</v>
      </c>
      <c r="BX959" s="20">
        <v>-41.28</v>
      </c>
      <c r="BZ959" s="20">
        <v>-30.07</v>
      </c>
      <c r="CA959" s="20">
        <v>64.42</v>
      </c>
      <c r="CO959" s="20">
        <v>7.42</v>
      </c>
      <c r="CP959" s="20">
        <v>-44.2</v>
      </c>
    </row>
    <row r="960">
      <c r="A960" s="20">
        <v>32.76</v>
      </c>
      <c r="B960" s="20">
        <v>26.85</v>
      </c>
      <c r="D960" s="20"/>
      <c r="E960" s="20"/>
      <c r="F960" s="20">
        <v>-21.37</v>
      </c>
      <c r="G960" s="20">
        <v>33.31</v>
      </c>
      <c r="I960" s="20"/>
      <c r="J960" s="20"/>
      <c r="K960" s="20">
        <v>479.0</v>
      </c>
      <c r="L960" s="20" t="s">
        <v>17</v>
      </c>
      <c r="M960" s="20">
        <v>-40.37</v>
      </c>
      <c r="N960" s="20">
        <v>-6.26</v>
      </c>
      <c r="P960" s="20">
        <v>1.19</v>
      </c>
      <c r="Q960" s="20">
        <v>68.46</v>
      </c>
      <c r="AG960" s="20">
        <v>958.0</v>
      </c>
      <c r="AH960" s="20" t="s">
        <v>14</v>
      </c>
      <c r="AI960" s="20">
        <v>-6.43</v>
      </c>
      <c r="AJ960" s="20">
        <v>-20.62</v>
      </c>
      <c r="AM960" s="20">
        <v>490.0</v>
      </c>
      <c r="AN960" s="20" t="s">
        <v>17</v>
      </c>
      <c r="AO960" s="20">
        <v>22.27</v>
      </c>
      <c r="AP960" s="20">
        <v>9.47</v>
      </c>
      <c r="AS960" s="20">
        <v>483.0</v>
      </c>
      <c r="AT960" s="20" t="s">
        <v>17</v>
      </c>
      <c r="AU960" s="20">
        <v>12.07</v>
      </c>
      <c r="AV960" s="20">
        <v>-50.2</v>
      </c>
      <c r="BE960" s="20">
        <v>958.0</v>
      </c>
      <c r="BF960" s="20" t="s">
        <v>14</v>
      </c>
      <c r="BG960" s="20">
        <v>26.86</v>
      </c>
      <c r="BH960" s="20">
        <v>14.69</v>
      </c>
      <c r="BM960" s="20">
        <v>205.66</v>
      </c>
      <c r="BN960" s="20">
        <v>38.13</v>
      </c>
      <c r="BW960" s="20">
        <v>-43.65</v>
      </c>
      <c r="BX960" s="20">
        <v>-23.63</v>
      </c>
      <c r="BZ960" s="20">
        <v>-39.58</v>
      </c>
      <c r="CA960" s="20">
        <v>83.69</v>
      </c>
      <c r="CO960" s="20">
        <v>9.46</v>
      </c>
      <c r="CP960" s="20">
        <v>-49.71</v>
      </c>
    </row>
    <row r="961">
      <c r="A961" s="20">
        <v>-8.34</v>
      </c>
      <c r="B961" s="20">
        <v>85.68</v>
      </c>
      <c r="D961" s="20"/>
      <c r="E961" s="20"/>
      <c r="F961" s="20">
        <v>0.76</v>
      </c>
      <c r="G961" s="20">
        <v>5.83</v>
      </c>
      <c r="I961" s="20"/>
      <c r="J961" s="20"/>
      <c r="K961" s="20">
        <v>480.0</v>
      </c>
      <c r="L961" s="20" t="s">
        <v>14</v>
      </c>
      <c r="M961" s="20">
        <v>0.68</v>
      </c>
      <c r="N961" s="20">
        <v>43.57</v>
      </c>
      <c r="P961" s="20">
        <v>-21.16</v>
      </c>
      <c r="Q961" s="20">
        <v>88.32</v>
      </c>
      <c r="AG961" s="20">
        <v>959.0</v>
      </c>
      <c r="AH961" s="20" t="s">
        <v>14</v>
      </c>
      <c r="AI961" s="20">
        <v>-15.53</v>
      </c>
      <c r="AJ961" s="20">
        <v>-19.58</v>
      </c>
      <c r="AM961" s="20">
        <v>491.0</v>
      </c>
      <c r="AN961" s="20" t="s">
        <v>14</v>
      </c>
      <c r="AO961" s="20">
        <v>52.41</v>
      </c>
      <c r="AP961" s="20">
        <v>-34.15</v>
      </c>
      <c r="AS961" s="20">
        <v>484.0</v>
      </c>
      <c r="AT961" s="20" t="s">
        <v>14</v>
      </c>
      <c r="AU961" s="20">
        <v>3.14</v>
      </c>
      <c r="AV961" s="20">
        <v>-73.95</v>
      </c>
      <c r="BE961" s="20">
        <v>959.0</v>
      </c>
      <c r="BF961" s="20" t="s">
        <v>14</v>
      </c>
      <c r="BG961" s="20">
        <v>50.27</v>
      </c>
      <c r="BH961" s="20">
        <v>13.21</v>
      </c>
      <c r="BM961" s="20">
        <v>176.41</v>
      </c>
      <c r="BN961" s="20">
        <v>69.57</v>
      </c>
      <c r="BW961" s="20">
        <v>-45.88</v>
      </c>
      <c r="BX961" s="20">
        <v>-48.3</v>
      </c>
      <c r="BZ961" s="20">
        <v>-62.65</v>
      </c>
      <c r="CA961" s="20">
        <v>69.25</v>
      </c>
      <c r="CO961" s="20">
        <v>-16.2</v>
      </c>
      <c r="CP961" s="20">
        <v>-33.92</v>
      </c>
    </row>
    <row r="962">
      <c r="A962" s="20">
        <v>-43.6</v>
      </c>
      <c r="B962" s="20">
        <v>109.3</v>
      </c>
      <c r="D962" s="20"/>
      <c r="E962" s="20"/>
      <c r="F962" s="20">
        <v>-28.24</v>
      </c>
      <c r="G962" s="20">
        <v>10.96</v>
      </c>
      <c r="I962" s="20"/>
      <c r="J962" s="20"/>
      <c r="K962" s="20">
        <v>480.0</v>
      </c>
      <c r="L962" s="20" t="s">
        <v>17</v>
      </c>
      <c r="M962" s="20">
        <v>-34.66</v>
      </c>
      <c r="N962" s="20">
        <v>32.41</v>
      </c>
      <c r="P962" s="20">
        <v>-19.99</v>
      </c>
      <c r="Q962" s="20">
        <v>6.11</v>
      </c>
      <c r="AG962" s="20">
        <v>960.0</v>
      </c>
      <c r="AH962" s="20" t="s">
        <v>14</v>
      </c>
      <c r="AI962" s="20">
        <v>11.41</v>
      </c>
      <c r="AJ962" s="20">
        <v>3.79</v>
      </c>
      <c r="AM962" s="20">
        <v>491.0</v>
      </c>
      <c r="AN962" s="20" t="s">
        <v>17</v>
      </c>
      <c r="AO962" s="20">
        <v>-48.84</v>
      </c>
      <c r="AP962" s="20">
        <v>-38.82</v>
      </c>
      <c r="AS962" s="20">
        <v>484.0</v>
      </c>
      <c r="AT962" s="20" t="s">
        <v>17</v>
      </c>
      <c r="AU962" s="20">
        <v>50.67</v>
      </c>
      <c r="AV962" s="20">
        <v>-69.21</v>
      </c>
      <c r="BE962" s="20">
        <v>960.0</v>
      </c>
      <c r="BF962" s="20" t="s">
        <v>14</v>
      </c>
      <c r="BG962" s="20">
        <v>5.86</v>
      </c>
      <c r="BH962" s="20">
        <v>19.96</v>
      </c>
      <c r="BM962" s="20">
        <v>205.14</v>
      </c>
      <c r="BN962" s="20">
        <v>6.37</v>
      </c>
      <c r="BW962" s="20">
        <v>-43.04</v>
      </c>
      <c r="BX962" s="20">
        <v>-35.36</v>
      </c>
      <c r="BZ962" s="20">
        <v>-69.31</v>
      </c>
      <c r="CA962" s="20">
        <v>-11.98</v>
      </c>
      <c r="CO962" s="20">
        <v>-4.98</v>
      </c>
      <c r="CP962" s="20">
        <v>-50.62</v>
      </c>
    </row>
    <row r="963">
      <c r="A963" s="20">
        <v>34.59</v>
      </c>
      <c r="B963" s="20">
        <v>-5.46</v>
      </c>
      <c r="D963" s="20"/>
      <c r="E963" s="20"/>
      <c r="F963" s="20">
        <v>-2.24</v>
      </c>
      <c r="G963" s="20">
        <v>22.52</v>
      </c>
      <c r="I963" s="20"/>
      <c r="J963" s="20"/>
      <c r="K963" s="20">
        <v>481.0</v>
      </c>
      <c r="L963" s="20" t="s">
        <v>14</v>
      </c>
      <c r="M963" s="20">
        <v>10.21</v>
      </c>
      <c r="N963" s="20">
        <v>-1.04</v>
      </c>
      <c r="P963" s="20">
        <v>7.6</v>
      </c>
      <c r="Q963" s="20">
        <v>90.36</v>
      </c>
      <c r="AG963" s="20">
        <v>961.0</v>
      </c>
      <c r="AH963" s="20" t="s">
        <v>14</v>
      </c>
      <c r="AI963" s="20">
        <v>-70.0</v>
      </c>
      <c r="AJ963" s="20">
        <v>-62.02</v>
      </c>
      <c r="AM963" s="20">
        <v>492.0</v>
      </c>
      <c r="AN963" s="20" t="s">
        <v>14</v>
      </c>
      <c r="AO963" s="20">
        <v>-30.5</v>
      </c>
      <c r="AP963" s="20">
        <v>-45.85</v>
      </c>
      <c r="AS963" s="20">
        <v>485.0</v>
      </c>
      <c r="AT963" s="20" t="s">
        <v>14</v>
      </c>
      <c r="AU963" s="20">
        <v>-28.25</v>
      </c>
      <c r="AV963" s="20">
        <v>-19.22</v>
      </c>
      <c r="BE963" s="20">
        <v>961.0</v>
      </c>
      <c r="BF963" s="20" t="s">
        <v>14</v>
      </c>
      <c r="BG963" s="20">
        <v>-23.49</v>
      </c>
      <c r="BH963" s="20">
        <v>13.61</v>
      </c>
      <c r="BM963" s="20">
        <v>229.22</v>
      </c>
      <c r="BN963" s="20">
        <v>143.26</v>
      </c>
      <c r="BW963" s="20">
        <v>-60.35</v>
      </c>
      <c r="BX963" s="20">
        <v>-3.61</v>
      </c>
      <c r="BZ963" s="20">
        <v>-32.49</v>
      </c>
      <c r="CA963" s="20">
        <v>100.36</v>
      </c>
      <c r="CO963" s="20">
        <v>11.5</v>
      </c>
      <c r="CP963" s="20">
        <v>-51.51</v>
      </c>
    </row>
    <row r="964">
      <c r="A964" s="20">
        <v>-57.31</v>
      </c>
      <c r="B964" s="20">
        <v>62.3</v>
      </c>
      <c r="D964" s="20"/>
      <c r="E964" s="20"/>
      <c r="F964" s="20">
        <v>-13.96</v>
      </c>
      <c r="G964" s="20">
        <v>-31.1</v>
      </c>
      <c r="I964" s="20"/>
      <c r="J964" s="20"/>
      <c r="K964" s="20">
        <v>481.0</v>
      </c>
      <c r="L964" s="20" t="s">
        <v>17</v>
      </c>
      <c r="M964" s="20">
        <v>0.43</v>
      </c>
      <c r="N964" s="20">
        <v>13.67</v>
      </c>
      <c r="P964" s="20">
        <v>39.35</v>
      </c>
      <c r="Q964" s="20">
        <v>142.09</v>
      </c>
      <c r="AG964" s="20">
        <v>962.0</v>
      </c>
      <c r="AH964" s="20" t="s">
        <v>14</v>
      </c>
      <c r="AI964" s="20">
        <v>-21.38</v>
      </c>
      <c r="AJ964" s="20">
        <v>14.22</v>
      </c>
      <c r="AM964" s="20">
        <v>492.0</v>
      </c>
      <c r="AN964" s="20" t="s">
        <v>17</v>
      </c>
      <c r="AO964" s="20">
        <v>-22.24</v>
      </c>
      <c r="AP964" s="20">
        <v>19.58</v>
      </c>
      <c r="AS964" s="20">
        <v>485.0</v>
      </c>
      <c r="AT964" s="20" t="s">
        <v>17</v>
      </c>
      <c r="AU964" s="20">
        <v>-15.84</v>
      </c>
      <c r="AV964" s="20">
        <v>-26.38</v>
      </c>
      <c r="BE964" s="20">
        <v>962.0</v>
      </c>
      <c r="BF964" s="20" t="s">
        <v>14</v>
      </c>
      <c r="BG964" s="20">
        <v>5.83</v>
      </c>
      <c r="BH964" s="20">
        <v>52.32</v>
      </c>
      <c r="BM964" s="20">
        <v>123.47</v>
      </c>
      <c r="BN964" s="20">
        <v>84.92</v>
      </c>
      <c r="BW964" s="20">
        <v>-61.51</v>
      </c>
      <c r="BX964" s="20">
        <v>5.87</v>
      </c>
      <c r="BZ964" s="20">
        <v>-41.68</v>
      </c>
      <c r="CA964" s="20">
        <v>68.7</v>
      </c>
      <c r="CO964" s="20">
        <v>-12.38</v>
      </c>
      <c r="CP964" s="20">
        <v>-48.47</v>
      </c>
    </row>
    <row r="965">
      <c r="A965" s="20">
        <v>3.27</v>
      </c>
      <c r="B965" s="20">
        <v>8.14</v>
      </c>
      <c r="D965" s="20"/>
      <c r="E965" s="20"/>
      <c r="F965" s="20">
        <v>-15.41</v>
      </c>
      <c r="G965" s="20">
        <v>21.12</v>
      </c>
      <c r="I965" s="20"/>
      <c r="J965" s="20"/>
      <c r="K965" s="20">
        <v>482.0</v>
      </c>
      <c r="L965" s="20" t="s">
        <v>14</v>
      </c>
      <c r="M965" s="20">
        <v>-5.91</v>
      </c>
      <c r="N965" s="20">
        <v>-6.72</v>
      </c>
      <c r="P965" s="20">
        <v>18.86</v>
      </c>
      <c r="Q965" s="20">
        <v>140.47</v>
      </c>
      <c r="AG965" s="20">
        <v>963.0</v>
      </c>
      <c r="AH965" s="20" t="s">
        <v>14</v>
      </c>
      <c r="AI965" s="20">
        <v>-7.71</v>
      </c>
      <c r="AJ965" s="20">
        <v>-12.12</v>
      </c>
      <c r="AM965" s="20">
        <v>493.0</v>
      </c>
      <c r="AN965" s="20" t="s">
        <v>14</v>
      </c>
      <c r="AO965" s="20">
        <v>2.2</v>
      </c>
      <c r="AP965" s="20">
        <v>-10.75</v>
      </c>
      <c r="AS965" s="20">
        <v>486.0</v>
      </c>
      <c r="AT965" s="20" t="s">
        <v>14</v>
      </c>
      <c r="AU965" s="20">
        <v>13.19</v>
      </c>
      <c r="AV965" s="20">
        <v>-14.49</v>
      </c>
      <c r="BE965" s="20">
        <v>963.0</v>
      </c>
      <c r="BF965" s="20" t="s">
        <v>14</v>
      </c>
      <c r="BG965" s="20">
        <v>17.53</v>
      </c>
      <c r="BH965" s="20">
        <v>24.94</v>
      </c>
      <c r="BM965" s="20">
        <v>96.02</v>
      </c>
      <c r="BN965" s="20">
        <v>200.55</v>
      </c>
      <c r="BW965" s="20">
        <v>-53.21</v>
      </c>
      <c r="BX965" s="20">
        <v>-32.77</v>
      </c>
      <c r="BZ965" s="20">
        <v>-40.31</v>
      </c>
      <c r="CA965" s="20">
        <v>50.69</v>
      </c>
      <c r="CO965" s="20">
        <v>-36.19</v>
      </c>
      <c r="CP965" s="20">
        <v>-51.78</v>
      </c>
    </row>
    <row r="966">
      <c r="A966" s="20">
        <v>32.02</v>
      </c>
      <c r="B966" s="20">
        <v>83.88</v>
      </c>
      <c r="D966" s="20"/>
      <c r="E966" s="20"/>
      <c r="F966" s="20">
        <v>0.01</v>
      </c>
      <c r="G966" s="20">
        <v>19.48</v>
      </c>
      <c r="I966" s="20"/>
      <c r="J966" s="20"/>
      <c r="K966" s="20">
        <v>482.0</v>
      </c>
      <c r="L966" s="20" t="s">
        <v>17</v>
      </c>
      <c r="M966" s="20">
        <v>-68.81</v>
      </c>
      <c r="N966" s="20">
        <v>-73.7</v>
      </c>
      <c r="P966" s="20">
        <v>9.3</v>
      </c>
      <c r="Q966" s="20">
        <v>99.87</v>
      </c>
      <c r="AG966" s="20">
        <v>964.0</v>
      </c>
      <c r="AH966" s="20" t="s">
        <v>14</v>
      </c>
      <c r="AI966" s="20">
        <v>-57.88</v>
      </c>
      <c r="AJ966" s="20">
        <v>-63.67</v>
      </c>
      <c r="AM966" s="20">
        <v>493.0</v>
      </c>
      <c r="AN966" s="20" t="s">
        <v>17</v>
      </c>
      <c r="AO966" s="20">
        <v>-19.5</v>
      </c>
      <c r="AP966" s="20">
        <v>-22.77</v>
      </c>
      <c r="AS966" s="20">
        <v>486.0</v>
      </c>
      <c r="AT966" s="20" t="s">
        <v>17</v>
      </c>
      <c r="AU966" s="20">
        <v>75.53</v>
      </c>
      <c r="AV966" s="20">
        <v>-29.2</v>
      </c>
      <c r="BE966" s="20">
        <v>964.0</v>
      </c>
      <c r="BF966" s="20" t="s">
        <v>14</v>
      </c>
      <c r="BG966" s="20">
        <v>55.58</v>
      </c>
      <c r="BH966" s="20">
        <v>77.69</v>
      </c>
      <c r="BM966" s="20">
        <v>202.32</v>
      </c>
      <c r="BN966" s="20">
        <v>18.1</v>
      </c>
      <c r="BW966" s="20">
        <v>-54.27</v>
      </c>
      <c r="BX966" s="20">
        <v>-25.7</v>
      </c>
      <c r="BZ966" s="20">
        <v>-67.56</v>
      </c>
      <c r="CA966" s="20">
        <v>-14.0</v>
      </c>
      <c r="CO966" s="20">
        <v>13.23</v>
      </c>
      <c r="CP966" s="20">
        <v>-46.69</v>
      </c>
    </row>
    <row r="967">
      <c r="A967" s="20">
        <v>-40.32</v>
      </c>
      <c r="B967" s="20">
        <v>-1.22</v>
      </c>
      <c r="D967" s="20"/>
      <c r="E967" s="20"/>
      <c r="F967" s="20">
        <v>-9.42</v>
      </c>
      <c r="G967" s="20">
        <v>-30.21</v>
      </c>
      <c r="I967" s="20"/>
      <c r="J967" s="20"/>
      <c r="K967" s="20">
        <v>483.0</v>
      </c>
      <c r="L967" s="20" t="s">
        <v>14</v>
      </c>
      <c r="M967" s="20">
        <v>47.89</v>
      </c>
      <c r="N967" s="20">
        <v>15.01</v>
      </c>
      <c r="P967" s="20">
        <v>-3.81</v>
      </c>
      <c r="Q967" s="20">
        <v>51.14</v>
      </c>
      <c r="AG967" s="20">
        <v>965.0</v>
      </c>
      <c r="AH967" s="20" t="s">
        <v>14</v>
      </c>
      <c r="AI967" s="20">
        <v>-39.06</v>
      </c>
      <c r="AJ967" s="20">
        <v>-15.59</v>
      </c>
      <c r="AM967" s="20">
        <v>494.0</v>
      </c>
      <c r="AN967" s="20" t="s">
        <v>14</v>
      </c>
      <c r="AO967" s="20">
        <v>-23.62</v>
      </c>
      <c r="AP967" s="20">
        <v>-25.98</v>
      </c>
      <c r="AS967" s="20">
        <v>487.0</v>
      </c>
      <c r="AT967" s="20" t="s">
        <v>14</v>
      </c>
      <c r="AU967" s="20">
        <v>-42.48</v>
      </c>
      <c r="AV967" s="20">
        <v>-33.4</v>
      </c>
      <c r="BE967" s="20">
        <v>965.0</v>
      </c>
      <c r="BF967" s="20" t="s">
        <v>14</v>
      </c>
      <c r="BG967" s="20">
        <v>-17.12</v>
      </c>
      <c r="BH967" s="20">
        <v>89.75</v>
      </c>
      <c r="BM967" s="20">
        <v>34.25</v>
      </c>
      <c r="BN967" s="20">
        <v>148.85</v>
      </c>
      <c r="BW967" s="20">
        <v>-64.55</v>
      </c>
      <c r="BX967" s="20">
        <v>-11.17</v>
      </c>
      <c r="BZ967" s="20">
        <v>47.3</v>
      </c>
      <c r="CA967" s="20">
        <v>52.89</v>
      </c>
      <c r="CO967" s="20">
        <v>-1.32</v>
      </c>
      <c r="CP967" s="20">
        <v>-37.19</v>
      </c>
    </row>
    <row r="968">
      <c r="A968" s="20">
        <v>-29.43</v>
      </c>
      <c r="B968" s="20">
        <v>46.91</v>
      </c>
      <c r="D968" s="20"/>
      <c r="E968" s="20"/>
      <c r="F968" s="20">
        <v>-51.65</v>
      </c>
      <c r="G968" s="20">
        <v>-22.17</v>
      </c>
      <c r="I968" s="20"/>
      <c r="J968" s="20"/>
      <c r="K968" s="20">
        <v>483.0</v>
      </c>
      <c r="L968" s="20" t="s">
        <v>17</v>
      </c>
      <c r="M968" s="20">
        <v>10.2</v>
      </c>
      <c r="N968" s="20">
        <v>33.56</v>
      </c>
      <c r="P968" s="20">
        <v>33.95</v>
      </c>
      <c r="Q968" s="20">
        <v>84.69</v>
      </c>
      <c r="AG968" s="20">
        <v>966.0</v>
      </c>
      <c r="AH968" s="20" t="s">
        <v>14</v>
      </c>
      <c r="AI968" s="20">
        <v>-28.37</v>
      </c>
      <c r="AJ968" s="20">
        <v>-29.88</v>
      </c>
      <c r="AM968" s="20">
        <v>494.0</v>
      </c>
      <c r="AN968" s="20" t="s">
        <v>17</v>
      </c>
      <c r="AO968" s="20">
        <v>-32.08</v>
      </c>
      <c r="AP968" s="20">
        <v>-1.35</v>
      </c>
      <c r="AS968" s="20">
        <v>487.0</v>
      </c>
      <c r="AT968" s="20" t="s">
        <v>17</v>
      </c>
      <c r="AU968" s="20">
        <v>-37.77</v>
      </c>
      <c r="AV968" s="20">
        <v>-51.13</v>
      </c>
      <c r="BE968" s="20">
        <v>966.0</v>
      </c>
      <c r="BF968" s="20" t="s">
        <v>14</v>
      </c>
      <c r="BG968" s="20">
        <v>16.94</v>
      </c>
      <c r="BH968" s="20">
        <v>18.11</v>
      </c>
      <c r="BM968" s="20">
        <v>68.77</v>
      </c>
      <c r="BN968" s="20">
        <v>106.79</v>
      </c>
      <c r="BW968" s="20">
        <v>-23.56</v>
      </c>
      <c r="BX968" s="20">
        <v>-45.75</v>
      </c>
      <c r="BZ968" s="20">
        <v>-35.31</v>
      </c>
      <c r="CA968" s="20">
        <v>107.45</v>
      </c>
      <c r="CO968" s="20">
        <v>14.79</v>
      </c>
      <c r="CP968" s="20">
        <v>-46.41</v>
      </c>
    </row>
    <row r="969">
      <c r="A969" s="20">
        <v>-7.05</v>
      </c>
      <c r="B969" s="20">
        <v>153.73</v>
      </c>
      <c r="D969" s="20"/>
      <c r="E969" s="20"/>
      <c r="F969" s="20">
        <v>-9.0</v>
      </c>
      <c r="G969" s="20">
        <v>40.21</v>
      </c>
      <c r="I969" s="20"/>
      <c r="J969" s="20"/>
      <c r="K969" s="20">
        <v>484.0</v>
      </c>
      <c r="L969" s="20" t="s">
        <v>14</v>
      </c>
      <c r="M969" s="20">
        <v>-41.65</v>
      </c>
      <c r="N969" s="20">
        <v>-28.19</v>
      </c>
      <c r="P969" s="20">
        <v>12.13</v>
      </c>
      <c r="Q969" s="20">
        <v>41.32</v>
      </c>
      <c r="AG969" s="20">
        <v>967.0</v>
      </c>
      <c r="AH969" s="20" t="s">
        <v>14</v>
      </c>
      <c r="AI969" s="20">
        <v>-55.25</v>
      </c>
      <c r="AJ969" s="20">
        <v>-44.98</v>
      </c>
      <c r="AM969" s="20">
        <v>495.0</v>
      </c>
      <c r="AN969" s="20" t="s">
        <v>14</v>
      </c>
      <c r="AO969" s="20">
        <v>-3.99</v>
      </c>
      <c r="AP969" s="20">
        <v>-22.09</v>
      </c>
      <c r="AS969" s="20">
        <v>488.0</v>
      </c>
      <c r="AT969" s="20" t="s">
        <v>14</v>
      </c>
      <c r="AU969" s="20">
        <v>-15.92</v>
      </c>
      <c r="AV969" s="20">
        <v>-14.06</v>
      </c>
      <c r="BE969" s="20">
        <v>967.0</v>
      </c>
      <c r="BF969" s="20" t="s">
        <v>14</v>
      </c>
      <c r="BG969" s="20">
        <v>-50.72</v>
      </c>
      <c r="BH969" s="20">
        <v>1.05</v>
      </c>
      <c r="BM969" s="20">
        <v>77.97</v>
      </c>
      <c r="BN969" s="20">
        <v>58.01</v>
      </c>
      <c r="BW969" s="20">
        <v>-44.92</v>
      </c>
      <c r="BX969" s="20">
        <v>-16.52</v>
      </c>
      <c r="BZ969" s="20">
        <v>-12.76</v>
      </c>
      <c r="CA969" s="20">
        <v>17.47</v>
      </c>
      <c r="CO969" s="20">
        <v>-18.5</v>
      </c>
      <c r="CP969" s="20">
        <v>-43.77</v>
      </c>
    </row>
    <row r="970">
      <c r="A970" s="20">
        <v>-39.71</v>
      </c>
      <c r="B970" s="20">
        <v>100.18</v>
      </c>
      <c r="D970" s="20"/>
      <c r="E970" s="20"/>
      <c r="F970" s="20">
        <v>-21.05</v>
      </c>
      <c r="G970" s="20">
        <v>10.82</v>
      </c>
      <c r="I970" s="20"/>
      <c r="J970" s="20"/>
      <c r="K970" s="20">
        <v>484.0</v>
      </c>
      <c r="L970" s="20" t="s">
        <v>17</v>
      </c>
      <c r="M970" s="20">
        <v>45.73</v>
      </c>
      <c r="N970" s="20">
        <v>-9.71</v>
      </c>
      <c r="P970" s="20">
        <v>-9.28</v>
      </c>
      <c r="Q970" s="20">
        <v>75.41</v>
      </c>
      <c r="AG970" s="20">
        <v>968.0</v>
      </c>
      <c r="AH970" s="20" t="s">
        <v>14</v>
      </c>
      <c r="AI970" s="20">
        <v>-47.07</v>
      </c>
      <c r="AJ970" s="20">
        <v>-51.69</v>
      </c>
      <c r="AM970" s="20">
        <v>495.0</v>
      </c>
      <c r="AN970" s="20" t="s">
        <v>17</v>
      </c>
      <c r="AO970" s="20">
        <v>57.75</v>
      </c>
      <c r="AP970" s="20">
        <v>-3.29</v>
      </c>
      <c r="AS970" s="20">
        <v>488.0</v>
      </c>
      <c r="AT970" s="20" t="s">
        <v>17</v>
      </c>
      <c r="AU970" s="20">
        <v>-4.95</v>
      </c>
      <c r="AV970" s="20">
        <v>-32.21</v>
      </c>
      <c r="BE970" s="20">
        <v>968.0</v>
      </c>
      <c r="BF970" s="20" t="s">
        <v>14</v>
      </c>
      <c r="BG970" s="20">
        <v>-2.8</v>
      </c>
      <c r="BH970" s="20">
        <v>38.13</v>
      </c>
      <c r="BM970" s="20">
        <v>92.42</v>
      </c>
      <c r="BN970" s="20">
        <v>112.53</v>
      </c>
      <c r="BW970" s="20">
        <v>-59.24</v>
      </c>
      <c r="BX970" s="20">
        <v>1.06</v>
      </c>
      <c r="BZ970" s="20">
        <v>-45.92</v>
      </c>
      <c r="CA970" s="20">
        <v>-51.93</v>
      </c>
      <c r="CO970" s="20">
        <v>-4.35</v>
      </c>
      <c r="CP970" s="20">
        <v>-51.15</v>
      </c>
    </row>
    <row r="971">
      <c r="A971" s="20">
        <v>-32.35</v>
      </c>
      <c r="B971" s="20">
        <v>141.14</v>
      </c>
      <c r="D971" s="20"/>
      <c r="E971" s="20"/>
      <c r="F971" s="20">
        <v>-13.95</v>
      </c>
      <c r="G971" s="20">
        <v>56.72</v>
      </c>
      <c r="I971" s="20"/>
      <c r="J971" s="20"/>
      <c r="K971" s="20">
        <v>485.0</v>
      </c>
      <c r="L971" s="20" t="s">
        <v>14</v>
      </c>
      <c r="M971" s="20">
        <v>-19.75</v>
      </c>
      <c r="N971" s="20">
        <v>18.67</v>
      </c>
      <c r="P971" s="20">
        <v>-30.61</v>
      </c>
      <c r="Q971" s="20">
        <v>28.3</v>
      </c>
      <c r="AG971" s="20">
        <v>969.0</v>
      </c>
      <c r="AH971" s="20" t="s">
        <v>14</v>
      </c>
      <c r="AI971" s="20">
        <v>15.07</v>
      </c>
      <c r="AJ971" s="20">
        <v>-23.18</v>
      </c>
      <c r="AM971" s="20">
        <v>496.0</v>
      </c>
      <c r="AN971" s="20" t="s">
        <v>14</v>
      </c>
      <c r="AO971" s="20">
        <v>-22.44</v>
      </c>
      <c r="AP971" s="20">
        <v>-25.25</v>
      </c>
      <c r="AS971" s="20">
        <v>489.0</v>
      </c>
      <c r="AT971" s="20" t="s">
        <v>14</v>
      </c>
      <c r="AU971" s="20">
        <v>-20.1</v>
      </c>
      <c r="AV971" s="20">
        <v>-35.74</v>
      </c>
      <c r="BE971" s="20">
        <v>969.0</v>
      </c>
      <c r="BF971" s="20" t="s">
        <v>14</v>
      </c>
      <c r="BG971" s="20">
        <v>10.2</v>
      </c>
      <c r="BH971" s="20">
        <v>32.87</v>
      </c>
      <c r="BM971" s="20">
        <v>-20.85</v>
      </c>
      <c r="BN971" s="20">
        <v>75.25</v>
      </c>
      <c r="BW971" s="20">
        <v>-45.52</v>
      </c>
      <c r="BX971" s="20">
        <v>-3.89</v>
      </c>
      <c r="BZ971" s="20">
        <v>0.24</v>
      </c>
      <c r="CA971" s="20">
        <v>102.87</v>
      </c>
      <c r="CO971" s="20">
        <v>10.0</v>
      </c>
      <c r="CP971" s="20">
        <v>-46.73</v>
      </c>
    </row>
    <row r="972">
      <c r="A972" s="20">
        <v>9.13</v>
      </c>
      <c r="B972" s="20">
        <v>28.81</v>
      </c>
      <c r="D972" s="20"/>
      <c r="E972" s="20"/>
      <c r="F972" s="20">
        <v>-25.72</v>
      </c>
      <c r="G972" s="20">
        <v>49.99</v>
      </c>
      <c r="I972" s="20"/>
      <c r="J972" s="20"/>
      <c r="K972" s="20">
        <v>485.0</v>
      </c>
      <c r="L972" s="20" t="s">
        <v>17</v>
      </c>
      <c r="M972" s="20">
        <v>-0.22</v>
      </c>
      <c r="N972" s="20">
        <v>-13.38</v>
      </c>
      <c r="P972" s="20">
        <v>29.32</v>
      </c>
      <c r="Q972" s="20">
        <v>74.62</v>
      </c>
      <c r="AG972" s="20">
        <v>970.0</v>
      </c>
      <c r="AH972" s="20" t="s">
        <v>14</v>
      </c>
      <c r="AI972" s="20">
        <v>-56.35</v>
      </c>
      <c r="AJ972" s="20">
        <v>-55.92</v>
      </c>
      <c r="AM972" s="20">
        <v>496.0</v>
      </c>
      <c r="AN972" s="20" t="s">
        <v>17</v>
      </c>
      <c r="AO972" s="20">
        <v>-22.66</v>
      </c>
      <c r="AP972" s="20">
        <v>-8.55</v>
      </c>
      <c r="AS972" s="20">
        <v>489.0</v>
      </c>
      <c r="AT972" s="20" t="s">
        <v>17</v>
      </c>
      <c r="AU972" s="20">
        <v>-22.13</v>
      </c>
      <c r="AV972" s="20">
        <v>-54.42</v>
      </c>
      <c r="BE972" s="20">
        <v>970.0</v>
      </c>
      <c r="BF972" s="20" t="s">
        <v>14</v>
      </c>
      <c r="BG972" s="20">
        <v>-12.63</v>
      </c>
      <c r="BH972" s="20">
        <v>2.12</v>
      </c>
      <c r="BM972" s="20">
        <v>39.75</v>
      </c>
      <c r="BN972" s="20">
        <v>27.01</v>
      </c>
      <c r="BW972" s="20">
        <v>-3.54</v>
      </c>
      <c r="BX972" s="20">
        <v>-50.32</v>
      </c>
      <c r="BZ972" s="20">
        <v>-60.11</v>
      </c>
      <c r="CA972" s="20">
        <v>93.25</v>
      </c>
      <c r="CO972" s="20">
        <v>1.74</v>
      </c>
      <c r="CP972" s="20">
        <v>-60.6</v>
      </c>
    </row>
    <row r="973">
      <c r="A973" s="20">
        <v>-38.31</v>
      </c>
      <c r="B973" s="20">
        <v>48.11</v>
      </c>
      <c r="D973" s="20"/>
      <c r="E973" s="20"/>
      <c r="F973" s="20">
        <v>-30.68</v>
      </c>
      <c r="G973" s="20">
        <v>-1.23</v>
      </c>
      <c r="I973" s="20"/>
      <c r="J973" s="20"/>
      <c r="K973" s="20">
        <v>486.0</v>
      </c>
      <c r="L973" s="20" t="s">
        <v>14</v>
      </c>
      <c r="M973" s="20">
        <v>-6.06</v>
      </c>
      <c r="N973" s="20">
        <v>-6.15</v>
      </c>
      <c r="P973" s="20">
        <v>-15.68</v>
      </c>
      <c r="Q973" s="20">
        <v>1.59</v>
      </c>
      <c r="AG973" s="20">
        <v>971.0</v>
      </c>
      <c r="AH973" s="20" t="s">
        <v>14</v>
      </c>
      <c r="AI973" s="20">
        <v>-45.76</v>
      </c>
      <c r="AJ973" s="20">
        <v>-36.43</v>
      </c>
      <c r="AM973" s="20">
        <v>497.0</v>
      </c>
      <c r="AN973" s="20" t="s">
        <v>14</v>
      </c>
      <c r="AO973" s="20">
        <v>-17.6</v>
      </c>
      <c r="AP973" s="20">
        <v>-23.55</v>
      </c>
      <c r="AS973" s="20">
        <v>490.0</v>
      </c>
      <c r="AT973" s="20" t="s">
        <v>14</v>
      </c>
      <c r="AU973" s="20">
        <v>-16.6</v>
      </c>
      <c r="AV973" s="20">
        <v>-34.1</v>
      </c>
      <c r="BE973" s="20">
        <v>971.0</v>
      </c>
      <c r="BF973" s="20" t="s">
        <v>14</v>
      </c>
      <c r="BG973" s="20">
        <v>35.66</v>
      </c>
      <c r="BH973" s="20">
        <v>40.7</v>
      </c>
      <c r="BM973" s="20">
        <v>228.2</v>
      </c>
      <c r="BN973" s="20">
        <v>93.67</v>
      </c>
      <c r="BW973" s="20">
        <v>-42.43</v>
      </c>
      <c r="BX973" s="20">
        <v>-40.77</v>
      </c>
      <c r="BZ973" s="20">
        <v>-20.55</v>
      </c>
      <c r="CA973" s="20">
        <v>28.31</v>
      </c>
      <c r="CO973" s="20">
        <v>-42.42</v>
      </c>
      <c r="CP973" s="20">
        <v>-48.63</v>
      </c>
    </row>
    <row r="974">
      <c r="A974" s="20">
        <v>-19.0</v>
      </c>
      <c r="B974" s="20">
        <v>37.61</v>
      </c>
      <c r="D974" s="20"/>
      <c r="E974" s="20"/>
      <c r="F974" s="20">
        <v>-39.61</v>
      </c>
      <c r="G974" s="20">
        <v>0.3</v>
      </c>
      <c r="I974" s="20"/>
      <c r="J974" s="20"/>
      <c r="K974" s="20">
        <v>486.0</v>
      </c>
      <c r="L974" s="20" t="s">
        <v>17</v>
      </c>
      <c r="M974" s="20">
        <v>29.48</v>
      </c>
      <c r="N974" s="20">
        <v>18.13</v>
      </c>
      <c r="P974" s="20">
        <v>-19.64</v>
      </c>
      <c r="Q974" s="20">
        <v>23.53</v>
      </c>
      <c r="AG974" s="20">
        <v>972.0</v>
      </c>
      <c r="AH974" s="20" t="s">
        <v>14</v>
      </c>
      <c r="AI974" s="20">
        <v>-29.44</v>
      </c>
      <c r="AJ974" s="20">
        <v>-27.88</v>
      </c>
      <c r="AM974" s="20">
        <v>497.0</v>
      </c>
      <c r="AN974" s="20" t="s">
        <v>17</v>
      </c>
      <c r="AO974" s="20">
        <v>-5.41</v>
      </c>
      <c r="AP974" s="20">
        <v>-40.05</v>
      </c>
      <c r="AS974" s="20">
        <v>490.0</v>
      </c>
      <c r="AT974" s="20" t="s">
        <v>17</v>
      </c>
      <c r="AU974" s="20">
        <v>-3.69</v>
      </c>
      <c r="AV974" s="20">
        <v>-21.65</v>
      </c>
      <c r="BE974" s="20">
        <v>972.0</v>
      </c>
      <c r="BF974" s="20" t="s">
        <v>14</v>
      </c>
      <c r="BG974" s="20">
        <v>3.55</v>
      </c>
      <c r="BH974" s="20">
        <v>19.37</v>
      </c>
      <c r="BM974" s="20">
        <v>-55.17</v>
      </c>
      <c r="BN974" s="20">
        <v>-37.74</v>
      </c>
      <c r="BW974" s="20">
        <v>-51.79</v>
      </c>
      <c r="BX974" s="20">
        <v>-64.52</v>
      </c>
      <c r="BZ974" s="20">
        <v>-44.38</v>
      </c>
      <c r="CA974" s="20">
        <v>-29.21</v>
      </c>
      <c r="CO974" s="20">
        <v>-13.16</v>
      </c>
      <c r="CP974" s="20">
        <v>-46.85</v>
      </c>
    </row>
    <row r="975">
      <c r="A975" s="20">
        <v>-60.69</v>
      </c>
      <c r="B975" s="20">
        <v>11.67</v>
      </c>
      <c r="D975" s="20"/>
      <c r="E975" s="20"/>
      <c r="F975" s="20">
        <v>31.5</v>
      </c>
      <c r="G975" s="20">
        <v>66.43</v>
      </c>
      <c r="I975" s="20"/>
      <c r="J975" s="20"/>
      <c r="K975" s="20">
        <v>487.0</v>
      </c>
      <c r="L975" s="20" t="s">
        <v>14</v>
      </c>
      <c r="M975" s="20">
        <v>-23.81</v>
      </c>
      <c r="N975" s="20">
        <v>22.49</v>
      </c>
      <c r="P975" s="20">
        <v>-36.37</v>
      </c>
      <c r="Q975" s="20">
        <v>23.05</v>
      </c>
      <c r="AG975" s="20">
        <v>973.0</v>
      </c>
      <c r="AH975" s="20" t="s">
        <v>14</v>
      </c>
      <c r="AI975" s="20">
        <v>-3.43</v>
      </c>
      <c r="AJ975" s="20">
        <v>-16.08</v>
      </c>
      <c r="AM975" s="20">
        <v>498.0</v>
      </c>
      <c r="AN975" s="20" t="s">
        <v>14</v>
      </c>
      <c r="AO975" s="20">
        <v>-7.68</v>
      </c>
      <c r="AP975" s="20">
        <v>-7.13</v>
      </c>
      <c r="AS975" s="20">
        <v>491.0</v>
      </c>
      <c r="AT975" s="20" t="s">
        <v>14</v>
      </c>
      <c r="AU975" s="20">
        <v>-14.28</v>
      </c>
      <c r="AV975" s="20">
        <v>-12.64</v>
      </c>
      <c r="BE975" s="20">
        <v>973.0</v>
      </c>
      <c r="BF975" s="20" t="s">
        <v>14</v>
      </c>
      <c r="BG975" s="20">
        <v>16.2</v>
      </c>
      <c r="BH975" s="20">
        <v>48.02</v>
      </c>
      <c r="BM975" s="20">
        <v>69.08</v>
      </c>
      <c r="BN975" s="20">
        <v>69.4</v>
      </c>
      <c r="BW975" s="20">
        <v>-29.97</v>
      </c>
      <c r="BX975" s="20">
        <v>-25.5</v>
      </c>
      <c r="BZ975" s="20">
        <v>-56.13</v>
      </c>
      <c r="CA975" s="20">
        <v>91.59</v>
      </c>
      <c r="CO975" s="20">
        <v>9.39</v>
      </c>
      <c r="CP975" s="20">
        <v>-63.54</v>
      </c>
    </row>
    <row r="976">
      <c r="A976" s="20">
        <v>-12.57</v>
      </c>
      <c r="B976" s="20">
        <v>76.51</v>
      </c>
      <c r="D976" s="20"/>
      <c r="E976" s="20"/>
      <c r="F976" s="20">
        <v>-29.98</v>
      </c>
      <c r="G976" s="20">
        <v>-22.24</v>
      </c>
      <c r="I976" s="20"/>
      <c r="J976" s="20"/>
      <c r="K976" s="20">
        <v>487.0</v>
      </c>
      <c r="L976" s="20" t="s">
        <v>17</v>
      </c>
      <c r="M976" s="20">
        <v>-2.59</v>
      </c>
      <c r="N976" s="20">
        <v>23.84</v>
      </c>
      <c r="P976" s="20">
        <v>-29.26</v>
      </c>
      <c r="Q976" s="20">
        <v>-7.48</v>
      </c>
      <c r="AG976" s="20">
        <v>974.0</v>
      </c>
      <c r="AH976" s="20" t="s">
        <v>14</v>
      </c>
      <c r="AI976" s="20">
        <v>-21.36</v>
      </c>
      <c r="AJ976" s="20">
        <v>-9.44</v>
      </c>
      <c r="AM976" s="20">
        <v>498.0</v>
      </c>
      <c r="AN976" s="20" t="s">
        <v>17</v>
      </c>
      <c r="AO976" s="20">
        <v>-19.83</v>
      </c>
      <c r="AP976" s="20">
        <v>17.66</v>
      </c>
      <c r="AS976" s="20">
        <v>491.0</v>
      </c>
      <c r="AT976" s="20" t="s">
        <v>17</v>
      </c>
      <c r="AU976" s="20">
        <v>3.58</v>
      </c>
      <c r="AV976" s="20">
        <v>5.1</v>
      </c>
      <c r="BE976" s="20">
        <v>974.0</v>
      </c>
      <c r="BF976" s="20" t="s">
        <v>14</v>
      </c>
      <c r="BG976" s="20">
        <v>37.75</v>
      </c>
      <c r="BH976" s="20">
        <v>12.31</v>
      </c>
      <c r="BM976" s="20">
        <v>139.36</v>
      </c>
      <c r="BN976" s="20">
        <v>49.02</v>
      </c>
      <c r="BW976" s="20">
        <v>-41.19</v>
      </c>
      <c r="BX976" s="20">
        <v>27.87</v>
      </c>
      <c r="BZ976" s="20">
        <v>-51.64</v>
      </c>
      <c r="CA976" s="20">
        <v>73.6</v>
      </c>
      <c r="CO976" s="20">
        <v>-20.85</v>
      </c>
      <c r="CP976" s="20">
        <v>-45.32</v>
      </c>
    </row>
    <row r="977">
      <c r="A977" s="20">
        <v>-7.9</v>
      </c>
      <c r="B977" s="20">
        <v>45.82</v>
      </c>
      <c r="D977" s="20"/>
      <c r="E977" s="20"/>
      <c r="F977" s="20">
        <v>-26.36</v>
      </c>
      <c r="G977" s="20">
        <v>-17.17</v>
      </c>
      <c r="I977" s="20"/>
      <c r="J977" s="20"/>
      <c r="K977" s="20">
        <v>488.0</v>
      </c>
      <c r="L977" s="20" t="s">
        <v>14</v>
      </c>
      <c r="M977" s="20">
        <v>-17.48</v>
      </c>
      <c r="N977" s="20">
        <v>12.62</v>
      </c>
      <c r="P977" s="20">
        <v>-17.15</v>
      </c>
      <c r="Q977" s="20">
        <v>125.9</v>
      </c>
      <c r="AG977" s="20">
        <v>975.0</v>
      </c>
      <c r="AH977" s="20" t="s">
        <v>14</v>
      </c>
      <c r="AI977" s="20">
        <v>-20.72</v>
      </c>
      <c r="AJ977" s="20">
        <v>0.3</v>
      </c>
      <c r="AM977" s="20">
        <v>499.0</v>
      </c>
      <c r="AN977" s="20" t="s">
        <v>14</v>
      </c>
      <c r="AO977" s="20">
        <v>9.42</v>
      </c>
      <c r="AP977" s="20">
        <v>-12.15</v>
      </c>
      <c r="AS977" s="20">
        <v>492.0</v>
      </c>
      <c r="AT977" s="20" t="s">
        <v>14</v>
      </c>
      <c r="AU977" s="20">
        <v>-37.36</v>
      </c>
      <c r="AV977" s="20">
        <v>-13.46</v>
      </c>
      <c r="BE977" s="20">
        <v>975.0</v>
      </c>
      <c r="BF977" s="20" t="s">
        <v>14</v>
      </c>
      <c r="BG977" s="20">
        <v>3.63</v>
      </c>
      <c r="BH977" s="20">
        <v>11.62</v>
      </c>
      <c r="BM977" s="20">
        <v>160.25</v>
      </c>
      <c r="BN977" s="20">
        <v>85.94</v>
      </c>
      <c r="BW977" s="20">
        <v>-42.02</v>
      </c>
      <c r="BX977" s="20">
        <v>-40.08</v>
      </c>
      <c r="BZ977" s="20">
        <v>-49.39</v>
      </c>
      <c r="CA977" s="20">
        <v>3.83</v>
      </c>
      <c r="CO977" s="20">
        <v>-21.46</v>
      </c>
      <c r="CP977" s="20">
        <v>-55.85</v>
      </c>
    </row>
    <row r="978">
      <c r="A978" s="20">
        <v>218.23</v>
      </c>
      <c r="B978" s="20">
        <v>2.32</v>
      </c>
      <c r="D978" s="20"/>
      <c r="E978" s="20"/>
      <c r="F978" s="20">
        <v>-27.35</v>
      </c>
      <c r="G978" s="20">
        <v>-3.93</v>
      </c>
      <c r="I978" s="20"/>
      <c r="J978" s="20"/>
      <c r="K978" s="20">
        <v>488.0</v>
      </c>
      <c r="L978" s="20" t="s">
        <v>17</v>
      </c>
      <c r="M978" s="20">
        <v>-8.69</v>
      </c>
      <c r="N978" s="20">
        <v>-4.98</v>
      </c>
      <c r="P978" s="20">
        <v>-16.08</v>
      </c>
      <c r="Q978" s="20">
        <v>79.62</v>
      </c>
      <c r="AG978" s="20">
        <v>976.0</v>
      </c>
      <c r="AH978" s="20" t="s">
        <v>14</v>
      </c>
      <c r="AI978" s="20">
        <v>-42.95</v>
      </c>
      <c r="AJ978" s="20">
        <v>-49.19</v>
      </c>
      <c r="AM978" s="20">
        <v>499.0</v>
      </c>
      <c r="AN978" s="20" t="s">
        <v>17</v>
      </c>
      <c r="AO978" s="20">
        <v>-23.13</v>
      </c>
      <c r="AP978" s="20">
        <v>-28.01</v>
      </c>
      <c r="AS978" s="20">
        <v>492.0</v>
      </c>
      <c r="AT978" s="20" t="s">
        <v>17</v>
      </c>
      <c r="AU978" s="20">
        <v>-16.57</v>
      </c>
      <c r="AV978" s="20">
        <v>-37.5</v>
      </c>
      <c r="BE978" s="20">
        <v>976.0</v>
      </c>
      <c r="BF978" s="20" t="s">
        <v>14</v>
      </c>
      <c r="BG978" s="20">
        <v>-33.26</v>
      </c>
      <c r="BH978" s="20">
        <v>34.32</v>
      </c>
      <c r="BM978" s="20">
        <v>208.47</v>
      </c>
      <c r="BN978" s="20">
        <v>144.43</v>
      </c>
      <c r="BW978" s="20">
        <v>-57.23</v>
      </c>
      <c r="BX978" s="20">
        <v>-30.22</v>
      </c>
      <c r="BZ978" s="20">
        <v>-64.28</v>
      </c>
      <c r="CA978" s="20">
        <v>-34.74</v>
      </c>
      <c r="CO978" s="20">
        <v>-5.73</v>
      </c>
      <c r="CP978" s="20">
        <v>-53.58</v>
      </c>
    </row>
    <row r="979">
      <c r="A979" s="20">
        <v>72.03</v>
      </c>
      <c r="B979" s="20">
        <v>-32.08</v>
      </c>
      <c r="D979" s="20"/>
      <c r="E979" s="20"/>
      <c r="F979" s="20">
        <v>-63.97</v>
      </c>
      <c r="G979" s="20">
        <v>-43.65</v>
      </c>
      <c r="I979" s="20"/>
      <c r="J979" s="20"/>
      <c r="K979" s="20">
        <v>489.0</v>
      </c>
      <c r="L979" s="20" t="s">
        <v>14</v>
      </c>
      <c r="M979" s="20">
        <v>-16.02</v>
      </c>
      <c r="N979" s="20">
        <v>2.94</v>
      </c>
      <c r="P979" s="20">
        <v>29.34</v>
      </c>
      <c r="Q979" s="20">
        <v>185.39</v>
      </c>
      <c r="AG979" s="20">
        <v>977.0</v>
      </c>
      <c r="AH979" s="20" t="s">
        <v>14</v>
      </c>
      <c r="AI979" s="20">
        <v>-15.43</v>
      </c>
      <c r="AJ979" s="20">
        <v>-25.49</v>
      </c>
      <c r="AM979" s="20">
        <v>500.0</v>
      </c>
      <c r="AN979" s="20" t="s">
        <v>14</v>
      </c>
      <c r="AO979" s="20">
        <v>-24.82</v>
      </c>
      <c r="AP979" s="20">
        <v>-12.01</v>
      </c>
      <c r="AS979" s="20">
        <v>493.0</v>
      </c>
      <c r="AT979" s="20" t="s">
        <v>14</v>
      </c>
      <c r="AU979" s="20">
        <v>-11.96</v>
      </c>
      <c r="AV979" s="20">
        <v>-48.74</v>
      </c>
      <c r="BE979" s="20">
        <v>977.0</v>
      </c>
      <c r="BF979" s="20" t="s">
        <v>14</v>
      </c>
      <c r="BG979" s="20">
        <v>-3.55</v>
      </c>
      <c r="BH979" s="20">
        <v>60.07</v>
      </c>
      <c r="BM979" s="20">
        <v>57.83</v>
      </c>
      <c r="BN979" s="20">
        <v>54.2</v>
      </c>
      <c r="BW979" s="20">
        <v>-52.37</v>
      </c>
      <c r="BX979" s="20">
        <v>-0.7</v>
      </c>
      <c r="BZ979" s="20">
        <v>-30.89</v>
      </c>
      <c r="CA979" s="20">
        <v>189.63</v>
      </c>
      <c r="CO979" s="20">
        <v>-8.92</v>
      </c>
      <c r="CP979" s="20">
        <v>-49.77</v>
      </c>
    </row>
    <row r="980">
      <c r="A980" s="20">
        <v>-62.78</v>
      </c>
      <c r="B980" s="20">
        <v>3.99</v>
      </c>
      <c r="D980" s="20"/>
      <c r="E980" s="20"/>
      <c r="F980" s="20">
        <v>-42.45</v>
      </c>
      <c r="G980" s="20">
        <v>-50.69</v>
      </c>
      <c r="I980" s="20"/>
      <c r="J980" s="20"/>
      <c r="K980" s="20">
        <v>489.0</v>
      </c>
      <c r="L980" s="20" t="s">
        <v>17</v>
      </c>
      <c r="M980" s="20">
        <v>-38.04</v>
      </c>
      <c r="N980" s="20">
        <v>-8.17</v>
      </c>
      <c r="P980" s="20">
        <v>10.77</v>
      </c>
      <c r="Q980" s="20">
        <v>37.87</v>
      </c>
      <c r="AG980" s="20">
        <v>978.0</v>
      </c>
      <c r="AH980" s="20" t="s">
        <v>14</v>
      </c>
      <c r="AI980" s="20">
        <v>-9.44</v>
      </c>
      <c r="AJ980" s="20">
        <v>-14.0</v>
      </c>
      <c r="AM980" s="20">
        <v>500.0</v>
      </c>
      <c r="AN980" s="20" t="s">
        <v>17</v>
      </c>
      <c r="AO980" s="20">
        <v>-17.67</v>
      </c>
      <c r="AP980" s="20">
        <v>2.72</v>
      </c>
      <c r="AS980" s="20">
        <v>493.0</v>
      </c>
      <c r="AT980" s="20" t="s">
        <v>17</v>
      </c>
      <c r="AU980" s="20">
        <v>-13.21</v>
      </c>
      <c r="AV980" s="20">
        <v>-39.56</v>
      </c>
      <c r="BE980" s="20">
        <v>978.0</v>
      </c>
      <c r="BF980" s="20" t="s">
        <v>14</v>
      </c>
      <c r="BG980" s="20">
        <v>27.61</v>
      </c>
      <c r="BH980" s="20">
        <v>45.05</v>
      </c>
      <c r="BM980" s="20">
        <v>130.53</v>
      </c>
      <c r="BN980" s="20">
        <v>178.84</v>
      </c>
      <c r="BW980" s="20">
        <v>-44.24</v>
      </c>
      <c r="BX980" s="20">
        <v>-1.53</v>
      </c>
      <c r="BZ980" s="20">
        <v>8.84</v>
      </c>
      <c r="CA980" s="20">
        <v>74.87</v>
      </c>
      <c r="CO980" s="20">
        <v>4.43</v>
      </c>
      <c r="CP980" s="20">
        <v>-54.06</v>
      </c>
    </row>
    <row r="981">
      <c r="A981" s="20">
        <v>20.79</v>
      </c>
      <c r="B981" s="20">
        <v>17.2</v>
      </c>
      <c r="D981" s="20"/>
      <c r="E981" s="20"/>
      <c r="F981" s="20">
        <v>94.05</v>
      </c>
      <c r="G981" s="20">
        <v>-0.99</v>
      </c>
      <c r="I981" s="20"/>
      <c r="J981" s="20"/>
      <c r="K981" s="20">
        <v>490.0</v>
      </c>
      <c r="L981" s="20" t="s">
        <v>14</v>
      </c>
      <c r="M981" s="20">
        <v>36.41</v>
      </c>
      <c r="N981" s="20">
        <v>50.2</v>
      </c>
      <c r="P981" s="20">
        <v>-19.84</v>
      </c>
      <c r="Q981" s="20">
        <v>22.95</v>
      </c>
      <c r="AG981" s="20">
        <v>979.0</v>
      </c>
      <c r="AH981" s="20" t="s">
        <v>14</v>
      </c>
      <c r="AI981" s="20">
        <v>-66.8</v>
      </c>
      <c r="AJ981" s="20">
        <v>-72.06</v>
      </c>
      <c r="AM981" s="20">
        <v>501.0</v>
      </c>
      <c r="AN981" s="20" t="s">
        <v>14</v>
      </c>
      <c r="AO981" s="20">
        <v>-7.11</v>
      </c>
      <c r="AP981" s="20">
        <v>-23.77</v>
      </c>
      <c r="AS981" s="20">
        <v>494.0</v>
      </c>
      <c r="AT981" s="20" t="s">
        <v>14</v>
      </c>
      <c r="AU981" s="20">
        <v>-9.6</v>
      </c>
      <c r="AV981" s="20">
        <v>-27.88</v>
      </c>
      <c r="BE981" s="20">
        <v>979.0</v>
      </c>
      <c r="BF981" s="20" t="s">
        <v>14</v>
      </c>
      <c r="BG981" s="20">
        <v>8.79</v>
      </c>
      <c r="BH981" s="20">
        <v>79.8</v>
      </c>
      <c r="BM981" s="20">
        <v>107.61</v>
      </c>
      <c r="BN981" s="20">
        <v>91.75</v>
      </c>
      <c r="BW981" s="20">
        <v>-46.89</v>
      </c>
      <c r="BX981" s="20">
        <v>-8.47</v>
      </c>
      <c r="BZ981" s="20">
        <v>-30.79</v>
      </c>
      <c r="CA981" s="20">
        <v>-2.23</v>
      </c>
      <c r="CO981" s="20">
        <v>-0.55</v>
      </c>
      <c r="CP981" s="20">
        <v>-51.08</v>
      </c>
    </row>
    <row r="982">
      <c r="A982" s="20">
        <v>-5.62</v>
      </c>
      <c r="B982" s="20">
        <v>8.57</v>
      </c>
      <c r="D982" s="20"/>
      <c r="E982" s="20"/>
      <c r="F982" s="20">
        <v>23.25</v>
      </c>
      <c r="G982" s="20">
        <v>-25.51</v>
      </c>
      <c r="I982" s="20"/>
      <c r="J982" s="20"/>
      <c r="K982" s="20">
        <v>490.0</v>
      </c>
      <c r="L982" s="20" t="s">
        <v>17</v>
      </c>
      <c r="M982" s="20">
        <v>35.1</v>
      </c>
      <c r="N982" s="20">
        <v>6.95</v>
      </c>
      <c r="P982" s="20">
        <v>-18.17</v>
      </c>
      <c r="Q982" s="20">
        <v>-0.36</v>
      </c>
      <c r="AG982" s="20">
        <v>980.0</v>
      </c>
      <c r="AH982" s="20" t="s">
        <v>14</v>
      </c>
      <c r="AI982" s="20">
        <v>-21.13</v>
      </c>
      <c r="AJ982" s="20">
        <v>-18.83</v>
      </c>
      <c r="AM982" s="20">
        <v>501.0</v>
      </c>
      <c r="AN982" s="20" t="s">
        <v>17</v>
      </c>
      <c r="AO982" s="20">
        <v>-8.36</v>
      </c>
      <c r="AP982" s="20">
        <v>-54.05</v>
      </c>
      <c r="AS982" s="20">
        <v>494.0</v>
      </c>
      <c r="AT982" s="20" t="s">
        <v>17</v>
      </c>
      <c r="AU982" s="20">
        <v>-34.31</v>
      </c>
      <c r="AV982" s="20">
        <v>-44.44</v>
      </c>
      <c r="BE982" s="20">
        <v>980.0</v>
      </c>
      <c r="BF982" s="20" t="s">
        <v>14</v>
      </c>
      <c r="BG982" s="20">
        <v>3.15</v>
      </c>
      <c r="BH982" s="20">
        <v>20.11</v>
      </c>
      <c r="BM982" s="20">
        <v>95.12</v>
      </c>
      <c r="BN982" s="20">
        <v>172.19</v>
      </c>
      <c r="BW982" s="20">
        <v>-48.44</v>
      </c>
      <c r="BX982" s="20">
        <v>-37.26</v>
      </c>
      <c r="BZ982" s="20">
        <v>-44.32</v>
      </c>
      <c r="CA982" s="20">
        <v>2.35</v>
      </c>
      <c r="CO982" s="20">
        <v>-20.07</v>
      </c>
      <c r="CP982" s="20">
        <v>-58.81</v>
      </c>
    </row>
    <row r="983">
      <c r="A983" s="20">
        <v>27.83</v>
      </c>
      <c r="B983" s="20">
        <v>74.65</v>
      </c>
      <c r="D983" s="20"/>
      <c r="E983" s="20"/>
      <c r="F983" s="20">
        <v>1.71</v>
      </c>
      <c r="G983" s="20">
        <v>29.76</v>
      </c>
      <c r="I983" s="20"/>
      <c r="J983" s="20"/>
      <c r="K983" s="20">
        <v>491.0</v>
      </c>
      <c r="L983" s="20" t="s">
        <v>14</v>
      </c>
      <c r="M983" s="20">
        <v>-39.58</v>
      </c>
      <c r="N983" s="20">
        <v>34.29</v>
      </c>
      <c r="P983" s="20">
        <v>7.23</v>
      </c>
      <c r="Q983" s="20">
        <v>115.79</v>
      </c>
      <c r="AG983" s="20">
        <v>981.0</v>
      </c>
      <c r="AH983" s="20" t="s">
        <v>14</v>
      </c>
      <c r="AI983" s="20">
        <v>-17.09</v>
      </c>
      <c r="AJ983" s="20">
        <v>-21.06</v>
      </c>
      <c r="AM983" s="20">
        <v>502.0</v>
      </c>
      <c r="AN983" s="20" t="s">
        <v>14</v>
      </c>
      <c r="AO983" s="20">
        <v>-29.02</v>
      </c>
      <c r="AP983" s="20">
        <v>-30.98</v>
      </c>
      <c r="AS983" s="20">
        <v>495.0</v>
      </c>
      <c r="AT983" s="20" t="s">
        <v>14</v>
      </c>
      <c r="AU983" s="20">
        <v>-12.44</v>
      </c>
      <c r="AV983" s="20">
        <v>-19.05</v>
      </c>
      <c r="BE983" s="20">
        <v>981.0</v>
      </c>
      <c r="BF983" s="20" t="s">
        <v>14</v>
      </c>
      <c r="BG983" s="20">
        <v>9.44</v>
      </c>
      <c r="BH983" s="20">
        <v>11.04</v>
      </c>
      <c r="BM983" s="20">
        <v>25.3</v>
      </c>
      <c r="BN983" s="20">
        <v>89.53</v>
      </c>
      <c r="BW983" s="20">
        <v>-42.18</v>
      </c>
      <c r="BX983" s="20">
        <v>-4.75</v>
      </c>
      <c r="BZ983" s="20">
        <v>-57.57</v>
      </c>
      <c r="CA983" s="20">
        <v>44.12</v>
      </c>
      <c r="CO983" s="20">
        <v>-0.76</v>
      </c>
      <c r="CP983" s="20">
        <v>-37.4</v>
      </c>
    </row>
    <row r="984">
      <c r="A984" s="20">
        <v>35.9</v>
      </c>
      <c r="B984" s="20">
        <v>-40.69</v>
      </c>
      <c r="D984" s="20"/>
      <c r="E984" s="20"/>
      <c r="F984" s="20">
        <v>-10.01</v>
      </c>
      <c r="G984" s="20">
        <v>25.58</v>
      </c>
      <c r="I984" s="20"/>
      <c r="J984" s="20"/>
      <c r="K984" s="20">
        <v>491.0</v>
      </c>
      <c r="L984" s="20" t="s">
        <v>17</v>
      </c>
      <c r="M984" s="20">
        <v>52.7</v>
      </c>
      <c r="N984" s="20">
        <v>-64.06</v>
      </c>
      <c r="P984" s="20">
        <v>34.71</v>
      </c>
      <c r="Q984" s="20">
        <v>47.66</v>
      </c>
      <c r="AG984" s="20">
        <v>982.0</v>
      </c>
      <c r="AH984" s="20" t="s">
        <v>14</v>
      </c>
      <c r="AI984" s="20">
        <v>-54.23</v>
      </c>
      <c r="AJ984" s="20">
        <v>-51.11</v>
      </c>
      <c r="AM984" s="20">
        <v>502.0</v>
      </c>
      <c r="AN984" s="20" t="s">
        <v>17</v>
      </c>
      <c r="AO984" s="20">
        <v>-41.52</v>
      </c>
      <c r="AP984" s="20">
        <v>-34.13</v>
      </c>
      <c r="AS984" s="20">
        <v>495.0</v>
      </c>
      <c r="AT984" s="20" t="s">
        <v>17</v>
      </c>
      <c r="AU984" s="20">
        <v>-16.21</v>
      </c>
      <c r="AV984" s="20">
        <v>-39.41</v>
      </c>
      <c r="BE984" s="20">
        <v>982.0</v>
      </c>
      <c r="BF984" s="20" t="s">
        <v>14</v>
      </c>
      <c r="BG984" s="20">
        <v>-29.2</v>
      </c>
      <c r="BH984" s="20">
        <v>18.61</v>
      </c>
      <c r="BM984" s="20">
        <v>3.97</v>
      </c>
      <c r="BN984" s="20">
        <v>29.14</v>
      </c>
      <c r="BW984" s="20">
        <v>-32.98</v>
      </c>
      <c r="BX984" s="20">
        <v>-41.59</v>
      </c>
      <c r="BZ984" s="20">
        <v>-41.7</v>
      </c>
      <c r="CA984" s="20">
        <v>16.02</v>
      </c>
      <c r="CO984" s="20">
        <v>-0.06</v>
      </c>
      <c r="CP984" s="20">
        <v>-55.34</v>
      </c>
    </row>
    <row r="985">
      <c r="A985" s="20">
        <v>-57.95</v>
      </c>
      <c r="B985" s="20">
        <v>-0.82</v>
      </c>
      <c r="D985" s="20"/>
      <c r="E985" s="20"/>
      <c r="F985" s="20">
        <v>-20.26</v>
      </c>
      <c r="G985" s="20">
        <v>-19.54</v>
      </c>
      <c r="I985" s="20"/>
      <c r="J985" s="20"/>
      <c r="K985" s="20">
        <v>492.0</v>
      </c>
      <c r="L985" s="20" t="s">
        <v>14</v>
      </c>
      <c r="M985" s="20">
        <v>-28.49</v>
      </c>
      <c r="N985" s="20">
        <v>32.61</v>
      </c>
      <c r="P985" s="20">
        <v>1.12</v>
      </c>
      <c r="Q985" s="20">
        <v>5.07</v>
      </c>
      <c r="AG985" s="20">
        <v>983.0</v>
      </c>
      <c r="AH985" s="20" t="s">
        <v>14</v>
      </c>
      <c r="AI985" s="20">
        <v>-13.93</v>
      </c>
      <c r="AJ985" s="20">
        <v>-28.81</v>
      </c>
      <c r="AM985" s="20">
        <v>503.0</v>
      </c>
      <c r="AN985" s="20" t="s">
        <v>14</v>
      </c>
      <c r="AO985" s="20">
        <v>4.02</v>
      </c>
      <c r="AP985" s="20">
        <v>-32.27</v>
      </c>
      <c r="AS985" s="20">
        <v>496.0</v>
      </c>
      <c r="AT985" s="20" t="s">
        <v>14</v>
      </c>
      <c r="AU985" s="20">
        <v>-20.04</v>
      </c>
      <c r="AV985" s="20">
        <v>-8.24</v>
      </c>
      <c r="BE985" s="20">
        <v>983.0</v>
      </c>
      <c r="BF985" s="20" t="s">
        <v>14</v>
      </c>
      <c r="BG985" s="20">
        <v>20.15</v>
      </c>
      <c r="BH985" s="20">
        <v>46.33</v>
      </c>
      <c r="BM985" s="20">
        <v>116.71</v>
      </c>
      <c r="BN985" s="20">
        <v>100.25</v>
      </c>
      <c r="BW985" s="20">
        <v>-53.53</v>
      </c>
      <c r="BX985" s="20">
        <v>-25.0</v>
      </c>
      <c r="BZ985" s="20">
        <v>-34.64</v>
      </c>
      <c r="CA985" s="20">
        <v>12.86</v>
      </c>
      <c r="CO985" s="20">
        <v>-32.82</v>
      </c>
      <c r="CP985" s="20">
        <v>-62.25</v>
      </c>
    </row>
    <row r="986">
      <c r="A986" s="20">
        <v>-52.17</v>
      </c>
      <c r="B986" s="20">
        <v>-9.26</v>
      </c>
      <c r="D986" s="20"/>
      <c r="E986" s="20"/>
      <c r="F986" s="20">
        <v>-12.9</v>
      </c>
      <c r="G986" s="20">
        <v>-21.58</v>
      </c>
      <c r="I986" s="20"/>
      <c r="J986" s="20"/>
      <c r="K986" s="20">
        <v>492.0</v>
      </c>
      <c r="L986" s="20" t="s">
        <v>17</v>
      </c>
      <c r="M986" s="20">
        <v>-26.04</v>
      </c>
      <c r="N986" s="20">
        <v>11.19</v>
      </c>
      <c r="P986" s="20">
        <v>17.69</v>
      </c>
      <c r="Q986" s="20">
        <v>10.95</v>
      </c>
      <c r="AG986" s="20">
        <v>984.0</v>
      </c>
      <c r="AH986" s="20" t="s">
        <v>14</v>
      </c>
      <c r="AI986" s="20">
        <v>-18.63</v>
      </c>
      <c r="AJ986" s="20">
        <v>9.41</v>
      </c>
      <c r="AM986" s="20">
        <v>503.0</v>
      </c>
      <c r="AN986" s="20" t="s">
        <v>17</v>
      </c>
      <c r="AO986" s="20">
        <v>-20.66</v>
      </c>
      <c r="AP986" s="20">
        <v>-42.5</v>
      </c>
      <c r="AS986" s="20">
        <v>496.0</v>
      </c>
      <c r="AT986" s="20" t="s">
        <v>17</v>
      </c>
      <c r="AU986" s="20">
        <v>29.08</v>
      </c>
      <c r="AV986" s="20">
        <v>25.59</v>
      </c>
      <c r="BE986" s="20">
        <v>984.0</v>
      </c>
      <c r="BF986" s="20" t="s">
        <v>14</v>
      </c>
      <c r="BG986" s="20">
        <v>3.63</v>
      </c>
      <c r="BH986" s="20">
        <v>-9.55</v>
      </c>
      <c r="BM986" s="20">
        <v>36.11</v>
      </c>
      <c r="BN986" s="20">
        <v>167.29</v>
      </c>
      <c r="BW986" s="20">
        <v>-51.17</v>
      </c>
      <c r="BX986" s="20">
        <v>-31.21</v>
      </c>
      <c r="BZ986" s="20">
        <v>-53.66</v>
      </c>
      <c r="CA986" s="20">
        <v>-43.64</v>
      </c>
      <c r="CO986" s="20">
        <v>-28.59</v>
      </c>
      <c r="CP986" s="20">
        <v>-48.09</v>
      </c>
    </row>
    <row r="987">
      <c r="A987" s="20">
        <v>-30.88</v>
      </c>
      <c r="B987" s="20">
        <v>-29.7</v>
      </c>
      <c r="D987" s="20"/>
      <c r="E987" s="20"/>
      <c r="F987" s="20">
        <v>5.26</v>
      </c>
      <c r="G987" s="20">
        <v>35.82</v>
      </c>
      <c r="I987" s="20"/>
      <c r="J987" s="20"/>
      <c r="K987" s="20">
        <v>493.0</v>
      </c>
      <c r="L987" s="20" t="s">
        <v>14</v>
      </c>
      <c r="M987" s="20">
        <v>-7.13</v>
      </c>
      <c r="N987" s="20">
        <v>10.88</v>
      </c>
      <c r="P987" s="20">
        <v>14.26</v>
      </c>
      <c r="Q987" s="20">
        <v>-0.46</v>
      </c>
      <c r="AG987" s="20">
        <v>985.0</v>
      </c>
      <c r="AH987" s="20" t="s">
        <v>14</v>
      </c>
      <c r="AI987" s="20">
        <v>-42.14</v>
      </c>
      <c r="AJ987" s="20">
        <v>-43.51</v>
      </c>
      <c r="AM987" s="20">
        <v>504.0</v>
      </c>
      <c r="AN987" s="20" t="s">
        <v>14</v>
      </c>
      <c r="AO987" s="20">
        <v>-20.95</v>
      </c>
      <c r="AP987" s="20">
        <v>-24.34</v>
      </c>
      <c r="AS987" s="20">
        <v>497.0</v>
      </c>
      <c r="AT987" s="20" t="s">
        <v>14</v>
      </c>
      <c r="AU987" s="20">
        <v>15.95</v>
      </c>
      <c r="AV987" s="20">
        <v>-35.82</v>
      </c>
      <c r="BE987" s="20">
        <v>985.0</v>
      </c>
      <c r="BF987" s="20" t="s">
        <v>14</v>
      </c>
      <c r="BG987" s="20">
        <v>36.35</v>
      </c>
      <c r="BH987" s="20">
        <v>15.55</v>
      </c>
      <c r="BM987" s="20">
        <v>69.24</v>
      </c>
      <c r="BN987" s="20">
        <v>56.4</v>
      </c>
      <c r="BW987" s="20">
        <v>-22.73</v>
      </c>
      <c r="BX987" s="20">
        <v>-18.1</v>
      </c>
      <c r="BZ987" s="20">
        <v>-29.68</v>
      </c>
      <c r="CA987" s="20">
        <v>-3.87</v>
      </c>
      <c r="CO987" s="20">
        <v>-24.19</v>
      </c>
      <c r="CP987" s="20">
        <v>-63.51</v>
      </c>
    </row>
    <row r="988">
      <c r="A988" s="20">
        <v>-28.13</v>
      </c>
      <c r="B988" s="20">
        <v>62.17</v>
      </c>
      <c r="D988" s="20"/>
      <c r="E988" s="20"/>
      <c r="F988" s="20">
        <v>-52.83</v>
      </c>
      <c r="G988" s="20">
        <v>-2.77</v>
      </c>
      <c r="I988" s="20"/>
      <c r="J988" s="20"/>
      <c r="K988" s="20">
        <v>493.0</v>
      </c>
      <c r="L988" s="20" t="s">
        <v>17</v>
      </c>
      <c r="M988" s="20">
        <v>-8.24</v>
      </c>
      <c r="N988" s="20">
        <v>21.54</v>
      </c>
      <c r="P988" s="20">
        <v>52.28</v>
      </c>
      <c r="Q988" s="20">
        <v>29.57</v>
      </c>
      <c r="AG988" s="20">
        <v>986.0</v>
      </c>
      <c r="AH988" s="20" t="s">
        <v>14</v>
      </c>
      <c r="AI988" s="20">
        <v>-48.59</v>
      </c>
      <c r="AJ988" s="20">
        <v>-12.13</v>
      </c>
      <c r="AM988" s="20">
        <v>504.0</v>
      </c>
      <c r="AN988" s="20" t="s">
        <v>17</v>
      </c>
      <c r="AO988" s="20">
        <v>-26.72</v>
      </c>
      <c r="AP988" s="20">
        <v>-34.48</v>
      </c>
      <c r="AS988" s="20">
        <v>497.0</v>
      </c>
      <c r="AT988" s="20" t="s">
        <v>17</v>
      </c>
      <c r="AU988" s="20">
        <v>-13.74</v>
      </c>
      <c r="AV988" s="20">
        <v>-9.9</v>
      </c>
      <c r="BE988" s="20">
        <v>986.0</v>
      </c>
      <c r="BF988" s="20" t="s">
        <v>14</v>
      </c>
      <c r="BG988" s="20">
        <v>-11.19</v>
      </c>
      <c r="BH988" s="20">
        <v>2.82</v>
      </c>
      <c r="BM988" s="20">
        <v>-30.97</v>
      </c>
      <c r="BN988" s="20">
        <v>-17.19</v>
      </c>
      <c r="BW988" s="20">
        <v>-28.34</v>
      </c>
      <c r="BX988" s="20">
        <v>-22.56</v>
      </c>
      <c r="BZ988" s="20">
        <v>-59.24</v>
      </c>
      <c r="CA988" s="20">
        <v>13.12</v>
      </c>
      <c r="CO988" s="20">
        <v>7.85</v>
      </c>
      <c r="CP988" s="20">
        <v>-69.29</v>
      </c>
    </row>
    <row r="989">
      <c r="A989" s="20">
        <v>-2.76</v>
      </c>
      <c r="B989" s="20">
        <v>-39.59</v>
      </c>
      <c r="D989" s="20"/>
      <c r="E989" s="20"/>
      <c r="F989" s="20">
        <v>-38.27</v>
      </c>
      <c r="G989" s="20">
        <v>6.4</v>
      </c>
      <c r="I989" s="20"/>
      <c r="J989" s="20"/>
      <c r="K989" s="20">
        <v>494.0</v>
      </c>
      <c r="L989" s="20" t="s">
        <v>14</v>
      </c>
      <c r="M989" s="20">
        <v>-4.56</v>
      </c>
      <c r="N989" s="20">
        <v>-9.78</v>
      </c>
      <c r="P989" s="20">
        <v>-9.05</v>
      </c>
      <c r="Q989" s="20">
        <v>23.04</v>
      </c>
      <c r="AG989" s="20">
        <v>987.0</v>
      </c>
      <c r="AH989" s="20" t="s">
        <v>14</v>
      </c>
      <c r="AI989" s="20">
        <v>-8.83</v>
      </c>
      <c r="AJ989" s="20">
        <v>-24.5</v>
      </c>
      <c r="AM989" s="20">
        <v>505.0</v>
      </c>
      <c r="AN989" s="20" t="s">
        <v>14</v>
      </c>
      <c r="AO989" s="20">
        <v>-33.18</v>
      </c>
      <c r="AP989" s="20">
        <v>-38.21</v>
      </c>
      <c r="AS989" s="20">
        <v>498.0</v>
      </c>
      <c r="AT989" s="20" t="s">
        <v>14</v>
      </c>
      <c r="AU989" s="20">
        <v>-7.48</v>
      </c>
      <c r="AV989" s="20">
        <v>-41.25</v>
      </c>
      <c r="BE989" s="20">
        <v>987.0</v>
      </c>
      <c r="BF989" s="20" t="s">
        <v>14</v>
      </c>
      <c r="BG989" s="20">
        <v>2.53</v>
      </c>
      <c r="BH989" s="20">
        <v>12.2</v>
      </c>
      <c r="BM989" s="20">
        <v>81.3</v>
      </c>
      <c r="BN989" s="20">
        <v>137.43</v>
      </c>
      <c r="BW989" s="20">
        <v>-40.93</v>
      </c>
      <c r="BX989" s="20">
        <v>-10.14</v>
      </c>
      <c r="BZ989" s="20">
        <v>-59.31</v>
      </c>
      <c r="CA989" s="20">
        <v>-17.04</v>
      </c>
      <c r="CO989" s="20">
        <v>-39.82</v>
      </c>
      <c r="CP989" s="20">
        <v>-50.07</v>
      </c>
    </row>
    <row r="990">
      <c r="A990" s="20">
        <v>8.38</v>
      </c>
      <c r="B990" s="20">
        <v>10.45</v>
      </c>
      <c r="D990" s="20"/>
      <c r="E990" s="20"/>
      <c r="F990" s="20">
        <v>-29.38</v>
      </c>
      <c r="G990" s="20">
        <v>53.02</v>
      </c>
      <c r="I990" s="20"/>
      <c r="J990" s="20"/>
      <c r="K990" s="20">
        <v>494.0</v>
      </c>
      <c r="L990" s="20" t="s">
        <v>17</v>
      </c>
      <c r="M990" s="20">
        <v>35.21</v>
      </c>
      <c r="N990" s="20">
        <v>36.22</v>
      </c>
      <c r="P990" s="20">
        <v>-1.89</v>
      </c>
      <c r="Q990" s="20">
        <v>39.66</v>
      </c>
      <c r="AG990" s="20">
        <v>988.0</v>
      </c>
      <c r="AH990" s="20" t="s">
        <v>14</v>
      </c>
      <c r="AI990" s="20">
        <v>-63.06</v>
      </c>
      <c r="AJ990" s="20">
        <v>-37.19</v>
      </c>
      <c r="AM990" s="20">
        <v>505.0</v>
      </c>
      <c r="AN990" s="20" t="s">
        <v>17</v>
      </c>
      <c r="AO990" s="20">
        <v>-28.23</v>
      </c>
      <c r="AP990" s="20">
        <v>-45.76</v>
      </c>
      <c r="AS990" s="20">
        <v>498.0</v>
      </c>
      <c r="AT990" s="20" t="s">
        <v>17</v>
      </c>
      <c r="AU990" s="20">
        <v>-10.88</v>
      </c>
      <c r="AV990" s="20">
        <v>-20.68</v>
      </c>
      <c r="BE990" s="20">
        <v>988.0</v>
      </c>
      <c r="BF990" s="20" t="s">
        <v>14</v>
      </c>
      <c r="BG990" s="20">
        <v>-7.02</v>
      </c>
      <c r="BH990" s="20">
        <v>29.88</v>
      </c>
      <c r="BM990" s="20">
        <v>102.36</v>
      </c>
      <c r="BN990" s="20">
        <v>150.66</v>
      </c>
      <c r="BW990" s="20">
        <v>-39.39</v>
      </c>
      <c r="BX990" s="20">
        <v>-36.57</v>
      </c>
      <c r="BZ990" s="20">
        <v>-68.37</v>
      </c>
      <c r="CA990" s="20">
        <v>-14.31</v>
      </c>
      <c r="CO990" s="20">
        <v>-27.83</v>
      </c>
      <c r="CP990" s="20">
        <v>-59.86</v>
      </c>
    </row>
    <row r="991">
      <c r="A991" s="20">
        <v>24.18</v>
      </c>
      <c r="B991" s="20">
        <v>194.46</v>
      </c>
      <c r="D991" s="20"/>
      <c r="E991" s="20"/>
      <c r="F991" s="20">
        <v>-37.89</v>
      </c>
      <c r="G991" s="20">
        <v>-20.73</v>
      </c>
      <c r="I991" s="20"/>
      <c r="J991" s="20"/>
      <c r="K991" s="20">
        <v>495.0</v>
      </c>
      <c r="L991" s="20" t="s">
        <v>14</v>
      </c>
      <c r="M991" s="20">
        <v>-28.58</v>
      </c>
      <c r="N991" s="20">
        <v>25.55</v>
      </c>
      <c r="P991" s="20">
        <v>-6.76</v>
      </c>
      <c r="Q991" s="20">
        <v>22.46</v>
      </c>
      <c r="AG991" s="20">
        <v>989.0</v>
      </c>
      <c r="AH991" s="20" t="s">
        <v>14</v>
      </c>
      <c r="AI991" s="20">
        <v>-32.75</v>
      </c>
      <c r="AJ991" s="20">
        <v>5.69</v>
      </c>
      <c r="AM991" s="20">
        <v>506.0</v>
      </c>
      <c r="AN991" s="20" t="s">
        <v>14</v>
      </c>
      <c r="AO991" s="20">
        <v>90.38</v>
      </c>
      <c r="AP991" s="20">
        <v>-30.75</v>
      </c>
      <c r="AS991" s="20">
        <v>499.0</v>
      </c>
      <c r="AT991" s="20" t="s">
        <v>14</v>
      </c>
      <c r="AU991" s="20">
        <v>-17.36</v>
      </c>
      <c r="AV991" s="20">
        <v>-35.5</v>
      </c>
      <c r="BE991" s="20">
        <v>989.0</v>
      </c>
      <c r="BF991" s="20" t="s">
        <v>14</v>
      </c>
      <c r="BG991" s="20">
        <v>7.47</v>
      </c>
      <c r="BH991" s="20">
        <v>-6.87</v>
      </c>
      <c r="BM991" s="20">
        <v>50.67</v>
      </c>
      <c r="BN991" s="20">
        <v>70.74</v>
      </c>
      <c r="BW991" s="20">
        <v>-26.24</v>
      </c>
      <c r="BX991" s="20">
        <v>62.94</v>
      </c>
      <c r="BZ991" s="20">
        <v>-41.5</v>
      </c>
      <c r="CA991" s="20">
        <v>41.3</v>
      </c>
      <c r="CO991" s="20">
        <v>-62.75</v>
      </c>
      <c r="CP991" s="20">
        <v>-39.15</v>
      </c>
    </row>
    <row r="992">
      <c r="A992" s="20">
        <v>-28.34</v>
      </c>
      <c r="B992" s="20">
        <v>63.26</v>
      </c>
      <c r="D992" s="20"/>
      <c r="E992" s="20"/>
      <c r="F992" s="20">
        <v>9.11</v>
      </c>
      <c r="G992" s="20">
        <v>-33.12</v>
      </c>
      <c r="I992" s="20"/>
      <c r="J992" s="20"/>
      <c r="K992" s="20">
        <v>495.0</v>
      </c>
      <c r="L992" s="20" t="s">
        <v>17</v>
      </c>
      <c r="M992" s="20">
        <v>-7.18</v>
      </c>
      <c r="N992" s="20">
        <v>-20.11</v>
      </c>
      <c r="P992" s="20">
        <v>13.32</v>
      </c>
      <c r="Q992" s="20">
        <v>68.63</v>
      </c>
      <c r="AG992" s="20">
        <v>990.0</v>
      </c>
      <c r="AH992" s="20" t="s">
        <v>14</v>
      </c>
      <c r="AI992" s="20">
        <v>-5.34</v>
      </c>
      <c r="AJ992" s="20">
        <v>-20.64</v>
      </c>
      <c r="AM992" s="20">
        <v>506.0</v>
      </c>
      <c r="AN992" s="20" t="s">
        <v>17</v>
      </c>
      <c r="AO992" s="20">
        <v>108.15</v>
      </c>
      <c r="AP992" s="20">
        <v>-14.49</v>
      </c>
      <c r="AS992" s="20">
        <v>499.0</v>
      </c>
      <c r="AT992" s="20" t="s">
        <v>17</v>
      </c>
      <c r="AU992" s="20">
        <v>16.89</v>
      </c>
      <c r="AV992" s="20">
        <v>-48.77</v>
      </c>
      <c r="BE992" s="20">
        <v>990.0</v>
      </c>
      <c r="BF992" s="20" t="s">
        <v>14</v>
      </c>
      <c r="BG992" s="20">
        <v>69.04</v>
      </c>
      <c r="BH992" s="20">
        <v>18.84</v>
      </c>
      <c r="BM992" s="20">
        <v>111.34</v>
      </c>
      <c r="BN992" s="20">
        <v>72.49</v>
      </c>
      <c r="BW992" s="20">
        <v>-10.65</v>
      </c>
      <c r="BX992" s="20">
        <v>-53.34</v>
      </c>
      <c r="BZ992" s="20">
        <v>-53.38</v>
      </c>
      <c r="CA992" s="20">
        <v>106.27</v>
      </c>
      <c r="CO992" s="20">
        <v>-46.65</v>
      </c>
      <c r="CP992" s="20">
        <v>-35.95</v>
      </c>
    </row>
    <row r="993">
      <c r="A993" s="20">
        <v>-25.12</v>
      </c>
      <c r="B993" s="20">
        <v>29.4</v>
      </c>
      <c r="D993" s="20"/>
      <c r="E993" s="20"/>
      <c r="F993" s="20">
        <v>-10.59</v>
      </c>
      <c r="G993" s="20">
        <v>14.17</v>
      </c>
      <c r="I993" s="20"/>
      <c r="J993" s="20"/>
      <c r="K993" s="20">
        <v>496.0</v>
      </c>
      <c r="L993" s="20" t="s">
        <v>14</v>
      </c>
      <c r="M993" s="20">
        <v>-0.55</v>
      </c>
      <c r="N993" s="20">
        <v>73.24</v>
      </c>
      <c r="P993" s="20">
        <v>-14.06</v>
      </c>
      <c r="Q993" s="20">
        <v>38.06</v>
      </c>
      <c r="AG993" s="20">
        <v>991.0</v>
      </c>
      <c r="AH993" s="20" t="s">
        <v>14</v>
      </c>
      <c r="AI993" s="20">
        <v>-9.03</v>
      </c>
      <c r="AJ993" s="20">
        <v>2.54</v>
      </c>
      <c r="AM993" s="20">
        <v>507.0</v>
      </c>
      <c r="AN993" s="20" t="s">
        <v>14</v>
      </c>
      <c r="AO993" s="20">
        <v>20.12</v>
      </c>
      <c r="AP993" s="20">
        <v>-16.25</v>
      </c>
      <c r="AS993" s="20">
        <v>500.0</v>
      </c>
      <c r="AT993" s="20" t="s">
        <v>14</v>
      </c>
      <c r="AU993" s="20">
        <v>-26.31</v>
      </c>
      <c r="AV993" s="20">
        <v>-40.96</v>
      </c>
      <c r="BE993" s="20">
        <v>991.0</v>
      </c>
      <c r="BF993" s="20" t="s">
        <v>14</v>
      </c>
      <c r="BG993" s="20">
        <v>-4.84</v>
      </c>
      <c r="BH993" s="20">
        <v>36.49</v>
      </c>
      <c r="BM993" s="20">
        <v>117.02</v>
      </c>
      <c r="BN993" s="20">
        <v>121.89</v>
      </c>
      <c r="BW993" s="20">
        <v>-43.25</v>
      </c>
      <c r="BX993" s="20">
        <v>-24.93</v>
      </c>
      <c r="BZ993" s="20">
        <v>-37.01</v>
      </c>
      <c r="CA993" s="20">
        <v>36.66</v>
      </c>
      <c r="CO993" s="20">
        <v>-32.74</v>
      </c>
      <c r="CP993" s="20">
        <v>-62.56</v>
      </c>
    </row>
    <row r="994">
      <c r="A994" s="20">
        <v>-6.86</v>
      </c>
      <c r="B994" s="20">
        <v>163.69</v>
      </c>
      <c r="D994" s="20"/>
      <c r="E994" s="20"/>
      <c r="F994" s="20">
        <v>-39.75</v>
      </c>
      <c r="G994" s="20">
        <v>17.61</v>
      </c>
      <c r="I994" s="20"/>
      <c r="J994" s="20"/>
      <c r="K994" s="20">
        <v>496.0</v>
      </c>
      <c r="L994" s="20" t="s">
        <v>17</v>
      </c>
      <c r="M994" s="20">
        <v>17.45</v>
      </c>
      <c r="N994" s="20">
        <v>63.46</v>
      </c>
      <c r="P994" s="20">
        <v>-8.08</v>
      </c>
      <c r="Q994" s="20">
        <v>50.88</v>
      </c>
      <c r="AG994" s="20">
        <v>992.0</v>
      </c>
      <c r="AH994" s="20" t="s">
        <v>14</v>
      </c>
      <c r="AI994" s="20">
        <v>-30.63</v>
      </c>
      <c r="AJ994" s="20">
        <v>-28.13</v>
      </c>
      <c r="AM994" s="20">
        <v>507.0</v>
      </c>
      <c r="AN994" s="20" t="s">
        <v>17</v>
      </c>
      <c r="AO994" s="20">
        <v>-17.75</v>
      </c>
      <c r="AP994" s="20">
        <v>10.54</v>
      </c>
      <c r="AS994" s="20">
        <v>500.0</v>
      </c>
      <c r="AT994" s="20" t="s">
        <v>17</v>
      </c>
      <c r="AU994" s="20">
        <v>-5.61</v>
      </c>
      <c r="AV994" s="20">
        <v>-18.96</v>
      </c>
      <c r="BE994" s="20">
        <v>992.0</v>
      </c>
      <c r="BF994" s="20" t="s">
        <v>14</v>
      </c>
      <c r="BG994" s="20">
        <v>-21.51</v>
      </c>
      <c r="BH994" s="20">
        <v>63.64</v>
      </c>
      <c r="BM994" s="20">
        <v>68.72</v>
      </c>
      <c r="BN994" s="20">
        <v>107.13</v>
      </c>
      <c r="BW994" s="20">
        <v>-32.55</v>
      </c>
      <c r="BX994" s="20">
        <v>-11.54</v>
      </c>
      <c r="BZ994" s="20">
        <v>-30.7</v>
      </c>
      <c r="CA994" s="20">
        <v>-1.82</v>
      </c>
      <c r="CO994" s="20">
        <v>-30.1</v>
      </c>
      <c r="CP994" s="20">
        <v>-58.04</v>
      </c>
    </row>
    <row r="995">
      <c r="A995" s="20">
        <v>15.73</v>
      </c>
      <c r="B995" s="20">
        <v>35.58</v>
      </c>
      <c r="D995" s="20"/>
      <c r="E995" s="20"/>
      <c r="F995" s="20">
        <v>-13.4</v>
      </c>
      <c r="G995" s="20">
        <v>-10.05</v>
      </c>
      <c r="I995" s="20"/>
      <c r="J995" s="20"/>
      <c r="K995" s="20">
        <v>497.0</v>
      </c>
      <c r="L995" s="20" t="s">
        <v>14</v>
      </c>
      <c r="M995" s="20">
        <v>-3.28</v>
      </c>
      <c r="N995" s="20">
        <v>0.66</v>
      </c>
      <c r="P995" s="20">
        <v>1.11</v>
      </c>
      <c r="Q995" s="20">
        <v>39.94</v>
      </c>
      <c r="AG995" s="20">
        <v>993.0</v>
      </c>
      <c r="AH995" s="20" t="s">
        <v>14</v>
      </c>
      <c r="AI995" s="20">
        <v>28.45</v>
      </c>
      <c r="AJ995" s="20">
        <v>53.41</v>
      </c>
      <c r="AM995" s="20">
        <v>508.0</v>
      </c>
      <c r="AN995" s="20" t="s">
        <v>14</v>
      </c>
      <c r="AO995" s="20">
        <v>-5.25</v>
      </c>
      <c r="AP995" s="20">
        <v>-43.0</v>
      </c>
      <c r="AS995" s="20">
        <v>501.0</v>
      </c>
      <c r="AT995" s="20" t="s">
        <v>14</v>
      </c>
      <c r="AU995" s="20">
        <v>-22.66</v>
      </c>
      <c r="AV995" s="20">
        <v>-25.89</v>
      </c>
      <c r="BE995" s="20">
        <v>993.0</v>
      </c>
      <c r="BF995" s="20" t="s">
        <v>14</v>
      </c>
      <c r="BG995" s="20">
        <v>-5.08</v>
      </c>
      <c r="BH995" s="20">
        <v>1.45</v>
      </c>
      <c r="BM995" s="20">
        <v>9.56</v>
      </c>
      <c r="BN995" s="20">
        <v>39.59</v>
      </c>
      <c r="BW995" s="20">
        <v>-33.49</v>
      </c>
      <c r="BX995" s="20">
        <v>-37.41</v>
      </c>
      <c r="BZ995" s="20">
        <v>-39.24</v>
      </c>
      <c r="CA995" s="20">
        <v>62.92</v>
      </c>
      <c r="CO995" s="20">
        <v>-31.84</v>
      </c>
      <c r="CP995" s="20">
        <v>-37.79</v>
      </c>
    </row>
    <row r="996">
      <c r="A996" s="20">
        <v>-28.88</v>
      </c>
      <c r="B996" s="20">
        <v>-16.86</v>
      </c>
      <c r="D996" s="20"/>
      <c r="E996" s="20"/>
      <c r="F996" s="20">
        <v>-33.04</v>
      </c>
      <c r="G996" s="20">
        <v>9.58</v>
      </c>
      <c r="I996" s="20"/>
      <c r="J996" s="20"/>
      <c r="K996" s="20">
        <v>497.0</v>
      </c>
      <c r="L996" s="20" t="s">
        <v>17</v>
      </c>
      <c r="M996" s="20">
        <v>-14.81</v>
      </c>
      <c r="N996" s="20">
        <v>-11.25</v>
      </c>
      <c r="P996" s="20">
        <v>-28.72</v>
      </c>
      <c r="Q996" s="20">
        <v>26.55</v>
      </c>
      <c r="AG996" s="20">
        <v>994.0</v>
      </c>
      <c r="AH996" s="20" t="s">
        <v>14</v>
      </c>
      <c r="AI996" s="20">
        <v>-54.91</v>
      </c>
      <c r="AJ996" s="20">
        <v>-52.43</v>
      </c>
      <c r="AM996" s="20">
        <v>508.0</v>
      </c>
      <c r="AN996" s="20" t="s">
        <v>17</v>
      </c>
      <c r="AO996" s="20">
        <v>3.84</v>
      </c>
      <c r="AP996" s="20">
        <v>-20.47</v>
      </c>
      <c r="AS996" s="20">
        <v>501.0</v>
      </c>
      <c r="AT996" s="20" t="s">
        <v>17</v>
      </c>
      <c r="AU996" s="20">
        <v>-35.02</v>
      </c>
      <c r="AV996" s="20">
        <v>-38.9</v>
      </c>
      <c r="BE996" s="20">
        <v>994.0</v>
      </c>
      <c r="BF996" s="20" t="s">
        <v>14</v>
      </c>
      <c r="BG996" s="20">
        <v>5.38</v>
      </c>
      <c r="BH996" s="20">
        <v>11.51</v>
      </c>
      <c r="BM996" s="20">
        <v>21.72</v>
      </c>
      <c r="BN996" s="20">
        <v>30.17</v>
      </c>
      <c r="BW996" s="20">
        <v>-40.16</v>
      </c>
      <c r="BX996" s="20">
        <v>-52.89</v>
      </c>
      <c r="BZ996" s="20">
        <v>-61.59</v>
      </c>
      <c r="CA996" s="20">
        <v>39.33</v>
      </c>
      <c r="CO996" s="20">
        <v>-18.32</v>
      </c>
      <c r="CP996" s="20">
        <v>68.17</v>
      </c>
    </row>
    <row r="997">
      <c r="A997" s="20">
        <v>-21.09</v>
      </c>
      <c r="B997" s="20">
        <v>52.73</v>
      </c>
      <c r="D997" s="20"/>
      <c r="E997" s="20"/>
      <c r="F997" s="20">
        <v>6.58</v>
      </c>
      <c r="G997" s="20">
        <v>6.66</v>
      </c>
      <c r="I997" s="20"/>
      <c r="J997" s="20"/>
      <c r="K997" s="20">
        <v>498.0</v>
      </c>
      <c r="L997" s="20" t="s">
        <v>14</v>
      </c>
      <c r="M997" s="20">
        <v>-9.01</v>
      </c>
      <c r="N997" s="20">
        <v>0.42</v>
      </c>
      <c r="P997" s="20">
        <v>-36.93</v>
      </c>
      <c r="Q997" s="20">
        <v>118.61</v>
      </c>
      <c r="AG997" s="20">
        <v>995.0</v>
      </c>
      <c r="AH997" s="20" t="s">
        <v>14</v>
      </c>
      <c r="AI997" s="20">
        <v>-50.22</v>
      </c>
      <c r="AJ997" s="20">
        <v>-48.04</v>
      </c>
      <c r="AM997" s="20">
        <v>509.0</v>
      </c>
      <c r="AN997" s="20" t="s">
        <v>14</v>
      </c>
      <c r="AO997" s="20">
        <v>-25.23</v>
      </c>
      <c r="AP997" s="20">
        <v>-47.53</v>
      </c>
      <c r="AS997" s="20">
        <v>502.0</v>
      </c>
      <c r="AT997" s="20" t="s">
        <v>14</v>
      </c>
      <c r="AU997" s="20">
        <v>-17.54</v>
      </c>
      <c r="AV997" s="20">
        <v>-37.4</v>
      </c>
      <c r="BE997" s="20">
        <v>995.0</v>
      </c>
      <c r="BF997" s="20" t="s">
        <v>14</v>
      </c>
      <c r="BG997" s="20">
        <v>50.42</v>
      </c>
      <c r="BH997" s="20">
        <v>48.99</v>
      </c>
      <c r="BM997" s="20">
        <v>79.95</v>
      </c>
      <c r="BN997" s="20">
        <v>83.56</v>
      </c>
      <c r="BW997" s="20">
        <v>-44.02</v>
      </c>
      <c r="BX997" s="20">
        <v>-21.44</v>
      </c>
      <c r="BZ997" s="20">
        <v>-33.13</v>
      </c>
      <c r="CA997" s="20">
        <v>40.95</v>
      </c>
      <c r="CO997" s="20">
        <v>-37.34</v>
      </c>
      <c r="CP997" s="20">
        <v>-60.05</v>
      </c>
    </row>
    <row r="998">
      <c r="A998" s="20">
        <v>228.43</v>
      </c>
      <c r="B998" s="20">
        <v>1.84</v>
      </c>
      <c r="D998" s="20"/>
      <c r="E998" s="20"/>
      <c r="F998" s="20">
        <v>-25.13</v>
      </c>
      <c r="G998" s="20">
        <v>56.19</v>
      </c>
      <c r="I998" s="20"/>
      <c r="J998" s="20"/>
      <c r="K998" s="20">
        <v>498.0</v>
      </c>
      <c r="L998" s="20" t="s">
        <v>17</v>
      </c>
      <c r="M998" s="20">
        <v>0.56</v>
      </c>
      <c r="N998" s="20">
        <v>14.83</v>
      </c>
      <c r="P998" s="20">
        <v>24.81</v>
      </c>
      <c r="Q998" s="20">
        <v>43.88</v>
      </c>
      <c r="AG998" s="20">
        <v>996.0</v>
      </c>
      <c r="AH998" s="20" t="s">
        <v>14</v>
      </c>
      <c r="AI998" s="20">
        <v>-43.59</v>
      </c>
      <c r="AJ998" s="20">
        <v>-42.12</v>
      </c>
      <c r="AM998" s="20">
        <v>509.0</v>
      </c>
      <c r="AN998" s="20" t="s">
        <v>17</v>
      </c>
      <c r="AO998" s="20">
        <v>-0.17</v>
      </c>
      <c r="AP998" s="20">
        <v>-32.3</v>
      </c>
      <c r="AS998" s="20">
        <v>502.0</v>
      </c>
      <c r="AT998" s="20" t="s">
        <v>17</v>
      </c>
      <c r="AU998" s="20">
        <v>-6.85</v>
      </c>
      <c r="AV998" s="20">
        <v>-61.47</v>
      </c>
      <c r="BE998" s="20">
        <v>996.0</v>
      </c>
      <c r="BF998" s="20" t="s">
        <v>14</v>
      </c>
      <c r="BG998" s="20">
        <v>-1.32</v>
      </c>
      <c r="BH998" s="20">
        <v>10.22</v>
      </c>
      <c r="BM998" s="20">
        <v>134.42</v>
      </c>
      <c r="BN998" s="20">
        <v>45.09</v>
      </c>
      <c r="BW998" s="20">
        <v>-13.28</v>
      </c>
      <c r="BX998" s="20">
        <v>-31.46</v>
      </c>
      <c r="BZ998" s="20">
        <v>-39.6</v>
      </c>
      <c r="CA998" s="20">
        <v>-7.19</v>
      </c>
      <c r="CO998" s="20">
        <v>-23.04</v>
      </c>
      <c r="CP998" s="20">
        <v>-57.41</v>
      </c>
    </row>
    <row r="999">
      <c r="A999" s="20">
        <v>-47.48</v>
      </c>
      <c r="B999" s="20">
        <v>-59.74</v>
      </c>
      <c r="D999" s="20"/>
      <c r="E999" s="20"/>
      <c r="F999" s="20">
        <v>24.71</v>
      </c>
      <c r="G999" s="20">
        <v>20.58</v>
      </c>
      <c r="I999" s="20"/>
      <c r="J999" s="20"/>
      <c r="K999" s="20">
        <v>499.0</v>
      </c>
      <c r="L999" s="20" t="s">
        <v>14</v>
      </c>
      <c r="M999" s="20">
        <v>-21.22</v>
      </c>
      <c r="N999" s="20">
        <v>-0.11</v>
      </c>
      <c r="P999" s="20">
        <v>-12.37</v>
      </c>
      <c r="Q999" s="20">
        <v>23.18</v>
      </c>
      <c r="AG999" s="20">
        <v>997.0</v>
      </c>
      <c r="AH999" s="20" t="s">
        <v>14</v>
      </c>
      <c r="AI999" s="20">
        <v>-33.74</v>
      </c>
      <c r="AJ999" s="20">
        <v>-4.04</v>
      </c>
      <c r="AM999" s="20">
        <v>510.0</v>
      </c>
      <c r="AN999" s="20" t="s">
        <v>14</v>
      </c>
      <c r="AO999" s="20">
        <v>-12.62</v>
      </c>
      <c r="AP999" s="20">
        <v>-22.88</v>
      </c>
      <c r="AS999" s="20">
        <v>503.0</v>
      </c>
      <c r="AT999" s="20" t="s">
        <v>14</v>
      </c>
      <c r="AU999" s="20">
        <v>-28.53</v>
      </c>
      <c r="AV999" s="20">
        <v>-39.07</v>
      </c>
      <c r="BE999" s="20">
        <v>997.0</v>
      </c>
      <c r="BF999" s="20" t="s">
        <v>14</v>
      </c>
      <c r="BG999" s="20">
        <v>26.34</v>
      </c>
      <c r="BH999" s="20">
        <v>22.22</v>
      </c>
      <c r="BM999" s="20">
        <v>38.33</v>
      </c>
      <c r="BN999" s="20">
        <v>95.09</v>
      </c>
      <c r="BW999" s="20">
        <v>-42.1</v>
      </c>
      <c r="BX999" s="20">
        <v>-47.67</v>
      </c>
      <c r="BZ999" s="20">
        <v>-42.66</v>
      </c>
      <c r="CA999" s="20">
        <v>48.13</v>
      </c>
      <c r="CO999" s="20">
        <v>-18.28</v>
      </c>
      <c r="CP999" s="20">
        <v>-40.28</v>
      </c>
    </row>
    <row r="1000">
      <c r="A1000" s="20">
        <v>17.0</v>
      </c>
      <c r="B1000" s="20">
        <v>9.4</v>
      </c>
      <c r="D1000" s="20"/>
      <c r="E1000" s="20"/>
      <c r="F1000" s="20">
        <v>-14.92</v>
      </c>
      <c r="G1000" s="20">
        <v>51.03</v>
      </c>
      <c r="I1000" s="20"/>
      <c r="J1000" s="20"/>
      <c r="K1000" s="20">
        <v>499.0</v>
      </c>
      <c r="L1000" s="20" t="s">
        <v>17</v>
      </c>
      <c r="M1000" s="20">
        <v>-14.29</v>
      </c>
      <c r="N1000" s="20">
        <v>32.29</v>
      </c>
      <c r="P1000" s="20">
        <v>-34.72</v>
      </c>
      <c r="Q1000" s="20">
        <v>-58.43</v>
      </c>
      <c r="AG1000" s="20">
        <v>998.0</v>
      </c>
      <c r="AH1000" s="20" t="s">
        <v>14</v>
      </c>
      <c r="AI1000" s="20">
        <v>-19.21</v>
      </c>
      <c r="AJ1000" s="20">
        <v>13.19</v>
      </c>
      <c r="AM1000" s="20">
        <v>510.0</v>
      </c>
      <c r="AN1000" s="20" t="s">
        <v>17</v>
      </c>
      <c r="AO1000" s="20">
        <v>32.19</v>
      </c>
      <c r="AP1000" s="20">
        <v>-22.15</v>
      </c>
      <c r="AS1000" s="20">
        <v>503.0</v>
      </c>
      <c r="AT1000" s="20" t="s">
        <v>17</v>
      </c>
      <c r="AU1000" s="20">
        <v>-20.92</v>
      </c>
      <c r="AV1000" s="20">
        <v>-34.71</v>
      </c>
      <c r="BE1000" s="20">
        <v>998.0</v>
      </c>
      <c r="BF1000" s="20" t="s">
        <v>14</v>
      </c>
      <c r="BG1000" s="20">
        <v>-7.19</v>
      </c>
      <c r="BH1000" s="20">
        <v>1.65</v>
      </c>
      <c r="BM1000" s="20">
        <v>88.98</v>
      </c>
      <c r="BN1000" s="20">
        <v>177.02</v>
      </c>
      <c r="BW1000" s="20">
        <v>-11.73</v>
      </c>
      <c r="BX1000" s="20">
        <v>-21.63</v>
      </c>
      <c r="BZ1000" s="20">
        <v>-58.79</v>
      </c>
      <c r="CA1000" s="20">
        <v>-19.01</v>
      </c>
      <c r="CO1000" s="20">
        <v>10.89</v>
      </c>
      <c r="CP1000" s="20">
        <v>-34.14</v>
      </c>
    </row>
    <row r="1001">
      <c r="A1001" s="20">
        <v>72.23</v>
      </c>
      <c r="B1001" s="20">
        <v>-30.85</v>
      </c>
      <c r="D1001" s="20"/>
      <c r="E1001" s="20"/>
      <c r="F1001" s="20">
        <v>-7.52</v>
      </c>
      <c r="G1001" s="20">
        <v>-5.04</v>
      </c>
      <c r="I1001" s="20"/>
      <c r="J1001" s="20"/>
      <c r="K1001" s="20">
        <v>500.0</v>
      </c>
      <c r="L1001" s="20" t="s">
        <v>14</v>
      </c>
      <c r="M1001" s="20">
        <v>-10.99</v>
      </c>
      <c r="N1001" s="20">
        <v>49.78</v>
      </c>
      <c r="P1001" s="20">
        <v>29.15</v>
      </c>
      <c r="Q1001" s="20">
        <v>30.78</v>
      </c>
      <c r="AG1001" s="20">
        <v>999.0</v>
      </c>
      <c r="AH1001" s="20" t="s">
        <v>14</v>
      </c>
      <c r="AI1001" s="20">
        <v>-13.49</v>
      </c>
      <c r="AJ1001" s="20">
        <v>-11.81</v>
      </c>
      <c r="AM1001" s="20">
        <v>511.0</v>
      </c>
      <c r="AN1001" s="20" t="s">
        <v>14</v>
      </c>
      <c r="AO1001" s="20">
        <v>-6.27</v>
      </c>
      <c r="AP1001" s="20">
        <v>-43.39</v>
      </c>
      <c r="AS1001" s="20">
        <v>504.0</v>
      </c>
      <c r="AT1001" s="20" t="s">
        <v>14</v>
      </c>
      <c r="AU1001" s="20">
        <v>15.04</v>
      </c>
      <c r="AV1001" s="20">
        <v>-27.73</v>
      </c>
      <c r="BE1001" s="20">
        <v>999.0</v>
      </c>
      <c r="BF1001" s="20" t="s">
        <v>14</v>
      </c>
      <c r="BG1001" s="20">
        <v>20.19</v>
      </c>
      <c r="BH1001" s="20">
        <v>4.97</v>
      </c>
      <c r="BM1001" s="20">
        <v>60.02</v>
      </c>
      <c r="BN1001" s="20">
        <v>83.84</v>
      </c>
      <c r="BW1001" s="20">
        <v>-38.04</v>
      </c>
      <c r="BX1001" s="20">
        <v>-26.5</v>
      </c>
      <c r="BZ1001" s="20">
        <v>-53.49</v>
      </c>
      <c r="CA1001" s="20">
        <v>24.81</v>
      </c>
      <c r="CO1001" s="20">
        <v>-69.11</v>
      </c>
      <c r="CP1001" s="20">
        <v>-68.78</v>
      </c>
    </row>
    <row r="1002">
      <c r="A1002" s="20">
        <v>-34.57</v>
      </c>
      <c r="B1002" s="20">
        <v>53.88</v>
      </c>
      <c r="D1002" s="20"/>
      <c r="E1002" s="20"/>
      <c r="F1002" s="20">
        <v>-2.08</v>
      </c>
      <c r="G1002" s="20">
        <v>16.54</v>
      </c>
      <c r="I1002" s="20"/>
      <c r="J1002" s="20"/>
      <c r="K1002" s="20">
        <v>500.0</v>
      </c>
      <c r="L1002" s="20" t="s">
        <v>17</v>
      </c>
      <c r="M1002" s="20">
        <v>-26.72</v>
      </c>
      <c r="N1002" s="20">
        <v>14.56</v>
      </c>
      <c r="P1002" s="20">
        <v>81.11</v>
      </c>
      <c r="Q1002" s="20">
        <v>217.1</v>
      </c>
      <c r="AG1002" s="43">
        <v>1000.0</v>
      </c>
      <c r="AH1002" s="20" t="s">
        <v>14</v>
      </c>
      <c r="AI1002" s="20">
        <v>-41.7</v>
      </c>
      <c r="AJ1002" s="20">
        <v>-34.86</v>
      </c>
      <c r="AM1002" s="20">
        <v>511.0</v>
      </c>
      <c r="AN1002" s="20" t="s">
        <v>17</v>
      </c>
      <c r="AO1002" s="20">
        <v>37.94</v>
      </c>
      <c r="AP1002" s="20">
        <v>-13.58</v>
      </c>
      <c r="AS1002" s="20">
        <v>504.0</v>
      </c>
      <c r="AT1002" s="20" t="s">
        <v>17</v>
      </c>
      <c r="AU1002" s="20">
        <v>9.34</v>
      </c>
      <c r="AV1002" s="20">
        <v>-19.27</v>
      </c>
      <c r="BE1002" s="43">
        <v>1000.0</v>
      </c>
      <c r="BF1002" s="20" t="s">
        <v>14</v>
      </c>
      <c r="BG1002" s="20">
        <v>44.26</v>
      </c>
      <c r="BH1002" s="20">
        <v>12.59</v>
      </c>
      <c r="BM1002" s="20">
        <v>57.21</v>
      </c>
      <c r="BN1002" s="20">
        <v>84.53</v>
      </c>
      <c r="BW1002" s="20">
        <v>-60.41</v>
      </c>
      <c r="BX1002" s="20">
        <v>-25.36</v>
      </c>
      <c r="BZ1002" s="20">
        <v>-75.33</v>
      </c>
      <c r="CA1002" s="20">
        <v>-38.78</v>
      </c>
      <c r="CO1002" s="20">
        <v>-22.25</v>
      </c>
      <c r="CP1002" s="20">
        <v>-44.37</v>
      </c>
    </row>
    <row r="1003">
      <c r="A1003" s="20">
        <v>-31.08</v>
      </c>
      <c r="B1003" s="20">
        <v>87.26</v>
      </c>
      <c r="D1003" s="20"/>
      <c r="E1003" s="20"/>
      <c r="F1003" s="20">
        <v>-36.02</v>
      </c>
      <c r="G1003" s="20">
        <v>-10.46</v>
      </c>
      <c r="I1003" s="20"/>
      <c r="J1003" s="20"/>
      <c r="K1003" s="20">
        <v>501.0</v>
      </c>
      <c r="L1003" s="20" t="s">
        <v>14</v>
      </c>
      <c r="M1003" s="20">
        <v>-20.72</v>
      </c>
      <c r="N1003" s="20">
        <v>5.53</v>
      </c>
      <c r="P1003" s="20">
        <v>-29.83</v>
      </c>
      <c r="Q1003" s="20">
        <v>-7.96</v>
      </c>
      <c r="AG1003" s="43">
        <v>1001.0</v>
      </c>
      <c r="AH1003" s="20" t="s">
        <v>14</v>
      </c>
      <c r="AI1003" s="20">
        <v>-27.39</v>
      </c>
      <c r="AJ1003" s="20">
        <v>-38.85</v>
      </c>
      <c r="AM1003" s="20">
        <v>512.0</v>
      </c>
      <c r="AN1003" s="20" t="s">
        <v>14</v>
      </c>
      <c r="AO1003" s="20">
        <v>45.64</v>
      </c>
      <c r="AP1003" s="20">
        <v>-32.42</v>
      </c>
      <c r="AS1003" s="20">
        <v>505.0</v>
      </c>
      <c r="AT1003" s="20" t="s">
        <v>14</v>
      </c>
      <c r="AU1003" s="20">
        <v>-33.37</v>
      </c>
      <c r="AV1003" s="20">
        <v>-49.87</v>
      </c>
      <c r="BE1003" s="43">
        <v>1001.0</v>
      </c>
      <c r="BF1003" s="20" t="s">
        <v>14</v>
      </c>
      <c r="BG1003" s="20">
        <v>-20.64</v>
      </c>
      <c r="BH1003" s="20">
        <v>25.2</v>
      </c>
      <c r="BM1003" s="20">
        <v>64.41</v>
      </c>
      <c r="BN1003" s="20">
        <v>22.58</v>
      </c>
      <c r="BW1003" s="20">
        <v>-62.26</v>
      </c>
      <c r="BX1003" s="20">
        <v>-42.21</v>
      </c>
      <c r="BZ1003" s="20">
        <v>-61.35</v>
      </c>
      <c r="CA1003" s="20">
        <v>3.45</v>
      </c>
      <c r="CO1003" s="20">
        <v>-17.71</v>
      </c>
      <c r="CP1003" s="20">
        <v>-44.01</v>
      </c>
    </row>
    <row r="1004">
      <c r="A1004" s="20">
        <v>56.1</v>
      </c>
      <c r="B1004" s="20">
        <v>43.91</v>
      </c>
      <c r="D1004" s="20"/>
      <c r="E1004" s="20"/>
      <c r="F1004" s="20">
        <v>4.25</v>
      </c>
      <c r="G1004" s="20">
        <v>26.16</v>
      </c>
      <c r="I1004" s="20"/>
      <c r="J1004" s="20"/>
      <c r="K1004" s="20">
        <v>501.0</v>
      </c>
      <c r="L1004" s="20" t="s">
        <v>17</v>
      </c>
      <c r="M1004" s="20">
        <v>-33.37</v>
      </c>
      <c r="N1004" s="20">
        <v>-10.86</v>
      </c>
      <c r="P1004" s="20">
        <v>-5.12</v>
      </c>
      <c r="Q1004" s="20">
        <v>27.86</v>
      </c>
      <c r="AG1004" s="43">
        <v>1002.0</v>
      </c>
      <c r="AH1004" s="20" t="s">
        <v>14</v>
      </c>
      <c r="AI1004" s="20">
        <v>-10.44</v>
      </c>
      <c r="AJ1004" s="20">
        <v>-33.69</v>
      </c>
      <c r="AM1004" s="20">
        <v>512.0</v>
      </c>
      <c r="AN1004" s="20" t="s">
        <v>17</v>
      </c>
      <c r="AO1004" s="20">
        <v>-39.24</v>
      </c>
      <c r="AP1004" s="20">
        <v>-22.35</v>
      </c>
      <c r="AS1004" s="20">
        <v>505.0</v>
      </c>
      <c r="AT1004" s="20" t="s">
        <v>17</v>
      </c>
      <c r="AU1004" s="20">
        <v>21.28</v>
      </c>
      <c r="AV1004" s="20">
        <v>-40.48</v>
      </c>
      <c r="BE1004" s="43">
        <v>1002.0</v>
      </c>
      <c r="BF1004" s="20" t="s">
        <v>14</v>
      </c>
      <c r="BG1004" s="20">
        <v>29.29</v>
      </c>
      <c r="BH1004" s="20">
        <v>30.32</v>
      </c>
      <c r="BM1004" s="20">
        <v>38.89</v>
      </c>
      <c r="BN1004" s="20">
        <v>82.98</v>
      </c>
      <c r="BW1004" s="20">
        <v>45.8</v>
      </c>
      <c r="BX1004" s="20">
        <v>-32.31</v>
      </c>
      <c r="BZ1004" s="20">
        <v>-56.81</v>
      </c>
      <c r="CA1004" s="20">
        <v>19.48</v>
      </c>
      <c r="CO1004" s="20">
        <v>-40.24</v>
      </c>
      <c r="CP1004" s="20">
        <v>-43.31</v>
      </c>
    </row>
    <row r="1005">
      <c r="A1005" s="20">
        <v>50.74</v>
      </c>
      <c r="B1005" s="20">
        <v>116.51</v>
      </c>
      <c r="D1005" s="20"/>
      <c r="E1005" s="20"/>
      <c r="F1005" s="20">
        <v>65.94</v>
      </c>
      <c r="G1005" s="20">
        <v>35.53</v>
      </c>
      <c r="I1005" s="20"/>
      <c r="J1005" s="20"/>
      <c r="K1005" s="20">
        <v>502.0</v>
      </c>
      <c r="L1005" s="20" t="s">
        <v>14</v>
      </c>
      <c r="M1005" s="20">
        <v>-9.59</v>
      </c>
      <c r="N1005" s="20">
        <v>-2.84</v>
      </c>
      <c r="P1005" s="20">
        <v>-39.52</v>
      </c>
      <c r="Q1005" s="20">
        <v>54.4</v>
      </c>
      <c r="AG1005" s="43">
        <v>1003.0</v>
      </c>
      <c r="AH1005" s="20" t="s">
        <v>14</v>
      </c>
      <c r="AI1005" s="20">
        <v>-68.07</v>
      </c>
      <c r="AJ1005" s="20">
        <v>-71.93</v>
      </c>
      <c r="AM1005" s="20">
        <v>513.0</v>
      </c>
      <c r="AN1005" s="20" t="s">
        <v>14</v>
      </c>
      <c r="AO1005" s="20">
        <v>12.34</v>
      </c>
      <c r="AP1005" s="20">
        <v>-14.18</v>
      </c>
      <c r="AS1005" s="20">
        <v>506.0</v>
      </c>
      <c r="AT1005" s="20" t="s">
        <v>14</v>
      </c>
      <c r="AU1005" s="20">
        <v>-23.37</v>
      </c>
      <c r="AV1005" s="20">
        <v>-54.2</v>
      </c>
      <c r="BE1005" s="43">
        <v>1003.0</v>
      </c>
      <c r="BF1005" s="20" t="s">
        <v>14</v>
      </c>
      <c r="BG1005" s="20">
        <v>-5.1</v>
      </c>
      <c r="BH1005" s="20">
        <v>-21.08</v>
      </c>
      <c r="BM1005" s="20">
        <v>86.97</v>
      </c>
      <c r="BN1005" s="20">
        <v>121.85</v>
      </c>
      <c r="BW1005" s="20">
        <v>-56.7</v>
      </c>
      <c r="BX1005" s="20">
        <v>-48.79</v>
      </c>
      <c r="BZ1005" s="20">
        <v>-31.59</v>
      </c>
      <c r="CA1005" s="20">
        <v>210.15</v>
      </c>
      <c r="CO1005" s="20">
        <v>-29.68</v>
      </c>
      <c r="CP1005" s="20">
        <v>-75.02</v>
      </c>
    </row>
    <row r="1006">
      <c r="A1006" s="20">
        <v>-44.31</v>
      </c>
      <c r="B1006" s="20">
        <v>-21.83</v>
      </c>
      <c r="D1006" s="20"/>
      <c r="E1006" s="20"/>
      <c r="F1006" s="20">
        <v>5.07</v>
      </c>
      <c r="G1006" s="20">
        <v>32.33</v>
      </c>
      <c r="I1006" s="20"/>
      <c r="J1006" s="20"/>
      <c r="K1006" s="20">
        <v>502.0</v>
      </c>
      <c r="L1006" s="20" t="s">
        <v>17</v>
      </c>
      <c r="M1006" s="20">
        <v>-5.5</v>
      </c>
      <c r="N1006" s="20">
        <v>1.61</v>
      </c>
      <c r="P1006" s="20">
        <v>-37.75</v>
      </c>
      <c r="Q1006" s="20">
        <v>-3.5</v>
      </c>
      <c r="AG1006" s="43">
        <v>1004.0</v>
      </c>
      <c r="AH1006" s="20" t="s">
        <v>14</v>
      </c>
      <c r="AI1006" s="20">
        <v>-31.53</v>
      </c>
      <c r="AJ1006" s="20">
        <v>-10.33</v>
      </c>
      <c r="AM1006" s="20">
        <v>513.0</v>
      </c>
      <c r="AN1006" s="20" t="s">
        <v>17</v>
      </c>
      <c r="AO1006" s="20">
        <v>-2.21</v>
      </c>
      <c r="AP1006" s="20">
        <v>15.68</v>
      </c>
      <c r="AS1006" s="20">
        <v>506.0</v>
      </c>
      <c r="AT1006" s="20" t="s">
        <v>17</v>
      </c>
      <c r="AU1006" s="20">
        <v>0.96</v>
      </c>
      <c r="AV1006" s="20">
        <v>-32.15</v>
      </c>
      <c r="BE1006" s="43">
        <v>1004.0</v>
      </c>
      <c r="BF1006" s="20" t="s">
        <v>14</v>
      </c>
      <c r="BG1006" s="20">
        <v>-5.75</v>
      </c>
      <c r="BH1006" s="20">
        <v>18.72</v>
      </c>
      <c r="BM1006" s="20">
        <v>85.61</v>
      </c>
      <c r="BN1006" s="20">
        <v>141.29</v>
      </c>
      <c r="BW1006" s="20">
        <v>-41.23</v>
      </c>
      <c r="BX1006" s="20">
        <v>-27.1</v>
      </c>
      <c r="BZ1006" s="20">
        <v>-73.27</v>
      </c>
      <c r="CA1006" s="20">
        <v>27.16</v>
      </c>
      <c r="CO1006" s="20">
        <v>9.06</v>
      </c>
      <c r="CP1006" s="20">
        <v>-63.23</v>
      </c>
    </row>
    <row r="1007">
      <c r="A1007" s="20">
        <v>55.64</v>
      </c>
      <c r="B1007" s="20">
        <v>41.04</v>
      </c>
      <c r="D1007" s="20"/>
      <c r="E1007" s="20"/>
      <c r="F1007" s="20">
        <v>17.19</v>
      </c>
      <c r="G1007" s="20">
        <v>-5.54</v>
      </c>
      <c r="I1007" s="20"/>
      <c r="J1007" s="20"/>
      <c r="K1007" s="20">
        <v>503.0</v>
      </c>
      <c r="L1007" s="20" t="s">
        <v>14</v>
      </c>
      <c r="M1007" s="20">
        <v>-42.93</v>
      </c>
      <c r="N1007" s="20">
        <v>-9.09</v>
      </c>
      <c r="P1007" s="20">
        <v>-10.98</v>
      </c>
      <c r="Q1007" s="20">
        <v>27.14</v>
      </c>
      <c r="AG1007" s="43">
        <v>1005.0</v>
      </c>
      <c r="AH1007" s="20" t="s">
        <v>14</v>
      </c>
      <c r="AI1007" s="20">
        <v>-1.23</v>
      </c>
      <c r="AJ1007" s="20">
        <v>-25.87</v>
      </c>
      <c r="AM1007" s="20">
        <v>514.0</v>
      </c>
      <c r="AN1007" s="20" t="s">
        <v>14</v>
      </c>
      <c r="AO1007" s="20">
        <v>-16.3</v>
      </c>
      <c r="AP1007" s="20">
        <v>-22.45</v>
      </c>
      <c r="AS1007" s="20">
        <v>507.0</v>
      </c>
      <c r="AT1007" s="20" t="s">
        <v>14</v>
      </c>
      <c r="AU1007" s="20">
        <v>-9.28</v>
      </c>
      <c r="AV1007" s="20">
        <v>-47.17</v>
      </c>
      <c r="BE1007" s="43">
        <v>1005.0</v>
      </c>
      <c r="BF1007" s="20" t="s">
        <v>14</v>
      </c>
      <c r="BG1007" s="20">
        <v>35.81</v>
      </c>
      <c r="BH1007" s="20">
        <v>17.85</v>
      </c>
      <c r="BM1007" s="20">
        <v>141.08</v>
      </c>
      <c r="BN1007" s="20">
        <v>99.5</v>
      </c>
      <c r="BW1007" s="20">
        <v>-49.73</v>
      </c>
      <c r="BX1007" s="20">
        <v>-32.28</v>
      </c>
      <c r="BZ1007" s="20">
        <v>-6.61</v>
      </c>
      <c r="CA1007" s="20">
        <v>15.35</v>
      </c>
      <c r="CO1007" s="20">
        <v>-18.69</v>
      </c>
      <c r="CP1007" s="20">
        <v>-66.54</v>
      </c>
    </row>
    <row r="1008">
      <c r="A1008" s="20">
        <v>43.55</v>
      </c>
      <c r="B1008" s="20">
        <v>41.26</v>
      </c>
      <c r="D1008" s="20"/>
      <c r="E1008" s="20"/>
      <c r="F1008" s="20">
        <v>-10.8</v>
      </c>
      <c r="G1008" s="20">
        <v>13.62</v>
      </c>
      <c r="I1008" s="20"/>
      <c r="J1008" s="20"/>
      <c r="K1008" s="20">
        <v>503.0</v>
      </c>
      <c r="L1008" s="20" t="s">
        <v>17</v>
      </c>
      <c r="M1008" s="20">
        <v>-42.98</v>
      </c>
      <c r="N1008" s="20">
        <v>-28.9</v>
      </c>
      <c r="P1008" s="20">
        <v>6.77</v>
      </c>
      <c r="Q1008" s="20">
        <v>81.36</v>
      </c>
      <c r="AG1008" s="43">
        <v>1006.0</v>
      </c>
      <c r="AH1008" s="20" t="s">
        <v>14</v>
      </c>
      <c r="AI1008" s="20">
        <v>-13.7</v>
      </c>
      <c r="AJ1008" s="20">
        <v>-23.72</v>
      </c>
      <c r="AM1008" s="20">
        <v>514.0</v>
      </c>
      <c r="AN1008" s="20" t="s">
        <v>17</v>
      </c>
      <c r="AO1008" s="20">
        <v>13.71</v>
      </c>
      <c r="AP1008" s="20">
        <v>16.7</v>
      </c>
      <c r="AS1008" s="20">
        <v>507.0</v>
      </c>
      <c r="AT1008" s="20" t="s">
        <v>17</v>
      </c>
      <c r="AU1008" s="20">
        <v>-50.58</v>
      </c>
      <c r="AV1008" s="20">
        <v>-26.73</v>
      </c>
      <c r="BE1008" s="43">
        <v>1006.0</v>
      </c>
      <c r="BF1008" s="20" t="s">
        <v>14</v>
      </c>
      <c r="BG1008" s="20">
        <v>43.59</v>
      </c>
      <c r="BH1008" s="20">
        <v>13.61</v>
      </c>
      <c r="BM1008" s="20">
        <v>127.89</v>
      </c>
      <c r="BN1008" s="20">
        <v>73.12</v>
      </c>
      <c r="BW1008" s="20">
        <v>-27.53</v>
      </c>
      <c r="BX1008" s="20">
        <v>-48.55</v>
      </c>
      <c r="BZ1008" s="20">
        <v>-55.53</v>
      </c>
      <c r="CA1008" s="20">
        <v>-67.16</v>
      </c>
      <c r="CO1008" s="20">
        <v>-38.56</v>
      </c>
      <c r="CP1008" s="20">
        <v>-63.95</v>
      </c>
    </row>
    <row r="1009">
      <c r="A1009" s="20">
        <v>119.07</v>
      </c>
      <c r="B1009" s="20">
        <v>47.32</v>
      </c>
      <c r="D1009" s="20"/>
      <c r="E1009" s="20"/>
      <c r="F1009" s="20">
        <v>-16.62</v>
      </c>
      <c r="G1009" s="20">
        <v>32.8</v>
      </c>
      <c r="I1009" s="20"/>
      <c r="J1009" s="20"/>
      <c r="K1009" s="20">
        <v>504.0</v>
      </c>
      <c r="L1009" s="20" t="s">
        <v>14</v>
      </c>
      <c r="M1009" s="20">
        <v>-1.78</v>
      </c>
      <c r="N1009" s="20">
        <v>3.94</v>
      </c>
      <c r="P1009" s="20">
        <v>-15.2</v>
      </c>
      <c r="Q1009" s="20">
        <v>8.03</v>
      </c>
      <c r="AG1009" s="43">
        <v>1007.0</v>
      </c>
      <c r="AH1009" s="20" t="s">
        <v>14</v>
      </c>
      <c r="AI1009" s="20">
        <v>0.7</v>
      </c>
      <c r="AJ1009" s="20">
        <v>-9.86</v>
      </c>
      <c r="AM1009" s="20">
        <v>515.0</v>
      </c>
      <c r="AN1009" s="20" t="s">
        <v>14</v>
      </c>
      <c r="AO1009" s="20">
        <v>80.68</v>
      </c>
      <c r="AP1009" s="20">
        <v>-35.95</v>
      </c>
      <c r="AS1009" s="20">
        <v>508.0</v>
      </c>
      <c r="AT1009" s="20" t="s">
        <v>14</v>
      </c>
      <c r="AU1009" s="20">
        <v>-22.53</v>
      </c>
      <c r="AV1009" s="20">
        <v>-61.81</v>
      </c>
      <c r="BE1009" s="43">
        <v>1007.0</v>
      </c>
      <c r="BF1009" s="20" t="s">
        <v>14</v>
      </c>
      <c r="BG1009" s="20">
        <v>-5.55</v>
      </c>
      <c r="BH1009" s="20">
        <v>-11.47</v>
      </c>
      <c r="BM1009" s="20">
        <v>131.97</v>
      </c>
      <c r="BN1009" s="20">
        <v>143.59</v>
      </c>
      <c r="BW1009" s="20">
        <v>-26.73</v>
      </c>
      <c r="BX1009" s="20">
        <v>-54.47</v>
      </c>
      <c r="BZ1009" s="20">
        <v>-47.87</v>
      </c>
      <c r="CA1009" s="20">
        <v>37.36</v>
      </c>
      <c r="CO1009" s="20">
        <v>-31.75</v>
      </c>
      <c r="CP1009" s="20">
        <v>-60.81</v>
      </c>
    </row>
    <row r="1010">
      <c r="A1010" s="20">
        <v>17.44</v>
      </c>
      <c r="B1010" s="20">
        <v>61.64</v>
      </c>
      <c r="D1010" s="20"/>
      <c r="E1010" s="20"/>
      <c r="F1010" s="20">
        <v>-27.15</v>
      </c>
      <c r="G1010" s="20">
        <v>36.03</v>
      </c>
      <c r="I1010" s="20"/>
      <c r="J1010" s="20"/>
      <c r="K1010" s="20">
        <v>504.0</v>
      </c>
      <c r="L1010" s="20" t="s">
        <v>17</v>
      </c>
      <c r="M1010" s="20">
        <v>-1.92</v>
      </c>
      <c r="N1010" s="20">
        <v>-0.38</v>
      </c>
      <c r="P1010" s="20">
        <v>-28.17</v>
      </c>
      <c r="Q1010" s="20">
        <v>-57.46</v>
      </c>
      <c r="AG1010" s="43">
        <v>1008.0</v>
      </c>
      <c r="AH1010" s="20" t="s">
        <v>14</v>
      </c>
      <c r="AI1010" s="20">
        <v>-8.86</v>
      </c>
      <c r="AJ1010" s="20">
        <v>-17.82</v>
      </c>
      <c r="AM1010" s="20">
        <v>515.0</v>
      </c>
      <c r="AN1010" s="20" t="s">
        <v>17</v>
      </c>
      <c r="AO1010" s="20">
        <v>-12.27</v>
      </c>
      <c r="AP1010" s="20">
        <v>2.22</v>
      </c>
      <c r="AS1010" s="20">
        <v>508.0</v>
      </c>
      <c r="AT1010" s="20" t="s">
        <v>17</v>
      </c>
      <c r="AU1010" s="20">
        <v>17.7</v>
      </c>
      <c r="AV1010" s="20">
        <v>-31.97</v>
      </c>
      <c r="BE1010" s="43">
        <v>1008.0</v>
      </c>
      <c r="BF1010" s="20" t="s">
        <v>14</v>
      </c>
      <c r="BG1010" s="20">
        <v>19.01</v>
      </c>
      <c r="BH1010" s="20">
        <v>6.09</v>
      </c>
      <c r="BM1010" s="20">
        <v>161.74</v>
      </c>
      <c r="BN1010" s="20">
        <v>35.83</v>
      </c>
      <c r="BW1010" s="20">
        <v>-75.9</v>
      </c>
      <c r="BX1010" s="20">
        <v>-50.46</v>
      </c>
      <c r="BZ1010" s="20">
        <v>-4.04</v>
      </c>
      <c r="CA1010" s="20">
        <v>-42.92</v>
      </c>
      <c r="CO1010" s="20">
        <v>-29.12</v>
      </c>
      <c r="CP1010" s="20">
        <v>-46.56</v>
      </c>
    </row>
    <row r="1011">
      <c r="A1011" s="20">
        <v>-4.51</v>
      </c>
      <c r="B1011" s="20">
        <v>33.0</v>
      </c>
      <c r="D1011" s="20"/>
      <c r="E1011" s="20"/>
      <c r="F1011" s="20">
        <v>-19.97</v>
      </c>
      <c r="G1011" s="20">
        <v>-6.46</v>
      </c>
      <c r="I1011" s="20"/>
      <c r="J1011" s="20"/>
      <c r="K1011" s="20">
        <v>505.0</v>
      </c>
      <c r="L1011" s="20" t="s">
        <v>14</v>
      </c>
      <c r="M1011" s="20">
        <v>147.68</v>
      </c>
      <c r="N1011" s="20">
        <v>38.74</v>
      </c>
      <c r="P1011" s="20">
        <v>40.23</v>
      </c>
      <c r="Q1011" s="20">
        <v>146.68</v>
      </c>
      <c r="AG1011" s="43">
        <v>1009.0</v>
      </c>
      <c r="AH1011" s="20" t="s">
        <v>14</v>
      </c>
      <c r="AI1011" s="20">
        <v>-40.0</v>
      </c>
      <c r="AJ1011" s="20">
        <v>-30.87</v>
      </c>
      <c r="AM1011" s="20">
        <v>516.0</v>
      </c>
      <c r="AN1011" s="20" t="s">
        <v>14</v>
      </c>
      <c r="AO1011" s="20">
        <v>-40.54</v>
      </c>
      <c r="AP1011" s="20">
        <v>-38.75</v>
      </c>
      <c r="AS1011" s="20">
        <v>509.0</v>
      </c>
      <c r="AT1011" s="20" t="s">
        <v>14</v>
      </c>
      <c r="AU1011" s="20">
        <v>12.8</v>
      </c>
      <c r="AV1011" s="20">
        <v>-42.93</v>
      </c>
      <c r="BE1011" s="43">
        <v>1009.0</v>
      </c>
      <c r="BF1011" s="20" t="s">
        <v>14</v>
      </c>
      <c r="BG1011" s="20">
        <v>2.31</v>
      </c>
      <c r="BH1011" s="20">
        <v>15.37</v>
      </c>
      <c r="BM1011" s="20">
        <v>154.78</v>
      </c>
      <c r="BN1011" s="20">
        <v>121.5</v>
      </c>
      <c r="BW1011" s="20">
        <v>-63.31</v>
      </c>
      <c r="BX1011" s="20">
        <v>-25.69</v>
      </c>
      <c r="BZ1011" s="20">
        <v>-28.01</v>
      </c>
      <c r="CA1011" s="20">
        <v>19.07</v>
      </c>
      <c r="CO1011" s="20">
        <v>-29.11</v>
      </c>
      <c r="CP1011" s="20">
        <v>-44.46</v>
      </c>
    </row>
    <row r="1012">
      <c r="A1012" s="20">
        <v>-39.01</v>
      </c>
      <c r="B1012" s="20">
        <v>40.73</v>
      </c>
      <c r="D1012" s="20"/>
      <c r="E1012" s="20"/>
      <c r="F1012" s="20">
        <v>-4.94</v>
      </c>
      <c r="G1012" s="20">
        <v>-22.11</v>
      </c>
      <c r="I1012" s="20"/>
      <c r="J1012" s="20"/>
      <c r="K1012" s="20">
        <v>505.0</v>
      </c>
      <c r="L1012" s="20" t="s">
        <v>17</v>
      </c>
      <c r="M1012" s="20">
        <v>33.31</v>
      </c>
      <c r="N1012" s="20">
        <v>-15.93</v>
      </c>
      <c r="P1012" s="20">
        <v>64.0</v>
      </c>
      <c r="Q1012" s="20">
        <v>115.82</v>
      </c>
      <c r="AG1012" s="43">
        <v>1010.0</v>
      </c>
      <c r="AH1012" s="20" t="s">
        <v>14</v>
      </c>
      <c r="AI1012" s="20">
        <v>-29.87</v>
      </c>
      <c r="AJ1012" s="20">
        <v>-0.77</v>
      </c>
      <c r="AM1012" s="20">
        <v>516.0</v>
      </c>
      <c r="AN1012" s="20" t="s">
        <v>17</v>
      </c>
      <c r="AO1012" s="20">
        <v>20.4</v>
      </c>
      <c r="AP1012" s="20">
        <v>-0.22</v>
      </c>
      <c r="AS1012" s="20">
        <v>509.0</v>
      </c>
      <c r="AT1012" s="20" t="s">
        <v>17</v>
      </c>
      <c r="AU1012" s="20">
        <v>43.05</v>
      </c>
      <c r="AV1012" s="20">
        <v>-48.2</v>
      </c>
      <c r="BE1012" s="43">
        <v>1010.0</v>
      </c>
      <c r="BF1012" s="20" t="s">
        <v>14</v>
      </c>
      <c r="BG1012" s="20">
        <v>33.69</v>
      </c>
      <c r="BH1012" s="20">
        <v>40.97</v>
      </c>
      <c r="BM1012" s="20">
        <v>79.06</v>
      </c>
      <c r="BN1012" s="20">
        <v>40.86</v>
      </c>
      <c r="BW1012" s="20">
        <v>-62.1</v>
      </c>
      <c r="BX1012" s="20">
        <v>12.68</v>
      </c>
      <c r="BZ1012" s="20">
        <v>-16.11</v>
      </c>
      <c r="CA1012" s="20">
        <v>143.72</v>
      </c>
      <c r="CO1012" s="20">
        <v>-3.46</v>
      </c>
      <c r="CP1012" s="20">
        <v>-44.41</v>
      </c>
    </row>
    <row r="1013">
      <c r="A1013" s="20">
        <v>27.89</v>
      </c>
      <c r="B1013" s="20">
        <v>23.19</v>
      </c>
      <c r="D1013" s="20"/>
      <c r="E1013" s="20"/>
      <c r="F1013" s="20">
        <v>4.72</v>
      </c>
      <c r="G1013" s="20">
        <v>-1.89</v>
      </c>
      <c r="I1013" s="20"/>
      <c r="J1013" s="20"/>
      <c r="K1013" s="20">
        <v>506.0</v>
      </c>
      <c r="L1013" s="20" t="s">
        <v>14</v>
      </c>
      <c r="M1013" s="20">
        <v>5.66</v>
      </c>
      <c r="N1013" s="20">
        <v>13.64</v>
      </c>
      <c r="P1013" s="20">
        <v>-10.5</v>
      </c>
      <c r="Q1013" s="20">
        <v>26.7</v>
      </c>
      <c r="AG1013" s="43">
        <v>1011.0</v>
      </c>
      <c r="AH1013" s="20" t="s">
        <v>14</v>
      </c>
      <c r="AI1013" s="20">
        <v>-16.0</v>
      </c>
      <c r="AJ1013" s="20">
        <v>2.81</v>
      </c>
      <c r="AM1013" s="20">
        <v>517.0</v>
      </c>
      <c r="AN1013" s="20" t="s">
        <v>14</v>
      </c>
      <c r="AO1013" s="20">
        <v>23.87</v>
      </c>
      <c r="AP1013" s="20">
        <v>-22.87</v>
      </c>
      <c r="AS1013" s="20">
        <v>510.0</v>
      </c>
      <c r="AT1013" s="20" t="s">
        <v>14</v>
      </c>
      <c r="AU1013" s="20">
        <v>-9.6</v>
      </c>
      <c r="AV1013" s="20">
        <v>-41.87</v>
      </c>
      <c r="BE1013" s="43">
        <v>1011.0</v>
      </c>
      <c r="BF1013" s="20" t="s">
        <v>14</v>
      </c>
      <c r="BG1013" s="20">
        <v>-4.05</v>
      </c>
      <c r="BH1013" s="20">
        <v>27.51</v>
      </c>
      <c r="BM1013" s="20">
        <v>244.85</v>
      </c>
      <c r="BN1013" s="20">
        <v>17.71</v>
      </c>
      <c r="BW1013" s="20">
        <v>-51.63</v>
      </c>
      <c r="BX1013" s="20">
        <v>32.09</v>
      </c>
      <c r="BZ1013" s="20">
        <v>-48.48</v>
      </c>
      <c r="CA1013" s="20">
        <v>98.63</v>
      </c>
      <c r="CO1013" s="20">
        <v>-41.0</v>
      </c>
      <c r="CP1013" s="20">
        <v>-58.44</v>
      </c>
    </row>
    <row r="1014">
      <c r="A1014" s="20">
        <v>35.89</v>
      </c>
      <c r="B1014" s="20">
        <v>86.42</v>
      </c>
      <c r="D1014" s="20"/>
      <c r="E1014" s="20"/>
      <c r="F1014" s="20">
        <v>-48.89</v>
      </c>
      <c r="G1014" s="20">
        <v>-16.4</v>
      </c>
      <c r="I1014" s="20"/>
      <c r="J1014" s="20"/>
      <c r="K1014" s="20">
        <v>506.0</v>
      </c>
      <c r="L1014" s="20" t="s">
        <v>17</v>
      </c>
      <c r="M1014" s="20">
        <v>-39.19</v>
      </c>
      <c r="N1014" s="20">
        <v>-75.42</v>
      </c>
      <c r="P1014" s="20">
        <v>-19.33</v>
      </c>
      <c r="Q1014" s="20">
        <v>56.72</v>
      </c>
      <c r="AG1014" s="43">
        <v>1012.0</v>
      </c>
      <c r="AH1014" s="20" t="s">
        <v>14</v>
      </c>
      <c r="AI1014" s="20">
        <v>-45.44</v>
      </c>
      <c r="AJ1014" s="20">
        <v>-66.25</v>
      </c>
      <c r="AM1014" s="20">
        <v>517.0</v>
      </c>
      <c r="AN1014" s="20" t="s">
        <v>17</v>
      </c>
      <c r="AO1014" s="20">
        <v>14.19</v>
      </c>
      <c r="AP1014" s="20">
        <v>-20.05</v>
      </c>
      <c r="AS1014" s="20">
        <v>510.0</v>
      </c>
      <c r="AT1014" s="20" t="s">
        <v>17</v>
      </c>
      <c r="AU1014" s="20">
        <v>-5.41</v>
      </c>
      <c r="AV1014" s="20">
        <v>-53.6</v>
      </c>
      <c r="BE1014" s="43">
        <v>1012.0</v>
      </c>
      <c r="BF1014" s="20" t="s">
        <v>14</v>
      </c>
      <c r="BG1014" s="20">
        <v>2.46</v>
      </c>
      <c r="BH1014" s="20">
        <v>15.05</v>
      </c>
      <c r="BM1014" s="20">
        <v>226.13</v>
      </c>
      <c r="BN1014" s="20">
        <v>32.58</v>
      </c>
      <c r="BW1014" s="20">
        <v>-71.67</v>
      </c>
      <c r="BX1014" s="20">
        <v>-36.09</v>
      </c>
      <c r="BZ1014" s="20">
        <v>-38.03</v>
      </c>
      <c r="CA1014" s="20">
        <v>105.09</v>
      </c>
      <c r="CO1014" s="20">
        <v>-29.11</v>
      </c>
      <c r="CP1014" s="20">
        <v>-42.79</v>
      </c>
    </row>
    <row r="1015">
      <c r="A1015" s="20">
        <v>-35.74</v>
      </c>
      <c r="B1015" s="20">
        <v>-21.93</v>
      </c>
      <c r="D1015" s="20"/>
      <c r="E1015" s="20"/>
      <c r="F1015" s="20">
        <v>-23.58</v>
      </c>
      <c r="G1015" s="20">
        <v>-34.6</v>
      </c>
      <c r="I1015" s="20"/>
      <c r="J1015" s="20"/>
      <c r="K1015" s="20">
        <v>507.0</v>
      </c>
      <c r="L1015" s="20" t="s">
        <v>14</v>
      </c>
      <c r="M1015" s="20">
        <v>15.46</v>
      </c>
      <c r="N1015" s="20">
        <v>-5.79</v>
      </c>
      <c r="P1015" s="20">
        <v>-27.83</v>
      </c>
      <c r="Q1015" s="20">
        <v>-23.24</v>
      </c>
      <c r="AG1015" s="43">
        <v>1013.0</v>
      </c>
      <c r="AH1015" s="20" t="s">
        <v>14</v>
      </c>
      <c r="AI1015" s="20">
        <v>-9.07</v>
      </c>
      <c r="AJ1015" s="20">
        <v>22.43</v>
      </c>
      <c r="AM1015" s="20">
        <v>518.0</v>
      </c>
      <c r="AN1015" s="20" t="s">
        <v>14</v>
      </c>
      <c r="AO1015" s="20">
        <v>-33.6</v>
      </c>
      <c r="AP1015" s="20">
        <v>-31.64</v>
      </c>
      <c r="AS1015" s="20">
        <v>511.0</v>
      </c>
      <c r="AT1015" s="20" t="s">
        <v>14</v>
      </c>
      <c r="AU1015" s="20">
        <v>-20.75</v>
      </c>
      <c r="AV1015" s="20">
        <v>-34.88</v>
      </c>
      <c r="BE1015" s="43">
        <v>1013.0</v>
      </c>
      <c r="BF1015" s="20" t="s">
        <v>14</v>
      </c>
      <c r="BG1015" s="20">
        <v>22.88</v>
      </c>
      <c r="BH1015" s="20">
        <v>75.48</v>
      </c>
      <c r="BM1015" s="20">
        <v>-1.71</v>
      </c>
      <c r="BN1015" s="20">
        <v>190.68</v>
      </c>
      <c r="BW1015" s="20">
        <v>-51.61</v>
      </c>
      <c r="BX1015" s="20">
        <v>-4.92</v>
      </c>
      <c r="BZ1015" s="20">
        <v>-24.39</v>
      </c>
      <c r="CA1015" s="20">
        <v>30.01</v>
      </c>
      <c r="CO1015" s="20">
        <v>-30.48</v>
      </c>
      <c r="CP1015" s="20">
        <v>-39.39</v>
      </c>
    </row>
    <row r="1016">
      <c r="A1016" s="20">
        <v>-21.89</v>
      </c>
      <c r="B1016" s="20">
        <v>45.57</v>
      </c>
      <c r="D1016" s="20"/>
      <c r="E1016" s="20"/>
      <c r="F1016" s="20">
        <v>-3.36</v>
      </c>
      <c r="G1016" s="20">
        <v>-39.34</v>
      </c>
      <c r="I1016" s="20"/>
      <c r="J1016" s="20"/>
      <c r="K1016" s="20">
        <v>507.0</v>
      </c>
      <c r="L1016" s="20" t="s">
        <v>17</v>
      </c>
      <c r="M1016" s="20">
        <v>-26.28</v>
      </c>
      <c r="N1016" s="20">
        <v>-55.48</v>
      </c>
      <c r="P1016" s="20">
        <v>20.32</v>
      </c>
      <c r="Q1016" s="20">
        <v>-41.03</v>
      </c>
      <c r="AG1016" s="43">
        <v>1014.0</v>
      </c>
      <c r="AH1016" s="20" t="s">
        <v>14</v>
      </c>
      <c r="AI1016" s="20">
        <v>-11.11</v>
      </c>
      <c r="AJ1016" s="20">
        <v>-27.25</v>
      </c>
      <c r="AM1016" s="20">
        <v>518.0</v>
      </c>
      <c r="AN1016" s="20" t="s">
        <v>17</v>
      </c>
      <c r="AO1016" s="20">
        <v>-25.84</v>
      </c>
      <c r="AP1016" s="20">
        <v>-24.85</v>
      </c>
      <c r="AS1016" s="20">
        <v>511.0</v>
      </c>
      <c r="AT1016" s="20" t="s">
        <v>17</v>
      </c>
      <c r="AU1016" s="20">
        <v>-23.93</v>
      </c>
      <c r="AV1016" s="20">
        <v>-45.05</v>
      </c>
      <c r="BE1016" s="43">
        <v>1014.0</v>
      </c>
      <c r="BF1016" s="20" t="s">
        <v>14</v>
      </c>
      <c r="BG1016" s="20">
        <v>40.09</v>
      </c>
      <c r="BH1016" s="20">
        <v>28.15</v>
      </c>
      <c r="BM1016" s="20">
        <v>44.8</v>
      </c>
      <c r="BN1016" s="20">
        <v>152.1</v>
      </c>
      <c r="BW1016" s="20">
        <v>-18.03</v>
      </c>
      <c r="BX1016" s="20">
        <v>-27.88</v>
      </c>
      <c r="BZ1016" s="20">
        <v>-54.91</v>
      </c>
      <c r="CA1016" s="20">
        <v>29.17</v>
      </c>
      <c r="CO1016" s="20">
        <v>-17.88</v>
      </c>
      <c r="CP1016" s="20">
        <v>-26.56</v>
      </c>
    </row>
    <row r="1017">
      <c r="A1017" s="20">
        <v>-27.1</v>
      </c>
      <c r="B1017" s="20">
        <v>-55.18</v>
      </c>
      <c r="D1017" s="20"/>
      <c r="E1017" s="20"/>
      <c r="F1017" s="20">
        <v>-17.23</v>
      </c>
      <c r="G1017" s="20">
        <v>14.84</v>
      </c>
      <c r="I1017" s="20"/>
      <c r="J1017" s="20"/>
      <c r="K1017" s="20">
        <v>508.0</v>
      </c>
      <c r="L1017" s="20" t="s">
        <v>14</v>
      </c>
      <c r="M1017" s="20">
        <v>33.2</v>
      </c>
      <c r="N1017" s="20">
        <v>103.72</v>
      </c>
      <c r="P1017" s="20">
        <v>-5.79</v>
      </c>
      <c r="Q1017" s="20">
        <v>36.91</v>
      </c>
      <c r="AG1017" s="43">
        <v>1015.0</v>
      </c>
      <c r="AH1017" s="20" t="s">
        <v>14</v>
      </c>
      <c r="AI1017" s="20">
        <v>-45.83</v>
      </c>
      <c r="AJ1017" s="20">
        <v>-54.27</v>
      </c>
      <c r="AM1017" s="20">
        <v>519.0</v>
      </c>
      <c r="AN1017" s="20" t="s">
        <v>14</v>
      </c>
      <c r="AO1017" s="20">
        <v>6.76</v>
      </c>
      <c r="AP1017" s="20">
        <v>-31.8</v>
      </c>
      <c r="AS1017" s="20">
        <v>512.0</v>
      </c>
      <c r="AT1017" s="20" t="s">
        <v>14</v>
      </c>
      <c r="AU1017" s="20">
        <v>-10.0</v>
      </c>
      <c r="AV1017" s="20">
        <v>-24.72</v>
      </c>
      <c r="BE1017" s="43">
        <v>1015.0</v>
      </c>
      <c r="BF1017" s="20" t="s">
        <v>14</v>
      </c>
      <c r="BG1017" s="20">
        <v>-3.6</v>
      </c>
      <c r="BH1017" s="20">
        <v>26.71</v>
      </c>
      <c r="BM1017" s="20">
        <v>174.83</v>
      </c>
      <c r="BN1017" s="20">
        <v>86.66</v>
      </c>
      <c r="BW1017" s="20">
        <v>-66.72</v>
      </c>
      <c r="BX1017" s="20">
        <v>-39.79</v>
      </c>
      <c r="BZ1017" s="20">
        <v>-37.47</v>
      </c>
      <c r="CA1017" s="20">
        <v>21.95</v>
      </c>
      <c r="CO1017" s="20">
        <v>-28.46</v>
      </c>
      <c r="CP1017" s="20">
        <v>-51.43</v>
      </c>
    </row>
    <row r="1018">
      <c r="A1018" s="20">
        <v>13.75</v>
      </c>
      <c r="B1018" s="20">
        <v>84.35</v>
      </c>
      <c r="D1018" s="20"/>
      <c r="E1018" s="20"/>
      <c r="F1018" s="20">
        <v>-22.95</v>
      </c>
      <c r="G1018" s="20">
        <v>61.01</v>
      </c>
      <c r="I1018" s="20"/>
      <c r="J1018" s="20"/>
      <c r="K1018" s="20">
        <v>508.0</v>
      </c>
      <c r="L1018" s="20" t="s">
        <v>17</v>
      </c>
      <c r="M1018" s="20">
        <v>-55.94</v>
      </c>
      <c r="N1018" s="20">
        <v>-74.61</v>
      </c>
      <c r="P1018" s="20">
        <v>-0.32</v>
      </c>
      <c r="Q1018" s="20">
        <v>62.45</v>
      </c>
      <c r="AG1018" s="43">
        <v>1016.0</v>
      </c>
      <c r="AH1018" s="20" t="s">
        <v>14</v>
      </c>
      <c r="AI1018" s="20">
        <v>-45.81</v>
      </c>
      <c r="AJ1018" s="20">
        <v>-48.87</v>
      </c>
      <c r="AM1018" s="20">
        <v>519.0</v>
      </c>
      <c r="AN1018" s="20" t="s">
        <v>17</v>
      </c>
      <c r="AO1018" s="20">
        <v>-6.08</v>
      </c>
      <c r="AP1018" s="20">
        <v>51.0</v>
      </c>
      <c r="AS1018" s="20">
        <v>512.0</v>
      </c>
      <c r="AT1018" s="20" t="s">
        <v>17</v>
      </c>
      <c r="AU1018" s="20">
        <v>8.43</v>
      </c>
      <c r="AV1018" s="20">
        <v>-18.15</v>
      </c>
      <c r="BE1018" s="43">
        <v>1016.0</v>
      </c>
      <c r="BF1018" s="20" t="s">
        <v>14</v>
      </c>
      <c r="BG1018" s="20">
        <v>-7.83</v>
      </c>
      <c r="BH1018" s="20">
        <v>41.4</v>
      </c>
      <c r="BM1018" s="20">
        <v>187.17</v>
      </c>
      <c r="BN1018" s="20">
        <v>52.98</v>
      </c>
      <c r="BW1018" s="20">
        <v>-53.8</v>
      </c>
      <c r="BX1018" s="20">
        <v>-22.6</v>
      </c>
      <c r="BZ1018" s="20">
        <v>-55.23</v>
      </c>
      <c r="CA1018" s="20">
        <v>104.86</v>
      </c>
      <c r="CO1018" s="20">
        <v>-44.97</v>
      </c>
      <c r="CP1018" s="20">
        <v>-37.69</v>
      </c>
    </row>
    <row r="1019">
      <c r="A1019" s="20">
        <v>-19.15</v>
      </c>
      <c r="B1019" s="20">
        <v>-18.64</v>
      </c>
      <c r="D1019" s="20"/>
      <c r="E1019" s="20"/>
      <c r="F1019" s="20">
        <v>-23.8</v>
      </c>
      <c r="G1019" s="20">
        <v>40.86</v>
      </c>
      <c r="I1019" s="20"/>
      <c r="J1019" s="20"/>
      <c r="K1019" s="20">
        <v>509.0</v>
      </c>
      <c r="L1019" s="20" t="s">
        <v>14</v>
      </c>
      <c r="M1019" s="20">
        <v>-28.13</v>
      </c>
      <c r="N1019" s="20">
        <v>-15.38</v>
      </c>
      <c r="P1019" s="20">
        <v>-19.95</v>
      </c>
      <c r="Q1019" s="20">
        <v>34.54</v>
      </c>
      <c r="AG1019" s="43">
        <v>1017.0</v>
      </c>
      <c r="AH1019" s="20" t="s">
        <v>14</v>
      </c>
      <c r="AI1019" s="20">
        <v>29.14</v>
      </c>
      <c r="AJ1019" s="20">
        <v>-21.83</v>
      </c>
      <c r="AM1019" s="20">
        <v>520.0</v>
      </c>
      <c r="AN1019" s="20" t="s">
        <v>14</v>
      </c>
      <c r="AO1019" s="20">
        <v>-23.69</v>
      </c>
      <c r="AP1019" s="20">
        <v>-26.88</v>
      </c>
      <c r="AS1019" s="20">
        <v>513.0</v>
      </c>
      <c r="AT1019" s="20" t="s">
        <v>14</v>
      </c>
      <c r="AU1019" s="20">
        <v>4.12</v>
      </c>
      <c r="AV1019" s="20">
        <v>-29.02</v>
      </c>
      <c r="BE1019" s="43">
        <v>1017.0</v>
      </c>
      <c r="BF1019" s="20" t="s">
        <v>14</v>
      </c>
      <c r="BG1019" s="20">
        <v>5.53</v>
      </c>
      <c r="BH1019" s="20">
        <v>27.63</v>
      </c>
      <c r="BM1019" s="20">
        <v>-11.7</v>
      </c>
      <c r="BN1019" s="20">
        <v>42.98</v>
      </c>
      <c r="BW1019" s="20">
        <v>1.46</v>
      </c>
      <c r="BX1019" s="20">
        <v>-25.05</v>
      </c>
      <c r="BZ1019" s="20">
        <v>2.41</v>
      </c>
      <c r="CA1019" s="20">
        <v>53.65</v>
      </c>
      <c r="CO1019" s="20">
        <v>-5.77</v>
      </c>
      <c r="CP1019" s="20">
        <v>-59.35</v>
      </c>
    </row>
    <row r="1020">
      <c r="A1020" s="20">
        <v>12.84</v>
      </c>
      <c r="B1020" s="20">
        <v>-0.37</v>
      </c>
      <c r="D1020" s="20"/>
      <c r="E1020" s="20"/>
      <c r="F1020" s="20">
        <v>15.13</v>
      </c>
      <c r="G1020" s="20">
        <v>-2.63</v>
      </c>
      <c r="I1020" s="20"/>
      <c r="J1020" s="20"/>
      <c r="K1020" s="20">
        <v>509.0</v>
      </c>
      <c r="L1020" s="20" t="s">
        <v>17</v>
      </c>
      <c r="M1020" s="20">
        <v>-9.66</v>
      </c>
      <c r="N1020" s="20">
        <v>-13.9</v>
      </c>
      <c r="P1020" s="20">
        <v>22.57</v>
      </c>
      <c r="Q1020" s="20">
        <v>114.13</v>
      </c>
      <c r="AG1020" s="43">
        <v>1018.0</v>
      </c>
      <c r="AH1020" s="20" t="s">
        <v>14</v>
      </c>
      <c r="AI1020" s="20">
        <v>-31.79</v>
      </c>
      <c r="AJ1020" s="20">
        <v>-32.9</v>
      </c>
      <c r="AM1020" s="20">
        <v>520.0</v>
      </c>
      <c r="AN1020" s="20" t="s">
        <v>17</v>
      </c>
      <c r="AO1020" s="20">
        <v>-31.41</v>
      </c>
      <c r="AP1020" s="20">
        <v>-1.15</v>
      </c>
      <c r="AS1020" s="20">
        <v>513.0</v>
      </c>
      <c r="AT1020" s="20" t="s">
        <v>17</v>
      </c>
      <c r="AU1020" s="20">
        <v>-6.37</v>
      </c>
      <c r="AV1020" s="20">
        <v>-44.26</v>
      </c>
      <c r="BE1020" s="43">
        <v>1018.0</v>
      </c>
      <c r="BF1020" s="20" t="s">
        <v>14</v>
      </c>
      <c r="BG1020" s="20">
        <v>9.56</v>
      </c>
      <c r="BH1020" s="20">
        <v>38.26</v>
      </c>
      <c r="BM1020" s="20">
        <v>44.21</v>
      </c>
      <c r="BN1020" s="20">
        <v>65.74</v>
      </c>
      <c r="BW1020" s="20">
        <v>-47.79</v>
      </c>
      <c r="BX1020" s="20">
        <v>-29.95</v>
      </c>
      <c r="BZ1020" s="20">
        <v>-21.3</v>
      </c>
      <c r="CA1020" s="20">
        <v>33.83</v>
      </c>
      <c r="CO1020" s="20">
        <v>-10.79</v>
      </c>
      <c r="CP1020" s="20">
        <v>-72.01</v>
      </c>
    </row>
    <row r="1021">
      <c r="A1021" s="20">
        <v>22.4</v>
      </c>
      <c r="B1021" s="20">
        <v>-73.76</v>
      </c>
      <c r="D1021" s="20"/>
      <c r="E1021" s="20"/>
      <c r="F1021" s="20">
        <v>-42.48</v>
      </c>
      <c r="G1021" s="20">
        <v>-11.0</v>
      </c>
      <c r="I1021" s="20"/>
      <c r="J1021" s="20"/>
      <c r="K1021" s="20">
        <v>510.0</v>
      </c>
      <c r="L1021" s="20" t="s">
        <v>14</v>
      </c>
      <c r="M1021" s="20">
        <v>-4.6</v>
      </c>
      <c r="N1021" s="20">
        <v>17.71</v>
      </c>
      <c r="P1021" s="20">
        <v>-18.42</v>
      </c>
      <c r="Q1021" s="20">
        <v>13.51</v>
      </c>
      <c r="AG1021" s="43">
        <v>1019.0</v>
      </c>
      <c r="AH1021" s="20" t="s">
        <v>14</v>
      </c>
      <c r="AI1021" s="20">
        <v>-24.25</v>
      </c>
      <c r="AJ1021" s="20">
        <v>-13.72</v>
      </c>
      <c r="AM1021" s="20">
        <v>521.0</v>
      </c>
      <c r="AN1021" s="20" t="s">
        <v>14</v>
      </c>
      <c r="AO1021" s="20">
        <v>2.05</v>
      </c>
      <c r="AP1021" s="20">
        <v>11.08</v>
      </c>
      <c r="AS1021" s="20">
        <v>514.0</v>
      </c>
      <c r="AT1021" s="20" t="s">
        <v>14</v>
      </c>
      <c r="AU1021" s="20">
        <v>-16.57</v>
      </c>
      <c r="AV1021" s="20">
        <v>-28.62</v>
      </c>
      <c r="BE1021" s="43">
        <v>1019.0</v>
      </c>
      <c r="BF1021" s="20" t="s">
        <v>14</v>
      </c>
      <c r="BG1021" s="20">
        <v>2.39</v>
      </c>
      <c r="BH1021" s="20">
        <v>-5.49</v>
      </c>
      <c r="BM1021" s="20">
        <v>132.42</v>
      </c>
      <c r="BN1021" s="20">
        <v>125.79</v>
      </c>
      <c r="BW1021" s="20">
        <v>-58.31</v>
      </c>
      <c r="BX1021" s="20">
        <v>-20.19</v>
      </c>
      <c r="BZ1021" s="20">
        <v>-52.4</v>
      </c>
      <c r="CA1021" s="20">
        <v>48.88</v>
      </c>
      <c r="CO1021" s="20">
        <v>-40.54</v>
      </c>
      <c r="CP1021" s="20">
        <v>-57.26</v>
      </c>
    </row>
    <row r="1022">
      <c r="A1022" s="20">
        <v>-29.75</v>
      </c>
      <c r="B1022" s="20">
        <v>-35.9</v>
      </c>
      <c r="D1022" s="20"/>
      <c r="E1022" s="20"/>
      <c r="F1022" s="20">
        <v>-37.63</v>
      </c>
      <c r="G1022" s="20">
        <v>0.62</v>
      </c>
      <c r="I1022" s="20"/>
      <c r="J1022" s="20"/>
      <c r="K1022" s="20">
        <v>510.0</v>
      </c>
      <c r="L1022" s="20" t="s">
        <v>17</v>
      </c>
      <c r="M1022" s="20">
        <v>5.34</v>
      </c>
      <c r="N1022" s="20">
        <v>20.28</v>
      </c>
      <c r="P1022" s="20">
        <v>-28.93</v>
      </c>
      <c r="Q1022" s="20">
        <v>9.99</v>
      </c>
      <c r="AG1022" s="43">
        <v>1020.0</v>
      </c>
      <c r="AH1022" s="20" t="s">
        <v>14</v>
      </c>
      <c r="AI1022" s="20">
        <v>-51.46</v>
      </c>
      <c r="AJ1022" s="20">
        <v>-45.32</v>
      </c>
      <c r="AM1022" s="20">
        <v>521.0</v>
      </c>
      <c r="AN1022" s="20" t="s">
        <v>17</v>
      </c>
      <c r="AO1022" s="20">
        <v>9.77</v>
      </c>
      <c r="AP1022" s="20">
        <v>12.33</v>
      </c>
      <c r="AS1022" s="20">
        <v>514.0</v>
      </c>
      <c r="AT1022" s="20" t="s">
        <v>17</v>
      </c>
      <c r="AU1022" s="20">
        <v>33.83</v>
      </c>
      <c r="AV1022" s="20">
        <v>-0.71</v>
      </c>
      <c r="BE1022" s="43">
        <v>1020.0</v>
      </c>
      <c r="BF1022" s="20" t="s">
        <v>14</v>
      </c>
      <c r="BG1022" s="20">
        <v>19.84</v>
      </c>
      <c r="BH1022" s="20">
        <v>-0.38</v>
      </c>
      <c r="BM1022" s="20">
        <v>134.15</v>
      </c>
      <c r="BN1022" s="20">
        <v>145.83</v>
      </c>
      <c r="BW1022" s="20">
        <v>-28.54</v>
      </c>
      <c r="BX1022" s="20">
        <v>-36.6</v>
      </c>
      <c r="BZ1022" s="20">
        <v>-62.65</v>
      </c>
      <c r="CA1022" s="20">
        <v>125.66</v>
      </c>
      <c r="CO1022" s="20">
        <v>-45.28</v>
      </c>
      <c r="CP1022" s="20">
        <v>-70.88</v>
      </c>
    </row>
    <row r="1023">
      <c r="A1023" s="20">
        <v>-30.3</v>
      </c>
      <c r="B1023" s="20">
        <v>-89.79</v>
      </c>
      <c r="D1023" s="20"/>
      <c r="E1023" s="20"/>
      <c r="F1023" s="20">
        <v>-13.96</v>
      </c>
      <c r="G1023" s="20">
        <v>44.2</v>
      </c>
      <c r="I1023" s="20"/>
      <c r="J1023" s="20"/>
      <c r="K1023" s="20">
        <v>511.0</v>
      </c>
      <c r="L1023" s="20" t="s">
        <v>14</v>
      </c>
      <c r="M1023" s="20">
        <v>-22.44</v>
      </c>
      <c r="N1023" s="20">
        <v>9.62</v>
      </c>
      <c r="P1023" s="20">
        <v>-33.32</v>
      </c>
      <c r="Q1023" s="20">
        <v>26.67</v>
      </c>
      <c r="AG1023" s="43">
        <v>1021.0</v>
      </c>
      <c r="AH1023" s="20" t="s">
        <v>14</v>
      </c>
      <c r="AI1023" s="20">
        <v>-40.97</v>
      </c>
      <c r="AJ1023" s="20">
        <v>-31.74</v>
      </c>
      <c r="AM1023" s="20">
        <v>522.0</v>
      </c>
      <c r="AN1023" s="20" t="s">
        <v>14</v>
      </c>
      <c r="AO1023" s="20">
        <v>-24.12</v>
      </c>
      <c r="AP1023" s="20">
        <v>-9.0</v>
      </c>
      <c r="AS1023" s="20">
        <v>515.0</v>
      </c>
      <c r="AT1023" s="20" t="s">
        <v>14</v>
      </c>
      <c r="AU1023" s="20">
        <v>-3.4</v>
      </c>
      <c r="AV1023" s="20">
        <v>-10.81</v>
      </c>
      <c r="BE1023" s="43">
        <v>1021.0</v>
      </c>
      <c r="BF1023" s="20" t="s">
        <v>14</v>
      </c>
      <c r="BG1023" s="20">
        <v>27.21</v>
      </c>
      <c r="BH1023" s="20">
        <v>34.49</v>
      </c>
      <c r="BM1023" s="20">
        <v>38.28</v>
      </c>
      <c r="BN1023" s="20">
        <v>72.48</v>
      </c>
      <c r="BW1023" s="20">
        <v>-20.55</v>
      </c>
      <c r="BX1023" s="20">
        <v>-33.0</v>
      </c>
      <c r="BZ1023" s="20">
        <v>-35.39</v>
      </c>
      <c r="CA1023" s="20">
        <v>58.53</v>
      </c>
      <c r="CO1023" s="20">
        <v>-24.53</v>
      </c>
      <c r="CP1023" s="20">
        <v>-57.07</v>
      </c>
    </row>
    <row r="1024">
      <c r="A1024" s="20">
        <v>-11.35</v>
      </c>
      <c r="B1024" s="20">
        <v>-33.03</v>
      </c>
      <c r="D1024" s="20"/>
      <c r="E1024" s="20"/>
      <c r="F1024" s="20">
        <v>-10.58</v>
      </c>
      <c r="G1024" s="20">
        <v>38.88</v>
      </c>
      <c r="I1024" s="20"/>
      <c r="J1024" s="20"/>
      <c r="K1024" s="20">
        <v>511.0</v>
      </c>
      <c r="L1024" s="20" t="s">
        <v>17</v>
      </c>
      <c r="M1024" s="20">
        <v>2.34</v>
      </c>
      <c r="N1024" s="20">
        <v>-6.88</v>
      </c>
      <c r="P1024" s="20">
        <v>-25.77</v>
      </c>
      <c r="Q1024" s="20">
        <v>49.5</v>
      </c>
      <c r="AG1024" s="43">
        <v>1022.0</v>
      </c>
      <c r="AH1024" s="20" t="s">
        <v>14</v>
      </c>
      <c r="AI1024" s="20">
        <v>-13.91</v>
      </c>
      <c r="AJ1024" s="20">
        <v>-1.25</v>
      </c>
      <c r="AM1024" s="20">
        <v>522.0</v>
      </c>
      <c r="AN1024" s="20" t="s">
        <v>17</v>
      </c>
      <c r="AO1024" s="20">
        <v>-23.8</v>
      </c>
      <c r="AP1024" s="20">
        <v>23.67</v>
      </c>
      <c r="AS1024" s="20">
        <v>515.0</v>
      </c>
      <c r="AT1024" s="20" t="s">
        <v>17</v>
      </c>
      <c r="AU1024" s="20">
        <v>38.96</v>
      </c>
      <c r="AV1024" s="20">
        <v>-9.41</v>
      </c>
      <c r="BE1024" s="43">
        <v>1022.0</v>
      </c>
      <c r="BF1024" s="20" t="s">
        <v>14</v>
      </c>
      <c r="BG1024" s="20">
        <v>14.75</v>
      </c>
      <c r="BH1024" s="20">
        <v>3.58</v>
      </c>
      <c r="BM1024" s="20">
        <v>72.1</v>
      </c>
      <c r="BN1024" s="20">
        <v>137.4</v>
      </c>
      <c r="BW1024" s="20">
        <v>-28.79</v>
      </c>
      <c r="BX1024" s="20">
        <v>-14.84</v>
      </c>
      <c r="BZ1024" s="20">
        <v>-59.34</v>
      </c>
      <c r="CA1024" s="20">
        <v>55.33</v>
      </c>
      <c r="CO1024" s="20">
        <v>-17.21</v>
      </c>
      <c r="CP1024" s="20">
        <v>-41.3</v>
      </c>
    </row>
    <row r="1025">
      <c r="A1025" s="20">
        <v>-3.52</v>
      </c>
      <c r="B1025" s="20">
        <v>-0.74</v>
      </c>
      <c r="D1025" s="20"/>
      <c r="E1025" s="20"/>
      <c r="F1025" s="20">
        <v>-20.45</v>
      </c>
      <c r="G1025" s="20">
        <v>-24.47</v>
      </c>
      <c r="I1025" s="20"/>
      <c r="J1025" s="20"/>
      <c r="K1025" s="20">
        <v>512.0</v>
      </c>
      <c r="L1025" s="20" t="s">
        <v>14</v>
      </c>
      <c r="M1025" s="20">
        <v>-26.24</v>
      </c>
      <c r="N1025" s="20">
        <v>12.55</v>
      </c>
      <c r="P1025" s="20">
        <v>-6.51</v>
      </c>
      <c r="Q1025" s="20">
        <v>28.32</v>
      </c>
      <c r="AG1025" s="43">
        <v>1023.0</v>
      </c>
      <c r="AH1025" s="20" t="s">
        <v>14</v>
      </c>
      <c r="AI1025" s="20">
        <v>-0.86</v>
      </c>
      <c r="AJ1025" s="20">
        <v>9.53</v>
      </c>
      <c r="AM1025" s="20">
        <v>523.0</v>
      </c>
      <c r="AN1025" s="20" t="s">
        <v>14</v>
      </c>
      <c r="AO1025" s="20">
        <v>95.94</v>
      </c>
      <c r="AP1025" s="20">
        <v>-23.27</v>
      </c>
      <c r="AS1025" s="20">
        <v>516.0</v>
      </c>
      <c r="AT1025" s="20" t="s">
        <v>14</v>
      </c>
      <c r="AU1025" s="20">
        <v>-5.04</v>
      </c>
      <c r="AV1025" s="20">
        <v>-1.7</v>
      </c>
      <c r="BE1025" s="43">
        <v>1023.0</v>
      </c>
      <c r="BF1025" s="20" t="s">
        <v>14</v>
      </c>
      <c r="BG1025" s="20">
        <v>20.98</v>
      </c>
      <c r="BH1025" s="20">
        <v>64.68</v>
      </c>
      <c r="BM1025" s="20">
        <v>211.88</v>
      </c>
      <c r="BN1025" s="20">
        <v>136.89</v>
      </c>
      <c r="BW1025" s="20">
        <v>-31.44</v>
      </c>
      <c r="BX1025" s="20">
        <v>8.61</v>
      </c>
      <c r="BZ1025" s="20">
        <v>-39.04</v>
      </c>
      <c r="CA1025" s="20">
        <v>13.41</v>
      </c>
      <c r="CO1025" s="20">
        <v>-47.9</v>
      </c>
      <c r="CP1025" s="20">
        <v>-34.36</v>
      </c>
    </row>
    <row r="1026">
      <c r="A1026" s="20">
        <v>-44.8</v>
      </c>
      <c r="B1026" s="20">
        <v>58.15</v>
      </c>
      <c r="D1026" s="20"/>
      <c r="E1026" s="20"/>
      <c r="F1026" s="20">
        <v>-34.34</v>
      </c>
      <c r="G1026" s="20">
        <v>-13.2</v>
      </c>
      <c r="I1026" s="20"/>
      <c r="J1026" s="20"/>
      <c r="K1026" s="20">
        <v>512.0</v>
      </c>
      <c r="L1026" s="20" t="s">
        <v>17</v>
      </c>
      <c r="M1026" s="20">
        <v>-15.72</v>
      </c>
      <c r="N1026" s="20">
        <v>-3.95</v>
      </c>
      <c r="P1026" s="20">
        <v>-0.52</v>
      </c>
      <c r="Q1026" s="20">
        <v>73.26</v>
      </c>
      <c r="AG1026" s="43">
        <v>1024.0</v>
      </c>
      <c r="AH1026" s="20" t="s">
        <v>14</v>
      </c>
      <c r="AI1026" s="20">
        <v>-53.54</v>
      </c>
      <c r="AJ1026" s="20">
        <v>-57.08</v>
      </c>
      <c r="AM1026" s="20">
        <v>523.0</v>
      </c>
      <c r="AN1026" s="20" t="s">
        <v>17</v>
      </c>
      <c r="AO1026" s="20">
        <v>53.85</v>
      </c>
      <c r="AP1026" s="20">
        <v>10.58</v>
      </c>
      <c r="AS1026" s="20">
        <v>516.0</v>
      </c>
      <c r="AT1026" s="20" t="s">
        <v>17</v>
      </c>
      <c r="AU1026" s="20">
        <v>-39.32</v>
      </c>
      <c r="AV1026" s="20">
        <v>-49.95</v>
      </c>
      <c r="BE1026" s="43">
        <v>1024.0</v>
      </c>
      <c r="BF1026" s="20" t="s">
        <v>14</v>
      </c>
      <c r="BG1026" s="20">
        <v>45.23</v>
      </c>
      <c r="BH1026" s="20">
        <v>34.03</v>
      </c>
      <c r="BM1026" s="20">
        <v>313.68</v>
      </c>
      <c r="BN1026" s="20">
        <v>92.63</v>
      </c>
      <c r="BW1026" s="20">
        <v>-56.31</v>
      </c>
      <c r="BX1026" s="20">
        <v>7.94</v>
      </c>
      <c r="BZ1026" s="20">
        <v>-55.0</v>
      </c>
      <c r="CA1026" s="20">
        <v>73.54</v>
      </c>
      <c r="CO1026" s="20">
        <v>-14.21</v>
      </c>
      <c r="CP1026" s="20">
        <v>-57.88</v>
      </c>
    </row>
    <row r="1027">
      <c r="A1027" s="20">
        <v>-40.61</v>
      </c>
      <c r="B1027" s="20">
        <v>89.71</v>
      </c>
      <c r="D1027" s="20"/>
      <c r="E1027" s="20"/>
      <c r="F1027" s="20">
        <v>-64.0</v>
      </c>
      <c r="G1027" s="20">
        <v>-41.7</v>
      </c>
      <c r="I1027" s="20"/>
      <c r="J1027" s="20"/>
      <c r="K1027" s="20">
        <v>513.0</v>
      </c>
      <c r="L1027" s="20" t="s">
        <v>14</v>
      </c>
      <c r="M1027" s="20">
        <v>-20.85</v>
      </c>
      <c r="N1027" s="20">
        <v>-12.68</v>
      </c>
      <c r="P1027" s="20">
        <v>16.19</v>
      </c>
      <c r="Q1027" s="20">
        <v>1.61</v>
      </c>
      <c r="AG1027" s="43">
        <v>1025.0</v>
      </c>
      <c r="AH1027" s="20" t="s">
        <v>14</v>
      </c>
      <c r="AI1027" s="20">
        <v>-20.17</v>
      </c>
      <c r="AJ1027" s="20">
        <v>-19.96</v>
      </c>
      <c r="AM1027" s="20">
        <v>524.0</v>
      </c>
      <c r="AN1027" s="20" t="s">
        <v>14</v>
      </c>
      <c r="AO1027" s="20">
        <v>-26.35</v>
      </c>
      <c r="AP1027" s="20">
        <v>-13.97</v>
      </c>
      <c r="AS1027" s="20">
        <v>517.0</v>
      </c>
      <c r="AT1027" s="20" t="s">
        <v>14</v>
      </c>
      <c r="AU1027" s="20">
        <v>3.71</v>
      </c>
      <c r="AV1027" s="20">
        <v>-34.89</v>
      </c>
      <c r="BE1027" s="43">
        <v>1025.0</v>
      </c>
      <c r="BF1027" s="20" t="s">
        <v>14</v>
      </c>
      <c r="BG1027" s="20">
        <v>14.32</v>
      </c>
      <c r="BH1027" s="20">
        <v>0.43</v>
      </c>
      <c r="BM1027" s="20">
        <v>7.17</v>
      </c>
      <c r="BN1027" s="20">
        <v>75.98</v>
      </c>
      <c r="BW1027" s="20">
        <v>-49.28</v>
      </c>
      <c r="BX1027" s="20">
        <v>-46.97</v>
      </c>
      <c r="BZ1027" s="20">
        <v>-37.82</v>
      </c>
      <c r="CA1027" s="20">
        <v>87.3</v>
      </c>
      <c r="CO1027" s="20">
        <v>-17.72</v>
      </c>
      <c r="CP1027" s="20">
        <v>-46.92</v>
      </c>
    </row>
    <row r="1028">
      <c r="A1028" s="20">
        <v>-37.72</v>
      </c>
      <c r="B1028" s="20">
        <v>44.17</v>
      </c>
      <c r="D1028" s="20"/>
      <c r="E1028" s="20"/>
      <c r="F1028" s="20">
        <v>-24.19</v>
      </c>
      <c r="G1028" s="20">
        <v>-33.6</v>
      </c>
      <c r="I1028" s="20"/>
      <c r="J1028" s="20"/>
      <c r="K1028" s="20">
        <v>513.0</v>
      </c>
      <c r="L1028" s="20" t="s">
        <v>17</v>
      </c>
      <c r="M1028" s="20">
        <v>-33.97</v>
      </c>
      <c r="N1028" s="20">
        <v>-6.51</v>
      </c>
      <c r="P1028" s="20">
        <v>8.68</v>
      </c>
      <c r="Q1028" s="20">
        <v>36.27</v>
      </c>
      <c r="AG1028" s="43">
        <v>1026.0</v>
      </c>
      <c r="AH1028" s="20" t="s">
        <v>14</v>
      </c>
      <c r="AI1028" s="20">
        <v>-17.3</v>
      </c>
      <c r="AJ1028" s="20">
        <v>-47.65</v>
      </c>
      <c r="AM1028" s="20">
        <v>524.0</v>
      </c>
      <c r="AN1028" s="20" t="s">
        <v>17</v>
      </c>
      <c r="AO1028" s="20">
        <v>-44.86</v>
      </c>
      <c r="AP1028" s="20">
        <v>28.39</v>
      </c>
      <c r="AS1028" s="20">
        <v>517.0</v>
      </c>
      <c r="AT1028" s="20" t="s">
        <v>17</v>
      </c>
      <c r="AU1028" s="20">
        <v>-4.56</v>
      </c>
      <c r="AV1028" s="20">
        <v>-20.46</v>
      </c>
      <c r="BE1028" s="43">
        <v>1026.0</v>
      </c>
      <c r="BF1028" s="20" t="s">
        <v>14</v>
      </c>
      <c r="BG1028" s="20">
        <v>27.18</v>
      </c>
      <c r="BH1028" s="20">
        <v>1.38</v>
      </c>
      <c r="BM1028" s="20">
        <v>73.34</v>
      </c>
      <c r="BN1028" s="20">
        <v>124.28</v>
      </c>
      <c r="BW1028" s="20">
        <v>-55.22</v>
      </c>
      <c r="BX1028" s="20">
        <v>2.29</v>
      </c>
      <c r="BZ1028" s="20">
        <v>-5.4</v>
      </c>
      <c r="CA1028" s="20">
        <v>76.15</v>
      </c>
      <c r="CO1028" s="20">
        <v>-8.02</v>
      </c>
      <c r="CP1028" s="20">
        <v>-49.96</v>
      </c>
    </row>
    <row r="1029">
      <c r="A1029" s="20">
        <v>-36.82</v>
      </c>
      <c r="B1029" s="20">
        <v>49.68</v>
      </c>
      <c r="D1029" s="20"/>
      <c r="E1029" s="20"/>
      <c r="F1029" s="20">
        <v>42.78</v>
      </c>
      <c r="G1029" s="20">
        <v>-2.4</v>
      </c>
      <c r="I1029" s="20"/>
      <c r="J1029" s="20"/>
      <c r="K1029" s="20">
        <v>514.0</v>
      </c>
      <c r="L1029" s="20" t="s">
        <v>14</v>
      </c>
      <c r="M1029" s="20">
        <v>-16.37</v>
      </c>
      <c r="N1029" s="20">
        <v>-7.65</v>
      </c>
      <c r="P1029" s="20">
        <v>-19.38</v>
      </c>
      <c r="Q1029" s="20">
        <v>11.07</v>
      </c>
      <c r="AG1029" s="43">
        <v>1027.0</v>
      </c>
      <c r="AH1029" s="20" t="s">
        <v>14</v>
      </c>
      <c r="AI1029" s="20">
        <v>-37.58</v>
      </c>
      <c r="AJ1029" s="20">
        <v>-28.59</v>
      </c>
      <c r="AM1029" s="20">
        <v>525.0</v>
      </c>
      <c r="AN1029" s="20" t="s">
        <v>14</v>
      </c>
      <c r="AO1029" s="20">
        <v>-23.47</v>
      </c>
      <c r="AP1029" s="20">
        <v>-41.58</v>
      </c>
      <c r="AS1029" s="20">
        <v>518.0</v>
      </c>
      <c r="AT1029" s="20" t="s">
        <v>14</v>
      </c>
      <c r="AU1029" s="20">
        <v>1.52</v>
      </c>
      <c r="AV1029" s="20">
        <v>-23.74</v>
      </c>
      <c r="BE1029" s="43">
        <v>1027.0</v>
      </c>
      <c r="BF1029" s="20" t="s">
        <v>14</v>
      </c>
      <c r="BG1029" s="20">
        <v>-50.57</v>
      </c>
      <c r="BH1029" s="20">
        <v>11.96</v>
      </c>
      <c r="BM1029" s="20">
        <v>294.88</v>
      </c>
      <c r="BN1029" s="20">
        <v>207.38</v>
      </c>
      <c r="BW1029" s="20">
        <v>-10.63</v>
      </c>
      <c r="BX1029" s="20">
        <v>-54.87</v>
      </c>
      <c r="BZ1029" s="20">
        <v>-7.72</v>
      </c>
      <c r="CA1029" s="20">
        <v>205.91</v>
      </c>
      <c r="CO1029" s="20">
        <v>4.38</v>
      </c>
      <c r="CP1029" s="20">
        <v>-63.53</v>
      </c>
    </row>
    <row r="1030">
      <c r="A1030" s="20">
        <v>-34.83</v>
      </c>
      <c r="B1030" s="20">
        <v>39.63</v>
      </c>
      <c r="D1030" s="20"/>
      <c r="E1030" s="20"/>
      <c r="F1030" s="20">
        <v>39.63</v>
      </c>
      <c r="G1030" s="20">
        <v>-15.99</v>
      </c>
      <c r="I1030" s="20"/>
      <c r="J1030" s="20"/>
      <c r="K1030" s="20">
        <v>514.0</v>
      </c>
      <c r="L1030" s="20" t="s">
        <v>17</v>
      </c>
      <c r="M1030" s="20">
        <v>1.98</v>
      </c>
      <c r="N1030" s="20">
        <v>8.94</v>
      </c>
      <c r="P1030" s="20">
        <v>-16.12</v>
      </c>
      <c r="Q1030" s="20">
        <v>17.58</v>
      </c>
      <c r="AG1030" s="43">
        <v>1028.0</v>
      </c>
      <c r="AH1030" s="20" t="s">
        <v>14</v>
      </c>
      <c r="AI1030" s="20">
        <v>-29.22</v>
      </c>
      <c r="AJ1030" s="20">
        <v>-17.42</v>
      </c>
      <c r="AM1030" s="20">
        <v>525.0</v>
      </c>
      <c r="AN1030" s="20" t="s">
        <v>17</v>
      </c>
      <c r="AO1030" s="20">
        <v>-4.64</v>
      </c>
      <c r="AP1030" s="20">
        <v>-20.03</v>
      </c>
      <c r="AS1030" s="20">
        <v>518.0</v>
      </c>
      <c r="AT1030" s="20" t="s">
        <v>17</v>
      </c>
      <c r="AU1030" s="20">
        <v>-25.39</v>
      </c>
      <c r="AV1030" s="20">
        <v>-43.66</v>
      </c>
      <c r="BE1030" s="43">
        <v>1028.0</v>
      </c>
      <c r="BF1030" s="20" t="s">
        <v>14</v>
      </c>
      <c r="BG1030" s="20">
        <v>23.41</v>
      </c>
      <c r="BH1030" s="20">
        <v>-10.18</v>
      </c>
      <c r="BM1030" s="20">
        <v>196.27</v>
      </c>
      <c r="BN1030" s="20">
        <v>103.68</v>
      </c>
      <c r="BW1030" s="20">
        <v>-53.93</v>
      </c>
      <c r="BX1030" s="20">
        <v>-21.03</v>
      </c>
      <c r="BZ1030" s="20">
        <v>-40.75</v>
      </c>
      <c r="CA1030" s="20">
        <v>68.2</v>
      </c>
      <c r="CO1030" s="20">
        <v>-35.42</v>
      </c>
      <c r="CP1030" s="20">
        <v>-63.7</v>
      </c>
    </row>
    <row r="1031">
      <c r="A1031" s="20">
        <v>-36.66</v>
      </c>
      <c r="B1031" s="20">
        <v>83.34</v>
      </c>
      <c r="D1031" s="20"/>
      <c r="E1031" s="20"/>
      <c r="F1031" s="20">
        <v>-14.78</v>
      </c>
      <c r="G1031" s="20">
        <v>31.38</v>
      </c>
      <c r="I1031" s="20"/>
      <c r="J1031" s="20"/>
      <c r="K1031" s="20">
        <v>515.0</v>
      </c>
      <c r="L1031" s="20" t="s">
        <v>14</v>
      </c>
      <c r="M1031" s="20">
        <v>-42.59</v>
      </c>
      <c r="N1031" s="20">
        <v>19.75</v>
      </c>
      <c r="P1031" s="20">
        <v>15.04</v>
      </c>
      <c r="Q1031" s="20">
        <v>83.24</v>
      </c>
      <c r="AG1031" s="43">
        <v>1029.0</v>
      </c>
      <c r="AH1031" s="20" t="s">
        <v>14</v>
      </c>
      <c r="AI1031" s="20">
        <v>-9.22</v>
      </c>
      <c r="AJ1031" s="20">
        <v>-40.38</v>
      </c>
      <c r="AM1031" s="20">
        <v>526.0</v>
      </c>
      <c r="AN1031" s="20" t="s">
        <v>14</v>
      </c>
      <c r="AO1031" s="20">
        <v>-23.72</v>
      </c>
      <c r="AP1031" s="20">
        <v>-26.58</v>
      </c>
      <c r="AS1031" s="20">
        <v>519.0</v>
      </c>
      <c r="AT1031" s="20" t="s">
        <v>14</v>
      </c>
      <c r="AU1031" s="20">
        <v>22.31</v>
      </c>
      <c r="AV1031" s="20">
        <v>-29.97</v>
      </c>
      <c r="BE1031" s="43">
        <v>1029.0</v>
      </c>
      <c r="BF1031" s="20" t="s">
        <v>14</v>
      </c>
      <c r="BG1031" s="20">
        <v>-25.34</v>
      </c>
      <c r="BH1031" s="20">
        <v>21.49</v>
      </c>
      <c r="BM1031" s="20">
        <v>39.91</v>
      </c>
      <c r="BN1031" s="20">
        <v>84.96</v>
      </c>
      <c r="BW1031" s="20">
        <v>-37.02</v>
      </c>
      <c r="BX1031" s="20">
        <v>-7.63</v>
      </c>
      <c r="BZ1031" s="20">
        <v>-46.17</v>
      </c>
      <c r="CA1031" s="20">
        <v>33.56</v>
      </c>
      <c r="CO1031" s="20">
        <v>-36.38</v>
      </c>
      <c r="CP1031" s="20">
        <v>-59.97</v>
      </c>
    </row>
    <row r="1032">
      <c r="A1032" s="20">
        <v>-47.28</v>
      </c>
      <c r="B1032" s="20">
        <v>46.1</v>
      </c>
      <c r="D1032" s="20"/>
      <c r="E1032" s="20"/>
      <c r="F1032" s="20">
        <v>4.6</v>
      </c>
      <c r="G1032" s="20">
        <v>64.16</v>
      </c>
      <c r="I1032" s="20"/>
      <c r="J1032" s="20"/>
      <c r="K1032" s="20">
        <v>515.0</v>
      </c>
      <c r="L1032" s="20" t="s">
        <v>17</v>
      </c>
      <c r="M1032" s="20">
        <v>-67.12</v>
      </c>
      <c r="N1032" s="20">
        <v>-63.72</v>
      </c>
      <c r="P1032" s="20">
        <v>-41.5</v>
      </c>
      <c r="Q1032" s="20">
        <v>48.66</v>
      </c>
      <c r="AG1032" s="43">
        <v>1030.0</v>
      </c>
      <c r="AH1032" s="20" t="s">
        <v>14</v>
      </c>
      <c r="AI1032" s="20">
        <v>-55.44</v>
      </c>
      <c r="AJ1032" s="20">
        <v>-60.26</v>
      </c>
      <c r="AM1032" s="20">
        <v>526.0</v>
      </c>
      <c r="AN1032" s="20" t="s">
        <v>17</v>
      </c>
      <c r="AO1032" s="20">
        <v>-27.42</v>
      </c>
      <c r="AP1032" s="20">
        <v>-33.64</v>
      </c>
      <c r="AS1032" s="20">
        <v>519.0</v>
      </c>
      <c r="AT1032" s="20" t="s">
        <v>17</v>
      </c>
      <c r="AU1032" s="20">
        <v>-16.79</v>
      </c>
      <c r="AV1032" s="20">
        <v>-33.44</v>
      </c>
      <c r="BE1032" s="43">
        <v>1030.0</v>
      </c>
      <c r="BF1032" s="20" t="s">
        <v>14</v>
      </c>
      <c r="BG1032" s="20">
        <v>-18.4</v>
      </c>
      <c r="BH1032" s="20">
        <v>-5.86</v>
      </c>
      <c r="BM1032" s="20">
        <v>35.4</v>
      </c>
      <c r="BN1032" s="20">
        <v>157.02</v>
      </c>
      <c r="BW1032" s="20">
        <v>-20.5</v>
      </c>
      <c r="BX1032" s="20">
        <v>-17.84</v>
      </c>
      <c r="BZ1032" s="20">
        <v>-44.75</v>
      </c>
      <c r="CA1032" s="20">
        <v>69.63</v>
      </c>
      <c r="CO1032" s="20">
        <v>31.62</v>
      </c>
      <c r="CP1032" s="20">
        <v>-41.41</v>
      </c>
    </row>
    <row r="1033">
      <c r="A1033" s="20">
        <v>12.05</v>
      </c>
      <c r="B1033" s="20">
        <v>-16.9</v>
      </c>
      <c r="D1033" s="20"/>
      <c r="E1033" s="20"/>
      <c r="F1033" s="20">
        <v>-28.57</v>
      </c>
      <c r="G1033" s="20">
        <v>-5.83</v>
      </c>
      <c r="I1033" s="20"/>
      <c r="J1033" s="20"/>
      <c r="K1033" s="20">
        <v>516.0</v>
      </c>
      <c r="L1033" s="20" t="s">
        <v>14</v>
      </c>
      <c r="M1033" s="20">
        <v>-12.16</v>
      </c>
      <c r="N1033" s="20">
        <v>10.63</v>
      </c>
      <c r="P1033" s="20">
        <v>2.7</v>
      </c>
      <c r="Q1033" s="20">
        <v>16.17</v>
      </c>
      <c r="AG1033" s="43">
        <v>1031.0</v>
      </c>
      <c r="AH1033" s="20" t="s">
        <v>14</v>
      </c>
      <c r="AI1033" s="20">
        <v>-18.43</v>
      </c>
      <c r="AJ1033" s="20">
        <v>-13.44</v>
      </c>
      <c r="AM1033" s="20">
        <v>527.0</v>
      </c>
      <c r="AN1033" s="20" t="s">
        <v>14</v>
      </c>
      <c r="AO1033" s="20">
        <v>35.1</v>
      </c>
      <c r="AP1033" s="20">
        <v>-1.87</v>
      </c>
      <c r="AS1033" s="20">
        <v>520.0</v>
      </c>
      <c r="AT1033" s="20" t="s">
        <v>14</v>
      </c>
      <c r="AU1033" s="20">
        <v>-15.53</v>
      </c>
      <c r="AV1033" s="20">
        <v>-21.08</v>
      </c>
      <c r="BE1033" s="43">
        <v>1031.0</v>
      </c>
      <c r="BF1033" s="20" t="s">
        <v>14</v>
      </c>
      <c r="BG1033" s="20">
        <v>33.77</v>
      </c>
      <c r="BH1033" s="20">
        <v>2.89</v>
      </c>
      <c r="BM1033" s="20">
        <v>116.02</v>
      </c>
      <c r="BN1033" s="20">
        <v>121.77</v>
      </c>
      <c r="BW1033" s="20">
        <v>-54.79</v>
      </c>
      <c r="BX1033" s="20">
        <v>-38.68</v>
      </c>
      <c r="BZ1033" s="20">
        <v>-31.78</v>
      </c>
      <c r="CA1033" s="20">
        <v>88.09</v>
      </c>
      <c r="CO1033" s="20">
        <v>-10.39</v>
      </c>
      <c r="CP1033" s="20">
        <v>-58.54</v>
      </c>
    </row>
    <row r="1034">
      <c r="A1034" s="20">
        <v>-17.37</v>
      </c>
      <c r="B1034" s="20">
        <v>11.21</v>
      </c>
      <c r="D1034" s="20"/>
      <c r="E1034" s="20"/>
      <c r="F1034" s="20">
        <v>-19.8</v>
      </c>
      <c r="G1034" s="20">
        <v>-23.02</v>
      </c>
      <c r="I1034" s="20"/>
      <c r="J1034" s="20"/>
      <c r="K1034" s="20">
        <v>516.0</v>
      </c>
      <c r="L1034" s="20" t="s">
        <v>17</v>
      </c>
      <c r="M1034" s="20">
        <v>-14.19</v>
      </c>
      <c r="N1034" s="20">
        <v>29.49</v>
      </c>
      <c r="P1034" s="20">
        <v>44.56</v>
      </c>
      <c r="Q1034" s="20">
        <v>78.52</v>
      </c>
      <c r="AG1034" s="43">
        <v>1032.0</v>
      </c>
      <c r="AH1034" s="20" t="s">
        <v>14</v>
      </c>
      <c r="AI1034" s="20">
        <v>11.55</v>
      </c>
      <c r="AJ1034" s="20">
        <v>-7.96</v>
      </c>
      <c r="AM1034" s="20">
        <v>527.0</v>
      </c>
      <c r="AN1034" s="20" t="s">
        <v>17</v>
      </c>
      <c r="AO1034" s="20">
        <v>44.41</v>
      </c>
      <c r="AP1034" s="20">
        <v>-18.62</v>
      </c>
      <c r="AS1034" s="20">
        <v>520.0</v>
      </c>
      <c r="AT1034" s="20" t="s">
        <v>17</v>
      </c>
      <c r="AU1034" s="20">
        <v>-1.53</v>
      </c>
      <c r="AV1034" s="20">
        <v>-68.69</v>
      </c>
      <c r="BE1034" s="43">
        <v>1032.0</v>
      </c>
      <c r="BF1034" s="20" t="s">
        <v>14</v>
      </c>
      <c r="BG1034" s="20">
        <v>10.17</v>
      </c>
      <c r="BH1034" s="20">
        <v>5.01</v>
      </c>
      <c r="BM1034" s="20">
        <v>113.15</v>
      </c>
      <c r="BN1034" s="20">
        <v>199.37</v>
      </c>
      <c r="BW1034" s="20">
        <v>-64.58</v>
      </c>
      <c r="BX1034" s="20">
        <v>-40.89</v>
      </c>
      <c r="BZ1034" s="20">
        <v>-51.64</v>
      </c>
      <c r="CA1034" s="20">
        <v>92.18</v>
      </c>
      <c r="CO1034" s="20">
        <v>-27.35</v>
      </c>
      <c r="CP1034" s="20">
        <v>-64.74</v>
      </c>
    </row>
    <row r="1035">
      <c r="A1035" s="20">
        <v>-27.84</v>
      </c>
      <c r="B1035" s="20">
        <v>30.55</v>
      </c>
      <c r="D1035" s="20"/>
      <c r="E1035" s="20"/>
      <c r="F1035" s="20">
        <v>-37.09</v>
      </c>
      <c r="G1035" s="20">
        <v>50.24</v>
      </c>
      <c r="I1035" s="20"/>
      <c r="J1035" s="20"/>
      <c r="K1035" s="20">
        <v>517.0</v>
      </c>
      <c r="L1035" s="20" t="s">
        <v>14</v>
      </c>
      <c r="M1035" s="20">
        <v>-24.77</v>
      </c>
      <c r="N1035" s="20">
        <v>-3.81</v>
      </c>
      <c r="P1035" s="20">
        <v>32.35</v>
      </c>
      <c r="Q1035" s="20">
        <v>22.81</v>
      </c>
      <c r="AG1035" s="43">
        <v>1033.0</v>
      </c>
      <c r="AH1035" s="20" t="s">
        <v>14</v>
      </c>
      <c r="AI1035" s="20">
        <v>-54.64</v>
      </c>
      <c r="AJ1035" s="20">
        <v>-38.73</v>
      </c>
      <c r="AM1035" s="20">
        <v>528.0</v>
      </c>
      <c r="AN1035" s="20" t="s">
        <v>14</v>
      </c>
      <c r="AO1035" s="20">
        <v>-29.43</v>
      </c>
      <c r="AP1035" s="20">
        <v>-38.71</v>
      </c>
      <c r="AS1035" s="20">
        <v>521.0</v>
      </c>
      <c r="AT1035" s="20" t="s">
        <v>14</v>
      </c>
      <c r="AU1035" s="20">
        <v>-13.04</v>
      </c>
      <c r="AV1035" s="20">
        <v>-30.29</v>
      </c>
      <c r="BE1035" s="43">
        <v>1033.0</v>
      </c>
      <c r="BF1035" s="20" t="s">
        <v>14</v>
      </c>
      <c r="BG1035" s="20">
        <v>-13.51</v>
      </c>
      <c r="BH1035" s="20">
        <v>-5.21</v>
      </c>
      <c r="BM1035" s="20">
        <v>77.44</v>
      </c>
      <c r="BN1035" s="20">
        <v>126.04</v>
      </c>
      <c r="BW1035" s="20">
        <v>66.75</v>
      </c>
      <c r="BX1035" s="20">
        <v>12.57</v>
      </c>
      <c r="BZ1035" s="20">
        <v>-42.04</v>
      </c>
      <c r="CA1035" s="20">
        <v>101.41</v>
      </c>
      <c r="CO1035" s="20">
        <v>-2.62</v>
      </c>
      <c r="CP1035" s="20">
        <v>-59.02</v>
      </c>
    </row>
    <row r="1036">
      <c r="A1036" s="20">
        <v>-4.52</v>
      </c>
      <c r="B1036" s="20">
        <v>79.91</v>
      </c>
      <c r="D1036" s="20"/>
      <c r="E1036" s="20"/>
      <c r="F1036" s="20">
        <v>-41.83</v>
      </c>
      <c r="G1036" s="20">
        <v>30.17</v>
      </c>
      <c r="I1036" s="20"/>
      <c r="J1036" s="20"/>
      <c r="K1036" s="20">
        <v>517.0</v>
      </c>
      <c r="L1036" s="20" t="s">
        <v>17</v>
      </c>
      <c r="M1036" s="20">
        <v>-0.95</v>
      </c>
      <c r="N1036" s="20">
        <v>-30.88</v>
      </c>
      <c r="P1036" s="20">
        <v>36.87</v>
      </c>
      <c r="Q1036" s="20">
        <v>47.98</v>
      </c>
      <c r="AG1036" s="43">
        <v>1034.0</v>
      </c>
      <c r="AH1036" s="20" t="s">
        <v>14</v>
      </c>
      <c r="AI1036" s="20">
        <v>-30.6</v>
      </c>
      <c r="AJ1036" s="20">
        <v>-22.19</v>
      </c>
      <c r="AM1036" s="20">
        <v>528.0</v>
      </c>
      <c r="AN1036" s="20" t="s">
        <v>17</v>
      </c>
      <c r="AO1036" s="20">
        <v>-26.66</v>
      </c>
      <c r="AP1036" s="20">
        <v>-49.05</v>
      </c>
      <c r="AS1036" s="20">
        <v>521.0</v>
      </c>
      <c r="AT1036" s="20" t="s">
        <v>17</v>
      </c>
      <c r="AU1036" s="20">
        <v>-17.45</v>
      </c>
      <c r="AV1036" s="20">
        <v>-19.41</v>
      </c>
      <c r="BE1036" s="43">
        <v>1034.0</v>
      </c>
      <c r="BF1036" s="20" t="s">
        <v>14</v>
      </c>
      <c r="BG1036" s="20">
        <v>-19.15</v>
      </c>
      <c r="BH1036" s="20">
        <v>-43.68</v>
      </c>
      <c r="BM1036" s="20">
        <v>34.83</v>
      </c>
      <c r="BN1036" s="20">
        <v>86.09</v>
      </c>
      <c r="BW1036" s="20">
        <v>-64.01</v>
      </c>
      <c r="BX1036" s="20">
        <v>38.39</v>
      </c>
      <c r="BZ1036" s="20">
        <v>-73.81</v>
      </c>
      <c r="CA1036" s="20">
        <v>-29.41</v>
      </c>
      <c r="CO1036" s="20">
        <v>-11.44</v>
      </c>
      <c r="CP1036" s="20">
        <v>-65.8</v>
      </c>
    </row>
    <row r="1037">
      <c r="A1037" s="20">
        <v>-29.16</v>
      </c>
      <c r="B1037" s="20">
        <v>86.28</v>
      </c>
      <c r="D1037" s="20"/>
      <c r="E1037" s="20"/>
      <c r="F1037" s="20">
        <v>-38.93</v>
      </c>
      <c r="G1037" s="20">
        <v>15.65</v>
      </c>
      <c r="I1037" s="20"/>
      <c r="J1037" s="20"/>
      <c r="K1037" s="20">
        <v>518.0</v>
      </c>
      <c r="L1037" s="20" t="s">
        <v>14</v>
      </c>
      <c r="M1037" s="20">
        <v>-6.29</v>
      </c>
      <c r="N1037" s="20">
        <v>-0.53</v>
      </c>
      <c r="P1037" s="20">
        <v>-0.64</v>
      </c>
      <c r="Q1037" s="20">
        <v>38.36</v>
      </c>
      <c r="AG1037" s="43">
        <v>1035.0</v>
      </c>
      <c r="AH1037" s="20" t="s">
        <v>14</v>
      </c>
      <c r="AI1037" s="20">
        <v>-10.91</v>
      </c>
      <c r="AJ1037" s="20">
        <v>18.32</v>
      </c>
      <c r="AM1037" s="20">
        <v>529.0</v>
      </c>
      <c r="AN1037" s="20" t="s">
        <v>14</v>
      </c>
      <c r="AO1037" s="20">
        <v>-18.27</v>
      </c>
      <c r="AP1037" s="20">
        <v>8.78</v>
      </c>
      <c r="AS1037" s="20">
        <v>522.0</v>
      </c>
      <c r="AT1037" s="20" t="s">
        <v>14</v>
      </c>
      <c r="AU1037" s="20">
        <v>9.23</v>
      </c>
      <c r="AV1037" s="20">
        <v>-17.09</v>
      </c>
      <c r="BE1037" s="43">
        <v>1035.0</v>
      </c>
      <c r="BF1037" s="20" t="s">
        <v>14</v>
      </c>
      <c r="BG1037" s="20">
        <v>-12.23</v>
      </c>
      <c r="BH1037" s="20">
        <v>-0.63</v>
      </c>
      <c r="BM1037" s="20">
        <v>131.28</v>
      </c>
      <c r="BN1037" s="20">
        <v>143.72</v>
      </c>
      <c r="BW1037" s="20">
        <v>-31.67</v>
      </c>
      <c r="BX1037" s="20">
        <v>5.55</v>
      </c>
      <c r="BZ1037" s="20">
        <v>-48.93</v>
      </c>
      <c r="CA1037" s="20">
        <v>31.52</v>
      </c>
      <c r="CO1037" s="20">
        <v>50.95</v>
      </c>
      <c r="CP1037" s="20">
        <v>-54.32</v>
      </c>
    </row>
    <row r="1038">
      <c r="A1038" s="20">
        <v>-27.98</v>
      </c>
      <c r="B1038" s="20">
        <v>58.75</v>
      </c>
      <c r="D1038" s="20"/>
      <c r="E1038" s="20"/>
      <c r="F1038" s="20">
        <v>-13.78</v>
      </c>
      <c r="G1038" s="20">
        <v>21.47</v>
      </c>
      <c r="I1038" s="20"/>
      <c r="J1038" s="20"/>
      <c r="K1038" s="20">
        <v>518.0</v>
      </c>
      <c r="L1038" s="20" t="s">
        <v>17</v>
      </c>
      <c r="M1038" s="20">
        <v>5.19</v>
      </c>
      <c r="N1038" s="20">
        <v>16.02</v>
      </c>
      <c r="P1038" s="20">
        <v>5.89</v>
      </c>
      <c r="Q1038" s="20">
        <v>23.86</v>
      </c>
      <c r="AG1038" s="43">
        <v>1036.0</v>
      </c>
      <c r="AH1038" s="20" t="s">
        <v>14</v>
      </c>
      <c r="AI1038" s="20">
        <v>-49.5</v>
      </c>
      <c r="AJ1038" s="20">
        <v>-44.55</v>
      </c>
      <c r="AM1038" s="20">
        <v>529.0</v>
      </c>
      <c r="AN1038" s="20" t="s">
        <v>17</v>
      </c>
      <c r="AO1038" s="20">
        <v>0.9</v>
      </c>
      <c r="AP1038" s="20">
        <v>4.24</v>
      </c>
      <c r="AS1038" s="20">
        <v>522.0</v>
      </c>
      <c r="AT1038" s="20" t="s">
        <v>17</v>
      </c>
      <c r="AU1038" s="20">
        <v>-17.72</v>
      </c>
      <c r="AV1038" s="20">
        <v>2.64</v>
      </c>
      <c r="BE1038" s="43">
        <v>1036.0</v>
      </c>
      <c r="BF1038" s="20" t="s">
        <v>14</v>
      </c>
      <c r="BG1038" s="20">
        <v>15.38</v>
      </c>
      <c r="BH1038" s="20">
        <v>17.11</v>
      </c>
      <c r="BM1038" s="20">
        <v>49.57</v>
      </c>
      <c r="BN1038" s="20">
        <v>151.39</v>
      </c>
      <c r="BW1038" s="20">
        <v>24.18</v>
      </c>
      <c r="BX1038" s="20">
        <v>-67.35</v>
      </c>
      <c r="BZ1038" s="20">
        <v>-68.83</v>
      </c>
      <c r="CA1038" s="20">
        <v>63.59</v>
      </c>
      <c r="CO1038" s="20">
        <v>26.15</v>
      </c>
      <c r="CP1038" s="20">
        <v>-18.89</v>
      </c>
    </row>
    <row r="1039">
      <c r="A1039" s="20">
        <v>27.18</v>
      </c>
      <c r="B1039" s="20">
        <v>40.53</v>
      </c>
      <c r="D1039" s="20"/>
      <c r="E1039" s="20"/>
      <c r="F1039" s="20">
        <v>-52.07</v>
      </c>
      <c r="G1039" s="20">
        <v>-26.67</v>
      </c>
      <c r="I1039" s="20"/>
      <c r="J1039" s="20"/>
      <c r="K1039" s="20">
        <v>519.0</v>
      </c>
      <c r="L1039" s="20" t="s">
        <v>14</v>
      </c>
      <c r="M1039" s="20">
        <v>-24.12</v>
      </c>
      <c r="N1039" s="20">
        <v>21.11</v>
      </c>
      <c r="P1039" s="20">
        <v>36.02</v>
      </c>
      <c r="Q1039" s="20">
        <v>25.62</v>
      </c>
      <c r="AG1039" s="43">
        <v>1037.0</v>
      </c>
      <c r="AH1039" s="20" t="s">
        <v>14</v>
      </c>
      <c r="AI1039" s="20">
        <v>-31.52</v>
      </c>
      <c r="AJ1039" s="20">
        <v>-21.02</v>
      </c>
      <c r="AM1039" s="20">
        <v>530.0</v>
      </c>
      <c r="AN1039" s="20" t="s">
        <v>14</v>
      </c>
      <c r="AO1039" s="20">
        <v>-26.23</v>
      </c>
      <c r="AP1039" s="20">
        <v>31.58</v>
      </c>
      <c r="AS1039" s="20">
        <v>523.0</v>
      </c>
      <c r="AT1039" s="20" t="s">
        <v>14</v>
      </c>
      <c r="AU1039" s="20">
        <v>-18.83</v>
      </c>
      <c r="AV1039" s="20">
        <v>-27.97</v>
      </c>
      <c r="BE1039" s="43">
        <v>1037.0</v>
      </c>
      <c r="BF1039" s="20" t="s">
        <v>14</v>
      </c>
      <c r="BG1039" s="20">
        <v>-26.57</v>
      </c>
      <c r="BH1039" s="20">
        <v>-0.22</v>
      </c>
      <c r="BM1039" s="20">
        <v>72.77</v>
      </c>
      <c r="BN1039" s="20">
        <v>57.53</v>
      </c>
      <c r="BW1039" s="20">
        <v>-52.0</v>
      </c>
      <c r="BX1039" s="20">
        <v>49.43</v>
      </c>
      <c r="BZ1039" s="20">
        <v>-47.24</v>
      </c>
      <c r="CA1039" s="20">
        <v>52.91</v>
      </c>
      <c r="CO1039" s="20">
        <v>-26.81</v>
      </c>
      <c r="CP1039" s="20">
        <v>-55.38</v>
      </c>
    </row>
    <row r="1040">
      <c r="A1040" s="20">
        <v>-25.12</v>
      </c>
      <c r="B1040" s="20">
        <v>82.96</v>
      </c>
      <c r="D1040" s="20"/>
      <c r="E1040" s="20"/>
      <c r="F1040" s="20">
        <v>-26.45</v>
      </c>
      <c r="G1040" s="20">
        <v>11.78</v>
      </c>
      <c r="I1040" s="20"/>
      <c r="J1040" s="20"/>
      <c r="K1040" s="20">
        <v>519.0</v>
      </c>
      <c r="L1040" s="20" t="s">
        <v>17</v>
      </c>
      <c r="M1040" s="20">
        <v>-16.87</v>
      </c>
      <c r="N1040" s="20">
        <v>-25.18</v>
      </c>
      <c r="P1040" s="20">
        <v>-2.47</v>
      </c>
      <c r="Q1040" s="20">
        <v>31.82</v>
      </c>
      <c r="AG1040" s="43">
        <v>1038.0</v>
      </c>
      <c r="AH1040" s="20" t="s">
        <v>14</v>
      </c>
      <c r="AI1040" s="20">
        <v>-28.68</v>
      </c>
      <c r="AJ1040" s="20">
        <v>-31.15</v>
      </c>
      <c r="AM1040" s="20">
        <v>530.0</v>
      </c>
      <c r="AN1040" s="20" t="s">
        <v>17</v>
      </c>
      <c r="AO1040" s="20">
        <v>-15.28</v>
      </c>
      <c r="AP1040" s="20">
        <v>2.92</v>
      </c>
      <c r="AS1040" s="20">
        <v>523.0</v>
      </c>
      <c r="AT1040" s="20" t="s">
        <v>17</v>
      </c>
      <c r="AU1040" s="20">
        <v>-17.28</v>
      </c>
      <c r="AV1040" s="20">
        <v>-52.51</v>
      </c>
      <c r="BE1040" s="43">
        <v>1038.0</v>
      </c>
      <c r="BF1040" s="20" t="s">
        <v>14</v>
      </c>
      <c r="BG1040" s="20">
        <v>5.04</v>
      </c>
      <c r="BH1040" s="20">
        <v>37.11</v>
      </c>
      <c r="BM1040" s="20">
        <v>-22.19</v>
      </c>
      <c r="BN1040" s="20">
        <v>26.89</v>
      </c>
      <c r="BW1040" s="20">
        <v>-25.31</v>
      </c>
      <c r="BX1040" s="20">
        <v>-54.35</v>
      </c>
      <c r="BZ1040" s="20">
        <v>-1.6</v>
      </c>
      <c r="CA1040" s="20">
        <v>64.32</v>
      </c>
      <c r="CO1040" s="20">
        <v>33.23</v>
      </c>
      <c r="CP1040" s="20">
        <v>-58.54</v>
      </c>
    </row>
    <row r="1041">
      <c r="A1041" s="20">
        <v>-45.6</v>
      </c>
      <c r="B1041" s="20">
        <v>-9.63</v>
      </c>
      <c r="D1041" s="20"/>
      <c r="E1041" s="20"/>
      <c r="F1041" s="20">
        <v>-7.31</v>
      </c>
      <c r="G1041" s="20">
        <v>12.86</v>
      </c>
      <c r="I1041" s="20"/>
      <c r="J1041" s="20"/>
      <c r="K1041" s="20">
        <v>520.0</v>
      </c>
      <c r="L1041" s="20" t="s">
        <v>14</v>
      </c>
      <c r="M1041" s="20">
        <v>-24.04</v>
      </c>
      <c r="N1041" s="20">
        <v>14.05</v>
      </c>
      <c r="P1041" s="20">
        <v>-16.11</v>
      </c>
      <c r="Q1041" s="20">
        <v>19.17</v>
      </c>
      <c r="AG1041" s="43">
        <v>1039.0</v>
      </c>
      <c r="AH1041" s="20" t="s">
        <v>14</v>
      </c>
      <c r="AI1041" s="20">
        <v>-69.49</v>
      </c>
      <c r="AJ1041" s="20">
        <v>-69.31</v>
      </c>
      <c r="AM1041" s="20">
        <v>531.0</v>
      </c>
      <c r="AN1041" s="20" t="s">
        <v>14</v>
      </c>
      <c r="AO1041" s="20">
        <v>9.01</v>
      </c>
      <c r="AP1041" s="20">
        <v>31.95</v>
      </c>
      <c r="AS1041" s="20">
        <v>524.0</v>
      </c>
      <c r="AT1041" s="20" t="s">
        <v>14</v>
      </c>
      <c r="AU1041" s="20">
        <v>-11.92</v>
      </c>
      <c r="AV1041" s="20">
        <v>-42.5</v>
      </c>
      <c r="BE1041" s="43">
        <v>1039.0</v>
      </c>
      <c r="BF1041" s="20" t="s">
        <v>14</v>
      </c>
      <c r="BG1041" s="20">
        <v>3.54</v>
      </c>
      <c r="BH1041" s="20">
        <v>21.35</v>
      </c>
      <c r="BM1041" s="20">
        <v>140.91</v>
      </c>
      <c r="BN1041" s="20">
        <v>143.54</v>
      </c>
      <c r="BW1041" s="20">
        <v>-56.02</v>
      </c>
      <c r="BX1041" s="20">
        <v>-5.04</v>
      </c>
      <c r="BZ1041" s="20">
        <v>-41.71</v>
      </c>
      <c r="CA1041" s="20">
        <v>31.09</v>
      </c>
      <c r="CO1041" s="20">
        <v>2.87</v>
      </c>
      <c r="CP1041" s="20">
        <v>-48.77</v>
      </c>
    </row>
    <row r="1042">
      <c r="A1042" s="20">
        <v>7.24</v>
      </c>
      <c r="B1042" s="20">
        <v>18.72</v>
      </c>
      <c r="D1042" s="20"/>
      <c r="E1042" s="20"/>
      <c r="F1042" s="20">
        <v>-35.54</v>
      </c>
      <c r="G1042" s="20">
        <v>21.43</v>
      </c>
      <c r="I1042" s="20"/>
      <c r="J1042" s="20"/>
      <c r="K1042" s="20">
        <v>520.0</v>
      </c>
      <c r="L1042" s="20" t="s">
        <v>17</v>
      </c>
      <c r="M1042" s="20">
        <v>15.96</v>
      </c>
      <c r="N1042" s="20">
        <v>61.29</v>
      </c>
      <c r="P1042" s="20">
        <v>-6.26</v>
      </c>
      <c r="Q1042" s="20">
        <v>74.95</v>
      </c>
      <c r="AG1042" s="43">
        <v>1040.0</v>
      </c>
      <c r="AH1042" s="20" t="s">
        <v>14</v>
      </c>
      <c r="AI1042" s="20">
        <v>-36.63</v>
      </c>
      <c r="AJ1042" s="20">
        <v>-17.26</v>
      </c>
      <c r="AM1042" s="20">
        <v>531.0</v>
      </c>
      <c r="AN1042" s="20" t="s">
        <v>17</v>
      </c>
      <c r="AO1042" s="20">
        <v>-42.0</v>
      </c>
      <c r="AP1042" s="20">
        <v>-18.51</v>
      </c>
      <c r="AS1042" s="20">
        <v>524.0</v>
      </c>
      <c r="AT1042" s="20" t="s">
        <v>17</v>
      </c>
      <c r="AU1042" s="20">
        <v>0.12</v>
      </c>
      <c r="AV1042" s="20">
        <v>-44.89</v>
      </c>
      <c r="BE1042" s="43">
        <v>1040.0</v>
      </c>
      <c r="BF1042" s="20" t="s">
        <v>14</v>
      </c>
      <c r="BG1042" s="20">
        <v>0.35</v>
      </c>
      <c r="BH1042" s="20">
        <v>11.63</v>
      </c>
      <c r="BM1042" s="20">
        <v>111.94</v>
      </c>
      <c r="BN1042" s="20">
        <v>106.41</v>
      </c>
      <c r="BW1042" s="20">
        <v>-29.77</v>
      </c>
      <c r="BX1042" s="20">
        <v>-19.78</v>
      </c>
      <c r="BZ1042" s="20">
        <v>-48.37</v>
      </c>
      <c r="CA1042" s="20">
        <v>6.37</v>
      </c>
      <c r="CO1042" s="20">
        <v>-5.69</v>
      </c>
      <c r="CP1042" s="20">
        <v>-71.76</v>
      </c>
    </row>
    <row r="1043">
      <c r="A1043" s="20">
        <v>-54.11</v>
      </c>
      <c r="B1043" s="20">
        <v>-30.52</v>
      </c>
      <c r="D1043" s="20"/>
      <c r="E1043" s="20"/>
      <c r="F1043" s="20">
        <v>-17.21</v>
      </c>
      <c r="G1043" s="20">
        <v>11.91</v>
      </c>
      <c r="I1043" s="20"/>
      <c r="J1043" s="20"/>
      <c r="K1043" s="20">
        <v>521.0</v>
      </c>
      <c r="L1043" s="20" t="s">
        <v>14</v>
      </c>
      <c r="M1043" s="20">
        <v>5.6</v>
      </c>
      <c r="N1043" s="20">
        <v>22.53</v>
      </c>
      <c r="P1043" s="20">
        <v>-3.19</v>
      </c>
      <c r="Q1043" s="20">
        <v>29.27</v>
      </c>
      <c r="AG1043" s="43">
        <v>1041.0</v>
      </c>
      <c r="AH1043" s="20" t="s">
        <v>14</v>
      </c>
      <c r="AI1043" s="20">
        <v>5.63</v>
      </c>
      <c r="AJ1043" s="20">
        <v>23.54</v>
      </c>
      <c r="AM1043" s="20">
        <v>532.0</v>
      </c>
      <c r="AN1043" s="20" t="s">
        <v>14</v>
      </c>
      <c r="AO1043" s="20">
        <v>-16.3</v>
      </c>
      <c r="AP1043" s="20">
        <v>95.82</v>
      </c>
      <c r="AS1043" s="20">
        <v>525.0</v>
      </c>
      <c r="AT1043" s="20" t="s">
        <v>14</v>
      </c>
      <c r="AU1043" s="20">
        <v>-6.01</v>
      </c>
      <c r="AV1043" s="20">
        <v>-23.53</v>
      </c>
      <c r="BE1043" s="43">
        <v>1041.0</v>
      </c>
      <c r="BF1043" s="20" t="s">
        <v>14</v>
      </c>
      <c r="BG1043" s="20">
        <v>11.98</v>
      </c>
      <c r="BH1043" s="20">
        <v>33.22</v>
      </c>
      <c r="BM1043" s="20">
        <v>63.7</v>
      </c>
      <c r="BN1043" s="20">
        <v>69.69</v>
      </c>
      <c r="BW1043" s="20">
        <v>-34.36</v>
      </c>
      <c r="BX1043" s="20">
        <v>-7.55</v>
      </c>
      <c r="BZ1043" s="20">
        <v>-38.77</v>
      </c>
      <c r="CA1043" s="20">
        <v>34.64</v>
      </c>
      <c r="CO1043" s="20">
        <v>63.48</v>
      </c>
      <c r="CP1043" s="20">
        <v>-36.18</v>
      </c>
    </row>
    <row r="1044">
      <c r="A1044" s="20">
        <v>59.27</v>
      </c>
      <c r="B1044" s="20">
        <v>92.42</v>
      </c>
      <c r="D1044" s="20"/>
      <c r="E1044" s="20"/>
      <c r="F1044" s="20">
        <v>-2.17</v>
      </c>
      <c r="G1044" s="20">
        <v>29.74</v>
      </c>
      <c r="I1044" s="20"/>
      <c r="J1044" s="20"/>
      <c r="K1044" s="20">
        <v>521.0</v>
      </c>
      <c r="L1044" s="20" t="s">
        <v>17</v>
      </c>
      <c r="M1044" s="20">
        <v>-16.59</v>
      </c>
      <c r="N1044" s="20">
        <v>-0.5</v>
      </c>
      <c r="P1044" s="20">
        <v>3.53</v>
      </c>
      <c r="Q1044" s="20">
        <v>25.46</v>
      </c>
      <c r="AG1044" s="43">
        <v>1042.0</v>
      </c>
      <c r="AH1044" s="20" t="s">
        <v>14</v>
      </c>
      <c r="AI1044" s="20">
        <v>-59.73</v>
      </c>
      <c r="AJ1044" s="20">
        <v>-54.27</v>
      </c>
      <c r="AM1044" s="20">
        <v>532.0</v>
      </c>
      <c r="AN1044" s="20" t="s">
        <v>17</v>
      </c>
      <c r="AO1044" s="20">
        <v>-13.69</v>
      </c>
      <c r="AP1044" s="20">
        <v>-24.77</v>
      </c>
      <c r="AS1044" s="20">
        <v>525.0</v>
      </c>
      <c r="AT1044" s="20" t="s">
        <v>17</v>
      </c>
      <c r="AU1044" s="20">
        <v>-10.1</v>
      </c>
      <c r="AV1044" s="20">
        <v>-33.69</v>
      </c>
      <c r="BE1044" s="43">
        <v>1042.0</v>
      </c>
      <c r="BF1044" s="20" t="s">
        <v>14</v>
      </c>
      <c r="BG1044" s="20">
        <v>-0.26</v>
      </c>
      <c r="BH1044" s="20">
        <v>-15.43</v>
      </c>
      <c r="BM1044" s="20">
        <v>64.45</v>
      </c>
      <c r="BN1044" s="20">
        <v>119.38</v>
      </c>
      <c r="BW1044" s="20">
        <v>-41.01</v>
      </c>
      <c r="BX1044" s="20">
        <v>-16.65</v>
      </c>
      <c r="BZ1044" s="20">
        <v>-39.21</v>
      </c>
      <c r="CA1044" s="20">
        <v>14.37</v>
      </c>
      <c r="CO1044" s="20">
        <v>-6.72</v>
      </c>
      <c r="CP1044" s="20">
        <v>-63.19</v>
      </c>
    </row>
    <row r="1045">
      <c r="A1045" s="20">
        <v>162.91</v>
      </c>
      <c r="B1045" s="20">
        <v>-27.93</v>
      </c>
      <c r="D1045" s="20"/>
      <c r="E1045" s="20"/>
      <c r="F1045" s="20">
        <v>-37.34</v>
      </c>
      <c r="G1045" s="20">
        <v>-0.72</v>
      </c>
      <c r="I1045" s="20"/>
      <c r="J1045" s="20"/>
      <c r="K1045" s="20">
        <v>522.0</v>
      </c>
      <c r="L1045" s="20" t="s">
        <v>14</v>
      </c>
      <c r="M1045" s="20">
        <v>33.57</v>
      </c>
      <c r="N1045" s="20">
        <v>29.42</v>
      </c>
      <c r="P1045" s="20">
        <v>3.1</v>
      </c>
      <c r="Q1045" s="20">
        <v>39.48</v>
      </c>
      <c r="AG1045" s="43">
        <v>1043.0</v>
      </c>
      <c r="AH1045" s="20" t="s">
        <v>14</v>
      </c>
      <c r="AI1045" s="20">
        <v>17.11</v>
      </c>
      <c r="AJ1045" s="20">
        <v>6.71</v>
      </c>
      <c r="AM1045" s="20">
        <v>533.0</v>
      </c>
      <c r="AN1045" s="20" t="s">
        <v>14</v>
      </c>
      <c r="AO1045" s="20">
        <v>-40.39</v>
      </c>
      <c r="AP1045" s="20">
        <v>-6.56</v>
      </c>
      <c r="AS1045" s="20">
        <v>526.0</v>
      </c>
      <c r="AT1045" s="20" t="s">
        <v>14</v>
      </c>
      <c r="AU1045" s="20">
        <v>-27.02</v>
      </c>
      <c r="AV1045" s="20">
        <v>-24.1</v>
      </c>
      <c r="BE1045" s="43">
        <v>1043.0</v>
      </c>
      <c r="BF1045" s="20" t="s">
        <v>14</v>
      </c>
      <c r="BG1045" s="20">
        <v>26.27</v>
      </c>
      <c r="BH1045" s="20">
        <v>49.27</v>
      </c>
      <c r="BM1045" s="20">
        <v>56.53</v>
      </c>
      <c r="BN1045" s="20">
        <v>57.3</v>
      </c>
      <c r="BW1045" s="20">
        <v>-32.9</v>
      </c>
      <c r="BX1045" s="20">
        <v>-36.74</v>
      </c>
      <c r="BZ1045" s="20">
        <v>-43.5</v>
      </c>
      <c r="CA1045" s="20">
        <v>22.67</v>
      </c>
      <c r="CO1045" s="20">
        <v>-21.71</v>
      </c>
      <c r="CP1045" s="20">
        <v>-46.4</v>
      </c>
    </row>
    <row r="1046">
      <c r="A1046" s="20">
        <v>18.95</v>
      </c>
      <c r="B1046" s="20">
        <v>33.33</v>
      </c>
      <c r="D1046" s="20"/>
      <c r="E1046" s="20"/>
      <c r="F1046" s="20">
        <v>-14.94</v>
      </c>
      <c r="G1046" s="20">
        <v>-7.6</v>
      </c>
      <c r="I1046" s="20"/>
      <c r="J1046" s="20"/>
      <c r="K1046" s="20">
        <v>522.0</v>
      </c>
      <c r="L1046" s="20" t="s">
        <v>17</v>
      </c>
      <c r="M1046" s="20">
        <v>6.19</v>
      </c>
      <c r="N1046" s="20">
        <v>60.42</v>
      </c>
      <c r="P1046" s="20">
        <v>-11.05</v>
      </c>
      <c r="Q1046" s="20">
        <v>38.48</v>
      </c>
      <c r="AG1046" s="43">
        <v>1044.0</v>
      </c>
      <c r="AH1046" s="20" t="s">
        <v>14</v>
      </c>
      <c r="AI1046" s="20">
        <v>-15.83</v>
      </c>
      <c r="AJ1046" s="20">
        <v>-35.24</v>
      </c>
      <c r="AM1046" s="20">
        <v>533.0</v>
      </c>
      <c r="AN1046" s="20" t="s">
        <v>17</v>
      </c>
      <c r="AO1046" s="20">
        <v>8.89</v>
      </c>
      <c r="AP1046" s="20">
        <v>-9.99</v>
      </c>
      <c r="AS1046" s="20">
        <v>526.0</v>
      </c>
      <c r="AT1046" s="20" t="s">
        <v>17</v>
      </c>
      <c r="AU1046" s="20">
        <v>-26.79</v>
      </c>
      <c r="AV1046" s="20">
        <v>-48.52</v>
      </c>
      <c r="BE1046" s="43">
        <v>1044.0</v>
      </c>
      <c r="BF1046" s="20" t="s">
        <v>14</v>
      </c>
      <c r="BG1046" s="20">
        <v>-5.85</v>
      </c>
      <c r="BH1046" s="20">
        <v>-19.82</v>
      </c>
      <c r="BM1046" s="20">
        <v>38.07</v>
      </c>
      <c r="BN1046" s="20">
        <v>181.53</v>
      </c>
      <c r="BW1046" s="20">
        <v>19.9</v>
      </c>
      <c r="BX1046" s="20">
        <v>-63.64</v>
      </c>
      <c r="BZ1046" s="20">
        <v>-44.57</v>
      </c>
      <c r="CA1046" s="20">
        <v>77.74</v>
      </c>
      <c r="CO1046" s="20">
        <v>6.92</v>
      </c>
      <c r="CP1046" s="20">
        <v>-34.41</v>
      </c>
    </row>
    <row r="1047">
      <c r="A1047" s="20">
        <v>5.56</v>
      </c>
      <c r="B1047" s="20">
        <v>66.13</v>
      </c>
      <c r="D1047" s="20"/>
      <c r="E1047" s="20"/>
      <c r="F1047" s="20">
        <v>-28.55</v>
      </c>
      <c r="G1047" s="20">
        <v>36.33</v>
      </c>
      <c r="I1047" s="20"/>
      <c r="J1047" s="20"/>
      <c r="K1047" s="20">
        <v>523.0</v>
      </c>
      <c r="L1047" s="20" t="s">
        <v>14</v>
      </c>
      <c r="M1047" s="20">
        <v>-4.38</v>
      </c>
      <c r="N1047" s="20">
        <v>27.56</v>
      </c>
      <c r="P1047" s="20">
        <v>74.89</v>
      </c>
      <c r="Q1047" s="20">
        <v>50.82</v>
      </c>
      <c r="AG1047" s="43">
        <v>1045.0</v>
      </c>
      <c r="AH1047" s="20" t="s">
        <v>14</v>
      </c>
      <c r="AI1047" s="20">
        <v>-1.3</v>
      </c>
      <c r="AJ1047" s="20">
        <v>-2.61</v>
      </c>
      <c r="AM1047" s="20">
        <v>534.0</v>
      </c>
      <c r="AN1047" s="20" t="s">
        <v>14</v>
      </c>
      <c r="AO1047" s="20">
        <v>-20.73</v>
      </c>
      <c r="AP1047" s="20">
        <v>-21.64</v>
      </c>
      <c r="AS1047" s="20">
        <v>527.0</v>
      </c>
      <c r="AT1047" s="20" t="s">
        <v>14</v>
      </c>
      <c r="AU1047" s="20">
        <v>-4.0</v>
      </c>
      <c r="AV1047" s="20">
        <v>-26.39</v>
      </c>
      <c r="BE1047" s="43">
        <v>1045.0</v>
      </c>
      <c r="BF1047" s="20" t="s">
        <v>14</v>
      </c>
      <c r="BG1047" s="20">
        <v>4.51</v>
      </c>
      <c r="BH1047" s="20">
        <v>6.08</v>
      </c>
      <c r="BM1047" s="20">
        <v>31.07</v>
      </c>
      <c r="BN1047" s="20">
        <v>123.99</v>
      </c>
      <c r="BW1047" s="20">
        <v>-20.2</v>
      </c>
      <c r="BX1047" s="20">
        <v>-12.73</v>
      </c>
      <c r="BZ1047" s="20">
        <v>-7.18</v>
      </c>
      <c r="CA1047" s="20">
        <v>14.11</v>
      </c>
      <c r="CO1047" s="20">
        <v>-23.74</v>
      </c>
      <c r="CP1047" s="20">
        <v>-51.68</v>
      </c>
    </row>
    <row r="1048">
      <c r="A1048" s="20">
        <v>10.23</v>
      </c>
      <c r="B1048" s="20">
        <v>70.26</v>
      </c>
      <c r="D1048" s="20"/>
      <c r="E1048" s="20"/>
      <c r="F1048" s="20">
        <v>-29.17</v>
      </c>
      <c r="G1048" s="20">
        <v>20.16</v>
      </c>
      <c r="I1048" s="20"/>
      <c r="J1048" s="20"/>
      <c r="K1048" s="20">
        <v>523.0</v>
      </c>
      <c r="L1048" s="20" t="s">
        <v>17</v>
      </c>
      <c r="M1048" s="20">
        <v>-12.14</v>
      </c>
      <c r="N1048" s="20">
        <v>-1.76</v>
      </c>
      <c r="P1048" s="20">
        <v>-4.4</v>
      </c>
      <c r="Q1048" s="20">
        <v>-19.86</v>
      </c>
      <c r="AG1048" s="43">
        <v>1046.0</v>
      </c>
      <c r="AH1048" s="20" t="s">
        <v>14</v>
      </c>
      <c r="AI1048" s="20">
        <v>-20.99</v>
      </c>
      <c r="AJ1048" s="20">
        <v>9.79</v>
      </c>
      <c r="AM1048" s="20">
        <v>534.0</v>
      </c>
      <c r="AN1048" s="20" t="s">
        <v>17</v>
      </c>
      <c r="AO1048" s="20">
        <v>-7.67</v>
      </c>
      <c r="AP1048" s="20">
        <v>11.1</v>
      </c>
      <c r="AS1048" s="20">
        <v>527.0</v>
      </c>
      <c r="AT1048" s="20" t="s">
        <v>17</v>
      </c>
      <c r="AU1048" s="20">
        <v>-4.57</v>
      </c>
      <c r="AV1048" s="20">
        <v>-26.22</v>
      </c>
      <c r="BE1048" s="43">
        <v>1046.0</v>
      </c>
      <c r="BF1048" s="20" t="s">
        <v>14</v>
      </c>
      <c r="BG1048" s="20">
        <v>37.43</v>
      </c>
      <c r="BH1048" s="20">
        <v>12.98</v>
      </c>
      <c r="BM1048" s="20">
        <v>59.23</v>
      </c>
      <c r="BN1048" s="20">
        <v>262.31</v>
      </c>
      <c r="BW1048" s="20">
        <v>-51.17</v>
      </c>
      <c r="BX1048" s="20">
        <v>-14.01</v>
      </c>
      <c r="BZ1048" s="20">
        <v>-47.68</v>
      </c>
      <c r="CA1048" s="20">
        <v>-18.24</v>
      </c>
      <c r="CO1048" s="20">
        <v>21.24</v>
      </c>
      <c r="CP1048" s="20">
        <v>-55.62</v>
      </c>
    </row>
    <row r="1049">
      <c r="A1049" s="20">
        <v>-24.34</v>
      </c>
      <c r="B1049" s="20">
        <v>78.86</v>
      </c>
      <c r="D1049" s="20"/>
      <c r="E1049" s="20"/>
      <c r="F1049" s="20">
        <v>0.23</v>
      </c>
      <c r="G1049" s="20">
        <v>94.16</v>
      </c>
      <c r="I1049" s="20"/>
      <c r="J1049" s="20"/>
      <c r="K1049" s="20">
        <v>524.0</v>
      </c>
      <c r="L1049" s="20" t="s">
        <v>14</v>
      </c>
      <c r="M1049" s="20">
        <v>-5.48</v>
      </c>
      <c r="N1049" s="20">
        <v>7.0</v>
      </c>
      <c r="P1049" s="20">
        <v>-33.72</v>
      </c>
      <c r="Q1049" s="20">
        <v>-1.23</v>
      </c>
      <c r="AG1049" s="43">
        <v>1047.0</v>
      </c>
      <c r="AH1049" s="20" t="s">
        <v>14</v>
      </c>
      <c r="AI1049" s="20">
        <v>-19.82</v>
      </c>
      <c r="AJ1049" s="20">
        <v>-14.77</v>
      </c>
      <c r="AM1049" s="20">
        <v>535.0</v>
      </c>
      <c r="AN1049" s="20" t="s">
        <v>14</v>
      </c>
      <c r="AO1049" s="20">
        <v>36.23</v>
      </c>
      <c r="AP1049" s="20">
        <v>-23.76</v>
      </c>
      <c r="AS1049" s="20">
        <v>528.0</v>
      </c>
      <c r="AT1049" s="20" t="s">
        <v>14</v>
      </c>
      <c r="AU1049" s="20">
        <v>-4.68</v>
      </c>
      <c r="AV1049" s="20">
        <v>-10.45</v>
      </c>
      <c r="BE1049" s="43">
        <v>1047.0</v>
      </c>
      <c r="BF1049" s="20" t="s">
        <v>14</v>
      </c>
      <c r="BG1049" s="20">
        <v>-6.42</v>
      </c>
      <c r="BH1049" s="20">
        <v>2.21</v>
      </c>
      <c r="BM1049" s="20">
        <v>40.07</v>
      </c>
      <c r="BN1049" s="20">
        <v>166.67</v>
      </c>
      <c r="BW1049" s="20">
        <v>-47.97</v>
      </c>
      <c r="BX1049" s="20">
        <v>-22.57</v>
      </c>
      <c r="BZ1049" s="20">
        <v>-23.98</v>
      </c>
      <c r="CA1049" s="20">
        <v>41.75</v>
      </c>
      <c r="CO1049" s="20">
        <v>-21.56</v>
      </c>
      <c r="CP1049" s="20">
        <v>-58.8</v>
      </c>
    </row>
    <row r="1050">
      <c r="A1050" s="20">
        <v>-8.24</v>
      </c>
      <c r="B1050" s="20">
        <v>84.16</v>
      </c>
      <c r="D1050" s="20"/>
      <c r="E1050" s="20"/>
      <c r="F1050" s="20">
        <v>-23.26</v>
      </c>
      <c r="G1050" s="20">
        <v>-19.98</v>
      </c>
      <c r="I1050" s="20"/>
      <c r="J1050" s="20"/>
      <c r="K1050" s="20">
        <v>524.0</v>
      </c>
      <c r="L1050" s="20" t="s">
        <v>17</v>
      </c>
      <c r="M1050" s="20">
        <v>-17.96</v>
      </c>
      <c r="N1050" s="20">
        <v>27.28</v>
      </c>
      <c r="P1050" s="20">
        <v>-11.72</v>
      </c>
      <c r="Q1050" s="20">
        <v>5.86</v>
      </c>
      <c r="AG1050" s="43">
        <v>1048.0</v>
      </c>
      <c r="AH1050" s="20" t="s">
        <v>14</v>
      </c>
      <c r="AI1050" s="20">
        <v>-48.51</v>
      </c>
      <c r="AJ1050" s="20">
        <v>-59.94</v>
      </c>
      <c r="AM1050" s="20">
        <v>535.0</v>
      </c>
      <c r="AN1050" s="20" t="s">
        <v>17</v>
      </c>
      <c r="AO1050" s="20">
        <v>-11.55</v>
      </c>
      <c r="AP1050" s="20">
        <v>-15.09</v>
      </c>
      <c r="AS1050" s="20">
        <v>528.0</v>
      </c>
      <c r="AT1050" s="20" t="s">
        <v>17</v>
      </c>
      <c r="AU1050" s="20">
        <v>-25.71</v>
      </c>
      <c r="AV1050" s="20">
        <v>-41.48</v>
      </c>
      <c r="BE1050" s="43">
        <v>1048.0</v>
      </c>
      <c r="BF1050" s="20" t="s">
        <v>14</v>
      </c>
      <c r="BG1050" s="20">
        <v>2.65</v>
      </c>
      <c r="BH1050" s="20">
        <v>0.02</v>
      </c>
      <c r="BM1050" s="20">
        <v>117.99</v>
      </c>
      <c r="BN1050" s="20">
        <v>288.42</v>
      </c>
      <c r="BW1050" s="20">
        <v>-41.26</v>
      </c>
      <c r="BX1050" s="20">
        <v>-24.91</v>
      </c>
      <c r="BZ1050" s="20">
        <v>-68.53</v>
      </c>
      <c r="CA1050" s="20">
        <v>-20.01</v>
      </c>
      <c r="CO1050" s="20">
        <v>-19.06</v>
      </c>
      <c r="CP1050" s="20">
        <v>-65.14</v>
      </c>
    </row>
    <row r="1051">
      <c r="A1051" s="20">
        <v>-2.67</v>
      </c>
      <c r="B1051" s="20">
        <v>16.36</v>
      </c>
      <c r="D1051" s="20"/>
      <c r="E1051" s="20"/>
      <c r="F1051" s="20">
        <v>-29.01</v>
      </c>
      <c r="G1051" s="20">
        <v>-27.18</v>
      </c>
      <c r="I1051" s="20"/>
      <c r="J1051" s="20"/>
      <c r="K1051" s="20">
        <v>525.0</v>
      </c>
      <c r="L1051" s="20" t="s">
        <v>14</v>
      </c>
      <c r="M1051" s="20">
        <v>-8.09</v>
      </c>
      <c r="N1051" s="20">
        <v>-3.19</v>
      </c>
      <c r="P1051" s="20">
        <v>-23.76</v>
      </c>
      <c r="Q1051" s="20">
        <v>23.46</v>
      </c>
      <c r="AG1051" s="43">
        <v>1049.0</v>
      </c>
      <c r="AH1051" s="20" t="s">
        <v>14</v>
      </c>
      <c r="AI1051" s="20">
        <v>-30.13</v>
      </c>
      <c r="AJ1051" s="20">
        <v>-40.13</v>
      </c>
      <c r="AM1051" s="20">
        <v>536.0</v>
      </c>
      <c r="AN1051" s="20" t="s">
        <v>14</v>
      </c>
      <c r="AO1051" s="20">
        <v>13.35</v>
      </c>
      <c r="AP1051" s="20">
        <v>6.53</v>
      </c>
      <c r="AS1051" s="20">
        <v>529.0</v>
      </c>
      <c r="AT1051" s="20" t="s">
        <v>14</v>
      </c>
      <c r="AU1051" s="20">
        <v>60.61</v>
      </c>
      <c r="AV1051" s="20">
        <v>-51.09</v>
      </c>
      <c r="BE1051" s="43">
        <v>1049.0</v>
      </c>
      <c r="BF1051" s="20" t="s">
        <v>14</v>
      </c>
      <c r="BG1051" s="20">
        <v>5.68</v>
      </c>
      <c r="BH1051" s="20">
        <v>16.67</v>
      </c>
      <c r="BM1051" s="20">
        <v>38.56</v>
      </c>
      <c r="BN1051" s="20">
        <v>34.88</v>
      </c>
      <c r="BW1051" s="20">
        <v>-53.54</v>
      </c>
      <c r="BX1051" s="20">
        <v>-39.62</v>
      </c>
      <c r="BZ1051" s="20">
        <v>-53.56</v>
      </c>
      <c r="CA1051" s="20">
        <v>-0.39</v>
      </c>
      <c r="CO1051" s="20">
        <v>-25.49</v>
      </c>
      <c r="CP1051" s="20">
        <v>-53.24</v>
      </c>
    </row>
    <row r="1052">
      <c r="A1052" s="20">
        <v>-34.1</v>
      </c>
      <c r="B1052" s="20">
        <v>68.69</v>
      </c>
      <c r="D1052" s="20"/>
      <c r="E1052" s="20"/>
      <c r="F1052" s="20">
        <v>-27.06</v>
      </c>
      <c r="G1052" s="20">
        <v>-0.29</v>
      </c>
      <c r="I1052" s="20"/>
      <c r="J1052" s="20"/>
      <c r="K1052" s="20">
        <v>525.0</v>
      </c>
      <c r="L1052" s="20" t="s">
        <v>17</v>
      </c>
      <c r="M1052" s="20">
        <v>-38.69</v>
      </c>
      <c r="N1052" s="20">
        <v>-18.44</v>
      </c>
      <c r="P1052" s="20">
        <v>-11.64</v>
      </c>
      <c r="Q1052" s="20">
        <v>38.94</v>
      </c>
      <c r="AG1052" s="43">
        <v>1050.0</v>
      </c>
      <c r="AH1052" s="20" t="s">
        <v>14</v>
      </c>
      <c r="AI1052" s="20">
        <v>-8.54</v>
      </c>
      <c r="AJ1052" s="20">
        <v>-33.97</v>
      </c>
      <c r="AM1052" s="20">
        <v>536.0</v>
      </c>
      <c r="AN1052" s="20" t="s">
        <v>17</v>
      </c>
      <c r="AO1052" s="20">
        <v>38.06</v>
      </c>
      <c r="AP1052" s="20">
        <v>15.49</v>
      </c>
      <c r="AS1052" s="20">
        <v>529.0</v>
      </c>
      <c r="AT1052" s="20" t="s">
        <v>17</v>
      </c>
      <c r="AU1052" s="20">
        <v>-20.58</v>
      </c>
      <c r="AV1052" s="20">
        <v>-6.75</v>
      </c>
      <c r="BE1052" s="43">
        <v>1050.0</v>
      </c>
      <c r="BF1052" s="20" t="s">
        <v>14</v>
      </c>
      <c r="BG1052" s="20">
        <v>44.54</v>
      </c>
      <c r="BH1052" s="20">
        <v>-7.1</v>
      </c>
      <c r="BM1052" s="20">
        <v>51.45</v>
      </c>
      <c r="BN1052" s="20">
        <v>133.02</v>
      </c>
      <c r="BW1052" s="20">
        <v>-48.09</v>
      </c>
      <c r="BX1052" s="20">
        <v>-30.37</v>
      </c>
      <c r="BZ1052" s="20">
        <v>-52.35</v>
      </c>
      <c r="CA1052" s="20">
        <v>8.93</v>
      </c>
      <c r="CO1052" s="20">
        <v>-35.16</v>
      </c>
      <c r="CP1052" s="20">
        <v>-56.2</v>
      </c>
    </row>
    <row r="1053">
      <c r="A1053" s="20">
        <v>17.87</v>
      </c>
      <c r="B1053" s="20">
        <v>10.32</v>
      </c>
      <c r="D1053" s="20"/>
      <c r="E1053" s="20"/>
      <c r="F1053" s="20">
        <v>26.93</v>
      </c>
      <c r="G1053" s="20">
        <v>-37.65</v>
      </c>
      <c r="I1053" s="20"/>
      <c r="J1053" s="20"/>
      <c r="K1053" s="20">
        <v>526.0</v>
      </c>
      <c r="L1053" s="20" t="s">
        <v>14</v>
      </c>
      <c r="M1053" s="20">
        <v>-17.53</v>
      </c>
      <c r="N1053" s="20">
        <v>-11.2</v>
      </c>
      <c r="P1053" s="20">
        <v>-19.09</v>
      </c>
      <c r="Q1053" s="20">
        <v>21.8</v>
      </c>
      <c r="AG1053" s="43">
        <v>1051.0</v>
      </c>
      <c r="AH1053" s="20" t="s">
        <v>14</v>
      </c>
      <c r="AI1053" s="20">
        <v>-57.78</v>
      </c>
      <c r="AJ1053" s="20">
        <v>-63.26</v>
      </c>
      <c r="AM1053" s="20">
        <v>537.0</v>
      </c>
      <c r="AN1053" s="20" t="s">
        <v>14</v>
      </c>
      <c r="AO1053" s="20">
        <v>7.6</v>
      </c>
      <c r="AP1053" s="20">
        <v>8.21</v>
      </c>
      <c r="AS1053" s="20">
        <v>530.0</v>
      </c>
      <c r="AT1053" s="20" t="s">
        <v>14</v>
      </c>
      <c r="AU1053" s="20">
        <v>18.97</v>
      </c>
      <c r="AV1053" s="20">
        <v>-26.61</v>
      </c>
      <c r="BE1053" s="43">
        <v>1051.0</v>
      </c>
      <c r="BF1053" s="20" t="s">
        <v>14</v>
      </c>
      <c r="BG1053" s="20">
        <v>8.37</v>
      </c>
      <c r="BH1053" s="20">
        <v>-0.58</v>
      </c>
      <c r="BM1053" s="20">
        <v>63.6</v>
      </c>
      <c r="BN1053" s="20">
        <v>119.16</v>
      </c>
      <c r="BW1053" s="20">
        <v>-47.36</v>
      </c>
      <c r="BX1053" s="20">
        <v>-30.08</v>
      </c>
      <c r="BZ1053" s="20">
        <v>-10.82</v>
      </c>
      <c r="CA1053" s="20">
        <v>110.52</v>
      </c>
      <c r="CO1053" s="20">
        <v>-27.75</v>
      </c>
      <c r="CP1053" s="20">
        <v>-40.91</v>
      </c>
    </row>
    <row r="1054">
      <c r="A1054" s="20">
        <v>125.4</v>
      </c>
      <c r="B1054" s="20">
        <v>-5.3</v>
      </c>
      <c r="D1054" s="20"/>
      <c r="E1054" s="20"/>
      <c r="F1054" s="20">
        <v>31.41</v>
      </c>
      <c r="G1054" s="20">
        <v>30.78</v>
      </c>
      <c r="I1054" s="20"/>
      <c r="J1054" s="20"/>
      <c r="K1054" s="20">
        <v>526.0</v>
      </c>
      <c r="L1054" s="20" t="s">
        <v>17</v>
      </c>
      <c r="M1054" s="20">
        <v>-42.82</v>
      </c>
      <c r="N1054" s="20">
        <v>-22.18</v>
      </c>
      <c r="P1054" s="20">
        <v>-4.09</v>
      </c>
      <c r="Q1054" s="20">
        <v>17.38</v>
      </c>
      <c r="AG1054" s="43">
        <v>1052.0</v>
      </c>
      <c r="AH1054" s="20" t="s">
        <v>14</v>
      </c>
      <c r="AI1054" s="20">
        <v>-21.85</v>
      </c>
      <c r="AJ1054" s="20">
        <v>-2.17</v>
      </c>
      <c r="AM1054" s="20">
        <v>537.0</v>
      </c>
      <c r="AN1054" s="20" t="s">
        <v>17</v>
      </c>
      <c r="AO1054" s="20">
        <v>-29.05</v>
      </c>
      <c r="AP1054" s="20">
        <v>13.59</v>
      </c>
      <c r="AS1054" s="20">
        <v>530.0</v>
      </c>
      <c r="AT1054" s="20" t="s">
        <v>17</v>
      </c>
      <c r="AU1054" s="20">
        <v>32.2</v>
      </c>
      <c r="AV1054" s="20">
        <v>-63.53</v>
      </c>
      <c r="BE1054" s="43">
        <v>1052.0</v>
      </c>
      <c r="BF1054" s="20" t="s">
        <v>14</v>
      </c>
      <c r="BG1054" s="20">
        <v>-10.67</v>
      </c>
      <c r="BH1054" s="20">
        <v>25.16</v>
      </c>
      <c r="BM1054" s="20">
        <v>45.64</v>
      </c>
      <c r="BN1054" s="20">
        <v>124.31</v>
      </c>
      <c r="BW1054" s="20">
        <v>-45.07</v>
      </c>
      <c r="BX1054" s="20">
        <v>-45.07</v>
      </c>
      <c r="BZ1054" s="20">
        <v>-49.03</v>
      </c>
      <c r="CA1054" s="20">
        <v>-32.64</v>
      </c>
      <c r="CO1054" s="20">
        <v>-65.51</v>
      </c>
      <c r="CP1054" s="20">
        <v>-72.49</v>
      </c>
    </row>
    <row r="1055">
      <c r="A1055" s="20">
        <v>69.86</v>
      </c>
      <c r="B1055" s="20">
        <v>-41.51</v>
      </c>
      <c r="D1055" s="20"/>
      <c r="E1055" s="20"/>
      <c r="F1055" s="20">
        <v>2.75</v>
      </c>
      <c r="G1055" s="20">
        <v>27.93</v>
      </c>
      <c r="I1055" s="20"/>
      <c r="J1055" s="20"/>
      <c r="K1055" s="20">
        <v>527.0</v>
      </c>
      <c r="L1055" s="20" t="s">
        <v>14</v>
      </c>
      <c r="M1055" s="20">
        <v>-21.93</v>
      </c>
      <c r="N1055" s="20">
        <v>-13.35</v>
      </c>
      <c r="P1055" s="20">
        <v>28.71</v>
      </c>
      <c r="Q1055" s="20">
        <v>-4.56</v>
      </c>
      <c r="AG1055" s="43">
        <v>1053.0</v>
      </c>
      <c r="AH1055" s="20" t="s">
        <v>14</v>
      </c>
      <c r="AI1055" s="20">
        <v>-12.5</v>
      </c>
      <c r="AJ1055" s="20">
        <v>-19.47</v>
      </c>
      <c r="AM1055" s="20">
        <v>538.0</v>
      </c>
      <c r="AN1055" s="20" t="s">
        <v>14</v>
      </c>
      <c r="AO1055" s="20">
        <v>-14.56</v>
      </c>
      <c r="AP1055" s="20">
        <v>-17.88</v>
      </c>
      <c r="AS1055" s="20">
        <v>531.0</v>
      </c>
      <c r="AT1055" s="20" t="s">
        <v>14</v>
      </c>
      <c r="AU1055" s="20">
        <v>-42.2</v>
      </c>
      <c r="AV1055" s="20">
        <v>-41.47</v>
      </c>
      <c r="BE1055" s="43">
        <v>1053.0</v>
      </c>
      <c r="BF1055" s="20" t="s">
        <v>14</v>
      </c>
      <c r="BG1055" s="20">
        <v>20.73</v>
      </c>
      <c r="BH1055" s="20">
        <v>-13.42</v>
      </c>
      <c r="BM1055" s="20">
        <v>13.53</v>
      </c>
      <c r="BN1055" s="20">
        <v>95.87</v>
      </c>
      <c r="BW1055" s="20">
        <v>-42.68</v>
      </c>
      <c r="BX1055" s="20">
        <v>-39.16</v>
      </c>
      <c r="BZ1055" s="20">
        <v>-21.06</v>
      </c>
      <c r="CA1055" s="20">
        <v>18.35</v>
      </c>
      <c r="CO1055" s="20">
        <v>-19.91</v>
      </c>
      <c r="CP1055" s="20">
        <v>-60.86</v>
      </c>
    </row>
    <row r="1056">
      <c r="A1056" s="20">
        <v>17.77</v>
      </c>
      <c r="B1056" s="20">
        <v>101.61</v>
      </c>
      <c r="D1056" s="20"/>
      <c r="E1056" s="20"/>
      <c r="F1056" s="20">
        <v>33.49</v>
      </c>
      <c r="G1056" s="20">
        <v>22.48</v>
      </c>
      <c r="I1056" s="20"/>
      <c r="J1056" s="20"/>
      <c r="K1056" s="20">
        <v>527.0</v>
      </c>
      <c r="L1056" s="20" t="s">
        <v>17</v>
      </c>
      <c r="M1056" s="20">
        <v>-31.87</v>
      </c>
      <c r="N1056" s="20">
        <v>-21.3</v>
      </c>
      <c r="P1056" s="20">
        <v>69.03</v>
      </c>
      <c r="Q1056" s="20">
        <v>37.95</v>
      </c>
      <c r="AG1056" s="43">
        <v>1054.0</v>
      </c>
      <c r="AH1056" s="20" t="s">
        <v>14</v>
      </c>
      <c r="AI1056" s="20">
        <v>-46.31</v>
      </c>
      <c r="AJ1056" s="20">
        <v>-66.76</v>
      </c>
      <c r="AM1056" s="20">
        <v>538.0</v>
      </c>
      <c r="AN1056" s="20" t="s">
        <v>17</v>
      </c>
      <c r="AO1056" s="20">
        <v>-13.16</v>
      </c>
      <c r="AP1056" s="20">
        <v>-7.31</v>
      </c>
      <c r="AS1056" s="20">
        <v>531.0</v>
      </c>
      <c r="AT1056" s="20" t="s">
        <v>17</v>
      </c>
      <c r="AU1056" s="20">
        <v>-38.33</v>
      </c>
      <c r="AV1056" s="20">
        <v>-37.43</v>
      </c>
      <c r="BE1056" s="43">
        <v>1054.0</v>
      </c>
      <c r="BF1056" s="20" t="s">
        <v>14</v>
      </c>
      <c r="BG1056" s="20">
        <v>-8.58</v>
      </c>
      <c r="BH1056" s="20">
        <v>-3.85</v>
      </c>
      <c r="BM1056" s="20">
        <v>7.89</v>
      </c>
      <c r="BN1056" s="20">
        <v>114.77</v>
      </c>
      <c r="BW1056" s="20">
        <v>-52.91</v>
      </c>
      <c r="BX1056" s="20">
        <v>-18.59</v>
      </c>
      <c r="BZ1056" s="20">
        <v>-55.79</v>
      </c>
      <c r="CA1056" s="20">
        <v>-13.89</v>
      </c>
      <c r="CO1056" s="20">
        <v>-1.25</v>
      </c>
      <c r="CP1056" s="20">
        <v>-29.36</v>
      </c>
    </row>
    <row r="1057">
      <c r="A1057" s="20">
        <v>7.79</v>
      </c>
      <c r="B1057" s="20">
        <v>106.42</v>
      </c>
      <c r="D1057" s="20"/>
      <c r="E1057" s="20"/>
      <c r="F1057" s="20">
        <v>-41.37</v>
      </c>
      <c r="G1057" s="20">
        <v>4.98</v>
      </c>
      <c r="I1057" s="20"/>
      <c r="J1057" s="20"/>
      <c r="K1057" s="20">
        <v>528.0</v>
      </c>
      <c r="L1057" s="20" t="s">
        <v>14</v>
      </c>
      <c r="M1057" s="20">
        <v>-40.5</v>
      </c>
      <c r="N1057" s="20">
        <v>-13.84</v>
      </c>
      <c r="P1057" s="20">
        <v>-9.24</v>
      </c>
      <c r="Q1057" s="20">
        <v>13.71</v>
      </c>
      <c r="AG1057" s="43">
        <v>1055.0</v>
      </c>
      <c r="AH1057" s="20" t="s">
        <v>14</v>
      </c>
      <c r="AI1057" s="20">
        <v>-24.2</v>
      </c>
      <c r="AJ1057" s="20">
        <v>-21.21</v>
      </c>
      <c r="AM1057" s="20">
        <v>539.0</v>
      </c>
      <c r="AN1057" s="20" t="s">
        <v>14</v>
      </c>
      <c r="AO1057" s="20">
        <v>-7.58</v>
      </c>
      <c r="AP1057" s="20">
        <v>-24.13</v>
      </c>
      <c r="AS1057" s="20">
        <v>532.0</v>
      </c>
      <c r="AT1057" s="20" t="s">
        <v>14</v>
      </c>
      <c r="AU1057" s="20">
        <v>49.1</v>
      </c>
      <c r="AV1057" s="20">
        <v>-54.75</v>
      </c>
      <c r="BE1057" s="43">
        <v>1055.0</v>
      </c>
      <c r="BF1057" s="20" t="s">
        <v>14</v>
      </c>
      <c r="BG1057" s="20">
        <v>51.5</v>
      </c>
      <c r="BH1057" s="20">
        <v>28.52</v>
      </c>
      <c r="BM1057" s="20">
        <v>24.63</v>
      </c>
      <c r="BN1057" s="20">
        <v>129.03</v>
      </c>
      <c r="BW1057" s="20">
        <v>-55.59</v>
      </c>
      <c r="BX1057" s="20">
        <v>-37.99</v>
      </c>
      <c r="BZ1057" s="20">
        <v>-38.17</v>
      </c>
      <c r="CA1057" s="20">
        <v>169.27</v>
      </c>
      <c r="CO1057" s="20">
        <v>-1.57</v>
      </c>
      <c r="CP1057" s="20">
        <v>-43.27</v>
      </c>
    </row>
    <row r="1058">
      <c r="A1058" s="20">
        <v>-4.84</v>
      </c>
      <c r="B1058" s="20">
        <v>118.89</v>
      </c>
      <c r="D1058" s="20"/>
      <c r="E1058" s="20"/>
      <c r="F1058" s="20">
        <v>-14.58</v>
      </c>
      <c r="G1058" s="20">
        <v>9.74</v>
      </c>
      <c r="I1058" s="20"/>
      <c r="J1058" s="20"/>
      <c r="K1058" s="20">
        <v>528.0</v>
      </c>
      <c r="L1058" s="20" t="s">
        <v>17</v>
      </c>
      <c r="M1058" s="20">
        <v>-36.0</v>
      </c>
      <c r="N1058" s="20">
        <v>0.1</v>
      </c>
      <c r="P1058" s="20">
        <v>-3.83</v>
      </c>
      <c r="Q1058" s="20">
        <v>-5.16</v>
      </c>
      <c r="AG1058" s="43">
        <v>1056.0</v>
      </c>
      <c r="AH1058" s="20" t="s">
        <v>14</v>
      </c>
      <c r="AI1058" s="20">
        <v>-10.89</v>
      </c>
      <c r="AJ1058" s="20">
        <v>-29.75</v>
      </c>
      <c r="AM1058" s="20">
        <v>539.0</v>
      </c>
      <c r="AN1058" s="20" t="s">
        <v>17</v>
      </c>
      <c r="AO1058" s="20">
        <v>5.83</v>
      </c>
      <c r="AP1058" s="20">
        <v>-4.21</v>
      </c>
      <c r="AS1058" s="20">
        <v>532.0</v>
      </c>
      <c r="AT1058" s="20" t="s">
        <v>17</v>
      </c>
      <c r="AU1058" s="20">
        <v>38.14</v>
      </c>
      <c r="AV1058" s="20">
        <v>-48.76</v>
      </c>
      <c r="BE1058" s="43">
        <v>1056.0</v>
      </c>
      <c r="BF1058" s="20" t="s">
        <v>14</v>
      </c>
      <c r="BG1058" s="20">
        <v>-0.59</v>
      </c>
      <c r="BH1058" s="20">
        <v>-19.21</v>
      </c>
      <c r="BM1058" s="20">
        <v>-18.61</v>
      </c>
      <c r="BN1058" s="20">
        <v>59.38</v>
      </c>
      <c r="BW1058" s="20">
        <v>-67.68</v>
      </c>
      <c r="BX1058" s="20">
        <v>-39.47</v>
      </c>
      <c r="BZ1058" s="20">
        <v>-12.31</v>
      </c>
      <c r="CA1058" s="20">
        <v>-16.48</v>
      </c>
      <c r="CO1058" s="20">
        <v>12.95</v>
      </c>
      <c r="CP1058" s="20">
        <v>-38.62</v>
      </c>
    </row>
    <row r="1059">
      <c r="A1059" s="20">
        <v>-11.91</v>
      </c>
      <c r="B1059" s="20">
        <v>134.67</v>
      </c>
      <c r="D1059" s="20"/>
      <c r="E1059" s="20"/>
      <c r="F1059" s="20">
        <v>-4.25</v>
      </c>
      <c r="G1059" s="20">
        <v>2.24</v>
      </c>
      <c r="I1059" s="20"/>
      <c r="J1059" s="20"/>
      <c r="K1059" s="20">
        <v>529.0</v>
      </c>
      <c r="L1059" s="20" t="s">
        <v>14</v>
      </c>
      <c r="M1059" s="20">
        <v>62.98</v>
      </c>
      <c r="N1059" s="20">
        <v>42.52</v>
      </c>
      <c r="P1059" s="20">
        <v>32.26</v>
      </c>
      <c r="Q1059" s="20">
        <v>38.93</v>
      </c>
      <c r="AG1059" s="43">
        <v>1057.0</v>
      </c>
      <c r="AH1059" s="20" t="s">
        <v>14</v>
      </c>
      <c r="AI1059" s="20">
        <v>-24.31</v>
      </c>
      <c r="AJ1059" s="20">
        <v>-13.25</v>
      </c>
      <c r="AM1059" s="20">
        <v>540.0</v>
      </c>
      <c r="AN1059" s="20" t="s">
        <v>14</v>
      </c>
      <c r="AO1059" s="20">
        <v>-7.02</v>
      </c>
      <c r="AP1059" s="20">
        <v>9.82</v>
      </c>
      <c r="AS1059" s="20">
        <v>533.0</v>
      </c>
      <c r="AT1059" s="20" t="s">
        <v>14</v>
      </c>
      <c r="AU1059" s="20">
        <v>-0.74</v>
      </c>
      <c r="AV1059" s="20">
        <v>-5.06</v>
      </c>
      <c r="BE1059" s="43">
        <v>1057.0</v>
      </c>
      <c r="BF1059" s="20" t="s">
        <v>14</v>
      </c>
      <c r="BG1059" s="20">
        <v>-0.3</v>
      </c>
      <c r="BH1059" s="20">
        <v>9.9</v>
      </c>
      <c r="BM1059" s="20">
        <v>102.9</v>
      </c>
      <c r="BN1059" s="20">
        <v>71.62</v>
      </c>
      <c r="BW1059" s="20">
        <v>-81.87</v>
      </c>
      <c r="BX1059" s="20">
        <v>-24.24</v>
      </c>
      <c r="BZ1059" s="20">
        <v>-13.96</v>
      </c>
      <c r="CA1059" s="20">
        <v>59.3</v>
      </c>
      <c r="CO1059" s="20">
        <v>-51.76</v>
      </c>
      <c r="CP1059" s="20">
        <v>-63.86</v>
      </c>
    </row>
    <row r="1060">
      <c r="A1060" s="20">
        <v>49.64</v>
      </c>
      <c r="B1060" s="20">
        <v>22.01</v>
      </c>
      <c r="D1060" s="20"/>
      <c r="E1060" s="20"/>
      <c r="F1060" s="20">
        <v>-37.4</v>
      </c>
      <c r="G1060" s="20">
        <v>-3.42</v>
      </c>
      <c r="I1060" s="20"/>
      <c r="J1060" s="20"/>
      <c r="K1060" s="20">
        <v>529.0</v>
      </c>
      <c r="L1060" s="20" t="s">
        <v>17</v>
      </c>
      <c r="M1060" s="20">
        <v>-26.89</v>
      </c>
      <c r="N1060" s="20">
        <v>13.1</v>
      </c>
      <c r="P1060" s="20">
        <v>44.03</v>
      </c>
      <c r="Q1060" s="20">
        <v>125.64</v>
      </c>
      <c r="AG1060" s="43">
        <v>1058.0</v>
      </c>
      <c r="AH1060" s="20" t="s">
        <v>14</v>
      </c>
      <c r="AI1060" s="20">
        <v>-40.57</v>
      </c>
      <c r="AJ1060" s="20">
        <v>-19.08</v>
      </c>
      <c r="AM1060" s="20">
        <v>540.0</v>
      </c>
      <c r="AN1060" s="20" t="s">
        <v>17</v>
      </c>
      <c r="AO1060" s="20">
        <v>-17.01</v>
      </c>
      <c r="AP1060" s="20">
        <v>5.31</v>
      </c>
      <c r="AS1060" s="20">
        <v>533.0</v>
      </c>
      <c r="AT1060" s="20" t="s">
        <v>17</v>
      </c>
      <c r="AU1060" s="20">
        <v>13.07</v>
      </c>
      <c r="AV1060" s="20">
        <v>-66.42</v>
      </c>
      <c r="BE1060" s="43">
        <v>1058.0</v>
      </c>
      <c r="BF1060" s="20" t="s">
        <v>14</v>
      </c>
      <c r="BG1060" s="20">
        <v>63.85</v>
      </c>
      <c r="BH1060" s="20">
        <v>5.4</v>
      </c>
      <c r="BM1060" s="20">
        <v>50.0</v>
      </c>
      <c r="BN1060" s="20">
        <v>26.34</v>
      </c>
      <c r="BW1060" s="20">
        <v>-52.24</v>
      </c>
      <c r="BX1060" s="20">
        <v>-20.26</v>
      </c>
      <c r="BZ1060" s="20">
        <v>-66.71</v>
      </c>
      <c r="CA1060" s="20">
        <v>54.35</v>
      </c>
      <c r="CO1060" s="20">
        <v>16.95</v>
      </c>
      <c r="CP1060" s="20">
        <v>-46.97</v>
      </c>
    </row>
    <row r="1061">
      <c r="A1061" s="20">
        <v>94.34</v>
      </c>
      <c r="B1061" s="20">
        <v>168.09</v>
      </c>
      <c r="D1061" s="20"/>
      <c r="E1061" s="20"/>
      <c r="F1061" s="20">
        <v>-12.96</v>
      </c>
      <c r="G1061" s="20">
        <v>-20.79</v>
      </c>
      <c r="I1061" s="20"/>
      <c r="J1061" s="20"/>
      <c r="K1061" s="20">
        <v>530.0</v>
      </c>
      <c r="L1061" s="20" t="s">
        <v>14</v>
      </c>
      <c r="M1061" s="20">
        <v>-12.85</v>
      </c>
      <c r="N1061" s="20">
        <v>28.79</v>
      </c>
      <c r="P1061" s="20">
        <v>25.27</v>
      </c>
      <c r="Q1061" s="20">
        <v>39.42</v>
      </c>
      <c r="AG1061" s="43">
        <v>1059.0</v>
      </c>
      <c r="AH1061" s="20" t="s">
        <v>14</v>
      </c>
      <c r="AI1061" s="20">
        <v>-15.15</v>
      </c>
      <c r="AJ1061" s="20">
        <v>5.88</v>
      </c>
      <c r="AM1061" s="20">
        <v>541.0</v>
      </c>
      <c r="AN1061" s="20" t="s">
        <v>14</v>
      </c>
      <c r="AO1061" s="20">
        <v>-17.95</v>
      </c>
      <c r="AP1061" s="20">
        <v>3.52</v>
      </c>
      <c r="AS1061" s="20">
        <v>534.0</v>
      </c>
      <c r="AT1061" s="20" t="s">
        <v>14</v>
      </c>
      <c r="AU1061" s="20">
        <v>19.23</v>
      </c>
      <c r="AV1061" s="20">
        <v>-30.88</v>
      </c>
      <c r="BE1061" s="43">
        <v>1059.0</v>
      </c>
      <c r="BF1061" s="20" t="s">
        <v>14</v>
      </c>
      <c r="BG1061" s="20">
        <v>42.77</v>
      </c>
      <c r="BH1061" s="20">
        <v>27.68</v>
      </c>
      <c r="BM1061" s="20">
        <v>53.07</v>
      </c>
      <c r="BN1061" s="20">
        <v>51.32</v>
      </c>
      <c r="BW1061" s="20">
        <v>-21.81</v>
      </c>
      <c r="BX1061" s="20">
        <v>-31.81</v>
      </c>
      <c r="BZ1061" s="20">
        <v>-45.04</v>
      </c>
      <c r="CA1061" s="20">
        <v>17.95</v>
      </c>
      <c r="CO1061" s="20">
        <v>26.48</v>
      </c>
      <c r="CP1061" s="20">
        <v>-47.04</v>
      </c>
    </row>
    <row r="1062">
      <c r="A1062" s="20">
        <v>-22.94</v>
      </c>
      <c r="B1062" s="20">
        <v>27.7</v>
      </c>
      <c r="D1062" s="20"/>
      <c r="E1062" s="20"/>
      <c r="F1062" s="20">
        <v>-40.65</v>
      </c>
      <c r="G1062" s="20">
        <v>-7.57</v>
      </c>
      <c r="I1062" s="20"/>
      <c r="J1062" s="20"/>
      <c r="K1062" s="20">
        <v>530.0</v>
      </c>
      <c r="L1062" s="20" t="s">
        <v>17</v>
      </c>
      <c r="M1062" s="20">
        <v>-9.48</v>
      </c>
      <c r="N1062" s="20">
        <v>8.73</v>
      </c>
      <c r="P1062" s="20">
        <v>-10.51</v>
      </c>
      <c r="Q1062" s="20">
        <v>-15.87</v>
      </c>
      <c r="AG1062" s="43">
        <v>1060.0</v>
      </c>
      <c r="AH1062" s="20" t="s">
        <v>14</v>
      </c>
      <c r="AI1062" s="20">
        <v>-42.46</v>
      </c>
      <c r="AJ1062" s="20">
        <v>-23.51</v>
      </c>
      <c r="AM1062" s="20">
        <v>541.0</v>
      </c>
      <c r="AN1062" s="20" t="s">
        <v>17</v>
      </c>
      <c r="AO1062" s="20">
        <v>10.57</v>
      </c>
      <c r="AP1062" s="20">
        <v>-0.46</v>
      </c>
      <c r="AS1062" s="20">
        <v>534.0</v>
      </c>
      <c r="AT1062" s="20" t="s">
        <v>17</v>
      </c>
      <c r="AU1062" s="20">
        <v>-3.8</v>
      </c>
      <c r="AV1062" s="20">
        <v>-8.07</v>
      </c>
      <c r="BE1062" s="43">
        <v>1060.0</v>
      </c>
      <c r="BF1062" s="20" t="s">
        <v>14</v>
      </c>
      <c r="BG1062" s="20">
        <v>9.85</v>
      </c>
      <c r="BH1062" s="20">
        <v>60.83</v>
      </c>
      <c r="BM1062" s="20">
        <v>15.26</v>
      </c>
      <c r="BN1062" s="20">
        <v>60.43</v>
      </c>
      <c r="BW1062" s="20">
        <v>-49.61</v>
      </c>
      <c r="BX1062" s="20">
        <v>-5.63</v>
      </c>
      <c r="BZ1062" s="20">
        <v>-63.0</v>
      </c>
      <c r="CA1062" s="20">
        <v>-1.47</v>
      </c>
      <c r="CO1062" s="20">
        <v>28.37</v>
      </c>
      <c r="CP1062" s="20">
        <v>-36.34</v>
      </c>
    </row>
    <row r="1063">
      <c r="A1063" s="20">
        <v>-50.03</v>
      </c>
      <c r="B1063" s="20">
        <v>22.27</v>
      </c>
      <c r="D1063" s="20"/>
      <c r="E1063" s="20"/>
      <c r="F1063" s="20">
        <v>2.79</v>
      </c>
      <c r="G1063" s="20">
        <v>-13.15</v>
      </c>
      <c r="I1063" s="20"/>
      <c r="J1063" s="20"/>
      <c r="K1063" s="20">
        <v>531.0</v>
      </c>
      <c r="L1063" s="20" t="s">
        <v>14</v>
      </c>
      <c r="M1063" s="20">
        <v>55.24</v>
      </c>
      <c r="N1063" s="20">
        <v>18.85</v>
      </c>
      <c r="P1063" s="20">
        <v>30.74</v>
      </c>
      <c r="Q1063" s="20">
        <v>27.84</v>
      </c>
      <c r="AG1063" s="43">
        <v>1061.0</v>
      </c>
      <c r="AH1063" s="20" t="s">
        <v>14</v>
      </c>
      <c r="AI1063" s="20">
        <v>-24.3</v>
      </c>
      <c r="AJ1063" s="20">
        <v>-11.83</v>
      </c>
      <c r="AM1063" s="20">
        <v>542.0</v>
      </c>
      <c r="AN1063" s="20" t="s">
        <v>14</v>
      </c>
      <c r="AO1063" s="20">
        <v>-19.19</v>
      </c>
      <c r="AP1063" s="20">
        <v>-22.79</v>
      </c>
      <c r="AS1063" s="20">
        <v>535.0</v>
      </c>
      <c r="AT1063" s="20" t="s">
        <v>14</v>
      </c>
      <c r="AU1063" s="20">
        <v>-36.33</v>
      </c>
      <c r="AV1063" s="20">
        <v>-9.23</v>
      </c>
      <c r="BE1063" s="43">
        <v>1061.0</v>
      </c>
      <c r="BF1063" s="20" t="s">
        <v>14</v>
      </c>
      <c r="BG1063" s="20">
        <v>34.31</v>
      </c>
      <c r="BH1063" s="20">
        <v>-4.78</v>
      </c>
      <c r="BM1063" s="20">
        <v>5.23</v>
      </c>
      <c r="BN1063" s="20">
        <v>28.5</v>
      </c>
      <c r="BW1063" s="20">
        <v>-72.83</v>
      </c>
      <c r="BX1063" s="20">
        <v>-29.55</v>
      </c>
      <c r="BZ1063" s="20">
        <v>-26.71</v>
      </c>
      <c r="CA1063" s="20">
        <v>2.06</v>
      </c>
      <c r="CO1063" s="20">
        <v>-16.7</v>
      </c>
      <c r="CP1063" s="20">
        <v>-55.65</v>
      </c>
    </row>
    <row r="1064">
      <c r="A1064" s="20">
        <v>-46.58</v>
      </c>
      <c r="B1064" s="20">
        <v>-28.37</v>
      </c>
      <c r="D1064" s="20"/>
      <c r="E1064" s="20"/>
      <c r="F1064" s="20">
        <v>-26.81</v>
      </c>
      <c r="G1064" s="20">
        <v>7.39</v>
      </c>
      <c r="I1064" s="20"/>
      <c r="J1064" s="20"/>
      <c r="K1064" s="20">
        <v>531.0</v>
      </c>
      <c r="L1064" s="20" t="s">
        <v>17</v>
      </c>
      <c r="M1064" s="20">
        <v>14.67</v>
      </c>
      <c r="N1064" s="20">
        <v>29.08</v>
      </c>
      <c r="P1064" s="20">
        <v>2.17</v>
      </c>
      <c r="Q1064" s="20">
        <v>28.27</v>
      </c>
      <c r="AG1064" s="43">
        <v>1062.0</v>
      </c>
      <c r="AH1064" s="20" t="s">
        <v>14</v>
      </c>
      <c r="AI1064" s="20">
        <v>-15.88</v>
      </c>
      <c r="AJ1064" s="20">
        <v>-21.59</v>
      </c>
      <c r="AM1064" s="20">
        <v>542.0</v>
      </c>
      <c r="AN1064" s="20" t="s">
        <v>17</v>
      </c>
      <c r="AO1064" s="20">
        <v>-31.1</v>
      </c>
      <c r="AP1064" s="20">
        <v>-30.06</v>
      </c>
      <c r="AS1064" s="20">
        <v>535.0</v>
      </c>
      <c r="AT1064" s="20" t="s">
        <v>17</v>
      </c>
      <c r="AU1064" s="20">
        <v>-13.86</v>
      </c>
      <c r="AV1064" s="20">
        <v>-38.6</v>
      </c>
      <c r="BE1064" s="43">
        <v>1062.0</v>
      </c>
      <c r="BF1064" s="20" t="s">
        <v>14</v>
      </c>
      <c r="BG1064" s="20">
        <v>45.84</v>
      </c>
      <c r="BH1064" s="20">
        <v>-10.52</v>
      </c>
      <c r="BM1064" s="20">
        <v>33.05</v>
      </c>
      <c r="BN1064" s="20">
        <v>79.04</v>
      </c>
      <c r="BW1064" s="20">
        <v>-69.19</v>
      </c>
      <c r="BX1064" s="20">
        <v>-42.85</v>
      </c>
      <c r="BZ1064" s="20">
        <v>-52.81</v>
      </c>
      <c r="CA1064" s="20">
        <v>-24.88</v>
      </c>
      <c r="CO1064" s="20">
        <v>-2.8</v>
      </c>
      <c r="CP1064" s="20">
        <v>-52.9</v>
      </c>
    </row>
    <row r="1065">
      <c r="A1065" s="20">
        <v>38.71</v>
      </c>
      <c r="B1065" s="20">
        <v>48.69</v>
      </c>
      <c r="D1065" s="20"/>
      <c r="E1065" s="20"/>
      <c r="F1065" s="20">
        <v>-4.96</v>
      </c>
      <c r="G1065" s="20">
        <v>16.81</v>
      </c>
      <c r="I1065" s="20"/>
      <c r="J1065" s="20"/>
      <c r="K1065" s="20">
        <v>532.0</v>
      </c>
      <c r="L1065" s="20" t="s">
        <v>14</v>
      </c>
      <c r="M1065" s="20">
        <v>-21.46</v>
      </c>
      <c r="N1065" s="20">
        <v>13.26</v>
      </c>
      <c r="P1065" s="20">
        <v>-8.47</v>
      </c>
      <c r="Q1065" s="20">
        <v>22.19</v>
      </c>
      <c r="AG1065" s="43">
        <v>1063.0</v>
      </c>
      <c r="AH1065" s="20" t="s">
        <v>14</v>
      </c>
      <c r="AI1065" s="20">
        <v>-48.14</v>
      </c>
      <c r="AJ1065" s="20">
        <v>-39.4</v>
      </c>
      <c r="AM1065" s="20">
        <v>543.0</v>
      </c>
      <c r="AN1065" s="20" t="s">
        <v>14</v>
      </c>
      <c r="AO1065" s="20">
        <v>13.96</v>
      </c>
      <c r="AP1065" s="20">
        <v>-31.53</v>
      </c>
      <c r="AS1065" s="20">
        <v>536.0</v>
      </c>
      <c r="AT1065" s="20" t="s">
        <v>14</v>
      </c>
      <c r="AU1065" s="20">
        <v>2.67</v>
      </c>
      <c r="AV1065" s="20">
        <v>-21.12</v>
      </c>
      <c r="BE1065" s="43">
        <v>1063.0</v>
      </c>
      <c r="BF1065" s="20" t="s">
        <v>14</v>
      </c>
      <c r="BG1065" s="20">
        <v>-24.94</v>
      </c>
      <c r="BH1065" s="20">
        <v>63.02</v>
      </c>
      <c r="BM1065" s="20">
        <v>1.86</v>
      </c>
      <c r="BN1065" s="20">
        <v>63.73</v>
      </c>
      <c r="BW1065" s="20">
        <v>-21.27</v>
      </c>
      <c r="BX1065" s="20">
        <v>-35.82</v>
      </c>
      <c r="BZ1065" s="20">
        <v>-43.72</v>
      </c>
      <c r="CA1065" s="20">
        <v>15.53</v>
      </c>
      <c r="CO1065" s="20">
        <v>-0.18</v>
      </c>
      <c r="CP1065" s="20">
        <v>-50.68</v>
      </c>
    </row>
    <row r="1066">
      <c r="A1066" s="20">
        <v>53.69</v>
      </c>
      <c r="B1066" s="20">
        <v>2.47</v>
      </c>
      <c r="D1066" s="20"/>
      <c r="E1066" s="20"/>
      <c r="F1066" s="20">
        <v>-33.1</v>
      </c>
      <c r="G1066" s="20">
        <v>-3.62</v>
      </c>
      <c r="I1066" s="20"/>
      <c r="J1066" s="20"/>
      <c r="K1066" s="20">
        <v>532.0</v>
      </c>
      <c r="L1066" s="20" t="s">
        <v>17</v>
      </c>
      <c r="M1066" s="20">
        <v>58.91</v>
      </c>
      <c r="N1066" s="20">
        <v>-24.04</v>
      </c>
      <c r="P1066" s="20">
        <v>-29.77</v>
      </c>
      <c r="Q1066" s="20">
        <v>-68.72</v>
      </c>
      <c r="AG1066" s="43">
        <v>1064.0</v>
      </c>
      <c r="AH1066" s="20" t="s">
        <v>14</v>
      </c>
      <c r="AI1066" s="20">
        <v>-4.62</v>
      </c>
      <c r="AJ1066" s="20">
        <v>2.78</v>
      </c>
      <c r="AM1066" s="20">
        <v>543.0</v>
      </c>
      <c r="AN1066" s="20" t="s">
        <v>17</v>
      </c>
      <c r="AO1066" s="20">
        <v>37.16</v>
      </c>
      <c r="AP1066" s="20">
        <v>-14.39</v>
      </c>
      <c r="AS1066" s="20">
        <v>536.0</v>
      </c>
      <c r="AT1066" s="20" t="s">
        <v>17</v>
      </c>
      <c r="AU1066" s="20">
        <v>-8.89</v>
      </c>
      <c r="AV1066" s="20">
        <v>-44.1</v>
      </c>
      <c r="BE1066" s="43">
        <v>1064.0</v>
      </c>
      <c r="BF1066" s="20" t="s">
        <v>14</v>
      </c>
      <c r="BG1066" s="20">
        <v>11.15</v>
      </c>
      <c r="BH1066" s="20">
        <v>46.22</v>
      </c>
      <c r="BM1066" s="20">
        <v>-0.5</v>
      </c>
      <c r="BN1066" s="20">
        <v>204.18</v>
      </c>
      <c r="BW1066" s="20">
        <v>-39.21</v>
      </c>
      <c r="BX1066" s="20">
        <v>-31.24</v>
      </c>
      <c r="BZ1066" s="20">
        <v>-61.44</v>
      </c>
      <c r="CA1066" s="20">
        <v>49.29</v>
      </c>
      <c r="CO1066" s="20">
        <v>-51.42</v>
      </c>
      <c r="CP1066" s="20">
        <v>-59.41</v>
      </c>
    </row>
    <row r="1067">
      <c r="A1067" s="20">
        <v>132.04</v>
      </c>
      <c r="B1067" s="20">
        <v>11.01</v>
      </c>
      <c r="D1067" s="20"/>
      <c r="E1067" s="20"/>
      <c r="F1067" s="20">
        <v>-46.42</v>
      </c>
      <c r="G1067" s="20">
        <v>12.48</v>
      </c>
      <c r="I1067" s="20"/>
      <c r="J1067" s="20"/>
      <c r="K1067" s="20">
        <v>533.0</v>
      </c>
      <c r="L1067" s="20" t="s">
        <v>14</v>
      </c>
      <c r="M1067" s="20">
        <v>-18.87</v>
      </c>
      <c r="N1067" s="20">
        <v>-10.7</v>
      </c>
      <c r="P1067" s="20">
        <v>0.94</v>
      </c>
      <c r="Q1067" s="20">
        <v>78.67</v>
      </c>
      <c r="AG1067" s="43">
        <v>1065.0</v>
      </c>
      <c r="AH1067" s="20" t="s">
        <v>14</v>
      </c>
      <c r="AI1067" s="20">
        <v>-13.42</v>
      </c>
      <c r="AJ1067" s="20">
        <v>-7.78</v>
      </c>
      <c r="AM1067" s="20">
        <v>544.0</v>
      </c>
      <c r="AN1067" s="20" t="s">
        <v>14</v>
      </c>
      <c r="AO1067" s="20">
        <v>-12.07</v>
      </c>
      <c r="AP1067" s="20">
        <v>-28.03</v>
      </c>
      <c r="AS1067" s="20">
        <v>537.0</v>
      </c>
      <c r="AT1067" s="20" t="s">
        <v>14</v>
      </c>
      <c r="AU1067" s="20">
        <v>-25.59</v>
      </c>
      <c r="AV1067" s="20">
        <v>-19.27</v>
      </c>
      <c r="BE1067" s="43">
        <v>1065.0</v>
      </c>
      <c r="BF1067" s="20" t="s">
        <v>14</v>
      </c>
      <c r="BG1067" s="20">
        <v>17.21</v>
      </c>
      <c r="BH1067" s="20">
        <v>15.7</v>
      </c>
      <c r="BM1067" s="20">
        <v>23.17</v>
      </c>
      <c r="BN1067" s="20">
        <v>69.8</v>
      </c>
      <c r="BW1067" s="20">
        <v>-40.88</v>
      </c>
      <c r="BX1067" s="20">
        <v>-7.56</v>
      </c>
      <c r="BZ1067" s="20">
        <v>-20.31</v>
      </c>
      <c r="CA1067" s="20">
        <v>51.3</v>
      </c>
      <c r="CO1067" s="20">
        <v>-30.5</v>
      </c>
      <c r="CP1067" s="20">
        <v>-59.4</v>
      </c>
    </row>
    <row r="1068">
      <c r="A1068" s="20">
        <v>61.51</v>
      </c>
      <c r="B1068" s="20">
        <v>32.61</v>
      </c>
      <c r="D1068" s="20"/>
      <c r="E1068" s="20"/>
      <c r="F1068" s="20">
        <v>-20.61</v>
      </c>
      <c r="G1068" s="20">
        <v>-9.7</v>
      </c>
      <c r="I1068" s="20"/>
      <c r="J1068" s="20"/>
      <c r="K1068" s="20">
        <v>533.0</v>
      </c>
      <c r="L1068" s="20" t="s">
        <v>17</v>
      </c>
      <c r="M1068" s="20">
        <v>-6.36</v>
      </c>
      <c r="N1068" s="20">
        <v>-0.61</v>
      </c>
      <c r="P1068" s="20">
        <v>-25.95</v>
      </c>
      <c r="Q1068" s="20">
        <v>42.56</v>
      </c>
      <c r="AG1068" s="43">
        <v>1066.0</v>
      </c>
      <c r="AH1068" s="20" t="s">
        <v>14</v>
      </c>
      <c r="AI1068" s="20">
        <v>-71.38</v>
      </c>
      <c r="AJ1068" s="20">
        <v>-44.7</v>
      </c>
      <c r="AM1068" s="20">
        <v>544.0</v>
      </c>
      <c r="AN1068" s="20" t="s">
        <v>17</v>
      </c>
      <c r="AO1068" s="20">
        <v>-4.48</v>
      </c>
      <c r="AP1068" s="20">
        <v>-23.98</v>
      </c>
      <c r="AS1068" s="20">
        <v>537.0</v>
      </c>
      <c r="AT1068" s="20" t="s">
        <v>17</v>
      </c>
      <c r="AU1068" s="20">
        <v>-2.94</v>
      </c>
      <c r="AV1068" s="20">
        <v>-38.44</v>
      </c>
      <c r="BE1068" s="43">
        <v>1066.0</v>
      </c>
      <c r="BF1068" s="20" t="s">
        <v>14</v>
      </c>
      <c r="BG1068" s="20">
        <v>-33.75</v>
      </c>
      <c r="BH1068" s="20">
        <v>111.25</v>
      </c>
      <c r="BM1068" s="20">
        <v>-70.72</v>
      </c>
      <c r="BN1068" s="20">
        <v>-49.38</v>
      </c>
      <c r="BW1068" s="20">
        <v>-46.71</v>
      </c>
      <c r="BX1068" s="20">
        <v>-37.12</v>
      </c>
      <c r="BZ1068" s="20">
        <v>-67.61</v>
      </c>
      <c r="CA1068" s="20">
        <v>32.46</v>
      </c>
      <c r="CO1068" s="20">
        <v>-7.96</v>
      </c>
      <c r="CP1068" s="20">
        <v>-29.5</v>
      </c>
    </row>
    <row r="1069">
      <c r="A1069" s="20">
        <v>1.27</v>
      </c>
      <c r="B1069" s="20">
        <v>62.1</v>
      </c>
      <c r="D1069" s="20"/>
      <c r="E1069" s="20"/>
      <c r="F1069" s="20">
        <v>-26.22</v>
      </c>
      <c r="G1069" s="20">
        <v>-17.47</v>
      </c>
      <c r="I1069" s="20"/>
      <c r="J1069" s="20"/>
      <c r="K1069" s="20">
        <v>534.0</v>
      </c>
      <c r="L1069" s="20" t="s">
        <v>14</v>
      </c>
      <c r="M1069" s="20">
        <v>-19.47</v>
      </c>
      <c r="N1069" s="20">
        <v>-13.69</v>
      </c>
      <c r="P1069" s="20">
        <v>10.68</v>
      </c>
      <c r="Q1069" s="20">
        <v>45.9</v>
      </c>
      <c r="AG1069" s="43">
        <v>1067.0</v>
      </c>
      <c r="AH1069" s="20" t="s">
        <v>14</v>
      </c>
      <c r="AI1069" s="20">
        <v>-49.42</v>
      </c>
      <c r="AJ1069" s="20">
        <v>-50.39</v>
      </c>
      <c r="AM1069" s="20">
        <v>545.0</v>
      </c>
      <c r="AN1069" s="20" t="s">
        <v>14</v>
      </c>
      <c r="AO1069" s="20">
        <v>21.79</v>
      </c>
      <c r="AP1069" s="20">
        <v>-0.7</v>
      </c>
      <c r="AS1069" s="20">
        <v>538.0</v>
      </c>
      <c r="AT1069" s="20" t="s">
        <v>14</v>
      </c>
      <c r="AU1069" s="20">
        <v>4.58</v>
      </c>
      <c r="AV1069" s="20">
        <v>-9.45</v>
      </c>
      <c r="BE1069" s="43">
        <v>1067.0</v>
      </c>
      <c r="BF1069" s="20" t="s">
        <v>14</v>
      </c>
      <c r="BG1069" s="20">
        <v>2.74</v>
      </c>
      <c r="BH1069" s="20">
        <v>26.69</v>
      </c>
      <c r="BM1069" s="20">
        <v>39.37</v>
      </c>
      <c r="BN1069" s="20">
        <v>38.2</v>
      </c>
      <c r="BW1069" s="20">
        <v>-43.01</v>
      </c>
      <c r="BX1069" s="20">
        <v>-20.96</v>
      </c>
      <c r="BZ1069" s="20">
        <v>-31.12</v>
      </c>
      <c r="CA1069" s="20">
        <v>41.56</v>
      </c>
      <c r="CO1069" s="20">
        <v>-5.8</v>
      </c>
      <c r="CP1069" s="20">
        <v>-58.73</v>
      </c>
    </row>
    <row r="1070">
      <c r="A1070" s="20">
        <v>-21.7</v>
      </c>
      <c r="B1070" s="20">
        <v>178.08</v>
      </c>
      <c r="D1070" s="20"/>
      <c r="E1070" s="20"/>
      <c r="F1070" s="20">
        <v>-41.24</v>
      </c>
      <c r="G1070" s="20">
        <v>-14.33</v>
      </c>
      <c r="I1070" s="20"/>
      <c r="J1070" s="20"/>
      <c r="K1070" s="20">
        <v>534.0</v>
      </c>
      <c r="L1070" s="20" t="s">
        <v>17</v>
      </c>
      <c r="M1070" s="20">
        <v>34.19</v>
      </c>
      <c r="N1070" s="20">
        <v>24.05</v>
      </c>
      <c r="P1070" s="20">
        <v>-14.14</v>
      </c>
      <c r="Q1070" s="20">
        <v>33.53</v>
      </c>
      <c r="AG1070" s="43">
        <v>1068.0</v>
      </c>
      <c r="AH1070" s="20" t="s">
        <v>14</v>
      </c>
      <c r="AI1070" s="20">
        <v>11.75</v>
      </c>
      <c r="AJ1070" s="20">
        <v>19.34</v>
      </c>
      <c r="AM1070" s="20">
        <v>545.0</v>
      </c>
      <c r="AN1070" s="20" t="s">
        <v>17</v>
      </c>
      <c r="AO1070" s="20">
        <v>5.16</v>
      </c>
      <c r="AP1070" s="20">
        <v>-24.76</v>
      </c>
      <c r="AS1070" s="20">
        <v>538.0</v>
      </c>
      <c r="AT1070" s="20" t="s">
        <v>17</v>
      </c>
      <c r="AU1070" s="20">
        <v>6.72</v>
      </c>
      <c r="AV1070" s="20">
        <v>-47.11</v>
      </c>
      <c r="BE1070" s="43">
        <v>1068.0</v>
      </c>
      <c r="BF1070" s="20" t="s">
        <v>14</v>
      </c>
      <c r="BG1070" s="20">
        <v>38.06</v>
      </c>
      <c r="BH1070" s="20">
        <v>38.8</v>
      </c>
      <c r="BM1070" s="20">
        <v>38.05</v>
      </c>
      <c r="BN1070" s="20">
        <v>29.54</v>
      </c>
      <c r="BW1070" s="20">
        <v>-27.65</v>
      </c>
      <c r="BX1070" s="20">
        <v>-50.78</v>
      </c>
      <c r="BZ1070" s="20">
        <v>-52.03</v>
      </c>
      <c r="CA1070" s="20">
        <v>6.29</v>
      </c>
      <c r="CO1070" s="20">
        <v>-18.62</v>
      </c>
      <c r="CP1070" s="20">
        <v>-59.76</v>
      </c>
    </row>
    <row r="1071">
      <c r="A1071" s="20">
        <v>19.44</v>
      </c>
      <c r="B1071" s="20">
        <v>65.16</v>
      </c>
      <c r="D1071" s="20"/>
      <c r="E1071" s="20"/>
      <c r="F1071" s="20">
        <v>72.17</v>
      </c>
      <c r="G1071" s="20">
        <v>49.94</v>
      </c>
      <c r="I1071" s="20"/>
      <c r="J1071" s="20"/>
      <c r="K1071" s="20">
        <v>535.0</v>
      </c>
      <c r="L1071" s="20" t="s">
        <v>14</v>
      </c>
      <c r="M1071" s="20">
        <v>-9.2</v>
      </c>
      <c r="N1071" s="20">
        <v>39.94</v>
      </c>
      <c r="P1071" s="20">
        <v>0.73</v>
      </c>
      <c r="Q1071" s="20">
        <v>86.51</v>
      </c>
      <c r="AG1071" s="43">
        <v>1069.0</v>
      </c>
      <c r="AH1071" s="20" t="s">
        <v>14</v>
      </c>
      <c r="AI1071" s="20">
        <v>-64.04</v>
      </c>
      <c r="AJ1071" s="20">
        <v>-26.86</v>
      </c>
      <c r="AM1071" s="20">
        <v>546.0</v>
      </c>
      <c r="AN1071" s="20" t="s">
        <v>14</v>
      </c>
      <c r="AO1071" s="20">
        <v>-19.13</v>
      </c>
      <c r="AP1071" s="20">
        <v>9.85</v>
      </c>
      <c r="AS1071" s="20">
        <v>539.0</v>
      </c>
      <c r="AT1071" s="20" t="s">
        <v>14</v>
      </c>
      <c r="AU1071" s="20">
        <v>22.83</v>
      </c>
      <c r="AV1071" s="20">
        <v>-19.29</v>
      </c>
      <c r="BE1071" s="43">
        <v>1069.0</v>
      </c>
      <c r="BF1071" s="20" t="s">
        <v>14</v>
      </c>
      <c r="BG1071" s="20">
        <v>40.26</v>
      </c>
      <c r="BH1071" s="20">
        <v>-14.17</v>
      </c>
      <c r="BM1071" s="20">
        <v>44.6</v>
      </c>
      <c r="BN1071" s="20">
        <v>89.0</v>
      </c>
      <c r="BW1071" s="20">
        <v>-60.07</v>
      </c>
      <c r="BX1071" s="20">
        <v>-55.88</v>
      </c>
      <c r="BZ1071" s="20">
        <v>-36.94</v>
      </c>
      <c r="CA1071" s="20">
        <v>25.5</v>
      </c>
      <c r="CO1071" s="20">
        <v>-24.03</v>
      </c>
      <c r="CP1071" s="20">
        <v>-35.96</v>
      </c>
    </row>
    <row r="1072">
      <c r="A1072" s="20">
        <v>-17.56</v>
      </c>
      <c r="B1072" s="20">
        <v>14.82</v>
      </c>
      <c r="D1072" s="20"/>
      <c r="E1072" s="20"/>
      <c r="F1072" s="20">
        <v>29.7</v>
      </c>
      <c r="G1072" s="20">
        <v>-6.1</v>
      </c>
      <c r="I1072" s="20"/>
      <c r="J1072" s="20"/>
      <c r="K1072" s="20">
        <v>535.0</v>
      </c>
      <c r="L1072" s="20" t="s">
        <v>17</v>
      </c>
      <c r="M1072" s="20">
        <v>46.09</v>
      </c>
      <c r="N1072" s="20">
        <v>36.05</v>
      </c>
      <c r="P1072" s="20">
        <v>8.18</v>
      </c>
      <c r="Q1072" s="20">
        <v>41.71</v>
      </c>
      <c r="AG1072" s="43">
        <v>1070.0</v>
      </c>
      <c r="AH1072" s="20" t="s">
        <v>14</v>
      </c>
      <c r="AI1072" s="20">
        <v>51.06</v>
      </c>
      <c r="AJ1072" s="20">
        <v>13.52</v>
      </c>
      <c r="AM1072" s="20">
        <v>546.0</v>
      </c>
      <c r="AN1072" s="20" t="s">
        <v>17</v>
      </c>
      <c r="AO1072" s="20">
        <v>-13.29</v>
      </c>
      <c r="AP1072" s="20">
        <v>4.02</v>
      </c>
      <c r="AS1072" s="20">
        <v>539.0</v>
      </c>
      <c r="AT1072" s="20" t="s">
        <v>17</v>
      </c>
      <c r="AU1072" s="20">
        <v>-0.57</v>
      </c>
      <c r="AV1072" s="20">
        <v>-45.06</v>
      </c>
      <c r="BE1072" s="43">
        <v>1070.0</v>
      </c>
      <c r="BF1072" s="20" t="s">
        <v>14</v>
      </c>
      <c r="BG1072" s="20">
        <v>19.48</v>
      </c>
      <c r="BH1072" s="20">
        <v>-15.69</v>
      </c>
      <c r="BM1072" s="20">
        <v>-5.56</v>
      </c>
      <c r="BN1072" s="20">
        <v>175.73</v>
      </c>
      <c r="BW1072" s="20">
        <v>-57.86</v>
      </c>
      <c r="BX1072" s="20">
        <v>-10.48</v>
      </c>
      <c r="BZ1072" s="20">
        <v>-29.83</v>
      </c>
      <c r="CA1072" s="20">
        <v>62.32</v>
      </c>
      <c r="CO1072" s="20">
        <v>-8.46</v>
      </c>
      <c r="CP1072" s="20">
        <v>-54.52</v>
      </c>
    </row>
    <row r="1073">
      <c r="A1073" s="20">
        <v>-39.59</v>
      </c>
      <c r="B1073" s="20">
        <v>5.21</v>
      </c>
      <c r="D1073" s="20"/>
      <c r="E1073" s="20"/>
      <c r="F1073" s="20">
        <v>3.43</v>
      </c>
      <c r="G1073" s="20">
        <v>-5.85</v>
      </c>
      <c r="I1073" s="20"/>
      <c r="J1073" s="20"/>
      <c r="K1073" s="20">
        <v>536.0</v>
      </c>
      <c r="L1073" s="20" t="s">
        <v>14</v>
      </c>
      <c r="M1073" s="20">
        <v>-35.98</v>
      </c>
      <c r="N1073" s="20">
        <v>27.61</v>
      </c>
      <c r="P1073" s="20">
        <v>2.45</v>
      </c>
      <c r="Q1073" s="20">
        <v>29.21</v>
      </c>
      <c r="AG1073" s="43">
        <v>1071.0</v>
      </c>
      <c r="AH1073" s="20" t="s">
        <v>14</v>
      </c>
      <c r="AI1073" s="20">
        <v>57.54</v>
      </c>
      <c r="AJ1073" s="20">
        <v>51.28</v>
      </c>
      <c r="AM1073" s="20">
        <v>547.0</v>
      </c>
      <c r="AN1073" s="20" t="s">
        <v>14</v>
      </c>
      <c r="AO1073" s="20">
        <v>10.45</v>
      </c>
      <c r="AP1073" s="20">
        <v>-5.25</v>
      </c>
      <c r="AS1073" s="20">
        <v>540.0</v>
      </c>
      <c r="AT1073" s="20" t="s">
        <v>14</v>
      </c>
      <c r="AU1073" s="20">
        <v>-12.04</v>
      </c>
      <c r="AV1073" s="20">
        <v>23.62</v>
      </c>
      <c r="BE1073" s="43">
        <v>1071.0</v>
      </c>
      <c r="BF1073" s="20" t="s">
        <v>14</v>
      </c>
      <c r="BG1073" s="20">
        <v>72.8</v>
      </c>
      <c r="BH1073" s="20">
        <v>43.98</v>
      </c>
      <c r="BM1073" s="20">
        <v>83.86</v>
      </c>
      <c r="BN1073" s="20">
        <v>112.96</v>
      </c>
      <c r="BW1073" s="20">
        <v>-47.81</v>
      </c>
      <c r="BX1073" s="20">
        <v>-4.28</v>
      </c>
      <c r="BZ1073" s="20">
        <v>-45.51</v>
      </c>
      <c r="CA1073" s="20">
        <v>8.16</v>
      </c>
      <c r="CO1073" s="20">
        <v>-22.44</v>
      </c>
      <c r="CP1073" s="20">
        <v>-47.6</v>
      </c>
    </row>
    <row r="1074">
      <c r="A1074" s="20">
        <v>31.52</v>
      </c>
      <c r="B1074" s="20">
        <v>10.32</v>
      </c>
      <c r="D1074" s="20"/>
      <c r="E1074" s="20"/>
      <c r="F1074" s="20">
        <v>-4.47</v>
      </c>
      <c r="G1074" s="20">
        <v>-5.72</v>
      </c>
      <c r="I1074" s="20"/>
      <c r="J1074" s="20"/>
      <c r="K1074" s="20">
        <v>536.0</v>
      </c>
      <c r="L1074" s="20" t="s">
        <v>17</v>
      </c>
      <c r="M1074" s="20">
        <v>-17.26</v>
      </c>
      <c r="N1074" s="20">
        <v>-13.52</v>
      </c>
      <c r="P1074" s="20">
        <v>-1.0</v>
      </c>
      <c r="Q1074" s="20">
        <v>22.2</v>
      </c>
      <c r="AG1074" s="43">
        <v>1072.0</v>
      </c>
      <c r="AH1074" s="20" t="s">
        <v>14</v>
      </c>
      <c r="AI1074" s="20">
        <v>-12.31</v>
      </c>
      <c r="AJ1074" s="20">
        <v>-20.26</v>
      </c>
      <c r="AM1074" s="20">
        <v>547.0</v>
      </c>
      <c r="AN1074" s="20" t="s">
        <v>17</v>
      </c>
      <c r="AO1074" s="20">
        <v>28.58</v>
      </c>
      <c r="AP1074" s="20">
        <v>-15.98</v>
      </c>
      <c r="AS1074" s="20">
        <v>540.0</v>
      </c>
      <c r="AT1074" s="20" t="s">
        <v>17</v>
      </c>
      <c r="AU1074" s="20">
        <v>20.92</v>
      </c>
      <c r="AV1074" s="20">
        <v>-8.55</v>
      </c>
      <c r="BE1074" s="43">
        <v>1072.0</v>
      </c>
      <c r="BF1074" s="20" t="s">
        <v>14</v>
      </c>
      <c r="BG1074" s="20">
        <v>-13.0</v>
      </c>
      <c r="BH1074" s="20">
        <v>8.33</v>
      </c>
      <c r="BM1074" s="20">
        <v>13.2</v>
      </c>
      <c r="BN1074" s="20">
        <v>71.66</v>
      </c>
      <c r="BW1074" s="20">
        <v>-56.26</v>
      </c>
      <c r="BX1074" s="20">
        <v>16.58</v>
      </c>
      <c r="BZ1074" s="20">
        <v>-44.69</v>
      </c>
      <c r="CA1074" s="20">
        <v>13.61</v>
      </c>
      <c r="CO1074" s="20">
        <v>13.76</v>
      </c>
      <c r="CP1074" s="20">
        <v>-69.88</v>
      </c>
    </row>
    <row r="1075">
      <c r="A1075" s="20">
        <v>12.25</v>
      </c>
      <c r="B1075" s="20">
        <v>86.76</v>
      </c>
      <c r="D1075" s="20"/>
      <c r="E1075" s="20"/>
      <c r="F1075" s="20">
        <v>-4.98</v>
      </c>
      <c r="G1075" s="20">
        <v>7.57</v>
      </c>
      <c r="I1075" s="20"/>
      <c r="J1075" s="20"/>
      <c r="K1075" s="20">
        <v>537.0</v>
      </c>
      <c r="L1075" s="20" t="s">
        <v>14</v>
      </c>
      <c r="M1075" s="20">
        <v>-1.84</v>
      </c>
      <c r="N1075" s="20">
        <v>-0.21</v>
      </c>
      <c r="P1075" s="20">
        <v>4.01</v>
      </c>
      <c r="Q1075" s="20">
        <v>-10.61</v>
      </c>
      <c r="AG1075" s="43">
        <v>1073.0</v>
      </c>
      <c r="AH1075" s="20" t="s">
        <v>14</v>
      </c>
      <c r="AI1075" s="20">
        <v>-4.02</v>
      </c>
      <c r="AJ1075" s="20">
        <v>-5.43</v>
      </c>
      <c r="AM1075" s="20">
        <v>548.0</v>
      </c>
      <c r="AN1075" s="20" t="s">
        <v>14</v>
      </c>
      <c r="AO1075" s="20">
        <v>11.37</v>
      </c>
      <c r="AP1075" s="20">
        <v>-10.83</v>
      </c>
      <c r="AS1075" s="20">
        <v>541.0</v>
      </c>
      <c r="AT1075" s="20" t="s">
        <v>14</v>
      </c>
      <c r="AU1075" s="20">
        <v>-6.92</v>
      </c>
      <c r="AV1075" s="20">
        <v>-32.96</v>
      </c>
      <c r="BE1075" s="43">
        <v>1073.0</v>
      </c>
      <c r="BF1075" s="20" t="s">
        <v>14</v>
      </c>
      <c r="BG1075" s="20">
        <v>66.57</v>
      </c>
      <c r="BH1075" s="20">
        <v>3.98</v>
      </c>
      <c r="BM1075" s="20">
        <v>44.96</v>
      </c>
      <c r="BN1075" s="20">
        <v>85.67</v>
      </c>
      <c r="BW1075" s="20">
        <v>-37.34</v>
      </c>
      <c r="BX1075" s="20">
        <v>-13.11</v>
      </c>
      <c r="BZ1075" s="20">
        <v>-40.11</v>
      </c>
      <c r="CA1075" s="20">
        <v>60.52</v>
      </c>
      <c r="CO1075" s="20">
        <v>-19.46</v>
      </c>
      <c r="CP1075" s="20">
        <v>-42.28</v>
      </c>
    </row>
    <row r="1076">
      <c r="A1076" s="20">
        <v>23.1</v>
      </c>
      <c r="B1076" s="20">
        <v>-46.85</v>
      </c>
      <c r="D1076" s="20"/>
      <c r="E1076" s="20"/>
      <c r="F1076" s="20">
        <v>-14.65</v>
      </c>
      <c r="G1076" s="20">
        <v>-15.05</v>
      </c>
      <c r="I1076" s="20"/>
      <c r="J1076" s="20"/>
      <c r="K1076" s="20">
        <v>537.0</v>
      </c>
      <c r="L1076" s="20" t="s">
        <v>17</v>
      </c>
      <c r="M1076" s="20">
        <v>-51.51</v>
      </c>
      <c r="N1076" s="20">
        <v>7.74</v>
      </c>
      <c r="P1076" s="20">
        <v>25.86</v>
      </c>
      <c r="Q1076" s="20">
        <v>30.18</v>
      </c>
      <c r="AG1076" s="43">
        <v>1074.0</v>
      </c>
      <c r="AH1076" s="20" t="s">
        <v>14</v>
      </c>
      <c r="AI1076" s="20">
        <v>4.67</v>
      </c>
      <c r="AJ1076" s="20">
        <v>2.95</v>
      </c>
      <c r="AM1076" s="20">
        <v>548.0</v>
      </c>
      <c r="AN1076" s="20" t="s">
        <v>17</v>
      </c>
      <c r="AO1076" s="20">
        <v>-34.53</v>
      </c>
      <c r="AP1076" s="20">
        <v>-35.01</v>
      </c>
      <c r="AS1076" s="20">
        <v>541.0</v>
      </c>
      <c r="AT1076" s="20" t="s">
        <v>17</v>
      </c>
      <c r="AU1076" s="20">
        <v>-5.5</v>
      </c>
      <c r="AV1076" s="20">
        <v>-53.99</v>
      </c>
      <c r="BE1076" s="43">
        <v>1074.0</v>
      </c>
      <c r="BF1076" s="20" t="s">
        <v>14</v>
      </c>
      <c r="BG1076" s="20">
        <v>43.63</v>
      </c>
      <c r="BH1076" s="20">
        <v>-6.4</v>
      </c>
      <c r="BM1076" s="20">
        <v>42.73</v>
      </c>
      <c r="BN1076" s="20">
        <v>54.14</v>
      </c>
      <c r="BW1076" s="20">
        <v>-45.65</v>
      </c>
      <c r="BX1076" s="20">
        <v>-5.73</v>
      </c>
      <c r="BZ1076" s="20">
        <v>-60.87</v>
      </c>
      <c r="CA1076" s="20">
        <v>-34.04</v>
      </c>
      <c r="CO1076" s="20">
        <v>8.46</v>
      </c>
      <c r="CP1076" s="20">
        <v>-58.74</v>
      </c>
    </row>
    <row r="1077">
      <c r="A1077" s="20">
        <v>76.04</v>
      </c>
      <c r="B1077" s="20">
        <v>156.11</v>
      </c>
      <c r="D1077" s="20"/>
      <c r="E1077" s="20"/>
      <c r="F1077" s="20">
        <v>50.02</v>
      </c>
      <c r="G1077" s="20">
        <v>26.54</v>
      </c>
      <c r="I1077" s="20"/>
      <c r="J1077" s="20"/>
      <c r="K1077" s="20">
        <v>538.0</v>
      </c>
      <c r="L1077" s="20" t="s">
        <v>14</v>
      </c>
      <c r="M1077" s="20">
        <v>45.06</v>
      </c>
      <c r="N1077" s="20">
        <v>46.0</v>
      </c>
      <c r="P1077" s="20">
        <v>8.98</v>
      </c>
      <c r="Q1077" s="20">
        <v>10.58</v>
      </c>
      <c r="AG1077" s="43">
        <v>1075.0</v>
      </c>
      <c r="AH1077" s="20" t="s">
        <v>14</v>
      </c>
      <c r="AI1077" s="20">
        <v>-69.48</v>
      </c>
      <c r="AJ1077" s="20">
        <v>-42.83</v>
      </c>
      <c r="AM1077" s="20">
        <v>549.0</v>
      </c>
      <c r="AN1077" s="20" t="s">
        <v>14</v>
      </c>
      <c r="AO1077" s="20">
        <v>-20.0</v>
      </c>
      <c r="AP1077" s="20">
        <v>-26.92</v>
      </c>
      <c r="AS1077" s="20">
        <v>542.0</v>
      </c>
      <c r="AT1077" s="20" t="s">
        <v>14</v>
      </c>
      <c r="AU1077" s="20">
        <v>19.47</v>
      </c>
      <c r="AV1077" s="20">
        <v>-7.63</v>
      </c>
      <c r="BE1077" s="43">
        <v>1075.0</v>
      </c>
      <c r="BF1077" s="20" t="s">
        <v>14</v>
      </c>
      <c r="BG1077" s="20">
        <v>11.74</v>
      </c>
      <c r="BH1077" s="20">
        <v>79.29</v>
      </c>
      <c r="BM1077" s="20">
        <v>50.25</v>
      </c>
      <c r="BN1077" s="20">
        <v>96.12</v>
      </c>
      <c r="BW1077" s="20">
        <v>-44.14</v>
      </c>
      <c r="BX1077" s="20">
        <v>-40.86</v>
      </c>
      <c r="BZ1077" s="20">
        <v>-27.28</v>
      </c>
      <c r="CA1077" s="20">
        <v>45.76</v>
      </c>
      <c r="CO1077" s="20">
        <v>-7.85</v>
      </c>
      <c r="CP1077" s="20">
        <v>-62.09</v>
      </c>
    </row>
    <row r="1078">
      <c r="A1078" s="20">
        <v>-28.46</v>
      </c>
      <c r="B1078" s="20">
        <v>7.0</v>
      </c>
      <c r="D1078" s="20"/>
      <c r="E1078" s="20"/>
      <c r="F1078" s="20">
        <v>-8.56</v>
      </c>
      <c r="G1078" s="20">
        <v>-13.76</v>
      </c>
      <c r="I1078" s="20"/>
      <c r="J1078" s="20"/>
      <c r="K1078" s="20">
        <v>538.0</v>
      </c>
      <c r="L1078" s="20" t="s">
        <v>17</v>
      </c>
      <c r="M1078" s="20">
        <v>18.65</v>
      </c>
      <c r="N1078" s="20">
        <v>22.39</v>
      </c>
      <c r="P1078" s="20">
        <v>12.46</v>
      </c>
      <c r="Q1078" s="20">
        <v>-11.73</v>
      </c>
      <c r="AG1078" s="43">
        <v>1076.0</v>
      </c>
      <c r="AH1078" s="20" t="s">
        <v>14</v>
      </c>
      <c r="AI1078" s="20">
        <v>-51.08</v>
      </c>
      <c r="AJ1078" s="20">
        <v>-44.46</v>
      </c>
      <c r="AM1078" s="20">
        <v>549.0</v>
      </c>
      <c r="AN1078" s="20" t="s">
        <v>17</v>
      </c>
      <c r="AO1078" s="20">
        <v>-7.18</v>
      </c>
      <c r="AP1078" s="20">
        <v>-34.79</v>
      </c>
      <c r="AS1078" s="20">
        <v>542.0</v>
      </c>
      <c r="AT1078" s="20" t="s">
        <v>17</v>
      </c>
      <c r="AU1078" s="20">
        <v>-24.47</v>
      </c>
      <c r="AV1078" s="20">
        <v>-34.78</v>
      </c>
      <c r="BE1078" s="43">
        <v>1076.0</v>
      </c>
      <c r="BF1078" s="20" t="s">
        <v>14</v>
      </c>
      <c r="BG1078" s="20">
        <v>21.47</v>
      </c>
      <c r="BH1078" s="20">
        <v>5.64</v>
      </c>
      <c r="BM1078" s="20">
        <v>42.69</v>
      </c>
      <c r="BN1078" s="20">
        <v>79.68</v>
      </c>
      <c r="BW1078" s="20">
        <v>-41.74</v>
      </c>
      <c r="BX1078" s="20">
        <v>-13.46</v>
      </c>
      <c r="BZ1078" s="20">
        <v>-54.69</v>
      </c>
      <c r="CA1078" s="20">
        <v>7.52</v>
      </c>
      <c r="CO1078" s="20">
        <v>61.64</v>
      </c>
      <c r="CP1078" s="20">
        <v>-55.83</v>
      </c>
    </row>
    <row r="1079">
      <c r="A1079" s="20">
        <v>-48.89</v>
      </c>
      <c r="B1079" s="20">
        <v>-0.2</v>
      </c>
      <c r="D1079" s="20"/>
      <c r="E1079" s="20"/>
      <c r="F1079" s="20">
        <v>5.81</v>
      </c>
      <c r="G1079" s="20">
        <v>27.16</v>
      </c>
      <c r="I1079" s="20"/>
      <c r="J1079" s="20"/>
      <c r="K1079" s="20">
        <v>539.0</v>
      </c>
      <c r="L1079" s="20" t="s">
        <v>14</v>
      </c>
      <c r="M1079" s="20">
        <v>-32.68</v>
      </c>
      <c r="N1079" s="20">
        <v>28.84</v>
      </c>
      <c r="P1079" s="20">
        <v>-24.46</v>
      </c>
      <c r="Q1079" s="20">
        <v>1.44</v>
      </c>
      <c r="AG1079" s="43">
        <v>1077.0</v>
      </c>
      <c r="AH1079" s="20" t="s">
        <v>14</v>
      </c>
      <c r="AI1079" s="20">
        <v>-35.32</v>
      </c>
      <c r="AJ1079" s="20">
        <v>-33.97</v>
      </c>
      <c r="AM1079" s="20">
        <v>550.0</v>
      </c>
      <c r="AN1079" s="20" t="s">
        <v>14</v>
      </c>
      <c r="AO1079" s="20">
        <v>-19.68</v>
      </c>
      <c r="AP1079" s="20">
        <v>-14.04</v>
      </c>
      <c r="AS1079" s="20">
        <v>543.0</v>
      </c>
      <c r="AT1079" s="20" t="s">
        <v>14</v>
      </c>
      <c r="AU1079" s="20">
        <v>-22.91</v>
      </c>
      <c r="AV1079" s="20">
        <v>-17.19</v>
      </c>
      <c r="BE1079" s="43">
        <v>1077.0</v>
      </c>
      <c r="BF1079" s="20" t="s">
        <v>14</v>
      </c>
      <c r="BG1079" s="20">
        <v>7.77</v>
      </c>
      <c r="BH1079" s="20">
        <v>28.83</v>
      </c>
      <c r="BM1079" s="20">
        <v>55.49</v>
      </c>
      <c r="BN1079" s="20">
        <v>62.22</v>
      </c>
      <c r="BW1079" s="20">
        <v>-42.47</v>
      </c>
      <c r="BX1079" s="20">
        <v>-35.96</v>
      </c>
      <c r="BZ1079" s="20">
        <v>-39.12</v>
      </c>
      <c r="CA1079" s="20">
        <v>21.28</v>
      </c>
      <c r="CO1079" s="20">
        <v>-39.77</v>
      </c>
      <c r="CP1079" s="20">
        <v>-70.35</v>
      </c>
    </row>
    <row r="1080">
      <c r="A1080" s="20">
        <v>24.12</v>
      </c>
      <c r="B1080" s="20">
        <v>71.31</v>
      </c>
      <c r="D1080" s="20"/>
      <c r="E1080" s="20"/>
      <c r="F1080" s="20">
        <v>-26.0</v>
      </c>
      <c r="G1080" s="20">
        <v>-33.03</v>
      </c>
      <c r="I1080" s="20"/>
      <c r="J1080" s="20"/>
      <c r="K1080" s="20">
        <v>539.0</v>
      </c>
      <c r="L1080" s="20" t="s">
        <v>17</v>
      </c>
      <c r="M1080" s="20">
        <v>74.88</v>
      </c>
      <c r="N1080" s="20">
        <v>172.19</v>
      </c>
      <c r="P1080" s="20">
        <v>-17.31</v>
      </c>
      <c r="Q1080" s="20">
        <v>28.21</v>
      </c>
      <c r="AG1080" s="43">
        <v>1078.0</v>
      </c>
      <c r="AH1080" s="20" t="s">
        <v>14</v>
      </c>
      <c r="AI1080" s="20">
        <v>-21.21</v>
      </c>
      <c r="AJ1080" s="20">
        <v>-21.71</v>
      </c>
      <c r="AM1080" s="20">
        <v>550.0</v>
      </c>
      <c r="AN1080" s="20" t="s">
        <v>17</v>
      </c>
      <c r="AO1080" s="20">
        <v>-21.89</v>
      </c>
      <c r="AP1080" s="20">
        <v>-28.07</v>
      </c>
      <c r="AS1080" s="20">
        <v>543.0</v>
      </c>
      <c r="AT1080" s="20" t="s">
        <v>17</v>
      </c>
      <c r="AU1080" s="20">
        <v>-8.78</v>
      </c>
      <c r="AV1080" s="20">
        <v>-39.38</v>
      </c>
      <c r="BE1080" s="43">
        <v>1078.0</v>
      </c>
      <c r="BF1080" s="20" t="s">
        <v>14</v>
      </c>
      <c r="BG1080" s="20">
        <v>15.29</v>
      </c>
      <c r="BH1080" s="20">
        <v>15.67</v>
      </c>
      <c r="BM1080" s="20">
        <v>56.55</v>
      </c>
      <c r="BN1080" s="20">
        <v>127.13</v>
      </c>
      <c r="BW1080" s="20">
        <v>-48.27</v>
      </c>
      <c r="BX1080" s="20">
        <v>-36.95</v>
      </c>
      <c r="BZ1080" s="20">
        <v>-47.65</v>
      </c>
      <c r="CA1080" s="20">
        <v>123.34</v>
      </c>
      <c r="CO1080" s="20">
        <v>-31.42</v>
      </c>
      <c r="CP1080" s="20">
        <v>-54.27</v>
      </c>
    </row>
    <row r="1081">
      <c r="A1081" s="20">
        <v>-53.84</v>
      </c>
      <c r="B1081" s="20">
        <v>10.81</v>
      </c>
      <c r="D1081" s="20"/>
      <c r="E1081" s="20"/>
      <c r="F1081" s="20">
        <v>-34.36</v>
      </c>
      <c r="G1081" s="20">
        <v>-1.21</v>
      </c>
      <c r="I1081" s="20"/>
      <c r="J1081" s="20"/>
      <c r="K1081" s="20">
        <v>540.0</v>
      </c>
      <c r="L1081" s="20" t="s">
        <v>14</v>
      </c>
      <c r="M1081" s="20">
        <v>9.4</v>
      </c>
      <c r="N1081" s="20">
        <v>92.59</v>
      </c>
      <c r="P1081" s="20">
        <v>-21.95</v>
      </c>
      <c r="Q1081" s="20">
        <v>4.25</v>
      </c>
      <c r="AG1081" s="43">
        <v>1079.0</v>
      </c>
      <c r="AH1081" s="20" t="s">
        <v>14</v>
      </c>
      <c r="AI1081" s="20">
        <v>4.89</v>
      </c>
      <c r="AJ1081" s="20">
        <v>-15.45</v>
      </c>
      <c r="AM1081" s="20">
        <v>551.0</v>
      </c>
      <c r="AN1081" s="20" t="s">
        <v>14</v>
      </c>
      <c r="AO1081" s="20">
        <v>-9.13</v>
      </c>
      <c r="AP1081" s="20">
        <v>-5.42</v>
      </c>
      <c r="AS1081" s="20">
        <v>544.0</v>
      </c>
      <c r="AT1081" s="20" t="s">
        <v>14</v>
      </c>
      <c r="AU1081" s="20">
        <v>-9.85</v>
      </c>
      <c r="AV1081" s="20">
        <v>1.04</v>
      </c>
      <c r="BE1081" s="43">
        <v>1079.0</v>
      </c>
      <c r="BF1081" s="20" t="s">
        <v>14</v>
      </c>
      <c r="BG1081" s="20">
        <v>-6.05</v>
      </c>
      <c r="BH1081" s="20">
        <v>51.05</v>
      </c>
      <c r="BM1081" s="20">
        <v>33.52</v>
      </c>
      <c r="BN1081" s="20">
        <v>90.63</v>
      </c>
      <c r="BW1081" s="20">
        <v>-60.9</v>
      </c>
      <c r="BX1081" s="20">
        <v>-21.54</v>
      </c>
      <c r="BZ1081" s="20">
        <v>-41.07</v>
      </c>
      <c r="CA1081" s="20">
        <v>49.01</v>
      </c>
      <c r="CO1081" s="20">
        <v>-13.07</v>
      </c>
      <c r="CP1081" s="20">
        <v>-51.36</v>
      </c>
    </row>
    <row r="1082">
      <c r="A1082" s="20">
        <v>32.37</v>
      </c>
      <c r="B1082" s="20">
        <v>-12.8</v>
      </c>
      <c r="D1082" s="20"/>
      <c r="E1082" s="20"/>
      <c r="F1082" s="20">
        <v>-31.38</v>
      </c>
      <c r="G1082" s="20">
        <v>6.32</v>
      </c>
      <c r="I1082" s="20"/>
      <c r="J1082" s="20"/>
      <c r="K1082" s="20">
        <v>540.0</v>
      </c>
      <c r="L1082" s="20" t="s">
        <v>17</v>
      </c>
      <c r="M1082" s="20">
        <v>-36.8</v>
      </c>
      <c r="N1082" s="20">
        <v>26.13</v>
      </c>
      <c r="P1082" s="20">
        <v>-4.48</v>
      </c>
      <c r="Q1082" s="20">
        <v>29.81</v>
      </c>
      <c r="AG1082" s="43">
        <v>1080.0</v>
      </c>
      <c r="AH1082" s="20" t="s">
        <v>14</v>
      </c>
      <c r="AI1082" s="20">
        <v>-12.38</v>
      </c>
      <c r="AJ1082" s="20">
        <v>-40.52</v>
      </c>
      <c r="AM1082" s="20">
        <v>551.0</v>
      </c>
      <c r="AN1082" s="20" t="s">
        <v>17</v>
      </c>
      <c r="AO1082" s="20">
        <v>-1.9</v>
      </c>
      <c r="AP1082" s="20">
        <v>-18.22</v>
      </c>
      <c r="AS1082" s="20">
        <v>544.0</v>
      </c>
      <c r="AT1082" s="20" t="s">
        <v>17</v>
      </c>
      <c r="AU1082" s="20">
        <v>-33.07</v>
      </c>
      <c r="AV1082" s="20">
        <v>-38.43</v>
      </c>
      <c r="BE1082" s="43">
        <v>1080.0</v>
      </c>
      <c r="BF1082" s="20" t="s">
        <v>14</v>
      </c>
      <c r="BG1082" s="20">
        <v>27.78</v>
      </c>
      <c r="BH1082" s="20">
        <v>17.32</v>
      </c>
      <c r="BM1082" s="20">
        <v>36.3</v>
      </c>
      <c r="BN1082" s="20">
        <v>120.1</v>
      </c>
      <c r="BW1082" s="20">
        <v>-48.84</v>
      </c>
      <c r="BX1082" s="20">
        <v>-25.87</v>
      </c>
      <c r="BZ1082" s="20">
        <v>-50.53</v>
      </c>
      <c r="CA1082" s="20">
        <v>107.0</v>
      </c>
      <c r="CO1082" s="20">
        <v>-28.46</v>
      </c>
      <c r="CP1082" s="20">
        <v>-60.34</v>
      </c>
    </row>
    <row r="1083">
      <c r="A1083" s="20">
        <v>-40.79</v>
      </c>
      <c r="B1083" s="20">
        <v>-18.52</v>
      </c>
      <c r="D1083" s="20"/>
      <c r="E1083" s="20"/>
      <c r="F1083" s="20">
        <v>-24.97</v>
      </c>
      <c r="G1083" s="20">
        <v>45.26</v>
      </c>
      <c r="I1083" s="20"/>
      <c r="J1083" s="20"/>
      <c r="K1083" s="20">
        <v>541.0</v>
      </c>
      <c r="L1083" s="20" t="s">
        <v>14</v>
      </c>
      <c r="M1083" s="20">
        <v>-0.26</v>
      </c>
      <c r="N1083" s="20">
        <v>17.07</v>
      </c>
      <c r="P1083" s="20">
        <v>-5.66</v>
      </c>
      <c r="Q1083" s="20">
        <v>-0.65</v>
      </c>
      <c r="AG1083" s="43">
        <v>1081.0</v>
      </c>
      <c r="AH1083" s="20" t="s">
        <v>14</v>
      </c>
      <c r="AI1083" s="20">
        <v>-35.95</v>
      </c>
      <c r="AJ1083" s="20">
        <v>-0.72</v>
      </c>
      <c r="AM1083" s="20">
        <v>552.0</v>
      </c>
      <c r="AN1083" s="20" t="s">
        <v>14</v>
      </c>
      <c r="AO1083" s="20">
        <v>-3.15</v>
      </c>
      <c r="AP1083" s="20">
        <v>-7.34</v>
      </c>
      <c r="AS1083" s="20">
        <v>545.0</v>
      </c>
      <c r="AT1083" s="20" t="s">
        <v>14</v>
      </c>
      <c r="AU1083" s="20">
        <v>-6.4</v>
      </c>
      <c r="AV1083" s="20">
        <v>-22.03</v>
      </c>
      <c r="BE1083" s="43">
        <v>1081.0</v>
      </c>
      <c r="BF1083" s="20" t="s">
        <v>14</v>
      </c>
      <c r="BG1083" s="20">
        <v>9.47</v>
      </c>
      <c r="BH1083" s="20">
        <v>-33.32</v>
      </c>
      <c r="BM1083" s="20">
        <v>37.92</v>
      </c>
      <c r="BN1083" s="20">
        <v>41.81</v>
      </c>
      <c r="BW1083" s="20">
        <v>-53.76</v>
      </c>
      <c r="BX1083" s="20">
        <v>-10.99</v>
      </c>
      <c r="BZ1083" s="20">
        <v>-37.26</v>
      </c>
      <c r="CA1083" s="20">
        <v>112.66</v>
      </c>
      <c r="CO1083" s="20">
        <v>-19.1</v>
      </c>
      <c r="CP1083" s="20">
        <v>-50.99</v>
      </c>
    </row>
    <row r="1084">
      <c r="A1084" s="20">
        <v>62.49</v>
      </c>
      <c r="B1084" s="20">
        <v>119.64</v>
      </c>
      <c r="D1084" s="20"/>
      <c r="E1084" s="20"/>
      <c r="F1084" s="20">
        <v>-19.71</v>
      </c>
      <c r="G1084" s="20">
        <v>-11.99</v>
      </c>
      <c r="I1084" s="20"/>
      <c r="J1084" s="20"/>
      <c r="K1084" s="20">
        <v>541.0</v>
      </c>
      <c r="L1084" s="20" t="s">
        <v>17</v>
      </c>
      <c r="M1084" s="20">
        <v>11.54</v>
      </c>
      <c r="N1084" s="20">
        <v>-24.93</v>
      </c>
      <c r="P1084" s="20">
        <v>-15.12</v>
      </c>
      <c r="Q1084" s="20">
        <v>-2.35</v>
      </c>
      <c r="AG1084" s="43">
        <v>1082.0</v>
      </c>
      <c r="AH1084" s="20" t="s">
        <v>14</v>
      </c>
      <c r="AI1084" s="20">
        <v>-29.64</v>
      </c>
      <c r="AJ1084" s="20">
        <v>20.07</v>
      </c>
      <c r="AM1084" s="20">
        <v>552.0</v>
      </c>
      <c r="AN1084" s="20" t="s">
        <v>17</v>
      </c>
      <c r="AO1084" s="20">
        <v>-31.76</v>
      </c>
      <c r="AP1084" s="20">
        <v>-42.86</v>
      </c>
      <c r="AS1084" s="20">
        <v>545.0</v>
      </c>
      <c r="AT1084" s="20" t="s">
        <v>17</v>
      </c>
      <c r="AU1084" s="20">
        <v>-22.7</v>
      </c>
      <c r="AV1084" s="20">
        <v>-27.67</v>
      </c>
      <c r="BE1084" s="43">
        <v>1082.0</v>
      </c>
      <c r="BF1084" s="20" t="s">
        <v>14</v>
      </c>
      <c r="BG1084" s="20">
        <v>0.21</v>
      </c>
      <c r="BH1084" s="20">
        <v>-41.08</v>
      </c>
      <c r="BM1084" s="20">
        <v>16.28</v>
      </c>
      <c r="BN1084" s="20">
        <v>90.92</v>
      </c>
      <c r="BW1084" s="20">
        <v>-48.51</v>
      </c>
      <c r="BX1084" s="20">
        <v>64.7</v>
      </c>
      <c r="BZ1084" s="20">
        <v>-63.82</v>
      </c>
      <c r="CA1084" s="20">
        <v>-0.02</v>
      </c>
      <c r="CO1084" s="20">
        <v>4.08</v>
      </c>
      <c r="CP1084" s="20">
        <v>-52.94</v>
      </c>
    </row>
    <row r="1085">
      <c r="A1085" s="20">
        <v>53.83</v>
      </c>
      <c r="B1085" s="20">
        <v>48.74</v>
      </c>
      <c r="D1085" s="20"/>
      <c r="E1085" s="20"/>
      <c r="F1085" s="20">
        <v>-28.99</v>
      </c>
      <c r="G1085" s="20">
        <v>54.22</v>
      </c>
      <c r="I1085" s="20"/>
      <c r="J1085" s="20"/>
      <c r="K1085" s="20">
        <v>542.0</v>
      </c>
      <c r="L1085" s="20" t="s">
        <v>14</v>
      </c>
      <c r="M1085" s="20">
        <v>2.65</v>
      </c>
      <c r="N1085" s="20">
        <v>-1.46</v>
      </c>
      <c r="P1085" s="20">
        <v>26.74</v>
      </c>
      <c r="Q1085" s="20">
        <v>34.02</v>
      </c>
      <c r="AG1085" s="43">
        <v>1083.0</v>
      </c>
      <c r="AH1085" s="20" t="s">
        <v>14</v>
      </c>
      <c r="AI1085" s="20">
        <v>-1.07</v>
      </c>
      <c r="AJ1085" s="20">
        <v>-27.58</v>
      </c>
      <c r="AM1085" s="20">
        <v>553.0</v>
      </c>
      <c r="AN1085" s="20" t="s">
        <v>14</v>
      </c>
      <c r="AO1085" s="20">
        <v>-24.53</v>
      </c>
      <c r="AP1085" s="20">
        <v>-23.82</v>
      </c>
      <c r="AS1085" s="20">
        <v>546.0</v>
      </c>
      <c r="AT1085" s="20" t="s">
        <v>14</v>
      </c>
      <c r="AU1085" s="20">
        <v>2.5</v>
      </c>
      <c r="AV1085" s="20">
        <v>-19.13</v>
      </c>
      <c r="BE1085" s="43">
        <v>1083.0</v>
      </c>
      <c r="BF1085" s="20" t="s">
        <v>14</v>
      </c>
      <c r="BG1085" s="20">
        <v>159.11</v>
      </c>
      <c r="BH1085" s="20">
        <v>1.63</v>
      </c>
      <c r="BM1085" s="20">
        <v>-5.58</v>
      </c>
      <c r="BN1085" s="20">
        <v>49.12</v>
      </c>
      <c r="BW1085" s="20">
        <v>-26.23</v>
      </c>
      <c r="BX1085" s="20">
        <v>-46.88</v>
      </c>
      <c r="BZ1085" s="20">
        <v>-26.29</v>
      </c>
      <c r="CA1085" s="20">
        <v>67.95</v>
      </c>
      <c r="CO1085" s="20">
        <v>26.71</v>
      </c>
      <c r="CP1085" s="20">
        <v>-62.97</v>
      </c>
    </row>
    <row r="1086">
      <c r="A1086" s="20">
        <v>57.77</v>
      </c>
      <c r="B1086" s="20">
        <v>79.74</v>
      </c>
      <c r="D1086" s="20"/>
      <c r="E1086" s="20"/>
      <c r="F1086" s="20">
        <v>-32.51</v>
      </c>
      <c r="G1086" s="20">
        <v>35.92</v>
      </c>
      <c r="I1086" s="20"/>
      <c r="J1086" s="20"/>
      <c r="K1086" s="20">
        <v>542.0</v>
      </c>
      <c r="L1086" s="20" t="s">
        <v>17</v>
      </c>
      <c r="M1086" s="20">
        <v>21.11</v>
      </c>
      <c r="N1086" s="20">
        <v>44.38</v>
      </c>
      <c r="P1086" s="20">
        <v>-9.04</v>
      </c>
      <c r="Q1086" s="20">
        <v>0.86</v>
      </c>
      <c r="AG1086" s="43">
        <v>1084.0</v>
      </c>
      <c r="AH1086" s="20" t="s">
        <v>14</v>
      </c>
      <c r="AI1086" s="20">
        <v>-35.42</v>
      </c>
      <c r="AJ1086" s="20">
        <v>-22.18</v>
      </c>
      <c r="AM1086" s="20">
        <v>553.0</v>
      </c>
      <c r="AN1086" s="20" t="s">
        <v>17</v>
      </c>
      <c r="AO1086" s="20">
        <v>0.7</v>
      </c>
      <c r="AP1086" s="20">
        <v>12.62</v>
      </c>
      <c r="AS1086" s="20">
        <v>546.0</v>
      </c>
      <c r="AT1086" s="20" t="s">
        <v>17</v>
      </c>
      <c r="AU1086" s="20">
        <v>-12.6</v>
      </c>
      <c r="AV1086" s="20">
        <v>-49.84</v>
      </c>
      <c r="BE1086" s="43">
        <v>1084.0</v>
      </c>
      <c r="BF1086" s="20" t="s">
        <v>14</v>
      </c>
      <c r="BG1086" s="20">
        <v>-27.31</v>
      </c>
      <c r="BH1086" s="20">
        <v>-2.8</v>
      </c>
      <c r="BM1086" s="20">
        <v>7.66</v>
      </c>
      <c r="BN1086" s="20">
        <v>54.74</v>
      </c>
      <c r="BW1086" s="20">
        <v>-70.33</v>
      </c>
      <c r="BX1086" s="20">
        <v>-28.31</v>
      </c>
      <c r="BZ1086" s="20">
        <v>-54.17</v>
      </c>
      <c r="CA1086" s="20">
        <v>80.49</v>
      </c>
      <c r="CO1086" s="20">
        <v>-5.64</v>
      </c>
      <c r="CP1086" s="20">
        <v>-64.88</v>
      </c>
    </row>
    <row r="1087">
      <c r="A1087" s="20">
        <v>48.13</v>
      </c>
      <c r="B1087" s="20">
        <v>175.68</v>
      </c>
      <c r="D1087" s="20"/>
      <c r="E1087" s="20"/>
      <c r="F1087" s="20">
        <v>-30.64</v>
      </c>
      <c r="G1087" s="20">
        <v>-3.82</v>
      </c>
      <c r="I1087" s="20"/>
      <c r="J1087" s="20"/>
      <c r="K1087" s="20">
        <v>543.0</v>
      </c>
      <c r="L1087" s="20" t="s">
        <v>14</v>
      </c>
      <c r="M1087" s="20">
        <v>-32.53</v>
      </c>
      <c r="N1087" s="20">
        <v>44.9</v>
      </c>
      <c r="P1087" s="20">
        <v>-8.99</v>
      </c>
      <c r="Q1087" s="20">
        <v>17.72</v>
      </c>
      <c r="AG1087" s="43">
        <v>1085.0</v>
      </c>
      <c r="AH1087" s="20" t="s">
        <v>14</v>
      </c>
      <c r="AI1087" s="20">
        <v>-5.71</v>
      </c>
      <c r="AJ1087" s="20">
        <v>15.54</v>
      </c>
      <c r="AM1087" s="20">
        <v>554.0</v>
      </c>
      <c r="AN1087" s="20" t="s">
        <v>14</v>
      </c>
      <c r="AO1087" s="20">
        <v>-3.7</v>
      </c>
      <c r="AP1087" s="20">
        <v>-18.58</v>
      </c>
      <c r="AS1087" s="20">
        <v>547.0</v>
      </c>
      <c r="AT1087" s="20" t="s">
        <v>14</v>
      </c>
      <c r="AU1087" s="20">
        <v>-5.51</v>
      </c>
      <c r="AV1087" s="20">
        <v>-33.16</v>
      </c>
      <c r="BE1087" s="43">
        <v>1085.0</v>
      </c>
      <c r="BF1087" s="20" t="s">
        <v>14</v>
      </c>
      <c r="BG1087" s="20">
        <v>3.68</v>
      </c>
      <c r="BH1087" s="20">
        <v>-12.42</v>
      </c>
      <c r="BM1087" s="20">
        <v>28.26</v>
      </c>
      <c r="BN1087" s="20">
        <v>48.4</v>
      </c>
      <c r="BW1087" s="20">
        <v>-41.85</v>
      </c>
      <c r="BX1087" s="20">
        <v>-27.45</v>
      </c>
      <c r="BZ1087" s="20">
        <v>-45.68</v>
      </c>
      <c r="CA1087" s="20">
        <v>65.13</v>
      </c>
      <c r="CO1087" s="20">
        <v>4.27</v>
      </c>
      <c r="CP1087" s="20">
        <v>-55.41</v>
      </c>
    </row>
    <row r="1088">
      <c r="A1088" s="20">
        <v>-13.99</v>
      </c>
      <c r="B1088" s="20">
        <v>-46.9</v>
      </c>
      <c r="D1088" s="20"/>
      <c r="E1088" s="20"/>
      <c r="F1088" s="20">
        <v>-16.39</v>
      </c>
      <c r="G1088" s="20">
        <v>-33.64</v>
      </c>
      <c r="I1088" s="20"/>
      <c r="J1088" s="20"/>
      <c r="K1088" s="20">
        <v>543.0</v>
      </c>
      <c r="L1088" s="20" t="s">
        <v>17</v>
      </c>
      <c r="M1088" s="20">
        <v>-14.57</v>
      </c>
      <c r="N1088" s="20">
        <v>14.26</v>
      </c>
      <c r="P1088" s="20">
        <v>-2.95</v>
      </c>
      <c r="Q1088" s="20">
        <v>24.25</v>
      </c>
      <c r="AG1088" s="43">
        <v>1086.0</v>
      </c>
      <c r="AH1088" s="20" t="s">
        <v>14</v>
      </c>
      <c r="AI1088" s="20">
        <v>-2.02</v>
      </c>
      <c r="AJ1088" s="20">
        <v>-23.03</v>
      </c>
      <c r="AM1088" s="20">
        <v>554.0</v>
      </c>
      <c r="AN1088" s="20" t="s">
        <v>17</v>
      </c>
      <c r="AO1088" s="20">
        <v>-12.81</v>
      </c>
      <c r="AP1088" s="20">
        <v>-14.26</v>
      </c>
      <c r="AS1088" s="20">
        <v>547.0</v>
      </c>
      <c r="AT1088" s="20" t="s">
        <v>17</v>
      </c>
      <c r="AU1088" s="20">
        <v>-51.16</v>
      </c>
      <c r="AV1088" s="20">
        <v>-64.5</v>
      </c>
      <c r="BE1088" s="43">
        <v>1086.0</v>
      </c>
      <c r="BF1088" s="20" t="s">
        <v>14</v>
      </c>
      <c r="BG1088" s="20">
        <v>11.12</v>
      </c>
      <c r="BH1088" s="20">
        <v>-5.65</v>
      </c>
      <c r="BM1088" s="20">
        <v>47.21</v>
      </c>
      <c r="BN1088" s="20">
        <v>21.28</v>
      </c>
      <c r="BW1088" s="20">
        <v>-50.31</v>
      </c>
      <c r="BX1088" s="20">
        <v>55.43</v>
      </c>
      <c r="BZ1088" s="20">
        <v>-26.72</v>
      </c>
      <c r="CA1088" s="20">
        <v>40.88</v>
      </c>
      <c r="CO1088" s="20">
        <v>-6.08</v>
      </c>
      <c r="CP1088" s="20">
        <v>-61.68</v>
      </c>
    </row>
    <row r="1089">
      <c r="A1089" s="20">
        <v>54.03</v>
      </c>
      <c r="B1089" s="20">
        <v>-14.78</v>
      </c>
      <c r="D1089" s="20"/>
      <c r="E1089" s="20"/>
      <c r="F1089" s="20">
        <v>-36.38</v>
      </c>
      <c r="G1089" s="20">
        <v>-11.95</v>
      </c>
      <c r="I1089" s="20"/>
      <c r="J1089" s="20"/>
      <c r="K1089" s="20">
        <v>544.0</v>
      </c>
      <c r="L1089" s="20" t="s">
        <v>14</v>
      </c>
      <c r="M1089" s="20">
        <v>-28.16</v>
      </c>
      <c r="N1089" s="20">
        <v>41.36</v>
      </c>
      <c r="P1089" s="20">
        <v>1.9</v>
      </c>
      <c r="Q1089" s="20">
        <v>19.5</v>
      </c>
      <c r="AG1089" s="43">
        <v>1087.0</v>
      </c>
      <c r="AH1089" s="20" t="s">
        <v>14</v>
      </c>
      <c r="AI1089" s="20">
        <v>-59.69</v>
      </c>
      <c r="AJ1089" s="20">
        <v>-40.35</v>
      </c>
      <c r="AM1089" s="20">
        <v>555.0</v>
      </c>
      <c r="AN1089" s="20" t="s">
        <v>14</v>
      </c>
      <c r="AO1089" s="20">
        <v>-37.77</v>
      </c>
      <c r="AP1089" s="20">
        <v>5.65</v>
      </c>
      <c r="AS1089" s="20">
        <v>548.0</v>
      </c>
      <c r="AT1089" s="20" t="s">
        <v>14</v>
      </c>
      <c r="AU1089" s="20">
        <v>-5.65</v>
      </c>
      <c r="AV1089" s="20">
        <v>-37.28</v>
      </c>
      <c r="BE1089" s="43">
        <v>1087.0</v>
      </c>
      <c r="BF1089" s="20" t="s">
        <v>14</v>
      </c>
      <c r="BG1089" s="20">
        <v>3.25</v>
      </c>
      <c r="BH1089" s="20">
        <v>23.02</v>
      </c>
      <c r="BM1089" s="20">
        <v>61.33</v>
      </c>
      <c r="BN1089" s="20">
        <v>71.86</v>
      </c>
      <c r="BW1089" s="20">
        <v>-63.72</v>
      </c>
      <c r="BX1089" s="20">
        <v>-46.29</v>
      </c>
      <c r="BZ1089" s="20">
        <v>-45.63</v>
      </c>
      <c r="CA1089" s="20">
        <v>15.08</v>
      </c>
      <c r="CO1089" s="20">
        <v>-10.28</v>
      </c>
      <c r="CP1089" s="20">
        <v>-59.15</v>
      </c>
    </row>
    <row r="1090">
      <c r="A1090" s="20">
        <v>-43.78</v>
      </c>
      <c r="B1090" s="20">
        <v>-26.6</v>
      </c>
      <c r="D1090" s="20"/>
      <c r="E1090" s="20"/>
      <c r="F1090" s="20">
        <v>-41.03</v>
      </c>
      <c r="G1090" s="20">
        <v>-2.35</v>
      </c>
      <c r="I1090" s="20"/>
      <c r="J1090" s="20"/>
      <c r="K1090" s="20">
        <v>544.0</v>
      </c>
      <c r="L1090" s="20" t="s">
        <v>17</v>
      </c>
      <c r="M1090" s="20">
        <v>4.2</v>
      </c>
      <c r="N1090" s="20">
        <v>60.99</v>
      </c>
      <c r="P1090" s="20">
        <v>-8.39</v>
      </c>
      <c r="Q1090" s="20">
        <v>14.53</v>
      </c>
      <c r="AG1090" s="43">
        <v>1088.0</v>
      </c>
      <c r="AH1090" s="20" t="s">
        <v>14</v>
      </c>
      <c r="AI1090" s="20">
        <v>-24.07</v>
      </c>
      <c r="AJ1090" s="20">
        <v>21.69</v>
      </c>
      <c r="AM1090" s="20">
        <v>555.0</v>
      </c>
      <c r="AN1090" s="20" t="s">
        <v>17</v>
      </c>
      <c r="AO1090" s="20">
        <v>-20.87</v>
      </c>
      <c r="AP1090" s="20">
        <v>17.79</v>
      </c>
      <c r="AS1090" s="20">
        <v>548.0</v>
      </c>
      <c r="AT1090" s="20" t="s">
        <v>17</v>
      </c>
      <c r="AU1090" s="20">
        <v>-15.81</v>
      </c>
      <c r="AV1090" s="20">
        <v>-10.98</v>
      </c>
      <c r="BE1090" s="43">
        <v>1088.0</v>
      </c>
      <c r="BF1090" s="20" t="s">
        <v>14</v>
      </c>
      <c r="BG1090" s="20">
        <v>17.25</v>
      </c>
      <c r="BH1090" s="20">
        <v>-18.26</v>
      </c>
      <c r="BM1090" s="20">
        <v>56.31</v>
      </c>
      <c r="BN1090" s="20">
        <v>57.04</v>
      </c>
      <c r="BW1090" s="20">
        <v>-10.6</v>
      </c>
      <c r="BX1090" s="20">
        <v>-10.79</v>
      </c>
      <c r="BZ1090" s="20">
        <v>-51.72</v>
      </c>
      <c r="CA1090" s="20">
        <v>49.83</v>
      </c>
      <c r="CO1090" s="20">
        <v>-55.74</v>
      </c>
      <c r="CP1090" s="20">
        <v>-6.75</v>
      </c>
    </row>
    <row r="1091">
      <c r="A1091" s="20">
        <v>46.07</v>
      </c>
      <c r="B1091" s="20">
        <v>-18.56</v>
      </c>
      <c r="D1091" s="20"/>
      <c r="E1091" s="20"/>
      <c r="F1091" s="20">
        <v>-26.16</v>
      </c>
      <c r="G1091" s="20">
        <v>0.0</v>
      </c>
      <c r="I1091" s="20"/>
      <c r="J1091" s="20"/>
      <c r="K1091" s="20">
        <v>545.0</v>
      </c>
      <c r="L1091" s="20" t="s">
        <v>14</v>
      </c>
      <c r="M1091" s="20">
        <v>-3.32</v>
      </c>
      <c r="N1091" s="20">
        <v>11.35</v>
      </c>
      <c r="P1091" s="20">
        <v>-31.24</v>
      </c>
      <c r="Q1091" s="20">
        <v>-17.2</v>
      </c>
      <c r="AG1091" s="43">
        <v>1089.0</v>
      </c>
      <c r="AH1091" s="20" t="s">
        <v>14</v>
      </c>
      <c r="AI1091" s="20">
        <v>-15.51</v>
      </c>
      <c r="AJ1091" s="20">
        <v>-38.97</v>
      </c>
      <c r="AM1091" s="20">
        <v>556.0</v>
      </c>
      <c r="AN1091" s="20" t="s">
        <v>14</v>
      </c>
      <c r="AO1091" s="20">
        <v>-44.91</v>
      </c>
      <c r="AP1091" s="20">
        <v>-39.64</v>
      </c>
      <c r="AS1091" s="20">
        <v>549.0</v>
      </c>
      <c r="AT1091" s="20" t="s">
        <v>14</v>
      </c>
      <c r="AU1091" s="20">
        <v>-33.67</v>
      </c>
      <c r="AV1091" s="20">
        <v>-18.5</v>
      </c>
      <c r="BE1091" s="43">
        <v>1089.0</v>
      </c>
      <c r="BF1091" s="20" t="s">
        <v>14</v>
      </c>
      <c r="BG1091" s="20">
        <v>21.8</v>
      </c>
      <c r="BH1091" s="20">
        <v>4.77</v>
      </c>
      <c r="BM1091" s="20">
        <v>52.91</v>
      </c>
      <c r="BN1091" s="20">
        <v>81.19</v>
      </c>
      <c r="BW1091" s="20">
        <v>-16.31</v>
      </c>
      <c r="BX1091" s="20">
        <v>-23.59</v>
      </c>
      <c r="BZ1091" s="20">
        <v>-46.78</v>
      </c>
      <c r="CA1091" s="20">
        <v>35.36</v>
      </c>
      <c r="CO1091" s="20">
        <v>-45.31</v>
      </c>
      <c r="CP1091" s="20">
        <v>-57.38</v>
      </c>
    </row>
    <row r="1092">
      <c r="A1092" s="20">
        <v>-0.15</v>
      </c>
      <c r="B1092" s="20">
        <v>-34.19</v>
      </c>
      <c r="D1092" s="20"/>
      <c r="E1092" s="20"/>
      <c r="F1092" s="20">
        <v>-15.84</v>
      </c>
      <c r="G1092" s="20">
        <v>12.88</v>
      </c>
      <c r="I1092" s="20"/>
      <c r="J1092" s="20"/>
      <c r="K1092" s="20">
        <v>545.0</v>
      </c>
      <c r="L1092" s="20" t="s">
        <v>17</v>
      </c>
      <c r="M1092" s="20">
        <v>-17.0</v>
      </c>
      <c r="N1092" s="20">
        <v>-15.04</v>
      </c>
      <c r="P1092" s="20">
        <v>-12.91</v>
      </c>
      <c r="Q1092" s="20">
        <v>16.64</v>
      </c>
      <c r="AG1092" s="43">
        <v>1090.0</v>
      </c>
      <c r="AH1092" s="20" t="s">
        <v>14</v>
      </c>
      <c r="AI1092" s="20">
        <v>-36.86</v>
      </c>
      <c r="AJ1092" s="20">
        <v>-13.02</v>
      </c>
      <c r="AM1092" s="20">
        <v>556.0</v>
      </c>
      <c r="AN1092" s="20" t="s">
        <v>17</v>
      </c>
      <c r="AO1092" s="20">
        <v>-3.11</v>
      </c>
      <c r="AP1092" s="20">
        <v>33.06</v>
      </c>
      <c r="AS1092" s="20">
        <v>549.0</v>
      </c>
      <c r="AT1092" s="20" t="s">
        <v>17</v>
      </c>
      <c r="AU1092" s="20">
        <v>-27.61</v>
      </c>
      <c r="AV1092" s="20">
        <v>-25.74</v>
      </c>
      <c r="BE1092" s="43">
        <v>1090.0</v>
      </c>
      <c r="BF1092" s="20" t="s">
        <v>14</v>
      </c>
      <c r="BG1092" s="20">
        <v>-29.33</v>
      </c>
      <c r="BH1092" s="20">
        <v>7.86</v>
      </c>
      <c r="BM1092" s="20">
        <v>60.9</v>
      </c>
      <c r="BN1092" s="20">
        <v>82.33</v>
      </c>
      <c r="BW1092" s="20">
        <v>-36.57</v>
      </c>
      <c r="BX1092" s="20">
        <v>-35.7</v>
      </c>
      <c r="BZ1092" s="20">
        <v>-58.06</v>
      </c>
      <c r="CA1092" s="20">
        <v>6.52</v>
      </c>
      <c r="CO1092" s="20">
        <v>-12.51</v>
      </c>
      <c r="CP1092" s="20">
        <v>-72.89</v>
      </c>
    </row>
    <row r="1093">
      <c r="A1093" s="20">
        <v>-16.82</v>
      </c>
      <c r="B1093" s="20">
        <v>8.81</v>
      </c>
      <c r="D1093" s="20"/>
      <c r="E1093" s="20"/>
      <c r="F1093" s="20">
        <v>-50.95</v>
      </c>
      <c r="G1093" s="20">
        <v>-4.47</v>
      </c>
      <c r="I1093" s="20"/>
      <c r="J1093" s="20"/>
      <c r="K1093" s="20">
        <v>546.0</v>
      </c>
      <c r="L1093" s="20" t="s">
        <v>14</v>
      </c>
      <c r="M1093" s="20">
        <v>1.92</v>
      </c>
      <c r="N1093" s="20">
        <v>-0.91</v>
      </c>
      <c r="P1093" s="20">
        <v>-8.71</v>
      </c>
      <c r="Q1093" s="20">
        <v>64.68</v>
      </c>
      <c r="AG1093" s="43">
        <v>1091.0</v>
      </c>
      <c r="AH1093" s="20" t="s">
        <v>14</v>
      </c>
      <c r="AI1093" s="20">
        <v>-3.78</v>
      </c>
      <c r="AJ1093" s="20">
        <v>16.64</v>
      </c>
      <c r="AM1093" s="20">
        <v>557.0</v>
      </c>
      <c r="AN1093" s="20" t="s">
        <v>14</v>
      </c>
      <c r="AO1093" s="20">
        <v>2.44</v>
      </c>
      <c r="AP1093" s="20">
        <v>-14.28</v>
      </c>
      <c r="AS1093" s="20">
        <v>550.0</v>
      </c>
      <c r="AT1093" s="20" t="s">
        <v>14</v>
      </c>
      <c r="AU1093" s="20">
        <v>-23.44</v>
      </c>
      <c r="AV1093" s="20">
        <v>-42.14</v>
      </c>
      <c r="BE1093" s="43">
        <v>1091.0</v>
      </c>
      <c r="BF1093" s="20" t="s">
        <v>14</v>
      </c>
      <c r="BG1093" s="20">
        <v>37.15</v>
      </c>
      <c r="BH1093" s="20">
        <v>54.76</v>
      </c>
      <c r="BM1093" s="20">
        <v>44.6</v>
      </c>
      <c r="BN1093" s="20">
        <v>46.87</v>
      </c>
      <c r="BW1093" s="20">
        <v>-43.12</v>
      </c>
      <c r="BX1093" s="20">
        <v>-20.52</v>
      </c>
      <c r="BZ1093" s="20">
        <v>-48.3</v>
      </c>
      <c r="CA1093" s="20">
        <v>12.11</v>
      </c>
      <c r="CO1093" s="20">
        <v>-27.43</v>
      </c>
      <c r="CP1093" s="20">
        <v>-48.37</v>
      </c>
    </row>
    <row r="1094">
      <c r="A1094" s="20">
        <v>-3.4</v>
      </c>
      <c r="B1094" s="20">
        <v>28.5</v>
      </c>
      <c r="D1094" s="20"/>
      <c r="E1094" s="20"/>
      <c r="F1094" s="20">
        <v>-61.16</v>
      </c>
      <c r="G1094" s="20">
        <v>-10.18</v>
      </c>
      <c r="I1094" s="20"/>
      <c r="J1094" s="20"/>
      <c r="K1094" s="20">
        <v>546.0</v>
      </c>
      <c r="L1094" s="20" t="s">
        <v>17</v>
      </c>
      <c r="M1094" s="20">
        <v>-21.64</v>
      </c>
      <c r="N1094" s="20">
        <v>-7.6</v>
      </c>
      <c r="P1094" s="20">
        <v>16.61</v>
      </c>
      <c r="Q1094" s="20">
        <v>53.1</v>
      </c>
      <c r="AG1094" s="43">
        <v>1092.0</v>
      </c>
      <c r="AH1094" s="20" t="s">
        <v>14</v>
      </c>
      <c r="AI1094" s="20">
        <v>-18.7</v>
      </c>
      <c r="AJ1094" s="20">
        <v>-12.85</v>
      </c>
      <c r="AM1094" s="20">
        <v>557.0</v>
      </c>
      <c r="AN1094" s="20" t="s">
        <v>17</v>
      </c>
      <c r="AO1094" s="20">
        <v>-5.38</v>
      </c>
      <c r="AP1094" s="20">
        <v>-28.56</v>
      </c>
      <c r="AS1094" s="20">
        <v>550.0</v>
      </c>
      <c r="AT1094" s="20" t="s">
        <v>17</v>
      </c>
      <c r="AU1094" s="20">
        <v>1.91</v>
      </c>
      <c r="AV1094" s="20">
        <v>-47.93</v>
      </c>
      <c r="BE1094" s="43">
        <v>1092.0</v>
      </c>
      <c r="BF1094" s="20" t="s">
        <v>14</v>
      </c>
      <c r="BG1094" s="20">
        <v>50.92</v>
      </c>
      <c r="BH1094" s="20">
        <v>50.81</v>
      </c>
      <c r="BM1094" s="20">
        <v>82.1</v>
      </c>
      <c r="BN1094" s="20">
        <v>76.0</v>
      </c>
      <c r="BW1094" s="20">
        <v>-54.31</v>
      </c>
      <c r="BX1094" s="20">
        <v>-17.76</v>
      </c>
      <c r="BZ1094" s="20">
        <v>-65.46</v>
      </c>
      <c r="CA1094" s="20">
        <v>17.26</v>
      </c>
      <c r="CO1094" s="20">
        <v>-48.56</v>
      </c>
      <c r="CP1094" s="20">
        <v>-18.11</v>
      </c>
    </row>
    <row r="1095">
      <c r="A1095" s="20">
        <v>70.94</v>
      </c>
      <c r="B1095" s="20">
        <v>19.41</v>
      </c>
      <c r="D1095" s="20"/>
      <c r="E1095" s="20"/>
      <c r="F1095" s="20">
        <v>77.9</v>
      </c>
      <c r="G1095" s="20">
        <v>43.71</v>
      </c>
      <c r="I1095" s="20"/>
      <c r="J1095" s="20"/>
      <c r="K1095" s="20">
        <v>547.0</v>
      </c>
      <c r="L1095" s="20" t="s">
        <v>14</v>
      </c>
      <c r="M1095" s="20">
        <v>-12.54</v>
      </c>
      <c r="N1095" s="20">
        <v>12.59</v>
      </c>
      <c r="P1095" s="20">
        <v>-29.57</v>
      </c>
      <c r="Q1095" s="20">
        <v>-8.98</v>
      </c>
      <c r="AG1095" s="43">
        <v>1093.0</v>
      </c>
      <c r="AH1095" s="20" t="s">
        <v>14</v>
      </c>
      <c r="AI1095" s="20">
        <v>-30.26</v>
      </c>
      <c r="AJ1095" s="20">
        <v>-15.68</v>
      </c>
      <c r="AM1095" s="20">
        <v>558.0</v>
      </c>
      <c r="AN1095" s="20" t="s">
        <v>14</v>
      </c>
      <c r="AO1095" s="20">
        <v>-10.71</v>
      </c>
      <c r="AP1095" s="20">
        <v>-12.69</v>
      </c>
      <c r="AS1095" s="20">
        <v>551.0</v>
      </c>
      <c r="AT1095" s="20" t="s">
        <v>14</v>
      </c>
      <c r="AU1095" s="20">
        <v>15.96</v>
      </c>
      <c r="AV1095" s="20">
        <v>-10.43</v>
      </c>
      <c r="BE1095" s="43">
        <v>1093.0</v>
      </c>
      <c r="BF1095" s="20" t="s">
        <v>14</v>
      </c>
      <c r="BG1095" s="20">
        <v>1.21</v>
      </c>
      <c r="BH1095" s="20">
        <v>-6.64</v>
      </c>
      <c r="BM1095" s="20">
        <v>33.82</v>
      </c>
      <c r="BN1095" s="20">
        <v>45.1</v>
      </c>
      <c r="BW1095" s="20">
        <v>-43.6</v>
      </c>
      <c r="BX1095" s="20">
        <v>0.24</v>
      </c>
      <c r="BZ1095" s="20">
        <v>47.16</v>
      </c>
      <c r="CA1095" s="20">
        <v>-5.9</v>
      </c>
      <c r="CO1095" s="20">
        <v>-36.19</v>
      </c>
      <c r="CP1095" s="20">
        <v>-63.76</v>
      </c>
    </row>
    <row r="1096">
      <c r="A1096" s="20">
        <v>-0.79</v>
      </c>
      <c r="B1096" s="20">
        <v>27.79</v>
      </c>
      <c r="D1096" s="20"/>
      <c r="E1096" s="20"/>
      <c r="F1096" s="20">
        <v>8.79</v>
      </c>
      <c r="G1096" s="20">
        <v>9.81</v>
      </c>
      <c r="I1096" s="20"/>
      <c r="J1096" s="20"/>
      <c r="K1096" s="20">
        <v>547.0</v>
      </c>
      <c r="L1096" s="20" t="s">
        <v>17</v>
      </c>
      <c r="M1096" s="20">
        <v>-14.07</v>
      </c>
      <c r="N1096" s="20">
        <v>34.65</v>
      </c>
      <c r="P1096" s="20">
        <v>-3.0</v>
      </c>
      <c r="Q1096" s="20">
        <v>-14.63</v>
      </c>
      <c r="AG1096" s="43">
        <v>1094.0</v>
      </c>
      <c r="AH1096" s="20" t="s">
        <v>14</v>
      </c>
      <c r="AI1096" s="20">
        <v>-18.48</v>
      </c>
      <c r="AJ1096" s="20">
        <v>-18.02</v>
      </c>
      <c r="AM1096" s="20">
        <v>558.0</v>
      </c>
      <c r="AN1096" s="20" t="s">
        <v>17</v>
      </c>
      <c r="AO1096" s="20">
        <v>-13.81</v>
      </c>
      <c r="AP1096" s="20">
        <v>-36.59</v>
      </c>
      <c r="AS1096" s="20">
        <v>551.0</v>
      </c>
      <c r="AT1096" s="20" t="s">
        <v>17</v>
      </c>
      <c r="AU1096" s="20">
        <v>-20.75</v>
      </c>
      <c r="AV1096" s="20">
        <v>-27.92</v>
      </c>
      <c r="BE1096" s="43">
        <v>1094.0</v>
      </c>
      <c r="BF1096" s="20" t="s">
        <v>14</v>
      </c>
      <c r="BG1096" s="20">
        <v>-25.23</v>
      </c>
      <c r="BH1096" s="20">
        <v>-16.35</v>
      </c>
      <c r="BM1096" s="20">
        <v>29.87</v>
      </c>
      <c r="BN1096" s="20">
        <v>56.51</v>
      </c>
      <c r="BW1096" s="20">
        <v>-51.66</v>
      </c>
      <c r="BX1096" s="20">
        <v>-10.12</v>
      </c>
      <c r="BZ1096" s="20">
        <v>-12.14</v>
      </c>
      <c r="CA1096" s="20">
        <v>11.81</v>
      </c>
      <c r="CO1096" s="20">
        <v>-28.99</v>
      </c>
      <c r="CP1096" s="20">
        <v>-45.95</v>
      </c>
    </row>
    <row r="1097">
      <c r="A1097" s="20">
        <v>22.63</v>
      </c>
      <c r="B1097" s="20">
        <v>87.6</v>
      </c>
      <c r="D1097" s="20"/>
      <c r="E1097" s="20"/>
      <c r="F1097" s="20">
        <v>0.09</v>
      </c>
      <c r="G1097" s="20">
        <v>38.65</v>
      </c>
      <c r="I1097" s="20"/>
      <c r="J1097" s="20"/>
      <c r="K1097" s="20">
        <v>548.0</v>
      </c>
      <c r="L1097" s="20" t="s">
        <v>14</v>
      </c>
      <c r="M1097" s="20">
        <v>-13.82</v>
      </c>
      <c r="N1097" s="20">
        <v>-1.24</v>
      </c>
      <c r="P1097" s="20">
        <v>-17.18</v>
      </c>
      <c r="Q1097" s="20">
        <v>2.81</v>
      </c>
      <c r="AG1097" s="43">
        <v>1095.0</v>
      </c>
      <c r="AH1097" s="20" t="s">
        <v>14</v>
      </c>
      <c r="AI1097" s="20">
        <v>6.59</v>
      </c>
      <c r="AJ1097" s="20">
        <v>-0.05</v>
      </c>
      <c r="AM1097" s="20">
        <v>559.0</v>
      </c>
      <c r="AN1097" s="20" t="s">
        <v>14</v>
      </c>
      <c r="AO1097" s="20">
        <v>-2.33</v>
      </c>
      <c r="AP1097" s="20">
        <v>-35.04</v>
      </c>
      <c r="AS1097" s="20">
        <v>552.0</v>
      </c>
      <c r="AT1097" s="20" t="s">
        <v>14</v>
      </c>
      <c r="AU1097" s="20">
        <v>9.9</v>
      </c>
      <c r="AV1097" s="20">
        <v>-30.79</v>
      </c>
      <c r="BE1097" s="43">
        <v>1095.0</v>
      </c>
      <c r="BF1097" s="20" t="s">
        <v>14</v>
      </c>
      <c r="BG1097" s="20">
        <v>-25.54</v>
      </c>
      <c r="BH1097" s="20">
        <v>2.85</v>
      </c>
      <c r="BM1097" s="20">
        <v>50.64</v>
      </c>
      <c r="BN1097" s="20">
        <v>54.51</v>
      </c>
      <c r="BW1097" s="20">
        <v>-35.0</v>
      </c>
      <c r="BX1097" s="20">
        <v>-39.19</v>
      </c>
      <c r="BZ1097" s="20">
        <v>-27.72</v>
      </c>
      <c r="CA1097" s="20">
        <v>31.92</v>
      </c>
      <c r="CO1097" s="20">
        <v>-12.1</v>
      </c>
      <c r="CP1097" s="20">
        <v>-49.63</v>
      </c>
    </row>
    <row r="1098">
      <c r="A1098" s="20">
        <v>10.03</v>
      </c>
      <c r="B1098" s="20">
        <v>50.42</v>
      </c>
      <c r="D1098" s="20"/>
      <c r="E1098" s="20"/>
      <c r="F1098" s="20">
        <v>-23.68</v>
      </c>
      <c r="G1098" s="20">
        <v>15.47</v>
      </c>
      <c r="I1098" s="20"/>
      <c r="J1098" s="20"/>
      <c r="K1098" s="20">
        <v>548.0</v>
      </c>
      <c r="L1098" s="20" t="s">
        <v>17</v>
      </c>
      <c r="M1098" s="20">
        <v>-0.52</v>
      </c>
      <c r="N1098" s="20">
        <v>28.19</v>
      </c>
      <c r="P1098" s="20">
        <v>3.58</v>
      </c>
      <c r="Q1098" s="20">
        <v>34.6</v>
      </c>
      <c r="AG1098" s="43">
        <v>1096.0</v>
      </c>
      <c r="AH1098" s="20" t="s">
        <v>14</v>
      </c>
      <c r="AI1098" s="20">
        <v>6.59</v>
      </c>
      <c r="AJ1098" s="20">
        <v>-25.57</v>
      </c>
      <c r="AM1098" s="20">
        <v>559.0</v>
      </c>
      <c r="AN1098" s="20" t="s">
        <v>17</v>
      </c>
      <c r="AO1098" s="20">
        <v>-13.98</v>
      </c>
      <c r="AP1098" s="20">
        <v>21.25</v>
      </c>
      <c r="AS1098" s="20">
        <v>552.0</v>
      </c>
      <c r="AT1098" s="20" t="s">
        <v>17</v>
      </c>
      <c r="AU1098" s="20">
        <v>-4.62</v>
      </c>
      <c r="AV1098" s="20">
        <v>-16.06</v>
      </c>
      <c r="BE1098" s="43">
        <v>1096.0</v>
      </c>
      <c r="BF1098" s="20" t="s">
        <v>14</v>
      </c>
      <c r="BG1098" s="20">
        <v>-7.04</v>
      </c>
      <c r="BH1098" s="20">
        <v>16.53</v>
      </c>
      <c r="BM1098" s="20">
        <v>-4.29</v>
      </c>
      <c r="BN1098" s="20">
        <v>81.53</v>
      </c>
      <c r="BW1098" s="20">
        <v>-55.12</v>
      </c>
      <c r="BX1098" s="20">
        <v>23.69</v>
      </c>
      <c r="BZ1098" s="20">
        <v>-7.45</v>
      </c>
      <c r="CA1098" s="20">
        <v>-9.26</v>
      </c>
      <c r="CO1098" s="20">
        <v>-56.29</v>
      </c>
      <c r="CP1098" s="20">
        <v>-65.38</v>
      </c>
    </row>
    <row r="1099">
      <c r="A1099" s="20">
        <v>6.91</v>
      </c>
      <c r="B1099" s="20">
        <v>19.77</v>
      </c>
      <c r="D1099" s="20"/>
      <c r="E1099" s="20"/>
      <c r="F1099" s="20">
        <v>-25.4</v>
      </c>
      <c r="G1099" s="20">
        <v>-13.33</v>
      </c>
      <c r="I1099" s="20"/>
      <c r="J1099" s="20"/>
      <c r="K1099" s="20">
        <v>549.0</v>
      </c>
      <c r="L1099" s="20" t="s">
        <v>14</v>
      </c>
      <c r="M1099" s="20">
        <v>-8.56</v>
      </c>
      <c r="N1099" s="20">
        <v>-2.84</v>
      </c>
      <c r="P1099" s="20">
        <v>28.84</v>
      </c>
      <c r="Q1099" s="20">
        <v>85.38</v>
      </c>
      <c r="AG1099" s="43">
        <v>1097.0</v>
      </c>
      <c r="AH1099" s="20" t="s">
        <v>14</v>
      </c>
      <c r="AI1099" s="20">
        <v>30.63</v>
      </c>
      <c r="AJ1099" s="20">
        <v>24.16</v>
      </c>
      <c r="AM1099" s="20">
        <v>560.0</v>
      </c>
      <c r="AN1099" s="20" t="s">
        <v>14</v>
      </c>
      <c r="AO1099" s="20">
        <v>-0.57</v>
      </c>
      <c r="AP1099" s="20">
        <v>19.06</v>
      </c>
      <c r="AS1099" s="20">
        <v>553.0</v>
      </c>
      <c r="AT1099" s="20" t="s">
        <v>14</v>
      </c>
      <c r="AU1099" s="20">
        <v>12.56</v>
      </c>
      <c r="AV1099" s="20">
        <v>-11.16</v>
      </c>
      <c r="BE1099" s="43">
        <v>1097.0</v>
      </c>
      <c r="BF1099" s="20" t="s">
        <v>14</v>
      </c>
      <c r="BG1099" s="20">
        <v>30.3</v>
      </c>
      <c r="BH1099" s="20">
        <v>-7.91</v>
      </c>
      <c r="BM1099" s="20">
        <v>12.43</v>
      </c>
      <c r="BN1099" s="20">
        <v>62.75</v>
      </c>
      <c r="BW1099" s="20">
        <v>-63.41</v>
      </c>
      <c r="BX1099" s="20">
        <v>-10.11</v>
      </c>
      <c r="BZ1099" s="20">
        <v>-72.56</v>
      </c>
      <c r="CA1099" s="20">
        <v>11.93</v>
      </c>
      <c r="CO1099" s="20">
        <v>-39.55</v>
      </c>
      <c r="CP1099" s="20">
        <v>-69.02</v>
      </c>
    </row>
    <row r="1100">
      <c r="A1100" s="20">
        <v>36.66</v>
      </c>
      <c r="B1100" s="20">
        <v>196.33</v>
      </c>
      <c r="D1100" s="20"/>
      <c r="E1100" s="20"/>
      <c r="F1100" s="20">
        <v>-11.76</v>
      </c>
      <c r="G1100" s="20">
        <v>-0.69</v>
      </c>
      <c r="I1100" s="20"/>
      <c r="J1100" s="20"/>
      <c r="K1100" s="20">
        <v>549.0</v>
      </c>
      <c r="L1100" s="20" t="s">
        <v>17</v>
      </c>
      <c r="M1100" s="20">
        <v>-25.69</v>
      </c>
      <c r="N1100" s="20">
        <v>-0.66</v>
      </c>
      <c r="P1100" s="20">
        <v>31.9</v>
      </c>
      <c r="Q1100" s="20">
        <v>28.53</v>
      </c>
      <c r="AG1100" s="43">
        <v>1098.0</v>
      </c>
      <c r="AH1100" s="20" t="s">
        <v>14</v>
      </c>
      <c r="AI1100" s="20">
        <v>20.19</v>
      </c>
      <c r="AJ1100" s="20">
        <v>34.41</v>
      </c>
      <c r="AM1100" s="20">
        <v>560.0</v>
      </c>
      <c r="AN1100" s="20" t="s">
        <v>17</v>
      </c>
      <c r="AO1100" s="20">
        <v>26.28</v>
      </c>
      <c r="AP1100" s="20">
        <v>20.26</v>
      </c>
      <c r="AS1100" s="20">
        <v>553.0</v>
      </c>
      <c r="AT1100" s="20" t="s">
        <v>17</v>
      </c>
      <c r="AU1100" s="20">
        <v>265.58</v>
      </c>
      <c r="AV1100" s="20">
        <v>-44.17</v>
      </c>
      <c r="BE1100" s="43">
        <v>1098.0</v>
      </c>
      <c r="BF1100" s="20" t="s">
        <v>14</v>
      </c>
      <c r="BG1100" s="20">
        <v>5.85</v>
      </c>
      <c r="BH1100" s="20">
        <v>-23.85</v>
      </c>
      <c r="BM1100" s="20">
        <v>9.2</v>
      </c>
      <c r="BN1100" s="20">
        <v>148.29</v>
      </c>
      <c r="BW1100" s="20">
        <v>-55.47</v>
      </c>
      <c r="BX1100" s="20">
        <v>-35.38</v>
      </c>
      <c r="BZ1100" s="20">
        <v>-68.14</v>
      </c>
      <c r="CA1100" s="20">
        <v>-1.27</v>
      </c>
      <c r="CO1100" s="20">
        <v>-27.29</v>
      </c>
      <c r="CP1100" s="20">
        <v>-51.51</v>
      </c>
    </row>
    <row r="1101">
      <c r="A1101" s="20">
        <v>89.13</v>
      </c>
      <c r="B1101" s="20">
        <v>147.29</v>
      </c>
      <c r="D1101" s="20"/>
      <c r="E1101" s="20"/>
      <c r="F1101" s="20">
        <v>53.82</v>
      </c>
      <c r="G1101" s="20">
        <v>13.47</v>
      </c>
      <c r="I1101" s="20"/>
      <c r="J1101" s="20"/>
      <c r="K1101" s="20">
        <v>550.0</v>
      </c>
      <c r="L1101" s="20" t="s">
        <v>14</v>
      </c>
      <c r="M1101" s="20">
        <v>-12.49</v>
      </c>
      <c r="N1101" s="20">
        <v>4.86</v>
      </c>
      <c r="P1101" s="20">
        <v>-12.1</v>
      </c>
      <c r="Q1101" s="20">
        <v>8.99</v>
      </c>
      <c r="AG1101" s="43">
        <v>1099.0</v>
      </c>
      <c r="AH1101" s="20" t="s">
        <v>14</v>
      </c>
      <c r="AI1101" s="20">
        <v>-12.87</v>
      </c>
      <c r="AJ1101" s="20">
        <v>-25.03</v>
      </c>
      <c r="AM1101" s="20">
        <v>561.0</v>
      </c>
      <c r="AN1101" s="20" t="s">
        <v>14</v>
      </c>
      <c r="AO1101" s="20">
        <v>-0.34</v>
      </c>
      <c r="AP1101" s="20">
        <v>-11.51</v>
      </c>
      <c r="AS1101" s="20">
        <v>554.0</v>
      </c>
      <c r="AT1101" s="20" t="s">
        <v>14</v>
      </c>
      <c r="AU1101" s="20">
        <v>-3.3</v>
      </c>
      <c r="AV1101" s="20">
        <v>-36.03</v>
      </c>
      <c r="BE1101" s="43">
        <v>1099.0</v>
      </c>
      <c r="BF1101" s="20" t="s">
        <v>14</v>
      </c>
      <c r="BG1101" s="20">
        <v>-29.82</v>
      </c>
      <c r="BH1101" s="20">
        <v>-13.28</v>
      </c>
      <c r="BM1101" s="20">
        <v>25.65</v>
      </c>
      <c r="BN1101" s="20">
        <v>85.44</v>
      </c>
      <c r="BW1101" s="20">
        <v>-37.06</v>
      </c>
      <c r="BX1101" s="20">
        <v>-0.59</v>
      </c>
      <c r="BZ1101" s="20">
        <v>-18.12</v>
      </c>
      <c r="CA1101" s="20">
        <v>86.89</v>
      </c>
      <c r="CO1101" s="20">
        <v>-40.65</v>
      </c>
      <c r="CP1101" s="20">
        <v>-65.21</v>
      </c>
    </row>
    <row r="1102">
      <c r="A1102" s="20">
        <v>14.88</v>
      </c>
      <c r="B1102" s="20">
        <v>109.0</v>
      </c>
      <c r="D1102" s="20"/>
      <c r="E1102" s="20"/>
      <c r="F1102" s="20">
        <v>-8.43</v>
      </c>
      <c r="G1102" s="20">
        <v>15.8</v>
      </c>
      <c r="I1102" s="20"/>
      <c r="J1102" s="20"/>
      <c r="K1102" s="20">
        <v>550.0</v>
      </c>
      <c r="L1102" s="20" t="s">
        <v>17</v>
      </c>
      <c r="M1102" s="20">
        <v>-0.18</v>
      </c>
      <c r="N1102" s="20">
        <v>5.58</v>
      </c>
      <c r="P1102" s="20">
        <v>26.51</v>
      </c>
      <c r="Q1102" s="20">
        <v>6.4</v>
      </c>
      <c r="AG1102" s="43">
        <v>1100.0</v>
      </c>
      <c r="AH1102" s="20" t="s">
        <v>14</v>
      </c>
      <c r="AI1102" s="20">
        <v>-5.71</v>
      </c>
      <c r="AJ1102" s="20">
        <v>5.26</v>
      </c>
      <c r="AM1102" s="20">
        <v>561.0</v>
      </c>
      <c r="AN1102" s="20" t="s">
        <v>17</v>
      </c>
      <c r="AO1102" s="20">
        <v>11.74</v>
      </c>
      <c r="AP1102" s="20">
        <v>0.66</v>
      </c>
      <c r="AS1102" s="20">
        <v>554.0</v>
      </c>
      <c r="AT1102" s="20" t="s">
        <v>17</v>
      </c>
      <c r="AU1102" s="20">
        <v>30.63</v>
      </c>
      <c r="AV1102" s="20">
        <v>-55.14</v>
      </c>
      <c r="BE1102" s="43">
        <v>1100.0</v>
      </c>
      <c r="BF1102" s="20" t="s">
        <v>14</v>
      </c>
      <c r="BG1102" s="20">
        <v>-2.35</v>
      </c>
      <c r="BH1102" s="20">
        <v>48.44</v>
      </c>
      <c r="BM1102" s="20">
        <v>-6.17</v>
      </c>
      <c r="BN1102" s="20">
        <v>92.39</v>
      </c>
      <c r="BW1102" s="20">
        <v>-63.58</v>
      </c>
      <c r="BX1102" s="20">
        <v>-40.13</v>
      </c>
      <c r="BZ1102" s="20">
        <v>-35.08</v>
      </c>
      <c r="CA1102" s="20">
        <v>98.07</v>
      </c>
      <c r="CO1102" s="20">
        <v>-28.52</v>
      </c>
      <c r="CP1102" s="20">
        <v>-71.17</v>
      </c>
    </row>
    <row r="1103">
      <c r="A1103" s="20">
        <v>42.3</v>
      </c>
      <c r="B1103" s="20">
        <v>43.24</v>
      </c>
      <c r="D1103" s="20"/>
      <c r="E1103" s="20"/>
      <c r="F1103" s="20">
        <v>3.74</v>
      </c>
      <c r="G1103" s="20">
        <v>4.34</v>
      </c>
      <c r="I1103" s="20"/>
      <c r="J1103" s="20"/>
      <c r="K1103" s="20">
        <v>551.0</v>
      </c>
      <c r="L1103" s="20" t="s">
        <v>14</v>
      </c>
      <c r="M1103" s="20">
        <v>-37.23</v>
      </c>
      <c r="N1103" s="20">
        <v>7.04</v>
      </c>
      <c r="P1103" s="20">
        <v>-13.74</v>
      </c>
      <c r="Q1103" s="20">
        <v>25.09</v>
      </c>
      <c r="AG1103" s="43">
        <v>1101.0</v>
      </c>
      <c r="AH1103" s="20" t="s">
        <v>14</v>
      </c>
      <c r="AI1103" s="20">
        <v>2.64</v>
      </c>
      <c r="AJ1103" s="20">
        <v>4.9</v>
      </c>
      <c r="AM1103" s="20">
        <v>562.0</v>
      </c>
      <c r="AN1103" s="20" t="s">
        <v>14</v>
      </c>
      <c r="AO1103" s="20">
        <v>-23.51</v>
      </c>
      <c r="AP1103" s="20">
        <v>23.1</v>
      </c>
      <c r="AS1103" s="20">
        <v>555.0</v>
      </c>
      <c r="AT1103" s="20" t="s">
        <v>14</v>
      </c>
      <c r="AU1103" s="20">
        <v>95.16</v>
      </c>
      <c r="AV1103" s="20">
        <v>-49.78</v>
      </c>
      <c r="BE1103" s="43">
        <v>1101.0</v>
      </c>
      <c r="BF1103" s="20" t="s">
        <v>14</v>
      </c>
      <c r="BG1103" s="20">
        <v>-12.05</v>
      </c>
      <c r="BH1103" s="20">
        <v>18.07</v>
      </c>
      <c r="BM1103" s="20">
        <v>87.47</v>
      </c>
      <c r="BN1103" s="20">
        <v>40.38</v>
      </c>
      <c r="BW1103" s="20">
        <v>-60.62</v>
      </c>
      <c r="BX1103" s="20">
        <v>-28.75</v>
      </c>
      <c r="BZ1103" s="20">
        <v>-38.62</v>
      </c>
      <c r="CA1103" s="20">
        <v>32.19</v>
      </c>
      <c r="CO1103" s="20">
        <v>-47.58</v>
      </c>
      <c r="CP1103" s="20">
        <v>-61.07</v>
      </c>
    </row>
    <row r="1104">
      <c r="A1104" s="20">
        <v>-19.61</v>
      </c>
      <c r="B1104" s="20">
        <v>111.95</v>
      </c>
      <c r="D1104" s="20"/>
      <c r="E1104" s="20"/>
      <c r="F1104" s="20">
        <v>44.46</v>
      </c>
      <c r="G1104" s="20">
        <v>60.6</v>
      </c>
      <c r="I1104" s="20"/>
      <c r="J1104" s="20"/>
      <c r="K1104" s="20">
        <v>551.0</v>
      </c>
      <c r="L1104" s="20" t="s">
        <v>17</v>
      </c>
      <c r="M1104" s="20">
        <v>-11.18</v>
      </c>
      <c r="N1104" s="20">
        <v>13.83</v>
      </c>
      <c r="P1104" s="20">
        <v>15.42</v>
      </c>
      <c r="Q1104" s="20">
        <v>9.14</v>
      </c>
      <c r="AG1104" s="43">
        <v>1102.0</v>
      </c>
      <c r="AH1104" s="20" t="s">
        <v>14</v>
      </c>
      <c r="AI1104" s="20">
        <v>-47.74</v>
      </c>
      <c r="AJ1104" s="20">
        <v>-30.78</v>
      </c>
      <c r="AM1104" s="20">
        <v>562.0</v>
      </c>
      <c r="AN1104" s="20" t="s">
        <v>17</v>
      </c>
      <c r="AO1104" s="20">
        <v>-21.02</v>
      </c>
      <c r="AP1104" s="20">
        <v>4.32</v>
      </c>
      <c r="AS1104" s="20">
        <v>555.0</v>
      </c>
      <c r="AT1104" s="20" t="s">
        <v>17</v>
      </c>
      <c r="AU1104" s="20">
        <v>-37.57</v>
      </c>
      <c r="AV1104" s="20">
        <v>-21.09</v>
      </c>
      <c r="BE1104" s="43">
        <v>1102.0</v>
      </c>
      <c r="BF1104" s="20" t="s">
        <v>14</v>
      </c>
      <c r="BG1104" s="20">
        <v>27.85</v>
      </c>
      <c r="BH1104" s="20">
        <v>28.25</v>
      </c>
      <c r="BM1104" s="20">
        <v>31.83</v>
      </c>
      <c r="BN1104" s="20">
        <v>42.43</v>
      </c>
      <c r="BW1104" s="20">
        <v>-25.36</v>
      </c>
      <c r="BX1104" s="20">
        <v>-49.52</v>
      </c>
      <c r="BZ1104" s="20">
        <v>-35.82</v>
      </c>
      <c r="CA1104" s="20">
        <v>-2.52</v>
      </c>
      <c r="CO1104" s="20">
        <v>-43.86</v>
      </c>
      <c r="CP1104" s="20">
        <v>-71.21</v>
      </c>
    </row>
    <row r="1105">
      <c r="A1105" s="20">
        <v>-41.66</v>
      </c>
      <c r="B1105" s="20">
        <v>84.1</v>
      </c>
      <c r="D1105" s="20"/>
      <c r="E1105" s="20"/>
      <c r="F1105" s="20">
        <v>-27.97</v>
      </c>
      <c r="G1105" s="20">
        <v>37.17</v>
      </c>
      <c r="I1105" s="20"/>
      <c r="J1105" s="20"/>
      <c r="K1105" s="20">
        <v>552.0</v>
      </c>
      <c r="L1105" s="20" t="s">
        <v>14</v>
      </c>
      <c r="M1105" s="20">
        <v>-31.56</v>
      </c>
      <c r="N1105" s="20">
        <v>4.36</v>
      </c>
      <c r="P1105" s="20">
        <v>-35.16</v>
      </c>
      <c r="Q1105" s="20">
        <v>-4.62</v>
      </c>
      <c r="AG1105" s="43">
        <v>1103.0</v>
      </c>
      <c r="AH1105" s="20" t="s">
        <v>14</v>
      </c>
      <c r="AI1105" s="20">
        <v>-15.2</v>
      </c>
      <c r="AJ1105" s="20">
        <v>45.03</v>
      </c>
      <c r="AM1105" s="20">
        <v>563.0</v>
      </c>
      <c r="AN1105" s="20" t="s">
        <v>14</v>
      </c>
      <c r="AO1105" s="20">
        <v>3.53</v>
      </c>
      <c r="AP1105" s="20">
        <v>-28.61</v>
      </c>
      <c r="AS1105" s="20">
        <v>556.0</v>
      </c>
      <c r="AT1105" s="20" t="s">
        <v>14</v>
      </c>
      <c r="AU1105" s="20">
        <v>-34.59</v>
      </c>
      <c r="AV1105" s="20">
        <v>-62.2</v>
      </c>
      <c r="BE1105" s="43">
        <v>1103.0</v>
      </c>
      <c r="BF1105" s="20" t="s">
        <v>14</v>
      </c>
      <c r="BG1105" s="20">
        <v>24.14</v>
      </c>
      <c r="BH1105" s="20">
        <v>-8.1</v>
      </c>
      <c r="BM1105" s="20">
        <v>40.96</v>
      </c>
      <c r="BN1105" s="20">
        <v>127.33</v>
      </c>
      <c r="BW1105" s="20">
        <v>-46.23</v>
      </c>
      <c r="BX1105" s="20">
        <v>-29.35</v>
      </c>
      <c r="BZ1105" s="20">
        <v>-7.65</v>
      </c>
      <c r="CA1105" s="20">
        <v>102.46</v>
      </c>
      <c r="CO1105" s="20">
        <v>-33.19</v>
      </c>
      <c r="CP1105" s="20">
        <v>-57.01</v>
      </c>
    </row>
    <row r="1106">
      <c r="A1106" s="20">
        <v>-26.74</v>
      </c>
      <c r="B1106" s="20">
        <v>65.74</v>
      </c>
      <c r="D1106" s="20"/>
      <c r="E1106" s="20"/>
      <c r="F1106" s="20">
        <v>-15.91</v>
      </c>
      <c r="G1106" s="20">
        <v>52.54</v>
      </c>
      <c r="I1106" s="20"/>
      <c r="J1106" s="20"/>
      <c r="K1106" s="20">
        <v>552.0</v>
      </c>
      <c r="L1106" s="20" t="s">
        <v>17</v>
      </c>
      <c r="M1106" s="20">
        <v>2.58</v>
      </c>
      <c r="N1106" s="20">
        <v>59.88</v>
      </c>
      <c r="P1106" s="20">
        <v>-10.87</v>
      </c>
      <c r="Q1106" s="20">
        <v>-10.78</v>
      </c>
      <c r="AG1106" s="43">
        <v>1104.0</v>
      </c>
      <c r="AH1106" s="20" t="s">
        <v>14</v>
      </c>
      <c r="AI1106" s="20">
        <v>-14.66</v>
      </c>
      <c r="AJ1106" s="20">
        <v>14.35</v>
      </c>
      <c r="AM1106" s="20">
        <v>563.0</v>
      </c>
      <c r="AN1106" s="20" t="s">
        <v>17</v>
      </c>
      <c r="AO1106" s="20">
        <v>7.97</v>
      </c>
      <c r="AP1106" s="20">
        <v>-14.56</v>
      </c>
      <c r="AS1106" s="20">
        <v>556.0</v>
      </c>
      <c r="AT1106" s="20" t="s">
        <v>17</v>
      </c>
      <c r="AU1106" s="20">
        <v>-33.0</v>
      </c>
      <c r="AV1106" s="20">
        <v>-0.12</v>
      </c>
      <c r="BE1106" s="43">
        <v>1104.0</v>
      </c>
      <c r="BF1106" s="20" t="s">
        <v>14</v>
      </c>
      <c r="BG1106" s="20">
        <v>13.24</v>
      </c>
      <c r="BH1106" s="20">
        <v>1.96</v>
      </c>
      <c r="BM1106" s="20">
        <v>-13.93</v>
      </c>
      <c r="BN1106" s="20">
        <v>1.61</v>
      </c>
      <c r="BW1106" s="20">
        <v>-56.39</v>
      </c>
      <c r="BX1106" s="20">
        <v>-23.65</v>
      </c>
      <c r="BZ1106" s="20">
        <v>-16.6</v>
      </c>
      <c r="CA1106" s="20">
        <v>72.38</v>
      </c>
      <c r="CO1106" s="20">
        <v>-15.76</v>
      </c>
      <c r="CP1106" s="20">
        <v>-68.77</v>
      </c>
    </row>
    <row r="1107">
      <c r="A1107" s="20">
        <v>18.96</v>
      </c>
      <c r="B1107" s="20">
        <v>56.11</v>
      </c>
      <c r="D1107" s="20"/>
      <c r="E1107" s="20"/>
      <c r="F1107" s="20">
        <v>-26.75</v>
      </c>
      <c r="G1107" s="20">
        <v>-8.57</v>
      </c>
      <c r="I1107" s="20"/>
      <c r="J1107" s="20"/>
      <c r="K1107" s="20">
        <v>553.0</v>
      </c>
      <c r="L1107" s="20" t="s">
        <v>14</v>
      </c>
      <c r="M1107" s="20">
        <v>73.06</v>
      </c>
      <c r="N1107" s="20">
        <v>16.41</v>
      </c>
      <c r="P1107" s="20">
        <v>33.17</v>
      </c>
      <c r="Q1107" s="20">
        <v>65.05</v>
      </c>
      <c r="AG1107" s="43">
        <v>1105.0</v>
      </c>
      <c r="AH1107" s="20" t="s">
        <v>14</v>
      </c>
      <c r="AI1107" s="20">
        <v>-50.7</v>
      </c>
      <c r="AJ1107" s="20">
        <v>-26.31</v>
      </c>
      <c r="AM1107" s="20">
        <v>564.0</v>
      </c>
      <c r="AN1107" s="20" t="s">
        <v>14</v>
      </c>
      <c r="AO1107" s="20">
        <v>-17.13</v>
      </c>
      <c r="AP1107" s="20">
        <v>7.47</v>
      </c>
      <c r="AS1107" s="20">
        <v>557.0</v>
      </c>
      <c r="AT1107" s="20" t="s">
        <v>14</v>
      </c>
      <c r="AU1107" s="20">
        <v>-13.91</v>
      </c>
      <c r="AV1107" s="20">
        <v>-43.99</v>
      </c>
      <c r="BE1107" s="43">
        <v>1105.0</v>
      </c>
      <c r="BF1107" s="20" t="s">
        <v>14</v>
      </c>
      <c r="BG1107" s="20">
        <v>1.48</v>
      </c>
      <c r="BH1107" s="20">
        <v>29.95</v>
      </c>
      <c r="BM1107" s="20">
        <v>106.19</v>
      </c>
      <c r="BN1107" s="20">
        <v>67.27</v>
      </c>
      <c r="BW1107" s="20">
        <v>-70.71</v>
      </c>
      <c r="BX1107" s="20">
        <v>8.57</v>
      </c>
      <c r="BZ1107" s="20">
        <v>-53.92</v>
      </c>
      <c r="CA1107" s="20">
        <v>58.23</v>
      </c>
      <c r="CO1107" s="20">
        <v>-40.19</v>
      </c>
      <c r="CP1107" s="20">
        <v>-67.06</v>
      </c>
    </row>
    <row r="1108">
      <c r="A1108" s="20">
        <v>-29.36</v>
      </c>
      <c r="B1108" s="20">
        <v>60.7</v>
      </c>
      <c r="D1108" s="20"/>
      <c r="E1108" s="20"/>
      <c r="F1108" s="20">
        <v>-36.53</v>
      </c>
      <c r="G1108" s="20">
        <v>-4.25</v>
      </c>
      <c r="I1108" s="20"/>
      <c r="J1108" s="20"/>
      <c r="K1108" s="20">
        <v>553.0</v>
      </c>
      <c r="L1108" s="20" t="s">
        <v>17</v>
      </c>
      <c r="M1108" s="20">
        <v>-24.0</v>
      </c>
      <c r="N1108" s="20">
        <v>42.14</v>
      </c>
      <c r="P1108" s="20">
        <v>15.83</v>
      </c>
      <c r="Q1108" s="20">
        <v>107.24</v>
      </c>
      <c r="AG1108" s="43">
        <v>1106.0</v>
      </c>
      <c r="AH1108" s="20" t="s">
        <v>14</v>
      </c>
      <c r="AI1108" s="20">
        <v>-26.46</v>
      </c>
      <c r="AJ1108" s="20">
        <v>-11.83</v>
      </c>
      <c r="AM1108" s="20">
        <v>564.0</v>
      </c>
      <c r="AN1108" s="20" t="s">
        <v>17</v>
      </c>
      <c r="AO1108" s="20">
        <v>-2.25</v>
      </c>
      <c r="AP1108" s="20">
        <v>-3.97</v>
      </c>
      <c r="AS1108" s="20">
        <v>557.0</v>
      </c>
      <c r="AT1108" s="20" t="s">
        <v>17</v>
      </c>
      <c r="AU1108" s="20">
        <v>6.39</v>
      </c>
      <c r="AV1108" s="20">
        <v>-42.72</v>
      </c>
      <c r="BE1108" s="43">
        <v>1106.0</v>
      </c>
      <c r="BF1108" s="20" t="s">
        <v>14</v>
      </c>
      <c r="BG1108" s="20">
        <v>1.96</v>
      </c>
      <c r="BH1108" s="20">
        <v>-19.49</v>
      </c>
      <c r="BM1108" s="20">
        <v>128.32</v>
      </c>
      <c r="BN1108" s="20">
        <v>74.31</v>
      </c>
      <c r="BW1108" s="20">
        <v>-69.64</v>
      </c>
      <c r="BX1108" s="20">
        <v>-24.84</v>
      </c>
      <c r="BZ1108" s="20">
        <v>-59.87</v>
      </c>
      <c r="CA1108" s="20">
        <v>-9.54</v>
      </c>
      <c r="CO1108" s="20">
        <v>5.08</v>
      </c>
      <c r="CP1108" s="20">
        <v>-39.72</v>
      </c>
    </row>
    <row r="1109">
      <c r="A1109" s="20">
        <v>-21.03</v>
      </c>
      <c r="B1109" s="20">
        <v>65.76</v>
      </c>
      <c r="D1109" s="20"/>
      <c r="E1109" s="20"/>
      <c r="F1109" s="20">
        <v>-19.33</v>
      </c>
      <c r="G1109" s="20">
        <v>-15.72</v>
      </c>
      <c r="I1109" s="20"/>
      <c r="J1109" s="20"/>
      <c r="K1109" s="20">
        <v>554.0</v>
      </c>
      <c r="L1109" s="20" t="s">
        <v>14</v>
      </c>
      <c r="M1109" s="20">
        <v>2.47</v>
      </c>
      <c r="N1109" s="20">
        <v>38.77</v>
      </c>
      <c r="P1109" s="20">
        <v>34.85</v>
      </c>
      <c r="Q1109" s="20">
        <v>47.37</v>
      </c>
      <c r="AG1109" s="43">
        <v>1107.0</v>
      </c>
      <c r="AH1109" s="20" t="s">
        <v>14</v>
      </c>
      <c r="AI1109" s="20">
        <v>-11.2</v>
      </c>
      <c r="AJ1109" s="20">
        <v>21.29</v>
      </c>
      <c r="AM1109" s="20">
        <v>565.0</v>
      </c>
      <c r="AN1109" s="20" t="s">
        <v>14</v>
      </c>
      <c r="AO1109" s="20">
        <v>-8.3</v>
      </c>
      <c r="AP1109" s="20">
        <v>-4.1</v>
      </c>
      <c r="AS1109" s="20">
        <v>558.0</v>
      </c>
      <c r="AT1109" s="20" t="s">
        <v>14</v>
      </c>
      <c r="AU1109" s="20">
        <v>14.22</v>
      </c>
      <c r="AV1109" s="20">
        <v>-23.62</v>
      </c>
      <c r="BE1109" s="43">
        <v>1107.0</v>
      </c>
      <c r="BF1109" s="20" t="s">
        <v>14</v>
      </c>
      <c r="BG1109" s="20">
        <v>12.47</v>
      </c>
      <c r="BH1109" s="20">
        <v>4.26</v>
      </c>
      <c r="BM1109" s="20">
        <v>26.15</v>
      </c>
      <c r="BN1109" s="20">
        <v>104.56</v>
      </c>
      <c r="BW1109" s="20">
        <v>-44.55</v>
      </c>
      <c r="BX1109" s="20">
        <v>-53.29</v>
      </c>
      <c r="BZ1109" s="20">
        <v>-54.11</v>
      </c>
      <c r="CA1109" s="20">
        <v>80.65</v>
      </c>
      <c r="CO1109" s="20">
        <v>-29.85</v>
      </c>
      <c r="CP1109" s="20">
        <v>-64.94</v>
      </c>
    </row>
    <row r="1110">
      <c r="A1110" s="20">
        <v>-31.16</v>
      </c>
      <c r="B1110" s="20">
        <v>92.88</v>
      </c>
      <c r="D1110" s="20"/>
      <c r="E1110" s="20"/>
      <c r="F1110" s="20">
        <v>-16.25</v>
      </c>
      <c r="G1110" s="20">
        <v>13.77</v>
      </c>
      <c r="I1110" s="20"/>
      <c r="J1110" s="20"/>
      <c r="K1110" s="20">
        <v>554.0</v>
      </c>
      <c r="L1110" s="20" t="s">
        <v>17</v>
      </c>
      <c r="M1110" s="20">
        <v>-23.68</v>
      </c>
      <c r="N1110" s="20">
        <v>46.42</v>
      </c>
      <c r="P1110" s="20">
        <v>-13.67</v>
      </c>
      <c r="Q1110" s="20">
        <v>13.95</v>
      </c>
      <c r="AG1110" s="43">
        <v>1108.0</v>
      </c>
      <c r="AH1110" s="20" t="s">
        <v>14</v>
      </c>
      <c r="AI1110" s="20">
        <v>-27.78</v>
      </c>
      <c r="AJ1110" s="20">
        <v>21.07</v>
      </c>
      <c r="AM1110" s="20">
        <v>565.0</v>
      </c>
      <c r="AN1110" s="20" t="s">
        <v>17</v>
      </c>
      <c r="AO1110" s="20">
        <v>-29.58</v>
      </c>
      <c r="AP1110" s="20">
        <v>2.9</v>
      </c>
      <c r="AS1110" s="20">
        <v>558.0</v>
      </c>
      <c r="AT1110" s="20" t="s">
        <v>17</v>
      </c>
      <c r="AU1110" s="20">
        <v>-16.6</v>
      </c>
      <c r="AV1110" s="20">
        <v>-50.55</v>
      </c>
      <c r="BE1110" s="43">
        <v>1108.0</v>
      </c>
      <c r="BF1110" s="20" t="s">
        <v>14</v>
      </c>
      <c r="BG1110" s="20">
        <v>14.66</v>
      </c>
      <c r="BH1110" s="20">
        <v>14.28</v>
      </c>
      <c r="BM1110" s="20">
        <v>60.98</v>
      </c>
      <c r="BN1110" s="20">
        <v>80.6</v>
      </c>
      <c r="BW1110" s="20">
        <v>-65.45</v>
      </c>
      <c r="BX1110" s="20">
        <v>-40.25</v>
      </c>
      <c r="BZ1110" s="20">
        <v>-43.59</v>
      </c>
      <c r="CA1110" s="20">
        <v>25.61</v>
      </c>
      <c r="CO1110" s="20">
        <v>-9.27</v>
      </c>
      <c r="CP1110" s="20">
        <v>-33.95</v>
      </c>
    </row>
    <row r="1111">
      <c r="A1111" s="20">
        <v>-40.96</v>
      </c>
      <c r="B1111" s="20">
        <v>113.54</v>
      </c>
      <c r="D1111" s="20"/>
      <c r="E1111" s="20"/>
      <c r="F1111" s="20">
        <v>-19.35</v>
      </c>
      <c r="G1111" s="20">
        <v>-14.62</v>
      </c>
      <c r="I1111" s="20"/>
      <c r="J1111" s="20"/>
      <c r="K1111" s="20">
        <v>555.0</v>
      </c>
      <c r="L1111" s="20" t="s">
        <v>14</v>
      </c>
      <c r="M1111" s="20">
        <v>4.65</v>
      </c>
      <c r="N1111" s="20">
        <v>-15.28</v>
      </c>
      <c r="P1111" s="20">
        <v>-4.83</v>
      </c>
      <c r="Q1111" s="20">
        <v>-6.39</v>
      </c>
      <c r="AG1111" s="43">
        <v>1109.0</v>
      </c>
      <c r="AH1111" s="20" t="s">
        <v>14</v>
      </c>
      <c r="AI1111" s="20">
        <v>14.65</v>
      </c>
      <c r="AJ1111" s="20">
        <v>98.71</v>
      </c>
      <c r="AM1111" s="20">
        <v>566.0</v>
      </c>
      <c r="AN1111" s="20" t="s">
        <v>14</v>
      </c>
      <c r="AO1111" s="20">
        <v>-5.12</v>
      </c>
      <c r="AP1111" s="20">
        <v>-31.31</v>
      </c>
      <c r="AS1111" s="20">
        <v>559.0</v>
      </c>
      <c r="AT1111" s="20" t="s">
        <v>14</v>
      </c>
      <c r="AU1111" s="20">
        <v>0.49</v>
      </c>
      <c r="AV1111" s="20">
        <v>-16.18</v>
      </c>
      <c r="BE1111" s="43">
        <v>1109.0</v>
      </c>
      <c r="BF1111" s="20" t="s">
        <v>14</v>
      </c>
      <c r="BG1111" s="20">
        <v>24.73</v>
      </c>
      <c r="BH1111" s="20">
        <v>11.71</v>
      </c>
      <c r="BM1111" s="20">
        <v>41.05</v>
      </c>
      <c r="BN1111" s="20">
        <v>68.71</v>
      </c>
      <c r="BW1111" s="20">
        <v>-51.71</v>
      </c>
      <c r="BX1111" s="20">
        <v>45.31</v>
      </c>
      <c r="BZ1111" s="20">
        <v>-42.78</v>
      </c>
      <c r="CA1111" s="20">
        <v>13.62</v>
      </c>
      <c r="CO1111" s="20">
        <v>-21.87</v>
      </c>
      <c r="CP1111" s="20">
        <v>-43.16</v>
      </c>
    </row>
    <row r="1112">
      <c r="A1112" s="20">
        <v>43.02</v>
      </c>
      <c r="B1112" s="20">
        <v>43.59</v>
      </c>
      <c r="D1112" s="20"/>
      <c r="E1112" s="20"/>
      <c r="F1112" s="20">
        <v>-17.23</v>
      </c>
      <c r="G1112" s="20">
        <v>-19.39</v>
      </c>
      <c r="I1112" s="20"/>
      <c r="J1112" s="20"/>
      <c r="K1112" s="20">
        <v>555.0</v>
      </c>
      <c r="L1112" s="20" t="s">
        <v>17</v>
      </c>
      <c r="M1112" s="20">
        <v>-5.39</v>
      </c>
      <c r="N1112" s="20">
        <v>-63.61</v>
      </c>
      <c r="P1112" s="20">
        <v>-32.97</v>
      </c>
      <c r="Q1112" s="20">
        <v>32.8</v>
      </c>
      <c r="AG1112" s="43">
        <v>1110.0</v>
      </c>
      <c r="AH1112" s="20" t="s">
        <v>14</v>
      </c>
      <c r="AI1112" s="20">
        <v>-1.12</v>
      </c>
      <c r="AJ1112" s="20">
        <v>10.13</v>
      </c>
      <c r="AM1112" s="20">
        <v>566.0</v>
      </c>
      <c r="AN1112" s="20" t="s">
        <v>17</v>
      </c>
      <c r="AO1112" s="20">
        <v>-32.28</v>
      </c>
      <c r="AP1112" s="20">
        <v>-23.47</v>
      </c>
      <c r="AS1112" s="20">
        <v>559.0</v>
      </c>
      <c r="AT1112" s="20" t="s">
        <v>17</v>
      </c>
      <c r="AU1112" s="20">
        <v>92.09</v>
      </c>
      <c r="AV1112" s="20">
        <v>39.22</v>
      </c>
      <c r="BE1112" s="43">
        <v>1110.0</v>
      </c>
      <c r="BF1112" s="20" t="s">
        <v>14</v>
      </c>
      <c r="BG1112" s="20">
        <v>-9.85</v>
      </c>
      <c r="BH1112" s="20">
        <v>17.81</v>
      </c>
      <c r="BM1112" s="20">
        <v>57.6</v>
      </c>
      <c r="BN1112" s="20">
        <v>52.51</v>
      </c>
      <c r="BW1112" s="20">
        <v>-65.15</v>
      </c>
      <c r="BX1112" s="20">
        <v>-34.37</v>
      </c>
      <c r="BZ1112" s="20">
        <v>-64.92</v>
      </c>
      <c r="CA1112" s="20">
        <v>27.8</v>
      </c>
      <c r="CO1112" s="20">
        <v>-7.45</v>
      </c>
      <c r="CP1112" s="20">
        <v>-61.63</v>
      </c>
    </row>
    <row r="1113">
      <c r="A1113" s="20">
        <v>-52.68</v>
      </c>
      <c r="B1113" s="20">
        <v>-22.22</v>
      </c>
      <c r="D1113" s="20"/>
      <c r="E1113" s="20"/>
      <c r="F1113" s="20">
        <v>-33.13</v>
      </c>
      <c r="G1113" s="20">
        <v>-17.46</v>
      </c>
      <c r="I1113" s="20"/>
      <c r="J1113" s="20"/>
      <c r="K1113" s="20">
        <v>556.0</v>
      </c>
      <c r="L1113" s="20" t="s">
        <v>14</v>
      </c>
      <c r="M1113" s="20">
        <v>11.43</v>
      </c>
      <c r="N1113" s="20">
        <v>98.64</v>
      </c>
      <c r="P1113" s="20">
        <v>1.1</v>
      </c>
      <c r="Q1113" s="20">
        <v>46.44</v>
      </c>
      <c r="AG1113" s="43">
        <v>1111.0</v>
      </c>
      <c r="AH1113" s="20" t="s">
        <v>14</v>
      </c>
      <c r="AI1113" s="20">
        <v>-46.83</v>
      </c>
      <c r="AJ1113" s="20">
        <v>-38.69</v>
      </c>
      <c r="AM1113" s="20">
        <v>567.0</v>
      </c>
      <c r="AN1113" s="20" t="s">
        <v>14</v>
      </c>
      <c r="AO1113" s="20">
        <v>-9.73</v>
      </c>
      <c r="AP1113" s="20">
        <v>5.32</v>
      </c>
      <c r="AS1113" s="20">
        <v>560.0</v>
      </c>
      <c r="AT1113" s="20" t="s">
        <v>14</v>
      </c>
      <c r="AU1113" s="20">
        <v>-38.95</v>
      </c>
      <c r="AV1113" s="20">
        <v>-31.3</v>
      </c>
      <c r="BE1113" s="43">
        <v>1111.0</v>
      </c>
      <c r="BF1113" s="20" t="s">
        <v>14</v>
      </c>
      <c r="BG1113" s="20">
        <v>-14.15</v>
      </c>
      <c r="BH1113" s="20">
        <v>71.7</v>
      </c>
      <c r="BM1113" s="20">
        <v>-9.32</v>
      </c>
      <c r="BN1113" s="20">
        <v>51.38</v>
      </c>
      <c r="BW1113" s="20">
        <v>-71.23</v>
      </c>
      <c r="BX1113" s="20">
        <v>-27.27</v>
      </c>
      <c r="BZ1113" s="20">
        <v>-51.66</v>
      </c>
      <c r="CA1113" s="20">
        <v>46.01</v>
      </c>
      <c r="CO1113" s="20">
        <v>-37.53</v>
      </c>
      <c r="CP1113" s="20">
        <v>-62.39</v>
      </c>
    </row>
    <row r="1114">
      <c r="A1114" s="20">
        <v>4.16</v>
      </c>
      <c r="B1114" s="20">
        <v>66.29</v>
      </c>
      <c r="D1114" s="20"/>
      <c r="E1114" s="20"/>
      <c r="F1114" s="20">
        <v>-33.48</v>
      </c>
      <c r="G1114" s="20">
        <v>11.5</v>
      </c>
      <c r="I1114" s="20"/>
      <c r="J1114" s="20"/>
      <c r="K1114" s="20">
        <v>556.0</v>
      </c>
      <c r="L1114" s="20" t="s">
        <v>17</v>
      </c>
      <c r="M1114" s="20">
        <v>12.02</v>
      </c>
      <c r="N1114" s="20">
        <v>22.8</v>
      </c>
      <c r="P1114" s="20">
        <v>-30.81</v>
      </c>
      <c r="Q1114" s="20">
        <v>-72.28</v>
      </c>
      <c r="AG1114" s="43">
        <v>1112.0</v>
      </c>
      <c r="AH1114" s="20" t="s">
        <v>14</v>
      </c>
      <c r="AI1114" s="20">
        <v>-20.18</v>
      </c>
      <c r="AJ1114" s="20">
        <v>-29.76</v>
      </c>
      <c r="AM1114" s="20">
        <v>567.0</v>
      </c>
      <c r="AN1114" s="20" t="s">
        <v>17</v>
      </c>
      <c r="AO1114" s="20">
        <v>11.73</v>
      </c>
      <c r="AP1114" s="20">
        <v>-29.21</v>
      </c>
      <c r="AS1114" s="20">
        <v>560.0</v>
      </c>
      <c r="AT1114" s="20" t="s">
        <v>17</v>
      </c>
      <c r="AU1114" s="20">
        <v>42.06</v>
      </c>
      <c r="AV1114" s="20">
        <v>-45.99</v>
      </c>
      <c r="BE1114" s="43">
        <v>1112.0</v>
      </c>
      <c r="BF1114" s="20" t="s">
        <v>14</v>
      </c>
      <c r="BG1114" s="20">
        <v>9.99</v>
      </c>
      <c r="BH1114" s="20">
        <v>36.72</v>
      </c>
      <c r="BM1114" s="20">
        <v>3.69</v>
      </c>
      <c r="BN1114" s="20">
        <v>78.23</v>
      </c>
      <c r="BW1114" s="20">
        <v>-59.44</v>
      </c>
      <c r="BX1114" s="20">
        <v>-8.3</v>
      </c>
      <c r="BZ1114" s="20">
        <v>-65.68</v>
      </c>
      <c r="CA1114" s="20">
        <v>49.58</v>
      </c>
      <c r="CO1114" s="20">
        <v>-1.16</v>
      </c>
      <c r="CP1114" s="20">
        <v>-47.08</v>
      </c>
    </row>
    <row r="1115">
      <c r="A1115" s="20">
        <v>145.85</v>
      </c>
      <c r="B1115" s="20">
        <v>228.85</v>
      </c>
      <c r="D1115" s="20"/>
      <c r="E1115" s="20"/>
      <c r="F1115" s="20">
        <v>-25.99</v>
      </c>
      <c r="G1115" s="20">
        <v>-6.72</v>
      </c>
      <c r="I1115" s="20"/>
      <c r="J1115" s="20"/>
      <c r="K1115" s="20">
        <v>557.0</v>
      </c>
      <c r="L1115" s="20" t="s">
        <v>14</v>
      </c>
      <c r="M1115" s="20">
        <v>14.1</v>
      </c>
      <c r="N1115" s="20">
        <v>65.77</v>
      </c>
      <c r="P1115" s="20">
        <v>-29.95</v>
      </c>
      <c r="Q1115" s="20">
        <v>82.36</v>
      </c>
      <c r="AG1115" s="43">
        <v>1113.0</v>
      </c>
      <c r="AH1115" s="20" t="s">
        <v>14</v>
      </c>
      <c r="AI1115" s="20">
        <v>-29.52</v>
      </c>
      <c r="AJ1115" s="20">
        <v>-17.18</v>
      </c>
      <c r="AM1115" s="20">
        <v>568.0</v>
      </c>
      <c r="AN1115" s="20" t="s">
        <v>14</v>
      </c>
      <c r="AO1115" s="20">
        <v>6.21</v>
      </c>
      <c r="AP1115" s="20">
        <v>-10.71</v>
      </c>
      <c r="AS1115" s="20">
        <v>561.0</v>
      </c>
      <c r="AT1115" s="20" t="s">
        <v>14</v>
      </c>
      <c r="AU1115" s="20">
        <v>13.66</v>
      </c>
      <c r="AV1115" s="20">
        <v>-2.49</v>
      </c>
      <c r="BE1115" s="43">
        <v>1113.0</v>
      </c>
      <c r="BF1115" s="20" t="s">
        <v>14</v>
      </c>
      <c r="BG1115" s="20">
        <v>39.98</v>
      </c>
      <c r="BH1115" s="20">
        <v>28.9</v>
      </c>
      <c r="BM1115" s="20">
        <v>-20.82</v>
      </c>
      <c r="BN1115" s="20">
        <v>16.58</v>
      </c>
      <c r="BW1115" s="20">
        <v>-57.37</v>
      </c>
      <c r="BX1115" s="20">
        <v>-31.35</v>
      </c>
      <c r="BZ1115" s="20">
        <v>-69.36</v>
      </c>
      <c r="CA1115" s="20">
        <v>31.51</v>
      </c>
      <c r="CO1115" s="20">
        <v>-30.63</v>
      </c>
      <c r="CP1115" s="20">
        <v>-67.55</v>
      </c>
    </row>
    <row r="1116">
      <c r="A1116" s="20">
        <v>47.05</v>
      </c>
      <c r="B1116" s="20">
        <v>140.18</v>
      </c>
      <c r="D1116" s="20"/>
      <c r="E1116" s="20"/>
      <c r="F1116" s="20">
        <v>-11.63</v>
      </c>
      <c r="G1116" s="20">
        <v>-7.32</v>
      </c>
      <c r="I1116" s="20"/>
      <c r="J1116" s="20"/>
      <c r="K1116" s="20">
        <v>557.0</v>
      </c>
      <c r="L1116" s="20" t="s">
        <v>17</v>
      </c>
      <c r="M1116" s="20">
        <v>-15.18</v>
      </c>
      <c r="N1116" s="20">
        <v>-9.04</v>
      </c>
      <c r="P1116" s="20">
        <v>-44.63</v>
      </c>
      <c r="Q1116" s="20">
        <v>-8.64</v>
      </c>
      <c r="AG1116" s="43">
        <v>1114.0</v>
      </c>
      <c r="AH1116" s="20" t="s">
        <v>14</v>
      </c>
      <c r="AI1116" s="20">
        <v>-67.56</v>
      </c>
      <c r="AJ1116" s="20">
        <v>-56.21</v>
      </c>
      <c r="AM1116" s="20">
        <v>568.0</v>
      </c>
      <c r="AN1116" s="20" t="s">
        <v>17</v>
      </c>
      <c r="AO1116" s="20">
        <v>-5.86</v>
      </c>
      <c r="AP1116" s="20">
        <v>-41.43</v>
      </c>
      <c r="AS1116" s="20">
        <v>561.0</v>
      </c>
      <c r="AT1116" s="20" t="s">
        <v>17</v>
      </c>
      <c r="AU1116" s="20">
        <v>-59.96</v>
      </c>
      <c r="AV1116" s="20">
        <v>-82.4</v>
      </c>
      <c r="BE1116" s="43">
        <v>1114.0</v>
      </c>
      <c r="BF1116" s="20" t="s">
        <v>14</v>
      </c>
      <c r="BG1116" s="20">
        <v>-19.84</v>
      </c>
      <c r="BH1116" s="20">
        <v>60.74</v>
      </c>
      <c r="BM1116" s="20">
        <v>-43.82</v>
      </c>
      <c r="BN1116" s="20">
        <v>-17.72</v>
      </c>
      <c r="BW1116" s="20">
        <v>-52.64</v>
      </c>
      <c r="BX1116" s="20">
        <v>-35.07</v>
      </c>
      <c r="BZ1116" s="20">
        <v>-63.39</v>
      </c>
      <c r="CA1116" s="20">
        <v>41.09</v>
      </c>
      <c r="CO1116" s="20">
        <v>-20.5</v>
      </c>
      <c r="CP1116" s="20">
        <v>-54.17</v>
      </c>
    </row>
    <row r="1117">
      <c r="A1117" s="20">
        <v>22.74</v>
      </c>
      <c r="B1117" s="20">
        <v>49.8</v>
      </c>
      <c r="D1117" s="20"/>
      <c r="E1117" s="20"/>
      <c r="F1117" s="20">
        <v>-32.5</v>
      </c>
      <c r="G1117" s="20">
        <v>7.08</v>
      </c>
      <c r="I1117" s="20"/>
      <c r="J1117" s="20"/>
      <c r="K1117" s="20">
        <v>558.0</v>
      </c>
      <c r="L1117" s="20" t="s">
        <v>14</v>
      </c>
      <c r="M1117" s="20">
        <v>7.86</v>
      </c>
      <c r="N1117" s="20">
        <v>32.83</v>
      </c>
      <c r="P1117" s="20">
        <v>-12.73</v>
      </c>
      <c r="Q1117" s="20">
        <v>16.91</v>
      </c>
      <c r="AG1117" s="43">
        <v>1115.0</v>
      </c>
      <c r="AH1117" s="20" t="s">
        <v>14</v>
      </c>
      <c r="AI1117" s="20">
        <v>-41.56</v>
      </c>
      <c r="AJ1117" s="20">
        <v>-18.9</v>
      </c>
      <c r="AM1117" s="20">
        <v>569.0</v>
      </c>
      <c r="AN1117" s="20" t="s">
        <v>14</v>
      </c>
      <c r="AO1117" s="20">
        <v>-16.3</v>
      </c>
      <c r="AP1117" s="20">
        <v>-10.1</v>
      </c>
      <c r="AS1117" s="20">
        <v>562.0</v>
      </c>
      <c r="AT1117" s="20" t="s">
        <v>14</v>
      </c>
      <c r="AU1117" s="20">
        <v>10.5</v>
      </c>
      <c r="AV1117" s="20">
        <v>-8.52</v>
      </c>
      <c r="BE1117" s="43">
        <v>1115.0</v>
      </c>
      <c r="BF1117" s="20" t="s">
        <v>14</v>
      </c>
      <c r="BG1117" s="20">
        <v>-18.97</v>
      </c>
      <c r="BH1117" s="20">
        <v>-3.98</v>
      </c>
      <c r="BM1117" s="20">
        <v>67.76</v>
      </c>
      <c r="BN1117" s="20">
        <v>71.24</v>
      </c>
      <c r="BW1117" s="20">
        <v>-19.61</v>
      </c>
      <c r="BX1117" s="20">
        <v>23.76</v>
      </c>
      <c r="BZ1117" s="20">
        <v>-40.66</v>
      </c>
      <c r="CA1117" s="20">
        <v>63.31</v>
      </c>
      <c r="CO1117" s="20">
        <v>-26.33</v>
      </c>
      <c r="CP1117" s="20">
        <v>-61.25</v>
      </c>
    </row>
    <row r="1118">
      <c r="A1118" s="20">
        <v>55.61</v>
      </c>
      <c r="B1118" s="20">
        <v>-45.07</v>
      </c>
      <c r="D1118" s="20"/>
      <c r="E1118" s="20"/>
      <c r="F1118" s="20">
        <v>-38.85</v>
      </c>
      <c r="G1118" s="20">
        <v>-27.49</v>
      </c>
      <c r="I1118" s="20"/>
      <c r="J1118" s="20"/>
      <c r="K1118" s="20">
        <v>558.0</v>
      </c>
      <c r="L1118" s="20" t="s">
        <v>17</v>
      </c>
      <c r="M1118" s="20">
        <v>-11.84</v>
      </c>
      <c r="N1118" s="20">
        <v>-9.9</v>
      </c>
      <c r="P1118" s="20">
        <v>-33.71</v>
      </c>
      <c r="Q1118" s="20">
        <v>29.44</v>
      </c>
      <c r="AG1118" s="43">
        <v>1116.0</v>
      </c>
      <c r="AH1118" s="20" t="s">
        <v>14</v>
      </c>
      <c r="AI1118" s="20">
        <v>24.07</v>
      </c>
      <c r="AJ1118" s="20">
        <v>36.92</v>
      </c>
      <c r="AM1118" s="20">
        <v>569.0</v>
      </c>
      <c r="AN1118" s="20" t="s">
        <v>17</v>
      </c>
      <c r="AO1118" s="20">
        <v>-0.68</v>
      </c>
      <c r="AP1118" s="20">
        <v>-8.79</v>
      </c>
      <c r="AS1118" s="20">
        <v>562.0</v>
      </c>
      <c r="AT1118" s="20" t="s">
        <v>17</v>
      </c>
      <c r="AU1118" s="20">
        <v>6.35</v>
      </c>
      <c r="AV1118" s="20">
        <v>-15.04</v>
      </c>
      <c r="BE1118" s="43">
        <v>1116.0</v>
      </c>
      <c r="BF1118" s="20" t="s">
        <v>14</v>
      </c>
      <c r="BG1118" s="20">
        <v>25.24</v>
      </c>
      <c r="BH1118" s="20">
        <v>86.91</v>
      </c>
      <c r="BM1118" s="20">
        <v>37.44</v>
      </c>
      <c r="BN1118" s="20">
        <v>74.36</v>
      </c>
      <c r="BW1118" s="20">
        <v>-37.03</v>
      </c>
      <c r="BX1118" s="20">
        <v>-28.38</v>
      </c>
      <c r="BZ1118" s="20">
        <v>-57.61</v>
      </c>
      <c r="CA1118" s="20">
        <v>-12.83</v>
      </c>
      <c r="CO1118" s="20">
        <v>-38.49</v>
      </c>
      <c r="CP1118" s="20">
        <v>-63.78</v>
      </c>
    </row>
    <row r="1119">
      <c r="A1119" s="20">
        <v>0.86</v>
      </c>
      <c r="B1119" s="20">
        <v>-12.77</v>
      </c>
      <c r="D1119" s="20"/>
      <c r="E1119" s="20"/>
      <c r="F1119" s="20">
        <v>62.1</v>
      </c>
      <c r="G1119" s="20">
        <v>29.09</v>
      </c>
      <c r="I1119" s="20"/>
      <c r="J1119" s="20"/>
      <c r="K1119" s="20">
        <v>559.0</v>
      </c>
      <c r="L1119" s="20" t="s">
        <v>14</v>
      </c>
      <c r="M1119" s="20">
        <v>-31.35</v>
      </c>
      <c r="N1119" s="20">
        <v>-2.8</v>
      </c>
      <c r="P1119" s="20">
        <v>-10.79</v>
      </c>
      <c r="Q1119" s="20">
        <v>22.34</v>
      </c>
      <c r="AG1119" s="43">
        <v>1117.0</v>
      </c>
      <c r="AH1119" s="20" t="s">
        <v>14</v>
      </c>
      <c r="AI1119" s="20">
        <v>-32.99</v>
      </c>
      <c r="AJ1119" s="20">
        <v>-2.62</v>
      </c>
      <c r="AM1119" s="20">
        <v>570.0</v>
      </c>
      <c r="AN1119" s="20" t="s">
        <v>14</v>
      </c>
      <c r="AO1119" s="20">
        <v>-4.62</v>
      </c>
      <c r="AP1119" s="20">
        <v>-19.32</v>
      </c>
      <c r="AS1119" s="20">
        <v>563.0</v>
      </c>
      <c r="AT1119" s="20" t="s">
        <v>14</v>
      </c>
      <c r="AU1119" s="20">
        <v>24.4</v>
      </c>
      <c r="AV1119" s="20">
        <v>-30.56</v>
      </c>
      <c r="BE1119" s="43">
        <v>1117.0</v>
      </c>
      <c r="BF1119" s="20" t="s">
        <v>14</v>
      </c>
      <c r="BG1119" s="20">
        <v>-11.74</v>
      </c>
      <c r="BH1119" s="20">
        <v>-12.52</v>
      </c>
      <c r="BM1119" s="20">
        <v>65.18</v>
      </c>
      <c r="BN1119" s="20">
        <v>139.81</v>
      </c>
      <c r="BW1119" s="20">
        <v>-41.91</v>
      </c>
      <c r="BX1119" s="20">
        <v>-11.13</v>
      </c>
      <c r="BZ1119" s="20">
        <v>-33.37</v>
      </c>
      <c r="CA1119" s="20">
        <v>16.51</v>
      </c>
      <c r="CO1119" s="20">
        <v>-29.13</v>
      </c>
      <c r="CP1119" s="20">
        <v>-52.24</v>
      </c>
    </row>
    <row r="1120">
      <c r="A1120" s="20">
        <v>-35.93</v>
      </c>
      <c r="B1120" s="20">
        <v>85.67</v>
      </c>
      <c r="D1120" s="20"/>
      <c r="E1120" s="20"/>
      <c r="F1120" s="20">
        <v>3.45</v>
      </c>
      <c r="G1120" s="20">
        <v>-2.68</v>
      </c>
      <c r="I1120" s="20"/>
      <c r="J1120" s="20"/>
      <c r="K1120" s="20">
        <v>559.0</v>
      </c>
      <c r="L1120" s="20" t="s">
        <v>17</v>
      </c>
      <c r="M1120" s="20">
        <v>-1.21</v>
      </c>
      <c r="N1120" s="20">
        <v>-32.3</v>
      </c>
      <c r="P1120" s="20">
        <v>-44.19</v>
      </c>
      <c r="Q1120" s="20">
        <v>49.18</v>
      </c>
      <c r="AG1120" s="43">
        <v>1118.0</v>
      </c>
      <c r="AH1120" s="20" t="s">
        <v>14</v>
      </c>
      <c r="AI1120" s="20">
        <v>40.69</v>
      </c>
      <c r="AJ1120" s="20">
        <v>49.56</v>
      </c>
      <c r="AM1120" s="20">
        <v>570.0</v>
      </c>
      <c r="AN1120" s="20" t="s">
        <v>17</v>
      </c>
      <c r="AO1120" s="20">
        <v>-38.27</v>
      </c>
      <c r="AP1120" s="20">
        <v>-18.72</v>
      </c>
      <c r="AS1120" s="20">
        <v>563.0</v>
      </c>
      <c r="AT1120" s="20" t="s">
        <v>17</v>
      </c>
      <c r="AU1120" s="20">
        <v>-54.15</v>
      </c>
      <c r="AV1120" s="20">
        <v>-68.4</v>
      </c>
      <c r="BE1120" s="43">
        <v>1118.0</v>
      </c>
      <c r="BF1120" s="20" t="s">
        <v>14</v>
      </c>
      <c r="BG1120" s="20">
        <v>24.39</v>
      </c>
      <c r="BH1120" s="20">
        <v>-20.92</v>
      </c>
      <c r="BM1120" s="20">
        <v>60.81</v>
      </c>
      <c r="BN1120" s="20">
        <v>43.05</v>
      </c>
      <c r="BW1120" s="20">
        <v>-65.38</v>
      </c>
      <c r="BX1120" s="20">
        <v>-19.53</v>
      </c>
      <c r="BZ1120" s="20">
        <v>-63.94</v>
      </c>
      <c r="CA1120" s="20">
        <v>21.94</v>
      </c>
      <c r="CO1120" s="20">
        <v>9.09</v>
      </c>
      <c r="CP1120" s="20">
        <v>-69.85</v>
      </c>
    </row>
    <row r="1121">
      <c r="A1121" s="20">
        <v>-29.78</v>
      </c>
      <c r="B1121" s="20">
        <v>123.95</v>
      </c>
      <c r="D1121" s="20"/>
      <c r="E1121" s="20"/>
      <c r="F1121" s="20">
        <v>33.87</v>
      </c>
      <c r="G1121" s="20">
        <v>1.38</v>
      </c>
      <c r="I1121" s="20"/>
      <c r="J1121" s="20"/>
      <c r="K1121" s="20">
        <v>560.0</v>
      </c>
      <c r="L1121" s="20" t="s">
        <v>14</v>
      </c>
      <c r="M1121" s="20">
        <v>-29.99</v>
      </c>
      <c r="N1121" s="20">
        <v>-7.35</v>
      </c>
      <c r="P1121" s="20">
        <v>-25.59</v>
      </c>
      <c r="Q1121" s="20">
        <v>12.2</v>
      </c>
      <c r="AG1121" s="43">
        <v>1119.0</v>
      </c>
      <c r="AH1121" s="20" t="s">
        <v>14</v>
      </c>
      <c r="AI1121" s="20">
        <v>53.77</v>
      </c>
      <c r="AJ1121" s="20">
        <v>75.13</v>
      </c>
      <c r="AM1121" s="20">
        <v>571.0</v>
      </c>
      <c r="AN1121" s="20" t="s">
        <v>14</v>
      </c>
      <c r="AO1121" s="20">
        <v>10.44</v>
      </c>
      <c r="AP1121" s="20">
        <v>-23.79</v>
      </c>
      <c r="AS1121" s="20">
        <v>564.0</v>
      </c>
      <c r="AT1121" s="20" t="s">
        <v>14</v>
      </c>
      <c r="AU1121" s="20">
        <v>-12.3</v>
      </c>
      <c r="AV1121" s="20">
        <v>21.26</v>
      </c>
      <c r="BE1121" s="43">
        <v>1119.0</v>
      </c>
      <c r="BF1121" s="20" t="s">
        <v>14</v>
      </c>
      <c r="BG1121" s="20">
        <v>42.1</v>
      </c>
      <c r="BH1121" s="20">
        <v>-9.7</v>
      </c>
      <c r="BM1121" s="20">
        <v>42.23</v>
      </c>
      <c r="BN1121" s="20">
        <v>41.64</v>
      </c>
      <c r="BW1121" s="20">
        <v>-54.48</v>
      </c>
      <c r="BX1121" s="20">
        <v>-34.05</v>
      </c>
      <c r="BZ1121" s="20">
        <v>-29.32</v>
      </c>
      <c r="CA1121" s="20">
        <v>56.73</v>
      </c>
      <c r="CO1121" s="20">
        <v>-15.49</v>
      </c>
      <c r="CP1121" s="20">
        <v>-61.45</v>
      </c>
    </row>
    <row r="1122">
      <c r="A1122" s="20">
        <v>6.43</v>
      </c>
      <c r="B1122" s="20">
        <v>142.99</v>
      </c>
      <c r="D1122" s="20"/>
      <c r="E1122" s="20"/>
      <c r="F1122" s="20">
        <v>-14.41</v>
      </c>
      <c r="G1122" s="20">
        <v>21.93</v>
      </c>
      <c r="I1122" s="20"/>
      <c r="J1122" s="20"/>
      <c r="K1122" s="20">
        <v>560.0</v>
      </c>
      <c r="L1122" s="20" t="s">
        <v>17</v>
      </c>
      <c r="M1122" s="20">
        <v>-13.18</v>
      </c>
      <c r="N1122" s="20">
        <v>30.61</v>
      </c>
      <c r="P1122" s="20">
        <v>-45.45</v>
      </c>
      <c r="Q1122" s="20">
        <v>-5.14</v>
      </c>
      <c r="AG1122" s="43">
        <v>1120.0</v>
      </c>
      <c r="AH1122" s="20" t="s">
        <v>14</v>
      </c>
      <c r="AI1122" s="20">
        <v>-37.66</v>
      </c>
      <c r="AJ1122" s="20">
        <v>-46.81</v>
      </c>
      <c r="AM1122" s="20">
        <v>571.0</v>
      </c>
      <c r="AN1122" s="20" t="s">
        <v>17</v>
      </c>
      <c r="AO1122" s="20">
        <v>27.86</v>
      </c>
      <c r="AP1122" s="20">
        <v>28.14</v>
      </c>
      <c r="AS1122" s="20">
        <v>564.0</v>
      </c>
      <c r="AT1122" s="20" t="s">
        <v>17</v>
      </c>
      <c r="AU1122" s="20">
        <v>-14.59</v>
      </c>
      <c r="AV1122" s="20">
        <v>-53.63</v>
      </c>
      <c r="BE1122" s="43">
        <v>1120.0</v>
      </c>
      <c r="BF1122" s="20" t="s">
        <v>14</v>
      </c>
      <c r="BG1122" s="20">
        <v>-21.61</v>
      </c>
      <c r="BH1122" s="20">
        <v>44.16</v>
      </c>
      <c r="BM1122" s="20">
        <v>-63.42</v>
      </c>
      <c r="BN1122" s="20">
        <v>-45.93</v>
      </c>
      <c r="BW1122" s="20">
        <v>-63.16</v>
      </c>
      <c r="BX1122" s="20">
        <v>-26.94</v>
      </c>
      <c r="BZ1122" s="20">
        <v>-26.12</v>
      </c>
      <c r="CA1122" s="20">
        <v>133.66</v>
      </c>
      <c r="CO1122" s="20">
        <v>-53.38</v>
      </c>
      <c r="CP1122" s="20">
        <v>-53.14</v>
      </c>
    </row>
    <row r="1123">
      <c r="A1123" s="20">
        <v>70.29</v>
      </c>
      <c r="B1123" s="20">
        <v>-17.15</v>
      </c>
      <c r="D1123" s="20"/>
      <c r="E1123" s="20"/>
      <c r="F1123" s="20">
        <v>-17.88</v>
      </c>
      <c r="G1123" s="20">
        <v>-19.35</v>
      </c>
      <c r="I1123" s="20"/>
      <c r="J1123" s="20"/>
      <c r="K1123" s="20">
        <v>561.0</v>
      </c>
      <c r="L1123" s="20" t="s">
        <v>14</v>
      </c>
      <c r="M1123" s="20">
        <v>-21.58</v>
      </c>
      <c r="N1123" s="20">
        <v>16.79</v>
      </c>
      <c r="P1123" s="20">
        <v>-5.71</v>
      </c>
      <c r="Q1123" s="20">
        <v>-3.75</v>
      </c>
      <c r="AG1123" s="43">
        <v>1121.0</v>
      </c>
      <c r="AH1123" s="20" t="s">
        <v>14</v>
      </c>
      <c r="AI1123" s="20">
        <v>-28.85</v>
      </c>
      <c r="AJ1123" s="20">
        <v>-2.97</v>
      </c>
      <c r="AM1123" s="20">
        <v>572.0</v>
      </c>
      <c r="AN1123" s="20" t="s">
        <v>14</v>
      </c>
      <c r="AO1123" s="20">
        <v>-10.1</v>
      </c>
      <c r="AP1123" s="20">
        <v>16.5</v>
      </c>
      <c r="AS1123" s="20">
        <v>565.0</v>
      </c>
      <c r="AT1123" s="20" t="s">
        <v>14</v>
      </c>
      <c r="AU1123" s="20">
        <v>-14.26</v>
      </c>
      <c r="AV1123" s="20">
        <v>-34.99</v>
      </c>
      <c r="BE1123" s="43">
        <v>1121.0</v>
      </c>
      <c r="BF1123" s="20" t="s">
        <v>14</v>
      </c>
      <c r="BG1123" s="20">
        <v>-11.27</v>
      </c>
      <c r="BH1123" s="20">
        <v>-41.16</v>
      </c>
      <c r="BM1123" s="20">
        <v>73.77</v>
      </c>
      <c r="BN1123" s="20">
        <v>75.49</v>
      </c>
      <c r="BW1123" s="20">
        <v>-42.13</v>
      </c>
      <c r="BX1123" s="20">
        <v>-39.37</v>
      </c>
      <c r="BZ1123" s="20">
        <v>-41.74</v>
      </c>
      <c r="CA1123" s="20">
        <v>42.89</v>
      </c>
      <c r="CO1123" s="20">
        <v>-22.78</v>
      </c>
      <c r="CP1123" s="20">
        <v>-47.07</v>
      </c>
    </row>
    <row r="1124">
      <c r="A1124" s="20">
        <v>-2.92</v>
      </c>
      <c r="B1124" s="20">
        <v>18.44</v>
      </c>
      <c r="D1124" s="20"/>
      <c r="E1124" s="20"/>
      <c r="F1124" s="20">
        <v>-15.39</v>
      </c>
      <c r="G1124" s="20">
        <v>-44.83</v>
      </c>
      <c r="I1124" s="20"/>
      <c r="J1124" s="20"/>
      <c r="K1124" s="20">
        <v>561.0</v>
      </c>
      <c r="L1124" s="20" t="s">
        <v>17</v>
      </c>
      <c r="M1124" s="20">
        <v>-24.03</v>
      </c>
      <c r="N1124" s="20">
        <v>71.83</v>
      </c>
      <c r="P1124" s="20">
        <v>-10.55</v>
      </c>
      <c r="Q1124" s="20">
        <v>16.72</v>
      </c>
      <c r="AG1124" s="43">
        <v>1122.0</v>
      </c>
      <c r="AH1124" s="20" t="s">
        <v>14</v>
      </c>
      <c r="AI1124" s="20">
        <v>5.82</v>
      </c>
      <c r="AJ1124" s="20">
        <v>-14.2</v>
      </c>
      <c r="AM1124" s="20">
        <v>572.0</v>
      </c>
      <c r="AN1124" s="20" t="s">
        <v>17</v>
      </c>
      <c r="AO1124" s="20">
        <v>-36.52</v>
      </c>
      <c r="AP1124" s="20">
        <v>-9.3</v>
      </c>
      <c r="AS1124" s="20">
        <v>565.0</v>
      </c>
      <c r="AT1124" s="20" t="s">
        <v>17</v>
      </c>
      <c r="AU1124" s="20">
        <v>-11.07</v>
      </c>
      <c r="AV1124" s="20">
        <v>-19.59</v>
      </c>
      <c r="BE1124" s="43">
        <v>1122.0</v>
      </c>
      <c r="BF1124" s="20" t="s">
        <v>14</v>
      </c>
      <c r="BG1124" s="20">
        <v>24.51</v>
      </c>
      <c r="BH1124" s="20">
        <v>14.61</v>
      </c>
      <c r="BM1124" s="20">
        <v>65.88</v>
      </c>
      <c r="BN1124" s="20">
        <v>82.15</v>
      </c>
      <c r="BW1124" s="20">
        <v>-29.7</v>
      </c>
      <c r="BX1124" s="20">
        <v>-50.87</v>
      </c>
      <c r="BZ1124" s="20">
        <v>-42.42</v>
      </c>
      <c r="CA1124" s="20">
        <v>54.34</v>
      </c>
      <c r="CO1124" s="20">
        <v>-8.49</v>
      </c>
      <c r="CP1124" s="20">
        <v>-70.01</v>
      </c>
    </row>
    <row r="1125">
      <c r="A1125" s="20">
        <v>9.49</v>
      </c>
      <c r="B1125" s="20">
        <v>58.62</v>
      </c>
      <c r="D1125" s="20"/>
      <c r="E1125" s="20"/>
      <c r="F1125" s="20">
        <v>50.12</v>
      </c>
      <c r="G1125" s="20">
        <v>28.58</v>
      </c>
      <c r="I1125" s="20"/>
      <c r="J1125" s="20"/>
      <c r="K1125" s="20">
        <v>562.0</v>
      </c>
      <c r="L1125" s="20" t="s">
        <v>14</v>
      </c>
      <c r="M1125" s="20">
        <v>-21.08</v>
      </c>
      <c r="N1125" s="20">
        <v>-5.36</v>
      </c>
      <c r="P1125" s="20">
        <v>-16.1</v>
      </c>
      <c r="Q1125" s="20">
        <v>-28.67</v>
      </c>
      <c r="AG1125" s="43">
        <v>1123.0</v>
      </c>
      <c r="AH1125" s="20" t="s">
        <v>14</v>
      </c>
      <c r="AI1125" s="20">
        <v>-72.78</v>
      </c>
      <c r="AJ1125" s="20">
        <v>-38.68</v>
      </c>
      <c r="AM1125" s="20">
        <v>573.0</v>
      </c>
      <c r="AN1125" s="20" t="s">
        <v>14</v>
      </c>
      <c r="AO1125" s="20">
        <v>-17.98</v>
      </c>
      <c r="AP1125" s="20">
        <v>-3.17</v>
      </c>
      <c r="AS1125" s="20">
        <v>566.0</v>
      </c>
      <c r="AT1125" s="20" t="s">
        <v>14</v>
      </c>
      <c r="AU1125" s="20">
        <v>-3.56</v>
      </c>
      <c r="AV1125" s="20">
        <v>-25.5</v>
      </c>
      <c r="BE1125" s="43">
        <v>1123.0</v>
      </c>
      <c r="BF1125" s="20" t="s">
        <v>14</v>
      </c>
      <c r="BG1125" s="20">
        <v>42.66</v>
      </c>
      <c r="BH1125" s="20">
        <v>68.88</v>
      </c>
      <c r="BM1125" s="20">
        <v>66.4</v>
      </c>
      <c r="BN1125" s="20">
        <v>78.17</v>
      </c>
      <c r="BW1125" s="20">
        <v>-45.63</v>
      </c>
      <c r="BX1125" s="20">
        <v>-16.26</v>
      </c>
      <c r="BZ1125" s="20">
        <v>-46.07</v>
      </c>
      <c r="CA1125" s="20">
        <v>43.35</v>
      </c>
      <c r="CO1125" s="20">
        <v>-28.4</v>
      </c>
      <c r="CP1125" s="20">
        <v>-60.11</v>
      </c>
    </row>
    <row r="1126">
      <c r="A1126" s="20">
        <v>62.18</v>
      </c>
      <c r="B1126" s="20">
        <v>-79.52</v>
      </c>
      <c r="D1126" s="20"/>
      <c r="E1126" s="20"/>
      <c r="F1126" s="20">
        <v>-8.88</v>
      </c>
      <c r="G1126" s="20">
        <v>19.94</v>
      </c>
      <c r="I1126" s="20"/>
      <c r="J1126" s="20"/>
      <c r="K1126" s="20">
        <v>562.0</v>
      </c>
      <c r="L1126" s="20" t="s">
        <v>17</v>
      </c>
      <c r="M1126" s="20">
        <v>20.53</v>
      </c>
      <c r="N1126" s="20">
        <v>19.16</v>
      </c>
      <c r="P1126" s="20">
        <v>-8.84</v>
      </c>
      <c r="Q1126" s="20">
        <v>0.29</v>
      </c>
      <c r="AG1126" s="43">
        <v>1124.0</v>
      </c>
      <c r="AH1126" s="20" t="s">
        <v>14</v>
      </c>
      <c r="AI1126" s="20">
        <v>-30.12</v>
      </c>
      <c r="AJ1126" s="20">
        <v>-38.85</v>
      </c>
      <c r="AM1126" s="20">
        <v>573.0</v>
      </c>
      <c r="AN1126" s="20" t="s">
        <v>17</v>
      </c>
      <c r="AO1126" s="20">
        <v>-11.64</v>
      </c>
      <c r="AP1126" s="20">
        <v>-23.88</v>
      </c>
      <c r="AS1126" s="20">
        <v>566.0</v>
      </c>
      <c r="AT1126" s="20" t="s">
        <v>17</v>
      </c>
      <c r="AU1126" s="20">
        <v>-22.67</v>
      </c>
      <c r="AV1126" s="20">
        <v>-33.59</v>
      </c>
      <c r="BE1126" s="43">
        <v>1124.0</v>
      </c>
      <c r="BF1126" s="20" t="s">
        <v>14</v>
      </c>
      <c r="BG1126" s="20">
        <v>23.46</v>
      </c>
      <c r="BH1126" s="20">
        <v>12.09</v>
      </c>
      <c r="BM1126" s="20">
        <v>45.42</v>
      </c>
      <c r="BN1126" s="20">
        <v>107.5</v>
      </c>
      <c r="BW1126" s="20">
        <v>-40.89</v>
      </c>
      <c r="BX1126" s="20">
        <v>-34.36</v>
      </c>
      <c r="BZ1126" s="20">
        <v>-45.22</v>
      </c>
      <c r="CA1126" s="20">
        <v>9.59</v>
      </c>
      <c r="CO1126" s="20">
        <v>-6.07</v>
      </c>
      <c r="CP1126" s="20">
        <v>-58.65</v>
      </c>
    </row>
    <row r="1127">
      <c r="A1127" s="20">
        <v>44.17</v>
      </c>
      <c r="B1127" s="20">
        <v>27.81</v>
      </c>
      <c r="D1127" s="20"/>
      <c r="E1127" s="20"/>
      <c r="F1127" s="20">
        <v>5.73</v>
      </c>
      <c r="G1127" s="20">
        <v>35.51</v>
      </c>
      <c r="I1127" s="20"/>
      <c r="J1127" s="20"/>
      <c r="K1127" s="20">
        <v>563.0</v>
      </c>
      <c r="L1127" s="20" t="s">
        <v>14</v>
      </c>
      <c r="M1127" s="20">
        <v>-32.76</v>
      </c>
      <c r="N1127" s="20">
        <v>3.29</v>
      </c>
      <c r="P1127" s="20">
        <v>45.7</v>
      </c>
      <c r="Q1127" s="20">
        <v>107.35</v>
      </c>
      <c r="AG1127" s="43">
        <v>1125.0</v>
      </c>
      <c r="AH1127" s="20" t="s">
        <v>14</v>
      </c>
      <c r="AI1127" s="20">
        <v>-32.71</v>
      </c>
      <c r="AJ1127" s="20">
        <v>-37.54</v>
      </c>
      <c r="AM1127" s="20">
        <v>574.0</v>
      </c>
      <c r="AN1127" s="20" t="s">
        <v>14</v>
      </c>
      <c r="AO1127" s="20">
        <v>-10.03</v>
      </c>
      <c r="AP1127" s="20">
        <v>-13.6</v>
      </c>
      <c r="AS1127" s="20">
        <v>567.0</v>
      </c>
      <c r="AT1127" s="20" t="s">
        <v>14</v>
      </c>
      <c r="AU1127" s="20">
        <v>-5.55</v>
      </c>
      <c r="AV1127" s="20">
        <v>-30.51</v>
      </c>
      <c r="BE1127" s="43">
        <v>1125.0</v>
      </c>
      <c r="BF1127" s="20" t="s">
        <v>14</v>
      </c>
      <c r="BG1127" s="20">
        <v>0.99</v>
      </c>
      <c r="BH1127" s="20">
        <v>6.65</v>
      </c>
      <c r="BM1127" s="20">
        <v>11.59</v>
      </c>
      <c r="BN1127" s="20">
        <v>69.5</v>
      </c>
      <c r="BW1127" s="20">
        <v>-47.13</v>
      </c>
      <c r="BX1127" s="20">
        <v>-41.67</v>
      </c>
      <c r="BZ1127" s="20">
        <v>-63.71</v>
      </c>
      <c r="CA1127" s="20">
        <v>71.94</v>
      </c>
      <c r="CO1127" s="20">
        <v>-30.82</v>
      </c>
      <c r="CP1127" s="20">
        <v>-54.42</v>
      </c>
    </row>
    <row r="1128">
      <c r="A1128" s="20">
        <v>-26.78</v>
      </c>
      <c r="B1128" s="20">
        <v>119.24</v>
      </c>
      <c r="D1128" s="20"/>
      <c r="E1128" s="20"/>
      <c r="F1128" s="20">
        <v>-28.9</v>
      </c>
      <c r="G1128" s="20">
        <v>20.34</v>
      </c>
      <c r="I1128" s="20"/>
      <c r="J1128" s="20"/>
      <c r="K1128" s="20">
        <v>563.0</v>
      </c>
      <c r="L1128" s="20" t="s">
        <v>17</v>
      </c>
      <c r="M1128" s="20">
        <v>-55.25</v>
      </c>
      <c r="N1128" s="20">
        <v>-69.47</v>
      </c>
      <c r="P1128" s="20">
        <v>-2.04</v>
      </c>
      <c r="Q1128" s="20">
        <v>32.4</v>
      </c>
      <c r="AG1128" s="43">
        <v>1126.0</v>
      </c>
      <c r="AH1128" s="20" t="s">
        <v>14</v>
      </c>
      <c r="AI1128" s="20">
        <v>-11.4</v>
      </c>
      <c r="AJ1128" s="20">
        <v>-12.58</v>
      </c>
      <c r="AM1128" s="20">
        <v>574.0</v>
      </c>
      <c r="AN1128" s="20" t="s">
        <v>17</v>
      </c>
      <c r="AO1128" s="20">
        <v>-18.64</v>
      </c>
      <c r="AP1128" s="20">
        <v>-28.77</v>
      </c>
      <c r="AS1128" s="20">
        <v>567.0</v>
      </c>
      <c r="AT1128" s="20" t="s">
        <v>17</v>
      </c>
      <c r="AU1128" s="20">
        <v>8.0</v>
      </c>
      <c r="AV1128" s="20">
        <v>-10.13</v>
      </c>
      <c r="BE1128" s="43">
        <v>1126.0</v>
      </c>
      <c r="BF1128" s="20" t="s">
        <v>14</v>
      </c>
      <c r="BG1128" s="20">
        <v>40.46</v>
      </c>
      <c r="BH1128" s="20">
        <v>39.43</v>
      </c>
      <c r="BM1128" s="20">
        <v>-2.19</v>
      </c>
      <c r="BN1128" s="20">
        <v>126.68</v>
      </c>
      <c r="BW1128" s="20">
        <v>-54.91</v>
      </c>
      <c r="BX1128" s="20">
        <v>3.4</v>
      </c>
      <c r="BZ1128" s="20">
        <v>-65.95</v>
      </c>
      <c r="CA1128" s="20">
        <v>83.33</v>
      </c>
      <c r="CO1128" s="20">
        <v>-28.0</v>
      </c>
      <c r="CP1128" s="20">
        <v>-56.94</v>
      </c>
    </row>
    <row r="1129">
      <c r="A1129" s="20">
        <v>-44.9</v>
      </c>
      <c r="B1129" s="20">
        <v>72.22</v>
      </c>
      <c r="D1129" s="20"/>
      <c r="E1129" s="20"/>
      <c r="F1129" s="20">
        <v>-34.05</v>
      </c>
      <c r="G1129" s="20">
        <v>-24.92</v>
      </c>
      <c r="I1129" s="20"/>
      <c r="J1129" s="20"/>
      <c r="K1129" s="20">
        <v>564.0</v>
      </c>
      <c r="L1129" s="20" t="s">
        <v>14</v>
      </c>
      <c r="M1129" s="20">
        <v>-40.52</v>
      </c>
      <c r="N1129" s="20">
        <v>15.31</v>
      </c>
      <c r="P1129" s="20">
        <v>-15.69</v>
      </c>
      <c r="Q1129" s="20">
        <v>5.51</v>
      </c>
      <c r="AG1129" s="43">
        <v>1127.0</v>
      </c>
      <c r="AH1129" s="20" t="s">
        <v>14</v>
      </c>
      <c r="AI1129" s="20">
        <v>-7.01</v>
      </c>
      <c r="AJ1129" s="20">
        <v>3.81</v>
      </c>
      <c r="AM1129" s="20">
        <v>575.0</v>
      </c>
      <c r="AN1129" s="20" t="s">
        <v>14</v>
      </c>
      <c r="AO1129" s="20">
        <v>-16.39</v>
      </c>
      <c r="AP1129" s="20">
        <v>3.92</v>
      </c>
      <c r="AS1129" s="20">
        <v>568.0</v>
      </c>
      <c r="AT1129" s="20" t="s">
        <v>14</v>
      </c>
      <c r="AU1129" s="20">
        <v>12.15</v>
      </c>
      <c r="AV1129" s="20">
        <v>-10.87</v>
      </c>
      <c r="BE1129" s="43">
        <v>1127.0</v>
      </c>
      <c r="BF1129" s="20" t="s">
        <v>14</v>
      </c>
      <c r="BG1129" s="20">
        <v>17.49</v>
      </c>
      <c r="BH1129" s="20">
        <v>14.21</v>
      </c>
      <c r="BM1129" s="20">
        <v>10.46</v>
      </c>
      <c r="BN1129" s="20">
        <v>111.93</v>
      </c>
      <c r="BW1129" s="20">
        <v>-49.33</v>
      </c>
      <c r="BX1129" s="20">
        <v>-29.85</v>
      </c>
      <c r="BZ1129" s="20">
        <v>-70.29</v>
      </c>
      <c r="CA1129" s="20">
        <v>141.46</v>
      </c>
      <c r="CO1129" s="20">
        <v>-20.09</v>
      </c>
      <c r="CP1129" s="20">
        <v>-62.52</v>
      </c>
    </row>
    <row r="1130">
      <c r="A1130" s="20">
        <v>2.74</v>
      </c>
      <c r="B1130" s="20">
        <v>5.35</v>
      </c>
      <c r="D1130" s="20"/>
      <c r="E1130" s="20"/>
      <c r="F1130" s="20">
        <v>-25.71</v>
      </c>
      <c r="G1130" s="20">
        <v>12.63</v>
      </c>
      <c r="I1130" s="20"/>
      <c r="J1130" s="20"/>
      <c r="K1130" s="20">
        <v>564.0</v>
      </c>
      <c r="L1130" s="20" t="s">
        <v>17</v>
      </c>
      <c r="M1130" s="20">
        <v>-39.73</v>
      </c>
      <c r="N1130" s="20">
        <v>-10.24</v>
      </c>
      <c r="P1130" s="20">
        <v>-0.72</v>
      </c>
      <c r="Q1130" s="20">
        <v>31.29</v>
      </c>
      <c r="AG1130" s="43">
        <v>1128.0</v>
      </c>
      <c r="AH1130" s="20" t="s">
        <v>14</v>
      </c>
      <c r="AI1130" s="20">
        <v>-14.25</v>
      </c>
      <c r="AJ1130" s="20">
        <v>-34.22</v>
      </c>
      <c r="AM1130" s="20">
        <v>575.0</v>
      </c>
      <c r="AN1130" s="20" t="s">
        <v>17</v>
      </c>
      <c r="AO1130" s="20">
        <v>-22.78</v>
      </c>
      <c r="AP1130" s="20">
        <v>0.43</v>
      </c>
      <c r="AS1130" s="20">
        <v>568.0</v>
      </c>
      <c r="AT1130" s="20" t="s">
        <v>17</v>
      </c>
      <c r="AU1130" s="20">
        <v>-19.92</v>
      </c>
      <c r="AV1130" s="20">
        <v>-43.67</v>
      </c>
      <c r="BE1130" s="43">
        <v>1128.0</v>
      </c>
      <c r="BF1130" s="20" t="s">
        <v>14</v>
      </c>
      <c r="BG1130" s="20">
        <v>5.23</v>
      </c>
      <c r="BH1130" s="20">
        <v>-2.03</v>
      </c>
      <c r="BM1130" s="20">
        <v>22.29</v>
      </c>
      <c r="BN1130" s="20">
        <v>149.83</v>
      </c>
      <c r="BW1130" s="20">
        <v>-52.03</v>
      </c>
      <c r="BX1130" s="20">
        <v>-39.33</v>
      </c>
      <c r="BZ1130" s="20">
        <v>-76.17</v>
      </c>
      <c r="CA1130" s="20">
        <v>152.29</v>
      </c>
      <c r="CO1130" s="20">
        <v>-56.28</v>
      </c>
      <c r="CP1130" s="20">
        <v>-57.94</v>
      </c>
    </row>
    <row r="1131">
      <c r="A1131" s="20">
        <v>-54.27</v>
      </c>
      <c r="B1131" s="20">
        <v>-4.79</v>
      </c>
      <c r="D1131" s="20"/>
      <c r="E1131" s="20"/>
      <c r="F1131" s="20">
        <v>-22.36</v>
      </c>
      <c r="G1131" s="20">
        <v>-26.61</v>
      </c>
      <c r="I1131" s="20"/>
      <c r="J1131" s="20"/>
      <c r="K1131" s="20">
        <v>565.0</v>
      </c>
      <c r="L1131" s="20" t="s">
        <v>14</v>
      </c>
      <c r="M1131" s="20">
        <v>-25.24</v>
      </c>
      <c r="N1131" s="20">
        <v>-6.21</v>
      </c>
      <c r="P1131" s="20">
        <v>-2.13</v>
      </c>
      <c r="Q1131" s="20">
        <v>-4.41</v>
      </c>
      <c r="AG1131" s="43">
        <v>1129.0</v>
      </c>
      <c r="AH1131" s="20" t="s">
        <v>14</v>
      </c>
      <c r="AI1131" s="20">
        <v>-27.51</v>
      </c>
      <c r="AJ1131" s="20">
        <v>-43.4</v>
      </c>
      <c r="AM1131" s="20">
        <v>576.0</v>
      </c>
      <c r="AN1131" s="20" t="s">
        <v>14</v>
      </c>
      <c r="AO1131" s="20">
        <v>28.73</v>
      </c>
      <c r="AP1131" s="20">
        <v>-1.95</v>
      </c>
      <c r="AS1131" s="20">
        <v>569.0</v>
      </c>
      <c r="AT1131" s="20" t="s">
        <v>14</v>
      </c>
      <c r="AU1131" s="20">
        <v>-4.29</v>
      </c>
      <c r="AV1131" s="20">
        <v>-24.52</v>
      </c>
      <c r="BE1131" s="43">
        <v>1129.0</v>
      </c>
      <c r="BF1131" s="20" t="s">
        <v>14</v>
      </c>
      <c r="BG1131" s="20">
        <v>117.31</v>
      </c>
      <c r="BH1131" s="20">
        <v>25.67</v>
      </c>
      <c r="BM1131" s="20">
        <v>56.97</v>
      </c>
      <c r="BN1131" s="20">
        <v>68.49</v>
      </c>
      <c r="BW1131" s="20">
        <v>-38.66</v>
      </c>
      <c r="BX1131" s="20">
        <v>33.14</v>
      </c>
      <c r="BZ1131" s="20">
        <v>-65.8</v>
      </c>
      <c r="CA1131" s="20">
        <v>46.15</v>
      </c>
      <c r="CO1131" s="20">
        <v>-41.81</v>
      </c>
      <c r="CP1131" s="20">
        <v>-60.8</v>
      </c>
    </row>
    <row r="1132">
      <c r="A1132" s="20">
        <v>30.41</v>
      </c>
      <c r="B1132" s="20">
        <v>9.25</v>
      </c>
      <c r="D1132" s="20"/>
      <c r="E1132" s="20"/>
      <c r="F1132" s="20">
        <v>-15.43</v>
      </c>
      <c r="G1132" s="20">
        <v>-23.58</v>
      </c>
      <c r="I1132" s="20"/>
      <c r="J1132" s="20"/>
      <c r="K1132" s="20">
        <v>565.0</v>
      </c>
      <c r="L1132" s="20" t="s">
        <v>17</v>
      </c>
      <c r="M1132" s="20">
        <v>-34.42</v>
      </c>
      <c r="N1132" s="20">
        <v>-19.55</v>
      </c>
      <c r="P1132" s="20">
        <v>-42.67</v>
      </c>
      <c r="Q1132" s="20">
        <v>-17.16</v>
      </c>
      <c r="AG1132" s="43">
        <v>1130.0</v>
      </c>
      <c r="AH1132" s="20" t="s">
        <v>14</v>
      </c>
      <c r="AI1132" s="20">
        <v>-29.47</v>
      </c>
      <c r="AJ1132" s="20">
        <v>-35.1</v>
      </c>
      <c r="AM1132" s="20">
        <v>576.0</v>
      </c>
      <c r="AN1132" s="20" t="s">
        <v>17</v>
      </c>
      <c r="AO1132" s="20">
        <v>-8.2</v>
      </c>
      <c r="AP1132" s="20">
        <v>-13.78</v>
      </c>
      <c r="AS1132" s="20">
        <v>569.0</v>
      </c>
      <c r="AT1132" s="20" t="s">
        <v>17</v>
      </c>
      <c r="AU1132" s="20">
        <v>-26.4</v>
      </c>
      <c r="AV1132" s="20">
        <v>-25.85</v>
      </c>
      <c r="BE1132" s="43">
        <v>1130.0</v>
      </c>
      <c r="BF1132" s="20" t="s">
        <v>14</v>
      </c>
      <c r="BG1132" s="20">
        <v>-0.75</v>
      </c>
      <c r="BH1132" s="20">
        <v>-35.56</v>
      </c>
      <c r="BM1132" s="20">
        <v>83.61</v>
      </c>
      <c r="BN1132" s="20">
        <v>141.39</v>
      </c>
      <c r="BW1132" s="20">
        <v>-57.38</v>
      </c>
      <c r="BX1132" s="20">
        <v>49.86</v>
      </c>
      <c r="BZ1132" s="20">
        <v>-48.04</v>
      </c>
      <c r="CA1132" s="20">
        <v>46.58</v>
      </c>
      <c r="CO1132" s="20">
        <v>-24.2</v>
      </c>
      <c r="CP1132" s="20">
        <v>-64.97</v>
      </c>
    </row>
    <row r="1133">
      <c r="A1133" s="20">
        <v>34.53</v>
      </c>
      <c r="B1133" s="20">
        <v>103.48</v>
      </c>
      <c r="D1133" s="20"/>
      <c r="E1133" s="20"/>
      <c r="F1133" s="20">
        <v>-30.02</v>
      </c>
      <c r="G1133" s="20">
        <v>31.16</v>
      </c>
      <c r="I1133" s="20"/>
      <c r="J1133" s="20"/>
      <c r="K1133" s="20">
        <v>566.0</v>
      </c>
      <c r="L1133" s="20" t="s">
        <v>14</v>
      </c>
      <c r="M1133" s="20">
        <v>-4.26</v>
      </c>
      <c r="N1133" s="20">
        <v>8.89</v>
      </c>
      <c r="P1133" s="20">
        <v>8.71</v>
      </c>
      <c r="Q1133" s="20">
        <v>17.79</v>
      </c>
      <c r="AG1133" s="43">
        <v>1131.0</v>
      </c>
      <c r="AH1133" s="20" t="s">
        <v>14</v>
      </c>
      <c r="AI1133" s="20">
        <v>13.28</v>
      </c>
      <c r="AJ1133" s="20">
        <v>-0.53</v>
      </c>
      <c r="AM1133" s="20">
        <v>577.0</v>
      </c>
      <c r="AN1133" s="20" t="s">
        <v>14</v>
      </c>
      <c r="AO1133" s="20">
        <v>-48.69</v>
      </c>
      <c r="AP1133" s="20">
        <v>-15.95</v>
      </c>
      <c r="AS1133" s="20">
        <v>570.0</v>
      </c>
      <c r="AT1133" s="20" t="s">
        <v>14</v>
      </c>
      <c r="AU1133" s="20">
        <v>6.5</v>
      </c>
      <c r="AV1133" s="20">
        <v>-8.19</v>
      </c>
      <c r="BE1133" s="43">
        <v>1131.0</v>
      </c>
      <c r="BF1133" s="20" t="s">
        <v>14</v>
      </c>
      <c r="BG1133" s="20">
        <v>-5.53</v>
      </c>
      <c r="BH1133" s="20">
        <v>-35.4</v>
      </c>
      <c r="BM1133" s="20">
        <v>67.38</v>
      </c>
      <c r="BN1133" s="20">
        <v>69.59</v>
      </c>
      <c r="BW1133" s="20">
        <v>-3.41</v>
      </c>
      <c r="BX1133" s="20">
        <v>-31.79</v>
      </c>
      <c r="BZ1133" s="20">
        <v>-41.25</v>
      </c>
      <c r="CA1133" s="20">
        <v>33.23</v>
      </c>
      <c r="CO1133" s="20">
        <v>7.79</v>
      </c>
      <c r="CP1133" s="20">
        <v>-14.74</v>
      </c>
    </row>
    <row r="1134">
      <c r="A1134" s="20">
        <v>-40.84</v>
      </c>
      <c r="B1134" s="20">
        <v>-11.67</v>
      </c>
      <c r="D1134" s="20"/>
      <c r="E1134" s="20"/>
      <c r="F1134" s="20">
        <v>5.82</v>
      </c>
      <c r="G1134" s="20">
        <v>34.78</v>
      </c>
      <c r="I1134" s="20"/>
      <c r="J1134" s="20"/>
      <c r="K1134" s="20">
        <v>566.0</v>
      </c>
      <c r="L1134" s="20" t="s">
        <v>17</v>
      </c>
      <c r="M1134" s="20">
        <v>-20.7</v>
      </c>
      <c r="N1134" s="20">
        <v>28.8</v>
      </c>
      <c r="P1134" s="20">
        <v>-25.87</v>
      </c>
      <c r="Q1134" s="20">
        <v>3.51</v>
      </c>
      <c r="AG1134" s="43">
        <v>1132.0</v>
      </c>
      <c r="AH1134" s="20" t="s">
        <v>14</v>
      </c>
      <c r="AI1134" s="20">
        <v>-6.86</v>
      </c>
      <c r="AJ1134" s="20">
        <v>31.83</v>
      </c>
      <c r="AM1134" s="20">
        <v>577.0</v>
      </c>
      <c r="AN1134" s="20" t="s">
        <v>17</v>
      </c>
      <c r="AO1134" s="20">
        <v>-19.84</v>
      </c>
      <c r="AP1134" s="20">
        <v>12.33</v>
      </c>
      <c r="AS1134" s="20">
        <v>570.0</v>
      </c>
      <c r="AT1134" s="20" t="s">
        <v>17</v>
      </c>
      <c r="AU1134" s="20">
        <v>-4.46</v>
      </c>
      <c r="AV1134" s="20">
        <v>12.42</v>
      </c>
      <c r="BE1134" s="43">
        <v>1132.0</v>
      </c>
      <c r="BF1134" s="20" t="s">
        <v>14</v>
      </c>
      <c r="BG1134" s="20">
        <v>-6.45</v>
      </c>
      <c r="BH1134" s="20">
        <v>4.2</v>
      </c>
      <c r="BM1134" s="20">
        <v>31.51</v>
      </c>
      <c r="BN1134" s="20">
        <v>132.05</v>
      </c>
      <c r="BW1134" s="20">
        <v>-78.3</v>
      </c>
      <c r="BX1134" s="20">
        <v>-11.56</v>
      </c>
      <c r="BZ1134" s="20">
        <v>-64.63</v>
      </c>
      <c r="CA1134" s="20">
        <v>65.3</v>
      </c>
      <c r="CO1134" s="20">
        <v>24.8</v>
      </c>
      <c r="CP1134" s="20">
        <v>-26.85</v>
      </c>
    </row>
    <row r="1135">
      <c r="A1135" s="20">
        <v>-52.28</v>
      </c>
      <c r="B1135" s="20">
        <v>-10.16</v>
      </c>
      <c r="D1135" s="20"/>
      <c r="E1135" s="20"/>
      <c r="F1135" s="20">
        <v>-46.59</v>
      </c>
      <c r="G1135" s="20">
        <v>-1.52</v>
      </c>
      <c r="I1135" s="20"/>
      <c r="J1135" s="20"/>
      <c r="K1135" s="20">
        <v>567.0</v>
      </c>
      <c r="L1135" s="20" t="s">
        <v>14</v>
      </c>
      <c r="M1135" s="20">
        <v>-31.96</v>
      </c>
      <c r="N1135" s="20">
        <v>26.42</v>
      </c>
      <c r="P1135" s="20">
        <v>1.36</v>
      </c>
      <c r="Q1135" s="20">
        <v>13.98</v>
      </c>
      <c r="AG1135" s="43">
        <v>1133.0</v>
      </c>
      <c r="AH1135" s="20" t="s">
        <v>14</v>
      </c>
      <c r="AI1135" s="20">
        <v>20.75</v>
      </c>
      <c r="AJ1135" s="20">
        <v>94.37</v>
      </c>
      <c r="AM1135" s="20">
        <v>578.0</v>
      </c>
      <c r="AN1135" s="20" t="s">
        <v>14</v>
      </c>
      <c r="AO1135" s="20">
        <v>-48.59</v>
      </c>
      <c r="AP1135" s="20">
        <v>-31.71</v>
      </c>
      <c r="AS1135" s="20">
        <v>571.0</v>
      </c>
      <c r="AT1135" s="20" t="s">
        <v>14</v>
      </c>
      <c r="AU1135" s="20">
        <v>-18.67</v>
      </c>
      <c r="AV1135" s="20">
        <v>-45.3</v>
      </c>
      <c r="BE1135" s="43">
        <v>1133.0</v>
      </c>
      <c r="BF1135" s="20" t="s">
        <v>14</v>
      </c>
      <c r="BG1135" s="20">
        <v>-17.36</v>
      </c>
      <c r="BH1135" s="20">
        <v>-18.47</v>
      </c>
      <c r="BM1135" s="20">
        <v>46.56</v>
      </c>
      <c r="BN1135" s="20">
        <v>110.3</v>
      </c>
      <c r="BW1135" s="20">
        <v>-61.54</v>
      </c>
      <c r="BX1135" s="20">
        <v>-6.75</v>
      </c>
      <c r="BZ1135" s="20">
        <v>-28.44</v>
      </c>
      <c r="CA1135" s="20">
        <v>52.05</v>
      </c>
      <c r="CO1135" s="20">
        <v>55.51</v>
      </c>
      <c r="CP1135" s="20">
        <v>118.64</v>
      </c>
    </row>
    <row r="1136">
      <c r="A1136" s="20">
        <v>-15.66</v>
      </c>
      <c r="B1136" s="20">
        <v>-13.25</v>
      </c>
      <c r="D1136" s="20"/>
      <c r="E1136" s="20"/>
      <c r="F1136" s="20">
        <v>6.05</v>
      </c>
      <c r="G1136" s="20">
        <v>-8.75</v>
      </c>
      <c r="I1136" s="20"/>
      <c r="J1136" s="20"/>
      <c r="K1136" s="20">
        <v>567.0</v>
      </c>
      <c r="L1136" s="20" t="s">
        <v>17</v>
      </c>
      <c r="M1136" s="20">
        <v>-19.06</v>
      </c>
      <c r="N1136" s="20">
        <v>-22.2</v>
      </c>
      <c r="P1136" s="20">
        <v>-26.6</v>
      </c>
      <c r="Q1136" s="20">
        <v>-5.35</v>
      </c>
      <c r="AG1136" s="43">
        <v>1134.0</v>
      </c>
      <c r="AH1136" s="20" t="s">
        <v>14</v>
      </c>
      <c r="AI1136" s="20">
        <v>14.17</v>
      </c>
      <c r="AJ1136" s="20">
        <v>22.96</v>
      </c>
      <c r="AM1136" s="20">
        <v>578.0</v>
      </c>
      <c r="AN1136" s="20" t="s">
        <v>17</v>
      </c>
      <c r="AO1136" s="20">
        <v>22.94</v>
      </c>
      <c r="AP1136" s="20">
        <v>-19.03</v>
      </c>
      <c r="AS1136" s="20">
        <v>571.0</v>
      </c>
      <c r="AT1136" s="20" t="s">
        <v>17</v>
      </c>
      <c r="AU1136" s="20">
        <v>-4.63</v>
      </c>
      <c r="AV1136" s="20">
        <v>-27.54</v>
      </c>
      <c r="BE1136" s="43">
        <v>1134.0</v>
      </c>
      <c r="BF1136" s="20" t="s">
        <v>14</v>
      </c>
      <c r="BG1136" s="20">
        <v>150.28</v>
      </c>
      <c r="BH1136" s="20">
        <v>-14.57</v>
      </c>
      <c r="BM1136" s="20">
        <v>58.22</v>
      </c>
      <c r="BN1136" s="20">
        <v>37.09</v>
      </c>
      <c r="BW1136" s="20">
        <v>-57.8</v>
      </c>
      <c r="BX1136" s="20">
        <v>-59.26</v>
      </c>
      <c r="BZ1136" s="20">
        <v>-47.47</v>
      </c>
      <c r="CA1136" s="20">
        <v>62.46</v>
      </c>
      <c r="CO1136" s="20">
        <v>33.94</v>
      </c>
      <c r="CP1136" s="20">
        <v>10.42</v>
      </c>
    </row>
    <row r="1137">
      <c r="A1137" s="20">
        <v>-2.04</v>
      </c>
      <c r="B1137" s="20">
        <v>25.85</v>
      </c>
      <c r="D1137" s="20"/>
      <c r="E1137" s="20"/>
      <c r="F1137" s="20">
        <v>-15.91</v>
      </c>
      <c r="G1137" s="20">
        <v>63.06</v>
      </c>
      <c r="I1137" s="20"/>
      <c r="J1137" s="20"/>
      <c r="K1137" s="20">
        <v>568.0</v>
      </c>
      <c r="L1137" s="20" t="s">
        <v>14</v>
      </c>
      <c r="M1137" s="20">
        <v>-21.88</v>
      </c>
      <c r="N1137" s="20">
        <v>64.84</v>
      </c>
      <c r="P1137" s="20">
        <v>1.37</v>
      </c>
      <c r="Q1137" s="20">
        <v>16.03</v>
      </c>
      <c r="AG1137" s="43">
        <v>1135.0</v>
      </c>
      <c r="AH1137" s="20" t="s">
        <v>14</v>
      </c>
      <c r="AI1137" s="20">
        <v>-60.99</v>
      </c>
      <c r="AJ1137" s="20">
        <v>-38.58</v>
      </c>
      <c r="AM1137" s="20">
        <v>579.0</v>
      </c>
      <c r="AN1137" s="20" t="s">
        <v>14</v>
      </c>
      <c r="AO1137" s="20">
        <v>9.9</v>
      </c>
      <c r="AP1137" s="20">
        <v>-32.16</v>
      </c>
      <c r="AS1137" s="20">
        <v>572.0</v>
      </c>
      <c r="AT1137" s="20" t="s">
        <v>14</v>
      </c>
      <c r="AU1137" s="20">
        <v>2.27</v>
      </c>
      <c r="AV1137" s="20">
        <v>-25.63</v>
      </c>
      <c r="BE1137" s="43">
        <v>1135.0</v>
      </c>
      <c r="BF1137" s="20" t="s">
        <v>14</v>
      </c>
      <c r="BG1137" s="20">
        <v>-27.17</v>
      </c>
      <c r="BH1137" s="20">
        <v>42.21</v>
      </c>
      <c r="BM1137" s="20">
        <v>51.17</v>
      </c>
      <c r="BN1137" s="20">
        <v>70.26</v>
      </c>
      <c r="BW1137" s="20">
        <v>-45.73</v>
      </c>
      <c r="BX1137" s="20">
        <v>-25.98</v>
      </c>
      <c r="BZ1137" s="20">
        <v>-40.03</v>
      </c>
      <c r="CA1137" s="20">
        <v>99.85</v>
      </c>
      <c r="CO1137" s="20">
        <v>-52.85</v>
      </c>
      <c r="CP1137" s="20">
        <v>-55.11</v>
      </c>
    </row>
    <row r="1138">
      <c r="A1138" s="20">
        <v>96.92</v>
      </c>
      <c r="B1138" s="20">
        <v>91.75</v>
      </c>
      <c r="D1138" s="20"/>
      <c r="E1138" s="20"/>
      <c r="F1138" s="20">
        <v>-41.34</v>
      </c>
      <c r="G1138" s="20">
        <v>-0.08</v>
      </c>
      <c r="I1138" s="20"/>
      <c r="J1138" s="20"/>
      <c r="K1138" s="20">
        <v>568.0</v>
      </c>
      <c r="L1138" s="20" t="s">
        <v>17</v>
      </c>
      <c r="M1138" s="20">
        <v>-1.61</v>
      </c>
      <c r="N1138" s="20">
        <v>37.35</v>
      </c>
      <c r="P1138" s="20">
        <v>-29.89</v>
      </c>
      <c r="Q1138" s="20">
        <v>8.46</v>
      </c>
      <c r="AG1138" s="43">
        <v>1136.0</v>
      </c>
      <c r="AH1138" s="20" t="s">
        <v>14</v>
      </c>
      <c r="AI1138" s="20">
        <v>2.79</v>
      </c>
      <c r="AJ1138" s="20">
        <v>9.71</v>
      </c>
      <c r="AM1138" s="20">
        <v>579.0</v>
      </c>
      <c r="AN1138" s="20" t="s">
        <v>17</v>
      </c>
      <c r="AO1138" s="20">
        <v>62.71</v>
      </c>
      <c r="AP1138" s="20">
        <v>-11.93</v>
      </c>
      <c r="AS1138" s="20">
        <v>572.0</v>
      </c>
      <c r="AT1138" s="20" t="s">
        <v>17</v>
      </c>
      <c r="AU1138" s="20">
        <v>-26.85</v>
      </c>
      <c r="AV1138" s="20">
        <v>-24.37</v>
      </c>
      <c r="BE1138" s="43">
        <v>1136.0</v>
      </c>
      <c r="BF1138" s="20" t="s">
        <v>14</v>
      </c>
      <c r="BG1138" s="20">
        <v>15.35</v>
      </c>
      <c r="BH1138" s="20">
        <v>66.14</v>
      </c>
      <c r="BM1138" s="20">
        <v>-37.13</v>
      </c>
      <c r="BN1138" s="20">
        <v>30.96</v>
      </c>
      <c r="BW1138" s="20">
        <v>-15.64</v>
      </c>
      <c r="BX1138" s="20">
        <v>6.61</v>
      </c>
      <c r="BZ1138" s="20">
        <v>-50.55</v>
      </c>
      <c r="CA1138" s="20">
        <v>194.92</v>
      </c>
      <c r="CO1138" s="20">
        <v>-48.62</v>
      </c>
      <c r="CP1138" s="20">
        <v>-66.08</v>
      </c>
    </row>
    <row r="1139">
      <c r="A1139" s="20">
        <v>-20.07</v>
      </c>
      <c r="B1139" s="20">
        <v>124.48</v>
      </c>
      <c r="D1139" s="20"/>
      <c r="E1139" s="20"/>
      <c r="F1139" s="20">
        <v>-55.1</v>
      </c>
      <c r="G1139" s="20">
        <v>3.93</v>
      </c>
      <c r="I1139" s="20"/>
      <c r="J1139" s="20"/>
      <c r="K1139" s="20">
        <v>569.0</v>
      </c>
      <c r="L1139" s="20" t="s">
        <v>14</v>
      </c>
      <c r="M1139" s="20">
        <v>3.53</v>
      </c>
      <c r="N1139" s="20">
        <v>22.97</v>
      </c>
      <c r="P1139" s="20">
        <v>-4.79</v>
      </c>
      <c r="Q1139" s="20">
        <v>26.87</v>
      </c>
      <c r="AG1139" s="43">
        <v>1137.0</v>
      </c>
      <c r="AH1139" s="20" t="s">
        <v>14</v>
      </c>
      <c r="AI1139" s="20">
        <v>-14.54</v>
      </c>
      <c r="AJ1139" s="20">
        <v>-24.09</v>
      </c>
      <c r="AM1139" s="20">
        <v>580.0</v>
      </c>
      <c r="AN1139" s="20" t="s">
        <v>14</v>
      </c>
      <c r="AO1139" s="20">
        <v>-58.72</v>
      </c>
      <c r="AP1139" s="20">
        <v>-60.87</v>
      </c>
      <c r="AS1139" s="20">
        <v>573.0</v>
      </c>
      <c r="AT1139" s="20" t="s">
        <v>14</v>
      </c>
      <c r="AU1139" s="20">
        <v>-12.55</v>
      </c>
      <c r="AV1139" s="20">
        <v>-13.73</v>
      </c>
      <c r="BE1139" s="43">
        <v>1137.0</v>
      </c>
      <c r="BF1139" s="20" t="s">
        <v>14</v>
      </c>
      <c r="BG1139" s="20">
        <v>15.06</v>
      </c>
      <c r="BH1139" s="20">
        <v>10.77</v>
      </c>
      <c r="BM1139" s="20">
        <v>40.15</v>
      </c>
      <c r="BN1139" s="20">
        <v>89.57</v>
      </c>
      <c r="BW1139" s="20">
        <v>-32.5</v>
      </c>
      <c r="BX1139" s="20">
        <v>-5.52</v>
      </c>
      <c r="BZ1139" s="20">
        <v>-41.08</v>
      </c>
      <c r="CA1139" s="20">
        <v>38.65</v>
      </c>
      <c r="CO1139" s="20">
        <v>29.8</v>
      </c>
      <c r="CP1139" s="20">
        <v>-55.04</v>
      </c>
    </row>
    <row r="1140">
      <c r="A1140" s="20">
        <v>54.01</v>
      </c>
      <c r="B1140" s="20">
        <v>26.44</v>
      </c>
      <c r="D1140" s="20"/>
      <c r="E1140" s="20"/>
      <c r="F1140" s="20">
        <v>-17.12</v>
      </c>
      <c r="G1140" s="20">
        <v>46.23</v>
      </c>
      <c r="I1140" s="20"/>
      <c r="J1140" s="20"/>
      <c r="K1140" s="20">
        <v>569.0</v>
      </c>
      <c r="L1140" s="20" t="s">
        <v>17</v>
      </c>
      <c r="M1140" s="20">
        <v>-29.44</v>
      </c>
      <c r="N1140" s="20">
        <v>-14.03</v>
      </c>
      <c r="P1140" s="20">
        <v>-54.88</v>
      </c>
      <c r="Q1140" s="20">
        <v>-73.64</v>
      </c>
      <c r="AG1140" s="43">
        <v>1138.0</v>
      </c>
      <c r="AH1140" s="20" t="s">
        <v>14</v>
      </c>
      <c r="AI1140" s="20">
        <v>-51.64</v>
      </c>
      <c r="AJ1140" s="20">
        <v>-37.09</v>
      </c>
      <c r="AM1140" s="20">
        <v>580.0</v>
      </c>
      <c r="AN1140" s="20" t="s">
        <v>17</v>
      </c>
      <c r="AO1140" s="20">
        <v>5.53</v>
      </c>
      <c r="AP1140" s="20">
        <v>-5.45</v>
      </c>
      <c r="AS1140" s="20">
        <v>573.0</v>
      </c>
      <c r="AT1140" s="20" t="s">
        <v>17</v>
      </c>
      <c r="AU1140" s="20">
        <v>-1.73</v>
      </c>
      <c r="AV1140" s="20">
        <v>-19.52</v>
      </c>
      <c r="BE1140" s="43">
        <v>1138.0</v>
      </c>
      <c r="BF1140" s="20" t="s">
        <v>14</v>
      </c>
      <c r="BG1140" s="20">
        <v>-27.53</v>
      </c>
      <c r="BH1140" s="20">
        <v>17.18</v>
      </c>
      <c r="BM1140" s="20">
        <v>39.08</v>
      </c>
      <c r="BN1140" s="20">
        <v>82.56</v>
      </c>
      <c r="BW1140" s="20">
        <v>-59.28</v>
      </c>
      <c r="BX1140" s="20">
        <v>-39.13</v>
      </c>
      <c r="BZ1140" s="20">
        <v>-52.67</v>
      </c>
      <c r="CA1140" s="20">
        <v>12.87</v>
      </c>
      <c r="CO1140" s="20">
        <v>-19.98</v>
      </c>
      <c r="CP1140" s="20">
        <v>-11.95</v>
      </c>
    </row>
    <row r="1141">
      <c r="A1141" s="20">
        <v>-42.16</v>
      </c>
      <c r="B1141" s="20">
        <v>-52.33</v>
      </c>
      <c r="D1141" s="20"/>
      <c r="E1141" s="20"/>
      <c r="F1141" s="20">
        <v>-50.48</v>
      </c>
      <c r="G1141" s="20">
        <v>-8.62</v>
      </c>
      <c r="I1141" s="20"/>
      <c r="J1141" s="20"/>
      <c r="K1141" s="20">
        <v>570.0</v>
      </c>
      <c r="L1141" s="20" t="s">
        <v>14</v>
      </c>
      <c r="M1141" s="20">
        <v>48.79</v>
      </c>
      <c r="N1141" s="20">
        <v>18.72</v>
      </c>
      <c r="P1141" s="20">
        <v>-29.68</v>
      </c>
      <c r="Q1141" s="20">
        <v>-3.17</v>
      </c>
      <c r="AG1141" s="43">
        <v>1139.0</v>
      </c>
      <c r="AH1141" s="20" t="s">
        <v>14</v>
      </c>
      <c r="AI1141" s="20">
        <v>-38.76</v>
      </c>
      <c r="AJ1141" s="20">
        <v>-17.26</v>
      </c>
      <c r="AM1141" s="20">
        <v>581.0</v>
      </c>
      <c r="AN1141" s="20" t="s">
        <v>14</v>
      </c>
      <c r="AO1141" s="20">
        <v>-51.86</v>
      </c>
      <c r="AP1141" s="20">
        <v>-14.97</v>
      </c>
      <c r="AS1141" s="20">
        <v>574.0</v>
      </c>
      <c r="AT1141" s="20" t="s">
        <v>14</v>
      </c>
      <c r="AU1141" s="20">
        <v>9.97</v>
      </c>
      <c r="AV1141" s="20">
        <v>-7.57</v>
      </c>
      <c r="BE1141" s="43">
        <v>1139.0</v>
      </c>
      <c r="BF1141" s="20" t="s">
        <v>14</v>
      </c>
      <c r="BG1141" s="20">
        <v>-13.09</v>
      </c>
      <c r="BH1141" s="20">
        <v>-0.52</v>
      </c>
      <c r="BM1141" s="20">
        <v>33.65</v>
      </c>
      <c r="BN1141" s="20">
        <v>124.93</v>
      </c>
      <c r="BW1141" s="20">
        <v>-12.48</v>
      </c>
      <c r="BX1141" s="20">
        <v>-9.24</v>
      </c>
      <c r="BZ1141" s="20">
        <v>48.46</v>
      </c>
      <c r="CA1141" s="20">
        <v>-17.02</v>
      </c>
      <c r="CO1141" s="20">
        <v>-5.21</v>
      </c>
      <c r="CP1141" s="20">
        <v>-48.06</v>
      </c>
    </row>
    <row r="1142">
      <c r="A1142" s="20">
        <v>1.29</v>
      </c>
      <c r="B1142" s="20">
        <v>-2.42</v>
      </c>
      <c r="D1142" s="20"/>
      <c r="E1142" s="20"/>
      <c r="F1142" s="20">
        <v>-46.94</v>
      </c>
      <c r="G1142" s="20">
        <v>8.35</v>
      </c>
      <c r="I1142" s="20"/>
      <c r="J1142" s="20"/>
      <c r="K1142" s="20">
        <v>570.0</v>
      </c>
      <c r="L1142" s="20" t="s">
        <v>17</v>
      </c>
      <c r="M1142" s="20">
        <v>-8.09</v>
      </c>
      <c r="N1142" s="20">
        <v>65.66</v>
      </c>
      <c r="P1142" s="20">
        <v>-33.99</v>
      </c>
      <c r="Q1142" s="20">
        <v>-3.72</v>
      </c>
      <c r="AG1142" s="43">
        <v>1140.0</v>
      </c>
      <c r="AH1142" s="20" t="s">
        <v>14</v>
      </c>
      <c r="AI1142" s="20">
        <v>-10.6</v>
      </c>
      <c r="AJ1142" s="20">
        <v>-25.69</v>
      </c>
      <c r="AM1142" s="20">
        <v>581.0</v>
      </c>
      <c r="AN1142" s="20" t="s">
        <v>17</v>
      </c>
      <c r="AO1142" s="20">
        <v>-6.39</v>
      </c>
      <c r="AP1142" s="20">
        <v>-14.03</v>
      </c>
      <c r="AS1142" s="20">
        <v>574.0</v>
      </c>
      <c r="AT1142" s="20" t="s">
        <v>17</v>
      </c>
      <c r="AU1142" s="20">
        <v>2.74</v>
      </c>
      <c r="AV1142" s="20">
        <v>-20.81</v>
      </c>
      <c r="BE1142" s="43">
        <v>1140.0</v>
      </c>
      <c r="BF1142" s="20" t="s">
        <v>14</v>
      </c>
      <c r="BG1142" s="20">
        <v>48.77</v>
      </c>
      <c r="BH1142" s="20">
        <v>30.08</v>
      </c>
      <c r="BM1142" s="20">
        <v>60.59</v>
      </c>
      <c r="BN1142" s="20">
        <v>125.1</v>
      </c>
      <c r="BW1142" s="20">
        <v>-5.02</v>
      </c>
      <c r="BX1142" s="20">
        <v>24.93</v>
      </c>
      <c r="BZ1142" s="20">
        <v>-56.4</v>
      </c>
      <c r="CA1142" s="20">
        <v>-20.72</v>
      </c>
      <c r="CO1142" s="20">
        <v>5.9</v>
      </c>
      <c r="CP1142" s="20">
        <v>-56.4</v>
      </c>
    </row>
    <row r="1143">
      <c r="A1143" s="20">
        <v>-14.82</v>
      </c>
      <c r="B1143" s="20">
        <v>99.25</v>
      </c>
      <c r="D1143" s="20"/>
      <c r="E1143" s="20"/>
      <c r="F1143" s="20">
        <v>10.82</v>
      </c>
      <c r="G1143" s="20">
        <v>9.43</v>
      </c>
      <c r="I1143" s="20"/>
      <c r="J1143" s="20"/>
      <c r="K1143" s="20">
        <v>571.0</v>
      </c>
      <c r="L1143" s="20" t="s">
        <v>14</v>
      </c>
      <c r="M1143" s="20">
        <v>-11.65</v>
      </c>
      <c r="N1143" s="20">
        <v>-12.81</v>
      </c>
      <c r="P1143" s="20">
        <v>-9.69</v>
      </c>
      <c r="Q1143" s="20">
        <v>59.45</v>
      </c>
      <c r="AG1143" s="43">
        <v>1141.0</v>
      </c>
      <c r="AH1143" s="20" t="s">
        <v>14</v>
      </c>
      <c r="AI1143" s="20">
        <v>-34.16</v>
      </c>
      <c r="AJ1143" s="20">
        <v>-18.25</v>
      </c>
      <c r="AM1143" s="20">
        <v>582.0</v>
      </c>
      <c r="AN1143" s="20" t="s">
        <v>14</v>
      </c>
      <c r="AO1143" s="20">
        <v>-21.11</v>
      </c>
      <c r="AP1143" s="20">
        <v>-29.22</v>
      </c>
      <c r="AS1143" s="20">
        <v>575.0</v>
      </c>
      <c r="AT1143" s="20" t="s">
        <v>14</v>
      </c>
      <c r="AU1143" s="20">
        <v>20.8</v>
      </c>
      <c r="AV1143" s="20">
        <v>-18.23</v>
      </c>
      <c r="BE1143" s="43">
        <v>1141.0</v>
      </c>
      <c r="BF1143" s="20" t="s">
        <v>14</v>
      </c>
      <c r="BG1143" s="20">
        <v>-2.88</v>
      </c>
      <c r="BH1143" s="20">
        <v>-5.03</v>
      </c>
      <c r="BM1143" s="20">
        <v>-7.37</v>
      </c>
      <c r="BN1143" s="20">
        <v>122.68</v>
      </c>
      <c r="BW1143" s="20">
        <v>15.17</v>
      </c>
      <c r="BX1143" s="20">
        <v>20.62</v>
      </c>
      <c r="BZ1143" s="20">
        <v>-22.33</v>
      </c>
      <c r="CA1143" s="20">
        <v>70.72</v>
      </c>
      <c r="CO1143" s="20">
        <v>-26.7</v>
      </c>
      <c r="CP1143" s="20">
        <v>-46.6</v>
      </c>
    </row>
    <row r="1144">
      <c r="A1144" s="20">
        <v>-6.69</v>
      </c>
      <c r="B1144" s="20">
        <v>43.39</v>
      </c>
      <c r="D1144" s="20"/>
      <c r="E1144" s="20"/>
      <c r="F1144" s="20">
        <v>-0.61</v>
      </c>
      <c r="G1144" s="20">
        <v>-0.49</v>
      </c>
      <c r="I1144" s="20"/>
      <c r="J1144" s="20"/>
      <c r="K1144" s="20">
        <v>571.0</v>
      </c>
      <c r="L1144" s="20" t="s">
        <v>17</v>
      </c>
      <c r="M1144" s="20">
        <v>-33.15</v>
      </c>
      <c r="N1144" s="20">
        <v>-18.82</v>
      </c>
      <c r="P1144" s="20">
        <v>-30.43</v>
      </c>
      <c r="Q1144" s="20">
        <v>-22.64</v>
      </c>
      <c r="AG1144" s="43">
        <v>1142.0</v>
      </c>
      <c r="AH1144" s="20" t="s">
        <v>14</v>
      </c>
      <c r="AI1144" s="20">
        <v>-31.28</v>
      </c>
      <c r="AJ1144" s="20">
        <v>1.19</v>
      </c>
      <c r="AM1144" s="20">
        <v>582.0</v>
      </c>
      <c r="AN1144" s="20" t="s">
        <v>17</v>
      </c>
      <c r="AO1144" s="20">
        <v>-15.7</v>
      </c>
      <c r="AP1144" s="20">
        <v>7.78</v>
      </c>
      <c r="AS1144" s="20">
        <v>575.0</v>
      </c>
      <c r="AT1144" s="20" t="s">
        <v>17</v>
      </c>
      <c r="AU1144" s="20">
        <v>-2.25</v>
      </c>
      <c r="AV1144" s="20">
        <v>-27.91</v>
      </c>
      <c r="BE1144" s="43">
        <v>1142.0</v>
      </c>
      <c r="BF1144" s="20" t="s">
        <v>14</v>
      </c>
      <c r="BG1144" s="20">
        <v>12.76</v>
      </c>
      <c r="BH1144" s="20">
        <v>-19.02</v>
      </c>
      <c r="BM1144" s="20">
        <v>65.32</v>
      </c>
      <c r="BN1144" s="20">
        <v>163.89</v>
      </c>
      <c r="BW1144" s="20">
        <v>-39.55</v>
      </c>
      <c r="BX1144" s="20">
        <v>28.8</v>
      </c>
      <c r="BZ1144" s="20">
        <v>20.14</v>
      </c>
      <c r="CA1144" s="20">
        <v>-19.64</v>
      </c>
      <c r="CO1144" s="20">
        <v>1.72</v>
      </c>
      <c r="CP1144" s="20">
        <v>-40.5</v>
      </c>
    </row>
    <row r="1145">
      <c r="A1145" s="20">
        <v>-48.75</v>
      </c>
      <c r="B1145" s="20">
        <v>76.16</v>
      </c>
      <c r="D1145" s="20"/>
      <c r="E1145" s="20"/>
      <c r="F1145" s="20">
        <v>-10.92</v>
      </c>
      <c r="G1145" s="20">
        <v>53.25</v>
      </c>
      <c r="I1145" s="20"/>
      <c r="J1145" s="20"/>
      <c r="K1145" s="20">
        <v>572.0</v>
      </c>
      <c r="L1145" s="20" t="s">
        <v>14</v>
      </c>
      <c r="M1145" s="20">
        <v>-3.2</v>
      </c>
      <c r="N1145" s="20">
        <v>9.53</v>
      </c>
      <c r="P1145" s="20">
        <v>26.02</v>
      </c>
      <c r="Q1145" s="20">
        <v>110.76</v>
      </c>
      <c r="AG1145" s="43">
        <v>1143.0</v>
      </c>
      <c r="AH1145" s="20" t="s">
        <v>14</v>
      </c>
      <c r="AI1145" s="20">
        <v>-13.64</v>
      </c>
      <c r="AJ1145" s="20">
        <v>-14.75</v>
      </c>
      <c r="AM1145" s="20">
        <v>583.0</v>
      </c>
      <c r="AN1145" s="20" t="s">
        <v>14</v>
      </c>
      <c r="AO1145" s="20">
        <v>-9.0</v>
      </c>
      <c r="AP1145" s="20">
        <v>-35.11</v>
      </c>
      <c r="AS1145" s="20">
        <v>576.0</v>
      </c>
      <c r="AT1145" s="20" t="s">
        <v>14</v>
      </c>
      <c r="AU1145" s="20">
        <v>-6.04</v>
      </c>
      <c r="AV1145" s="20">
        <v>-19.43</v>
      </c>
      <c r="BE1145" s="43">
        <v>1143.0</v>
      </c>
      <c r="BF1145" s="20" t="s">
        <v>14</v>
      </c>
      <c r="BG1145" s="20">
        <v>16.04</v>
      </c>
      <c r="BH1145" s="20">
        <v>-19.6</v>
      </c>
      <c r="BM1145" s="20">
        <v>67.57</v>
      </c>
      <c r="BN1145" s="20">
        <v>85.17</v>
      </c>
      <c r="BW1145" s="20">
        <v>-26.5</v>
      </c>
      <c r="BX1145" s="20">
        <v>-34.67</v>
      </c>
      <c r="BZ1145" s="20">
        <v>-53.39</v>
      </c>
      <c r="CA1145" s="20">
        <v>32.74</v>
      </c>
      <c r="CO1145" s="20">
        <v>-14.59</v>
      </c>
      <c r="CP1145" s="20">
        <v>-52.05</v>
      </c>
    </row>
    <row r="1146">
      <c r="A1146" s="20">
        <v>9.82</v>
      </c>
      <c r="B1146" s="20">
        <v>79.81</v>
      </c>
      <c r="D1146" s="20"/>
      <c r="E1146" s="20"/>
      <c r="F1146" s="20">
        <v>-15.02</v>
      </c>
      <c r="G1146" s="20">
        <v>6.05</v>
      </c>
      <c r="I1146" s="20"/>
      <c r="J1146" s="20"/>
      <c r="K1146" s="20">
        <v>572.0</v>
      </c>
      <c r="L1146" s="20" t="s">
        <v>17</v>
      </c>
      <c r="M1146" s="20">
        <v>-21.83</v>
      </c>
      <c r="N1146" s="20">
        <v>19.74</v>
      </c>
      <c r="P1146" s="20">
        <v>-55.14</v>
      </c>
      <c r="Q1146" s="20">
        <v>-77.27</v>
      </c>
      <c r="AG1146" s="43">
        <v>1144.0</v>
      </c>
      <c r="AH1146" s="20" t="s">
        <v>14</v>
      </c>
      <c r="AI1146" s="20">
        <v>-18.7</v>
      </c>
      <c r="AJ1146" s="20">
        <v>-8.9</v>
      </c>
      <c r="AM1146" s="20">
        <v>583.0</v>
      </c>
      <c r="AN1146" s="20" t="s">
        <v>17</v>
      </c>
      <c r="AO1146" s="20">
        <v>4.34</v>
      </c>
      <c r="AP1146" s="20">
        <v>-19.86</v>
      </c>
      <c r="AS1146" s="20">
        <v>576.0</v>
      </c>
      <c r="AT1146" s="20" t="s">
        <v>17</v>
      </c>
      <c r="AU1146" s="20">
        <v>-6.66</v>
      </c>
      <c r="AV1146" s="20">
        <v>-38.98</v>
      </c>
      <c r="BE1146" s="43">
        <v>1144.0</v>
      </c>
      <c r="BF1146" s="20" t="s">
        <v>14</v>
      </c>
      <c r="BG1146" s="20">
        <v>-2.37</v>
      </c>
      <c r="BH1146" s="20">
        <v>-20.02</v>
      </c>
      <c r="BM1146" s="20">
        <v>14.3</v>
      </c>
      <c r="BN1146" s="20">
        <v>183.05</v>
      </c>
      <c r="BW1146" s="20">
        <v>-49.07</v>
      </c>
      <c r="BX1146" s="20">
        <v>22.2</v>
      </c>
      <c r="BZ1146" s="20">
        <v>-64.45</v>
      </c>
      <c r="CA1146" s="20">
        <v>-43.97</v>
      </c>
      <c r="CO1146" s="20">
        <v>-39.1</v>
      </c>
      <c r="CP1146" s="20">
        <v>-67.31</v>
      </c>
    </row>
    <row r="1147">
      <c r="A1147" s="20">
        <v>-37.05</v>
      </c>
      <c r="B1147" s="20">
        <v>22.37</v>
      </c>
      <c r="D1147" s="20"/>
      <c r="E1147" s="20"/>
      <c r="F1147" s="20">
        <v>-18.17</v>
      </c>
      <c r="G1147" s="20">
        <v>-22.72</v>
      </c>
      <c r="I1147" s="20"/>
      <c r="J1147" s="20"/>
      <c r="K1147" s="20">
        <v>573.0</v>
      </c>
      <c r="L1147" s="20" t="s">
        <v>14</v>
      </c>
      <c r="M1147" s="20">
        <v>-23.48</v>
      </c>
      <c r="N1147" s="20">
        <v>-1.69</v>
      </c>
      <c r="P1147" s="20">
        <v>-14.69</v>
      </c>
      <c r="Q1147" s="20">
        <v>-8.94</v>
      </c>
      <c r="AG1147" s="43">
        <v>1145.0</v>
      </c>
      <c r="AH1147" s="20" t="s">
        <v>14</v>
      </c>
      <c r="AI1147" s="20">
        <v>61.03</v>
      </c>
      <c r="AJ1147" s="20">
        <v>19.31</v>
      </c>
      <c r="AM1147" s="20">
        <v>584.0</v>
      </c>
      <c r="AN1147" s="20" t="s">
        <v>14</v>
      </c>
      <c r="AO1147" s="20">
        <v>2.65</v>
      </c>
      <c r="AP1147" s="20">
        <v>9.23</v>
      </c>
      <c r="AS1147" s="20">
        <v>577.0</v>
      </c>
      <c r="AT1147" s="20" t="s">
        <v>14</v>
      </c>
      <c r="AU1147" s="20">
        <v>-38.08</v>
      </c>
      <c r="AV1147" s="20">
        <v>-64.26</v>
      </c>
      <c r="BE1147" s="43">
        <v>1145.0</v>
      </c>
      <c r="BF1147" s="20" t="s">
        <v>14</v>
      </c>
      <c r="BG1147" s="20">
        <v>22.45</v>
      </c>
      <c r="BH1147" s="20">
        <v>-23.64</v>
      </c>
      <c r="BM1147" s="20">
        <v>-16.11</v>
      </c>
      <c r="BN1147" s="20">
        <v>110.49</v>
      </c>
      <c r="BW1147" s="20">
        <v>-59.05</v>
      </c>
      <c r="BX1147" s="20">
        <v>4.34</v>
      </c>
      <c r="BZ1147" s="20">
        <v>-24.74</v>
      </c>
      <c r="CA1147" s="20">
        <v>44.5</v>
      </c>
      <c r="CO1147" s="20">
        <v>9.14</v>
      </c>
      <c r="CP1147" s="20">
        <v>-16.89</v>
      </c>
    </row>
    <row r="1148">
      <c r="A1148" s="20">
        <v>-14.98</v>
      </c>
      <c r="B1148" s="20">
        <v>9.01</v>
      </c>
      <c r="D1148" s="20"/>
      <c r="E1148" s="20"/>
      <c r="F1148" s="20">
        <v>-33.15</v>
      </c>
      <c r="G1148" s="20">
        <v>5.05</v>
      </c>
      <c r="I1148" s="20"/>
      <c r="J1148" s="20"/>
      <c r="K1148" s="20">
        <v>573.0</v>
      </c>
      <c r="L1148" s="20" t="s">
        <v>17</v>
      </c>
      <c r="M1148" s="20">
        <v>-38.33</v>
      </c>
      <c r="N1148" s="20">
        <v>-23.06</v>
      </c>
      <c r="P1148" s="20">
        <v>-24.5</v>
      </c>
      <c r="Q1148" s="20">
        <v>8.28</v>
      </c>
      <c r="AG1148" s="43">
        <v>1146.0</v>
      </c>
      <c r="AH1148" s="20" t="s">
        <v>14</v>
      </c>
      <c r="AI1148" s="20">
        <v>27.39</v>
      </c>
      <c r="AJ1148" s="20">
        <v>-5.63</v>
      </c>
      <c r="AM1148" s="20">
        <v>584.0</v>
      </c>
      <c r="AN1148" s="20" t="s">
        <v>17</v>
      </c>
      <c r="AO1148" s="20">
        <v>-1.89</v>
      </c>
      <c r="AP1148" s="20">
        <v>-16.77</v>
      </c>
      <c r="AS1148" s="20">
        <v>577.0</v>
      </c>
      <c r="AT1148" s="20" t="s">
        <v>17</v>
      </c>
      <c r="AU1148" s="20">
        <v>-37.36</v>
      </c>
      <c r="AV1148" s="20">
        <v>-54.25</v>
      </c>
      <c r="BE1148" s="43">
        <v>1146.0</v>
      </c>
      <c r="BF1148" s="20" t="s">
        <v>14</v>
      </c>
      <c r="BG1148" s="20">
        <v>46.66</v>
      </c>
      <c r="BH1148" s="20">
        <v>-14.47</v>
      </c>
      <c r="BM1148" s="20">
        <v>53.26</v>
      </c>
      <c r="BN1148" s="20">
        <v>127.89</v>
      </c>
      <c r="BW1148" s="20">
        <v>-60.1</v>
      </c>
      <c r="BX1148" s="20">
        <v>-41.03</v>
      </c>
      <c r="BZ1148" s="20">
        <v>-32.11</v>
      </c>
      <c r="CA1148" s="20">
        <v>32.76</v>
      </c>
      <c r="CO1148" s="20">
        <v>-16.47</v>
      </c>
      <c r="CP1148" s="20">
        <v>-54.47</v>
      </c>
    </row>
    <row r="1149">
      <c r="A1149" s="20">
        <v>48.42</v>
      </c>
      <c r="B1149" s="20">
        <v>91.21</v>
      </c>
      <c r="D1149" s="20"/>
      <c r="E1149" s="20"/>
      <c r="F1149" s="20">
        <v>46.76</v>
      </c>
      <c r="G1149" s="20">
        <v>18.57</v>
      </c>
      <c r="I1149" s="20"/>
      <c r="J1149" s="20"/>
      <c r="K1149" s="20">
        <v>574.0</v>
      </c>
      <c r="L1149" s="20" t="s">
        <v>14</v>
      </c>
      <c r="M1149" s="20">
        <v>-15.2</v>
      </c>
      <c r="N1149" s="20">
        <v>5.32</v>
      </c>
      <c r="P1149" s="20">
        <v>-23.49</v>
      </c>
      <c r="Q1149" s="20">
        <v>23.04</v>
      </c>
      <c r="AG1149" s="43">
        <v>1147.0</v>
      </c>
      <c r="AH1149" s="20" t="s">
        <v>14</v>
      </c>
      <c r="AI1149" s="20">
        <v>-60.24</v>
      </c>
      <c r="AJ1149" s="20">
        <v>-40.62</v>
      </c>
      <c r="AM1149" s="20">
        <v>585.0</v>
      </c>
      <c r="AN1149" s="20" t="s">
        <v>14</v>
      </c>
      <c r="AO1149" s="20">
        <v>-4.26</v>
      </c>
      <c r="AP1149" s="20">
        <v>5.24</v>
      </c>
      <c r="AS1149" s="20">
        <v>578.0</v>
      </c>
      <c r="AT1149" s="20" t="s">
        <v>14</v>
      </c>
      <c r="AU1149" s="20">
        <v>-28.7</v>
      </c>
      <c r="AV1149" s="20">
        <v>-41.46</v>
      </c>
      <c r="BE1149" s="43">
        <v>1147.0</v>
      </c>
      <c r="BF1149" s="20" t="s">
        <v>14</v>
      </c>
      <c r="BG1149" s="20">
        <v>-17.03</v>
      </c>
      <c r="BH1149" s="20">
        <v>6.69</v>
      </c>
      <c r="BM1149" s="20">
        <v>25.71</v>
      </c>
      <c r="BN1149" s="20">
        <v>57.73</v>
      </c>
      <c r="BW1149" s="20">
        <v>-46.56</v>
      </c>
      <c r="BX1149" s="20">
        <v>-39.77</v>
      </c>
      <c r="BZ1149" s="20">
        <v>-47.11</v>
      </c>
      <c r="CA1149" s="20">
        <v>-8.41</v>
      </c>
      <c r="CO1149" s="20">
        <v>14.73</v>
      </c>
      <c r="CP1149" s="20">
        <v>-37.53</v>
      </c>
    </row>
    <row r="1150">
      <c r="A1150" s="20">
        <v>19.02</v>
      </c>
      <c r="B1150" s="20">
        <v>144.12</v>
      </c>
      <c r="D1150" s="20"/>
      <c r="E1150" s="20"/>
      <c r="F1150" s="20">
        <v>-11.41</v>
      </c>
      <c r="G1150" s="20">
        <v>13.97</v>
      </c>
      <c r="I1150" s="20"/>
      <c r="J1150" s="20"/>
      <c r="K1150" s="20">
        <v>574.0</v>
      </c>
      <c r="L1150" s="20" t="s">
        <v>17</v>
      </c>
      <c r="M1150" s="20">
        <v>-34.71</v>
      </c>
      <c r="N1150" s="20">
        <v>-14.41</v>
      </c>
      <c r="P1150" s="20">
        <v>-21.58</v>
      </c>
      <c r="Q1150" s="20">
        <v>106.63</v>
      </c>
      <c r="AG1150" s="43">
        <v>1148.0</v>
      </c>
      <c r="AH1150" s="20" t="s">
        <v>14</v>
      </c>
      <c r="AI1150" s="20">
        <v>1.09</v>
      </c>
      <c r="AJ1150" s="20">
        <v>0.85</v>
      </c>
      <c r="AM1150" s="20">
        <v>585.0</v>
      </c>
      <c r="AN1150" s="20" t="s">
        <v>17</v>
      </c>
      <c r="AO1150" s="20">
        <v>8.6</v>
      </c>
      <c r="AP1150" s="20">
        <v>25.44</v>
      </c>
      <c r="AS1150" s="20">
        <v>578.0</v>
      </c>
      <c r="AT1150" s="20" t="s">
        <v>17</v>
      </c>
      <c r="AU1150" s="20">
        <v>-51.66</v>
      </c>
      <c r="AV1150" s="20">
        <v>-37.77</v>
      </c>
      <c r="BE1150" s="43">
        <v>1148.0</v>
      </c>
      <c r="BF1150" s="20" t="s">
        <v>14</v>
      </c>
      <c r="BG1150" s="20">
        <v>-5.02</v>
      </c>
      <c r="BH1150" s="20">
        <v>10.8</v>
      </c>
      <c r="BM1150" s="20">
        <v>56.88</v>
      </c>
      <c r="BN1150" s="20">
        <v>84.66</v>
      </c>
      <c r="BW1150" s="20">
        <v>-55.53</v>
      </c>
      <c r="BX1150" s="20">
        <v>-53.06</v>
      </c>
      <c r="BZ1150" s="20">
        <v>-69.17</v>
      </c>
      <c r="CA1150" s="20">
        <v>-28.64</v>
      </c>
      <c r="CO1150" s="20">
        <v>-21.39</v>
      </c>
      <c r="CP1150" s="20">
        <v>-12.68</v>
      </c>
    </row>
    <row r="1151">
      <c r="A1151" s="20">
        <v>16.6</v>
      </c>
      <c r="B1151" s="20">
        <v>23.5</v>
      </c>
      <c r="D1151" s="20"/>
      <c r="E1151" s="20"/>
      <c r="F1151" s="20">
        <v>-9.91</v>
      </c>
      <c r="G1151" s="20">
        <v>9.01</v>
      </c>
      <c r="I1151" s="20"/>
      <c r="J1151" s="20"/>
      <c r="K1151" s="20">
        <v>575.0</v>
      </c>
      <c r="L1151" s="20" t="s">
        <v>14</v>
      </c>
      <c r="M1151" s="20">
        <v>-7.22</v>
      </c>
      <c r="N1151" s="20">
        <v>14.0</v>
      </c>
      <c r="P1151" s="20">
        <v>3.27</v>
      </c>
      <c r="Q1151" s="20">
        <v>32.91</v>
      </c>
      <c r="AG1151" s="43">
        <v>1149.0</v>
      </c>
      <c r="AH1151" s="20" t="s">
        <v>14</v>
      </c>
      <c r="AI1151" s="20">
        <v>6.58</v>
      </c>
      <c r="AJ1151" s="20">
        <v>17.11</v>
      </c>
      <c r="AM1151" s="20">
        <v>586.0</v>
      </c>
      <c r="AN1151" s="20" t="s">
        <v>14</v>
      </c>
      <c r="AO1151" s="20">
        <v>3.39</v>
      </c>
      <c r="AP1151" s="20">
        <v>-23.02</v>
      </c>
      <c r="AS1151" s="20">
        <v>579.0</v>
      </c>
      <c r="AT1151" s="20" t="s">
        <v>14</v>
      </c>
      <c r="AU1151" s="20">
        <v>-24.22</v>
      </c>
      <c r="AV1151" s="20">
        <v>-52.51</v>
      </c>
      <c r="BE1151" s="43">
        <v>1149.0</v>
      </c>
      <c r="BF1151" s="20" t="s">
        <v>14</v>
      </c>
      <c r="BG1151" s="20">
        <v>3.13</v>
      </c>
      <c r="BH1151" s="20">
        <v>11.32</v>
      </c>
      <c r="BM1151" s="20">
        <v>22.45</v>
      </c>
      <c r="BN1151" s="20">
        <v>42.47</v>
      </c>
      <c r="BW1151" s="20">
        <v>-42.04</v>
      </c>
      <c r="BX1151" s="20">
        <v>-15.85</v>
      </c>
      <c r="BZ1151" s="20">
        <v>-7.26</v>
      </c>
      <c r="CA1151" s="20">
        <v>205.27</v>
      </c>
      <c r="CO1151" s="20">
        <v>30.64</v>
      </c>
      <c r="CP1151" s="20">
        <v>-24.79</v>
      </c>
    </row>
    <row r="1152">
      <c r="A1152" s="20">
        <v>-2.77</v>
      </c>
      <c r="B1152" s="20">
        <v>21.27</v>
      </c>
      <c r="D1152" s="20"/>
      <c r="E1152" s="20"/>
      <c r="F1152" s="20">
        <v>-20.07</v>
      </c>
      <c r="G1152" s="20">
        <v>24.67</v>
      </c>
      <c r="I1152" s="20"/>
      <c r="J1152" s="20"/>
      <c r="K1152" s="20">
        <v>575.0</v>
      </c>
      <c r="L1152" s="20" t="s">
        <v>17</v>
      </c>
      <c r="M1152" s="20">
        <v>-43.1</v>
      </c>
      <c r="N1152" s="20">
        <v>-27.42</v>
      </c>
      <c r="P1152" s="20">
        <v>35.33</v>
      </c>
      <c r="Q1152" s="20">
        <v>108.83</v>
      </c>
      <c r="AG1152" s="43">
        <v>1150.0</v>
      </c>
      <c r="AH1152" s="20" t="s">
        <v>14</v>
      </c>
      <c r="AI1152" s="20">
        <v>-45.08</v>
      </c>
      <c r="AJ1152" s="20">
        <v>-0.5</v>
      </c>
      <c r="AM1152" s="20">
        <v>586.0</v>
      </c>
      <c r="AN1152" s="20" t="s">
        <v>17</v>
      </c>
      <c r="AO1152" s="20">
        <v>-22.12</v>
      </c>
      <c r="AP1152" s="20">
        <v>32.78</v>
      </c>
      <c r="AS1152" s="20">
        <v>579.0</v>
      </c>
      <c r="AT1152" s="20" t="s">
        <v>17</v>
      </c>
      <c r="AU1152" s="20">
        <v>-27.31</v>
      </c>
      <c r="AV1152" s="20">
        <v>-37.65</v>
      </c>
      <c r="BE1152" s="43">
        <v>1150.0</v>
      </c>
      <c r="BF1152" s="20" t="s">
        <v>14</v>
      </c>
      <c r="BG1152" s="20">
        <v>18.54</v>
      </c>
      <c r="BH1152" s="20">
        <v>24.49</v>
      </c>
      <c r="BM1152" s="20">
        <v>46.35</v>
      </c>
      <c r="BN1152" s="20">
        <v>46.59</v>
      </c>
      <c r="BW1152" s="20">
        <v>-37.81</v>
      </c>
      <c r="BX1152" s="20">
        <v>-11.18</v>
      </c>
      <c r="BZ1152" s="20">
        <v>-48.94</v>
      </c>
      <c r="CA1152" s="20">
        <v>171.96</v>
      </c>
      <c r="CO1152" s="20">
        <v>114.13</v>
      </c>
      <c r="CP1152" s="20">
        <v>-12.77</v>
      </c>
    </row>
    <row r="1153">
      <c r="A1153" s="20">
        <v>-50.0</v>
      </c>
      <c r="B1153" s="20">
        <v>45.16</v>
      </c>
      <c r="D1153" s="20"/>
      <c r="E1153" s="20"/>
      <c r="F1153" s="20">
        <v>5.68</v>
      </c>
      <c r="G1153" s="20">
        <v>-18.49</v>
      </c>
      <c r="I1153" s="20"/>
      <c r="J1153" s="20"/>
      <c r="K1153" s="20">
        <v>576.0</v>
      </c>
      <c r="L1153" s="20" t="s">
        <v>14</v>
      </c>
      <c r="M1153" s="20">
        <v>-20.83</v>
      </c>
      <c r="N1153" s="20">
        <v>18.57</v>
      </c>
      <c r="P1153" s="20">
        <v>-22.13</v>
      </c>
      <c r="Q1153" s="20">
        <v>24.33</v>
      </c>
      <c r="AG1153" s="43">
        <v>1151.0</v>
      </c>
      <c r="AH1153" s="20" t="s">
        <v>14</v>
      </c>
      <c r="AI1153" s="20">
        <v>-34.15</v>
      </c>
      <c r="AJ1153" s="20">
        <v>-4.52</v>
      </c>
      <c r="AM1153" s="20">
        <v>587.0</v>
      </c>
      <c r="AN1153" s="20" t="s">
        <v>14</v>
      </c>
      <c r="AO1153" s="20">
        <v>-10.12</v>
      </c>
      <c r="AP1153" s="20">
        <v>-36.29</v>
      </c>
      <c r="AS1153" s="20">
        <v>580.0</v>
      </c>
      <c r="AT1153" s="20" t="s">
        <v>14</v>
      </c>
      <c r="AU1153" s="20">
        <v>-34.44</v>
      </c>
      <c r="AV1153" s="20">
        <v>-44.53</v>
      </c>
      <c r="BE1153" s="43">
        <v>1151.0</v>
      </c>
      <c r="BF1153" s="20" t="s">
        <v>14</v>
      </c>
      <c r="BG1153" s="20">
        <v>10.39</v>
      </c>
      <c r="BH1153" s="20">
        <v>24.98</v>
      </c>
      <c r="BM1153" s="20">
        <v>110.71</v>
      </c>
      <c r="BN1153" s="20">
        <v>108.13</v>
      </c>
      <c r="BW1153" s="20">
        <v>-49.01</v>
      </c>
      <c r="BX1153" s="20">
        <v>-31.36</v>
      </c>
      <c r="BZ1153" s="20">
        <v>-49.44</v>
      </c>
      <c r="CA1153" s="20">
        <v>44.24</v>
      </c>
      <c r="CO1153" s="20">
        <v>-39.64</v>
      </c>
      <c r="CP1153" s="20">
        <v>-57.19</v>
      </c>
    </row>
    <row r="1154">
      <c r="A1154" s="20">
        <v>-23.08</v>
      </c>
      <c r="B1154" s="20">
        <v>163.45</v>
      </c>
      <c r="D1154" s="20"/>
      <c r="E1154" s="20"/>
      <c r="F1154" s="20">
        <v>-38.61</v>
      </c>
      <c r="G1154" s="20">
        <v>-0.25</v>
      </c>
      <c r="I1154" s="20"/>
      <c r="J1154" s="20"/>
      <c r="K1154" s="20">
        <v>576.0</v>
      </c>
      <c r="L1154" s="20" t="s">
        <v>17</v>
      </c>
      <c r="M1154" s="20">
        <v>-34.81</v>
      </c>
      <c r="N1154" s="20">
        <v>2.41</v>
      </c>
      <c r="P1154" s="20">
        <v>-28.33</v>
      </c>
      <c r="Q1154" s="20">
        <v>79.24</v>
      </c>
      <c r="AG1154" s="43">
        <v>1152.0</v>
      </c>
      <c r="AH1154" s="20" t="s">
        <v>14</v>
      </c>
      <c r="AI1154" s="20">
        <v>4.68</v>
      </c>
      <c r="AJ1154" s="20">
        <v>27.42</v>
      </c>
      <c r="AM1154" s="20">
        <v>587.0</v>
      </c>
      <c r="AN1154" s="20" t="s">
        <v>17</v>
      </c>
      <c r="AO1154" s="20">
        <v>-37.44</v>
      </c>
      <c r="AP1154" s="20">
        <v>-35.94</v>
      </c>
      <c r="AS1154" s="20">
        <v>580.0</v>
      </c>
      <c r="AT1154" s="20" t="s">
        <v>17</v>
      </c>
      <c r="AU1154" s="20">
        <v>-15.99</v>
      </c>
      <c r="AV1154" s="20">
        <v>-25.63</v>
      </c>
      <c r="BE1154" s="43">
        <v>1152.0</v>
      </c>
      <c r="BF1154" s="20" t="s">
        <v>14</v>
      </c>
      <c r="BG1154" s="20">
        <v>-0.22</v>
      </c>
      <c r="BH1154" s="20">
        <v>-3.36</v>
      </c>
      <c r="BM1154" s="20">
        <v>165.23</v>
      </c>
      <c r="BN1154" s="20">
        <v>81.01</v>
      </c>
      <c r="BW1154" s="20">
        <v>-56.57</v>
      </c>
      <c r="BX1154" s="20">
        <v>-27.17</v>
      </c>
      <c r="BZ1154" s="20">
        <v>-46.29</v>
      </c>
      <c r="CA1154" s="20">
        <v>-53.7</v>
      </c>
      <c r="CO1154" s="20">
        <v>-58.7</v>
      </c>
      <c r="CP1154" s="20">
        <v>-53.19</v>
      </c>
    </row>
    <row r="1155">
      <c r="A1155" s="20">
        <v>87.41</v>
      </c>
      <c r="B1155" s="20">
        <v>126.62</v>
      </c>
      <c r="D1155" s="20"/>
      <c r="E1155" s="20"/>
      <c r="F1155" s="20"/>
      <c r="G1155" s="20"/>
      <c r="H1155" s="20"/>
      <c r="I1155" s="20"/>
      <c r="J1155" s="20"/>
      <c r="K1155" s="20">
        <v>577.0</v>
      </c>
      <c r="L1155" s="20" t="s">
        <v>14</v>
      </c>
      <c r="M1155" s="20">
        <v>20.32</v>
      </c>
      <c r="N1155" s="20">
        <v>47.6</v>
      </c>
      <c r="P1155" s="20">
        <v>-18.0</v>
      </c>
      <c r="Q1155" s="20">
        <v>-7.08</v>
      </c>
      <c r="AM1155" s="20">
        <v>588.0</v>
      </c>
      <c r="AN1155" s="20" t="s">
        <v>14</v>
      </c>
      <c r="AO1155" s="20">
        <v>-24.57</v>
      </c>
      <c r="AP1155" s="20">
        <v>-36.01</v>
      </c>
      <c r="AS1155" s="20">
        <v>581.0</v>
      </c>
      <c r="AT1155" s="20" t="s">
        <v>14</v>
      </c>
      <c r="AU1155" s="20">
        <v>-24.9</v>
      </c>
      <c r="AV1155" s="20">
        <v>-37.52</v>
      </c>
      <c r="BM1155" s="20">
        <v>134.36</v>
      </c>
      <c r="BN1155" s="20">
        <v>78.29</v>
      </c>
      <c r="BZ1155" s="20">
        <v>-51.16</v>
      </c>
      <c r="CA1155" s="20">
        <v>45.77</v>
      </c>
      <c r="CO1155" s="20">
        <v>-12.88</v>
      </c>
      <c r="CP1155" s="20">
        <v>-44.06</v>
      </c>
    </row>
    <row r="1156">
      <c r="A1156" s="20">
        <v>128.1</v>
      </c>
      <c r="B1156" s="20">
        <v>39.46</v>
      </c>
      <c r="D1156" s="20"/>
      <c r="E1156" s="20"/>
      <c r="F1156" s="20"/>
      <c r="G1156" s="20"/>
      <c r="H1156" s="20"/>
      <c r="I1156" s="20"/>
      <c r="J1156" s="20"/>
      <c r="K1156" s="20">
        <v>577.0</v>
      </c>
      <c r="L1156" s="20" t="s">
        <v>17</v>
      </c>
      <c r="M1156" s="20">
        <v>-5.4</v>
      </c>
      <c r="N1156" s="20">
        <v>69.49</v>
      </c>
      <c r="P1156" s="20">
        <v>-33.41</v>
      </c>
      <c r="Q1156" s="20">
        <v>-48.02</v>
      </c>
      <c r="AM1156" s="20">
        <v>588.0</v>
      </c>
      <c r="AN1156" s="20" t="s">
        <v>17</v>
      </c>
      <c r="AO1156" s="20">
        <v>-20.86</v>
      </c>
      <c r="AP1156" s="20">
        <v>-7.03</v>
      </c>
      <c r="AS1156" s="20">
        <v>581.0</v>
      </c>
      <c r="AT1156" s="20" t="s">
        <v>17</v>
      </c>
      <c r="AU1156" s="20">
        <v>9.45</v>
      </c>
      <c r="AV1156" s="20">
        <v>0.83</v>
      </c>
      <c r="BM1156" s="20">
        <v>17.21</v>
      </c>
      <c r="BN1156" s="20">
        <v>-56.46</v>
      </c>
      <c r="BZ1156" s="20">
        <v>-67.12</v>
      </c>
      <c r="CA1156" s="20">
        <v>83.49</v>
      </c>
      <c r="CO1156" s="20">
        <v>-27.95</v>
      </c>
      <c r="CP1156" s="20">
        <v>-36.66</v>
      </c>
    </row>
    <row r="1157">
      <c r="A1157" s="20">
        <v>-37.68</v>
      </c>
      <c r="B1157" s="20">
        <v>-25.0</v>
      </c>
      <c r="D1157" s="20"/>
      <c r="E1157" s="20"/>
      <c r="F1157" s="20"/>
      <c r="G1157" s="20"/>
      <c r="H1157" s="20"/>
      <c r="I1157" s="20"/>
      <c r="J1157" s="20"/>
      <c r="K1157" s="20">
        <v>578.0</v>
      </c>
      <c r="L1157" s="20" t="s">
        <v>14</v>
      </c>
      <c r="M1157" s="20">
        <v>44.73</v>
      </c>
      <c r="N1157" s="20">
        <v>31.0</v>
      </c>
      <c r="P1157" s="20">
        <v>-30.9</v>
      </c>
      <c r="Q1157" s="20">
        <v>60.47</v>
      </c>
      <c r="AM1157" s="20">
        <v>589.0</v>
      </c>
      <c r="AN1157" s="20" t="s">
        <v>14</v>
      </c>
      <c r="AO1157" s="20">
        <v>2.87</v>
      </c>
      <c r="AP1157" s="20">
        <v>-29.57</v>
      </c>
      <c r="AS1157" s="20">
        <v>582.0</v>
      </c>
      <c r="AT1157" s="20" t="s">
        <v>14</v>
      </c>
      <c r="AU1157" s="20">
        <v>-2.66</v>
      </c>
      <c r="AV1157" s="20">
        <v>-18.59</v>
      </c>
      <c r="BM1157" s="20">
        <v>133.57</v>
      </c>
      <c r="BN1157" s="20">
        <v>28.96</v>
      </c>
      <c r="BZ1157" s="20">
        <v>-64.09</v>
      </c>
      <c r="CA1157" s="20">
        <v>64.76</v>
      </c>
      <c r="CO1157" s="20">
        <v>-7.85</v>
      </c>
      <c r="CP1157" s="20">
        <v>-57.96</v>
      </c>
    </row>
    <row r="1158">
      <c r="A1158" s="20">
        <v>172.95</v>
      </c>
      <c r="B1158" s="20">
        <v>197.72</v>
      </c>
      <c r="D1158" s="20"/>
      <c r="E1158" s="20"/>
      <c r="F1158" s="20"/>
      <c r="G1158" s="20"/>
      <c r="H1158" s="20"/>
      <c r="I1158" s="20"/>
      <c r="J1158" s="20"/>
      <c r="K1158" s="20">
        <v>578.0</v>
      </c>
      <c r="L1158" s="20" t="s">
        <v>17</v>
      </c>
      <c r="M1158" s="20">
        <v>-6.56</v>
      </c>
      <c r="N1158" s="20">
        <v>31.05</v>
      </c>
      <c r="P1158" s="20">
        <v>-3.11</v>
      </c>
      <c r="Q1158" s="20">
        <v>69.46</v>
      </c>
      <c r="AM1158" s="20">
        <v>589.0</v>
      </c>
      <c r="AN1158" s="20" t="s">
        <v>17</v>
      </c>
      <c r="AO1158" s="20">
        <v>6.88</v>
      </c>
      <c r="AP1158" s="20">
        <v>-17.27</v>
      </c>
      <c r="AS1158" s="20">
        <v>582.0</v>
      </c>
      <c r="AT1158" s="20" t="s">
        <v>17</v>
      </c>
      <c r="AU1158" s="20">
        <v>38.91</v>
      </c>
      <c r="AV1158" s="20">
        <v>-11.52</v>
      </c>
      <c r="BM1158" s="20">
        <v>152.75</v>
      </c>
      <c r="BN1158" s="20">
        <v>39.94</v>
      </c>
      <c r="BZ1158" s="20">
        <v>-66.88</v>
      </c>
      <c r="CA1158" s="20">
        <v>12.6</v>
      </c>
      <c r="CO1158" s="20">
        <v>-10.54</v>
      </c>
      <c r="CP1158" s="20">
        <v>-62.65</v>
      </c>
    </row>
    <row r="1159">
      <c r="A1159" s="20">
        <v>34.31</v>
      </c>
      <c r="B1159" s="20">
        <v>87.53</v>
      </c>
      <c r="D1159" s="20"/>
      <c r="E1159" s="20"/>
      <c r="F1159" s="20"/>
      <c r="G1159" s="20"/>
      <c r="H1159" s="20"/>
      <c r="I1159" s="20"/>
      <c r="J1159" s="20"/>
      <c r="K1159" s="20">
        <v>579.0</v>
      </c>
      <c r="L1159" s="20" t="s">
        <v>14</v>
      </c>
      <c r="M1159" s="20">
        <v>130.6</v>
      </c>
      <c r="N1159" s="20">
        <v>59.57</v>
      </c>
      <c r="P1159" s="20">
        <v>-38.88</v>
      </c>
      <c r="Q1159" s="20">
        <v>-21.39</v>
      </c>
      <c r="AM1159" s="20">
        <v>590.0</v>
      </c>
      <c r="AN1159" s="20" t="s">
        <v>14</v>
      </c>
      <c r="AO1159" s="20">
        <v>-36.36</v>
      </c>
      <c r="AP1159" s="20">
        <v>-35.45</v>
      </c>
      <c r="AS1159" s="20">
        <v>583.0</v>
      </c>
      <c r="AT1159" s="20" t="s">
        <v>14</v>
      </c>
      <c r="AU1159" s="20">
        <v>-41.49</v>
      </c>
      <c r="AV1159" s="20">
        <v>-29.71</v>
      </c>
      <c r="BM1159" s="20">
        <v>66.07</v>
      </c>
      <c r="BN1159" s="20">
        <v>47.41</v>
      </c>
      <c r="BZ1159" s="20">
        <v>-73.25</v>
      </c>
      <c r="CA1159" s="20">
        <v>59.42</v>
      </c>
      <c r="CO1159" s="20">
        <v>8.57</v>
      </c>
      <c r="CP1159" s="20">
        <v>-46.54</v>
      </c>
    </row>
    <row r="1160">
      <c r="A1160" s="20">
        <v>-7.8</v>
      </c>
      <c r="B1160" s="20">
        <v>-4.91</v>
      </c>
      <c r="D1160" s="20"/>
      <c r="E1160" s="20"/>
      <c r="F1160" s="20"/>
      <c r="G1160" s="20"/>
      <c r="H1160" s="20"/>
      <c r="I1160" s="20"/>
      <c r="J1160" s="20"/>
      <c r="K1160" s="20">
        <v>579.0</v>
      </c>
      <c r="L1160" s="20" t="s">
        <v>17</v>
      </c>
      <c r="M1160" s="20">
        <v>27.22</v>
      </c>
      <c r="N1160" s="20">
        <v>83.9</v>
      </c>
      <c r="P1160" s="20">
        <v>-29.14</v>
      </c>
      <c r="Q1160" s="20">
        <v>-10.13</v>
      </c>
      <c r="AM1160" s="20">
        <v>590.0</v>
      </c>
      <c r="AN1160" s="20" t="s">
        <v>17</v>
      </c>
      <c r="AO1160" s="20">
        <v>-18.74</v>
      </c>
      <c r="AP1160" s="20">
        <v>-26.91</v>
      </c>
      <c r="AS1160" s="20">
        <v>583.0</v>
      </c>
      <c r="AT1160" s="20" t="s">
        <v>17</v>
      </c>
      <c r="AU1160" s="20">
        <v>21.98</v>
      </c>
      <c r="AV1160" s="20">
        <v>-21.51</v>
      </c>
      <c r="BM1160" s="20">
        <v>188.76</v>
      </c>
      <c r="BN1160" s="20">
        <v>110.2</v>
      </c>
      <c r="BZ1160" s="20">
        <v>-57.95</v>
      </c>
      <c r="CA1160" s="20">
        <v>-5.89</v>
      </c>
      <c r="CO1160" s="20">
        <v>-24.14</v>
      </c>
      <c r="CP1160" s="20">
        <v>-21.81</v>
      </c>
    </row>
    <row r="1161">
      <c r="A1161" s="20">
        <v>113.3</v>
      </c>
      <c r="B1161" s="20">
        <v>90.13</v>
      </c>
      <c r="D1161" s="20"/>
      <c r="E1161" s="20"/>
      <c r="F1161" s="20"/>
      <c r="G1161" s="20"/>
      <c r="H1161" s="20"/>
      <c r="I1161" s="20"/>
      <c r="J1161" s="20"/>
      <c r="K1161" s="20">
        <v>580.0</v>
      </c>
      <c r="L1161" s="20" t="s">
        <v>14</v>
      </c>
      <c r="M1161" s="20">
        <v>19.27</v>
      </c>
      <c r="N1161" s="20">
        <v>42.03</v>
      </c>
      <c r="P1161" s="20">
        <v>-21.53</v>
      </c>
      <c r="Q1161" s="20">
        <v>7.24</v>
      </c>
      <c r="AM1161" s="20">
        <v>591.0</v>
      </c>
      <c r="AN1161" s="20" t="s">
        <v>14</v>
      </c>
      <c r="AO1161" s="20">
        <v>-9.25</v>
      </c>
      <c r="AP1161" s="20">
        <v>-30.48</v>
      </c>
      <c r="AS1161" s="20">
        <v>584.0</v>
      </c>
      <c r="AT1161" s="20" t="s">
        <v>14</v>
      </c>
      <c r="AU1161" s="20">
        <v>-13.04</v>
      </c>
      <c r="AV1161" s="20">
        <v>-35.26</v>
      </c>
      <c r="BM1161" s="20">
        <v>147.65</v>
      </c>
      <c r="BN1161" s="20">
        <v>101.54</v>
      </c>
      <c r="BZ1161" s="20">
        <v>-71.67</v>
      </c>
      <c r="CA1161" s="20">
        <v>39.32</v>
      </c>
      <c r="CO1161" s="20">
        <v>39.06</v>
      </c>
      <c r="CP1161" s="20">
        <v>-37.96</v>
      </c>
    </row>
    <row r="1162">
      <c r="A1162" s="20">
        <v>63.46</v>
      </c>
      <c r="B1162" s="20">
        <v>102.67</v>
      </c>
      <c r="D1162" s="20"/>
      <c r="E1162" s="20"/>
      <c r="F1162" s="20"/>
      <c r="G1162" s="20"/>
      <c r="H1162" s="20"/>
      <c r="I1162" s="20"/>
      <c r="J1162" s="20"/>
      <c r="K1162" s="20">
        <v>580.0</v>
      </c>
      <c r="L1162" s="20" t="s">
        <v>17</v>
      </c>
      <c r="M1162" s="20">
        <v>-7.03</v>
      </c>
      <c r="N1162" s="20">
        <v>5.65</v>
      </c>
      <c r="P1162" s="20">
        <v>-64.8</v>
      </c>
      <c r="Q1162" s="20">
        <v>-60.82</v>
      </c>
      <c r="AM1162" s="20">
        <v>591.0</v>
      </c>
      <c r="AN1162" s="20" t="s">
        <v>17</v>
      </c>
      <c r="AO1162" s="20">
        <v>-4.25</v>
      </c>
      <c r="AP1162" s="20">
        <v>-25.0</v>
      </c>
      <c r="AS1162" s="20">
        <v>584.0</v>
      </c>
      <c r="AT1162" s="20" t="s">
        <v>17</v>
      </c>
      <c r="AU1162" s="20">
        <v>-17.44</v>
      </c>
      <c r="AV1162" s="20">
        <v>-6.31</v>
      </c>
      <c r="BM1162" s="20">
        <v>109.66</v>
      </c>
      <c r="BN1162" s="20">
        <v>106.04</v>
      </c>
      <c r="BZ1162" s="20">
        <v>-54.6</v>
      </c>
      <c r="CA1162" s="20">
        <v>-39.43</v>
      </c>
      <c r="CO1162" s="20">
        <v>47.25</v>
      </c>
      <c r="CP1162" s="20">
        <v>-39.15</v>
      </c>
    </row>
    <row r="1163">
      <c r="A1163" s="20">
        <v>-28.91</v>
      </c>
      <c r="B1163" s="20">
        <v>36.35</v>
      </c>
      <c r="D1163" s="20"/>
      <c r="E1163" s="20"/>
      <c r="F1163" s="20"/>
      <c r="G1163" s="20"/>
      <c r="H1163" s="20"/>
      <c r="I1163" s="20"/>
      <c r="J1163" s="20"/>
      <c r="K1163" s="20">
        <v>581.0</v>
      </c>
      <c r="L1163" s="20" t="s">
        <v>14</v>
      </c>
      <c r="M1163" s="20">
        <v>35.26</v>
      </c>
      <c r="N1163" s="20">
        <v>52.12</v>
      </c>
      <c r="P1163" s="20">
        <v>-7.97</v>
      </c>
      <c r="Q1163" s="20">
        <v>26.13</v>
      </c>
      <c r="AM1163" s="20">
        <v>592.0</v>
      </c>
      <c r="AN1163" s="20" t="s">
        <v>14</v>
      </c>
      <c r="AO1163" s="20">
        <v>-38.57</v>
      </c>
      <c r="AP1163" s="20">
        <v>-43.12</v>
      </c>
      <c r="AS1163" s="20">
        <v>585.0</v>
      </c>
      <c r="AT1163" s="20" t="s">
        <v>14</v>
      </c>
      <c r="AU1163" s="20">
        <v>-43.02</v>
      </c>
      <c r="AV1163" s="20">
        <v>-47.28</v>
      </c>
      <c r="BM1163" s="20">
        <v>91.58</v>
      </c>
      <c r="BN1163" s="20">
        <v>53.35</v>
      </c>
      <c r="BZ1163" s="20">
        <v>-28.36</v>
      </c>
      <c r="CA1163" s="20">
        <v>91.92</v>
      </c>
      <c r="CO1163" s="20">
        <v>-24.4</v>
      </c>
      <c r="CP1163" s="20">
        <v>-44.73</v>
      </c>
    </row>
    <row r="1164">
      <c r="A1164" s="20">
        <v>38.0</v>
      </c>
      <c r="B1164" s="20">
        <v>91.28</v>
      </c>
      <c r="D1164" s="20"/>
      <c r="E1164" s="20"/>
      <c r="F1164" s="20"/>
      <c r="G1164" s="20"/>
      <c r="H1164" s="20"/>
      <c r="I1164" s="20"/>
      <c r="J1164" s="20"/>
      <c r="K1164" s="20">
        <v>581.0</v>
      </c>
      <c r="L1164" s="20" t="s">
        <v>17</v>
      </c>
      <c r="M1164" s="20">
        <v>-12.84</v>
      </c>
      <c r="N1164" s="20">
        <v>19.02</v>
      </c>
      <c r="P1164" s="20">
        <v>10.1</v>
      </c>
      <c r="Q1164" s="20">
        <v>69.82</v>
      </c>
      <c r="AM1164" s="20">
        <v>592.0</v>
      </c>
      <c r="AN1164" s="20" t="s">
        <v>17</v>
      </c>
      <c r="AO1164" s="20">
        <v>-24.69</v>
      </c>
      <c r="AP1164" s="20">
        <v>-32.78</v>
      </c>
      <c r="AS1164" s="20">
        <v>585.0</v>
      </c>
      <c r="AT1164" s="20" t="s">
        <v>17</v>
      </c>
      <c r="AU1164" s="20">
        <v>-24.34</v>
      </c>
      <c r="AV1164" s="20">
        <v>-35.3</v>
      </c>
      <c r="BM1164" s="20">
        <v>18.83</v>
      </c>
      <c r="BN1164" s="20">
        <v>18.4</v>
      </c>
      <c r="BZ1164" s="20">
        <v>-44.72</v>
      </c>
      <c r="CA1164" s="20">
        <v>81.72</v>
      </c>
      <c r="CO1164" s="20">
        <v>-49.18</v>
      </c>
      <c r="CP1164" s="20">
        <v>-51.89</v>
      </c>
    </row>
    <row r="1165">
      <c r="A1165" s="20">
        <v>62.87</v>
      </c>
      <c r="B1165" s="20">
        <v>97.27</v>
      </c>
      <c r="D1165" s="20"/>
      <c r="E1165" s="20"/>
      <c r="F1165" s="20"/>
      <c r="G1165" s="20"/>
      <c r="H1165" s="20"/>
      <c r="I1165" s="20"/>
      <c r="J1165" s="20"/>
      <c r="K1165" s="20">
        <v>582.0</v>
      </c>
      <c r="L1165" s="20" t="s">
        <v>14</v>
      </c>
      <c r="M1165" s="20">
        <v>-28.69</v>
      </c>
      <c r="N1165" s="20">
        <v>4.29</v>
      </c>
      <c r="P1165" s="20">
        <v>-25.64</v>
      </c>
      <c r="Q1165" s="20">
        <v>-3.16</v>
      </c>
      <c r="AM1165" s="20">
        <v>593.0</v>
      </c>
      <c r="AN1165" s="20" t="s">
        <v>14</v>
      </c>
      <c r="AO1165" s="20">
        <v>-26.15</v>
      </c>
      <c r="AP1165" s="20">
        <v>-40.11</v>
      </c>
      <c r="AS1165" s="20">
        <v>586.0</v>
      </c>
      <c r="AT1165" s="20" t="s">
        <v>14</v>
      </c>
      <c r="AU1165" s="20">
        <v>-4.23</v>
      </c>
      <c r="AV1165" s="20">
        <v>-28.53</v>
      </c>
      <c r="BM1165" s="20">
        <v>196.87</v>
      </c>
      <c r="BN1165" s="20">
        <v>93.95</v>
      </c>
      <c r="BZ1165" s="20">
        <v>-32.82</v>
      </c>
      <c r="CA1165" s="20">
        <v>58.64</v>
      </c>
      <c r="CO1165" s="20">
        <v>-18.94</v>
      </c>
      <c r="CP1165" s="20">
        <v>-32.4</v>
      </c>
    </row>
    <row r="1166">
      <c r="A1166" s="20">
        <v>-16.28</v>
      </c>
      <c r="B1166" s="20">
        <v>7.97</v>
      </c>
      <c r="D1166" s="20"/>
      <c r="E1166" s="20"/>
      <c r="F1166" s="20"/>
      <c r="G1166" s="20"/>
      <c r="H1166" s="20"/>
      <c r="I1166" s="20"/>
      <c r="J1166" s="20"/>
      <c r="K1166" s="20">
        <v>582.0</v>
      </c>
      <c r="L1166" s="20" t="s">
        <v>17</v>
      </c>
      <c r="M1166" s="20">
        <v>-66.79</v>
      </c>
      <c r="N1166" s="20">
        <v>-61.86</v>
      </c>
      <c r="P1166" s="20">
        <v>12.22</v>
      </c>
      <c r="Q1166" s="20">
        <v>37.27</v>
      </c>
      <c r="AM1166" s="20">
        <v>593.0</v>
      </c>
      <c r="AN1166" s="20" t="s">
        <v>17</v>
      </c>
      <c r="AO1166" s="20">
        <v>-9.47</v>
      </c>
      <c r="AP1166" s="20">
        <v>7.65</v>
      </c>
      <c r="AS1166" s="20">
        <v>586.0</v>
      </c>
      <c r="AT1166" s="20" t="s">
        <v>17</v>
      </c>
      <c r="AU1166" s="20">
        <v>-12.95</v>
      </c>
      <c r="AV1166" s="20">
        <v>-51.3</v>
      </c>
      <c r="BM1166" s="20">
        <v>173.77</v>
      </c>
      <c r="BN1166" s="20">
        <v>110.73</v>
      </c>
      <c r="BZ1166" s="20">
        <v>-61.35</v>
      </c>
      <c r="CA1166" s="20">
        <v>18.61</v>
      </c>
      <c r="CO1166" s="20">
        <v>-18.19</v>
      </c>
      <c r="CP1166" s="20">
        <v>-52.13</v>
      </c>
    </row>
    <row r="1167">
      <c r="A1167" s="20">
        <v>71.65</v>
      </c>
      <c r="B1167" s="20">
        <v>12.54</v>
      </c>
      <c r="D1167" s="20"/>
      <c r="E1167" s="20"/>
      <c r="F1167" s="20"/>
      <c r="G1167" s="20"/>
      <c r="H1167" s="20"/>
      <c r="I1167" s="20"/>
      <c r="J1167" s="20"/>
      <c r="K1167" s="20">
        <v>583.0</v>
      </c>
      <c r="L1167" s="20" t="s">
        <v>14</v>
      </c>
      <c r="M1167" s="20">
        <v>13.53</v>
      </c>
      <c r="N1167" s="20">
        <v>50.55</v>
      </c>
      <c r="P1167" s="20">
        <v>-6.44</v>
      </c>
      <c r="Q1167" s="20">
        <v>52.59</v>
      </c>
      <c r="AM1167" s="20">
        <v>594.0</v>
      </c>
      <c r="AN1167" s="20" t="s">
        <v>14</v>
      </c>
      <c r="AO1167" s="20">
        <v>-18.02</v>
      </c>
      <c r="AP1167" s="20">
        <v>-12.96</v>
      </c>
      <c r="AS1167" s="20">
        <v>587.0</v>
      </c>
      <c r="AT1167" s="20" t="s">
        <v>14</v>
      </c>
      <c r="AU1167" s="20">
        <v>-45.78</v>
      </c>
      <c r="AV1167" s="20">
        <v>-51.14</v>
      </c>
      <c r="BM1167" s="20">
        <v>38.37</v>
      </c>
      <c r="BN1167" s="20">
        <v>50.88</v>
      </c>
      <c r="BZ1167" s="20">
        <v>-57.31</v>
      </c>
      <c r="CA1167" s="20">
        <v>75.37</v>
      </c>
      <c r="CO1167" s="20">
        <v>-19.25</v>
      </c>
      <c r="CP1167" s="20">
        <v>-42.82</v>
      </c>
    </row>
    <row r="1168">
      <c r="A1168" s="20">
        <v>8.84</v>
      </c>
      <c r="B1168" s="20">
        <v>-6.33</v>
      </c>
      <c r="D1168" s="20"/>
      <c r="E1168" s="20"/>
      <c r="F1168" s="20"/>
      <c r="G1168" s="20"/>
      <c r="H1168" s="20"/>
      <c r="I1168" s="20"/>
      <c r="J1168" s="20"/>
      <c r="K1168" s="20">
        <v>583.0</v>
      </c>
      <c r="L1168" s="20" t="s">
        <v>17</v>
      </c>
      <c r="M1168" s="20">
        <v>-1.35</v>
      </c>
      <c r="N1168" s="20">
        <v>45.6</v>
      </c>
      <c r="P1168" s="20">
        <v>5.41</v>
      </c>
      <c r="Q1168" s="20">
        <v>21.08</v>
      </c>
      <c r="AM1168" s="20">
        <v>594.0</v>
      </c>
      <c r="AN1168" s="20" t="s">
        <v>17</v>
      </c>
      <c r="AO1168" s="20">
        <v>-29.85</v>
      </c>
      <c r="AP1168" s="20">
        <v>-2.16</v>
      </c>
      <c r="AS1168" s="20">
        <v>587.0</v>
      </c>
      <c r="AT1168" s="20" t="s">
        <v>17</v>
      </c>
      <c r="AU1168" s="20">
        <v>-41.52</v>
      </c>
      <c r="AV1168" s="20">
        <v>-23.81</v>
      </c>
      <c r="BM1168" s="20">
        <v>86.09</v>
      </c>
      <c r="BN1168" s="20">
        <v>128.22</v>
      </c>
      <c r="BZ1168" s="20">
        <v>-53.25</v>
      </c>
      <c r="CA1168" s="20">
        <v>51.96</v>
      </c>
      <c r="CO1168" s="20">
        <v>-45.62</v>
      </c>
      <c r="CP1168" s="20">
        <v>-65.67</v>
      </c>
    </row>
    <row r="1169">
      <c r="A1169" s="20">
        <v>-17.2</v>
      </c>
      <c r="B1169" s="20">
        <v>10.62</v>
      </c>
      <c r="D1169" s="20"/>
      <c r="E1169" s="20"/>
      <c r="F1169" s="20"/>
      <c r="G1169" s="20"/>
      <c r="H1169" s="20"/>
      <c r="I1169" s="20"/>
      <c r="J1169" s="20"/>
      <c r="K1169" s="20">
        <v>584.0</v>
      </c>
      <c r="L1169" s="20" t="s">
        <v>14</v>
      </c>
      <c r="M1169" s="20">
        <v>-12.69</v>
      </c>
      <c r="N1169" s="20">
        <v>-0.29</v>
      </c>
      <c r="P1169" s="20">
        <v>11.16</v>
      </c>
      <c r="Q1169" s="20">
        <v>80.55</v>
      </c>
      <c r="AM1169" s="20">
        <v>595.0</v>
      </c>
      <c r="AN1169" s="20" t="s">
        <v>14</v>
      </c>
      <c r="AO1169" s="20">
        <v>36.51</v>
      </c>
      <c r="AP1169" s="20">
        <v>-25.98</v>
      </c>
      <c r="AS1169" s="20">
        <v>588.0</v>
      </c>
      <c r="AT1169" s="20" t="s">
        <v>14</v>
      </c>
      <c r="AU1169" s="20">
        <v>-33.26</v>
      </c>
      <c r="AV1169" s="20">
        <v>-29.74</v>
      </c>
      <c r="BM1169" s="20">
        <v>121.3</v>
      </c>
      <c r="BN1169" s="20">
        <v>157.16</v>
      </c>
      <c r="BZ1169" s="20">
        <v>-30.73</v>
      </c>
      <c r="CA1169" s="20">
        <v>34.37</v>
      </c>
      <c r="CO1169" s="20">
        <v>-4.27</v>
      </c>
      <c r="CP1169" s="20">
        <v>-51.15</v>
      </c>
    </row>
    <row r="1170">
      <c r="A1170" s="20">
        <v>-4.03</v>
      </c>
      <c r="B1170" s="20">
        <v>29.42</v>
      </c>
      <c r="D1170" s="20"/>
      <c r="E1170" s="20"/>
      <c r="F1170" s="20"/>
      <c r="G1170" s="20"/>
      <c r="H1170" s="20"/>
      <c r="I1170" s="20"/>
      <c r="J1170" s="20"/>
      <c r="K1170" s="20">
        <v>584.0</v>
      </c>
      <c r="L1170" s="20" t="s">
        <v>17</v>
      </c>
      <c r="M1170" s="20">
        <v>-12.51</v>
      </c>
      <c r="N1170" s="20">
        <v>34.17</v>
      </c>
      <c r="P1170" s="20">
        <v>6.49</v>
      </c>
      <c r="Q1170" s="20">
        <v>73.25</v>
      </c>
      <c r="AM1170" s="20">
        <v>595.0</v>
      </c>
      <c r="AN1170" s="20" t="s">
        <v>17</v>
      </c>
      <c r="AO1170" s="20">
        <v>-24.53</v>
      </c>
      <c r="AP1170" s="20">
        <v>7.17</v>
      </c>
      <c r="AS1170" s="20">
        <v>588.0</v>
      </c>
      <c r="AT1170" s="20" t="s">
        <v>17</v>
      </c>
      <c r="AU1170" s="20">
        <v>-26.36</v>
      </c>
      <c r="AV1170" s="20">
        <v>-19.69</v>
      </c>
      <c r="BM1170" s="20">
        <v>-24.76</v>
      </c>
      <c r="BN1170" s="20">
        <v>49.23</v>
      </c>
      <c r="BZ1170" s="20">
        <v>-45.61</v>
      </c>
      <c r="CA1170" s="20">
        <v>-23.89</v>
      </c>
      <c r="CO1170" s="20">
        <v>-0.93</v>
      </c>
      <c r="CP1170" s="20">
        <v>-51.75</v>
      </c>
    </row>
    <row r="1171">
      <c r="A1171" s="20">
        <v>-18.83</v>
      </c>
      <c r="B1171" s="20">
        <v>94.74</v>
      </c>
      <c r="D1171" s="20"/>
      <c r="E1171" s="20"/>
      <c r="F1171" s="20"/>
      <c r="G1171" s="20"/>
      <c r="H1171" s="20"/>
      <c r="I1171" s="20"/>
      <c r="J1171" s="20"/>
      <c r="K1171" s="20">
        <v>585.0</v>
      </c>
      <c r="L1171" s="20" t="s">
        <v>14</v>
      </c>
      <c r="M1171" s="20">
        <v>-25.87</v>
      </c>
      <c r="N1171" s="20">
        <v>-0.12</v>
      </c>
      <c r="P1171" s="20">
        <v>19.8</v>
      </c>
      <c r="Q1171" s="20">
        <v>73.41</v>
      </c>
      <c r="AM1171" s="20">
        <v>596.0</v>
      </c>
      <c r="AN1171" s="20" t="s">
        <v>14</v>
      </c>
      <c r="AO1171" s="20">
        <v>-14.41</v>
      </c>
      <c r="AP1171" s="20">
        <v>-27.0</v>
      </c>
      <c r="AS1171" s="20">
        <v>589.0</v>
      </c>
      <c r="AT1171" s="20" t="s">
        <v>14</v>
      </c>
      <c r="AU1171" s="20">
        <v>-28.59</v>
      </c>
      <c r="AV1171" s="20">
        <v>-41.05</v>
      </c>
      <c r="BM1171" s="20">
        <v>66.58</v>
      </c>
      <c r="BN1171" s="20">
        <v>223.46</v>
      </c>
      <c r="BZ1171" s="20">
        <v>-58.06</v>
      </c>
      <c r="CA1171" s="20">
        <v>114.46</v>
      </c>
      <c r="CO1171" s="20">
        <v>-38.05</v>
      </c>
      <c r="CP1171" s="20">
        <v>-55.2</v>
      </c>
    </row>
    <row r="1172">
      <c r="A1172" s="20">
        <v>-4.09</v>
      </c>
      <c r="B1172" s="20">
        <v>43.34</v>
      </c>
      <c r="D1172" s="20"/>
      <c r="E1172" s="20"/>
      <c r="F1172" s="20"/>
      <c r="G1172" s="20"/>
      <c r="H1172" s="20"/>
      <c r="I1172" s="20"/>
      <c r="J1172" s="20"/>
      <c r="K1172" s="20">
        <v>585.0</v>
      </c>
      <c r="L1172" s="20" t="s">
        <v>17</v>
      </c>
      <c r="M1172" s="20">
        <v>-39.92</v>
      </c>
      <c r="N1172" s="20">
        <v>2.28</v>
      </c>
      <c r="P1172" s="20">
        <v>29.91</v>
      </c>
      <c r="Q1172" s="20">
        <v>126.32</v>
      </c>
      <c r="AM1172" s="20">
        <v>596.0</v>
      </c>
      <c r="AN1172" s="20" t="s">
        <v>17</v>
      </c>
      <c r="AO1172" s="20">
        <v>-31.91</v>
      </c>
      <c r="AP1172" s="20">
        <v>35.29</v>
      </c>
      <c r="AS1172" s="20">
        <v>589.0</v>
      </c>
      <c r="AT1172" s="20" t="s">
        <v>17</v>
      </c>
      <c r="AU1172" s="20">
        <v>-19.3</v>
      </c>
      <c r="AV1172" s="20">
        <v>-30.95</v>
      </c>
      <c r="BM1172" s="20">
        <v>77.77</v>
      </c>
      <c r="BN1172" s="20">
        <v>164.05</v>
      </c>
      <c r="BZ1172" s="20">
        <v>-42.88</v>
      </c>
      <c r="CA1172" s="20">
        <v>15.01</v>
      </c>
      <c r="CO1172" s="20">
        <v>2.05</v>
      </c>
      <c r="CP1172" s="20">
        <v>-54.88</v>
      </c>
    </row>
    <row r="1173">
      <c r="A1173" s="20">
        <v>-36.01</v>
      </c>
      <c r="B1173" s="20">
        <v>-19.9</v>
      </c>
      <c r="D1173" s="20"/>
      <c r="E1173" s="20"/>
      <c r="F1173" s="20"/>
      <c r="G1173" s="20"/>
      <c r="H1173" s="20"/>
      <c r="I1173" s="20"/>
      <c r="J1173" s="20"/>
      <c r="K1173" s="20">
        <v>586.0</v>
      </c>
      <c r="L1173" s="20" t="s">
        <v>14</v>
      </c>
      <c r="M1173" s="20">
        <v>-1.14</v>
      </c>
      <c r="N1173" s="20">
        <v>25.72</v>
      </c>
      <c r="P1173" s="20">
        <v>11.51</v>
      </c>
      <c r="Q1173" s="20">
        <v>40.7</v>
      </c>
      <c r="AM1173" s="20">
        <v>597.0</v>
      </c>
      <c r="AN1173" s="20" t="s">
        <v>14</v>
      </c>
      <c r="AO1173" s="20">
        <v>18.92</v>
      </c>
      <c r="AP1173" s="20">
        <v>-15.23</v>
      </c>
      <c r="AS1173" s="20">
        <v>590.0</v>
      </c>
      <c r="AT1173" s="20" t="s">
        <v>14</v>
      </c>
      <c r="AU1173" s="20">
        <v>5.03</v>
      </c>
      <c r="AV1173" s="20">
        <v>3.09</v>
      </c>
      <c r="BM1173" s="20">
        <v>80.85</v>
      </c>
      <c r="BN1173" s="20">
        <v>97.8</v>
      </c>
      <c r="BZ1173" s="20">
        <v>-55.36</v>
      </c>
      <c r="CA1173" s="20">
        <v>123.28</v>
      </c>
      <c r="CO1173" s="20">
        <v>12.15</v>
      </c>
      <c r="CP1173" s="20">
        <v>-63.52</v>
      </c>
    </row>
    <row r="1174">
      <c r="A1174" s="20">
        <v>-38.43</v>
      </c>
      <c r="B1174" s="20">
        <v>69.41</v>
      </c>
      <c r="D1174" s="20"/>
      <c r="E1174" s="20"/>
      <c r="F1174" s="20"/>
      <c r="G1174" s="20"/>
      <c r="H1174" s="20"/>
      <c r="I1174" s="20"/>
      <c r="J1174" s="20"/>
      <c r="K1174" s="20">
        <v>586.0</v>
      </c>
      <c r="L1174" s="20" t="s">
        <v>17</v>
      </c>
      <c r="M1174" s="20">
        <v>9.76</v>
      </c>
      <c r="N1174" s="20">
        <v>17.57</v>
      </c>
      <c r="P1174" s="20">
        <v>33.79</v>
      </c>
      <c r="Q1174" s="20">
        <v>106.59</v>
      </c>
      <c r="AM1174" s="20">
        <v>597.0</v>
      </c>
      <c r="AN1174" s="20" t="s">
        <v>17</v>
      </c>
      <c r="AO1174" s="20">
        <v>-14.14</v>
      </c>
      <c r="AP1174" s="20">
        <v>-29.94</v>
      </c>
      <c r="AS1174" s="20">
        <v>590.0</v>
      </c>
      <c r="AT1174" s="20" t="s">
        <v>17</v>
      </c>
      <c r="AU1174" s="20">
        <v>17.59</v>
      </c>
      <c r="AV1174" s="20">
        <v>-30.03</v>
      </c>
      <c r="BM1174" s="20">
        <v>102.17</v>
      </c>
      <c r="BN1174" s="20">
        <v>72.74</v>
      </c>
      <c r="BZ1174" s="20">
        <v>-68.73</v>
      </c>
      <c r="CA1174" s="20">
        <v>25.16</v>
      </c>
      <c r="CO1174" s="20">
        <v>-26.98</v>
      </c>
      <c r="CP1174" s="20">
        <v>-62.72</v>
      </c>
    </row>
    <row r="1175">
      <c r="A1175" s="20">
        <v>-44.43</v>
      </c>
      <c r="B1175" s="20">
        <v>33.05</v>
      </c>
      <c r="D1175" s="20"/>
      <c r="E1175" s="20"/>
      <c r="F1175" s="20"/>
      <c r="G1175" s="20"/>
      <c r="H1175" s="20"/>
      <c r="I1175" s="20"/>
      <c r="J1175" s="20"/>
      <c r="K1175" s="20">
        <v>587.0</v>
      </c>
      <c r="L1175" s="20" t="s">
        <v>14</v>
      </c>
      <c r="M1175" s="20">
        <v>-21.78</v>
      </c>
      <c r="N1175" s="20">
        <v>-4.07</v>
      </c>
      <c r="P1175" s="20">
        <v>-5.72</v>
      </c>
      <c r="Q1175" s="20">
        <v>46.79</v>
      </c>
      <c r="AM1175" s="20">
        <v>598.0</v>
      </c>
      <c r="AN1175" s="20" t="s">
        <v>14</v>
      </c>
      <c r="AO1175" s="20">
        <v>-28.42</v>
      </c>
      <c r="AP1175" s="20">
        <v>-40.68</v>
      </c>
      <c r="AS1175" s="20">
        <v>591.0</v>
      </c>
      <c r="AT1175" s="20" t="s">
        <v>14</v>
      </c>
      <c r="AU1175" s="20">
        <v>-22.81</v>
      </c>
      <c r="AV1175" s="20">
        <v>-33.74</v>
      </c>
      <c r="BM1175" s="20">
        <v>46.84</v>
      </c>
      <c r="BN1175" s="20">
        <v>126.36</v>
      </c>
      <c r="BZ1175" s="20">
        <v>-59.3</v>
      </c>
      <c r="CA1175" s="20">
        <v>69.27</v>
      </c>
      <c r="CO1175" s="20">
        <v>11.35</v>
      </c>
      <c r="CP1175" s="20">
        <v>-51.09</v>
      </c>
    </row>
    <row r="1176">
      <c r="A1176" s="20">
        <v>-15.76</v>
      </c>
      <c r="B1176" s="20">
        <v>82.83</v>
      </c>
      <c r="D1176" s="20"/>
      <c r="E1176" s="20"/>
      <c r="F1176" s="20"/>
      <c r="G1176" s="20"/>
      <c r="H1176" s="20"/>
      <c r="I1176" s="20"/>
      <c r="J1176" s="20"/>
      <c r="K1176" s="20">
        <v>587.0</v>
      </c>
      <c r="L1176" s="20" t="s">
        <v>17</v>
      </c>
      <c r="M1176" s="20">
        <v>-14.56</v>
      </c>
      <c r="N1176" s="20">
        <v>-40.64</v>
      </c>
      <c r="P1176" s="20">
        <v>19.56</v>
      </c>
      <c r="Q1176" s="20">
        <v>66.01</v>
      </c>
      <c r="AM1176" s="20">
        <v>598.0</v>
      </c>
      <c r="AN1176" s="20" t="s">
        <v>17</v>
      </c>
      <c r="AO1176" s="20">
        <v>-14.76</v>
      </c>
      <c r="AP1176" s="20">
        <v>-27.22</v>
      </c>
      <c r="AS1176" s="20">
        <v>591.0</v>
      </c>
      <c r="AT1176" s="20" t="s">
        <v>17</v>
      </c>
      <c r="AU1176" s="20">
        <v>-29.91</v>
      </c>
      <c r="AV1176" s="20">
        <v>-35.08</v>
      </c>
      <c r="BM1176" s="20">
        <v>33.41</v>
      </c>
      <c r="BN1176" s="20">
        <v>58.33</v>
      </c>
      <c r="BZ1176" s="20">
        <v>-65.86</v>
      </c>
      <c r="CA1176" s="20">
        <v>-18.65</v>
      </c>
      <c r="CO1176" s="20">
        <v>7.22</v>
      </c>
      <c r="CP1176" s="20">
        <v>-40.26</v>
      </c>
    </row>
    <row r="1177">
      <c r="A1177" s="20">
        <v>1.05</v>
      </c>
      <c r="B1177" s="20">
        <v>69.83</v>
      </c>
      <c r="D1177" s="20"/>
      <c r="E1177" s="20"/>
      <c r="F1177" s="20"/>
      <c r="G1177" s="20"/>
      <c r="H1177" s="20"/>
      <c r="I1177" s="20"/>
      <c r="J1177" s="20"/>
      <c r="K1177" s="20">
        <v>588.0</v>
      </c>
      <c r="L1177" s="20" t="s">
        <v>14</v>
      </c>
      <c r="M1177" s="20">
        <v>3.78</v>
      </c>
      <c r="N1177" s="20">
        <v>86.28</v>
      </c>
      <c r="P1177" s="20">
        <v>17.4</v>
      </c>
      <c r="Q1177" s="20">
        <v>35.33</v>
      </c>
      <c r="AM1177" s="20">
        <v>599.0</v>
      </c>
      <c r="AN1177" s="20" t="s">
        <v>14</v>
      </c>
      <c r="AO1177" s="20">
        <v>8.85</v>
      </c>
      <c r="AP1177" s="20">
        <v>-33.65</v>
      </c>
      <c r="AS1177" s="20">
        <v>592.0</v>
      </c>
      <c r="AT1177" s="20" t="s">
        <v>14</v>
      </c>
      <c r="AU1177" s="20">
        <v>-29.7</v>
      </c>
      <c r="AV1177" s="20">
        <v>-33.45</v>
      </c>
      <c r="BM1177" s="20">
        <v>112.11</v>
      </c>
      <c r="BN1177" s="20">
        <v>94.81</v>
      </c>
      <c r="BZ1177" s="20">
        <v>-40.37</v>
      </c>
      <c r="CA1177" s="20">
        <v>46.39</v>
      </c>
      <c r="CO1177" s="20">
        <v>-14.35</v>
      </c>
      <c r="CP1177" s="20">
        <v>-58.13</v>
      </c>
    </row>
    <row r="1178">
      <c r="A1178" s="20">
        <v>-14.69</v>
      </c>
      <c r="B1178" s="20">
        <v>37.08</v>
      </c>
      <c r="D1178" s="20"/>
      <c r="E1178" s="20"/>
      <c r="F1178" s="20"/>
      <c r="G1178" s="20"/>
      <c r="H1178" s="20"/>
      <c r="I1178" s="20"/>
      <c r="J1178" s="20"/>
      <c r="K1178" s="20">
        <v>588.0</v>
      </c>
      <c r="L1178" s="20" t="s">
        <v>17</v>
      </c>
      <c r="M1178" s="20">
        <v>-31.71</v>
      </c>
      <c r="N1178" s="20">
        <v>8.41</v>
      </c>
      <c r="P1178" s="20">
        <v>-47.67</v>
      </c>
      <c r="Q1178" s="20">
        <v>-2.08</v>
      </c>
      <c r="AM1178" s="20">
        <v>599.0</v>
      </c>
      <c r="AN1178" s="20" t="s">
        <v>17</v>
      </c>
      <c r="AO1178" s="20">
        <v>-28.36</v>
      </c>
      <c r="AP1178" s="20">
        <v>-1.59</v>
      </c>
      <c r="AS1178" s="20">
        <v>592.0</v>
      </c>
      <c r="AT1178" s="20" t="s">
        <v>17</v>
      </c>
      <c r="AU1178" s="20">
        <v>-11.25</v>
      </c>
      <c r="AV1178" s="20">
        <v>-30.26</v>
      </c>
      <c r="BM1178" s="20">
        <v>34.69</v>
      </c>
      <c r="BN1178" s="20">
        <v>164.06</v>
      </c>
      <c r="BZ1178" s="20">
        <v>-43.61</v>
      </c>
      <c r="CA1178" s="20">
        <v>69.89</v>
      </c>
      <c r="CO1178" s="20">
        <v>-5.01</v>
      </c>
      <c r="CP1178" s="20">
        <v>-49.97</v>
      </c>
    </row>
    <row r="1179">
      <c r="A1179" s="20">
        <v>-26.29</v>
      </c>
      <c r="B1179" s="20">
        <v>29.78</v>
      </c>
      <c r="D1179" s="20"/>
      <c r="E1179" s="20"/>
      <c r="F1179" s="20"/>
      <c r="G1179" s="20"/>
      <c r="H1179" s="20"/>
      <c r="I1179" s="20"/>
      <c r="J1179" s="20"/>
      <c r="K1179" s="20">
        <v>589.0</v>
      </c>
      <c r="L1179" s="20" t="s">
        <v>14</v>
      </c>
      <c r="M1179" s="20">
        <v>-2.7</v>
      </c>
      <c r="N1179" s="20">
        <v>8.6</v>
      </c>
      <c r="P1179" s="20">
        <v>35.91</v>
      </c>
      <c r="Q1179" s="20">
        <v>33.46</v>
      </c>
      <c r="AM1179" s="20">
        <v>600.0</v>
      </c>
      <c r="AN1179" s="20" t="s">
        <v>14</v>
      </c>
      <c r="AO1179" s="20">
        <v>-31.77</v>
      </c>
      <c r="AP1179" s="20">
        <v>-36.73</v>
      </c>
      <c r="AS1179" s="20">
        <v>593.0</v>
      </c>
      <c r="AT1179" s="20" t="s">
        <v>14</v>
      </c>
      <c r="AU1179" s="20">
        <v>-48.03</v>
      </c>
      <c r="AV1179" s="20">
        <v>-56.52</v>
      </c>
      <c r="BM1179" s="20">
        <v>113.32</v>
      </c>
      <c r="BN1179" s="20">
        <v>151.4</v>
      </c>
      <c r="BZ1179" s="20">
        <v>-52.6</v>
      </c>
      <c r="CA1179" s="20">
        <v>47.7</v>
      </c>
      <c r="CO1179" s="20">
        <v>-56.11</v>
      </c>
      <c r="CP1179" s="20">
        <v>-58.28</v>
      </c>
    </row>
    <row r="1180">
      <c r="A1180" s="20">
        <v>-24.09</v>
      </c>
      <c r="B1180" s="20">
        <v>50.74</v>
      </c>
      <c r="D1180" s="20"/>
      <c r="E1180" s="20"/>
      <c r="F1180" s="20"/>
      <c r="G1180" s="20"/>
      <c r="H1180" s="20"/>
      <c r="I1180" s="20"/>
      <c r="J1180" s="20"/>
      <c r="K1180" s="20">
        <v>589.0</v>
      </c>
      <c r="L1180" s="20" t="s">
        <v>17</v>
      </c>
      <c r="M1180" s="20">
        <v>-8.03</v>
      </c>
      <c r="N1180" s="20">
        <v>-18.0</v>
      </c>
      <c r="P1180" s="20">
        <v>24.03</v>
      </c>
      <c r="Q1180" s="20">
        <v>44.86</v>
      </c>
      <c r="AM1180" s="20">
        <v>600.0</v>
      </c>
      <c r="AN1180" s="20" t="s">
        <v>17</v>
      </c>
      <c r="AO1180" s="20">
        <v>-4.08</v>
      </c>
      <c r="AP1180" s="20">
        <v>-24.3</v>
      </c>
      <c r="AS1180" s="20">
        <v>593.0</v>
      </c>
      <c r="AT1180" s="20" t="s">
        <v>17</v>
      </c>
      <c r="AU1180" s="20">
        <v>-33.95</v>
      </c>
      <c r="AV1180" s="20">
        <v>-42.24</v>
      </c>
      <c r="BM1180" s="20">
        <v>47.75</v>
      </c>
      <c r="BN1180" s="20">
        <v>151.74</v>
      </c>
      <c r="BZ1180" s="20">
        <v>-37.59</v>
      </c>
      <c r="CA1180" s="20">
        <v>31.78</v>
      </c>
      <c r="CO1180" s="20">
        <v>8.25</v>
      </c>
      <c r="CP1180" s="20">
        <v>-3.44</v>
      </c>
    </row>
    <row r="1181">
      <c r="A1181" s="20">
        <v>-24.85</v>
      </c>
      <c r="B1181" s="20">
        <v>184.49</v>
      </c>
      <c r="D1181" s="20"/>
      <c r="E1181" s="20"/>
      <c r="F1181" s="20"/>
      <c r="G1181" s="20"/>
      <c r="H1181" s="20"/>
      <c r="I1181" s="20"/>
      <c r="J1181" s="20"/>
      <c r="K1181" s="20">
        <v>590.0</v>
      </c>
      <c r="L1181" s="20" t="s">
        <v>14</v>
      </c>
      <c r="M1181" s="20">
        <v>10.04</v>
      </c>
      <c r="N1181" s="20">
        <v>19.1</v>
      </c>
      <c r="P1181" s="20">
        <v>-11.19</v>
      </c>
      <c r="Q1181" s="20">
        <v>41.8</v>
      </c>
      <c r="AM1181" s="20">
        <v>601.0</v>
      </c>
      <c r="AN1181" s="20" t="s">
        <v>14</v>
      </c>
      <c r="AO1181" s="20">
        <v>-12.64</v>
      </c>
      <c r="AP1181" s="20">
        <v>4.9</v>
      </c>
      <c r="AS1181" s="20">
        <v>594.0</v>
      </c>
      <c r="AT1181" s="20" t="s">
        <v>14</v>
      </c>
      <c r="AU1181" s="20">
        <v>-2.27</v>
      </c>
      <c r="AV1181" s="20">
        <v>-33.17</v>
      </c>
      <c r="BM1181" s="20">
        <v>86.1</v>
      </c>
      <c r="BN1181" s="20">
        <v>68.58</v>
      </c>
      <c r="BZ1181" s="20">
        <v>-48.62</v>
      </c>
      <c r="CA1181" s="20">
        <v>30.8</v>
      </c>
      <c r="CO1181" s="20">
        <v>-51.91</v>
      </c>
      <c r="CP1181" s="20">
        <v>-54.19</v>
      </c>
    </row>
    <row r="1182">
      <c r="A1182" s="20">
        <v>-31.85</v>
      </c>
      <c r="B1182" s="20">
        <v>64.78</v>
      </c>
      <c r="D1182" s="20"/>
      <c r="E1182" s="20"/>
      <c r="F1182" s="20"/>
      <c r="G1182" s="20"/>
      <c r="H1182" s="20"/>
      <c r="I1182" s="20"/>
      <c r="J1182" s="20"/>
      <c r="K1182" s="20">
        <v>590.0</v>
      </c>
      <c r="L1182" s="20" t="s">
        <v>17</v>
      </c>
      <c r="M1182" s="20">
        <v>13.47</v>
      </c>
      <c r="N1182" s="20">
        <v>33.92</v>
      </c>
      <c r="P1182" s="20">
        <v>25.82</v>
      </c>
      <c r="Q1182" s="20">
        <v>148.46</v>
      </c>
      <c r="AM1182" s="20">
        <v>601.0</v>
      </c>
      <c r="AN1182" s="20" t="s">
        <v>17</v>
      </c>
      <c r="AO1182" s="20">
        <v>39.99</v>
      </c>
      <c r="AP1182" s="20">
        <v>10.97</v>
      </c>
      <c r="AS1182" s="20">
        <v>594.0</v>
      </c>
      <c r="AT1182" s="20" t="s">
        <v>17</v>
      </c>
      <c r="AU1182" s="20">
        <v>8.7</v>
      </c>
      <c r="AV1182" s="20">
        <v>-23.96</v>
      </c>
      <c r="BM1182" s="20">
        <v>167.48</v>
      </c>
      <c r="BN1182" s="20">
        <v>123.47</v>
      </c>
      <c r="BZ1182" s="20">
        <v>-53.03</v>
      </c>
      <c r="CA1182" s="20">
        <v>8.39</v>
      </c>
      <c r="CO1182" s="20">
        <v>-24.14</v>
      </c>
      <c r="CP1182" s="20">
        <v>-47.51</v>
      </c>
    </row>
    <row r="1183">
      <c r="A1183" s="20">
        <v>-1.06</v>
      </c>
      <c r="B1183" s="20">
        <v>129.76</v>
      </c>
      <c r="D1183" s="20"/>
      <c r="E1183" s="20"/>
      <c r="F1183" s="20"/>
      <c r="G1183" s="20"/>
      <c r="H1183" s="20"/>
      <c r="I1183" s="20"/>
      <c r="J1183" s="20"/>
      <c r="K1183" s="20">
        <v>591.0</v>
      </c>
      <c r="L1183" s="20" t="s">
        <v>14</v>
      </c>
      <c r="M1183" s="20">
        <v>-20.68</v>
      </c>
      <c r="N1183" s="20">
        <v>33.22</v>
      </c>
      <c r="P1183" s="20">
        <v>4.64</v>
      </c>
      <c r="Q1183" s="20">
        <v>111.75</v>
      </c>
      <c r="AM1183" s="20">
        <v>602.0</v>
      </c>
      <c r="AN1183" s="20" t="s">
        <v>14</v>
      </c>
      <c r="AO1183" s="20">
        <v>-18.46</v>
      </c>
      <c r="AP1183" s="20">
        <v>4.45</v>
      </c>
      <c r="AS1183" s="20">
        <v>595.0</v>
      </c>
      <c r="AT1183" s="20" t="s">
        <v>14</v>
      </c>
      <c r="AU1183" s="20">
        <v>-5.69</v>
      </c>
      <c r="AV1183" s="20">
        <v>-50.95</v>
      </c>
      <c r="BM1183" s="20">
        <v>78.88</v>
      </c>
      <c r="BN1183" s="20">
        <v>186.27</v>
      </c>
      <c r="BZ1183" s="20">
        <v>-32.26</v>
      </c>
      <c r="CA1183" s="20">
        <v>137.33</v>
      </c>
      <c r="CO1183" s="20">
        <v>-53.7</v>
      </c>
      <c r="CP1183" s="20">
        <v>-55.94</v>
      </c>
    </row>
    <row r="1184">
      <c r="A1184" s="20">
        <v>-35.49</v>
      </c>
      <c r="B1184" s="20">
        <v>66.08</v>
      </c>
      <c r="D1184" s="20"/>
      <c r="E1184" s="20"/>
      <c r="F1184" s="20"/>
      <c r="G1184" s="20"/>
      <c r="H1184" s="20"/>
      <c r="I1184" s="20"/>
      <c r="J1184" s="20"/>
      <c r="K1184" s="20">
        <v>591.0</v>
      </c>
      <c r="L1184" s="20" t="s">
        <v>17</v>
      </c>
      <c r="M1184" s="20">
        <v>-19.18</v>
      </c>
      <c r="N1184" s="20">
        <v>20.83</v>
      </c>
      <c r="P1184" s="20">
        <v>-13.65</v>
      </c>
      <c r="Q1184" s="20">
        <v>25.8</v>
      </c>
      <c r="AM1184" s="20">
        <v>602.0</v>
      </c>
      <c r="AN1184" s="20" t="s">
        <v>17</v>
      </c>
      <c r="AO1184" s="20">
        <v>-9.7</v>
      </c>
      <c r="AP1184" s="20">
        <v>-27.32</v>
      </c>
      <c r="AS1184" s="20">
        <v>595.0</v>
      </c>
      <c r="AT1184" s="20" t="s">
        <v>17</v>
      </c>
      <c r="AU1184" s="20">
        <v>-38.32</v>
      </c>
      <c r="AV1184" s="20">
        <v>-59.91</v>
      </c>
      <c r="BM1184" s="20">
        <v>-0.54</v>
      </c>
      <c r="BN1184" s="20">
        <v>15.38</v>
      </c>
      <c r="BZ1184" s="20">
        <v>-52.51</v>
      </c>
      <c r="CA1184" s="20">
        <v>111.74</v>
      </c>
      <c r="CO1184" s="20">
        <v>177.16</v>
      </c>
      <c r="CP1184" s="20">
        <v>29.53</v>
      </c>
    </row>
    <row r="1185">
      <c r="A1185" s="20">
        <v>32.2</v>
      </c>
      <c r="B1185" s="20">
        <v>36.23</v>
      </c>
      <c r="D1185" s="20"/>
      <c r="E1185" s="20"/>
      <c r="F1185" s="20"/>
      <c r="G1185" s="20"/>
      <c r="H1185" s="20"/>
      <c r="I1185" s="20"/>
      <c r="J1185" s="20"/>
      <c r="K1185" s="20">
        <v>592.0</v>
      </c>
      <c r="L1185" s="20" t="s">
        <v>14</v>
      </c>
      <c r="M1185" s="20">
        <v>6.82</v>
      </c>
      <c r="N1185" s="20">
        <v>77.76</v>
      </c>
      <c r="P1185" s="20">
        <v>-4.07</v>
      </c>
      <c r="Q1185" s="20">
        <v>25.11</v>
      </c>
      <c r="AM1185" s="20">
        <v>603.0</v>
      </c>
      <c r="AN1185" s="20" t="s">
        <v>14</v>
      </c>
      <c r="AO1185" s="20">
        <v>-18.97</v>
      </c>
      <c r="AP1185" s="20">
        <v>-21.17</v>
      </c>
      <c r="AS1185" s="20">
        <v>596.0</v>
      </c>
      <c r="AT1185" s="20" t="s">
        <v>14</v>
      </c>
      <c r="AU1185" s="20">
        <v>-11.33</v>
      </c>
      <c r="AV1185" s="20">
        <v>-33.24</v>
      </c>
      <c r="BM1185" s="20">
        <v>131.18</v>
      </c>
      <c r="BN1185" s="20">
        <v>134.22</v>
      </c>
      <c r="BZ1185" s="20">
        <v>-39.16</v>
      </c>
      <c r="CA1185" s="20">
        <v>36.95</v>
      </c>
      <c r="CO1185" s="20">
        <v>-2.75</v>
      </c>
      <c r="CP1185" s="20">
        <v>-59.25</v>
      </c>
    </row>
    <row r="1186">
      <c r="A1186" s="20">
        <v>-57.9</v>
      </c>
      <c r="B1186" s="20">
        <v>58.91</v>
      </c>
      <c r="D1186" s="20"/>
      <c r="E1186" s="20"/>
      <c r="F1186" s="20"/>
      <c r="G1186" s="20"/>
      <c r="H1186" s="20"/>
      <c r="I1186" s="20"/>
      <c r="J1186" s="20"/>
      <c r="K1186" s="20">
        <v>592.0</v>
      </c>
      <c r="L1186" s="20" t="s">
        <v>17</v>
      </c>
      <c r="M1186" s="20">
        <v>-17.17</v>
      </c>
      <c r="N1186" s="20">
        <v>36.69</v>
      </c>
      <c r="P1186" s="20">
        <v>53.02</v>
      </c>
      <c r="Q1186" s="20">
        <v>60.53</v>
      </c>
      <c r="AM1186" s="20">
        <v>603.0</v>
      </c>
      <c r="AN1186" s="20" t="s">
        <v>17</v>
      </c>
      <c r="AO1186" s="20">
        <v>-19.27</v>
      </c>
      <c r="AP1186" s="20">
        <v>-13.15</v>
      </c>
      <c r="AS1186" s="20">
        <v>596.0</v>
      </c>
      <c r="AT1186" s="20" t="s">
        <v>17</v>
      </c>
      <c r="AU1186" s="20">
        <v>29.64</v>
      </c>
      <c r="AV1186" s="20">
        <v>-7.42</v>
      </c>
      <c r="BM1186" s="20">
        <v>47.6</v>
      </c>
      <c r="BN1186" s="20">
        <v>73.48</v>
      </c>
      <c r="BZ1186" s="20">
        <v>-64.24</v>
      </c>
      <c r="CA1186" s="20">
        <v>64.45</v>
      </c>
      <c r="CO1186" s="20">
        <v>-25.25</v>
      </c>
      <c r="CP1186" s="20">
        <v>-38.38</v>
      </c>
    </row>
    <row r="1187">
      <c r="A1187" s="20">
        <v>-20.78</v>
      </c>
      <c r="B1187" s="20">
        <v>-4.74</v>
      </c>
      <c r="D1187" s="20"/>
      <c r="E1187" s="20"/>
      <c r="F1187" s="20"/>
      <c r="G1187" s="20"/>
      <c r="H1187" s="20"/>
      <c r="I1187" s="20"/>
      <c r="J1187" s="20"/>
      <c r="K1187" s="20">
        <v>593.0</v>
      </c>
      <c r="L1187" s="20" t="s">
        <v>14</v>
      </c>
      <c r="M1187" s="20">
        <v>-27.42</v>
      </c>
      <c r="N1187" s="20">
        <v>-37.62</v>
      </c>
      <c r="P1187" s="20">
        <v>22.04</v>
      </c>
      <c r="Q1187" s="20">
        <v>31.13</v>
      </c>
      <c r="AM1187" s="20">
        <v>604.0</v>
      </c>
      <c r="AN1187" s="20" t="s">
        <v>14</v>
      </c>
      <c r="AO1187" s="20">
        <v>-46.47</v>
      </c>
      <c r="AP1187" s="20">
        <v>-75.37</v>
      </c>
      <c r="AS1187" s="20">
        <v>597.0</v>
      </c>
      <c r="AT1187" s="20" t="s">
        <v>14</v>
      </c>
      <c r="AU1187" s="20">
        <v>-25.01</v>
      </c>
      <c r="AV1187" s="20">
        <v>-41.29</v>
      </c>
      <c r="BM1187" s="20">
        <v>-35.89</v>
      </c>
      <c r="BN1187" s="20">
        <v>45.49</v>
      </c>
      <c r="BZ1187" s="20">
        <v>-19.33</v>
      </c>
      <c r="CA1187" s="20">
        <v>0.78</v>
      </c>
      <c r="CO1187" s="20">
        <v>31.92</v>
      </c>
      <c r="CP1187" s="20">
        <v>-42.38</v>
      </c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>
        <v>593.0</v>
      </c>
      <c r="L1188" s="20" t="s">
        <v>17</v>
      </c>
      <c r="M1188" s="20">
        <v>-37.47</v>
      </c>
      <c r="N1188" s="20">
        <v>-28.57</v>
      </c>
      <c r="P1188" s="20">
        <v>15.66</v>
      </c>
      <c r="Q1188" s="20">
        <v>23.32</v>
      </c>
      <c r="AM1188" s="20">
        <v>604.0</v>
      </c>
      <c r="AN1188" s="20" t="s">
        <v>17</v>
      </c>
      <c r="AO1188" s="20">
        <v>-18.95</v>
      </c>
      <c r="AP1188" s="20">
        <v>-40.59</v>
      </c>
      <c r="AS1188" s="20">
        <v>597.0</v>
      </c>
      <c r="AT1188" s="20" t="s">
        <v>17</v>
      </c>
      <c r="AU1188" s="20">
        <v>-43.68</v>
      </c>
      <c r="AV1188" s="20">
        <v>-44.87</v>
      </c>
      <c r="BM1188" s="20">
        <v>18.61</v>
      </c>
      <c r="BN1188" s="20">
        <v>33.01</v>
      </c>
      <c r="BZ1188" s="20">
        <v>-5.27</v>
      </c>
      <c r="CA1188" s="20">
        <v>-25.76</v>
      </c>
      <c r="CO1188" s="20">
        <v>-6.53</v>
      </c>
      <c r="CP1188" s="20">
        <v>-61.12</v>
      </c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>
        <v>594.0</v>
      </c>
      <c r="L1189" s="20" t="s">
        <v>14</v>
      </c>
      <c r="M1189" s="20">
        <v>-20.93</v>
      </c>
      <c r="N1189" s="20">
        <v>-5.65</v>
      </c>
      <c r="P1189" s="20">
        <v>-20.88</v>
      </c>
      <c r="Q1189" s="20">
        <v>27.33</v>
      </c>
      <c r="AM1189" s="20">
        <v>605.0</v>
      </c>
      <c r="AN1189" s="20" t="s">
        <v>14</v>
      </c>
      <c r="AO1189" s="20">
        <v>-26.81</v>
      </c>
      <c r="AP1189" s="20">
        <v>-24.74</v>
      </c>
      <c r="AS1189" s="20">
        <v>598.0</v>
      </c>
      <c r="AT1189" s="20" t="s">
        <v>14</v>
      </c>
      <c r="AU1189" s="20">
        <v>-9.69</v>
      </c>
      <c r="AV1189" s="20">
        <v>-8.14</v>
      </c>
      <c r="BM1189" s="20">
        <v>69.5</v>
      </c>
      <c r="BN1189" s="20">
        <v>46.96</v>
      </c>
      <c r="BZ1189" s="20">
        <v>-40.51</v>
      </c>
      <c r="CA1189" s="20">
        <v>-41.08</v>
      </c>
      <c r="CO1189" s="20">
        <v>-11.41</v>
      </c>
      <c r="CP1189" s="20">
        <v>-60.38</v>
      </c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>
        <v>594.0</v>
      </c>
      <c r="L1190" s="20" t="s">
        <v>17</v>
      </c>
      <c r="M1190" s="20">
        <v>-9.97</v>
      </c>
      <c r="N1190" s="20">
        <v>-4.15</v>
      </c>
      <c r="P1190" s="20">
        <v>56.55</v>
      </c>
      <c r="Q1190" s="20">
        <v>187.57</v>
      </c>
      <c r="AM1190" s="20">
        <v>605.0</v>
      </c>
      <c r="AN1190" s="20" t="s">
        <v>17</v>
      </c>
      <c r="AO1190" s="20">
        <v>-34.33</v>
      </c>
      <c r="AP1190" s="20">
        <v>0.55</v>
      </c>
      <c r="AS1190" s="20">
        <v>598.0</v>
      </c>
      <c r="AT1190" s="20" t="s">
        <v>17</v>
      </c>
      <c r="AU1190" s="20">
        <v>-13.25</v>
      </c>
      <c r="AV1190" s="20">
        <v>-38.27</v>
      </c>
      <c r="BM1190" s="20">
        <v>-62.5</v>
      </c>
      <c r="BN1190" s="20">
        <v>-4.37</v>
      </c>
      <c r="BZ1190" s="20">
        <v>-61.07</v>
      </c>
      <c r="CA1190" s="20">
        <v>-54.11</v>
      </c>
      <c r="CO1190" s="20">
        <v>-25.04</v>
      </c>
      <c r="CP1190" s="20">
        <v>-39.37</v>
      </c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>
        <v>595.0</v>
      </c>
      <c r="L1191" s="20" t="s">
        <v>14</v>
      </c>
      <c r="M1191" s="20">
        <v>-28.1</v>
      </c>
      <c r="N1191" s="20">
        <v>15.61</v>
      </c>
      <c r="P1191" s="20">
        <v>-17.65</v>
      </c>
      <c r="Q1191" s="20">
        <v>29.28</v>
      </c>
      <c r="AM1191" s="20">
        <v>606.0</v>
      </c>
      <c r="AN1191" s="20" t="s">
        <v>14</v>
      </c>
      <c r="AO1191" s="20">
        <v>46.86</v>
      </c>
      <c r="AP1191" s="20">
        <v>-5.88</v>
      </c>
      <c r="AS1191" s="20">
        <v>599.0</v>
      </c>
      <c r="AT1191" s="20" t="s">
        <v>14</v>
      </c>
      <c r="AU1191" s="20">
        <v>-13.81</v>
      </c>
      <c r="AV1191" s="20">
        <v>-34.92</v>
      </c>
      <c r="BM1191" s="20">
        <v>60.81</v>
      </c>
      <c r="BN1191" s="20">
        <v>177.77</v>
      </c>
      <c r="BZ1191" s="20">
        <v>-2.68</v>
      </c>
      <c r="CA1191" s="20">
        <v>-39.81</v>
      </c>
      <c r="CO1191" s="20">
        <v>-31.84</v>
      </c>
      <c r="CP1191" s="20">
        <v>-43.76</v>
      </c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>
        <v>595.0</v>
      </c>
      <c r="L1192" s="20" t="s">
        <v>17</v>
      </c>
      <c r="M1192" s="20">
        <v>-38.73</v>
      </c>
      <c r="N1192" s="20">
        <v>-16.72</v>
      </c>
      <c r="P1192" s="20">
        <v>-57.08</v>
      </c>
      <c r="Q1192" s="20">
        <v>-53.33</v>
      </c>
      <c r="AM1192" s="20">
        <v>606.0</v>
      </c>
      <c r="AN1192" s="20" t="s">
        <v>17</v>
      </c>
      <c r="AO1192" s="20">
        <v>8.02</v>
      </c>
      <c r="AP1192" s="20">
        <v>6.28</v>
      </c>
      <c r="AS1192" s="20">
        <v>599.0</v>
      </c>
      <c r="AT1192" s="20" t="s">
        <v>17</v>
      </c>
      <c r="AU1192" s="20">
        <v>-4.38</v>
      </c>
      <c r="AV1192" s="20">
        <v>-39.93</v>
      </c>
      <c r="BM1192" s="20">
        <v>43.49</v>
      </c>
      <c r="BN1192" s="20">
        <v>249.08</v>
      </c>
      <c r="BZ1192" s="20">
        <v>-50.36</v>
      </c>
      <c r="CA1192" s="20">
        <v>-19.11</v>
      </c>
      <c r="CO1192" s="20">
        <v>5.64</v>
      </c>
      <c r="CP1192" s="20">
        <v>-45.67</v>
      </c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>
        <v>596.0</v>
      </c>
      <c r="L1193" s="20" t="s">
        <v>14</v>
      </c>
      <c r="M1193" s="20">
        <v>-16.23</v>
      </c>
      <c r="N1193" s="20">
        <v>-14.3</v>
      </c>
      <c r="P1193" s="20">
        <v>-38.0</v>
      </c>
      <c r="Q1193" s="20">
        <v>6.68</v>
      </c>
      <c r="AM1193" s="20">
        <v>607.0</v>
      </c>
      <c r="AN1193" s="20" t="s">
        <v>14</v>
      </c>
      <c r="AO1193" s="20">
        <v>-19.97</v>
      </c>
      <c r="AP1193" s="20">
        <v>-41.6</v>
      </c>
      <c r="AS1193" s="20">
        <v>600.0</v>
      </c>
      <c r="AT1193" s="20" t="s">
        <v>14</v>
      </c>
      <c r="AU1193" s="20">
        <v>-17.96</v>
      </c>
      <c r="AV1193" s="20">
        <v>-37.9</v>
      </c>
      <c r="BM1193" s="20">
        <v>64.64</v>
      </c>
      <c r="BN1193" s="20">
        <v>145.79</v>
      </c>
      <c r="BZ1193" s="20">
        <v>-49.56</v>
      </c>
      <c r="CA1193" s="20">
        <v>53.23</v>
      </c>
      <c r="CO1193" s="20">
        <v>-8.14</v>
      </c>
      <c r="CP1193" s="20">
        <v>-37.56</v>
      </c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>
        <v>596.0</v>
      </c>
      <c r="L1194" s="20" t="s">
        <v>17</v>
      </c>
      <c r="M1194" s="20">
        <v>-23.15</v>
      </c>
      <c r="N1194" s="20">
        <v>18.53</v>
      </c>
      <c r="P1194" s="20">
        <v>-7.52</v>
      </c>
      <c r="Q1194" s="20">
        <v>-47.25</v>
      </c>
      <c r="AM1194" s="20">
        <v>607.0</v>
      </c>
      <c r="AN1194" s="20" t="s">
        <v>17</v>
      </c>
      <c r="AO1194" s="20">
        <v>7.99</v>
      </c>
      <c r="AP1194" s="20">
        <v>-22.5</v>
      </c>
      <c r="AS1194" s="20">
        <v>600.0</v>
      </c>
      <c r="AT1194" s="20" t="s">
        <v>17</v>
      </c>
      <c r="AU1194" s="20">
        <v>-2.64</v>
      </c>
      <c r="AV1194" s="20">
        <v>-21.31</v>
      </c>
      <c r="BM1194" s="20">
        <v>98.35</v>
      </c>
      <c r="BN1194" s="20">
        <v>118.03</v>
      </c>
      <c r="BZ1194" s="20">
        <v>-53.36</v>
      </c>
      <c r="CA1194" s="20">
        <v>-2.78</v>
      </c>
      <c r="CO1194" s="20">
        <v>-2.69</v>
      </c>
      <c r="CP1194" s="20">
        <v>-57.38</v>
      </c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>
        <v>597.0</v>
      </c>
      <c r="L1195" s="20" t="s">
        <v>14</v>
      </c>
      <c r="M1195" s="20">
        <v>-12.62</v>
      </c>
      <c r="N1195" s="20">
        <v>-7.69</v>
      </c>
      <c r="P1195" s="20">
        <v>-17.29</v>
      </c>
      <c r="Q1195" s="20">
        <v>-7.74</v>
      </c>
      <c r="AM1195" s="20">
        <v>608.0</v>
      </c>
      <c r="AN1195" s="20" t="s">
        <v>14</v>
      </c>
      <c r="AO1195" s="20">
        <v>46.05</v>
      </c>
      <c r="AP1195" s="20">
        <v>-5.11</v>
      </c>
      <c r="AS1195" s="20">
        <v>601.0</v>
      </c>
      <c r="AT1195" s="20" t="s">
        <v>14</v>
      </c>
      <c r="AU1195" s="20">
        <v>0.25</v>
      </c>
      <c r="AV1195" s="20">
        <v>-36.12</v>
      </c>
      <c r="BM1195" s="20">
        <v>14.93</v>
      </c>
      <c r="BN1195" s="20">
        <v>59.01</v>
      </c>
      <c r="BZ1195" s="20">
        <v>-1.64</v>
      </c>
      <c r="CA1195" s="20">
        <v>113.98</v>
      </c>
      <c r="CO1195" s="20">
        <v>-28.66</v>
      </c>
      <c r="CP1195" s="20">
        <v>-33.55</v>
      </c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>
        <v>597.0</v>
      </c>
      <c r="L1196" s="20" t="s">
        <v>17</v>
      </c>
      <c r="M1196" s="20">
        <v>-11.18</v>
      </c>
      <c r="N1196" s="20">
        <v>-24.01</v>
      </c>
      <c r="P1196" s="20">
        <v>24.14</v>
      </c>
      <c r="Q1196" s="20">
        <v>11.15</v>
      </c>
      <c r="AM1196" s="20">
        <v>608.0</v>
      </c>
      <c r="AN1196" s="20" t="s">
        <v>17</v>
      </c>
      <c r="AO1196" s="20">
        <v>-8.55</v>
      </c>
      <c r="AP1196" s="20">
        <v>-32.12</v>
      </c>
      <c r="AS1196" s="20">
        <v>601.0</v>
      </c>
      <c r="AT1196" s="20" t="s">
        <v>17</v>
      </c>
      <c r="AU1196" s="20">
        <v>14.5</v>
      </c>
      <c r="AV1196" s="20">
        <v>-34.53</v>
      </c>
      <c r="BM1196" s="20">
        <v>50.29</v>
      </c>
      <c r="BN1196" s="20">
        <v>137.97</v>
      </c>
      <c r="BZ1196" s="20">
        <v>-33.56</v>
      </c>
      <c r="CA1196" s="20">
        <v>-13.35</v>
      </c>
      <c r="CO1196" s="20">
        <v>-38.13</v>
      </c>
      <c r="CP1196" s="20">
        <v>-55.31</v>
      </c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>
        <v>598.0</v>
      </c>
      <c r="L1197" s="20" t="s">
        <v>14</v>
      </c>
      <c r="M1197" s="20">
        <v>10.06</v>
      </c>
      <c r="N1197" s="20">
        <v>19.72</v>
      </c>
      <c r="P1197" s="20">
        <v>-34.39</v>
      </c>
      <c r="Q1197" s="20">
        <v>36.79</v>
      </c>
      <c r="AM1197" s="20">
        <v>609.0</v>
      </c>
      <c r="AN1197" s="20" t="s">
        <v>14</v>
      </c>
      <c r="AO1197" s="20">
        <v>-21.17</v>
      </c>
      <c r="AP1197" s="20">
        <v>-39.1</v>
      </c>
      <c r="AS1197" s="20">
        <v>602.0</v>
      </c>
      <c r="AT1197" s="20" t="s">
        <v>14</v>
      </c>
      <c r="AU1197" s="20">
        <v>7.21</v>
      </c>
      <c r="AV1197" s="20">
        <v>-35.07</v>
      </c>
      <c r="BM1197" s="20">
        <v>62.68</v>
      </c>
      <c r="BN1197" s="20">
        <v>115.99</v>
      </c>
      <c r="BZ1197" s="20">
        <v>-33.44</v>
      </c>
      <c r="CA1197" s="20">
        <v>57.08</v>
      </c>
      <c r="CO1197" s="20">
        <v>-15.56</v>
      </c>
      <c r="CP1197" s="20">
        <v>-49.69</v>
      </c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>
        <v>598.0</v>
      </c>
      <c r="L1198" s="20" t="s">
        <v>17</v>
      </c>
      <c r="M1198" s="20">
        <v>16.18</v>
      </c>
      <c r="N1198" s="20">
        <v>12.36</v>
      </c>
      <c r="P1198" s="20">
        <v>-19.85</v>
      </c>
      <c r="Q1198" s="20">
        <v>25.15</v>
      </c>
      <c r="AM1198" s="20">
        <v>609.0</v>
      </c>
      <c r="AN1198" s="20" t="s">
        <v>17</v>
      </c>
      <c r="AO1198" s="20">
        <v>45.15</v>
      </c>
      <c r="AP1198" s="20">
        <v>34.78</v>
      </c>
      <c r="AS1198" s="20">
        <v>602.0</v>
      </c>
      <c r="AT1198" s="20" t="s">
        <v>17</v>
      </c>
      <c r="AU1198" s="20">
        <v>-16.72</v>
      </c>
      <c r="AV1198" s="20">
        <v>-13.12</v>
      </c>
      <c r="BM1198" s="20">
        <v>75.99</v>
      </c>
      <c r="BN1198" s="20">
        <v>165.74</v>
      </c>
      <c r="BZ1198" s="20">
        <v>-20.31</v>
      </c>
      <c r="CA1198" s="20">
        <v>24.13</v>
      </c>
      <c r="CO1198" s="20">
        <v>19.78</v>
      </c>
      <c r="CP1198" s="20">
        <v>-19.97</v>
      </c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>
        <v>599.0</v>
      </c>
      <c r="L1199" s="20" t="s">
        <v>14</v>
      </c>
      <c r="M1199" s="20">
        <v>-22.83</v>
      </c>
      <c r="N1199" s="20">
        <v>-6.54</v>
      </c>
      <c r="P1199" s="20">
        <v>18.87</v>
      </c>
      <c r="Q1199" s="20">
        <v>1.08</v>
      </c>
      <c r="AM1199" s="20">
        <v>610.0</v>
      </c>
      <c r="AN1199" s="20" t="s">
        <v>14</v>
      </c>
      <c r="AO1199" s="20">
        <v>-19.7</v>
      </c>
      <c r="AP1199" s="20">
        <v>1.42</v>
      </c>
      <c r="AS1199" s="20">
        <v>603.0</v>
      </c>
      <c r="AT1199" s="20" t="s">
        <v>14</v>
      </c>
      <c r="AU1199" s="20">
        <v>-32.5</v>
      </c>
      <c r="AV1199" s="20">
        <v>-53.28</v>
      </c>
      <c r="BM1199" s="20">
        <v>90.55</v>
      </c>
      <c r="BN1199" s="20">
        <v>109.78</v>
      </c>
      <c r="BZ1199" s="20">
        <v>-7.23</v>
      </c>
      <c r="CA1199" s="20">
        <v>107.25</v>
      </c>
      <c r="CO1199" s="20">
        <v>-12.72</v>
      </c>
      <c r="CP1199" s="20">
        <v>-54.79</v>
      </c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>
        <v>599.0</v>
      </c>
      <c r="L1200" s="20" t="s">
        <v>17</v>
      </c>
      <c r="M1200" s="20">
        <v>-25.48</v>
      </c>
      <c r="N1200" s="20">
        <v>-25.32</v>
      </c>
      <c r="P1200" s="20">
        <v>38.69</v>
      </c>
      <c r="Q1200" s="20">
        <v>129.86</v>
      </c>
      <c r="AM1200" s="20">
        <v>610.0</v>
      </c>
      <c r="AN1200" s="20" t="s">
        <v>17</v>
      </c>
      <c r="AO1200" s="20">
        <v>-29.12</v>
      </c>
      <c r="AP1200" s="20">
        <v>14.86</v>
      </c>
      <c r="AS1200" s="20">
        <v>603.0</v>
      </c>
      <c r="AT1200" s="20" t="s">
        <v>17</v>
      </c>
      <c r="AU1200" s="20">
        <v>-45.77</v>
      </c>
      <c r="AV1200" s="20">
        <v>-53.17</v>
      </c>
      <c r="BM1200" s="20">
        <v>66.14</v>
      </c>
      <c r="BN1200" s="20">
        <v>48.6</v>
      </c>
      <c r="BZ1200" s="20">
        <v>37.33</v>
      </c>
      <c r="CA1200" s="20">
        <v>223.64</v>
      </c>
      <c r="CO1200" s="20">
        <v>13.14</v>
      </c>
      <c r="CP1200" s="20">
        <v>-55.84</v>
      </c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>
        <v>600.0</v>
      </c>
      <c r="L1201" s="20" t="s">
        <v>14</v>
      </c>
      <c r="M1201" s="20">
        <v>-8.29</v>
      </c>
      <c r="N1201" s="20">
        <v>17.14</v>
      </c>
      <c r="P1201" s="20">
        <v>-21.0</v>
      </c>
      <c r="Q1201" s="20">
        <v>62.42</v>
      </c>
      <c r="AM1201" s="20">
        <v>611.0</v>
      </c>
      <c r="AN1201" s="20" t="s">
        <v>14</v>
      </c>
      <c r="AO1201" s="20">
        <v>49.89</v>
      </c>
      <c r="AP1201" s="20">
        <v>-0.84</v>
      </c>
      <c r="AS1201" s="20">
        <v>604.0</v>
      </c>
      <c r="AT1201" s="20" t="s">
        <v>14</v>
      </c>
      <c r="AU1201" s="20">
        <v>-23.85</v>
      </c>
      <c r="AV1201" s="20">
        <v>-39.28</v>
      </c>
      <c r="BM1201" s="20">
        <v>265.1</v>
      </c>
      <c r="BN1201" s="20">
        <v>67.18</v>
      </c>
      <c r="BZ1201" s="20">
        <v>-57.8</v>
      </c>
      <c r="CA1201" s="20">
        <v>22.0</v>
      </c>
      <c r="CO1201" s="20">
        <v>-18.62</v>
      </c>
      <c r="CP1201" s="20">
        <v>-35.22</v>
      </c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>
        <v>600.0</v>
      </c>
      <c r="L1202" s="20" t="s">
        <v>17</v>
      </c>
      <c r="M1202" s="20">
        <v>-10.62</v>
      </c>
      <c r="N1202" s="20">
        <v>16.94</v>
      </c>
      <c r="P1202" s="20">
        <v>-29.5</v>
      </c>
      <c r="Q1202" s="20">
        <v>34.29</v>
      </c>
      <c r="AM1202" s="20">
        <v>611.0</v>
      </c>
      <c r="AN1202" s="20" t="s">
        <v>17</v>
      </c>
      <c r="AO1202" s="20">
        <v>51.89</v>
      </c>
      <c r="AP1202" s="20">
        <v>49.34</v>
      </c>
      <c r="AS1202" s="20">
        <v>604.0</v>
      </c>
      <c r="AT1202" s="20" t="s">
        <v>17</v>
      </c>
      <c r="AU1202" s="20">
        <v>46.17</v>
      </c>
      <c r="AV1202" s="20">
        <v>-22.5</v>
      </c>
      <c r="BM1202" s="20">
        <v>158.69</v>
      </c>
      <c r="BN1202" s="20">
        <v>57.67</v>
      </c>
      <c r="BZ1202" s="20">
        <v>-9.33</v>
      </c>
      <c r="CA1202" s="20">
        <v>-49.84</v>
      </c>
      <c r="CO1202" s="20">
        <v>-26.98</v>
      </c>
      <c r="CP1202" s="20">
        <v>-54.23</v>
      </c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>
        <v>601.0</v>
      </c>
      <c r="L1203" s="20" t="s">
        <v>14</v>
      </c>
      <c r="M1203" s="20">
        <v>5.09</v>
      </c>
      <c r="N1203" s="20">
        <v>22.61</v>
      </c>
      <c r="P1203" s="20">
        <v>-20.93</v>
      </c>
      <c r="Q1203" s="20">
        <v>7.83</v>
      </c>
      <c r="AM1203" s="20">
        <v>612.0</v>
      </c>
      <c r="AN1203" s="20" t="s">
        <v>14</v>
      </c>
      <c r="AO1203" s="20">
        <v>-13.74</v>
      </c>
      <c r="AP1203" s="20">
        <v>-19.71</v>
      </c>
      <c r="AS1203" s="20">
        <v>605.0</v>
      </c>
      <c r="AT1203" s="20" t="s">
        <v>14</v>
      </c>
      <c r="AU1203" s="20">
        <v>-10.52</v>
      </c>
      <c r="AV1203" s="20">
        <v>-66.43</v>
      </c>
      <c r="BM1203" s="20">
        <v>138.24</v>
      </c>
      <c r="BN1203" s="20">
        <v>85.8</v>
      </c>
      <c r="BZ1203" s="20">
        <v>-15.27</v>
      </c>
      <c r="CA1203" s="20">
        <v>35.86</v>
      </c>
      <c r="CO1203" s="20">
        <v>-8.35</v>
      </c>
      <c r="CP1203" s="20">
        <v>-62.98</v>
      </c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>
        <v>601.0</v>
      </c>
      <c r="L1204" s="20" t="s">
        <v>17</v>
      </c>
      <c r="M1204" s="20">
        <v>-59.38</v>
      </c>
      <c r="N1204" s="20">
        <v>-63.13</v>
      </c>
      <c r="P1204" s="20">
        <v>-33.32</v>
      </c>
      <c r="Q1204" s="20">
        <v>-5.78</v>
      </c>
      <c r="AM1204" s="20">
        <v>612.0</v>
      </c>
      <c r="AN1204" s="20" t="s">
        <v>17</v>
      </c>
      <c r="AO1204" s="20">
        <v>-34.91</v>
      </c>
      <c r="AP1204" s="20">
        <v>-22.38</v>
      </c>
      <c r="AS1204" s="20">
        <v>605.0</v>
      </c>
      <c r="AT1204" s="20" t="s">
        <v>17</v>
      </c>
      <c r="AU1204" s="20">
        <v>0.37</v>
      </c>
      <c r="AV1204" s="20">
        <v>-66.31</v>
      </c>
      <c r="BM1204" s="20">
        <v>82.47</v>
      </c>
      <c r="BN1204" s="20">
        <v>88.68</v>
      </c>
      <c r="BZ1204" s="20">
        <v>-18.05</v>
      </c>
      <c r="CA1204" s="20">
        <v>32.41</v>
      </c>
      <c r="CO1204" s="20">
        <v>-18.02</v>
      </c>
      <c r="CP1204" s="20">
        <v>-53.15</v>
      </c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>
        <v>602.0</v>
      </c>
      <c r="L1205" s="20" t="s">
        <v>14</v>
      </c>
      <c r="M1205" s="20">
        <v>2.96</v>
      </c>
      <c r="N1205" s="20">
        <v>25.75</v>
      </c>
      <c r="P1205" s="20">
        <v>-14.98</v>
      </c>
      <c r="Q1205" s="20">
        <v>-11.98</v>
      </c>
      <c r="AM1205" s="20">
        <v>613.0</v>
      </c>
      <c r="AN1205" s="20" t="s">
        <v>14</v>
      </c>
      <c r="AO1205" s="20">
        <v>-11.81</v>
      </c>
      <c r="AP1205" s="20">
        <v>-29.77</v>
      </c>
      <c r="AS1205" s="20">
        <v>606.0</v>
      </c>
      <c r="AT1205" s="20" t="s">
        <v>14</v>
      </c>
      <c r="AU1205" s="20">
        <v>-8.05</v>
      </c>
      <c r="AV1205" s="20">
        <v>-5.25</v>
      </c>
      <c r="BM1205" s="20">
        <v>298.39</v>
      </c>
      <c r="BN1205" s="20">
        <v>73.68</v>
      </c>
      <c r="BZ1205" s="20">
        <v>-2.27</v>
      </c>
      <c r="CA1205" s="20">
        <v>126.38</v>
      </c>
      <c r="CO1205" s="20">
        <v>2.43</v>
      </c>
      <c r="CP1205" s="20">
        <v>-47.52</v>
      </c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>
        <v>602.0</v>
      </c>
      <c r="L1206" s="20" t="s">
        <v>17</v>
      </c>
      <c r="M1206" s="20">
        <v>-4.9</v>
      </c>
      <c r="N1206" s="20">
        <v>19.6</v>
      </c>
      <c r="P1206" s="20">
        <v>-21.05</v>
      </c>
      <c r="Q1206" s="20">
        <v>-20.78</v>
      </c>
      <c r="AM1206" s="20">
        <v>613.0</v>
      </c>
      <c r="AN1206" s="20" t="s">
        <v>17</v>
      </c>
      <c r="AO1206" s="20">
        <v>4.95</v>
      </c>
      <c r="AP1206" s="20">
        <v>-3.27</v>
      </c>
      <c r="AS1206" s="20">
        <v>606.0</v>
      </c>
      <c r="AT1206" s="20" t="s">
        <v>17</v>
      </c>
      <c r="AU1206" s="20">
        <v>-20.13</v>
      </c>
      <c r="AV1206" s="20">
        <v>-51.07</v>
      </c>
      <c r="BM1206" s="20">
        <v>163.66</v>
      </c>
      <c r="BN1206" s="20">
        <v>71.5</v>
      </c>
      <c r="BZ1206" s="20">
        <v>-28.85</v>
      </c>
      <c r="CA1206" s="20">
        <v>46.21</v>
      </c>
      <c r="CO1206" s="20">
        <v>-11.92</v>
      </c>
      <c r="CP1206" s="20">
        <v>-44.54</v>
      </c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>
        <v>603.0</v>
      </c>
      <c r="L1207" s="20" t="s">
        <v>14</v>
      </c>
      <c r="M1207" s="20">
        <v>75.75</v>
      </c>
      <c r="N1207" s="20">
        <v>98.49</v>
      </c>
      <c r="P1207" s="20">
        <v>-45.17</v>
      </c>
      <c r="Q1207" s="20">
        <v>-9.3</v>
      </c>
      <c r="AM1207" s="20">
        <v>614.0</v>
      </c>
      <c r="AN1207" s="20" t="s">
        <v>14</v>
      </c>
      <c r="AO1207" s="20">
        <v>-30.15</v>
      </c>
      <c r="AP1207" s="20">
        <v>-36.18</v>
      </c>
      <c r="AS1207" s="20">
        <v>607.0</v>
      </c>
      <c r="AT1207" s="20" t="s">
        <v>14</v>
      </c>
      <c r="AU1207" s="20">
        <v>-12.94</v>
      </c>
      <c r="AV1207" s="20">
        <v>-34.91</v>
      </c>
      <c r="BM1207" s="20">
        <v>18.76</v>
      </c>
      <c r="BN1207" s="20">
        <v>84.88</v>
      </c>
      <c r="BZ1207" s="20">
        <v>-43.97</v>
      </c>
      <c r="CA1207" s="20">
        <v>43.66</v>
      </c>
      <c r="CO1207" s="20">
        <v>4.92</v>
      </c>
      <c r="CP1207" s="20">
        <v>-49.01</v>
      </c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>
        <v>603.0</v>
      </c>
      <c r="L1208" s="20" t="s">
        <v>17</v>
      </c>
      <c r="M1208" s="20">
        <v>34.15</v>
      </c>
      <c r="N1208" s="20">
        <v>67.41</v>
      </c>
      <c r="P1208" s="20">
        <v>-56.44</v>
      </c>
      <c r="Q1208" s="20">
        <v>-53.41</v>
      </c>
      <c r="AM1208" s="20">
        <v>614.0</v>
      </c>
      <c r="AN1208" s="20" t="s">
        <v>17</v>
      </c>
      <c r="AO1208" s="20">
        <v>-26.34</v>
      </c>
      <c r="AP1208" s="20">
        <v>-15.0</v>
      </c>
      <c r="AS1208" s="20">
        <v>607.0</v>
      </c>
      <c r="AT1208" s="20" t="s">
        <v>17</v>
      </c>
      <c r="AU1208" s="20">
        <v>59.99</v>
      </c>
      <c r="AV1208" s="20">
        <v>-8.59</v>
      </c>
      <c r="BM1208" s="20">
        <v>2.22</v>
      </c>
      <c r="BN1208" s="20">
        <v>110.07</v>
      </c>
      <c r="BZ1208" s="20">
        <v>-46.53</v>
      </c>
      <c r="CA1208" s="20">
        <v>66.49</v>
      </c>
      <c r="CO1208" s="20">
        <v>16.08</v>
      </c>
      <c r="CP1208" s="20">
        <v>-55.38</v>
      </c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>
        <v>604.0</v>
      </c>
      <c r="L1209" s="20" t="s">
        <v>14</v>
      </c>
      <c r="M1209" s="20">
        <v>27.47</v>
      </c>
      <c r="N1209" s="20">
        <v>102.6</v>
      </c>
      <c r="P1209" s="20">
        <v>-11.89</v>
      </c>
      <c r="Q1209" s="20">
        <v>16.27</v>
      </c>
      <c r="AM1209" s="20">
        <v>615.0</v>
      </c>
      <c r="AN1209" s="20" t="s">
        <v>14</v>
      </c>
      <c r="AO1209" s="20">
        <v>16.57</v>
      </c>
      <c r="AP1209" s="20">
        <v>-21.86</v>
      </c>
      <c r="AS1209" s="20">
        <v>608.0</v>
      </c>
      <c r="AT1209" s="20" t="s">
        <v>14</v>
      </c>
      <c r="AU1209" s="20">
        <v>-23.55</v>
      </c>
      <c r="AV1209" s="20">
        <v>-27.82</v>
      </c>
      <c r="BM1209" s="20">
        <v>164.34</v>
      </c>
      <c r="BN1209" s="20">
        <v>75.39</v>
      </c>
      <c r="BZ1209" s="20">
        <v>-41.84</v>
      </c>
      <c r="CA1209" s="20">
        <v>66.37</v>
      </c>
      <c r="CO1209" s="20">
        <v>-31.44</v>
      </c>
      <c r="CP1209" s="20">
        <v>-32.03</v>
      </c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>
        <v>604.0</v>
      </c>
      <c r="L1210" s="20" t="s">
        <v>17</v>
      </c>
      <c r="M1210" s="20">
        <v>-21.4</v>
      </c>
      <c r="N1210" s="20">
        <v>18.19</v>
      </c>
      <c r="P1210" s="20">
        <v>-12.89</v>
      </c>
      <c r="Q1210" s="20">
        <v>17.09</v>
      </c>
      <c r="AM1210" s="20">
        <v>615.0</v>
      </c>
      <c r="AN1210" s="20" t="s">
        <v>17</v>
      </c>
      <c r="AO1210" s="20">
        <v>-25.86</v>
      </c>
      <c r="AP1210" s="20">
        <v>-39.57</v>
      </c>
      <c r="AS1210" s="20">
        <v>608.0</v>
      </c>
      <c r="AT1210" s="20" t="s">
        <v>17</v>
      </c>
      <c r="AU1210" s="20">
        <v>-4.03</v>
      </c>
      <c r="AV1210" s="20">
        <v>-12.64</v>
      </c>
      <c r="BM1210" s="20">
        <v>-26.72</v>
      </c>
      <c r="BN1210" s="20">
        <v>-33.14</v>
      </c>
      <c r="BZ1210" s="20">
        <v>-49.93</v>
      </c>
      <c r="CA1210" s="20">
        <v>113.18</v>
      </c>
      <c r="CO1210" s="20">
        <v>39.24</v>
      </c>
      <c r="CP1210" s="20">
        <v>-23.87</v>
      </c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>
        <v>605.0</v>
      </c>
      <c r="L1211" s="20" t="s">
        <v>14</v>
      </c>
      <c r="M1211" s="20">
        <v>-20.54</v>
      </c>
      <c r="N1211" s="20">
        <v>19.07</v>
      </c>
      <c r="P1211" s="20">
        <v>-25.82</v>
      </c>
      <c r="Q1211" s="20">
        <v>72.61</v>
      </c>
      <c r="AM1211" s="20">
        <v>616.0</v>
      </c>
      <c r="AN1211" s="20" t="s">
        <v>14</v>
      </c>
      <c r="AO1211" s="20">
        <v>-23.6</v>
      </c>
      <c r="AP1211" s="20">
        <v>-34.0</v>
      </c>
      <c r="AS1211" s="20">
        <v>609.0</v>
      </c>
      <c r="AT1211" s="20" t="s">
        <v>14</v>
      </c>
      <c r="AU1211" s="20">
        <v>-2.23</v>
      </c>
      <c r="AV1211" s="20">
        <v>-44.9</v>
      </c>
      <c r="BM1211" s="20">
        <v>-16.78</v>
      </c>
      <c r="BN1211" s="20">
        <v>111.1</v>
      </c>
      <c r="BZ1211" s="20">
        <v>-39.01</v>
      </c>
      <c r="CA1211" s="20">
        <v>64.01</v>
      </c>
      <c r="CO1211" s="20">
        <v>-24.44</v>
      </c>
      <c r="CP1211" s="20">
        <v>-48.41</v>
      </c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>
        <v>605.0</v>
      </c>
      <c r="L1212" s="20" t="s">
        <v>17</v>
      </c>
      <c r="M1212" s="20">
        <v>-24.25</v>
      </c>
      <c r="N1212" s="20">
        <v>14.1</v>
      </c>
      <c r="P1212" s="20">
        <v>23.66</v>
      </c>
      <c r="Q1212" s="20">
        <v>97.37</v>
      </c>
      <c r="AM1212" s="20">
        <v>616.0</v>
      </c>
      <c r="AN1212" s="20" t="s">
        <v>17</v>
      </c>
      <c r="AO1212" s="20">
        <v>-29.06</v>
      </c>
      <c r="AP1212" s="20">
        <v>-33.83</v>
      </c>
      <c r="AS1212" s="20">
        <v>609.0</v>
      </c>
      <c r="AT1212" s="20" t="s">
        <v>17</v>
      </c>
      <c r="AU1212" s="20">
        <v>-6.95</v>
      </c>
      <c r="AV1212" s="20">
        <v>-23.87</v>
      </c>
      <c r="BM1212" s="20">
        <v>22.99</v>
      </c>
      <c r="BN1212" s="20">
        <v>153.36</v>
      </c>
      <c r="BZ1212" s="20">
        <v>-63.84</v>
      </c>
      <c r="CA1212" s="20">
        <v>30.13</v>
      </c>
      <c r="CO1212" s="20">
        <v>-16.78</v>
      </c>
      <c r="CP1212" s="20">
        <v>-44.18</v>
      </c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>
        <v>606.0</v>
      </c>
      <c r="L1213" s="20" t="s">
        <v>14</v>
      </c>
      <c r="M1213" s="20">
        <v>58.68</v>
      </c>
      <c r="N1213" s="20">
        <v>43.28</v>
      </c>
      <c r="P1213" s="20">
        <v>12.45</v>
      </c>
      <c r="Q1213" s="20">
        <v>55.67</v>
      </c>
      <c r="AM1213" s="20">
        <v>617.0</v>
      </c>
      <c r="AN1213" s="20" t="s">
        <v>14</v>
      </c>
      <c r="AO1213" s="20">
        <v>5.44</v>
      </c>
      <c r="AP1213" s="20">
        <v>-27.48</v>
      </c>
      <c r="AS1213" s="20">
        <v>610.0</v>
      </c>
      <c r="AT1213" s="20" t="s">
        <v>14</v>
      </c>
      <c r="AU1213" s="20">
        <v>0.98</v>
      </c>
      <c r="AV1213" s="20">
        <v>-26.86</v>
      </c>
      <c r="BM1213" s="20">
        <v>191.89</v>
      </c>
      <c r="BN1213" s="20">
        <v>113.09</v>
      </c>
      <c r="BZ1213" s="20">
        <v>-41.59</v>
      </c>
      <c r="CA1213" s="20">
        <v>85.48</v>
      </c>
      <c r="CO1213" s="20">
        <v>-6.01</v>
      </c>
      <c r="CP1213" s="20">
        <v>-35.65</v>
      </c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>
        <v>606.0</v>
      </c>
      <c r="L1214" s="20" t="s">
        <v>17</v>
      </c>
      <c r="M1214" s="20">
        <v>-9.93</v>
      </c>
      <c r="N1214" s="20">
        <v>-10.25</v>
      </c>
      <c r="P1214" s="20">
        <v>8.31</v>
      </c>
      <c r="Q1214" s="20">
        <v>64.85</v>
      </c>
      <c r="AM1214" s="20">
        <v>617.0</v>
      </c>
      <c r="AN1214" s="20" t="s">
        <v>17</v>
      </c>
      <c r="AO1214" s="20">
        <v>-37.79</v>
      </c>
      <c r="AP1214" s="20">
        <v>-19.81</v>
      </c>
      <c r="AS1214" s="20">
        <v>610.0</v>
      </c>
      <c r="AT1214" s="20" t="s">
        <v>17</v>
      </c>
      <c r="AU1214" s="20">
        <v>26.17</v>
      </c>
      <c r="AV1214" s="20">
        <v>14.06</v>
      </c>
      <c r="BM1214" s="20">
        <v>17.0</v>
      </c>
      <c r="BN1214" s="20">
        <v>-6.49</v>
      </c>
      <c r="BZ1214" s="20">
        <v>-50.01</v>
      </c>
      <c r="CA1214" s="20">
        <v>51.12</v>
      </c>
      <c r="CO1214" s="20">
        <v>34.02</v>
      </c>
      <c r="CP1214" s="20">
        <v>-42.94</v>
      </c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>
        <v>607.0</v>
      </c>
      <c r="L1215" s="20" t="s">
        <v>14</v>
      </c>
      <c r="M1215" s="20">
        <v>-6.85</v>
      </c>
      <c r="N1215" s="20">
        <v>-5.87</v>
      </c>
      <c r="P1215" s="20">
        <v>-6.25</v>
      </c>
      <c r="Q1215" s="20">
        <v>51.15</v>
      </c>
      <c r="AM1215" s="20">
        <v>618.0</v>
      </c>
      <c r="AN1215" s="20" t="s">
        <v>14</v>
      </c>
      <c r="AO1215" s="20">
        <v>38.71</v>
      </c>
      <c r="AP1215" s="20">
        <v>-22.79</v>
      </c>
      <c r="AS1215" s="20">
        <v>611.0</v>
      </c>
      <c r="AT1215" s="20" t="s">
        <v>14</v>
      </c>
      <c r="AU1215" s="20">
        <v>-17.46</v>
      </c>
      <c r="AV1215" s="20">
        <v>-32.3</v>
      </c>
      <c r="BM1215" s="20">
        <v>86.98</v>
      </c>
      <c r="BN1215" s="20">
        <v>115.22</v>
      </c>
      <c r="BZ1215" s="20">
        <v>-29.37</v>
      </c>
      <c r="CA1215" s="20">
        <v>29.32</v>
      </c>
      <c r="CO1215" s="20">
        <v>-15.85</v>
      </c>
      <c r="CP1215" s="20">
        <v>-33.34</v>
      </c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>
        <v>607.0</v>
      </c>
      <c r="L1216" s="20" t="s">
        <v>17</v>
      </c>
      <c r="M1216" s="20">
        <v>-1.0</v>
      </c>
      <c r="N1216" s="20">
        <v>66.61</v>
      </c>
      <c r="P1216" s="20">
        <v>12.33</v>
      </c>
      <c r="Q1216" s="20">
        <v>58.13</v>
      </c>
      <c r="AM1216" s="20">
        <v>618.0</v>
      </c>
      <c r="AN1216" s="20" t="s">
        <v>17</v>
      </c>
      <c r="AO1216" s="20">
        <v>-25.99</v>
      </c>
      <c r="AP1216" s="20">
        <v>-4.7</v>
      </c>
      <c r="AS1216" s="20">
        <v>611.0</v>
      </c>
      <c r="AT1216" s="20" t="s">
        <v>17</v>
      </c>
      <c r="AU1216" s="20">
        <v>-17.15</v>
      </c>
      <c r="AV1216" s="20">
        <v>29.06</v>
      </c>
      <c r="BM1216" s="20">
        <v>124.24</v>
      </c>
      <c r="BN1216" s="20">
        <v>115.94</v>
      </c>
      <c r="BZ1216" s="20">
        <v>-21.33</v>
      </c>
      <c r="CA1216" s="20">
        <v>103.98</v>
      </c>
      <c r="CO1216" s="20">
        <v>2.28</v>
      </c>
      <c r="CP1216" s="20">
        <v>5.87</v>
      </c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>
        <v>608.0</v>
      </c>
      <c r="L1217" s="20" t="s">
        <v>14</v>
      </c>
      <c r="M1217" s="20">
        <v>-23.06</v>
      </c>
      <c r="N1217" s="20">
        <v>29.24</v>
      </c>
      <c r="P1217" s="20">
        <v>-2.77</v>
      </c>
      <c r="Q1217" s="20">
        <v>11.2</v>
      </c>
      <c r="AM1217" s="20">
        <v>619.0</v>
      </c>
      <c r="AN1217" s="20" t="s">
        <v>14</v>
      </c>
      <c r="AO1217" s="20">
        <v>38.54</v>
      </c>
      <c r="AP1217" s="20">
        <v>1.82</v>
      </c>
      <c r="AS1217" s="20">
        <v>612.0</v>
      </c>
      <c r="AT1217" s="20" t="s">
        <v>14</v>
      </c>
      <c r="AU1217" s="20">
        <v>-11.92</v>
      </c>
      <c r="AV1217" s="20">
        <v>-23.73</v>
      </c>
      <c r="BM1217" s="20">
        <v>66.16</v>
      </c>
      <c r="BN1217" s="20">
        <v>96.86</v>
      </c>
      <c r="BZ1217" s="20">
        <v>-21.71</v>
      </c>
      <c r="CA1217" s="20">
        <v>70.41</v>
      </c>
      <c r="CO1217" s="20">
        <v>-22.79</v>
      </c>
      <c r="CP1217" s="20">
        <v>-59.76</v>
      </c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>
        <v>608.0</v>
      </c>
      <c r="L1218" s="20" t="s">
        <v>17</v>
      </c>
      <c r="M1218" s="20">
        <v>-31.77</v>
      </c>
      <c r="N1218" s="20">
        <v>-11.89</v>
      </c>
      <c r="P1218" s="20">
        <v>17.08</v>
      </c>
      <c r="Q1218" s="20">
        <v>100.28</v>
      </c>
      <c r="AM1218" s="20">
        <v>619.0</v>
      </c>
      <c r="AN1218" s="20" t="s">
        <v>17</v>
      </c>
      <c r="AO1218" s="20">
        <v>15.89</v>
      </c>
      <c r="AP1218" s="20">
        <v>-18.46</v>
      </c>
      <c r="AS1218" s="20">
        <v>612.0</v>
      </c>
      <c r="AT1218" s="20" t="s">
        <v>17</v>
      </c>
      <c r="AU1218" s="20">
        <v>-26.05</v>
      </c>
      <c r="AV1218" s="20">
        <v>13.46</v>
      </c>
      <c r="BM1218" s="20">
        <v>-19.16</v>
      </c>
      <c r="BN1218" s="20">
        <v>79.92</v>
      </c>
      <c r="BZ1218" s="20">
        <v>-41.39</v>
      </c>
      <c r="CA1218" s="20">
        <v>80.35</v>
      </c>
      <c r="CO1218" s="20">
        <v>-13.24</v>
      </c>
      <c r="CP1218" s="20">
        <v>-60.45</v>
      </c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>
        <v>609.0</v>
      </c>
      <c r="L1219" s="20" t="s">
        <v>14</v>
      </c>
      <c r="M1219" s="20">
        <v>-6.93</v>
      </c>
      <c r="N1219" s="20">
        <v>25.83</v>
      </c>
      <c r="P1219" s="20">
        <v>27.6</v>
      </c>
      <c r="Q1219" s="20">
        <v>71.81</v>
      </c>
      <c r="AM1219" s="20">
        <v>620.0</v>
      </c>
      <c r="AN1219" s="20" t="s">
        <v>14</v>
      </c>
      <c r="AO1219" s="20">
        <v>19.23</v>
      </c>
      <c r="AP1219" s="20">
        <v>-28.93</v>
      </c>
      <c r="AS1219" s="20">
        <v>613.0</v>
      </c>
      <c r="AT1219" s="20" t="s">
        <v>14</v>
      </c>
      <c r="AU1219" s="20">
        <v>-18.83</v>
      </c>
      <c r="AV1219" s="20">
        <v>-45.39</v>
      </c>
      <c r="BM1219" s="20">
        <v>60.39</v>
      </c>
      <c r="BN1219" s="20">
        <v>66.88</v>
      </c>
      <c r="BZ1219" s="20">
        <v>-44.32</v>
      </c>
      <c r="CA1219" s="20">
        <v>8.01</v>
      </c>
      <c r="CO1219" s="20">
        <v>-15.41</v>
      </c>
      <c r="CP1219" s="20">
        <v>-36.09</v>
      </c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>
        <v>609.0</v>
      </c>
      <c r="L1220" s="20" t="s">
        <v>17</v>
      </c>
      <c r="M1220" s="20">
        <v>-31.0</v>
      </c>
      <c r="N1220" s="20">
        <v>4.56</v>
      </c>
      <c r="P1220" s="20">
        <v>41.53</v>
      </c>
      <c r="Q1220" s="20">
        <v>122.21</v>
      </c>
      <c r="AM1220" s="20">
        <v>620.0</v>
      </c>
      <c r="AN1220" s="20" t="s">
        <v>17</v>
      </c>
      <c r="AO1220" s="20">
        <v>-42.1</v>
      </c>
      <c r="AP1220" s="20">
        <v>64.48</v>
      </c>
      <c r="AS1220" s="20">
        <v>613.0</v>
      </c>
      <c r="AT1220" s="20" t="s">
        <v>17</v>
      </c>
      <c r="AU1220" s="20">
        <v>-7.99</v>
      </c>
      <c r="AV1220" s="20">
        <v>-29.59</v>
      </c>
      <c r="BM1220" s="20">
        <v>95.3</v>
      </c>
      <c r="BN1220" s="20">
        <v>101.18</v>
      </c>
      <c r="BZ1220" s="20">
        <v>-44.79</v>
      </c>
      <c r="CA1220" s="20">
        <v>-20.01</v>
      </c>
      <c r="CO1220" s="20">
        <v>-14.4</v>
      </c>
      <c r="CP1220" s="20">
        <v>-46.35</v>
      </c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>
        <v>610.0</v>
      </c>
      <c r="L1221" s="20" t="s">
        <v>14</v>
      </c>
      <c r="M1221" s="20">
        <v>9.68</v>
      </c>
      <c r="N1221" s="20">
        <v>51.75</v>
      </c>
      <c r="P1221" s="20">
        <v>-16.25</v>
      </c>
      <c r="Q1221" s="20">
        <v>22.39</v>
      </c>
      <c r="AM1221" s="20">
        <v>621.0</v>
      </c>
      <c r="AN1221" s="20" t="s">
        <v>14</v>
      </c>
      <c r="AO1221" s="20">
        <v>0.11</v>
      </c>
      <c r="AP1221" s="20">
        <v>-3.47</v>
      </c>
      <c r="AS1221" s="20">
        <v>614.0</v>
      </c>
      <c r="AT1221" s="20" t="s">
        <v>14</v>
      </c>
      <c r="AU1221" s="20">
        <v>-8.29</v>
      </c>
      <c r="AV1221" s="20">
        <v>-24.48</v>
      </c>
      <c r="BM1221" s="20">
        <v>159.13</v>
      </c>
      <c r="BN1221" s="20">
        <v>101.04</v>
      </c>
      <c r="BZ1221" s="20">
        <v>-47.38</v>
      </c>
      <c r="CA1221" s="20">
        <v>3.16</v>
      </c>
      <c r="CO1221" s="20">
        <v>-16.54</v>
      </c>
      <c r="CP1221" s="20">
        <v>-75.01</v>
      </c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>
        <v>610.0</v>
      </c>
      <c r="L1222" s="20" t="s">
        <v>17</v>
      </c>
      <c r="M1222" s="20">
        <v>-15.64</v>
      </c>
      <c r="N1222" s="20">
        <v>29.24</v>
      </c>
      <c r="P1222" s="20">
        <v>-21.92</v>
      </c>
      <c r="Q1222" s="20">
        <v>175.67</v>
      </c>
      <c r="AM1222" s="20">
        <v>621.0</v>
      </c>
      <c r="AN1222" s="20" t="s">
        <v>17</v>
      </c>
      <c r="AO1222" s="20">
        <v>-1.18</v>
      </c>
      <c r="AP1222" s="20">
        <v>0.78</v>
      </c>
      <c r="AS1222" s="20">
        <v>614.0</v>
      </c>
      <c r="AT1222" s="20" t="s">
        <v>17</v>
      </c>
      <c r="AU1222" s="20">
        <v>9.18</v>
      </c>
      <c r="AV1222" s="20">
        <v>-48.51</v>
      </c>
      <c r="BM1222" s="20">
        <v>49.0</v>
      </c>
      <c r="BN1222" s="20">
        <v>59.8</v>
      </c>
      <c r="BZ1222" s="20">
        <v>-55.33</v>
      </c>
      <c r="CA1222" s="20">
        <v>-2.8</v>
      </c>
      <c r="CO1222" s="20">
        <v>-14.59</v>
      </c>
      <c r="CP1222" s="20">
        <v>-48.14</v>
      </c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>
        <v>611.0</v>
      </c>
      <c r="L1223" s="20" t="s">
        <v>14</v>
      </c>
      <c r="M1223" s="20">
        <v>-35.68</v>
      </c>
      <c r="N1223" s="20">
        <v>28.31</v>
      </c>
      <c r="P1223" s="20">
        <v>-8.91</v>
      </c>
      <c r="Q1223" s="20">
        <v>7.87</v>
      </c>
      <c r="AM1223" s="20">
        <v>622.0</v>
      </c>
      <c r="AN1223" s="20" t="s">
        <v>14</v>
      </c>
      <c r="AO1223" s="20">
        <v>-34.14</v>
      </c>
      <c r="AP1223" s="20">
        <v>-37.72</v>
      </c>
      <c r="AS1223" s="20">
        <v>615.0</v>
      </c>
      <c r="AT1223" s="20" t="s">
        <v>14</v>
      </c>
      <c r="AU1223" s="20">
        <v>-23.08</v>
      </c>
      <c r="AV1223" s="20">
        <v>-43.33</v>
      </c>
      <c r="BM1223" s="20">
        <v>0.48</v>
      </c>
      <c r="BN1223" s="20">
        <v>67.71</v>
      </c>
      <c r="BZ1223" s="20">
        <v>-4.37</v>
      </c>
      <c r="CA1223" s="20">
        <v>86.93</v>
      </c>
      <c r="CO1223" s="20">
        <v>-12.59</v>
      </c>
      <c r="CP1223" s="20">
        <v>-44.49</v>
      </c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>
        <v>611.0</v>
      </c>
      <c r="L1224" s="20" t="s">
        <v>17</v>
      </c>
      <c r="M1224" s="20">
        <v>-66.33</v>
      </c>
      <c r="N1224" s="20">
        <v>-80.64</v>
      </c>
      <c r="P1224" s="20">
        <v>21.65</v>
      </c>
      <c r="Q1224" s="20">
        <v>93.83</v>
      </c>
      <c r="AM1224" s="20">
        <v>622.0</v>
      </c>
      <c r="AN1224" s="20" t="s">
        <v>17</v>
      </c>
      <c r="AO1224" s="20">
        <v>-17.83</v>
      </c>
      <c r="AP1224" s="20">
        <v>-9.96</v>
      </c>
      <c r="AS1224" s="20">
        <v>615.0</v>
      </c>
      <c r="AT1224" s="20" t="s">
        <v>17</v>
      </c>
      <c r="AU1224" s="20">
        <v>-37.53</v>
      </c>
      <c r="AV1224" s="20">
        <v>-43.0</v>
      </c>
      <c r="BM1224" s="20">
        <v>24.47</v>
      </c>
      <c r="BN1224" s="20">
        <v>68.29</v>
      </c>
      <c r="BZ1224" s="20">
        <v>-56.4</v>
      </c>
      <c r="CA1224" s="20">
        <v>110.42</v>
      </c>
      <c r="CO1224" s="20">
        <v>-18.44</v>
      </c>
      <c r="CP1224" s="20">
        <v>-49.73</v>
      </c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>
        <v>612.0</v>
      </c>
      <c r="L1225" s="20" t="s">
        <v>14</v>
      </c>
      <c r="M1225" s="20">
        <v>-15.42</v>
      </c>
      <c r="N1225" s="20">
        <v>41.87</v>
      </c>
      <c r="P1225" s="20">
        <v>-9.94</v>
      </c>
      <c r="Q1225" s="20">
        <v>3.04</v>
      </c>
      <c r="AM1225" s="20">
        <v>623.0</v>
      </c>
      <c r="AN1225" s="20" t="s">
        <v>14</v>
      </c>
      <c r="AO1225" s="20">
        <v>41.64</v>
      </c>
      <c r="AP1225" s="20">
        <v>-10.61</v>
      </c>
      <c r="AS1225" s="20">
        <v>616.0</v>
      </c>
      <c r="AT1225" s="20" t="s">
        <v>14</v>
      </c>
      <c r="AU1225" s="20">
        <v>1.88</v>
      </c>
      <c r="AV1225" s="20">
        <v>-12.76</v>
      </c>
      <c r="BM1225" s="20">
        <v>123.32</v>
      </c>
      <c r="BN1225" s="20">
        <v>136.1</v>
      </c>
      <c r="BZ1225" s="20">
        <v>-45.1</v>
      </c>
      <c r="CA1225" s="20">
        <v>42.44</v>
      </c>
      <c r="CO1225" s="20">
        <v>-11.44</v>
      </c>
      <c r="CP1225" s="20">
        <v>-56.64</v>
      </c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>
        <v>612.0</v>
      </c>
      <c r="L1226" s="20" t="s">
        <v>17</v>
      </c>
      <c r="M1226" s="20">
        <v>-23.77</v>
      </c>
      <c r="N1226" s="20">
        <v>21.34</v>
      </c>
      <c r="P1226" s="20">
        <v>-14.84</v>
      </c>
      <c r="Q1226" s="20">
        <v>75.2</v>
      </c>
      <c r="AM1226" s="20">
        <v>623.0</v>
      </c>
      <c r="AN1226" s="20" t="s">
        <v>17</v>
      </c>
      <c r="AO1226" s="20">
        <v>-5.89</v>
      </c>
      <c r="AP1226" s="20">
        <v>-9.24</v>
      </c>
      <c r="AS1226" s="20">
        <v>616.0</v>
      </c>
      <c r="AT1226" s="20" t="s">
        <v>17</v>
      </c>
      <c r="AU1226" s="20">
        <v>-31.21</v>
      </c>
      <c r="AV1226" s="20">
        <v>6.14</v>
      </c>
      <c r="BM1226" s="20">
        <v>119.06</v>
      </c>
      <c r="BN1226" s="20">
        <v>157.88</v>
      </c>
      <c r="BZ1226" s="20">
        <v>-47.39</v>
      </c>
      <c r="CA1226" s="20">
        <v>61.83</v>
      </c>
      <c r="CO1226" s="20">
        <v>13.38</v>
      </c>
      <c r="CP1226" s="20">
        <v>-56.25</v>
      </c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>
        <v>613.0</v>
      </c>
      <c r="L1227" s="20" t="s">
        <v>14</v>
      </c>
      <c r="M1227" s="20">
        <v>-11.46</v>
      </c>
      <c r="N1227" s="20">
        <v>-1.03</v>
      </c>
      <c r="P1227" s="20">
        <v>8.96</v>
      </c>
      <c r="Q1227" s="20">
        <v>-0.92</v>
      </c>
      <c r="AM1227" s="20">
        <v>624.0</v>
      </c>
      <c r="AN1227" s="20" t="s">
        <v>14</v>
      </c>
      <c r="AO1227" s="20">
        <v>-35.73</v>
      </c>
      <c r="AP1227" s="20">
        <v>-38.28</v>
      </c>
      <c r="AS1227" s="20">
        <v>617.0</v>
      </c>
      <c r="AT1227" s="20" t="s">
        <v>14</v>
      </c>
      <c r="AU1227" s="20">
        <v>5.09</v>
      </c>
      <c r="AV1227" s="20">
        <v>-28.42</v>
      </c>
      <c r="BM1227" s="20">
        <v>18.32</v>
      </c>
      <c r="BN1227" s="20">
        <v>104.36</v>
      </c>
      <c r="BZ1227" s="20">
        <v>-0.98</v>
      </c>
      <c r="CA1227" s="20">
        <v>71.87</v>
      </c>
      <c r="CO1227" s="20">
        <v>-35.34</v>
      </c>
      <c r="CP1227" s="20">
        <v>-51.57</v>
      </c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>
        <v>613.0</v>
      </c>
      <c r="L1228" s="20" t="s">
        <v>17</v>
      </c>
      <c r="M1228" s="20">
        <v>1.86</v>
      </c>
      <c r="N1228" s="20">
        <v>13.28</v>
      </c>
      <c r="P1228" s="20">
        <v>17.34</v>
      </c>
      <c r="Q1228" s="20">
        <v>60.49</v>
      </c>
      <c r="AM1228" s="20">
        <v>624.0</v>
      </c>
      <c r="AN1228" s="20" t="s">
        <v>17</v>
      </c>
      <c r="AO1228" s="20">
        <v>-14.75</v>
      </c>
      <c r="AP1228" s="20">
        <v>-46.21</v>
      </c>
      <c r="AS1228" s="20">
        <v>617.0</v>
      </c>
      <c r="AT1228" s="20" t="s">
        <v>17</v>
      </c>
      <c r="AU1228" s="20">
        <v>9.59</v>
      </c>
      <c r="AV1228" s="20">
        <v>-24.91</v>
      </c>
      <c r="BM1228" s="20">
        <v>-4.93</v>
      </c>
      <c r="BN1228" s="20">
        <v>109.02</v>
      </c>
      <c r="BZ1228" s="20">
        <v>-36.35</v>
      </c>
      <c r="CA1228" s="20">
        <v>41.05</v>
      </c>
      <c r="CO1228" s="20">
        <v>-9.78</v>
      </c>
      <c r="CP1228" s="20">
        <v>-38.54</v>
      </c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>
        <v>614.0</v>
      </c>
      <c r="L1229" s="20" t="s">
        <v>14</v>
      </c>
      <c r="M1229" s="20">
        <v>19.65</v>
      </c>
      <c r="N1229" s="20">
        <v>32.71</v>
      </c>
      <c r="P1229" s="20">
        <v>30.6</v>
      </c>
      <c r="Q1229" s="20">
        <v>22.16</v>
      </c>
      <c r="AM1229" s="20">
        <v>625.0</v>
      </c>
      <c r="AN1229" s="20" t="s">
        <v>14</v>
      </c>
      <c r="AO1229" s="20">
        <v>2.31</v>
      </c>
      <c r="AP1229" s="20">
        <v>-10.66</v>
      </c>
      <c r="AS1229" s="20">
        <v>618.0</v>
      </c>
      <c r="AT1229" s="20" t="s">
        <v>14</v>
      </c>
      <c r="AU1229" s="20">
        <v>-4.73</v>
      </c>
      <c r="AV1229" s="20">
        <v>-25.59</v>
      </c>
      <c r="BM1229" s="20">
        <v>158.77</v>
      </c>
      <c r="BN1229" s="20">
        <v>169.87</v>
      </c>
      <c r="BZ1229" s="20">
        <v>-58.82</v>
      </c>
      <c r="CA1229" s="20">
        <v>25.4</v>
      </c>
      <c r="CO1229" s="20">
        <v>-25.75</v>
      </c>
      <c r="CP1229" s="20">
        <v>-57.78</v>
      </c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>
        <v>614.0</v>
      </c>
      <c r="L1230" s="20" t="s">
        <v>17</v>
      </c>
      <c r="M1230" s="20">
        <v>13.69</v>
      </c>
      <c r="N1230" s="20">
        <v>17.19</v>
      </c>
      <c r="P1230" s="20">
        <v>-3.95</v>
      </c>
      <c r="Q1230" s="20">
        <v>28.2</v>
      </c>
      <c r="AM1230" s="20">
        <v>625.0</v>
      </c>
      <c r="AN1230" s="20" t="s">
        <v>17</v>
      </c>
      <c r="AO1230" s="20">
        <v>-34.78</v>
      </c>
      <c r="AP1230" s="20">
        <v>31.12</v>
      </c>
      <c r="AS1230" s="20">
        <v>618.0</v>
      </c>
      <c r="AT1230" s="20" t="s">
        <v>17</v>
      </c>
      <c r="AU1230" s="20">
        <v>0.4</v>
      </c>
      <c r="AV1230" s="20">
        <v>-0.06</v>
      </c>
      <c r="BM1230" s="20">
        <v>149.15</v>
      </c>
      <c r="BN1230" s="20">
        <v>133.59</v>
      </c>
      <c r="BZ1230" s="20">
        <v>-18.39</v>
      </c>
      <c r="CA1230" s="20">
        <v>27.91</v>
      </c>
      <c r="CO1230" s="20">
        <v>-23.65</v>
      </c>
      <c r="CP1230" s="20">
        <v>-61.12</v>
      </c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>
        <v>615.0</v>
      </c>
      <c r="L1231" s="20" t="s">
        <v>14</v>
      </c>
      <c r="M1231" s="20">
        <v>-8.89</v>
      </c>
      <c r="N1231" s="20">
        <v>52.17</v>
      </c>
      <c r="P1231" s="20">
        <v>-6.53</v>
      </c>
      <c r="Q1231" s="20">
        <v>21.49</v>
      </c>
      <c r="AM1231" s="20">
        <v>626.0</v>
      </c>
      <c r="AN1231" s="20" t="s">
        <v>14</v>
      </c>
      <c r="AO1231" s="20">
        <v>-27.73</v>
      </c>
      <c r="AP1231" s="20">
        <v>-4.37</v>
      </c>
      <c r="AS1231" s="20">
        <v>619.0</v>
      </c>
      <c r="AT1231" s="20" t="s">
        <v>14</v>
      </c>
      <c r="AU1231" s="20">
        <v>-16.38</v>
      </c>
      <c r="AV1231" s="20">
        <v>-21.11</v>
      </c>
      <c r="BM1231" s="20">
        <v>75.04</v>
      </c>
      <c r="BN1231" s="20">
        <v>62.53</v>
      </c>
      <c r="BZ1231" s="20">
        <v>-33.38</v>
      </c>
      <c r="CA1231" s="20">
        <v>48.77</v>
      </c>
      <c r="CO1231" s="20">
        <v>-36.5</v>
      </c>
      <c r="CP1231" s="20">
        <v>-52.8</v>
      </c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>
        <v>615.0</v>
      </c>
      <c r="L1232" s="20" t="s">
        <v>17</v>
      </c>
      <c r="M1232" s="20">
        <v>-30.88</v>
      </c>
      <c r="N1232" s="20">
        <v>6.26</v>
      </c>
      <c r="P1232" s="20">
        <v>-3.88</v>
      </c>
      <c r="Q1232" s="20">
        <v>42.27</v>
      </c>
      <c r="AM1232" s="20">
        <v>626.0</v>
      </c>
      <c r="AN1232" s="20" t="s">
        <v>17</v>
      </c>
      <c r="AO1232" s="20">
        <v>8.98</v>
      </c>
      <c r="AP1232" s="20">
        <v>17.57</v>
      </c>
      <c r="AS1232" s="20">
        <v>619.0</v>
      </c>
      <c r="AT1232" s="20" t="s">
        <v>17</v>
      </c>
      <c r="AU1232" s="20">
        <v>7.92</v>
      </c>
      <c r="AV1232" s="20">
        <v>-15.47</v>
      </c>
      <c r="BM1232" s="20">
        <v>23.3</v>
      </c>
      <c r="BN1232" s="20">
        <v>45.94</v>
      </c>
      <c r="BZ1232" s="20">
        <v>-43.95</v>
      </c>
      <c r="CA1232" s="20">
        <v>46.07</v>
      </c>
      <c r="CO1232" s="20">
        <v>-21.83</v>
      </c>
      <c r="CP1232" s="20">
        <v>-47.87</v>
      </c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>
        <v>616.0</v>
      </c>
      <c r="L1233" s="20" t="s">
        <v>14</v>
      </c>
      <c r="M1233" s="20">
        <v>-2.94</v>
      </c>
      <c r="N1233" s="20">
        <v>43.03</v>
      </c>
      <c r="P1233" s="20">
        <v>7.58</v>
      </c>
      <c r="Q1233" s="20">
        <v>49.58</v>
      </c>
      <c r="AM1233" s="20">
        <v>627.0</v>
      </c>
      <c r="AN1233" s="20" t="s">
        <v>14</v>
      </c>
      <c r="AO1233" s="20">
        <v>23.99</v>
      </c>
      <c r="AP1233" s="20">
        <v>-27.57</v>
      </c>
      <c r="AS1233" s="20">
        <v>620.0</v>
      </c>
      <c r="AT1233" s="20" t="s">
        <v>14</v>
      </c>
      <c r="AU1233" s="20">
        <v>-8.39</v>
      </c>
      <c r="AV1233" s="20">
        <v>-35.95</v>
      </c>
      <c r="BM1233" s="20">
        <v>98.93</v>
      </c>
      <c r="BN1233" s="20">
        <v>134.78</v>
      </c>
      <c r="BZ1233" s="20">
        <v>-25.14</v>
      </c>
      <c r="CA1233" s="20">
        <v>137.75</v>
      </c>
      <c r="CO1233" s="20">
        <v>-7.92</v>
      </c>
      <c r="CP1233" s="20">
        <v>-53.27</v>
      </c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>
        <v>616.0</v>
      </c>
      <c r="L1234" s="20" t="s">
        <v>17</v>
      </c>
      <c r="M1234" s="20">
        <v>-18.53</v>
      </c>
      <c r="N1234" s="20">
        <v>15.42</v>
      </c>
      <c r="P1234" s="20">
        <v>-6.72</v>
      </c>
      <c r="Q1234" s="20">
        <v>54.61</v>
      </c>
      <c r="AM1234" s="20">
        <v>627.0</v>
      </c>
      <c r="AN1234" s="20" t="s">
        <v>17</v>
      </c>
      <c r="AO1234" s="20">
        <v>-3.92</v>
      </c>
      <c r="AP1234" s="20">
        <v>36.08</v>
      </c>
      <c r="AS1234" s="20">
        <v>620.0</v>
      </c>
      <c r="AT1234" s="20" t="s">
        <v>17</v>
      </c>
      <c r="AU1234" s="20">
        <v>-33.69</v>
      </c>
      <c r="AV1234" s="20">
        <v>-7.52</v>
      </c>
      <c r="BM1234" s="20">
        <v>186.2</v>
      </c>
      <c r="BN1234" s="20">
        <v>105.6</v>
      </c>
      <c r="BZ1234" s="20">
        <v>-33.39</v>
      </c>
      <c r="CA1234" s="20">
        <v>25.91</v>
      </c>
      <c r="CO1234" s="20">
        <v>-13.61</v>
      </c>
      <c r="CP1234" s="20">
        <v>-65.57</v>
      </c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>
        <v>617.0</v>
      </c>
      <c r="L1235" s="20" t="s">
        <v>14</v>
      </c>
      <c r="M1235" s="20">
        <v>-14.72</v>
      </c>
      <c r="N1235" s="20">
        <v>-17.06</v>
      </c>
      <c r="P1235" s="20">
        <v>-30.53</v>
      </c>
      <c r="Q1235" s="20">
        <v>9.59</v>
      </c>
      <c r="AM1235" s="20">
        <v>628.0</v>
      </c>
      <c r="AN1235" s="20" t="s">
        <v>14</v>
      </c>
      <c r="AO1235" s="20">
        <v>-10.36</v>
      </c>
      <c r="AP1235" s="20">
        <v>3.09</v>
      </c>
      <c r="AS1235" s="20">
        <v>621.0</v>
      </c>
      <c r="AT1235" s="20" t="s">
        <v>14</v>
      </c>
      <c r="AU1235" s="20">
        <v>-15.98</v>
      </c>
      <c r="AV1235" s="20">
        <v>-29.77</v>
      </c>
      <c r="BM1235" s="20">
        <v>50.66</v>
      </c>
      <c r="BN1235" s="20">
        <v>106.43</v>
      </c>
      <c r="BZ1235" s="20">
        <v>-40.43</v>
      </c>
      <c r="CA1235" s="20">
        <v>-43.52</v>
      </c>
      <c r="CO1235" s="20">
        <v>-29.7</v>
      </c>
      <c r="CP1235" s="20">
        <v>-62.25</v>
      </c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>
        <v>617.0</v>
      </c>
      <c r="L1236" s="20" t="s">
        <v>17</v>
      </c>
      <c r="M1236" s="20">
        <v>-29.77</v>
      </c>
      <c r="N1236" s="20">
        <v>-22.3</v>
      </c>
      <c r="P1236" s="20">
        <v>-19.88</v>
      </c>
      <c r="Q1236" s="20">
        <v>76.16</v>
      </c>
      <c r="AM1236" s="20">
        <v>628.0</v>
      </c>
      <c r="AN1236" s="20" t="s">
        <v>17</v>
      </c>
      <c r="AO1236" s="20">
        <v>-38.03</v>
      </c>
      <c r="AP1236" s="20">
        <v>4.71</v>
      </c>
      <c r="AS1236" s="20">
        <v>621.0</v>
      </c>
      <c r="AT1236" s="20" t="s">
        <v>17</v>
      </c>
      <c r="AU1236" s="20">
        <v>19.09</v>
      </c>
      <c r="AV1236" s="20">
        <v>-34.17</v>
      </c>
      <c r="BM1236" s="20">
        <v>48.87</v>
      </c>
      <c r="BN1236" s="20">
        <v>112.07</v>
      </c>
      <c r="BZ1236" s="20">
        <v>-16.63</v>
      </c>
      <c r="CA1236" s="20">
        <v>-21.57</v>
      </c>
      <c r="CO1236" s="20">
        <v>-1.64</v>
      </c>
      <c r="CP1236" s="20">
        <v>-52.32</v>
      </c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>
        <v>618.0</v>
      </c>
      <c r="L1237" s="20" t="s">
        <v>14</v>
      </c>
      <c r="M1237" s="20">
        <v>-26.43</v>
      </c>
      <c r="N1237" s="20">
        <v>-19.14</v>
      </c>
      <c r="P1237" s="20">
        <v>-25.72</v>
      </c>
      <c r="Q1237" s="20">
        <v>14.01</v>
      </c>
      <c r="AM1237" s="20">
        <v>629.0</v>
      </c>
      <c r="AN1237" s="20" t="s">
        <v>14</v>
      </c>
      <c r="AO1237" s="20">
        <v>-32.7</v>
      </c>
      <c r="AP1237" s="20">
        <v>-6.7</v>
      </c>
      <c r="AS1237" s="20">
        <v>622.0</v>
      </c>
      <c r="AT1237" s="20" t="s">
        <v>14</v>
      </c>
      <c r="AU1237" s="20">
        <v>-9.6</v>
      </c>
      <c r="AV1237" s="20">
        <v>-27.75</v>
      </c>
      <c r="BM1237" s="20">
        <v>222.83</v>
      </c>
      <c r="BN1237" s="20">
        <v>121.49</v>
      </c>
      <c r="BZ1237" s="20">
        <v>-41.08</v>
      </c>
      <c r="CA1237" s="20">
        <v>-14.65</v>
      </c>
      <c r="CO1237" s="20">
        <v>-6.92</v>
      </c>
      <c r="CP1237" s="20">
        <v>-66.3</v>
      </c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>
        <v>618.0</v>
      </c>
      <c r="L1238" s="20" t="s">
        <v>17</v>
      </c>
      <c r="M1238" s="20">
        <v>-46.99</v>
      </c>
      <c r="N1238" s="20">
        <v>-18.62</v>
      </c>
      <c r="P1238" s="20">
        <v>30.34</v>
      </c>
      <c r="Q1238" s="20">
        <v>74.42</v>
      </c>
      <c r="AM1238" s="20">
        <v>629.0</v>
      </c>
      <c r="AN1238" s="20" t="s">
        <v>17</v>
      </c>
      <c r="AO1238" s="20">
        <v>-28.63</v>
      </c>
      <c r="AP1238" s="20">
        <v>-5.5</v>
      </c>
      <c r="AS1238" s="20">
        <v>622.0</v>
      </c>
      <c r="AT1238" s="20" t="s">
        <v>17</v>
      </c>
      <c r="AU1238" s="20">
        <v>-8.32</v>
      </c>
      <c r="AV1238" s="20">
        <v>-19.34</v>
      </c>
      <c r="BM1238" s="20">
        <v>285.55</v>
      </c>
      <c r="BN1238" s="20">
        <v>79.13</v>
      </c>
      <c r="BZ1238" s="20">
        <v>-37.47</v>
      </c>
      <c r="CA1238" s="20">
        <v>-40.17</v>
      </c>
      <c r="CO1238" s="20">
        <v>-15.35</v>
      </c>
      <c r="CP1238" s="20">
        <v>-40.94</v>
      </c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>
        <v>619.0</v>
      </c>
      <c r="L1239" s="20" t="s">
        <v>14</v>
      </c>
      <c r="M1239" s="20">
        <v>-40.82</v>
      </c>
      <c r="N1239" s="20">
        <v>-24.68</v>
      </c>
      <c r="P1239" s="20">
        <v>-8.64</v>
      </c>
      <c r="Q1239" s="20">
        <v>62.17</v>
      </c>
      <c r="AM1239" s="20">
        <v>630.0</v>
      </c>
      <c r="AN1239" s="20" t="s">
        <v>14</v>
      </c>
      <c r="AO1239" s="20">
        <v>2.59</v>
      </c>
      <c r="AP1239" s="20">
        <v>-11.19</v>
      </c>
      <c r="AS1239" s="20">
        <v>623.0</v>
      </c>
      <c r="AT1239" s="20" t="s">
        <v>14</v>
      </c>
      <c r="AU1239" s="20">
        <v>-29.86</v>
      </c>
      <c r="AV1239" s="20">
        <v>-27.93</v>
      </c>
      <c r="BM1239" s="20">
        <v>19.74</v>
      </c>
      <c r="BN1239" s="20">
        <v>79.39</v>
      </c>
      <c r="BZ1239" s="20">
        <v>-13.75</v>
      </c>
      <c r="CA1239" s="20">
        <v>-31.28</v>
      </c>
      <c r="CO1239" s="20">
        <v>-8.7</v>
      </c>
      <c r="CP1239" s="20">
        <v>-54.08</v>
      </c>
    </row>
    <row r="1240">
      <c r="A1240" s="20"/>
      <c r="B1240" s="20"/>
      <c r="C1240" s="20"/>
      <c r="D1240" s="20"/>
      <c r="E1240" s="20"/>
      <c r="F1240" s="20"/>
      <c r="G1240" s="20"/>
      <c r="H1240" s="20"/>
      <c r="I1240" s="20"/>
      <c r="J1240" s="20"/>
      <c r="K1240" s="20">
        <v>619.0</v>
      </c>
      <c r="L1240" s="20" t="s">
        <v>17</v>
      </c>
      <c r="M1240" s="20">
        <v>-45.14</v>
      </c>
      <c r="N1240" s="20">
        <v>-18.86</v>
      </c>
      <c r="P1240" s="20">
        <v>-32.52</v>
      </c>
      <c r="Q1240" s="20">
        <v>-36.58</v>
      </c>
      <c r="AM1240" s="20">
        <v>630.0</v>
      </c>
      <c r="AN1240" s="20" t="s">
        <v>17</v>
      </c>
      <c r="AO1240" s="20">
        <v>-36.04</v>
      </c>
      <c r="AP1240" s="20">
        <v>-43.17</v>
      </c>
      <c r="AS1240" s="20">
        <v>623.0</v>
      </c>
      <c r="AT1240" s="20" t="s">
        <v>17</v>
      </c>
      <c r="AU1240" s="20">
        <v>-23.32</v>
      </c>
      <c r="AV1240" s="20">
        <v>-48.57</v>
      </c>
      <c r="BM1240" s="20">
        <v>55.84</v>
      </c>
      <c r="BN1240" s="20">
        <v>101.79</v>
      </c>
      <c r="BZ1240" s="20">
        <v>-61.38</v>
      </c>
      <c r="CA1240" s="20">
        <v>0.81</v>
      </c>
      <c r="CO1240" s="20">
        <v>1.28</v>
      </c>
      <c r="CP1240" s="20">
        <v>-55.38</v>
      </c>
    </row>
    <row r="1241">
      <c r="A1241" s="20"/>
      <c r="B1241" s="20"/>
      <c r="C1241" s="20"/>
      <c r="D1241" s="20"/>
      <c r="E1241" s="20"/>
      <c r="F1241" s="20"/>
      <c r="G1241" s="20"/>
      <c r="H1241" s="20"/>
      <c r="I1241" s="20"/>
      <c r="J1241" s="20"/>
      <c r="K1241" s="20">
        <v>620.0</v>
      </c>
      <c r="L1241" s="20" t="s">
        <v>14</v>
      </c>
      <c r="M1241" s="20">
        <v>-26.59</v>
      </c>
      <c r="N1241" s="20">
        <v>-15.84</v>
      </c>
      <c r="P1241" s="20">
        <v>44.1</v>
      </c>
      <c r="Q1241" s="20">
        <v>294.55</v>
      </c>
      <c r="AM1241" s="20">
        <v>631.0</v>
      </c>
      <c r="AN1241" s="20" t="s">
        <v>14</v>
      </c>
      <c r="AO1241" s="20">
        <v>-44.86</v>
      </c>
      <c r="AP1241" s="20">
        <v>-34.77</v>
      </c>
      <c r="AS1241" s="20">
        <v>624.0</v>
      </c>
      <c r="AT1241" s="20" t="s">
        <v>14</v>
      </c>
      <c r="AU1241" s="20">
        <v>-0.95</v>
      </c>
      <c r="AV1241" s="20">
        <v>-30.54</v>
      </c>
      <c r="BM1241" s="20">
        <v>129.13</v>
      </c>
      <c r="BN1241" s="20">
        <v>90.76</v>
      </c>
      <c r="BZ1241" s="20">
        <v>-63.33</v>
      </c>
      <c r="CA1241" s="20">
        <v>-15.21</v>
      </c>
      <c r="CO1241" s="20">
        <v>-38.5</v>
      </c>
      <c r="CP1241" s="20">
        <v>-60.33</v>
      </c>
    </row>
    <row r="1242">
      <c r="A1242" s="20"/>
      <c r="B1242" s="20"/>
      <c r="C1242" s="20"/>
      <c r="D1242" s="20"/>
      <c r="E1242" s="20"/>
      <c r="F1242" s="20"/>
      <c r="G1242" s="20"/>
      <c r="H1242" s="20"/>
      <c r="I1242" s="20"/>
      <c r="J1242" s="20"/>
      <c r="K1242" s="20">
        <v>620.0</v>
      </c>
      <c r="L1242" s="20" t="s">
        <v>17</v>
      </c>
      <c r="M1242" s="20">
        <v>-40.25</v>
      </c>
      <c r="N1242" s="20">
        <v>-11.93</v>
      </c>
      <c r="P1242" s="20">
        <v>-14.37</v>
      </c>
      <c r="Q1242" s="20">
        <v>31.56</v>
      </c>
      <c r="AM1242" s="20">
        <v>631.0</v>
      </c>
      <c r="AN1242" s="20" t="s">
        <v>17</v>
      </c>
      <c r="AO1242" s="20">
        <v>18.43</v>
      </c>
      <c r="AP1242" s="20">
        <v>-24.84</v>
      </c>
      <c r="AS1242" s="20">
        <v>624.0</v>
      </c>
      <c r="AT1242" s="20" t="s">
        <v>17</v>
      </c>
      <c r="AU1242" s="20">
        <v>-14.56</v>
      </c>
      <c r="AV1242" s="20">
        <v>-34.97</v>
      </c>
      <c r="BM1242" s="20">
        <v>89.77</v>
      </c>
      <c r="BN1242" s="20">
        <v>123.16</v>
      </c>
      <c r="BZ1242" s="20">
        <v>-29.45</v>
      </c>
      <c r="CA1242" s="20">
        <v>-9.2</v>
      </c>
      <c r="CO1242" s="20">
        <v>-44.84</v>
      </c>
      <c r="CP1242" s="20">
        <v>-38.52</v>
      </c>
    </row>
    <row r="1243">
      <c r="A1243" s="20"/>
      <c r="B1243" s="20"/>
      <c r="C1243" s="20"/>
      <c r="D1243" s="20"/>
      <c r="E1243" s="20"/>
      <c r="F1243" s="20"/>
      <c r="G1243" s="20"/>
      <c r="H1243" s="20"/>
      <c r="I1243" s="20"/>
      <c r="J1243" s="20"/>
      <c r="K1243" s="20">
        <v>621.0</v>
      </c>
      <c r="L1243" s="20" t="s">
        <v>14</v>
      </c>
      <c r="M1243" s="20">
        <v>-14.96</v>
      </c>
      <c r="N1243" s="20">
        <v>-0.22</v>
      </c>
      <c r="P1243" s="20">
        <v>-16.11</v>
      </c>
      <c r="Q1243" s="20">
        <v>-18.55</v>
      </c>
      <c r="AM1243" s="20">
        <v>632.0</v>
      </c>
      <c r="AN1243" s="20" t="s">
        <v>14</v>
      </c>
      <c r="AO1243" s="20">
        <v>-0.01</v>
      </c>
      <c r="AP1243" s="20">
        <v>-27.51</v>
      </c>
      <c r="AS1243" s="20">
        <v>625.0</v>
      </c>
      <c r="AT1243" s="20" t="s">
        <v>14</v>
      </c>
      <c r="AU1243" s="20">
        <v>-19.5</v>
      </c>
      <c r="AV1243" s="20">
        <v>0.13</v>
      </c>
      <c r="BM1243" s="20">
        <v>19.28</v>
      </c>
      <c r="BN1243" s="20">
        <v>76.09</v>
      </c>
      <c r="BZ1243" s="20">
        <v>5.05</v>
      </c>
      <c r="CA1243" s="20">
        <v>51.63</v>
      </c>
      <c r="CO1243" s="20">
        <v>-39.39</v>
      </c>
      <c r="CP1243" s="20">
        <v>-66.17</v>
      </c>
    </row>
    <row r="1244">
      <c r="A1244" s="20"/>
      <c r="B1244" s="20"/>
      <c r="C1244" s="20"/>
      <c r="D1244" s="20"/>
      <c r="E1244" s="20"/>
      <c r="F1244" s="20"/>
      <c r="G1244" s="20"/>
      <c r="H1244" s="20"/>
      <c r="I1244" s="20"/>
      <c r="J1244" s="20"/>
      <c r="K1244" s="20">
        <v>621.0</v>
      </c>
      <c r="L1244" s="20" t="s">
        <v>17</v>
      </c>
      <c r="M1244" s="20">
        <v>-37.12</v>
      </c>
      <c r="N1244" s="20">
        <v>-25.48</v>
      </c>
      <c r="P1244" s="20">
        <v>-7.8</v>
      </c>
      <c r="Q1244" s="20">
        <v>6.89</v>
      </c>
      <c r="AM1244" s="20">
        <v>632.0</v>
      </c>
      <c r="AN1244" s="20" t="s">
        <v>17</v>
      </c>
      <c r="AO1244" s="20">
        <v>22.65</v>
      </c>
      <c r="AP1244" s="20">
        <v>-14.41</v>
      </c>
      <c r="AS1244" s="20">
        <v>625.0</v>
      </c>
      <c r="AT1244" s="20" t="s">
        <v>17</v>
      </c>
      <c r="AU1244" s="20">
        <v>-62.1</v>
      </c>
      <c r="AV1244" s="20">
        <v>-45.19</v>
      </c>
      <c r="BM1244" s="20">
        <v>24.97</v>
      </c>
      <c r="BN1244" s="20">
        <v>142.24</v>
      </c>
      <c r="BZ1244" s="20">
        <v>-24.54</v>
      </c>
      <c r="CA1244" s="20">
        <v>-15.36</v>
      </c>
      <c r="CO1244" s="20">
        <v>-58.27</v>
      </c>
      <c r="CP1244" s="20">
        <v>-66.74</v>
      </c>
    </row>
    <row r="1245">
      <c r="A1245" s="20"/>
      <c r="B1245" s="20"/>
      <c r="C1245" s="20"/>
      <c r="D1245" s="20"/>
      <c r="E1245" s="20"/>
      <c r="F1245" s="20"/>
      <c r="G1245" s="20"/>
      <c r="H1245" s="20"/>
      <c r="I1245" s="20"/>
      <c r="J1245" s="20"/>
      <c r="K1245" s="20">
        <v>622.0</v>
      </c>
      <c r="L1245" s="20" t="s">
        <v>14</v>
      </c>
      <c r="M1245" s="20">
        <v>-20.53</v>
      </c>
      <c r="N1245" s="20">
        <v>-6.36</v>
      </c>
      <c r="P1245" s="20">
        <v>-23.68</v>
      </c>
      <c r="Q1245" s="20">
        <v>-0.66</v>
      </c>
      <c r="AM1245" s="20">
        <v>633.0</v>
      </c>
      <c r="AN1245" s="20" t="s">
        <v>14</v>
      </c>
      <c r="AO1245" s="20">
        <v>-29.27</v>
      </c>
      <c r="AP1245" s="20">
        <v>-22.95</v>
      </c>
      <c r="AS1245" s="20">
        <v>626.0</v>
      </c>
      <c r="AT1245" s="20" t="s">
        <v>14</v>
      </c>
      <c r="AU1245" s="20">
        <v>-10.33</v>
      </c>
      <c r="AV1245" s="20">
        <v>-51.74</v>
      </c>
      <c r="BM1245" s="20">
        <v>38.66</v>
      </c>
      <c r="BN1245" s="20">
        <v>129.91</v>
      </c>
      <c r="BZ1245" s="20">
        <v>-42.25</v>
      </c>
      <c r="CA1245" s="20">
        <v>3.8</v>
      </c>
      <c r="CO1245" s="20">
        <v>-36.87</v>
      </c>
      <c r="CP1245" s="20">
        <v>-61.64</v>
      </c>
    </row>
    <row r="1246">
      <c r="A1246" s="20"/>
      <c r="B1246" s="20"/>
      <c r="C1246" s="20"/>
      <c r="D1246" s="20"/>
      <c r="E1246" s="20"/>
      <c r="F1246" s="20"/>
      <c r="G1246" s="20"/>
      <c r="H1246" s="20"/>
      <c r="I1246" s="20"/>
      <c r="J1246" s="20"/>
      <c r="K1246" s="20">
        <v>622.0</v>
      </c>
      <c r="L1246" s="20" t="s">
        <v>17</v>
      </c>
      <c r="M1246" s="20">
        <v>-31.44</v>
      </c>
      <c r="N1246" s="20">
        <v>-14.59</v>
      </c>
      <c r="P1246" s="20">
        <v>-11.06</v>
      </c>
      <c r="Q1246" s="20">
        <v>-22.83</v>
      </c>
      <c r="AM1246" s="20">
        <v>633.0</v>
      </c>
      <c r="AN1246" s="20" t="s">
        <v>17</v>
      </c>
      <c r="AO1246" s="20">
        <v>-15.59</v>
      </c>
      <c r="AP1246" s="20">
        <v>-27.05</v>
      </c>
      <c r="AS1246" s="20">
        <v>626.0</v>
      </c>
      <c r="AT1246" s="20" t="s">
        <v>17</v>
      </c>
      <c r="AU1246" s="20">
        <v>-38.38</v>
      </c>
      <c r="AV1246" s="20">
        <v>-49.44</v>
      </c>
      <c r="BM1246" s="20">
        <v>35.92</v>
      </c>
      <c r="BN1246" s="20">
        <v>135.21</v>
      </c>
      <c r="BZ1246" s="20">
        <v>-49.27</v>
      </c>
      <c r="CA1246" s="20">
        <v>84.11</v>
      </c>
      <c r="CO1246" s="20">
        <v>31.12</v>
      </c>
      <c r="CP1246" s="20">
        <v>-57.77</v>
      </c>
    </row>
    <row r="1247">
      <c r="A1247" s="20"/>
      <c r="B1247" s="20"/>
      <c r="C1247" s="20"/>
      <c r="D1247" s="20"/>
      <c r="E1247" s="20"/>
      <c r="F1247" s="20"/>
      <c r="G1247" s="20"/>
      <c r="H1247" s="20"/>
      <c r="I1247" s="20"/>
      <c r="J1247" s="20"/>
      <c r="K1247" s="20">
        <v>623.0</v>
      </c>
      <c r="L1247" s="20" t="s">
        <v>14</v>
      </c>
      <c r="M1247" s="20">
        <v>-10.24</v>
      </c>
      <c r="N1247" s="20">
        <v>-7.5</v>
      </c>
      <c r="P1247" s="20">
        <v>-14.58</v>
      </c>
      <c r="Q1247" s="20">
        <v>2.08</v>
      </c>
      <c r="AM1247" s="20">
        <v>634.0</v>
      </c>
      <c r="AN1247" s="20" t="s">
        <v>14</v>
      </c>
      <c r="AO1247" s="20">
        <v>-1.38</v>
      </c>
      <c r="AP1247" s="20">
        <v>-19.92</v>
      </c>
      <c r="AS1247" s="20">
        <v>627.0</v>
      </c>
      <c r="AT1247" s="20" t="s">
        <v>14</v>
      </c>
      <c r="AU1247" s="20">
        <v>-39.79</v>
      </c>
      <c r="AV1247" s="20">
        <v>-71.6</v>
      </c>
      <c r="BM1247" s="20">
        <v>115.19</v>
      </c>
      <c r="BN1247" s="20">
        <v>114.84</v>
      </c>
      <c r="BZ1247" s="20">
        <v>7.01</v>
      </c>
      <c r="CA1247" s="20">
        <v>71.27</v>
      </c>
      <c r="CO1247" s="20">
        <v>-17.71</v>
      </c>
      <c r="CP1247" s="20">
        <v>-39.94</v>
      </c>
    </row>
    <row r="1248">
      <c r="A1248" s="20"/>
      <c r="B1248" s="20"/>
      <c r="C1248" s="20"/>
      <c r="D1248" s="20"/>
      <c r="E1248" s="20"/>
      <c r="F1248" s="20"/>
      <c r="G1248" s="20"/>
      <c r="H1248" s="20"/>
      <c r="I1248" s="20"/>
      <c r="J1248" s="20"/>
      <c r="K1248" s="20">
        <v>623.0</v>
      </c>
      <c r="L1248" s="20" t="s">
        <v>17</v>
      </c>
      <c r="M1248" s="20">
        <v>-36.79</v>
      </c>
      <c r="N1248" s="20">
        <v>-18.28</v>
      </c>
      <c r="P1248" s="20">
        <v>-13.44</v>
      </c>
      <c r="Q1248" s="20">
        <v>18.35</v>
      </c>
      <c r="AM1248" s="20">
        <v>634.0</v>
      </c>
      <c r="AN1248" s="20" t="s">
        <v>17</v>
      </c>
      <c r="AO1248" s="20">
        <v>-41.21</v>
      </c>
      <c r="AP1248" s="20">
        <v>-44.99</v>
      </c>
      <c r="AS1248" s="20">
        <v>627.0</v>
      </c>
      <c r="AT1248" s="20" t="s">
        <v>17</v>
      </c>
      <c r="AU1248" s="20">
        <v>-50.48</v>
      </c>
      <c r="AV1248" s="20">
        <v>-15.51</v>
      </c>
      <c r="BM1248" s="20">
        <v>35.8</v>
      </c>
      <c r="BN1248" s="20">
        <v>100.93</v>
      </c>
      <c r="BZ1248" s="20">
        <v>-8.79</v>
      </c>
      <c r="CA1248" s="20">
        <v>9.75</v>
      </c>
      <c r="CO1248" s="20">
        <v>22.93</v>
      </c>
      <c r="CP1248" s="20">
        <v>-49.66</v>
      </c>
    </row>
    <row r="1249">
      <c r="A1249" s="20"/>
      <c r="B1249" s="20"/>
      <c r="C1249" s="20"/>
      <c r="D1249" s="20"/>
      <c r="E1249" s="20"/>
      <c r="F1249" s="20"/>
      <c r="G1249" s="20"/>
      <c r="H1249" s="20"/>
      <c r="I1249" s="20"/>
      <c r="J1249" s="20"/>
      <c r="K1249" s="20">
        <v>624.0</v>
      </c>
      <c r="L1249" s="20" t="s">
        <v>14</v>
      </c>
      <c r="M1249" s="20">
        <v>-3.59</v>
      </c>
      <c r="N1249" s="20">
        <v>2.24</v>
      </c>
      <c r="P1249" s="20">
        <v>-27.85</v>
      </c>
      <c r="Q1249" s="20">
        <v>-14.95</v>
      </c>
      <c r="AM1249" s="20">
        <v>635.0</v>
      </c>
      <c r="AN1249" s="20" t="s">
        <v>14</v>
      </c>
      <c r="AO1249" s="20">
        <v>-2.47</v>
      </c>
      <c r="AP1249" s="20">
        <v>-11.94</v>
      </c>
      <c r="AS1249" s="20">
        <v>628.0</v>
      </c>
      <c r="AT1249" s="20" t="s">
        <v>14</v>
      </c>
      <c r="AU1249" s="20">
        <v>-12.19</v>
      </c>
      <c r="AV1249" s="20">
        <v>-62.0</v>
      </c>
      <c r="BM1249" s="20">
        <v>49.48</v>
      </c>
      <c r="BN1249" s="20">
        <v>93.74</v>
      </c>
      <c r="BZ1249" s="20">
        <v>-33.44</v>
      </c>
      <c r="CA1249" s="20">
        <v>81.9</v>
      </c>
      <c r="CO1249" s="20">
        <v>-8.39</v>
      </c>
      <c r="CP1249" s="20">
        <v>-53.48</v>
      </c>
    </row>
    <row r="1250">
      <c r="A1250" s="20"/>
      <c r="B1250" s="20"/>
      <c r="C1250" s="20"/>
      <c r="D1250" s="20"/>
      <c r="E1250" s="20"/>
      <c r="F1250" s="20"/>
      <c r="G1250" s="20"/>
      <c r="H1250" s="20"/>
      <c r="I1250" s="20"/>
      <c r="J1250" s="20"/>
      <c r="K1250" s="20">
        <v>624.0</v>
      </c>
      <c r="L1250" s="20" t="s">
        <v>17</v>
      </c>
      <c r="M1250" s="20">
        <v>-40.6</v>
      </c>
      <c r="N1250" s="20">
        <v>-11.66</v>
      </c>
      <c r="P1250" s="20">
        <v>-29.22</v>
      </c>
      <c r="Q1250" s="20">
        <v>-4.65</v>
      </c>
      <c r="AM1250" s="20">
        <v>635.0</v>
      </c>
      <c r="AN1250" s="20" t="s">
        <v>17</v>
      </c>
      <c r="AO1250" s="20">
        <v>-42.07</v>
      </c>
      <c r="AP1250" s="20">
        <v>-12.63</v>
      </c>
      <c r="AS1250" s="20">
        <v>628.0</v>
      </c>
      <c r="AT1250" s="20" t="s">
        <v>17</v>
      </c>
      <c r="AU1250" s="20">
        <v>-41.96</v>
      </c>
      <c r="AV1250" s="20">
        <v>-45.91</v>
      </c>
      <c r="BM1250" s="20">
        <v>6.67</v>
      </c>
      <c r="BN1250" s="20">
        <v>132.71</v>
      </c>
      <c r="BZ1250" s="20">
        <v>-63.72</v>
      </c>
      <c r="CA1250" s="20">
        <v>43.37</v>
      </c>
      <c r="CO1250" s="20">
        <v>17.03</v>
      </c>
      <c r="CP1250" s="20">
        <v>-56.45</v>
      </c>
    </row>
    <row r="1251">
      <c r="A1251" s="20"/>
      <c r="B1251" s="20"/>
      <c r="C1251" s="20"/>
      <c r="D1251" s="20"/>
      <c r="E1251" s="20"/>
      <c r="F1251" s="20"/>
      <c r="G1251" s="20"/>
      <c r="H1251" s="20"/>
      <c r="I1251" s="20"/>
      <c r="J1251" s="20"/>
      <c r="K1251" s="20">
        <v>625.0</v>
      </c>
      <c r="L1251" s="20" t="s">
        <v>14</v>
      </c>
      <c r="M1251" s="20">
        <v>17.1</v>
      </c>
      <c r="N1251" s="20">
        <v>80.47</v>
      </c>
      <c r="P1251" s="20">
        <v>1.79</v>
      </c>
      <c r="Q1251" s="20">
        <v>63.59</v>
      </c>
      <c r="AM1251" s="20">
        <v>636.0</v>
      </c>
      <c r="AN1251" s="20" t="s">
        <v>14</v>
      </c>
      <c r="AO1251" s="20">
        <v>-22.41</v>
      </c>
      <c r="AP1251" s="20">
        <v>9.69</v>
      </c>
      <c r="AS1251" s="20">
        <v>629.0</v>
      </c>
      <c r="AT1251" s="20" t="s">
        <v>14</v>
      </c>
      <c r="AU1251" s="20">
        <v>6.72</v>
      </c>
      <c r="AV1251" s="20">
        <v>-54.93</v>
      </c>
      <c r="BM1251" s="20">
        <v>74.95</v>
      </c>
      <c r="BN1251" s="20">
        <v>138.9</v>
      </c>
      <c r="BZ1251" s="20">
        <v>-27.01</v>
      </c>
      <c r="CA1251" s="20">
        <v>84.94</v>
      </c>
      <c r="CO1251" s="20">
        <v>-3.08</v>
      </c>
      <c r="CP1251" s="20">
        <v>-43.5</v>
      </c>
    </row>
    <row r="1252">
      <c r="A1252" s="20"/>
      <c r="B1252" s="20"/>
      <c r="C1252" s="20"/>
      <c r="D1252" s="20"/>
      <c r="E1252" s="20"/>
      <c r="F1252" s="20"/>
      <c r="G1252" s="20"/>
      <c r="H1252" s="20"/>
      <c r="I1252" s="20"/>
      <c r="J1252" s="20"/>
      <c r="K1252" s="20">
        <v>625.0</v>
      </c>
      <c r="L1252" s="20" t="s">
        <v>17</v>
      </c>
      <c r="M1252" s="20">
        <v>-41.4</v>
      </c>
      <c r="N1252" s="20">
        <v>-73.6</v>
      </c>
      <c r="P1252" s="20">
        <v>-42.34</v>
      </c>
      <c r="Q1252" s="20">
        <v>-13.34</v>
      </c>
      <c r="AM1252" s="20">
        <v>636.0</v>
      </c>
      <c r="AN1252" s="20" t="s">
        <v>17</v>
      </c>
      <c r="AO1252" s="20">
        <v>-31.97</v>
      </c>
      <c r="AP1252" s="20">
        <v>-10.28</v>
      </c>
      <c r="AS1252" s="20">
        <v>629.0</v>
      </c>
      <c r="AT1252" s="20" t="s">
        <v>17</v>
      </c>
      <c r="AU1252" s="20">
        <v>-0.01</v>
      </c>
      <c r="AV1252" s="20">
        <v>-37.19</v>
      </c>
      <c r="BM1252" s="20">
        <v>13.1</v>
      </c>
      <c r="BN1252" s="20">
        <v>-29.9</v>
      </c>
      <c r="BZ1252" s="20">
        <v>-10.96</v>
      </c>
      <c r="CA1252" s="20">
        <v>92.25</v>
      </c>
      <c r="CO1252" s="20">
        <v>10.64</v>
      </c>
      <c r="CP1252" s="20">
        <v>-45.77</v>
      </c>
    </row>
    <row r="1253">
      <c r="A1253" s="20"/>
      <c r="B1253" s="20"/>
      <c r="C1253" s="20"/>
      <c r="D1253" s="20"/>
      <c r="E1253" s="20"/>
      <c r="F1253" s="20"/>
      <c r="G1253" s="20"/>
      <c r="H1253" s="20"/>
      <c r="I1253" s="20"/>
      <c r="J1253" s="20"/>
      <c r="K1253" s="20">
        <v>626.0</v>
      </c>
      <c r="L1253" s="20" t="s">
        <v>14</v>
      </c>
      <c r="M1253" s="20">
        <v>26.42</v>
      </c>
      <c r="N1253" s="20">
        <v>15.42</v>
      </c>
      <c r="P1253" s="20">
        <v>-15.41</v>
      </c>
      <c r="Q1253" s="20">
        <v>2.8</v>
      </c>
      <c r="AM1253" s="20">
        <v>637.0</v>
      </c>
      <c r="AN1253" s="20" t="s">
        <v>14</v>
      </c>
      <c r="AO1253" s="20">
        <v>-30.92</v>
      </c>
      <c r="AP1253" s="20">
        <v>-11.02</v>
      </c>
      <c r="AS1253" s="20">
        <v>630.0</v>
      </c>
      <c r="AT1253" s="20" t="s">
        <v>14</v>
      </c>
      <c r="AU1253" s="20">
        <v>24.48</v>
      </c>
      <c r="AV1253" s="20">
        <v>-2.62</v>
      </c>
      <c r="BM1253" s="20">
        <v>-15.66</v>
      </c>
      <c r="BN1253" s="20">
        <v>85.75</v>
      </c>
      <c r="BZ1253" s="20">
        <v>-27.16</v>
      </c>
      <c r="CA1253" s="20">
        <v>15.09</v>
      </c>
      <c r="CO1253" s="20">
        <v>-16.85</v>
      </c>
      <c r="CP1253" s="20">
        <v>-58.85</v>
      </c>
    </row>
    <row r="1254">
      <c r="A1254" s="20"/>
      <c r="B1254" s="20"/>
      <c r="C1254" s="20"/>
      <c r="D1254" s="20"/>
      <c r="E1254" s="20"/>
      <c r="F1254" s="20"/>
      <c r="G1254" s="20"/>
      <c r="H1254" s="20"/>
      <c r="I1254" s="20"/>
      <c r="J1254" s="20"/>
      <c r="K1254" s="20">
        <v>626.0</v>
      </c>
      <c r="L1254" s="20" t="s">
        <v>17</v>
      </c>
      <c r="M1254" s="20">
        <v>23.2</v>
      </c>
      <c r="N1254" s="20">
        <v>58.21</v>
      </c>
      <c r="P1254" s="20">
        <v>0.13</v>
      </c>
      <c r="Q1254" s="20">
        <v>14.98</v>
      </c>
      <c r="AM1254" s="20">
        <v>637.0</v>
      </c>
      <c r="AN1254" s="20" t="s">
        <v>17</v>
      </c>
      <c r="AO1254" s="20">
        <v>4.87</v>
      </c>
      <c r="AP1254" s="20">
        <v>16.55</v>
      </c>
      <c r="AS1254" s="20">
        <v>630.0</v>
      </c>
      <c r="AT1254" s="20" t="s">
        <v>17</v>
      </c>
      <c r="AU1254" s="20">
        <v>21.41</v>
      </c>
      <c r="AV1254" s="20">
        <v>-33.9</v>
      </c>
      <c r="BM1254" s="20">
        <v>11.75</v>
      </c>
      <c r="BN1254" s="20">
        <v>-0.23</v>
      </c>
      <c r="BZ1254" s="20">
        <v>-37.93</v>
      </c>
      <c r="CA1254" s="20">
        <v>-19.21</v>
      </c>
      <c r="CO1254" s="20">
        <v>-4.02</v>
      </c>
      <c r="CP1254" s="20">
        <v>-48.8</v>
      </c>
    </row>
    <row r="1255">
      <c r="A1255" s="20"/>
      <c r="B1255" s="20"/>
      <c r="C1255" s="20"/>
      <c r="D1255" s="20"/>
      <c r="E1255" s="20"/>
      <c r="F1255" s="20"/>
      <c r="G1255" s="20"/>
      <c r="H1255" s="20"/>
      <c r="I1255" s="20"/>
      <c r="J1255" s="20"/>
      <c r="K1255" s="20">
        <v>627.0</v>
      </c>
      <c r="L1255" s="20" t="s">
        <v>14</v>
      </c>
      <c r="M1255" s="20">
        <v>106.57</v>
      </c>
      <c r="N1255" s="20">
        <v>-4.01</v>
      </c>
      <c r="P1255" s="20">
        <v>1.06</v>
      </c>
      <c r="Q1255" s="20">
        <v>-12.29</v>
      </c>
      <c r="AM1255" s="20">
        <v>638.0</v>
      </c>
      <c r="AN1255" s="20" t="s">
        <v>14</v>
      </c>
      <c r="AO1255" s="20">
        <v>-2.22</v>
      </c>
      <c r="AP1255" s="20">
        <v>-22.62</v>
      </c>
      <c r="AS1255" s="20">
        <v>631.0</v>
      </c>
      <c r="AT1255" s="20" t="s">
        <v>14</v>
      </c>
      <c r="AU1255" s="20">
        <v>-24.63</v>
      </c>
      <c r="AV1255" s="20">
        <v>-38.74</v>
      </c>
      <c r="BM1255" s="20">
        <v>32.61</v>
      </c>
      <c r="BN1255" s="20">
        <v>59.98</v>
      </c>
      <c r="BZ1255" s="20">
        <v>-18.99</v>
      </c>
      <c r="CA1255" s="20">
        <v>82.35</v>
      </c>
      <c r="CO1255" s="20">
        <v>11.6</v>
      </c>
      <c r="CP1255" s="20">
        <v>-61.29</v>
      </c>
    </row>
    <row r="1256">
      <c r="A1256" s="20"/>
      <c r="B1256" s="20"/>
      <c r="C1256" s="20"/>
      <c r="D1256" s="20"/>
      <c r="E1256" s="20"/>
      <c r="F1256" s="20"/>
      <c r="G1256" s="20"/>
      <c r="H1256" s="20"/>
      <c r="I1256" s="20"/>
      <c r="J1256" s="20"/>
      <c r="K1256" s="20">
        <v>627.0</v>
      </c>
      <c r="L1256" s="20" t="s">
        <v>17</v>
      </c>
      <c r="M1256" s="20">
        <v>43.06</v>
      </c>
      <c r="N1256" s="20">
        <v>74.76</v>
      </c>
      <c r="P1256" s="20">
        <v>-57.25</v>
      </c>
      <c r="Q1256" s="20">
        <v>-37.74</v>
      </c>
      <c r="AM1256" s="20">
        <v>638.0</v>
      </c>
      <c r="AN1256" s="20" t="s">
        <v>17</v>
      </c>
      <c r="AO1256" s="20">
        <v>-10.05</v>
      </c>
      <c r="AP1256" s="20">
        <v>-26.73</v>
      </c>
      <c r="AS1256" s="20">
        <v>631.0</v>
      </c>
      <c r="AT1256" s="20" t="s">
        <v>17</v>
      </c>
      <c r="AU1256" s="20">
        <v>32.91</v>
      </c>
      <c r="AV1256" s="20">
        <v>-63.27</v>
      </c>
      <c r="BM1256" s="20">
        <v>22.9</v>
      </c>
      <c r="BN1256" s="20">
        <v>133.74</v>
      </c>
      <c r="BZ1256" s="20">
        <v>40.13</v>
      </c>
      <c r="CA1256" s="20">
        <v>-17.84</v>
      </c>
      <c r="CO1256" s="20">
        <v>-10.61</v>
      </c>
      <c r="CP1256" s="20">
        <v>-43.02</v>
      </c>
    </row>
    <row r="1257">
      <c r="A1257" s="20"/>
      <c r="B1257" s="20"/>
      <c r="C1257" s="20"/>
      <c r="D1257" s="20"/>
      <c r="E1257" s="20"/>
      <c r="F1257" s="20"/>
      <c r="G1257" s="20"/>
      <c r="H1257" s="20"/>
      <c r="I1257" s="20"/>
      <c r="J1257" s="20"/>
      <c r="K1257" s="20">
        <v>628.0</v>
      </c>
      <c r="L1257" s="20" t="s">
        <v>14</v>
      </c>
      <c r="M1257" s="20">
        <v>22.07</v>
      </c>
      <c r="N1257" s="20">
        <v>24.18</v>
      </c>
      <c r="P1257" s="20">
        <v>-8.06</v>
      </c>
      <c r="Q1257" s="20">
        <v>17.31</v>
      </c>
      <c r="AM1257" s="20">
        <v>639.0</v>
      </c>
      <c r="AN1257" s="20" t="s">
        <v>14</v>
      </c>
      <c r="AO1257" s="20">
        <v>2.05</v>
      </c>
      <c r="AP1257" s="20">
        <v>3.41</v>
      </c>
      <c r="AS1257" s="20">
        <v>632.0</v>
      </c>
      <c r="AT1257" s="20" t="s">
        <v>14</v>
      </c>
      <c r="AU1257" s="20">
        <v>-12.6</v>
      </c>
      <c r="AV1257" s="20">
        <v>-33.57</v>
      </c>
      <c r="BM1257" s="20">
        <v>46.42</v>
      </c>
      <c r="BN1257" s="20">
        <v>54.64</v>
      </c>
      <c r="BZ1257" s="20">
        <v>-44.24</v>
      </c>
      <c r="CA1257" s="20">
        <v>55.22</v>
      </c>
      <c r="CO1257" s="20">
        <v>-29.49</v>
      </c>
      <c r="CP1257" s="20">
        <v>-55.8</v>
      </c>
    </row>
    <row r="1258">
      <c r="A1258" s="20"/>
      <c r="B1258" s="20"/>
      <c r="C1258" s="20"/>
      <c r="D1258" s="20"/>
      <c r="E1258" s="20"/>
      <c r="F1258" s="20"/>
      <c r="G1258" s="20"/>
      <c r="H1258" s="20"/>
      <c r="I1258" s="20"/>
      <c r="J1258" s="20"/>
      <c r="K1258" s="20">
        <v>628.0</v>
      </c>
      <c r="L1258" s="20" t="s">
        <v>17</v>
      </c>
      <c r="M1258" s="20">
        <v>-19.64</v>
      </c>
      <c r="N1258" s="20">
        <v>10.02</v>
      </c>
      <c r="P1258" s="20">
        <v>-24.22</v>
      </c>
      <c r="Q1258" s="20">
        <v>23.25</v>
      </c>
      <c r="AM1258" s="20">
        <v>639.0</v>
      </c>
      <c r="AN1258" s="20" t="s">
        <v>17</v>
      </c>
      <c r="AO1258" s="20">
        <v>-27.89</v>
      </c>
      <c r="AP1258" s="20">
        <v>-5.3</v>
      </c>
      <c r="AS1258" s="20">
        <v>632.0</v>
      </c>
      <c r="AT1258" s="20" t="s">
        <v>17</v>
      </c>
      <c r="AU1258" s="20">
        <v>-16.74</v>
      </c>
      <c r="AV1258" s="20">
        <v>-16.74</v>
      </c>
      <c r="BM1258" s="20">
        <v>7.01</v>
      </c>
      <c r="BN1258" s="20">
        <v>33.03</v>
      </c>
      <c r="BZ1258" s="20">
        <v>-64.82</v>
      </c>
      <c r="CA1258" s="20">
        <v>48.81</v>
      </c>
      <c r="CO1258" s="20">
        <v>-1.7</v>
      </c>
      <c r="CP1258" s="20">
        <v>-58.13</v>
      </c>
    </row>
    <row r="1259">
      <c r="A1259" s="20"/>
      <c r="B1259" s="20"/>
      <c r="C1259" s="20"/>
      <c r="D1259" s="20"/>
      <c r="E1259" s="20"/>
      <c r="F1259" s="20"/>
      <c r="G1259" s="20"/>
      <c r="H1259" s="20"/>
      <c r="I1259" s="20"/>
      <c r="J1259" s="20"/>
      <c r="K1259" s="20">
        <v>629.0</v>
      </c>
      <c r="L1259" s="20" t="s">
        <v>14</v>
      </c>
      <c r="M1259" s="20">
        <v>-0.77</v>
      </c>
      <c r="N1259" s="20">
        <v>76.63</v>
      </c>
      <c r="P1259" s="20">
        <v>-3.98</v>
      </c>
      <c r="Q1259" s="20">
        <v>43.59</v>
      </c>
      <c r="AM1259" s="20">
        <v>640.0</v>
      </c>
      <c r="AN1259" s="20" t="s">
        <v>14</v>
      </c>
      <c r="AO1259" s="20">
        <v>1.43</v>
      </c>
      <c r="AP1259" s="20">
        <v>-24.02</v>
      </c>
      <c r="AS1259" s="20">
        <v>633.0</v>
      </c>
      <c r="AT1259" s="20" t="s">
        <v>14</v>
      </c>
      <c r="AU1259" s="20">
        <v>-11.0</v>
      </c>
      <c r="AV1259" s="20">
        <v>-32.01</v>
      </c>
      <c r="BM1259" s="20">
        <v>26.93</v>
      </c>
      <c r="BN1259" s="20">
        <v>52.87</v>
      </c>
      <c r="BZ1259" s="20">
        <v>-7.33</v>
      </c>
      <c r="CA1259" s="20">
        <v>105.04</v>
      </c>
      <c r="CO1259" s="20">
        <v>-10.35</v>
      </c>
      <c r="CP1259" s="20">
        <v>-49.34</v>
      </c>
    </row>
    <row r="1260">
      <c r="A1260" s="20"/>
      <c r="B1260" s="20"/>
      <c r="C1260" s="20"/>
      <c r="D1260" s="20"/>
      <c r="E1260" s="20"/>
      <c r="F1260" s="20"/>
      <c r="G1260" s="20"/>
      <c r="H1260" s="20"/>
      <c r="I1260" s="20"/>
      <c r="J1260" s="20"/>
      <c r="K1260" s="20">
        <v>629.0</v>
      </c>
      <c r="L1260" s="20" t="s">
        <v>17</v>
      </c>
      <c r="M1260" s="20">
        <v>-37.88</v>
      </c>
      <c r="N1260" s="20">
        <v>-28.94</v>
      </c>
      <c r="P1260" s="20">
        <v>-34.55</v>
      </c>
      <c r="Q1260" s="20">
        <v>4.23</v>
      </c>
      <c r="AM1260" s="20">
        <v>640.0</v>
      </c>
      <c r="AN1260" s="20" t="s">
        <v>17</v>
      </c>
      <c r="AO1260" s="20">
        <v>-13.16</v>
      </c>
      <c r="AP1260" s="20">
        <v>-16.6</v>
      </c>
      <c r="AS1260" s="20">
        <v>633.0</v>
      </c>
      <c r="AT1260" s="20" t="s">
        <v>17</v>
      </c>
      <c r="AU1260" s="20">
        <v>-23.46</v>
      </c>
      <c r="AV1260" s="20">
        <v>-41.18</v>
      </c>
      <c r="BM1260" s="20">
        <v>10.17</v>
      </c>
      <c r="BN1260" s="20">
        <v>219.08</v>
      </c>
      <c r="BZ1260" s="20">
        <v>-59.18</v>
      </c>
      <c r="CA1260" s="20">
        <v>-4.34</v>
      </c>
      <c r="CO1260" s="20">
        <v>6.28</v>
      </c>
      <c r="CP1260" s="20">
        <v>-57.93</v>
      </c>
    </row>
    <row r="1261">
      <c r="A1261" s="20"/>
      <c r="B1261" s="20"/>
      <c r="C1261" s="20"/>
      <c r="D1261" s="20"/>
      <c r="E1261" s="20"/>
      <c r="F1261" s="20"/>
      <c r="G1261" s="20"/>
      <c r="H1261" s="20"/>
      <c r="I1261" s="20"/>
      <c r="J1261" s="20"/>
      <c r="K1261" s="20">
        <v>630.0</v>
      </c>
      <c r="L1261" s="20" t="s">
        <v>14</v>
      </c>
      <c r="M1261" s="20">
        <v>2.73</v>
      </c>
      <c r="N1261" s="20">
        <v>-8.93</v>
      </c>
      <c r="P1261" s="20">
        <v>4.57</v>
      </c>
      <c r="Q1261" s="20">
        <v>2.47</v>
      </c>
      <c r="AM1261" s="20">
        <v>641.0</v>
      </c>
      <c r="AN1261" s="20" t="s">
        <v>14</v>
      </c>
      <c r="AO1261" s="20">
        <v>-9.25</v>
      </c>
      <c r="AP1261" s="20">
        <v>-14.85</v>
      </c>
      <c r="AS1261" s="20">
        <v>634.0</v>
      </c>
      <c r="AT1261" s="20" t="s">
        <v>14</v>
      </c>
      <c r="AU1261" s="20">
        <v>14.52</v>
      </c>
      <c r="AV1261" s="20">
        <v>-31.43</v>
      </c>
      <c r="BM1261" s="20">
        <v>85.02</v>
      </c>
      <c r="BN1261" s="20">
        <v>69.03</v>
      </c>
      <c r="BZ1261" s="20">
        <v>-29.94</v>
      </c>
      <c r="CA1261" s="20">
        <v>58.47</v>
      </c>
      <c r="CO1261" s="20">
        <v>-31.35</v>
      </c>
      <c r="CP1261" s="20">
        <v>-61.22</v>
      </c>
    </row>
    <row r="1262">
      <c r="A1262" s="20"/>
      <c r="B1262" s="20"/>
      <c r="C1262" s="20"/>
      <c r="D1262" s="20"/>
      <c r="E1262" s="20"/>
      <c r="F1262" s="20"/>
      <c r="G1262" s="20"/>
      <c r="H1262" s="20"/>
      <c r="I1262" s="20"/>
      <c r="J1262" s="20"/>
      <c r="K1262" s="20">
        <v>630.0</v>
      </c>
      <c r="L1262" s="20" t="s">
        <v>17</v>
      </c>
      <c r="M1262" s="20">
        <v>7.74</v>
      </c>
      <c r="N1262" s="20">
        <v>-9.97</v>
      </c>
      <c r="P1262" s="20">
        <v>-6.62</v>
      </c>
      <c r="Q1262" s="20">
        <v>-0.57</v>
      </c>
      <c r="AM1262" s="20">
        <v>641.0</v>
      </c>
      <c r="AN1262" s="20" t="s">
        <v>17</v>
      </c>
      <c r="AO1262" s="20">
        <v>-27.72</v>
      </c>
      <c r="AP1262" s="20">
        <v>-19.49</v>
      </c>
      <c r="AS1262" s="20">
        <v>634.0</v>
      </c>
      <c r="AT1262" s="20" t="s">
        <v>17</v>
      </c>
      <c r="AU1262" s="20">
        <v>5.7</v>
      </c>
      <c r="AV1262" s="20">
        <v>-34.81</v>
      </c>
      <c r="BM1262" s="20">
        <v>52.84</v>
      </c>
      <c r="BN1262" s="20">
        <v>81.23</v>
      </c>
      <c r="BZ1262" s="20">
        <v>-36.65</v>
      </c>
      <c r="CA1262" s="20">
        <v>75.97</v>
      </c>
      <c r="CO1262" s="20">
        <v>1.34</v>
      </c>
      <c r="CP1262" s="20">
        <v>-42.76</v>
      </c>
    </row>
    <row r="1263">
      <c r="A1263" s="20"/>
      <c r="B1263" s="20"/>
      <c r="C1263" s="20"/>
      <c r="D1263" s="20"/>
      <c r="E1263" s="20"/>
      <c r="F1263" s="20"/>
      <c r="G1263" s="20"/>
      <c r="H1263" s="20"/>
      <c r="I1263" s="20"/>
      <c r="J1263" s="20"/>
      <c r="K1263" s="20">
        <v>631.0</v>
      </c>
      <c r="L1263" s="20" t="s">
        <v>14</v>
      </c>
      <c r="M1263" s="20">
        <v>30.3</v>
      </c>
      <c r="N1263" s="20">
        <v>49.64</v>
      </c>
      <c r="P1263" s="20">
        <v>-41.47</v>
      </c>
      <c r="Q1263" s="20">
        <v>2.49</v>
      </c>
      <c r="AM1263" s="20">
        <v>642.0</v>
      </c>
      <c r="AN1263" s="20" t="s">
        <v>14</v>
      </c>
      <c r="AO1263" s="20">
        <v>-10.7</v>
      </c>
      <c r="AP1263" s="20">
        <v>-30.62</v>
      </c>
      <c r="AS1263" s="20">
        <v>635.0</v>
      </c>
      <c r="AT1263" s="20" t="s">
        <v>14</v>
      </c>
      <c r="AU1263" s="20">
        <v>-6.92</v>
      </c>
      <c r="AV1263" s="20">
        <v>-10.39</v>
      </c>
      <c r="BM1263" s="20">
        <v>78.53</v>
      </c>
      <c r="BN1263" s="20">
        <v>69.36</v>
      </c>
      <c r="BZ1263" s="20">
        <v>-18.81</v>
      </c>
      <c r="CA1263" s="20">
        <v>59.79</v>
      </c>
      <c r="CO1263" s="20">
        <v>1.53</v>
      </c>
      <c r="CP1263" s="20">
        <v>-61.95</v>
      </c>
    </row>
    <row r="1264">
      <c r="A1264" s="20"/>
      <c r="B1264" s="20"/>
      <c r="C1264" s="20"/>
      <c r="D1264" s="20"/>
      <c r="E1264" s="20"/>
      <c r="F1264" s="20"/>
      <c r="G1264" s="20"/>
      <c r="H1264" s="20"/>
      <c r="I1264" s="20"/>
      <c r="J1264" s="20"/>
      <c r="K1264" s="20">
        <v>631.0</v>
      </c>
      <c r="L1264" s="20" t="s">
        <v>17</v>
      </c>
      <c r="M1264" s="20">
        <v>2.07</v>
      </c>
      <c r="N1264" s="20">
        <v>38.46</v>
      </c>
      <c r="P1264" s="20">
        <v>-22.28</v>
      </c>
      <c r="Q1264" s="20">
        <v>7.95</v>
      </c>
      <c r="AM1264" s="20">
        <v>642.0</v>
      </c>
      <c r="AN1264" s="20" t="s">
        <v>17</v>
      </c>
      <c r="AO1264" s="20">
        <v>0.6</v>
      </c>
      <c r="AP1264" s="20">
        <v>-24.5</v>
      </c>
      <c r="AS1264" s="20">
        <v>635.0</v>
      </c>
      <c r="AT1264" s="20" t="s">
        <v>17</v>
      </c>
      <c r="AU1264" s="20">
        <v>-18.47</v>
      </c>
      <c r="AV1264" s="20">
        <v>-18.5</v>
      </c>
      <c r="BM1264" s="20">
        <v>108.6</v>
      </c>
      <c r="BN1264" s="20">
        <v>108.09</v>
      </c>
      <c r="BZ1264" s="20">
        <v>-45.69</v>
      </c>
      <c r="CA1264" s="20">
        <v>100.88</v>
      </c>
      <c r="CO1264" s="20">
        <v>-15.8</v>
      </c>
      <c r="CP1264" s="20">
        <v>-56.71</v>
      </c>
    </row>
    <row r="1265">
      <c r="A1265" s="20"/>
      <c r="B1265" s="20"/>
      <c r="C1265" s="20"/>
      <c r="D1265" s="20"/>
      <c r="E1265" s="20"/>
      <c r="F1265" s="20"/>
      <c r="G1265" s="20"/>
      <c r="H1265" s="20"/>
      <c r="I1265" s="20"/>
      <c r="J1265" s="20"/>
      <c r="K1265" s="20">
        <v>632.0</v>
      </c>
      <c r="L1265" s="20" t="s">
        <v>14</v>
      </c>
      <c r="M1265" s="20">
        <v>-26.91</v>
      </c>
      <c r="N1265" s="20">
        <v>20.79</v>
      </c>
      <c r="P1265" s="20">
        <v>-7.35</v>
      </c>
      <c r="Q1265" s="20">
        <v>13.81</v>
      </c>
      <c r="AM1265" s="20">
        <v>643.0</v>
      </c>
      <c r="AN1265" s="20" t="s">
        <v>14</v>
      </c>
      <c r="AO1265" s="20">
        <v>30.38</v>
      </c>
      <c r="AP1265" s="20">
        <v>-18.51</v>
      </c>
      <c r="AS1265" s="20">
        <v>636.0</v>
      </c>
      <c r="AT1265" s="20" t="s">
        <v>14</v>
      </c>
      <c r="AU1265" s="20">
        <v>-27.79</v>
      </c>
      <c r="AV1265" s="20">
        <v>-38.12</v>
      </c>
      <c r="BM1265" s="20">
        <v>14.56</v>
      </c>
      <c r="BN1265" s="20">
        <v>20.63</v>
      </c>
      <c r="BZ1265" s="20">
        <v>7.64</v>
      </c>
      <c r="CA1265" s="20">
        <v>66.94</v>
      </c>
      <c r="CO1265" s="20">
        <v>2.98</v>
      </c>
      <c r="CP1265" s="20">
        <v>-61.0</v>
      </c>
    </row>
    <row r="1266">
      <c r="A1266" s="20"/>
      <c r="B1266" s="20"/>
      <c r="C1266" s="20"/>
      <c r="D1266" s="20"/>
      <c r="E1266" s="20"/>
      <c r="F1266" s="20"/>
      <c r="G1266" s="20"/>
      <c r="H1266" s="20"/>
      <c r="I1266" s="20"/>
      <c r="J1266" s="20"/>
      <c r="K1266" s="20">
        <v>632.0</v>
      </c>
      <c r="L1266" s="20" t="s">
        <v>17</v>
      </c>
      <c r="M1266" s="20">
        <v>-11.61</v>
      </c>
      <c r="N1266" s="20">
        <v>22.96</v>
      </c>
      <c r="P1266" s="20">
        <v>-23.77</v>
      </c>
      <c r="Q1266" s="20">
        <v>-4.15</v>
      </c>
      <c r="AM1266" s="20">
        <v>643.0</v>
      </c>
      <c r="AN1266" s="20" t="s">
        <v>17</v>
      </c>
      <c r="AO1266" s="20">
        <v>-20.92</v>
      </c>
      <c r="AP1266" s="20">
        <v>-26.62</v>
      </c>
      <c r="AS1266" s="20">
        <v>636.0</v>
      </c>
      <c r="AT1266" s="20" t="s">
        <v>17</v>
      </c>
      <c r="AU1266" s="20">
        <v>-2.14</v>
      </c>
      <c r="AV1266" s="20">
        <v>-42.38</v>
      </c>
      <c r="BM1266" s="20">
        <v>35.13</v>
      </c>
      <c r="BN1266" s="20">
        <v>91.12</v>
      </c>
      <c r="BZ1266" s="20">
        <v>-50.38</v>
      </c>
      <c r="CA1266" s="20">
        <v>79.67</v>
      </c>
      <c r="CO1266" s="20">
        <v>-24.9</v>
      </c>
      <c r="CP1266" s="20">
        <v>-56.89</v>
      </c>
    </row>
    <row r="1267">
      <c r="A1267" s="20"/>
      <c r="B1267" s="20"/>
      <c r="C1267" s="20"/>
      <c r="D1267" s="20"/>
      <c r="E1267" s="20"/>
      <c r="F1267" s="20"/>
      <c r="G1267" s="20"/>
      <c r="H1267" s="20"/>
      <c r="I1267" s="20"/>
      <c r="J1267" s="20"/>
      <c r="K1267" s="20">
        <v>633.0</v>
      </c>
      <c r="L1267" s="20" t="s">
        <v>14</v>
      </c>
      <c r="M1267" s="20">
        <v>3.89</v>
      </c>
      <c r="N1267" s="20">
        <v>-6.11</v>
      </c>
      <c r="P1267" s="20">
        <v>-28.8</v>
      </c>
      <c r="Q1267" s="20">
        <v>5.15</v>
      </c>
      <c r="AM1267" s="20">
        <v>644.0</v>
      </c>
      <c r="AN1267" s="20" t="s">
        <v>14</v>
      </c>
      <c r="AO1267" s="20">
        <v>-5.76</v>
      </c>
      <c r="AP1267" s="20">
        <v>21.98</v>
      </c>
      <c r="AS1267" s="20">
        <v>637.0</v>
      </c>
      <c r="AT1267" s="20" t="s">
        <v>14</v>
      </c>
      <c r="AU1267" s="20">
        <v>9.38</v>
      </c>
      <c r="AV1267" s="20">
        <v>-26.66</v>
      </c>
      <c r="BM1267" s="20">
        <v>62.88</v>
      </c>
      <c r="BN1267" s="20">
        <v>68.79</v>
      </c>
      <c r="BZ1267" s="20">
        <v>-7.67</v>
      </c>
      <c r="CA1267" s="20">
        <v>-25.64</v>
      </c>
      <c r="CO1267" s="20">
        <v>-42.48</v>
      </c>
      <c r="CP1267" s="20">
        <v>-54.5</v>
      </c>
    </row>
    <row r="1268">
      <c r="A1268" s="20"/>
      <c r="B1268" s="20"/>
      <c r="C1268" s="20"/>
      <c r="D1268" s="20"/>
      <c r="E1268" s="20"/>
      <c r="F1268" s="20"/>
      <c r="G1268" s="20"/>
      <c r="H1268" s="20"/>
      <c r="I1268" s="20"/>
      <c r="J1268" s="20"/>
      <c r="K1268" s="20">
        <v>633.0</v>
      </c>
      <c r="L1268" s="20" t="s">
        <v>17</v>
      </c>
      <c r="M1268" s="20">
        <v>-20.27</v>
      </c>
      <c r="N1268" s="20">
        <v>43.25</v>
      </c>
      <c r="P1268" s="20">
        <v>-33.26</v>
      </c>
      <c r="Q1268" s="20">
        <v>2.04</v>
      </c>
      <c r="AM1268" s="20">
        <v>644.0</v>
      </c>
      <c r="AN1268" s="20" t="s">
        <v>17</v>
      </c>
      <c r="AO1268" s="20">
        <v>-12.1</v>
      </c>
      <c r="AP1268" s="20">
        <v>-3.87</v>
      </c>
      <c r="AS1268" s="20">
        <v>637.0</v>
      </c>
      <c r="AT1268" s="20" t="s">
        <v>17</v>
      </c>
      <c r="AU1268" s="20">
        <v>-5.02</v>
      </c>
      <c r="AV1268" s="20">
        <v>-32.53</v>
      </c>
      <c r="BM1268" s="20">
        <v>9.56</v>
      </c>
      <c r="BN1268" s="20">
        <v>127.01</v>
      </c>
      <c r="BZ1268" s="20">
        <v>9.48</v>
      </c>
      <c r="CA1268" s="20">
        <v>50.36</v>
      </c>
      <c r="CO1268" s="20">
        <v>-0.75</v>
      </c>
      <c r="CP1268" s="20">
        <v>-58.31</v>
      </c>
    </row>
    <row r="1269">
      <c r="A1269" s="20"/>
      <c r="B1269" s="20"/>
      <c r="C1269" s="20"/>
      <c r="D1269" s="20"/>
      <c r="E1269" s="20"/>
      <c r="F1269" s="20"/>
      <c r="G1269" s="20"/>
      <c r="H1269" s="20"/>
      <c r="I1269" s="20"/>
      <c r="J1269" s="20"/>
      <c r="K1269" s="20">
        <v>634.0</v>
      </c>
      <c r="L1269" s="20" t="s">
        <v>14</v>
      </c>
      <c r="M1269" s="20">
        <v>6.59</v>
      </c>
      <c r="N1269" s="20">
        <v>59.72</v>
      </c>
      <c r="P1269" s="20">
        <v>-13.01</v>
      </c>
      <c r="Q1269" s="20">
        <v>-0.33</v>
      </c>
      <c r="AM1269" s="20">
        <v>645.0</v>
      </c>
      <c r="AN1269" s="20" t="s">
        <v>14</v>
      </c>
      <c r="AO1269" s="20">
        <v>-22.92</v>
      </c>
      <c r="AP1269" s="20">
        <v>2.24</v>
      </c>
      <c r="AS1269" s="20">
        <v>638.0</v>
      </c>
      <c r="AT1269" s="20" t="s">
        <v>14</v>
      </c>
      <c r="AU1269" s="20">
        <v>-18.85</v>
      </c>
      <c r="AV1269" s="20">
        <v>-21.08</v>
      </c>
      <c r="BM1269" s="20">
        <v>57.33</v>
      </c>
      <c r="BN1269" s="20">
        <v>50.16</v>
      </c>
      <c r="BZ1269" s="20">
        <v>-37.91</v>
      </c>
      <c r="CA1269" s="20">
        <v>19.65</v>
      </c>
      <c r="CO1269" s="20">
        <v>-15.22</v>
      </c>
      <c r="CP1269" s="20">
        <v>-56.65</v>
      </c>
    </row>
    <row r="1270">
      <c r="A1270" s="20"/>
      <c r="B1270" s="20"/>
      <c r="C1270" s="20"/>
      <c r="D1270" s="20"/>
      <c r="E1270" s="20"/>
      <c r="F1270" s="20"/>
      <c r="G1270" s="20"/>
      <c r="H1270" s="20"/>
      <c r="I1270" s="20"/>
      <c r="J1270" s="20"/>
      <c r="K1270" s="20">
        <v>634.0</v>
      </c>
      <c r="L1270" s="20" t="s">
        <v>17</v>
      </c>
      <c r="M1270" s="20">
        <v>-12.97</v>
      </c>
      <c r="N1270" s="20">
        <v>2.24</v>
      </c>
      <c r="P1270" s="20">
        <v>-16.06</v>
      </c>
      <c r="Q1270" s="20">
        <v>25.4</v>
      </c>
      <c r="AM1270" s="20">
        <v>645.0</v>
      </c>
      <c r="AN1270" s="20" t="s">
        <v>17</v>
      </c>
      <c r="AO1270" s="20">
        <v>-14.34</v>
      </c>
      <c r="AP1270" s="20">
        <v>-20.18</v>
      </c>
      <c r="AS1270" s="20">
        <v>638.0</v>
      </c>
      <c r="AT1270" s="20" t="s">
        <v>17</v>
      </c>
      <c r="AU1270" s="20">
        <v>4.52</v>
      </c>
      <c r="AV1270" s="20">
        <v>-39.82</v>
      </c>
      <c r="BM1270" s="20">
        <v>63.64</v>
      </c>
      <c r="BN1270" s="20">
        <v>89.84</v>
      </c>
      <c r="BZ1270" s="20">
        <v>-57.88</v>
      </c>
      <c r="CA1270" s="20">
        <v>42.15</v>
      </c>
      <c r="CO1270" s="20">
        <v>-11.42</v>
      </c>
      <c r="CP1270" s="20">
        <v>-69.63</v>
      </c>
    </row>
    <row r="1271">
      <c r="A1271" s="20"/>
      <c r="B1271" s="20"/>
      <c r="C1271" s="20"/>
      <c r="D1271" s="20"/>
      <c r="E1271" s="20"/>
      <c r="F1271" s="20"/>
      <c r="G1271" s="20"/>
      <c r="H1271" s="20"/>
      <c r="I1271" s="20"/>
      <c r="J1271" s="20"/>
      <c r="K1271" s="20">
        <v>635.0</v>
      </c>
      <c r="L1271" s="20" t="s">
        <v>14</v>
      </c>
      <c r="M1271" s="20">
        <v>-4.16</v>
      </c>
      <c r="N1271" s="20">
        <v>16.22</v>
      </c>
      <c r="P1271" s="20">
        <v>18.47</v>
      </c>
      <c r="Q1271" s="20">
        <v>28.89</v>
      </c>
      <c r="AM1271" s="20">
        <v>646.0</v>
      </c>
      <c r="AN1271" s="20" t="s">
        <v>14</v>
      </c>
      <c r="AO1271" s="20">
        <v>-9.71</v>
      </c>
      <c r="AP1271" s="20">
        <v>2.64</v>
      </c>
      <c r="AS1271" s="20">
        <v>639.0</v>
      </c>
      <c r="AT1271" s="20" t="s">
        <v>14</v>
      </c>
      <c r="AU1271" s="20">
        <v>-13.08</v>
      </c>
      <c r="AV1271" s="20">
        <v>-37.46</v>
      </c>
      <c r="BM1271" s="20">
        <v>38.34</v>
      </c>
      <c r="BN1271" s="20">
        <v>83.1</v>
      </c>
      <c r="BZ1271" s="20">
        <v>-46.3</v>
      </c>
      <c r="CA1271" s="20">
        <v>6.49</v>
      </c>
      <c r="CO1271" s="20">
        <v>-42.63</v>
      </c>
      <c r="CP1271" s="20">
        <v>-61.71</v>
      </c>
    </row>
    <row r="1272">
      <c r="A1272" s="20"/>
      <c r="B1272" s="20"/>
      <c r="C1272" s="20"/>
      <c r="D1272" s="20"/>
      <c r="E1272" s="20"/>
      <c r="F1272" s="20"/>
      <c r="G1272" s="20"/>
      <c r="H1272" s="20"/>
      <c r="I1272" s="20"/>
      <c r="J1272" s="20"/>
      <c r="K1272" s="20">
        <v>635.0</v>
      </c>
      <c r="L1272" s="20" t="s">
        <v>17</v>
      </c>
      <c r="M1272" s="20">
        <v>-42.87</v>
      </c>
      <c r="N1272" s="20">
        <v>1.26</v>
      </c>
      <c r="P1272" s="20">
        <v>10.03</v>
      </c>
      <c r="Q1272" s="20">
        <v>18.37</v>
      </c>
      <c r="AM1272" s="20">
        <v>646.0</v>
      </c>
      <c r="AN1272" s="20" t="s">
        <v>17</v>
      </c>
      <c r="AO1272" s="20">
        <v>-22.67</v>
      </c>
      <c r="AP1272" s="20">
        <v>-29.44</v>
      </c>
      <c r="AS1272" s="20">
        <v>639.0</v>
      </c>
      <c r="AT1272" s="20" t="s">
        <v>17</v>
      </c>
      <c r="AU1272" s="20">
        <v>-43.81</v>
      </c>
      <c r="AV1272" s="20">
        <v>-52.02</v>
      </c>
      <c r="BM1272" s="20">
        <v>41.38</v>
      </c>
      <c r="BN1272" s="20">
        <v>138.58</v>
      </c>
      <c r="BZ1272" s="20">
        <v>-46.45</v>
      </c>
      <c r="CA1272" s="20">
        <v>29.43</v>
      </c>
      <c r="CO1272" s="20">
        <v>1.84</v>
      </c>
      <c r="CP1272" s="20">
        <v>-56.26</v>
      </c>
    </row>
    <row r="1273">
      <c r="A1273" s="20"/>
      <c r="B1273" s="20"/>
      <c r="C1273" s="20"/>
      <c r="D1273" s="20"/>
      <c r="E1273" s="20"/>
      <c r="F1273" s="20"/>
      <c r="G1273" s="20"/>
      <c r="H1273" s="20"/>
      <c r="I1273" s="20"/>
      <c r="J1273" s="20"/>
      <c r="K1273" s="20">
        <v>636.0</v>
      </c>
      <c r="L1273" s="20" t="s">
        <v>14</v>
      </c>
      <c r="M1273" s="20">
        <v>-26.03</v>
      </c>
      <c r="N1273" s="20">
        <v>4.93</v>
      </c>
      <c r="P1273" s="20">
        <v>6.57</v>
      </c>
      <c r="Q1273" s="20">
        <v>16.48</v>
      </c>
      <c r="AM1273" s="20">
        <v>647.0</v>
      </c>
      <c r="AN1273" s="20" t="s">
        <v>14</v>
      </c>
      <c r="AO1273" s="20">
        <v>-8.13</v>
      </c>
      <c r="AP1273" s="20">
        <v>-16.14</v>
      </c>
      <c r="AS1273" s="20">
        <v>640.0</v>
      </c>
      <c r="AT1273" s="20" t="s">
        <v>14</v>
      </c>
      <c r="AU1273" s="20">
        <v>4.65</v>
      </c>
      <c r="AV1273" s="20">
        <v>-32.62</v>
      </c>
      <c r="BM1273" s="20">
        <v>50.05</v>
      </c>
      <c r="BN1273" s="20">
        <v>41.71</v>
      </c>
      <c r="BZ1273" s="20">
        <v>-52.02</v>
      </c>
      <c r="CA1273" s="20">
        <v>14.65</v>
      </c>
      <c r="CO1273" s="20">
        <v>18.36</v>
      </c>
      <c r="CP1273" s="20">
        <v>-55.75</v>
      </c>
    </row>
    <row r="1274">
      <c r="A1274" s="20"/>
      <c r="B1274" s="20"/>
      <c r="C1274" s="20"/>
      <c r="D1274" s="20"/>
      <c r="E1274" s="20"/>
      <c r="F1274" s="20"/>
      <c r="G1274" s="20"/>
      <c r="H1274" s="20"/>
      <c r="I1274" s="20"/>
      <c r="J1274" s="20"/>
      <c r="K1274" s="20">
        <v>636.0</v>
      </c>
      <c r="L1274" s="20" t="s">
        <v>17</v>
      </c>
      <c r="M1274" s="20">
        <v>-26.28</v>
      </c>
      <c r="N1274" s="20">
        <v>3.52</v>
      </c>
      <c r="P1274" s="20">
        <v>20.02</v>
      </c>
      <c r="Q1274" s="20">
        <v>28.87</v>
      </c>
      <c r="AM1274" s="20">
        <v>647.0</v>
      </c>
      <c r="AN1274" s="20" t="s">
        <v>17</v>
      </c>
      <c r="AO1274" s="20">
        <v>-28.6</v>
      </c>
      <c r="AP1274" s="20">
        <v>-20.67</v>
      </c>
      <c r="AS1274" s="20">
        <v>640.0</v>
      </c>
      <c r="AT1274" s="20" t="s">
        <v>17</v>
      </c>
      <c r="AU1274" s="20">
        <v>-46.21</v>
      </c>
      <c r="AV1274" s="20">
        <v>-52.14</v>
      </c>
      <c r="BM1274" s="20">
        <v>24.69</v>
      </c>
      <c r="BN1274" s="20">
        <v>85.56</v>
      </c>
      <c r="BZ1274" s="20">
        <v>-58.07</v>
      </c>
      <c r="CA1274" s="20">
        <v>52.76</v>
      </c>
      <c r="CO1274" s="20">
        <v>-18.77</v>
      </c>
      <c r="CP1274" s="20">
        <v>-62.1</v>
      </c>
    </row>
    <row r="1275">
      <c r="A1275" s="20"/>
      <c r="B1275" s="20"/>
      <c r="C1275" s="20"/>
      <c r="D1275" s="20"/>
      <c r="E1275" s="20"/>
      <c r="F1275" s="20"/>
      <c r="G1275" s="20"/>
      <c r="H1275" s="20"/>
      <c r="I1275" s="20"/>
      <c r="J1275" s="20"/>
      <c r="K1275" s="20">
        <v>637.0</v>
      </c>
      <c r="L1275" s="20" t="s">
        <v>14</v>
      </c>
      <c r="M1275" s="20">
        <v>23.1</v>
      </c>
      <c r="N1275" s="20">
        <v>21.02</v>
      </c>
      <c r="P1275" s="20">
        <v>34.06</v>
      </c>
      <c r="Q1275" s="20">
        <v>13.9</v>
      </c>
      <c r="AM1275" s="20">
        <v>648.0</v>
      </c>
      <c r="AN1275" s="20" t="s">
        <v>14</v>
      </c>
      <c r="AO1275" s="20">
        <v>-27.51</v>
      </c>
      <c r="AP1275" s="20">
        <v>-27.74</v>
      </c>
      <c r="AS1275" s="20">
        <v>641.0</v>
      </c>
      <c r="AT1275" s="20" t="s">
        <v>14</v>
      </c>
      <c r="AU1275" s="20">
        <v>-49.39</v>
      </c>
      <c r="AV1275" s="20">
        <v>-55.5</v>
      </c>
      <c r="BM1275" s="20">
        <v>-35.49</v>
      </c>
      <c r="BN1275" s="20">
        <v>-4.16</v>
      </c>
      <c r="BZ1275" s="20">
        <v>-25.67</v>
      </c>
      <c r="CA1275" s="20">
        <v>58.56</v>
      </c>
      <c r="CO1275" s="20">
        <v>-5.19</v>
      </c>
      <c r="CP1275" s="20">
        <v>-50.23</v>
      </c>
    </row>
    <row r="1276">
      <c r="A1276" s="20"/>
      <c r="B1276" s="20"/>
      <c r="C1276" s="20"/>
      <c r="D1276" s="20"/>
      <c r="E1276" s="20"/>
      <c r="F1276" s="20"/>
      <c r="G1276" s="20"/>
      <c r="H1276" s="20"/>
      <c r="I1276" s="20"/>
      <c r="J1276" s="20"/>
      <c r="K1276" s="20">
        <v>637.0</v>
      </c>
      <c r="L1276" s="20" t="s">
        <v>17</v>
      </c>
      <c r="M1276" s="20">
        <v>14.64</v>
      </c>
      <c r="N1276" s="20">
        <v>-33.54</v>
      </c>
      <c r="P1276" s="20">
        <v>12.16</v>
      </c>
      <c r="Q1276" s="20">
        <v>37.4</v>
      </c>
      <c r="AM1276" s="20">
        <v>648.0</v>
      </c>
      <c r="AN1276" s="20" t="s">
        <v>17</v>
      </c>
      <c r="AO1276" s="20">
        <v>14.21</v>
      </c>
      <c r="AP1276" s="20">
        <v>-38.02</v>
      </c>
      <c r="AS1276" s="20">
        <v>641.0</v>
      </c>
      <c r="AT1276" s="20" t="s">
        <v>17</v>
      </c>
      <c r="AU1276" s="20">
        <v>-31.5</v>
      </c>
      <c r="AV1276" s="20">
        <v>-45.91</v>
      </c>
      <c r="BM1276" s="20">
        <v>-2.87</v>
      </c>
      <c r="BN1276" s="20">
        <v>151.82</v>
      </c>
      <c r="BZ1276" s="20">
        <v>-32.66</v>
      </c>
      <c r="CA1276" s="20">
        <v>46.42</v>
      </c>
      <c r="CO1276" s="20">
        <v>-14.94</v>
      </c>
      <c r="CP1276" s="20">
        <v>-60.47</v>
      </c>
    </row>
    <row r="1277">
      <c r="A1277" s="20"/>
      <c r="B1277" s="20"/>
      <c r="C1277" s="20"/>
      <c r="D1277" s="20"/>
      <c r="E1277" s="20"/>
      <c r="F1277" s="20"/>
      <c r="G1277" s="20"/>
      <c r="H1277" s="20"/>
      <c r="I1277" s="20"/>
      <c r="J1277" s="20"/>
      <c r="K1277" s="20">
        <v>638.0</v>
      </c>
      <c r="L1277" s="20" t="s">
        <v>14</v>
      </c>
      <c r="M1277" s="20">
        <v>41.91</v>
      </c>
      <c r="N1277" s="20">
        <v>41.89</v>
      </c>
      <c r="P1277" s="20">
        <v>8.86</v>
      </c>
      <c r="Q1277" s="20">
        <v>13.25</v>
      </c>
      <c r="AM1277" s="20">
        <v>649.0</v>
      </c>
      <c r="AN1277" s="20" t="s">
        <v>14</v>
      </c>
      <c r="AO1277" s="20">
        <v>-60.31</v>
      </c>
      <c r="AP1277" s="20">
        <v>-10.06</v>
      </c>
      <c r="AS1277" s="20">
        <v>642.0</v>
      </c>
      <c r="AT1277" s="20" t="s">
        <v>14</v>
      </c>
      <c r="AU1277" s="20">
        <v>-19.53</v>
      </c>
      <c r="AV1277" s="20">
        <v>-37.07</v>
      </c>
      <c r="BM1277" s="20">
        <v>91.61</v>
      </c>
      <c r="BN1277" s="20">
        <v>94.88</v>
      </c>
      <c r="BZ1277" s="20">
        <v>-48.99</v>
      </c>
      <c r="CA1277" s="20">
        <v>53.13</v>
      </c>
      <c r="CO1277" s="20">
        <v>8.06</v>
      </c>
      <c r="CP1277" s="20">
        <v>-49.01</v>
      </c>
    </row>
    <row r="1278">
      <c r="A1278" s="20"/>
      <c r="B1278" s="20"/>
      <c r="C1278" s="20"/>
      <c r="D1278" s="20"/>
      <c r="E1278" s="20"/>
      <c r="F1278" s="20"/>
      <c r="G1278" s="20"/>
      <c r="H1278" s="20"/>
      <c r="I1278" s="20"/>
      <c r="J1278" s="20"/>
      <c r="K1278" s="20">
        <v>638.0</v>
      </c>
      <c r="L1278" s="20" t="s">
        <v>17</v>
      </c>
      <c r="M1278" s="20">
        <v>-18.77</v>
      </c>
      <c r="N1278" s="20">
        <v>0.52</v>
      </c>
      <c r="P1278" s="20">
        <v>-39.81</v>
      </c>
      <c r="Q1278" s="20">
        <v>-32.54</v>
      </c>
      <c r="AM1278" s="20">
        <v>649.0</v>
      </c>
      <c r="AN1278" s="20" t="s">
        <v>17</v>
      </c>
      <c r="AO1278" s="20">
        <v>-30.25</v>
      </c>
      <c r="AP1278" s="20">
        <v>18.2</v>
      </c>
      <c r="AS1278" s="20">
        <v>642.0</v>
      </c>
      <c r="AT1278" s="20" t="s">
        <v>17</v>
      </c>
      <c r="AU1278" s="20">
        <v>-20.49</v>
      </c>
      <c r="AV1278" s="20">
        <v>-25.02</v>
      </c>
      <c r="BM1278" s="20">
        <v>20.41</v>
      </c>
      <c r="BN1278" s="20">
        <v>104.14</v>
      </c>
      <c r="BZ1278" s="20">
        <v>-40.54</v>
      </c>
      <c r="CA1278" s="20">
        <v>25.8</v>
      </c>
      <c r="CO1278" s="20">
        <v>-1.08</v>
      </c>
      <c r="CP1278" s="20">
        <v>-52.22</v>
      </c>
    </row>
    <row r="1279">
      <c r="A1279" s="20"/>
      <c r="B1279" s="20"/>
      <c r="C1279" s="20"/>
      <c r="D1279" s="20"/>
      <c r="E1279" s="20"/>
      <c r="F1279" s="20"/>
      <c r="G1279" s="20"/>
      <c r="H1279" s="20"/>
      <c r="I1279" s="20"/>
      <c r="J1279" s="20"/>
      <c r="K1279" s="20">
        <v>639.0</v>
      </c>
      <c r="L1279" s="20" t="s">
        <v>14</v>
      </c>
      <c r="M1279" s="20">
        <v>-5.34</v>
      </c>
      <c r="N1279" s="20">
        <v>24.86</v>
      </c>
      <c r="P1279" s="20">
        <v>-6.35</v>
      </c>
      <c r="Q1279" s="20">
        <v>18.97</v>
      </c>
      <c r="AM1279" s="20">
        <v>650.0</v>
      </c>
      <c r="AN1279" s="20" t="s">
        <v>14</v>
      </c>
      <c r="AO1279" s="20">
        <v>-4.06</v>
      </c>
      <c r="AP1279" s="20">
        <v>-4.86</v>
      </c>
      <c r="AS1279" s="20">
        <v>643.0</v>
      </c>
      <c r="AT1279" s="20" t="s">
        <v>14</v>
      </c>
      <c r="AU1279" s="20">
        <v>-47.94</v>
      </c>
      <c r="AV1279" s="20">
        <v>-58.31</v>
      </c>
      <c r="BM1279" s="20">
        <v>54.63</v>
      </c>
      <c r="BN1279" s="20">
        <v>47.31</v>
      </c>
      <c r="BZ1279" s="20">
        <v>-11.5</v>
      </c>
      <c r="CA1279" s="20">
        <v>79.2</v>
      </c>
      <c r="CO1279" s="20">
        <v>-22.97</v>
      </c>
      <c r="CP1279" s="20">
        <v>-54.6</v>
      </c>
    </row>
    <row r="1280">
      <c r="A1280" s="20"/>
      <c r="B1280" s="20"/>
      <c r="C1280" s="20"/>
      <c r="D1280" s="20"/>
      <c r="E1280" s="20"/>
      <c r="F1280" s="20"/>
      <c r="G1280" s="20"/>
      <c r="H1280" s="20"/>
      <c r="I1280" s="20"/>
      <c r="J1280" s="20"/>
      <c r="K1280" s="20">
        <v>639.0</v>
      </c>
      <c r="L1280" s="20" t="s">
        <v>17</v>
      </c>
      <c r="M1280" s="20">
        <v>-14.87</v>
      </c>
      <c r="N1280" s="20">
        <v>2.68</v>
      </c>
      <c r="P1280" s="20">
        <v>-0.04</v>
      </c>
      <c r="Q1280" s="20">
        <v>23.61</v>
      </c>
      <c r="AM1280" s="20">
        <v>650.0</v>
      </c>
      <c r="AN1280" s="20" t="s">
        <v>17</v>
      </c>
      <c r="AO1280" s="20">
        <v>24.5</v>
      </c>
      <c r="AP1280" s="20">
        <v>67.61</v>
      </c>
      <c r="AS1280" s="20">
        <v>643.0</v>
      </c>
      <c r="AT1280" s="20" t="s">
        <v>17</v>
      </c>
      <c r="AU1280" s="20">
        <v>-44.72</v>
      </c>
      <c r="AV1280" s="20">
        <v>-42.28</v>
      </c>
      <c r="BM1280" s="20">
        <v>8.77</v>
      </c>
      <c r="BN1280" s="20">
        <v>212.09</v>
      </c>
      <c r="BZ1280" s="20">
        <v>-53.94</v>
      </c>
      <c r="CA1280" s="20">
        <v>99.71</v>
      </c>
      <c r="CO1280" s="20">
        <v>-11.27</v>
      </c>
      <c r="CP1280" s="20">
        <v>-70.9</v>
      </c>
    </row>
    <row r="1281">
      <c r="A1281" s="20"/>
      <c r="B1281" s="20"/>
      <c r="C1281" s="20"/>
      <c r="D1281" s="20"/>
      <c r="E1281" s="20"/>
      <c r="F1281" s="20"/>
      <c r="G1281" s="20"/>
      <c r="H1281" s="20"/>
      <c r="I1281" s="20"/>
      <c r="J1281" s="20"/>
      <c r="K1281" s="20">
        <v>640.0</v>
      </c>
      <c r="L1281" s="20" t="s">
        <v>14</v>
      </c>
      <c r="M1281" s="20">
        <v>-4.07</v>
      </c>
      <c r="N1281" s="20">
        <v>119.17</v>
      </c>
      <c r="P1281" s="20">
        <v>20.38</v>
      </c>
      <c r="Q1281" s="20">
        <v>56.09</v>
      </c>
      <c r="AM1281" s="20">
        <v>651.0</v>
      </c>
      <c r="AN1281" s="20" t="s">
        <v>14</v>
      </c>
      <c r="AO1281" s="20">
        <v>-23.65</v>
      </c>
      <c r="AP1281" s="20">
        <v>24.42</v>
      </c>
      <c r="AS1281" s="20">
        <v>644.0</v>
      </c>
      <c r="AT1281" s="20" t="s">
        <v>14</v>
      </c>
      <c r="AU1281" s="20">
        <v>-3.69</v>
      </c>
      <c r="AV1281" s="20">
        <v>-36.76</v>
      </c>
      <c r="BM1281" s="20">
        <v>65.72</v>
      </c>
      <c r="BN1281" s="20">
        <v>55.41</v>
      </c>
      <c r="BZ1281" s="20">
        <v>-36.44</v>
      </c>
      <c r="CA1281" s="20">
        <v>62.39</v>
      </c>
      <c r="CO1281" s="20">
        <v>1.23</v>
      </c>
      <c r="CP1281" s="20">
        <v>-58.29</v>
      </c>
    </row>
    <row r="1282">
      <c r="A1282" s="20"/>
      <c r="B1282" s="20"/>
      <c r="C1282" s="20"/>
      <c r="D1282" s="20"/>
      <c r="E1282" s="20"/>
      <c r="F1282" s="20"/>
      <c r="G1282" s="20"/>
      <c r="H1282" s="20"/>
      <c r="I1282" s="20"/>
      <c r="J1282" s="20"/>
      <c r="K1282" s="20">
        <v>640.0</v>
      </c>
      <c r="L1282" s="20" t="s">
        <v>17</v>
      </c>
      <c r="M1282" s="20">
        <v>33.01</v>
      </c>
      <c r="N1282" s="20">
        <v>101.6</v>
      </c>
      <c r="P1282" s="20">
        <v>12.9</v>
      </c>
      <c r="Q1282" s="20">
        <v>-9.24</v>
      </c>
      <c r="AM1282" s="20">
        <v>651.0</v>
      </c>
      <c r="AN1282" s="20" t="s">
        <v>17</v>
      </c>
      <c r="AO1282" s="20">
        <v>-11.0</v>
      </c>
      <c r="AP1282" s="20">
        <v>4.46</v>
      </c>
      <c r="AS1282" s="20">
        <v>644.0</v>
      </c>
      <c r="AT1282" s="20" t="s">
        <v>17</v>
      </c>
      <c r="AU1282" s="20">
        <v>31.56</v>
      </c>
      <c r="AV1282" s="20">
        <v>-2.99</v>
      </c>
      <c r="BM1282" s="20">
        <v>-22.73</v>
      </c>
      <c r="BN1282" s="20">
        <v>30.39</v>
      </c>
      <c r="BZ1282" s="20">
        <v>-62.45</v>
      </c>
      <c r="CA1282" s="20">
        <v>31.5</v>
      </c>
      <c r="CO1282" s="20">
        <v>15.07</v>
      </c>
      <c r="CP1282" s="20">
        <v>-51.67</v>
      </c>
    </row>
    <row r="1283">
      <c r="A1283" s="20"/>
      <c r="B1283" s="20"/>
      <c r="C1283" s="20"/>
      <c r="D1283" s="20"/>
      <c r="E1283" s="20"/>
      <c r="F1283" s="20"/>
      <c r="G1283" s="20"/>
      <c r="H1283" s="20"/>
      <c r="I1283" s="20"/>
      <c r="J1283" s="20"/>
      <c r="K1283" s="20">
        <v>641.0</v>
      </c>
      <c r="L1283" s="20" t="s">
        <v>14</v>
      </c>
      <c r="M1283" s="20">
        <v>-26.89</v>
      </c>
      <c r="N1283" s="20">
        <v>-36.93</v>
      </c>
      <c r="P1283" s="20">
        <v>11.07</v>
      </c>
      <c r="Q1283" s="20">
        <v>63.93</v>
      </c>
      <c r="AM1283" s="20">
        <v>652.0</v>
      </c>
      <c r="AN1283" s="20" t="s">
        <v>14</v>
      </c>
      <c r="AO1283" s="20">
        <v>19.97</v>
      </c>
      <c r="AP1283" s="20">
        <v>13.94</v>
      </c>
      <c r="AS1283" s="20">
        <v>645.0</v>
      </c>
      <c r="AT1283" s="20" t="s">
        <v>14</v>
      </c>
      <c r="AU1283" s="20">
        <v>-16.52</v>
      </c>
      <c r="AV1283" s="20">
        <v>-32.72</v>
      </c>
      <c r="BM1283" s="20">
        <v>6.32</v>
      </c>
      <c r="BN1283" s="20">
        <v>19.98</v>
      </c>
      <c r="BZ1283" s="20">
        <v>-79.73</v>
      </c>
      <c r="CA1283" s="20">
        <v>-34.37</v>
      </c>
      <c r="CO1283" s="20">
        <v>4.7</v>
      </c>
      <c r="CP1283" s="20">
        <v>-42.62</v>
      </c>
    </row>
    <row r="1284">
      <c r="A1284" s="20"/>
      <c r="B1284" s="20"/>
      <c r="C1284" s="20"/>
      <c r="D1284" s="20"/>
      <c r="E1284" s="20"/>
      <c r="F1284" s="20"/>
      <c r="G1284" s="20"/>
      <c r="H1284" s="20"/>
      <c r="I1284" s="20"/>
      <c r="J1284" s="20"/>
      <c r="K1284" s="20">
        <v>641.0</v>
      </c>
      <c r="L1284" s="20" t="s">
        <v>17</v>
      </c>
      <c r="M1284" s="20">
        <v>-25.62</v>
      </c>
      <c r="N1284" s="20">
        <v>-36.77</v>
      </c>
      <c r="P1284" s="20">
        <v>4.63</v>
      </c>
      <c r="Q1284" s="20">
        <v>37.6</v>
      </c>
      <c r="AM1284" s="20">
        <v>652.0</v>
      </c>
      <c r="AN1284" s="20" t="s">
        <v>17</v>
      </c>
      <c r="AO1284" s="20">
        <v>-43.1</v>
      </c>
      <c r="AP1284" s="20">
        <v>10.38</v>
      </c>
      <c r="AS1284" s="20">
        <v>645.0</v>
      </c>
      <c r="AT1284" s="20" t="s">
        <v>17</v>
      </c>
      <c r="AU1284" s="20">
        <v>-2.86</v>
      </c>
      <c r="AV1284" s="20">
        <v>-37.72</v>
      </c>
      <c r="BM1284" s="20">
        <v>69.66</v>
      </c>
      <c r="BN1284" s="20">
        <v>108.8</v>
      </c>
      <c r="BZ1284" s="20">
        <v>-30.24</v>
      </c>
      <c r="CA1284" s="20">
        <v>0.05</v>
      </c>
      <c r="CO1284" s="20">
        <v>-10.43</v>
      </c>
      <c r="CP1284" s="20">
        <v>-44.75</v>
      </c>
    </row>
    <row r="1285">
      <c r="A1285" s="20"/>
      <c r="B1285" s="20"/>
      <c r="C1285" s="20"/>
      <c r="D1285" s="20"/>
      <c r="E1285" s="20"/>
      <c r="F1285" s="20"/>
      <c r="G1285" s="20"/>
      <c r="H1285" s="20"/>
      <c r="I1285" s="20"/>
      <c r="J1285" s="20"/>
      <c r="K1285" s="20">
        <v>642.0</v>
      </c>
      <c r="L1285" s="20" t="s">
        <v>14</v>
      </c>
      <c r="M1285" s="20">
        <v>22.76</v>
      </c>
      <c r="N1285" s="20">
        <v>4.1</v>
      </c>
      <c r="P1285" s="20">
        <v>-11.76</v>
      </c>
      <c r="Q1285" s="20">
        <v>-8.82</v>
      </c>
      <c r="AM1285" s="20">
        <v>653.0</v>
      </c>
      <c r="AN1285" s="20" t="s">
        <v>14</v>
      </c>
      <c r="AO1285" s="20">
        <v>23.11</v>
      </c>
      <c r="AP1285" s="20">
        <v>-10.4</v>
      </c>
      <c r="AS1285" s="20">
        <v>646.0</v>
      </c>
      <c r="AT1285" s="20" t="s">
        <v>14</v>
      </c>
      <c r="AU1285" s="20">
        <v>-17.14</v>
      </c>
      <c r="AV1285" s="20">
        <v>-39.32</v>
      </c>
      <c r="BM1285" s="20">
        <v>-12.41</v>
      </c>
      <c r="BN1285" s="20">
        <v>19.13</v>
      </c>
      <c r="BZ1285" s="20">
        <v>75.26</v>
      </c>
      <c r="CA1285" s="20">
        <v>-46.84</v>
      </c>
      <c r="CO1285" s="20">
        <v>-9.93</v>
      </c>
      <c r="CP1285" s="20">
        <v>-61.53</v>
      </c>
    </row>
    <row r="1286">
      <c r="A1286" s="20"/>
      <c r="B1286" s="20"/>
      <c r="C1286" s="20"/>
      <c r="D1286" s="20"/>
      <c r="E1286" s="20"/>
      <c r="F1286" s="20"/>
      <c r="G1286" s="20"/>
      <c r="H1286" s="20"/>
      <c r="I1286" s="20"/>
      <c r="J1286" s="20"/>
      <c r="K1286" s="20">
        <v>642.0</v>
      </c>
      <c r="L1286" s="20" t="s">
        <v>17</v>
      </c>
      <c r="M1286" s="20">
        <v>-1.07</v>
      </c>
      <c r="N1286" s="20">
        <v>-15.79</v>
      </c>
      <c r="P1286" s="20">
        <v>-19.03</v>
      </c>
      <c r="Q1286" s="20">
        <v>-10.39</v>
      </c>
      <c r="AM1286" s="20">
        <v>653.0</v>
      </c>
      <c r="AN1286" s="20" t="s">
        <v>17</v>
      </c>
      <c r="AO1286" s="20">
        <v>8.64</v>
      </c>
      <c r="AP1286" s="20">
        <v>-21.92</v>
      </c>
      <c r="AS1286" s="20">
        <v>646.0</v>
      </c>
      <c r="AT1286" s="20" t="s">
        <v>17</v>
      </c>
      <c r="AU1286" s="20">
        <v>13.09</v>
      </c>
      <c r="AV1286" s="20">
        <v>-3.88</v>
      </c>
      <c r="BM1286" s="20">
        <v>33.03</v>
      </c>
      <c r="BN1286" s="20">
        <v>128.34</v>
      </c>
      <c r="BZ1286" s="20">
        <v>-30.35</v>
      </c>
      <c r="CA1286" s="20">
        <v>-31.28</v>
      </c>
      <c r="CO1286" s="20">
        <v>-23.05</v>
      </c>
      <c r="CP1286" s="20">
        <v>-46.56</v>
      </c>
    </row>
    <row r="1287">
      <c r="A1287" s="20"/>
      <c r="B1287" s="20"/>
      <c r="C1287" s="20"/>
      <c r="D1287" s="20"/>
      <c r="E1287" s="20"/>
      <c r="F1287" s="20"/>
      <c r="G1287" s="20"/>
      <c r="H1287" s="20"/>
      <c r="I1287" s="20"/>
      <c r="J1287" s="20"/>
      <c r="K1287" s="20">
        <v>643.0</v>
      </c>
      <c r="L1287" s="20" t="s">
        <v>14</v>
      </c>
      <c r="M1287" s="20">
        <v>-15.89</v>
      </c>
      <c r="N1287" s="20">
        <v>-8.71</v>
      </c>
      <c r="P1287" s="20">
        <v>14.19</v>
      </c>
      <c r="Q1287" s="20">
        <v>78.01</v>
      </c>
      <c r="AM1287" s="20">
        <v>654.0</v>
      </c>
      <c r="AN1287" s="20" t="s">
        <v>14</v>
      </c>
      <c r="AO1287" s="20">
        <v>-10.42</v>
      </c>
      <c r="AP1287" s="20">
        <v>25.57</v>
      </c>
      <c r="AS1287" s="20">
        <v>647.0</v>
      </c>
      <c r="AT1287" s="20" t="s">
        <v>14</v>
      </c>
      <c r="AU1287" s="20">
        <v>-28.52</v>
      </c>
      <c r="AV1287" s="20">
        <v>-32.59</v>
      </c>
      <c r="BM1287" s="20">
        <v>6.26</v>
      </c>
      <c r="BN1287" s="20">
        <v>177.57</v>
      </c>
      <c r="BZ1287" s="20">
        <v>-51.8</v>
      </c>
      <c r="CA1287" s="20">
        <v>6.18</v>
      </c>
      <c r="CO1287" s="20">
        <v>-28.89</v>
      </c>
      <c r="CP1287" s="20">
        <v>-69.74</v>
      </c>
    </row>
    <row r="1288">
      <c r="A1288" s="20"/>
      <c r="B1288" s="20"/>
      <c r="C1288" s="20"/>
      <c r="D1288" s="20"/>
      <c r="E1288" s="20"/>
      <c r="F1288" s="20"/>
      <c r="G1288" s="20"/>
      <c r="H1288" s="20"/>
      <c r="I1288" s="20"/>
      <c r="J1288" s="20"/>
      <c r="K1288" s="20">
        <v>643.0</v>
      </c>
      <c r="L1288" s="20" t="s">
        <v>17</v>
      </c>
      <c r="M1288" s="20">
        <v>-28.32</v>
      </c>
      <c r="N1288" s="20">
        <v>2.6</v>
      </c>
      <c r="P1288" s="20">
        <v>-10.94</v>
      </c>
      <c r="Q1288" s="20">
        <v>60.96</v>
      </c>
      <c r="AM1288" s="20">
        <v>654.0</v>
      </c>
      <c r="AN1288" s="20" t="s">
        <v>17</v>
      </c>
      <c r="AO1288" s="20">
        <v>-33.44</v>
      </c>
      <c r="AP1288" s="20">
        <v>-24.63</v>
      </c>
      <c r="AS1288" s="20">
        <v>647.0</v>
      </c>
      <c r="AT1288" s="20" t="s">
        <v>17</v>
      </c>
      <c r="AU1288" s="20">
        <v>-7.49</v>
      </c>
      <c r="AV1288" s="20">
        <v>-21.54</v>
      </c>
      <c r="BM1288" s="20">
        <v>40.72</v>
      </c>
      <c r="BN1288" s="20">
        <v>87.27</v>
      </c>
      <c r="BZ1288" s="20">
        <v>-47.75</v>
      </c>
      <c r="CA1288" s="20">
        <v>32.31</v>
      </c>
      <c r="CO1288" s="20">
        <v>-30.75</v>
      </c>
      <c r="CP1288" s="20">
        <v>-33.38</v>
      </c>
    </row>
    <row r="1289">
      <c r="A1289" s="20"/>
      <c r="B1289" s="20"/>
      <c r="C1289" s="20"/>
      <c r="D1289" s="20"/>
      <c r="E1289" s="20"/>
      <c r="F1289" s="20"/>
      <c r="G1289" s="20"/>
      <c r="H1289" s="20"/>
      <c r="I1289" s="20"/>
      <c r="J1289" s="20"/>
      <c r="K1289" s="20">
        <v>644.0</v>
      </c>
      <c r="L1289" s="20" t="s">
        <v>14</v>
      </c>
      <c r="M1289" s="20">
        <v>-18.04</v>
      </c>
      <c r="N1289" s="20">
        <v>2.55</v>
      </c>
      <c r="P1289" s="20">
        <v>-4.64</v>
      </c>
      <c r="Q1289" s="20">
        <v>36.36</v>
      </c>
      <c r="AM1289" s="20">
        <v>655.0</v>
      </c>
      <c r="AN1289" s="20" t="s">
        <v>14</v>
      </c>
      <c r="AO1289" s="20">
        <v>16.77</v>
      </c>
      <c r="AP1289" s="20">
        <v>17.76</v>
      </c>
      <c r="AS1289" s="20">
        <v>648.0</v>
      </c>
      <c r="AT1289" s="20" t="s">
        <v>14</v>
      </c>
      <c r="AU1289" s="20">
        <v>8.09</v>
      </c>
      <c r="AV1289" s="20">
        <v>10.76</v>
      </c>
      <c r="BM1289" s="20">
        <v>72.86</v>
      </c>
      <c r="BN1289" s="20">
        <v>105.93</v>
      </c>
      <c r="BZ1289" s="20">
        <v>-53.62</v>
      </c>
      <c r="CA1289" s="20">
        <v>85.43</v>
      </c>
      <c r="CO1289" s="20">
        <v>-32.36</v>
      </c>
      <c r="CP1289" s="20">
        <v>-61.27</v>
      </c>
    </row>
    <row r="1290">
      <c r="A1290" s="20"/>
      <c r="B1290" s="20"/>
      <c r="C1290" s="20"/>
      <c r="D1290" s="20"/>
      <c r="E1290" s="20"/>
      <c r="F1290" s="20"/>
      <c r="G1290" s="20"/>
      <c r="H1290" s="20"/>
      <c r="I1290" s="20"/>
      <c r="J1290" s="20"/>
      <c r="K1290" s="20">
        <v>644.0</v>
      </c>
      <c r="L1290" s="20" t="s">
        <v>17</v>
      </c>
      <c r="M1290" s="20">
        <v>-1.69</v>
      </c>
      <c r="N1290" s="20">
        <v>17.19</v>
      </c>
      <c r="P1290" s="20">
        <v>-25.27</v>
      </c>
      <c r="Q1290" s="20">
        <v>8.45</v>
      </c>
      <c r="AM1290" s="20">
        <v>655.0</v>
      </c>
      <c r="AN1290" s="20" t="s">
        <v>17</v>
      </c>
      <c r="AO1290" s="20">
        <v>-45.41</v>
      </c>
      <c r="AP1290" s="20">
        <v>-24.5</v>
      </c>
      <c r="AS1290" s="20">
        <v>648.0</v>
      </c>
      <c r="AT1290" s="20" t="s">
        <v>17</v>
      </c>
      <c r="AU1290" s="20">
        <v>17.59</v>
      </c>
      <c r="AV1290" s="20">
        <v>-12.06</v>
      </c>
      <c r="BM1290" s="20">
        <v>28.75</v>
      </c>
      <c r="BN1290" s="20">
        <v>152.94</v>
      </c>
      <c r="BZ1290" s="20">
        <v>-66.48</v>
      </c>
      <c r="CA1290" s="20">
        <v>90.89</v>
      </c>
      <c r="CO1290" s="20">
        <v>2.14</v>
      </c>
      <c r="CP1290" s="20">
        <v>-52.25</v>
      </c>
    </row>
    <row r="1291">
      <c r="A1291" s="20"/>
      <c r="B1291" s="20"/>
      <c r="C1291" s="20"/>
      <c r="D1291" s="20"/>
      <c r="E1291" s="20"/>
      <c r="F1291" s="20"/>
      <c r="G1291" s="20"/>
      <c r="H1291" s="20"/>
      <c r="I1291" s="20"/>
      <c r="J1291" s="20"/>
      <c r="K1291" s="20">
        <v>645.0</v>
      </c>
      <c r="L1291" s="20" t="s">
        <v>14</v>
      </c>
      <c r="M1291" s="20">
        <v>-20.93</v>
      </c>
      <c r="N1291" s="20">
        <v>-14.65</v>
      </c>
      <c r="P1291" s="20">
        <v>-3.9</v>
      </c>
      <c r="Q1291" s="20">
        <v>-3.13</v>
      </c>
      <c r="AM1291" s="20">
        <v>656.0</v>
      </c>
      <c r="AN1291" s="20" t="s">
        <v>14</v>
      </c>
      <c r="AO1291" s="20">
        <v>23.4</v>
      </c>
      <c r="AP1291" s="20">
        <v>18.0</v>
      </c>
      <c r="AS1291" s="20">
        <v>649.0</v>
      </c>
      <c r="AT1291" s="20" t="s">
        <v>14</v>
      </c>
      <c r="AU1291" s="20">
        <v>-28.21</v>
      </c>
      <c r="AV1291" s="20">
        <v>-63.16</v>
      </c>
      <c r="BM1291" s="20">
        <v>-25.35</v>
      </c>
      <c r="BN1291" s="20">
        <v>89.45</v>
      </c>
      <c r="BZ1291" s="20">
        <v>-35.29</v>
      </c>
      <c r="CA1291" s="20">
        <v>-41.6</v>
      </c>
      <c r="CO1291" s="20">
        <v>-46.11</v>
      </c>
      <c r="CP1291" s="20">
        <v>-68.21</v>
      </c>
    </row>
    <row r="1292">
      <c r="A1292" s="20"/>
      <c r="B1292" s="20"/>
      <c r="C1292" s="20"/>
      <c r="D1292" s="20"/>
      <c r="E1292" s="20"/>
      <c r="F1292" s="20"/>
      <c r="G1292" s="20"/>
      <c r="H1292" s="20"/>
      <c r="I1292" s="20"/>
      <c r="J1292" s="20"/>
      <c r="K1292" s="20">
        <v>645.0</v>
      </c>
      <c r="L1292" s="20" t="s">
        <v>17</v>
      </c>
      <c r="M1292" s="20">
        <v>-23.02</v>
      </c>
      <c r="N1292" s="20">
        <v>-16.18</v>
      </c>
      <c r="P1292" s="20">
        <v>-15.57</v>
      </c>
      <c r="Q1292" s="20">
        <v>13.37</v>
      </c>
      <c r="AM1292" s="20">
        <v>656.0</v>
      </c>
      <c r="AN1292" s="20" t="s">
        <v>17</v>
      </c>
      <c r="AO1292" s="20">
        <v>41.81</v>
      </c>
      <c r="AP1292" s="20">
        <v>40.9</v>
      </c>
      <c r="AS1292" s="20">
        <v>649.0</v>
      </c>
      <c r="AT1292" s="20" t="s">
        <v>17</v>
      </c>
      <c r="AU1292" s="20">
        <v>-41.43</v>
      </c>
      <c r="AV1292" s="20">
        <v>-48.82</v>
      </c>
      <c r="BM1292" s="20">
        <v>31.97</v>
      </c>
      <c r="BN1292" s="20">
        <v>160.44</v>
      </c>
      <c r="BZ1292" s="20">
        <v>-44.73</v>
      </c>
      <c r="CA1292" s="20">
        <v>-32.58</v>
      </c>
      <c r="CO1292" s="20">
        <v>19.49</v>
      </c>
      <c r="CP1292" s="20">
        <v>-49.15</v>
      </c>
    </row>
    <row r="1293">
      <c r="A1293" s="20"/>
      <c r="B1293" s="20"/>
      <c r="C1293" s="20"/>
      <c r="D1293" s="20"/>
      <c r="E1293" s="20"/>
      <c r="F1293" s="20"/>
      <c r="G1293" s="20"/>
      <c r="H1293" s="20"/>
      <c r="I1293" s="20"/>
      <c r="J1293" s="20"/>
      <c r="K1293" s="20">
        <v>646.0</v>
      </c>
      <c r="L1293" s="20" t="s">
        <v>14</v>
      </c>
      <c r="M1293" s="20">
        <v>-19.85</v>
      </c>
      <c r="N1293" s="20">
        <v>-11.47</v>
      </c>
      <c r="P1293" s="20">
        <v>-0.19</v>
      </c>
      <c r="Q1293" s="20">
        <v>21.65</v>
      </c>
      <c r="AM1293" s="20">
        <v>657.0</v>
      </c>
      <c r="AN1293" s="20" t="s">
        <v>14</v>
      </c>
      <c r="AO1293" s="20">
        <v>5.05</v>
      </c>
      <c r="AP1293" s="20">
        <v>46.62</v>
      </c>
      <c r="AS1293" s="20">
        <v>650.0</v>
      </c>
      <c r="AT1293" s="20" t="s">
        <v>14</v>
      </c>
      <c r="AU1293" s="20">
        <v>13.86</v>
      </c>
      <c r="AV1293" s="20">
        <v>-38.55</v>
      </c>
      <c r="BM1293" s="20">
        <v>54.69</v>
      </c>
      <c r="BN1293" s="20">
        <v>182.15</v>
      </c>
      <c r="BZ1293" s="20">
        <v>-39.17</v>
      </c>
      <c r="CA1293" s="20">
        <v>19.04</v>
      </c>
      <c r="CO1293" s="20">
        <v>-40.99</v>
      </c>
      <c r="CP1293" s="20">
        <v>-67.43</v>
      </c>
    </row>
    <row r="1294">
      <c r="A1294" s="20"/>
      <c r="B1294" s="20"/>
      <c r="C1294" s="20"/>
      <c r="D1294" s="20"/>
      <c r="E1294" s="20"/>
      <c r="F1294" s="20"/>
      <c r="G1294" s="20"/>
      <c r="H1294" s="20"/>
      <c r="I1294" s="20"/>
      <c r="J1294" s="20"/>
      <c r="K1294" s="20">
        <v>646.0</v>
      </c>
      <c r="L1294" s="20" t="s">
        <v>17</v>
      </c>
      <c r="M1294" s="20">
        <v>-16.03</v>
      </c>
      <c r="N1294" s="20">
        <v>-12.95</v>
      </c>
      <c r="P1294" s="20">
        <v>2.69</v>
      </c>
      <c r="Q1294" s="20">
        <v>21.56</v>
      </c>
      <c r="AM1294" s="20">
        <v>657.0</v>
      </c>
      <c r="AN1294" s="20" t="s">
        <v>17</v>
      </c>
      <c r="AO1294" s="20">
        <v>27.75</v>
      </c>
      <c r="AP1294" s="20">
        <v>26.58</v>
      </c>
      <c r="AS1294" s="20">
        <v>650.0</v>
      </c>
      <c r="AT1294" s="20" t="s">
        <v>17</v>
      </c>
      <c r="AU1294" s="20">
        <v>-21.72</v>
      </c>
      <c r="AV1294" s="20">
        <v>-36.39</v>
      </c>
      <c r="BM1294" s="20">
        <v>23.95</v>
      </c>
      <c r="BN1294" s="20">
        <v>82.21</v>
      </c>
      <c r="BZ1294" s="20">
        <v>-35.94</v>
      </c>
      <c r="CA1294" s="20">
        <v>91.36</v>
      </c>
      <c r="CO1294" s="20">
        <v>-14.78</v>
      </c>
      <c r="CP1294" s="20">
        <v>-51.98</v>
      </c>
    </row>
    <row r="1295">
      <c r="A1295" s="20"/>
      <c r="B1295" s="20"/>
      <c r="C1295" s="20"/>
      <c r="D1295" s="20"/>
      <c r="E1295" s="20"/>
      <c r="F1295" s="20"/>
      <c r="G1295" s="20"/>
      <c r="H1295" s="20"/>
      <c r="I1295" s="20"/>
      <c r="J1295" s="20"/>
      <c r="K1295" s="20">
        <v>647.0</v>
      </c>
      <c r="L1295" s="20" t="s">
        <v>14</v>
      </c>
      <c r="M1295" s="20">
        <v>-22.41</v>
      </c>
      <c r="N1295" s="20">
        <v>-2.11</v>
      </c>
      <c r="P1295" s="20">
        <v>3.76</v>
      </c>
      <c r="Q1295" s="20">
        <v>36.38</v>
      </c>
      <c r="AM1295" s="20">
        <v>658.0</v>
      </c>
      <c r="AN1295" s="20" t="s">
        <v>14</v>
      </c>
      <c r="AO1295" s="20">
        <v>18.03</v>
      </c>
      <c r="AP1295" s="20">
        <v>4.75</v>
      </c>
      <c r="AS1295" s="20">
        <v>651.0</v>
      </c>
      <c r="AT1295" s="20" t="s">
        <v>14</v>
      </c>
      <c r="AU1295" s="20">
        <v>-56.87</v>
      </c>
      <c r="AV1295" s="20">
        <v>-58.7</v>
      </c>
      <c r="BM1295" s="20">
        <v>81.99</v>
      </c>
      <c r="BN1295" s="20">
        <v>80.03</v>
      </c>
      <c r="BZ1295" s="20">
        <v>-21.32</v>
      </c>
      <c r="CA1295" s="20">
        <v>71.87</v>
      </c>
      <c r="CO1295" s="20">
        <v>-34.68</v>
      </c>
      <c r="CP1295" s="20">
        <v>-63.48</v>
      </c>
    </row>
    <row r="1296">
      <c r="A1296" s="20"/>
      <c r="B1296" s="20"/>
      <c r="C1296" s="20"/>
      <c r="D1296" s="20"/>
      <c r="E1296" s="20"/>
      <c r="F1296" s="20"/>
      <c r="G1296" s="20"/>
      <c r="H1296" s="20"/>
      <c r="I1296" s="20"/>
      <c r="J1296" s="20"/>
      <c r="K1296" s="20">
        <v>647.0</v>
      </c>
      <c r="L1296" s="20" t="s">
        <v>17</v>
      </c>
      <c r="M1296" s="20">
        <v>-29.2</v>
      </c>
      <c r="N1296" s="20">
        <v>-42.9</v>
      </c>
      <c r="P1296" s="20">
        <v>-34.02</v>
      </c>
      <c r="Q1296" s="20">
        <v>5.08</v>
      </c>
      <c r="AM1296" s="20">
        <v>658.0</v>
      </c>
      <c r="AN1296" s="20" t="s">
        <v>17</v>
      </c>
      <c r="AO1296" s="20">
        <v>-17.84</v>
      </c>
      <c r="AP1296" s="20">
        <v>10.97</v>
      </c>
      <c r="AS1296" s="20">
        <v>651.0</v>
      </c>
      <c r="AT1296" s="20" t="s">
        <v>17</v>
      </c>
      <c r="AU1296" s="20">
        <v>-0.18</v>
      </c>
      <c r="AV1296" s="20">
        <v>-38.63</v>
      </c>
      <c r="BM1296" s="20">
        <v>170.0</v>
      </c>
      <c r="BN1296" s="20">
        <v>132.42</v>
      </c>
      <c r="BZ1296" s="20">
        <v>20.99</v>
      </c>
      <c r="CA1296" s="20">
        <v>-50.8</v>
      </c>
      <c r="CO1296" s="20">
        <v>-17.15</v>
      </c>
      <c r="CP1296" s="20">
        <v>-34.08</v>
      </c>
    </row>
    <row r="1297">
      <c r="A1297" s="20"/>
      <c r="B1297" s="20"/>
      <c r="C1297" s="20"/>
      <c r="D1297" s="20"/>
      <c r="E1297" s="20"/>
      <c r="F1297" s="20"/>
      <c r="G1297" s="20"/>
      <c r="H1297" s="20"/>
      <c r="I1297" s="20"/>
      <c r="J1297" s="20"/>
      <c r="K1297" s="20">
        <v>648.0</v>
      </c>
      <c r="L1297" s="20" t="s">
        <v>14</v>
      </c>
      <c r="M1297" s="20">
        <v>-17.94</v>
      </c>
      <c r="N1297" s="20">
        <v>16.22</v>
      </c>
      <c r="P1297" s="20">
        <v>-2.61</v>
      </c>
      <c r="Q1297" s="20">
        <v>-5.87</v>
      </c>
      <c r="AM1297" s="20">
        <v>659.0</v>
      </c>
      <c r="AN1297" s="20" t="s">
        <v>14</v>
      </c>
      <c r="AO1297" s="20">
        <v>-9.1</v>
      </c>
      <c r="AP1297" s="20">
        <v>-37.96</v>
      </c>
      <c r="AS1297" s="20">
        <v>652.0</v>
      </c>
      <c r="AT1297" s="20" t="s">
        <v>14</v>
      </c>
      <c r="AU1297" s="20">
        <v>-32.54</v>
      </c>
      <c r="AV1297" s="20">
        <v>-48.52</v>
      </c>
      <c r="BM1297" s="20">
        <v>-9.75</v>
      </c>
      <c r="BN1297" s="20">
        <v>22.92</v>
      </c>
      <c r="BZ1297" s="20">
        <v>2.63</v>
      </c>
      <c r="CA1297" s="20">
        <v>168.33</v>
      </c>
      <c r="CO1297" s="20">
        <v>11.59</v>
      </c>
      <c r="CP1297" s="20">
        <v>-48.52</v>
      </c>
    </row>
    <row r="1298">
      <c r="A1298" s="20"/>
      <c r="B1298" s="20"/>
      <c r="C1298" s="20"/>
      <c r="D1298" s="20"/>
      <c r="E1298" s="20"/>
      <c r="F1298" s="20"/>
      <c r="G1298" s="20"/>
      <c r="H1298" s="20"/>
      <c r="I1298" s="20"/>
      <c r="J1298" s="20"/>
      <c r="K1298" s="20">
        <v>648.0</v>
      </c>
      <c r="L1298" s="20" t="s">
        <v>17</v>
      </c>
      <c r="M1298" s="20">
        <v>-8.81</v>
      </c>
      <c r="N1298" s="20">
        <v>21.62</v>
      </c>
      <c r="P1298" s="20">
        <v>-39.15</v>
      </c>
      <c r="Q1298" s="20">
        <v>-4.18</v>
      </c>
      <c r="AM1298" s="20">
        <v>659.0</v>
      </c>
      <c r="AN1298" s="20" t="s">
        <v>17</v>
      </c>
      <c r="AO1298" s="20">
        <v>-29.98</v>
      </c>
      <c r="AP1298" s="20">
        <v>-40.06</v>
      </c>
      <c r="AS1298" s="20">
        <v>652.0</v>
      </c>
      <c r="AT1298" s="20" t="s">
        <v>17</v>
      </c>
      <c r="AU1298" s="20">
        <v>-41.78</v>
      </c>
      <c r="AV1298" s="20">
        <v>-34.25</v>
      </c>
      <c r="BM1298" s="20">
        <v>20.44</v>
      </c>
      <c r="BN1298" s="20">
        <v>-15.37</v>
      </c>
      <c r="BZ1298" s="20">
        <v>24.48</v>
      </c>
      <c r="CA1298" s="20">
        <v>145.81</v>
      </c>
      <c r="CO1298" s="20">
        <v>-18.08</v>
      </c>
      <c r="CP1298" s="20">
        <v>-26.08</v>
      </c>
    </row>
    <row r="1299">
      <c r="A1299" s="20"/>
      <c r="B1299" s="20"/>
      <c r="C1299" s="20"/>
      <c r="D1299" s="20"/>
      <c r="E1299" s="20"/>
      <c r="F1299" s="20"/>
      <c r="G1299" s="20"/>
      <c r="H1299" s="20"/>
      <c r="I1299" s="20"/>
      <c r="J1299" s="20"/>
      <c r="K1299" s="20">
        <v>649.0</v>
      </c>
      <c r="L1299" s="20" t="s">
        <v>14</v>
      </c>
      <c r="M1299" s="20">
        <v>31.06</v>
      </c>
      <c r="N1299" s="20">
        <v>23.66</v>
      </c>
      <c r="P1299" s="20">
        <v>1.97</v>
      </c>
      <c r="Q1299" s="20">
        <v>7.2</v>
      </c>
      <c r="AM1299" s="20">
        <v>660.0</v>
      </c>
      <c r="AN1299" s="20" t="s">
        <v>14</v>
      </c>
      <c r="AO1299" s="20">
        <v>-15.48</v>
      </c>
      <c r="AP1299" s="20">
        <v>-26.56</v>
      </c>
      <c r="AS1299" s="20">
        <v>653.0</v>
      </c>
      <c r="AT1299" s="20" t="s">
        <v>14</v>
      </c>
      <c r="AU1299" s="20">
        <v>-8.03</v>
      </c>
      <c r="AV1299" s="20">
        <v>-56.84</v>
      </c>
      <c r="BM1299" s="20">
        <v>5.28</v>
      </c>
      <c r="BN1299" s="20">
        <v>109.08</v>
      </c>
      <c r="BZ1299" s="20">
        <v>-44.4</v>
      </c>
      <c r="CA1299" s="20">
        <v>42.51</v>
      </c>
      <c r="CO1299" s="20">
        <v>-9.56</v>
      </c>
      <c r="CP1299" s="20">
        <v>-56.35</v>
      </c>
    </row>
    <row r="1300">
      <c r="A1300" s="20"/>
      <c r="B1300" s="20"/>
      <c r="C1300" s="20"/>
      <c r="D1300" s="20"/>
      <c r="E1300" s="20"/>
      <c r="F1300" s="20"/>
      <c r="G1300" s="20"/>
      <c r="H1300" s="20"/>
      <c r="I1300" s="20"/>
      <c r="J1300" s="20"/>
      <c r="K1300" s="20">
        <v>649.0</v>
      </c>
      <c r="L1300" s="20" t="s">
        <v>17</v>
      </c>
      <c r="M1300" s="20">
        <v>-19.05</v>
      </c>
      <c r="N1300" s="20">
        <v>-12.06</v>
      </c>
      <c r="P1300" s="20">
        <v>-17.97</v>
      </c>
      <c r="Q1300" s="20">
        <v>-10.66</v>
      </c>
      <c r="AM1300" s="20">
        <v>660.0</v>
      </c>
      <c r="AN1300" s="20" t="s">
        <v>17</v>
      </c>
      <c r="AO1300" s="20">
        <v>38.8</v>
      </c>
      <c r="AP1300" s="20">
        <v>1.15</v>
      </c>
      <c r="AS1300" s="20">
        <v>653.0</v>
      </c>
      <c r="AT1300" s="20" t="s">
        <v>17</v>
      </c>
      <c r="AU1300" s="20">
        <v>-45.05</v>
      </c>
      <c r="AV1300" s="20">
        <v>-66.59</v>
      </c>
      <c r="BM1300" s="20">
        <v>-49.41</v>
      </c>
      <c r="BN1300" s="20">
        <v>-32.58</v>
      </c>
      <c r="BZ1300" s="20">
        <v>-43.3</v>
      </c>
      <c r="CA1300" s="20">
        <v>13.65</v>
      </c>
      <c r="CO1300" s="20">
        <v>4.83</v>
      </c>
      <c r="CP1300" s="20">
        <v>-54.63</v>
      </c>
    </row>
    <row r="1301">
      <c r="A1301" s="20"/>
      <c r="B1301" s="20"/>
      <c r="C1301" s="20"/>
      <c r="D1301" s="20"/>
      <c r="E1301" s="20"/>
      <c r="F1301" s="20"/>
      <c r="G1301" s="20"/>
      <c r="H1301" s="20"/>
      <c r="I1301" s="20"/>
      <c r="J1301" s="20"/>
      <c r="K1301" s="20">
        <v>650.0</v>
      </c>
      <c r="L1301" s="20" t="s">
        <v>14</v>
      </c>
      <c r="M1301" s="20">
        <v>-11.86</v>
      </c>
      <c r="N1301" s="20">
        <v>32.91</v>
      </c>
      <c r="P1301" s="20">
        <v>9.78</v>
      </c>
      <c r="Q1301" s="20">
        <v>33.38</v>
      </c>
      <c r="AM1301" s="20">
        <v>661.0</v>
      </c>
      <c r="AN1301" s="20" t="s">
        <v>14</v>
      </c>
      <c r="AO1301" s="20">
        <v>-18.09</v>
      </c>
      <c r="AP1301" s="20">
        <v>30.16</v>
      </c>
      <c r="AS1301" s="20">
        <v>654.0</v>
      </c>
      <c r="AT1301" s="20" t="s">
        <v>14</v>
      </c>
      <c r="AU1301" s="20">
        <v>20.78</v>
      </c>
      <c r="AV1301" s="20">
        <v>-19.86</v>
      </c>
      <c r="BM1301" s="20">
        <v>16.39</v>
      </c>
      <c r="BN1301" s="20">
        <v>95.9</v>
      </c>
      <c r="BZ1301" s="20">
        <v>5.19</v>
      </c>
      <c r="CA1301" s="20">
        <v>153.3</v>
      </c>
      <c r="CO1301" s="20">
        <v>-24.28</v>
      </c>
      <c r="CP1301" s="20">
        <v>-68.62</v>
      </c>
    </row>
    <row r="1302">
      <c r="A1302" s="20"/>
      <c r="B1302" s="20"/>
      <c r="C1302" s="20"/>
      <c r="D1302" s="20"/>
      <c r="E1302" s="20"/>
      <c r="F1302" s="20"/>
      <c r="G1302" s="20"/>
      <c r="H1302" s="20"/>
      <c r="I1302" s="20"/>
      <c r="J1302" s="20"/>
      <c r="K1302" s="20">
        <v>650.0</v>
      </c>
      <c r="L1302" s="20" t="s">
        <v>17</v>
      </c>
      <c r="M1302" s="20">
        <v>-23.56</v>
      </c>
      <c r="N1302" s="20">
        <v>22.45</v>
      </c>
      <c r="P1302" s="20">
        <v>-0.63</v>
      </c>
      <c r="Q1302" s="20">
        <v>11.02</v>
      </c>
      <c r="AM1302" s="20">
        <v>661.0</v>
      </c>
      <c r="AN1302" s="20" t="s">
        <v>17</v>
      </c>
      <c r="AO1302" s="20">
        <v>-16.28</v>
      </c>
      <c r="AP1302" s="20">
        <v>-0.97</v>
      </c>
      <c r="AS1302" s="20">
        <v>654.0</v>
      </c>
      <c r="AT1302" s="20" t="s">
        <v>17</v>
      </c>
      <c r="AU1302" s="20">
        <v>-19.01</v>
      </c>
      <c r="AV1302" s="20">
        <v>23.98</v>
      </c>
      <c r="BM1302" s="20">
        <v>-19.31</v>
      </c>
      <c r="BN1302" s="20">
        <v>32.39</v>
      </c>
      <c r="BZ1302" s="20">
        <v>-56.73</v>
      </c>
      <c r="CA1302" s="20">
        <v>123.75</v>
      </c>
      <c r="CO1302" s="20">
        <v>-27.09</v>
      </c>
      <c r="CP1302" s="20">
        <v>-39.12</v>
      </c>
    </row>
    <row r="1303">
      <c r="A1303" s="20"/>
      <c r="B1303" s="20"/>
      <c r="C1303" s="20"/>
      <c r="D1303" s="20"/>
      <c r="E1303" s="20"/>
      <c r="F1303" s="20"/>
      <c r="G1303" s="20"/>
      <c r="H1303" s="20"/>
      <c r="I1303" s="20"/>
      <c r="J1303" s="20"/>
      <c r="K1303" s="20">
        <v>651.0</v>
      </c>
      <c r="L1303" s="20" t="s">
        <v>14</v>
      </c>
      <c r="M1303" s="20">
        <v>2.29</v>
      </c>
      <c r="N1303" s="20">
        <v>15.71</v>
      </c>
      <c r="P1303" s="20">
        <v>-4.09</v>
      </c>
      <c r="Q1303" s="20">
        <v>28.36</v>
      </c>
      <c r="AM1303" s="20">
        <v>662.0</v>
      </c>
      <c r="AN1303" s="20" t="s">
        <v>14</v>
      </c>
      <c r="AO1303" s="20">
        <v>-0.31</v>
      </c>
      <c r="AP1303" s="20">
        <v>-18.82</v>
      </c>
      <c r="AS1303" s="20">
        <v>655.0</v>
      </c>
      <c r="AT1303" s="20" t="s">
        <v>14</v>
      </c>
      <c r="AU1303" s="20">
        <v>-9.98</v>
      </c>
      <c r="AV1303" s="20">
        <v>-31.59</v>
      </c>
      <c r="BM1303" s="20">
        <v>33.95</v>
      </c>
      <c r="BN1303" s="20">
        <v>95.2</v>
      </c>
      <c r="BZ1303" s="20">
        <v>-41.92</v>
      </c>
      <c r="CA1303" s="20">
        <v>139.4</v>
      </c>
      <c r="CO1303" s="20">
        <v>-23.62</v>
      </c>
      <c r="CP1303" s="20">
        <v>-64.22</v>
      </c>
    </row>
    <row r="1304">
      <c r="A1304" s="20"/>
      <c r="B1304" s="20"/>
      <c r="C1304" s="20"/>
      <c r="D1304" s="20"/>
      <c r="E1304" s="20"/>
      <c r="F1304" s="20"/>
      <c r="G1304" s="20"/>
      <c r="H1304" s="20"/>
      <c r="I1304" s="20"/>
      <c r="J1304" s="20"/>
      <c r="K1304" s="20">
        <v>651.0</v>
      </c>
      <c r="L1304" s="20" t="s">
        <v>17</v>
      </c>
      <c r="M1304" s="20">
        <v>18.06</v>
      </c>
      <c r="N1304" s="20">
        <v>48.05</v>
      </c>
      <c r="P1304" s="20">
        <v>-45.67</v>
      </c>
      <c r="Q1304" s="20">
        <v>-23.03</v>
      </c>
      <c r="AM1304" s="20">
        <v>662.0</v>
      </c>
      <c r="AN1304" s="20" t="s">
        <v>17</v>
      </c>
      <c r="AO1304" s="20">
        <v>0.1</v>
      </c>
      <c r="AP1304" s="20">
        <v>-9.44</v>
      </c>
      <c r="AS1304" s="20">
        <v>655.0</v>
      </c>
      <c r="AT1304" s="20" t="s">
        <v>17</v>
      </c>
      <c r="AU1304" s="20">
        <v>1.17</v>
      </c>
      <c r="AV1304" s="20">
        <v>-40.9</v>
      </c>
      <c r="BM1304" s="20">
        <v>40.71</v>
      </c>
      <c r="BN1304" s="20">
        <v>72.72</v>
      </c>
      <c r="BZ1304" s="20">
        <v>-50.17</v>
      </c>
      <c r="CA1304" s="20">
        <v>131.13</v>
      </c>
      <c r="CO1304" s="20">
        <v>0.15</v>
      </c>
      <c r="CP1304" s="20">
        <v>-49.47</v>
      </c>
    </row>
    <row r="1305">
      <c r="A1305" s="20"/>
      <c r="B1305" s="20"/>
      <c r="C1305" s="20"/>
      <c r="D1305" s="20"/>
      <c r="E1305" s="20"/>
      <c r="F1305" s="20"/>
      <c r="G1305" s="20"/>
      <c r="H1305" s="20"/>
      <c r="I1305" s="20"/>
      <c r="J1305" s="20"/>
      <c r="K1305" s="20">
        <v>652.0</v>
      </c>
      <c r="L1305" s="20" t="s">
        <v>14</v>
      </c>
      <c r="M1305" s="20">
        <v>-22.35</v>
      </c>
      <c r="N1305" s="20">
        <v>7.01</v>
      </c>
      <c r="P1305" s="20">
        <v>-5.21</v>
      </c>
      <c r="Q1305" s="20">
        <v>15.64</v>
      </c>
      <c r="AM1305" s="20">
        <v>663.0</v>
      </c>
      <c r="AN1305" s="20" t="s">
        <v>14</v>
      </c>
      <c r="AO1305" s="20">
        <v>21.95</v>
      </c>
      <c r="AP1305" s="20">
        <v>3.23</v>
      </c>
      <c r="AS1305" s="20">
        <v>656.0</v>
      </c>
      <c r="AT1305" s="20" t="s">
        <v>14</v>
      </c>
      <c r="AU1305" s="20">
        <v>-1.1</v>
      </c>
      <c r="AV1305" s="20">
        <v>-9.78</v>
      </c>
      <c r="BM1305" s="20">
        <v>36.23</v>
      </c>
      <c r="BN1305" s="20">
        <v>83.67</v>
      </c>
      <c r="BZ1305" s="20">
        <v>2.79</v>
      </c>
      <c r="CA1305" s="20">
        <v>-10.52</v>
      </c>
      <c r="CO1305" s="20">
        <v>-16.5</v>
      </c>
      <c r="CP1305" s="20">
        <v>-58.23</v>
      </c>
    </row>
    <row r="1306">
      <c r="A1306" s="20"/>
      <c r="B1306" s="20"/>
      <c r="C1306" s="20"/>
      <c r="D1306" s="20"/>
      <c r="E1306" s="20"/>
      <c r="F1306" s="20"/>
      <c r="G1306" s="20"/>
      <c r="H1306" s="20"/>
      <c r="I1306" s="20"/>
      <c r="J1306" s="20"/>
      <c r="K1306" s="20">
        <v>652.0</v>
      </c>
      <c r="L1306" s="20" t="s">
        <v>17</v>
      </c>
      <c r="M1306" s="20">
        <v>37.81</v>
      </c>
      <c r="N1306" s="20">
        <v>9.38</v>
      </c>
      <c r="P1306" s="20">
        <v>-37.64</v>
      </c>
      <c r="Q1306" s="20">
        <v>11.32</v>
      </c>
      <c r="AM1306" s="20">
        <v>663.0</v>
      </c>
      <c r="AN1306" s="20" t="s">
        <v>17</v>
      </c>
      <c r="AO1306" s="20">
        <v>-20.24</v>
      </c>
      <c r="AP1306" s="20">
        <v>15.14</v>
      </c>
      <c r="AS1306" s="20">
        <v>656.0</v>
      </c>
      <c r="AT1306" s="20" t="s">
        <v>17</v>
      </c>
      <c r="AU1306" s="20">
        <v>6.55</v>
      </c>
      <c r="AV1306" s="20">
        <v>83.75</v>
      </c>
      <c r="BM1306" s="20">
        <v>11.43</v>
      </c>
      <c r="BN1306" s="20">
        <v>55.45</v>
      </c>
      <c r="BZ1306" s="20">
        <v>-6.14</v>
      </c>
      <c r="CA1306" s="20">
        <v>-50.32</v>
      </c>
      <c r="CO1306" s="20">
        <v>11.57</v>
      </c>
      <c r="CP1306" s="20">
        <v>-45.94</v>
      </c>
    </row>
    <row r="1307">
      <c r="A1307" s="20"/>
      <c r="B1307" s="20"/>
      <c r="C1307" s="20"/>
      <c r="D1307" s="20"/>
      <c r="E1307" s="20"/>
      <c r="F1307" s="20"/>
      <c r="G1307" s="20"/>
      <c r="H1307" s="20"/>
      <c r="I1307" s="20"/>
      <c r="J1307" s="20"/>
      <c r="K1307" s="20">
        <v>653.0</v>
      </c>
      <c r="L1307" s="20" t="s">
        <v>14</v>
      </c>
      <c r="M1307" s="20">
        <v>12.27</v>
      </c>
      <c r="N1307" s="20">
        <v>59.04</v>
      </c>
      <c r="P1307" s="20">
        <v>-6.57</v>
      </c>
      <c r="Q1307" s="20">
        <v>42.95</v>
      </c>
      <c r="AM1307" s="20">
        <v>664.0</v>
      </c>
      <c r="AN1307" s="20" t="s">
        <v>14</v>
      </c>
      <c r="AO1307" s="20">
        <v>-17.46</v>
      </c>
      <c r="AP1307" s="20">
        <v>-33.19</v>
      </c>
      <c r="AS1307" s="20">
        <v>657.0</v>
      </c>
      <c r="AT1307" s="20" t="s">
        <v>14</v>
      </c>
      <c r="AU1307" s="20">
        <v>-22.01</v>
      </c>
      <c r="AV1307" s="20">
        <v>-32.93</v>
      </c>
      <c r="BM1307" s="20">
        <v>-33.24</v>
      </c>
      <c r="BN1307" s="20">
        <v>-5.34</v>
      </c>
      <c r="BZ1307" s="20">
        <v>-21.24</v>
      </c>
      <c r="CA1307" s="20">
        <v>66.85</v>
      </c>
      <c r="CO1307" s="20">
        <v>-22.49</v>
      </c>
      <c r="CP1307" s="20">
        <v>-58.25</v>
      </c>
    </row>
    <row r="1308">
      <c r="A1308" s="20"/>
      <c r="B1308" s="20"/>
      <c r="C1308" s="20"/>
      <c r="D1308" s="20"/>
      <c r="E1308" s="20"/>
      <c r="F1308" s="20"/>
      <c r="G1308" s="20"/>
      <c r="H1308" s="20"/>
      <c r="I1308" s="20"/>
      <c r="J1308" s="20"/>
      <c r="K1308" s="20">
        <v>653.0</v>
      </c>
      <c r="L1308" s="20" t="s">
        <v>17</v>
      </c>
      <c r="M1308" s="20">
        <v>4.28</v>
      </c>
      <c r="N1308" s="20">
        <v>44.4</v>
      </c>
      <c r="P1308" s="20">
        <v>-39.8</v>
      </c>
      <c r="Q1308" s="20">
        <v>-10.45</v>
      </c>
      <c r="AM1308" s="20">
        <v>664.0</v>
      </c>
      <c r="AN1308" s="20" t="s">
        <v>17</v>
      </c>
      <c r="AO1308" s="20">
        <v>-7.96</v>
      </c>
      <c r="AP1308" s="20">
        <v>-29.75</v>
      </c>
      <c r="AS1308" s="20">
        <v>657.0</v>
      </c>
      <c r="AT1308" s="20" t="s">
        <v>17</v>
      </c>
      <c r="AU1308" s="20">
        <v>-26.81</v>
      </c>
      <c r="AV1308" s="20">
        <v>-34.43</v>
      </c>
      <c r="BM1308" s="20">
        <v>-45.02</v>
      </c>
      <c r="BN1308" s="20">
        <v>-23.42</v>
      </c>
      <c r="BZ1308" s="20">
        <v>28.65</v>
      </c>
      <c r="CA1308" s="20">
        <v>-3.0</v>
      </c>
      <c r="CO1308" s="20">
        <v>-8.22</v>
      </c>
      <c r="CP1308" s="20">
        <v>-55.33</v>
      </c>
    </row>
    <row r="1309">
      <c r="A1309" s="20"/>
      <c r="B1309" s="20"/>
      <c r="C1309" s="20"/>
      <c r="D1309" s="20"/>
      <c r="E1309" s="20"/>
      <c r="F1309" s="20"/>
      <c r="G1309" s="20"/>
      <c r="H1309" s="20"/>
      <c r="I1309" s="20"/>
      <c r="J1309" s="20"/>
      <c r="K1309" s="20">
        <v>654.0</v>
      </c>
      <c r="L1309" s="20" t="s">
        <v>14</v>
      </c>
      <c r="M1309" s="20">
        <v>11.31</v>
      </c>
      <c r="N1309" s="20">
        <v>6.91</v>
      </c>
      <c r="P1309" s="20">
        <v>1.02</v>
      </c>
      <c r="Q1309" s="20">
        <v>24.82</v>
      </c>
      <c r="AM1309" s="20">
        <v>665.0</v>
      </c>
      <c r="AN1309" s="20" t="s">
        <v>14</v>
      </c>
      <c r="AO1309" s="20">
        <v>-29.8</v>
      </c>
      <c r="AP1309" s="20">
        <v>-4.86</v>
      </c>
      <c r="AS1309" s="20">
        <v>658.0</v>
      </c>
      <c r="AT1309" s="20" t="s">
        <v>14</v>
      </c>
      <c r="AU1309" s="20">
        <v>5.44</v>
      </c>
      <c r="AV1309" s="20">
        <v>-19.78</v>
      </c>
      <c r="BM1309" s="20">
        <v>-15.06</v>
      </c>
      <c r="BN1309" s="20">
        <v>87.96</v>
      </c>
      <c r="BZ1309" s="20">
        <v>-67.79</v>
      </c>
      <c r="CA1309" s="20">
        <v>23.18</v>
      </c>
      <c r="CO1309" s="20">
        <v>-24.71</v>
      </c>
      <c r="CP1309" s="20">
        <v>-59.78</v>
      </c>
    </row>
    <row r="1310">
      <c r="A1310" s="20"/>
      <c r="B1310" s="20"/>
      <c r="C1310" s="20"/>
      <c r="D1310" s="20"/>
      <c r="E1310" s="20"/>
      <c r="F1310" s="20"/>
      <c r="G1310" s="20"/>
      <c r="H1310" s="20"/>
      <c r="I1310" s="20"/>
      <c r="J1310" s="20"/>
      <c r="K1310" s="20">
        <v>654.0</v>
      </c>
      <c r="L1310" s="20" t="s">
        <v>17</v>
      </c>
      <c r="M1310" s="20">
        <v>5.69</v>
      </c>
      <c r="N1310" s="20">
        <v>5.24</v>
      </c>
      <c r="P1310" s="20">
        <v>-17.25</v>
      </c>
      <c r="Q1310" s="20">
        <v>-3.83</v>
      </c>
      <c r="AM1310" s="20">
        <v>665.0</v>
      </c>
      <c r="AN1310" s="20" t="s">
        <v>17</v>
      </c>
      <c r="AO1310" s="20">
        <v>-0.03</v>
      </c>
      <c r="AP1310" s="20">
        <v>-19.57</v>
      </c>
      <c r="AS1310" s="20">
        <v>658.0</v>
      </c>
      <c r="AT1310" s="20" t="s">
        <v>17</v>
      </c>
      <c r="AU1310" s="20">
        <v>2.43</v>
      </c>
      <c r="AV1310" s="20">
        <v>18.43</v>
      </c>
      <c r="BM1310" s="20">
        <v>47.79</v>
      </c>
      <c r="BN1310" s="20">
        <v>93.96</v>
      </c>
      <c r="BZ1310" s="20">
        <v>-57.61</v>
      </c>
      <c r="CA1310" s="20">
        <v>30.77</v>
      </c>
      <c r="CO1310" s="20">
        <v>23.77</v>
      </c>
      <c r="CP1310" s="20">
        <v>-50.9</v>
      </c>
    </row>
    <row r="1311">
      <c r="A1311" s="20"/>
      <c r="B1311" s="20"/>
      <c r="C1311" s="20"/>
      <c r="D1311" s="20"/>
      <c r="E1311" s="20"/>
      <c r="F1311" s="20"/>
      <c r="G1311" s="20"/>
      <c r="H1311" s="20"/>
      <c r="I1311" s="20"/>
      <c r="J1311" s="20"/>
      <c r="K1311" s="20">
        <v>655.0</v>
      </c>
      <c r="L1311" s="20" t="s">
        <v>14</v>
      </c>
      <c r="M1311" s="20">
        <v>-10.4</v>
      </c>
      <c r="N1311" s="20">
        <v>69.7</v>
      </c>
      <c r="P1311" s="20">
        <v>-31.19</v>
      </c>
      <c r="Q1311" s="20">
        <v>26.22</v>
      </c>
      <c r="AM1311" s="20">
        <v>666.0</v>
      </c>
      <c r="AN1311" s="20" t="s">
        <v>14</v>
      </c>
      <c r="AO1311" s="20">
        <v>-7.87</v>
      </c>
      <c r="AP1311" s="20">
        <v>7.32</v>
      </c>
      <c r="AS1311" s="20">
        <v>659.0</v>
      </c>
      <c r="AT1311" s="20" t="s">
        <v>14</v>
      </c>
      <c r="AU1311" s="20">
        <v>-17.89</v>
      </c>
      <c r="AV1311" s="20">
        <v>-41.6</v>
      </c>
      <c r="BM1311" s="20">
        <v>16.93</v>
      </c>
      <c r="BN1311" s="20">
        <v>24.59</v>
      </c>
      <c r="BZ1311" s="20">
        <v>-34.99</v>
      </c>
      <c r="CA1311" s="20">
        <v>1.39</v>
      </c>
      <c r="CO1311" s="20">
        <v>-34.57</v>
      </c>
      <c r="CP1311" s="20">
        <v>-58.23</v>
      </c>
    </row>
    <row r="1312">
      <c r="A1312" s="20"/>
      <c r="B1312" s="20"/>
      <c r="C1312" s="20"/>
      <c r="D1312" s="20"/>
      <c r="E1312" s="20"/>
      <c r="F1312" s="20"/>
      <c r="G1312" s="20"/>
      <c r="H1312" s="20"/>
      <c r="I1312" s="20"/>
      <c r="J1312" s="20"/>
      <c r="K1312" s="20">
        <v>655.0</v>
      </c>
      <c r="L1312" s="20" t="s">
        <v>17</v>
      </c>
      <c r="M1312" s="20">
        <v>-8.28</v>
      </c>
      <c r="N1312" s="20">
        <v>31.28</v>
      </c>
      <c r="P1312" s="20">
        <v>-43.02</v>
      </c>
      <c r="Q1312" s="20">
        <v>-13.89</v>
      </c>
      <c r="AM1312" s="20">
        <v>666.0</v>
      </c>
      <c r="AN1312" s="20" t="s">
        <v>17</v>
      </c>
      <c r="AO1312" s="20">
        <v>-12.95</v>
      </c>
      <c r="AP1312" s="20">
        <v>-20.03</v>
      </c>
      <c r="AS1312" s="20">
        <v>659.0</v>
      </c>
      <c r="AT1312" s="20" t="s">
        <v>17</v>
      </c>
      <c r="AU1312" s="20">
        <v>-41.63</v>
      </c>
      <c r="AV1312" s="20">
        <v>-11.06</v>
      </c>
      <c r="BM1312" s="20">
        <v>26.7</v>
      </c>
      <c r="BN1312" s="20">
        <v>154.87</v>
      </c>
      <c r="BZ1312" s="20">
        <v>-64.62</v>
      </c>
      <c r="CA1312" s="20">
        <v>61.4</v>
      </c>
      <c r="CO1312" s="20">
        <v>-5.61</v>
      </c>
      <c r="CP1312" s="20">
        <v>-53.68</v>
      </c>
    </row>
    <row r="1313">
      <c r="A1313" s="20"/>
      <c r="B1313" s="20"/>
      <c r="C1313" s="20"/>
      <c r="D1313" s="20"/>
      <c r="E1313" s="20"/>
      <c r="F1313" s="20"/>
      <c r="G1313" s="20"/>
      <c r="H1313" s="20"/>
      <c r="I1313" s="20"/>
      <c r="J1313" s="20"/>
      <c r="K1313" s="20">
        <v>656.0</v>
      </c>
      <c r="L1313" s="20" t="s">
        <v>14</v>
      </c>
      <c r="M1313" s="20">
        <v>-16.55</v>
      </c>
      <c r="N1313" s="20">
        <v>42.39</v>
      </c>
      <c r="P1313" s="20">
        <v>-31.95</v>
      </c>
      <c r="Q1313" s="20">
        <v>2.67</v>
      </c>
      <c r="AM1313" s="20">
        <v>667.0</v>
      </c>
      <c r="AN1313" s="20" t="s">
        <v>14</v>
      </c>
      <c r="AO1313" s="20">
        <v>28.75</v>
      </c>
      <c r="AP1313" s="20">
        <v>-17.71</v>
      </c>
      <c r="AS1313" s="20">
        <v>660.0</v>
      </c>
      <c r="AT1313" s="20" t="s">
        <v>14</v>
      </c>
      <c r="AU1313" s="20">
        <v>-17.78</v>
      </c>
      <c r="AV1313" s="20">
        <v>-22.84</v>
      </c>
      <c r="BM1313" s="20">
        <v>30.21</v>
      </c>
      <c r="BN1313" s="20">
        <v>13.88</v>
      </c>
      <c r="BZ1313" s="20">
        <v>-37.4</v>
      </c>
      <c r="CA1313" s="20">
        <v>58.22</v>
      </c>
      <c r="CO1313" s="20">
        <v>1.46</v>
      </c>
      <c r="CP1313" s="20">
        <v>-48.22</v>
      </c>
    </row>
    <row r="1314">
      <c r="A1314" s="20"/>
      <c r="B1314" s="20"/>
      <c r="C1314" s="20"/>
      <c r="D1314" s="20"/>
      <c r="E1314" s="20"/>
      <c r="F1314" s="20"/>
      <c r="G1314" s="20"/>
      <c r="H1314" s="20"/>
      <c r="I1314" s="20"/>
      <c r="J1314" s="20"/>
      <c r="K1314" s="20">
        <v>656.0</v>
      </c>
      <c r="L1314" s="20" t="s">
        <v>17</v>
      </c>
      <c r="M1314" s="20">
        <v>-19.93</v>
      </c>
      <c r="N1314" s="20">
        <v>24.88</v>
      </c>
      <c r="P1314" s="20">
        <v>-49.5</v>
      </c>
      <c r="Q1314" s="20">
        <v>-3.93</v>
      </c>
      <c r="AM1314" s="20">
        <v>667.0</v>
      </c>
      <c r="AN1314" s="20" t="s">
        <v>17</v>
      </c>
      <c r="AO1314" s="20">
        <v>-14.52</v>
      </c>
      <c r="AP1314" s="20">
        <v>-18.07</v>
      </c>
      <c r="AS1314" s="20">
        <v>660.0</v>
      </c>
      <c r="AT1314" s="20" t="s">
        <v>17</v>
      </c>
      <c r="AU1314" s="20">
        <v>-28.05</v>
      </c>
      <c r="AV1314" s="20">
        <v>14.81</v>
      </c>
      <c r="BM1314" s="20">
        <v>55.83</v>
      </c>
      <c r="BN1314" s="20">
        <v>102.12</v>
      </c>
      <c r="BZ1314" s="20">
        <v>-32.67</v>
      </c>
      <c r="CA1314" s="20">
        <v>64.28</v>
      </c>
      <c r="CO1314" s="20">
        <v>-10.24</v>
      </c>
      <c r="CP1314" s="20">
        <v>-35.97</v>
      </c>
    </row>
    <row r="1315">
      <c r="A1315" s="20"/>
      <c r="B1315" s="20"/>
      <c r="C1315" s="20"/>
      <c r="D1315" s="20"/>
      <c r="E1315" s="20"/>
      <c r="F1315" s="20"/>
      <c r="G1315" s="20"/>
      <c r="H1315" s="20"/>
      <c r="I1315" s="20"/>
      <c r="J1315" s="20"/>
      <c r="K1315" s="20">
        <v>657.0</v>
      </c>
      <c r="L1315" s="20" t="s">
        <v>14</v>
      </c>
      <c r="M1315" s="20">
        <v>-22.54</v>
      </c>
      <c r="N1315" s="20">
        <v>10.58</v>
      </c>
      <c r="P1315" s="20">
        <v>0.55</v>
      </c>
      <c r="Q1315" s="20">
        <v>-10.62</v>
      </c>
      <c r="AM1315" s="20">
        <v>668.0</v>
      </c>
      <c r="AN1315" s="20" t="s">
        <v>14</v>
      </c>
      <c r="AO1315" s="20">
        <v>-21.18</v>
      </c>
      <c r="AP1315" s="20">
        <v>10.29</v>
      </c>
      <c r="AS1315" s="20">
        <v>661.0</v>
      </c>
      <c r="AT1315" s="20" t="s">
        <v>14</v>
      </c>
      <c r="AU1315" s="20">
        <v>-15.03</v>
      </c>
      <c r="AV1315" s="20">
        <v>-34.08</v>
      </c>
      <c r="BM1315" s="20">
        <v>18.88</v>
      </c>
      <c r="BN1315" s="20">
        <v>58.28</v>
      </c>
      <c r="BZ1315" s="20">
        <v>-49.33</v>
      </c>
      <c r="CA1315" s="20">
        <v>96.53</v>
      </c>
      <c r="CO1315" s="20">
        <v>-24.99</v>
      </c>
      <c r="CP1315" s="20">
        <v>-63.56</v>
      </c>
    </row>
    <row r="1316">
      <c r="A1316" s="20"/>
      <c r="B1316" s="20"/>
      <c r="C1316" s="20"/>
      <c r="D1316" s="20"/>
      <c r="E1316" s="20"/>
      <c r="F1316" s="20"/>
      <c r="G1316" s="20"/>
      <c r="H1316" s="20"/>
      <c r="I1316" s="20"/>
      <c r="J1316" s="20"/>
      <c r="K1316" s="20">
        <v>657.0</v>
      </c>
      <c r="L1316" s="20" t="s">
        <v>17</v>
      </c>
      <c r="M1316" s="20">
        <v>-39.9</v>
      </c>
      <c r="N1316" s="20">
        <v>-9.97</v>
      </c>
      <c r="P1316" s="20">
        <v>-36.19</v>
      </c>
      <c r="Q1316" s="20">
        <v>17.45</v>
      </c>
      <c r="AM1316" s="20">
        <v>668.0</v>
      </c>
      <c r="AN1316" s="20" t="s">
        <v>17</v>
      </c>
      <c r="AO1316" s="20">
        <v>-8.11</v>
      </c>
      <c r="AP1316" s="20">
        <v>47.13</v>
      </c>
      <c r="AS1316" s="20">
        <v>661.0</v>
      </c>
      <c r="AT1316" s="20" t="s">
        <v>17</v>
      </c>
      <c r="AU1316" s="20">
        <v>-13.27</v>
      </c>
      <c r="AV1316" s="20">
        <v>-45.76</v>
      </c>
      <c r="BM1316" s="20">
        <v>44.79</v>
      </c>
      <c r="BN1316" s="20">
        <v>75.68</v>
      </c>
      <c r="BZ1316" s="20">
        <v>-37.54</v>
      </c>
      <c r="CA1316" s="20">
        <v>125.17</v>
      </c>
      <c r="CO1316" s="20">
        <v>-36.72</v>
      </c>
      <c r="CP1316" s="20">
        <v>-47.89</v>
      </c>
    </row>
    <row r="1317">
      <c r="A1317" s="20"/>
      <c r="B1317" s="20"/>
      <c r="C1317" s="20"/>
      <c r="D1317" s="20"/>
      <c r="E1317" s="20"/>
      <c r="F1317" s="20"/>
      <c r="G1317" s="20"/>
      <c r="H1317" s="20"/>
      <c r="I1317" s="20"/>
      <c r="J1317" s="20"/>
      <c r="K1317" s="20">
        <v>658.0</v>
      </c>
      <c r="L1317" s="20" t="s">
        <v>14</v>
      </c>
      <c r="M1317" s="20">
        <v>-28.1</v>
      </c>
      <c r="N1317" s="20">
        <v>-15.2</v>
      </c>
      <c r="P1317" s="20">
        <v>6.38</v>
      </c>
      <c r="Q1317" s="20">
        <v>8.17</v>
      </c>
      <c r="AM1317" s="20">
        <v>669.0</v>
      </c>
      <c r="AN1317" s="20" t="s">
        <v>14</v>
      </c>
      <c r="AO1317" s="20">
        <v>-15.28</v>
      </c>
      <c r="AP1317" s="20">
        <v>16.27</v>
      </c>
      <c r="AS1317" s="20">
        <v>662.0</v>
      </c>
      <c r="AT1317" s="20" t="s">
        <v>14</v>
      </c>
      <c r="AU1317" s="20">
        <v>-5.25</v>
      </c>
      <c r="AV1317" s="20">
        <v>-26.73</v>
      </c>
      <c r="BM1317" s="20">
        <v>-17.08</v>
      </c>
      <c r="BN1317" s="20">
        <v>2.43</v>
      </c>
      <c r="BZ1317" s="20">
        <v>-43.81</v>
      </c>
      <c r="CA1317" s="20">
        <v>75.66</v>
      </c>
      <c r="CO1317" s="20">
        <v>-28.71</v>
      </c>
      <c r="CP1317" s="20">
        <v>-53.07</v>
      </c>
    </row>
    <row r="1318">
      <c r="A1318" s="20"/>
      <c r="B1318" s="20"/>
      <c r="C1318" s="20"/>
      <c r="D1318" s="20"/>
      <c r="E1318" s="20"/>
      <c r="F1318" s="20"/>
      <c r="G1318" s="20"/>
      <c r="H1318" s="20"/>
      <c r="I1318" s="20"/>
      <c r="J1318" s="20"/>
      <c r="K1318" s="20">
        <v>658.0</v>
      </c>
      <c r="L1318" s="20" t="s">
        <v>17</v>
      </c>
      <c r="M1318" s="20">
        <v>-6.09</v>
      </c>
      <c r="N1318" s="20">
        <v>37.0</v>
      </c>
      <c r="P1318" s="20">
        <v>6.71</v>
      </c>
      <c r="Q1318" s="20">
        <v>-2.16</v>
      </c>
      <c r="AM1318" s="20">
        <v>669.0</v>
      </c>
      <c r="AN1318" s="20" t="s">
        <v>17</v>
      </c>
      <c r="AO1318" s="20">
        <v>-14.85</v>
      </c>
      <c r="AP1318" s="20">
        <v>-9.25</v>
      </c>
      <c r="AS1318" s="20">
        <v>662.0</v>
      </c>
      <c r="AT1318" s="20" t="s">
        <v>17</v>
      </c>
      <c r="AU1318" s="20">
        <v>-18.77</v>
      </c>
      <c r="AV1318" s="20">
        <v>-36.94</v>
      </c>
      <c r="BM1318" s="20">
        <v>19.1</v>
      </c>
      <c r="BN1318" s="20">
        <v>118.81</v>
      </c>
      <c r="BZ1318" s="20">
        <v>-59.59</v>
      </c>
      <c r="CA1318" s="20">
        <v>102.2</v>
      </c>
      <c r="CO1318" s="20">
        <v>-26.13</v>
      </c>
      <c r="CP1318" s="20">
        <v>-70.63</v>
      </c>
    </row>
    <row r="1319">
      <c r="A1319" s="20"/>
      <c r="B1319" s="20"/>
      <c r="C1319" s="20"/>
      <c r="D1319" s="20"/>
      <c r="E1319" s="20"/>
      <c r="F1319" s="20"/>
      <c r="G1319" s="20"/>
      <c r="H1319" s="20"/>
      <c r="I1319" s="20"/>
      <c r="J1319" s="20"/>
      <c r="K1319" s="20">
        <v>659.0</v>
      </c>
      <c r="L1319" s="20" t="s">
        <v>14</v>
      </c>
      <c r="M1319" s="20">
        <v>-7.05</v>
      </c>
      <c r="N1319" s="20">
        <v>7.83</v>
      </c>
      <c r="P1319" s="20">
        <v>-5.26</v>
      </c>
      <c r="Q1319" s="20">
        <v>-6.28</v>
      </c>
      <c r="AM1319" s="20">
        <v>670.0</v>
      </c>
      <c r="AN1319" s="20" t="s">
        <v>14</v>
      </c>
      <c r="AO1319" s="20">
        <v>-11.22</v>
      </c>
      <c r="AP1319" s="20">
        <v>-1.57</v>
      </c>
      <c r="AS1319" s="20">
        <v>663.0</v>
      </c>
      <c r="AT1319" s="20" t="s">
        <v>14</v>
      </c>
      <c r="AU1319" s="20">
        <v>-10.63</v>
      </c>
      <c r="AV1319" s="20">
        <v>-29.15</v>
      </c>
      <c r="BM1319" s="20">
        <v>23.82</v>
      </c>
      <c r="BN1319" s="20">
        <v>66.71</v>
      </c>
      <c r="BZ1319" s="20">
        <v>-7.2</v>
      </c>
      <c r="CA1319" s="20">
        <v>-28.07</v>
      </c>
      <c r="CO1319" s="20">
        <v>-36.98</v>
      </c>
      <c r="CP1319" s="20">
        <v>-66.91</v>
      </c>
    </row>
    <row r="1320">
      <c r="A1320" s="20"/>
      <c r="B1320" s="20"/>
      <c r="C1320" s="20"/>
      <c r="D1320" s="20"/>
      <c r="E1320" s="20"/>
      <c r="F1320" s="20"/>
      <c r="G1320" s="20"/>
      <c r="H1320" s="20"/>
      <c r="I1320" s="20"/>
      <c r="J1320" s="20"/>
      <c r="K1320" s="20">
        <v>659.0</v>
      </c>
      <c r="L1320" s="20" t="s">
        <v>17</v>
      </c>
      <c r="M1320" s="20">
        <v>-47.5</v>
      </c>
      <c r="N1320" s="20">
        <v>-16.13</v>
      </c>
      <c r="P1320" s="20">
        <v>-31.2</v>
      </c>
      <c r="Q1320" s="20">
        <v>50.64</v>
      </c>
      <c r="AM1320" s="20">
        <v>670.0</v>
      </c>
      <c r="AN1320" s="20" t="s">
        <v>17</v>
      </c>
      <c r="AO1320" s="20">
        <v>-11.38</v>
      </c>
      <c r="AP1320" s="20">
        <v>-20.48</v>
      </c>
      <c r="AS1320" s="20">
        <v>663.0</v>
      </c>
      <c r="AT1320" s="20" t="s">
        <v>17</v>
      </c>
      <c r="AU1320" s="20">
        <v>-25.79</v>
      </c>
      <c r="AV1320" s="20">
        <v>2.46</v>
      </c>
      <c r="BM1320" s="20">
        <v>8.82</v>
      </c>
      <c r="BN1320" s="20">
        <v>48.12</v>
      </c>
      <c r="BZ1320" s="20">
        <v>-33.03</v>
      </c>
      <c r="CA1320" s="20">
        <v>-1.53</v>
      </c>
      <c r="CO1320" s="20">
        <v>-23.51</v>
      </c>
      <c r="CP1320" s="20">
        <v>-54.72</v>
      </c>
    </row>
    <row r="1321">
      <c r="A1321" s="20"/>
      <c r="B1321" s="20"/>
      <c r="C1321" s="20"/>
      <c r="D1321" s="20"/>
      <c r="E1321" s="20"/>
      <c r="F1321" s="20"/>
      <c r="G1321" s="20"/>
      <c r="H1321" s="20"/>
      <c r="I1321" s="20"/>
      <c r="J1321" s="20"/>
      <c r="K1321" s="20">
        <v>660.0</v>
      </c>
      <c r="L1321" s="20" t="s">
        <v>14</v>
      </c>
      <c r="M1321" s="20">
        <v>-11.28</v>
      </c>
      <c r="N1321" s="20">
        <v>14.21</v>
      </c>
      <c r="P1321" s="20">
        <v>18.67</v>
      </c>
      <c r="Q1321" s="20">
        <v>16.62</v>
      </c>
      <c r="AM1321" s="20">
        <v>671.0</v>
      </c>
      <c r="AN1321" s="20" t="s">
        <v>14</v>
      </c>
      <c r="AO1321" s="20">
        <v>-13.24</v>
      </c>
      <c r="AP1321" s="20">
        <v>23.17</v>
      </c>
      <c r="AS1321" s="20">
        <v>664.0</v>
      </c>
      <c r="AT1321" s="20" t="s">
        <v>14</v>
      </c>
      <c r="AU1321" s="20">
        <v>-6.44</v>
      </c>
      <c r="AV1321" s="20">
        <v>-10.37</v>
      </c>
      <c r="BM1321" s="20">
        <v>62.81</v>
      </c>
      <c r="BN1321" s="20">
        <v>63.37</v>
      </c>
      <c r="BZ1321" s="20">
        <v>-59.92</v>
      </c>
      <c r="CA1321" s="20">
        <v>-39.56</v>
      </c>
      <c r="CO1321" s="20">
        <v>-54.86</v>
      </c>
      <c r="CP1321" s="20">
        <v>-57.07</v>
      </c>
    </row>
    <row r="1322">
      <c r="A1322" s="20"/>
      <c r="B1322" s="20"/>
      <c r="C1322" s="20"/>
      <c r="D1322" s="20"/>
      <c r="E1322" s="20"/>
      <c r="F1322" s="20"/>
      <c r="G1322" s="20"/>
      <c r="H1322" s="20"/>
      <c r="I1322" s="20"/>
      <c r="J1322" s="20"/>
      <c r="K1322" s="20">
        <v>660.0</v>
      </c>
      <c r="L1322" s="20" t="s">
        <v>17</v>
      </c>
      <c r="M1322" s="20">
        <v>-29.2</v>
      </c>
      <c r="N1322" s="20">
        <v>-3.19</v>
      </c>
      <c r="P1322" s="20">
        <v>-39.01</v>
      </c>
      <c r="Q1322" s="20">
        <v>16.55</v>
      </c>
      <c r="AM1322" s="20">
        <v>671.0</v>
      </c>
      <c r="AN1322" s="20" t="s">
        <v>17</v>
      </c>
      <c r="AO1322" s="20">
        <v>-33.03</v>
      </c>
      <c r="AP1322" s="20">
        <v>-33.2</v>
      </c>
      <c r="AS1322" s="20">
        <v>664.0</v>
      </c>
      <c r="AT1322" s="20" t="s">
        <v>17</v>
      </c>
      <c r="AU1322" s="20">
        <v>-22.15</v>
      </c>
      <c r="AV1322" s="20">
        <v>-17.3</v>
      </c>
      <c r="BM1322" s="20">
        <v>-0.93</v>
      </c>
      <c r="BN1322" s="20">
        <v>90.17</v>
      </c>
      <c r="BZ1322" s="20">
        <v>-39.42</v>
      </c>
      <c r="CA1322" s="20">
        <v>-56.82</v>
      </c>
      <c r="CO1322" s="20">
        <v>-75.86</v>
      </c>
      <c r="CP1322" s="20">
        <v>-67.44</v>
      </c>
    </row>
    <row r="1323">
      <c r="A1323" s="20"/>
      <c r="B1323" s="20"/>
      <c r="C1323" s="20"/>
      <c r="D1323" s="20"/>
      <c r="E1323" s="20"/>
      <c r="F1323" s="20"/>
      <c r="G1323" s="20"/>
      <c r="H1323" s="20"/>
      <c r="I1323" s="20"/>
      <c r="J1323" s="20"/>
      <c r="K1323" s="20">
        <v>661.0</v>
      </c>
      <c r="L1323" s="20" t="s">
        <v>14</v>
      </c>
      <c r="M1323" s="20">
        <v>9.6</v>
      </c>
      <c r="N1323" s="20">
        <v>4.89</v>
      </c>
      <c r="P1323" s="20">
        <v>8.2</v>
      </c>
      <c r="Q1323" s="20">
        <v>-1.91</v>
      </c>
      <c r="AM1323" s="20">
        <v>672.0</v>
      </c>
      <c r="AN1323" s="20" t="s">
        <v>14</v>
      </c>
      <c r="AO1323" s="20">
        <v>-17.55</v>
      </c>
      <c r="AP1323" s="20">
        <v>-27.41</v>
      </c>
      <c r="AS1323" s="20">
        <v>665.0</v>
      </c>
      <c r="AT1323" s="20" t="s">
        <v>14</v>
      </c>
      <c r="AU1323" s="20">
        <v>-1.92</v>
      </c>
      <c r="AV1323" s="20">
        <v>-33.85</v>
      </c>
      <c r="BM1323" s="20">
        <v>36.03</v>
      </c>
      <c r="BN1323" s="20">
        <v>40.89</v>
      </c>
      <c r="BZ1323" s="20">
        <v>-31.38</v>
      </c>
      <c r="CA1323" s="20">
        <v>107.24</v>
      </c>
      <c r="CO1323" s="20">
        <v>37.94</v>
      </c>
      <c r="CP1323" s="20">
        <v>-42.34</v>
      </c>
    </row>
    <row r="1324">
      <c r="A1324" s="20"/>
      <c r="B1324" s="20"/>
      <c r="C1324" s="20"/>
      <c r="D1324" s="20"/>
      <c r="E1324" s="20"/>
      <c r="F1324" s="20"/>
      <c r="G1324" s="20"/>
      <c r="H1324" s="20"/>
      <c r="I1324" s="20"/>
      <c r="J1324" s="20"/>
      <c r="K1324" s="20">
        <v>661.0</v>
      </c>
      <c r="L1324" s="20" t="s">
        <v>17</v>
      </c>
      <c r="M1324" s="20">
        <v>6.73</v>
      </c>
      <c r="N1324" s="20">
        <v>-11.21</v>
      </c>
      <c r="P1324" s="20">
        <v>-38.3</v>
      </c>
      <c r="Q1324" s="20">
        <v>-16.81</v>
      </c>
      <c r="AM1324" s="20">
        <v>672.0</v>
      </c>
      <c r="AN1324" s="20" t="s">
        <v>17</v>
      </c>
      <c r="AO1324" s="20">
        <v>13.66</v>
      </c>
      <c r="AP1324" s="20">
        <v>-30.52</v>
      </c>
      <c r="AS1324" s="20">
        <v>665.0</v>
      </c>
      <c r="AT1324" s="20" t="s">
        <v>17</v>
      </c>
      <c r="AU1324" s="20">
        <v>-32.53</v>
      </c>
      <c r="AV1324" s="20">
        <v>-48.41</v>
      </c>
      <c r="BM1324" s="20">
        <v>32.96</v>
      </c>
      <c r="BN1324" s="20">
        <v>126.35</v>
      </c>
      <c r="BZ1324" s="20">
        <v>-53.88</v>
      </c>
      <c r="CA1324" s="20">
        <v>62.36</v>
      </c>
      <c r="CO1324" s="20">
        <v>7.73</v>
      </c>
      <c r="CP1324" s="20">
        <v>-61.08</v>
      </c>
    </row>
    <row r="1325">
      <c r="A1325" s="20"/>
      <c r="B1325" s="20"/>
      <c r="C1325" s="20"/>
      <c r="D1325" s="20"/>
      <c r="E1325" s="20"/>
      <c r="F1325" s="20"/>
      <c r="G1325" s="20"/>
      <c r="H1325" s="20"/>
      <c r="I1325" s="20"/>
      <c r="J1325" s="20"/>
      <c r="K1325" s="20">
        <v>662.0</v>
      </c>
      <c r="L1325" s="20" t="s">
        <v>14</v>
      </c>
      <c r="M1325" s="20">
        <v>25.94</v>
      </c>
      <c r="N1325" s="20">
        <v>20.08</v>
      </c>
      <c r="P1325" s="20">
        <v>31.65</v>
      </c>
      <c r="Q1325" s="20">
        <v>18.32</v>
      </c>
      <c r="AM1325" s="20">
        <v>674.0</v>
      </c>
      <c r="AN1325" s="20" t="s">
        <v>14</v>
      </c>
      <c r="AO1325" s="20">
        <v>-55.86</v>
      </c>
      <c r="AP1325" s="20">
        <v>-62.26</v>
      </c>
      <c r="AS1325" s="20">
        <v>666.0</v>
      </c>
      <c r="AT1325" s="20" t="s">
        <v>14</v>
      </c>
      <c r="AU1325" s="20">
        <v>-2.19</v>
      </c>
      <c r="AV1325" s="20">
        <v>-31.8</v>
      </c>
      <c r="BM1325" s="20">
        <v>71.89</v>
      </c>
      <c r="BN1325" s="20">
        <v>135.23</v>
      </c>
      <c r="BZ1325" s="20">
        <v>-64.37</v>
      </c>
      <c r="CA1325" s="20">
        <v>115.77</v>
      </c>
      <c r="CO1325" s="20">
        <v>34.43</v>
      </c>
      <c r="CP1325" s="20">
        <v>-41.78</v>
      </c>
    </row>
    <row r="1326">
      <c r="A1326" s="20"/>
      <c r="B1326" s="20"/>
      <c r="C1326" s="20"/>
      <c r="D1326" s="20"/>
      <c r="E1326" s="20"/>
      <c r="F1326" s="20"/>
      <c r="G1326" s="20"/>
      <c r="H1326" s="20"/>
      <c r="I1326" s="20"/>
      <c r="J1326" s="20"/>
      <c r="K1326" s="20">
        <v>662.0</v>
      </c>
      <c r="L1326" s="20" t="s">
        <v>17</v>
      </c>
      <c r="M1326" s="20">
        <v>7.42</v>
      </c>
      <c r="N1326" s="20">
        <v>20.52</v>
      </c>
      <c r="P1326" s="20">
        <v>-9.56</v>
      </c>
      <c r="Q1326" s="20">
        <v>-7.35</v>
      </c>
      <c r="AM1326" s="20">
        <v>674.0</v>
      </c>
      <c r="AN1326" s="20" t="s">
        <v>17</v>
      </c>
      <c r="AO1326" s="20">
        <v>-37.17</v>
      </c>
      <c r="AP1326" s="20">
        <v>-69.19</v>
      </c>
      <c r="AS1326" s="20">
        <v>666.0</v>
      </c>
      <c r="AT1326" s="20" t="s">
        <v>17</v>
      </c>
      <c r="AU1326" s="20">
        <v>7.56</v>
      </c>
      <c r="AV1326" s="20">
        <v>3.62</v>
      </c>
      <c r="BM1326" s="20">
        <v>60.75</v>
      </c>
      <c r="BN1326" s="20">
        <v>206.25</v>
      </c>
      <c r="BZ1326" s="20">
        <v>-45.05</v>
      </c>
      <c r="CA1326" s="20">
        <v>98.96</v>
      </c>
      <c r="CO1326" s="20">
        <v>-1.95</v>
      </c>
      <c r="CP1326" s="20">
        <v>-54.63</v>
      </c>
    </row>
    <row r="1327">
      <c r="A1327" s="20"/>
      <c r="B1327" s="20"/>
      <c r="C1327" s="20"/>
      <c r="D1327" s="20"/>
      <c r="E1327" s="20"/>
      <c r="F1327" s="20"/>
      <c r="G1327" s="20"/>
      <c r="H1327" s="20"/>
      <c r="I1327" s="20"/>
      <c r="J1327" s="20"/>
      <c r="K1327" s="20">
        <v>663.0</v>
      </c>
      <c r="L1327" s="20" t="s">
        <v>14</v>
      </c>
      <c r="M1327" s="20">
        <v>14.5</v>
      </c>
      <c r="N1327" s="20">
        <v>72.43</v>
      </c>
      <c r="P1327" s="20">
        <v>2.38</v>
      </c>
      <c r="Q1327" s="20">
        <v>24.48</v>
      </c>
      <c r="AM1327" s="20">
        <v>677.0</v>
      </c>
      <c r="AN1327" s="20" t="s">
        <v>14</v>
      </c>
      <c r="AO1327" s="20">
        <v>-7.06</v>
      </c>
      <c r="AP1327" s="20">
        <v>-8.03</v>
      </c>
      <c r="AS1327" s="20">
        <v>667.0</v>
      </c>
      <c r="AT1327" s="20" t="s">
        <v>14</v>
      </c>
      <c r="AU1327" s="20">
        <v>-2.09</v>
      </c>
      <c r="AV1327" s="20">
        <v>-55.09</v>
      </c>
      <c r="BM1327" s="20">
        <v>34.0</v>
      </c>
      <c r="BN1327" s="20">
        <v>41.98</v>
      </c>
      <c r="BZ1327" s="20">
        <v>26.02</v>
      </c>
      <c r="CA1327" s="20">
        <v>-13.05</v>
      </c>
      <c r="CO1327" s="20">
        <v>28.54</v>
      </c>
      <c r="CP1327" s="20">
        <v>-31.89</v>
      </c>
    </row>
    <row r="1328">
      <c r="A1328" s="20"/>
      <c r="B1328" s="20"/>
      <c r="C1328" s="20"/>
      <c r="D1328" s="20"/>
      <c r="E1328" s="20"/>
      <c r="F1328" s="20"/>
      <c r="G1328" s="20"/>
      <c r="H1328" s="20"/>
      <c r="I1328" s="20"/>
      <c r="J1328" s="20"/>
      <c r="K1328" s="20">
        <v>663.0</v>
      </c>
      <c r="L1328" s="20" t="s">
        <v>17</v>
      </c>
      <c r="M1328" s="20">
        <v>-30.41</v>
      </c>
      <c r="N1328" s="20">
        <v>30.38</v>
      </c>
      <c r="P1328" s="20">
        <v>-46.74</v>
      </c>
      <c r="Q1328" s="20">
        <v>-7.94</v>
      </c>
      <c r="AM1328" s="20">
        <v>677.0</v>
      </c>
      <c r="AN1328" s="20" t="s">
        <v>17</v>
      </c>
      <c r="AO1328" s="20">
        <v>-0.27</v>
      </c>
      <c r="AP1328" s="20">
        <v>-7.85</v>
      </c>
      <c r="AS1328" s="20">
        <v>667.0</v>
      </c>
      <c r="AT1328" s="20" t="s">
        <v>17</v>
      </c>
      <c r="AU1328" s="20">
        <v>-40.71</v>
      </c>
      <c r="AV1328" s="20">
        <v>-0.47</v>
      </c>
      <c r="BM1328" s="20">
        <v>23.81</v>
      </c>
      <c r="BN1328" s="20">
        <v>133.65</v>
      </c>
      <c r="BZ1328" s="20">
        <v>118.12</v>
      </c>
      <c r="CA1328" s="20">
        <v>27.95</v>
      </c>
      <c r="CO1328" s="20">
        <v>12.24</v>
      </c>
      <c r="CP1328" s="20">
        <v>-66.81</v>
      </c>
    </row>
    <row r="1329">
      <c r="A1329" s="20"/>
      <c r="B1329" s="20"/>
      <c r="C1329" s="20"/>
      <c r="D1329" s="20"/>
      <c r="E1329" s="20"/>
      <c r="F1329" s="20"/>
      <c r="G1329" s="20"/>
      <c r="H1329" s="20"/>
      <c r="I1329" s="20"/>
      <c r="J1329" s="20"/>
      <c r="K1329" s="20">
        <v>664.0</v>
      </c>
      <c r="L1329" s="20" t="s">
        <v>14</v>
      </c>
      <c r="M1329" s="20">
        <v>-18.4</v>
      </c>
      <c r="N1329" s="20">
        <v>99.38</v>
      </c>
      <c r="P1329" s="20">
        <v>-8.19</v>
      </c>
      <c r="Q1329" s="20">
        <v>3.49</v>
      </c>
      <c r="AM1329" s="20">
        <v>678.0</v>
      </c>
      <c r="AN1329" s="20" t="s">
        <v>14</v>
      </c>
      <c r="AO1329" s="20">
        <v>10.12</v>
      </c>
      <c r="AP1329" s="20">
        <v>50.77</v>
      </c>
      <c r="AS1329" s="20">
        <v>668.0</v>
      </c>
      <c r="AT1329" s="20" t="s">
        <v>14</v>
      </c>
      <c r="AU1329" s="20">
        <v>19.52</v>
      </c>
      <c r="AV1329" s="20">
        <v>-33.57</v>
      </c>
      <c r="BM1329" s="20">
        <v>11.1</v>
      </c>
      <c r="BN1329" s="20">
        <v>48.22</v>
      </c>
      <c r="BZ1329" s="20">
        <v>-3.62</v>
      </c>
      <c r="CA1329" s="20">
        <v>80.04</v>
      </c>
      <c r="CO1329" s="20">
        <v>40.45</v>
      </c>
      <c r="CP1329" s="20">
        <v>-28.46</v>
      </c>
    </row>
    <row r="1330">
      <c r="A1330" s="20"/>
      <c r="B1330" s="20"/>
      <c r="C1330" s="20"/>
      <c r="D1330" s="20"/>
      <c r="E1330" s="20"/>
      <c r="F1330" s="20"/>
      <c r="G1330" s="20"/>
      <c r="H1330" s="20"/>
      <c r="I1330" s="20"/>
      <c r="J1330" s="20"/>
      <c r="K1330" s="20">
        <v>664.0</v>
      </c>
      <c r="L1330" s="20" t="s">
        <v>17</v>
      </c>
      <c r="M1330" s="20">
        <v>-8.3</v>
      </c>
      <c r="N1330" s="20">
        <v>30.72</v>
      </c>
      <c r="P1330" s="20">
        <v>-31.1</v>
      </c>
      <c r="Q1330" s="20">
        <v>9.47</v>
      </c>
      <c r="AM1330" s="20">
        <v>678.0</v>
      </c>
      <c r="AN1330" s="20" t="s">
        <v>17</v>
      </c>
      <c r="AO1330" s="20">
        <v>14.93</v>
      </c>
      <c r="AP1330" s="20">
        <v>14.17</v>
      </c>
      <c r="AS1330" s="20">
        <v>668.0</v>
      </c>
      <c r="AT1330" s="20" t="s">
        <v>17</v>
      </c>
      <c r="AU1330" s="20">
        <v>-8.15</v>
      </c>
      <c r="AV1330" s="20">
        <v>1.7</v>
      </c>
      <c r="BM1330" s="20">
        <v>0.12</v>
      </c>
      <c r="BN1330" s="20">
        <v>85.88</v>
      </c>
      <c r="BZ1330" s="20">
        <v>-47.37</v>
      </c>
      <c r="CA1330" s="20">
        <v>150.71</v>
      </c>
      <c r="CO1330" s="20">
        <v>-41.93</v>
      </c>
      <c r="CP1330" s="20">
        <v>-62.97</v>
      </c>
    </row>
    <row r="1331">
      <c r="A1331" s="20"/>
      <c r="B1331" s="20"/>
      <c r="C1331" s="20"/>
      <c r="D1331" s="20"/>
      <c r="E1331" s="20"/>
      <c r="F1331" s="20"/>
      <c r="G1331" s="20"/>
      <c r="H1331" s="20"/>
      <c r="I1331" s="20"/>
      <c r="J1331" s="20"/>
      <c r="K1331" s="20">
        <v>665.0</v>
      </c>
      <c r="L1331" s="20" t="s">
        <v>14</v>
      </c>
      <c r="M1331" s="20">
        <v>-6.89</v>
      </c>
      <c r="N1331" s="20">
        <v>-10.04</v>
      </c>
      <c r="P1331" s="20">
        <v>-2.95</v>
      </c>
      <c r="Q1331" s="20">
        <v>2.21</v>
      </c>
      <c r="AM1331" s="20">
        <v>679.0</v>
      </c>
      <c r="AN1331" s="20" t="s">
        <v>14</v>
      </c>
      <c r="AO1331" s="20">
        <v>-6.97</v>
      </c>
      <c r="AP1331" s="20">
        <v>-36.91</v>
      </c>
      <c r="AS1331" s="20">
        <v>669.0</v>
      </c>
      <c r="AT1331" s="20" t="s">
        <v>14</v>
      </c>
      <c r="AU1331" s="20">
        <v>-16.13</v>
      </c>
      <c r="AV1331" s="20">
        <v>-44.66</v>
      </c>
      <c r="BM1331" s="20">
        <v>9.52</v>
      </c>
      <c r="BN1331" s="20">
        <v>47.86</v>
      </c>
      <c r="BZ1331" s="20">
        <v>-41.3</v>
      </c>
      <c r="CA1331" s="20">
        <v>116.59</v>
      </c>
      <c r="CO1331" s="20">
        <v>-12.02</v>
      </c>
      <c r="CP1331" s="20">
        <v>-41.7</v>
      </c>
    </row>
    <row r="1332">
      <c r="A1332" s="20"/>
      <c r="B1332" s="20"/>
      <c r="C1332" s="20"/>
      <c r="D1332" s="20"/>
      <c r="E1332" s="20"/>
      <c r="F1332" s="20"/>
      <c r="G1332" s="20"/>
      <c r="H1332" s="20"/>
      <c r="I1332" s="20"/>
      <c r="J1332" s="20"/>
      <c r="K1332" s="20">
        <v>665.0</v>
      </c>
      <c r="L1332" s="20" t="s">
        <v>17</v>
      </c>
      <c r="M1332" s="20">
        <v>-35.82</v>
      </c>
      <c r="N1332" s="20">
        <v>-18.82</v>
      </c>
      <c r="P1332" s="20">
        <v>-24.38</v>
      </c>
      <c r="Q1332" s="20">
        <v>-15.56</v>
      </c>
      <c r="AM1332" s="20">
        <v>679.0</v>
      </c>
      <c r="AN1332" s="20" t="s">
        <v>17</v>
      </c>
      <c r="AO1332" s="20">
        <v>-24.11</v>
      </c>
      <c r="AP1332" s="20">
        <v>-15.33</v>
      </c>
      <c r="AS1332" s="20">
        <v>669.0</v>
      </c>
      <c r="AT1332" s="20" t="s">
        <v>17</v>
      </c>
      <c r="AU1332" s="20">
        <v>-18.48</v>
      </c>
      <c r="AV1332" s="20">
        <v>-41.3</v>
      </c>
      <c r="BM1332" s="20">
        <v>91.98</v>
      </c>
      <c r="BN1332" s="20">
        <v>111.24</v>
      </c>
      <c r="BZ1332" s="20">
        <v>-14.97</v>
      </c>
      <c r="CA1332" s="20">
        <v>-4.31</v>
      </c>
      <c r="CO1332" s="20">
        <v>37.69</v>
      </c>
      <c r="CP1332" s="20">
        <v>-38.02</v>
      </c>
    </row>
    <row r="1333">
      <c r="A1333" s="20"/>
      <c r="B1333" s="20"/>
      <c r="C1333" s="20"/>
      <c r="D1333" s="20"/>
      <c r="E1333" s="20"/>
      <c r="F1333" s="20"/>
      <c r="G1333" s="20"/>
      <c r="H1333" s="20"/>
      <c r="I1333" s="20"/>
      <c r="J1333" s="20"/>
      <c r="K1333" s="20">
        <v>666.0</v>
      </c>
      <c r="L1333" s="20" t="s">
        <v>14</v>
      </c>
      <c r="M1333" s="20">
        <v>-41.27</v>
      </c>
      <c r="N1333" s="20">
        <v>-27.91</v>
      </c>
      <c r="P1333" s="20">
        <v>-18.09</v>
      </c>
      <c r="Q1333" s="20">
        <v>16.05</v>
      </c>
      <c r="AM1333" s="20">
        <v>680.0</v>
      </c>
      <c r="AN1333" s="20" t="s">
        <v>14</v>
      </c>
      <c r="AO1333" s="20">
        <v>31.09</v>
      </c>
      <c r="AP1333" s="20">
        <v>-6.86</v>
      </c>
      <c r="AS1333" s="20">
        <v>670.0</v>
      </c>
      <c r="AT1333" s="20" t="s">
        <v>14</v>
      </c>
      <c r="AU1333" s="20">
        <v>-9.3</v>
      </c>
      <c r="AV1333" s="20">
        <v>-22.94</v>
      </c>
      <c r="BM1333" s="20">
        <v>20.61</v>
      </c>
      <c r="BN1333" s="20">
        <v>116.1</v>
      </c>
      <c r="BZ1333" s="20">
        <v>-22.21</v>
      </c>
      <c r="CA1333" s="20">
        <v>86.39</v>
      </c>
      <c r="CO1333" s="20">
        <v>-33.83</v>
      </c>
      <c r="CP1333" s="20">
        <v>-56.83</v>
      </c>
    </row>
    <row r="1334">
      <c r="A1334" s="20"/>
      <c r="B1334" s="20"/>
      <c r="C1334" s="20"/>
      <c r="D1334" s="20"/>
      <c r="E1334" s="20"/>
      <c r="F1334" s="20"/>
      <c r="G1334" s="20"/>
      <c r="H1334" s="20"/>
      <c r="I1334" s="20"/>
      <c r="J1334" s="20"/>
      <c r="K1334" s="20">
        <v>666.0</v>
      </c>
      <c r="L1334" s="20" t="s">
        <v>17</v>
      </c>
      <c r="M1334" s="20">
        <v>-44.36</v>
      </c>
      <c r="N1334" s="20">
        <v>-31.24</v>
      </c>
      <c r="P1334" s="20">
        <v>-59.52</v>
      </c>
      <c r="Q1334" s="20">
        <v>-61.06</v>
      </c>
      <c r="AM1334" s="20">
        <v>680.0</v>
      </c>
      <c r="AN1334" s="20" t="s">
        <v>17</v>
      </c>
      <c r="AO1334" s="20">
        <v>37.72</v>
      </c>
      <c r="AP1334" s="20">
        <v>-22.88</v>
      </c>
      <c r="AS1334" s="20">
        <v>670.0</v>
      </c>
      <c r="AT1334" s="20" t="s">
        <v>17</v>
      </c>
      <c r="AU1334" s="20">
        <v>-45.86</v>
      </c>
      <c r="AV1334" s="20">
        <v>-48.34</v>
      </c>
      <c r="BM1334" s="20">
        <v>53.82</v>
      </c>
      <c r="BN1334" s="20">
        <v>69.07</v>
      </c>
      <c r="BZ1334" s="20">
        <v>-13.72</v>
      </c>
      <c r="CA1334" s="20">
        <v>142.02</v>
      </c>
      <c r="CO1334" s="20">
        <v>-43.29</v>
      </c>
      <c r="CP1334" s="20">
        <v>-57.33</v>
      </c>
    </row>
    <row r="1335">
      <c r="A1335" s="20"/>
      <c r="B1335" s="20"/>
      <c r="C1335" s="20"/>
      <c r="D1335" s="20"/>
      <c r="E1335" s="20"/>
      <c r="F1335" s="20"/>
      <c r="G1335" s="20"/>
      <c r="H1335" s="20"/>
      <c r="I1335" s="20"/>
      <c r="J1335" s="20"/>
      <c r="K1335" s="20">
        <v>667.0</v>
      </c>
      <c r="L1335" s="20" t="s">
        <v>14</v>
      </c>
      <c r="M1335" s="20">
        <v>-0.98</v>
      </c>
      <c r="N1335" s="20">
        <v>-16.29</v>
      </c>
      <c r="P1335" s="20">
        <v>-34.98</v>
      </c>
      <c r="Q1335" s="20">
        <v>-15.44</v>
      </c>
      <c r="AM1335" s="20">
        <v>681.0</v>
      </c>
      <c r="AN1335" s="20" t="s">
        <v>14</v>
      </c>
      <c r="AO1335" s="20">
        <v>-12.08</v>
      </c>
      <c r="AP1335" s="20">
        <v>-36.99</v>
      </c>
      <c r="AS1335" s="20">
        <v>671.0</v>
      </c>
      <c r="AT1335" s="20" t="s">
        <v>14</v>
      </c>
      <c r="AU1335" s="20">
        <v>-9.78</v>
      </c>
      <c r="AV1335" s="20">
        <v>-25.16</v>
      </c>
      <c r="BM1335" s="20">
        <v>10.64</v>
      </c>
      <c r="BN1335" s="20">
        <v>101.46</v>
      </c>
      <c r="BZ1335" s="20">
        <v>-44.34</v>
      </c>
      <c r="CA1335" s="20">
        <v>47.4</v>
      </c>
      <c r="CO1335" s="20">
        <v>9.64</v>
      </c>
      <c r="CP1335" s="20">
        <v>-33.48</v>
      </c>
    </row>
    <row r="1336">
      <c r="A1336" s="20"/>
      <c r="B1336" s="20"/>
      <c r="C1336" s="20"/>
      <c r="D1336" s="20"/>
      <c r="E1336" s="20"/>
      <c r="F1336" s="20"/>
      <c r="G1336" s="20"/>
      <c r="H1336" s="20"/>
      <c r="I1336" s="20"/>
      <c r="J1336" s="20"/>
      <c r="K1336" s="20">
        <v>667.0</v>
      </c>
      <c r="L1336" s="20" t="s">
        <v>17</v>
      </c>
      <c r="M1336" s="20">
        <v>-20.54</v>
      </c>
      <c r="N1336" s="20">
        <v>-9.71</v>
      </c>
      <c r="P1336" s="20">
        <v>69.01</v>
      </c>
      <c r="Q1336" s="20">
        <v>112.99</v>
      </c>
      <c r="AM1336" s="20">
        <v>681.0</v>
      </c>
      <c r="AN1336" s="20" t="s">
        <v>17</v>
      </c>
      <c r="AO1336" s="20">
        <v>5.39</v>
      </c>
      <c r="AP1336" s="20">
        <v>-30.69</v>
      </c>
      <c r="AS1336" s="20">
        <v>671.0</v>
      </c>
      <c r="AT1336" s="20" t="s">
        <v>17</v>
      </c>
      <c r="AU1336" s="20">
        <v>-20.57</v>
      </c>
      <c r="AV1336" s="20">
        <v>-29.31</v>
      </c>
      <c r="BM1336" s="20">
        <v>70.82</v>
      </c>
      <c r="BN1336" s="20">
        <v>102.51</v>
      </c>
      <c r="BZ1336" s="20">
        <v>-46.84</v>
      </c>
      <c r="CA1336" s="20">
        <v>22.8</v>
      </c>
      <c r="CO1336" s="20">
        <v>-23.72</v>
      </c>
      <c r="CP1336" s="20">
        <v>-56.35</v>
      </c>
    </row>
    <row r="1337">
      <c r="A1337" s="20"/>
      <c r="B1337" s="20"/>
      <c r="C1337" s="20"/>
      <c r="D1337" s="20"/>
      <c r="E1337" s="20"/>
      <c r="F1337" s="20"/>
      <c r="G1337" s="20"/>
      <c r="H1337" s="20"/>
      <c r="I1337" s="20"/>
      <c r="J1337" s="20"/>
      <c r="K1337" s="20">
        <v>668.0</v>
      </c>
      <c r="L1337" s="20" t="s">
        <v>14</v>
      </c>
      <c r="M1337" s="20">
        <v>3.79</v>
      </c>
      <c r="N1337" s="20">
        <v>5.75</v>
      </c>
      <c r="P1337" s="20">
        <v>34.34</v>
      </c>
      <c r="Q1337" s="20">
        <v>76.86</v>
      </c>
      <c r="AM1337" s="20">
        <v>682.0</v>
      </c>
      <c r="AN1337" s="20" t="s">
        <v>14</v>
      </c>
      <c r="AO1337" s="20">
        <v>2.96</v>
      </c>
      <c r="AP1337" s="20">
        <v>-34.01</v>
      </c>
      <c r="AS1337" s="20">
        <v>672.0</v>
      </c>
      <c r="AT1337" s="20" t="s">
        <v>14</v>
      </c>
      <c r="AU1337" s="20">
        <v>23.42</v>
      </c>
      <c r="AV1337" s="20">
        <v>6.54</v>
      </c>
      <c r="BM1337" s="20">
        <v>61.77</v>
      </c>
      <c r="BN1337" s="20">
        <v>64.74</v>
      </c>
      <c r="BZ1337" s="20">
        <v>-37.55</v>
      </c>
      <c r="CA1337" s="20">
        <v>44.15</v>
      </c>
      <c r="CO1337" s="20">
        <v>-18.62</v>
      </c>
      <c r="CP1337" s="20">
        <v>-41.86</v>
      </c>
    </row>
    <row r="1338">
      <c r="A1338" s="20"/>
      <c r="B1338" s="20"/>
      <c r="C1338" s="20"/>
      <c r="D1338" s="20"/>
      <c r="E1338" s="20"/>
      <c r="F1338" s="20"/>
      <c r="G1338" s="20"/>
      <c r="H1338" s="20"/>
      <c r="I1338" s="20"/>
      <c r="J1338" s="20"/>
      <c r="K1338" s="20">
        <v>668.0</v>
      </c>
      <c r="L1338" s="20" t="s">
        <v>17</v>
      </c>
      <c r="M1338" s="20">
        <v>-40.23</v>
      </c>
      <c r="N1338" s="20">
        <v>-12.37</v>
      </c>
      <c r="P1338" s="20">
        <v>33.7</v>
      </c>
      <c r="Q1338" s="20">
        <v>135.03</v>
      </c>
      <c r="AM1338" s="20">
        <v>682.0</v>
      </c>
      <c r="AN1338" s="20" t="s">
        <v>17</v>
      </c>
      <c r="AO1338" s="20">
        <v>-17.11</v>
      </c>
      <c r="AP1338" s="20">
        <v>5.34</v>
      </c>
      <c r="AS1338" s="20">
        <v>672.0</v>
      </c>
      <c r="AT1338" s="20" t="s">
        <v>17</v>
      </c>
      <c r="AU1338" s="20">
        <v>-28.03</v>
      </c>
      <c r="AV1338" s="20">
        <v>-13.02</v>
      </c>
      <c r="BM1338" s="20">
        <v>27.14</v>
      </c>
      <c r="BN1338" s="20">
        <v>149.43</v>
      </c>
      <c r="BZ1338" s="20">
        <v>-45.45</v>
      </c>
      <c r="CA1338" s="20">
        <v>67.86</v>
      </c>
      <c r="CO1338" s="20">
        <v>29.32</v>
      </c>
      <c r="CP1338" s="20">
        <v>-42.26</v>
      </c>
    </row>
    <row r="1339">
      <c r="A1339" s="20"/>
      <c r="B1339" s="20"/>
      <c r="C1339" s="20"/>
      <c r="D1339" s="20"/>
      <c r="E1339" s="20"/>
      <c r="F1339" s="20"/>
      <c r="G1339" s="20"/>
      <c r="H1339" s="20"/>
      <c r="I1339" s="20"/>
      <c r="J1339" s="20"/>
      <c r="K1339" s="20">
        <v>669.0</v>
      </c>
      <c r="L1339" s="20" t="s">
        <v>14</v>
      </c>
      <c r="M1339" s="20">
        <v>-14.55</v>
      </c>
      <c r="N1339" s="20">
        <v>-1.5</v>
      </c>
      <c r="P1339" s="20">
        <v>-22.42</v>
      </c>
      <c r="Q1339" s="20">
        <v>31.13</v>
      </c>
      <c r="AM1339" s="20">
        <v>683.0</v>
      </c>
      <c r="AN1339" s="20" t="s">
        <v>14</v>
      </c>
      <c r="AO1339" s="20">
        <v>-20.03</v>
      </c>
      <c r="AP1339" s="20">
        <v>-33.11</v>
      </c>
      <c r="AS1339" s="20">
        <v>673.0</v>
      </c>
      <c r="AT1339" s="20" t="s">
        <v>14</v>
      </c>
      <c r="AU1339" s="20">
        <v>4.77</v>
      </c>
      <c r="AV1339" s="20">
        <v>-59.85</v>
      </c>
      <c r="BM1339" s="20">
        <v>-25.1</v>
      </c>
      <c r="BN1339" s="20">
        <v>96.78</v>
      </c>
      <c r="BZ1339" s="20">
        <v>-59.27</v>
      </c>
      <c r="CA1339" s="20">
        <v>77.62</v>
      </c>
      <c r="CO1339" s="20">
        <v>0.91</v>
      </c>
      <c r="CP1339" s="20">
        <v>-44.61</v>
      </c>
    </row>
    <row r="1340">
      <c r="A1340" s="20"/>
      <c r="B1340" s="20"/>
      <c r="C1340" s="20"/>
      <c r="D1340" s="20"/>
      <c r="E1340" s="20"/>
      <c r="F1340" s="20"/>
      <c r="G1340" s="20"/>
      <c r="H1340" s="20"/>
      <c r="I1340" s="20"/>
      <c r="J1340" s="20"/>
      <c r="K1340" s="20">
        <v>669.0</v>
      </c>
      <c r="L1340" s="20" t="s">
        <v>17</v>
      </c>
      <c r="M1340" s="20">
        <v>-41.64</v>
      </c>
      <c r="N1340" s="20">
        <v>-23.13</v>
      </c>
      <c r="P1340" s="20">
        <v>27.16</v>
      </c>
      <c r="Q1340" s="20">
        <v>127.9</v>
      </c>
      <c r="AM1340" s="20">
        <v>683.0</v>
      </c>
      <c r="AN1340" s="20" t="s">
        <v>17</v>
      </c>
      <c r="AO1340" s="20">
        <v>-22.85</v>
      </c>
      <c r="AP1340" s="20">
        <v>-2.23</v>
      </c>
      <c r="AS1340" s="20">
        <v>673.0</v>
      </c>
      <c r="AT1340" s="20" t="s">
        <v>17</v>
      </c>
      <c r="AU1340" s="20">
        <v>0.47</v>
      </c>
      <c r="AV1340" s="20">
        <v>-35.39</v>
      </c>
      <c r="BM1340" s="20">
        <v>73.19</v>
      </c>
      <c r="BN1340" s="20">
        <v>179.81</v>
      </c>
      <c r="BZ1340" s="20">
        <v>-58.09</v>
      </c>
      <c r="CA1340" s="20">
        <v>35.72</v>
      </c>
      <c r="CO1340" s="20">
        <v>-6.49</v>
      </c>
      <c r="CP1340" s="20">
        <v>-41.47</v>
      </c>
    </row>
    <row r="1341">
      <c r="A1341" s="20"/>
      <c r="B1341" s="20"/>
      <c r="C1341" s="20"/>
      <c r="D1341" s="20"/>
      <c r="E1341" s="20"/>
      <c r="F1341" s="20"/>
      <c r="G1341" s="20"/>
      <c r="H1341" s="20"/>
      <c r="I1341" s="20"/>
      <c r="J1341" s="20"/>
      <c r="K1341" s="20">
        <v>670.0</v>
      </c>
      <c r="L1341" s="20" t="s">
        <v>14</v>
      </c>
      <c r="M1341" s="20">
        <v>-22.6</v>
      </c>
      <c r="N1341" s="20">
        <v>-7.1</v>
      </c>
      <c r="P1341" s="20">
        <v>-19.73</v>
      </c>
      <c r="Q1341" s="20">
        <v>51.12</v>
      </c>
      <c r="AM1341" s="20">
        <v>684.0</v>
      </c>
      <c r="AN1341" s="20" t="s">
        <v>14</v>
      </c>
      <c r="AO1341" s="20">
        <v>2.4</v>
      </c>
      <c r="AP1341" s="20">
        <v>-14.25</v>
      </c>
      <c r="AS1341" s="20">
        <v>674.0</v>
      </c>
      <c r="AT1341" s="20" t="s">
        <v>14</v>
      </c>
      <c r="AU1341" s="20">
        <v>-25.46</v>
      </c>
      <c r="AV1341" s="20">
        <v>-44.93</v>
      </c>
      <c r="BM1341" s="20">
        <v>62.28</v>
      </c>
      <c r="BN1341" s="20">
        <v>85.18</v>
      </c>
      <c r="BZ1341" s="20">
        <v>-32.78</v>
      </c>
      <c r="CA1341" s="20">
        <v>-65.87</v>
      </c>
      <c r="CO1341" s="20">
        <v>26.59</v>
      </c>
      <c r="CP1341" s="20">
        <v>-44.89</v>
      </c>
    </row>
    <row r="1342">
      <c r="A1342" s="20"/>
      <c r="B1342" s="20"/>
      <c r="C1342" s="20"/>
      <c r="D1342" s="20"/>
      <c r="E1342" s="20"/>
      <c r="F1342" s="20"/>
      <c r="G1342" s="20"/>
      <c r="H1342" s="20"/>
      <c r="I1342" s="20"/>
      <c r="J1342" s="20"/>
      <c r="K1342" s="20">
        <v>670.0</v>
      </c>
      <c r="L1342" s="20" t="s">
        <v>17</v>
      </c>
      <c r="M1342" s="20">
        <v>-39.39</v>
      </c>
      <c r="N1342" s="20">
        <v>-3.97</v>
      </c>
      <c r="P1342" s="20">
        <v>26.01</v>
      </c>
      <c r="Q1342" s="20">
        <v>44.63</v>
      </c>
      <c r="AM1342" s="20">
        <v>684.0</v>
      </c>
      <c r="AN1342" s="20" t="s">
        <v>17</v>
      </c>
      <c r="AO1342" s="20">
        <v>-1.09</v>
      </c>
      <c r="AP1342" s="20">
        <v>6.11</v>
      </c>
      <c r="AS1342" s="20">
        <v>674.0</v>
      </c>
      <c r="AT1342" s="20" t="s">
        <v>17</v>
      </c>
      <c r="AU1342" s="20">
        <v>-41.72</v>
      </c>
      <c r="AV1342" s="20">
        <v>-55.49</v>
      </c>
      <c r="BM1342" s="20">
        <v>19.03</v>
      </c>
      <c r="BN1342" s="20">
        <v>96.27</v>
      </c>
      <c r="BZ1342" s="20">
        <v>-66.88</v>
      </c>
      <c r="CA1342" s="20">
        <v>-63.97</v>
      </c>
      <c r="CO1342" s="20">
        <v>-9.11</v>
      </c>
      <c r="CP1342" s="20">
        <v>-34.83</v>
      </c>
    </row>
    <row r="1343">
      <c r="A1343" s="20"/>
      <c r="B1343" s="20"/>
      <c r="C1343" s="20"/>
      <c r="D1343" s="20"/>
      <c r="E1343" s="20"/>
      <c r="F1343" s="20"/>
      <c r="G1343" s="20"/>
      <c r="H1343" s="20"/>
      <c r="I1343" s="20"/>
      <c r="J1343" s="20"/>
      <c r="K1343" s="20">
        <v>671.0</v>
      </c>
      <c r="L1343" s="20" t="s">
        <v>14</v>
      </c>
      <c r="M1343" s="20">
        <v>-2.87</v>
      </c>
      <c r="N1343" s="20">
        <v>19.89</v>
      </c>
      <c r="P1343" s="20">
        <v>13.81</v>
      </c>
      <c r="Q1343" s="20">
        <v>25.04</v>
      </c>
      <c r="AM1343" s="20">
        <v>685.0</v>
      </c>
      <c r="AN1343" s="20" t="s">
        <v>14</v>
      </c>
      <c r="AO1343" s="20">
        <v>36.5</v>
      </c>
      <c r="AP1343" s="20">
        <v>-8.36</v>
      </c>
      <c r="AS1343" s="20">
        <v>675.0</v>
      </c>
      <c r="AT1343" s="20" t="s">
        <v>14</v>
      </c>
      <c r="AU1343" s="20">
        <v>-14.51</v>
      </c>
      <c r="AV1343" s="20">
        <v>-66.44</v>
      </c>
      <c r="BM1343" s="20">
        <v>-22.66</v>
      </c>
      <c r="BN1343" s="20">
        <v>-58.99</v>
      </c>
      <c r="BZ1343" s="20">
        <v>-51.77</v>
      </c>
      <c r="CA1343" s="20">
        <v>40.3</v>
      </c>
      <c r="CO1343" s="20">
        <v>13.65</v>
      </c>
      <c r="CP1343" s="20">
        <v>-48.05</v>
      </c>
    </row>
    <row r="1344">
      <c r="A1344" s="20"/>
      <c r="B1344" s="20"/>
      <c r="C1344" s="20"/>
      <c r="D1344" s="20"/>
      <c r="E1344" s="20"/>
      <c r="F1344" s="20"/>
      <c r="G1344" s="20"/>
      <c r="H1344" s="20"/>
      <c r="I1344" s="20"/>
      <c r="J1344" s="20"/>
      <c r="K1344" s="20">
        <v>671.0</v>
      </c>
      <c r="L1344" s="20" t="s">
        <v>17</v>
      </c>
      <c r="M1344" s="20">
        <v>-37.54</v>
      </c>
      <c r="N1344" s="20">
        <v>-4.48</v>
      </c>
      <c r="P1344" s="20">
        <v>-52.85</v>
      </c>
      <c r="Q1344" s="20">
        <v>-34.02</v>
      </c>
      <c r="AM1344" s="20">
        <v>685.0</v>
      </c>
      <c r="AN1344" s="20" t="s">
        <v>17</v>
      </c>
      <c r="AO1344" s="20">
        <v>-2.9</v>
      </c>
      <c r="AP1344" s="20">
        <v>16.73</v>
      </c>
      <c r="AS1344" s="20">
        <v>675.0</v>
      </c>
      <c r="AT1344" s="20" t="s">
        <v>17</v>
      </c>
      <c r="AU1344" s="20">
        <v>-62.49</v>
      </c>
      <c r="AV1344" s="20">
        <v>-26.87</v>
      </c>
      <c r="BM1344" s="20">
        <v>47.65</v>
      </c>
      <c r="BN1344" s="20">
        <v>-16.19</v>
      </c>
      <c r="BZ1344" s="20">
        <v>-34.7</v>
      </c>
      <c r="CA1344" s="20">
        <v>0.46</v>
      </c>
      <c r="CO1344" s="20">
        <v>47.9</v>
      </c>
      <c r="CP1344" s="20">
        <v>-40.07</v>
      </c>
    </row>
    <row r="1345">
      <c r="A1345" s="20"/>
      <c r="B1345" s="20"/>
      <c r="C1345" s="20"/>
      <c r="D1345" s="20"/>
      <c r="E1345" s="20"/>
      <c r="F1345" s="20"/>
      <c r="G1345" s="20"/>
      <c r="H1345" s="20"/>
      <c r="I1345" s="20"/>
      <c r="J1345" s="20"/>
      <c r="K1345" s="20">
        <v>672.0</v>
      </c>
      <c r="L1345" s="20" t="s">
        <v>14</v>
      </c>
      <c r="M1345" s="20">
        <v>-20.5</v>
      </c>
      <c r="N1345" s="20">
        <v>2.47</v>
      </c>
      <c r="P1345" s="20">
        <v>-32.59</v>
      </c>
      <c r="Q1345" s="20">
        <v>-10.69</v>
      </c>
      <c r="AM1345" s="20">
        <v>686.0</v>
      </c>
      <c r="AN1345" s="20" t="s">
        <v>14</v>
      </c>
      <c r="AO1345" s="20">
        <v>-35.23</v>
      </c>
      <c r="AP1345" s="20">
        <v>-45.93</v>
      </c>
      <c r="AS1345" s="20">
        <v>676.0</v>
      </c>
      <c r="AT1345" s="20" t="s">
        <v>14</v>
      </c>
      <c r="AU1345" s="20">
        <v>-37.85</v>
      </c>
      <c r="AV1345" s="20">
        <v>-52.68</v>
      </c>
      <c r="BM1345" s="20">
        <v>154.18</v>
      </c>
      <c r="BN1345" s="20">
        <v>31.85</v>
      </c>
      <c r="BZ1345" s="20">
        <v>35.06</v>
      </c>
      <c r="CA1345" s="20">
        <v>-2.0</v>
      </c>
      <c r="CO1345" s="20">
        <v>-6.03</v>
      </c>
      <c r="CP1345" s="20">
        <v>-61.01</v>
      </c>
    </row>
    <row r="1346">
      <c r="A1346" s="20"/>
      <c r="B1346" s="20"/>
      <c r="C1346" s="20"/>
      <c r="D1346" s="20"/>
      <c r="E1346" s="20"/>
      <c r="F1346" s="20"/>
      <c r="G1346" s="20"/>
      <c r="H1346" s="20"/>
      <c r="I1346" s="20"/>
      <c r="J1346" s="20"/>
      <c r="K1346" s="20">
        <v>672.0</v>
      </c>
      <c r="L1346" s="20" t="s">
        <v>17</v>
      </c>
      <c r="M1346" s="20">
        <v>-41.38</v>
      </c>
      <c r="N1346" s="20">
        <v>-12.01</v>
      </c>
      <c r="P1346" s="20">
        <v>-33.31</v>
      </c>
      <c r="Q1346" s="20">
        <v>-12.64</v>
      </c>
      <c r="AM1346" s="20">
        <v>686.0</v>
      </c>
      <c r="AN1346" s="20" t="s">
        <v>17</v>
      </c>
      <c r="AO1346" s="20">
        <v>-37.33</v>
      </c>
      <c r="AP1346" s="20">
        <v>-32.76</v>
      </c>
      <c r="AS1346" s="20">
        <v>676.0</v>
      </c>
      <c r="AT1346" s="20" t="s">
        <v>17</v>
      </c>
      <c r="AU1346" s="20">
        <v>-46.09</v>
      </c>
      <c r="AV1346" s="20">
        <v>4.81</v>
      </c>
      <c r="BM1346" s="20">
        <v>162.0</v>
      </c>
      <c r="BN1346" s="20">
        <v>11.93</v>
      </c>
      <c r="BZ1346" s="20">
        <v>-48.65</v>
      </c>
      <c r="CA1346" s="20">
        <v>37.7</v>
      </c>
      <c r="CO1346" s="20">
        <v>13.26</v>
      </c>
      <c r="CP1346" s="20">
        <v>-42.83</v>
      </c>
    </row>
    <row r="1347">
      <c r="A1347" s="20"/>
      <c r="B1347" s="20"/>
      <c r="C1347" s="20"/>
      <c r="D1347" s="20"/>
      <c r="E1347" s="20"/>
      <c r="F1347" s="20"/>
      <c r="G1347" s="20"/>
      <c r="H1347" s="20"/>
      <c r="I1347" s="20"/>
      <c r="J1347" s="20"/>
      <c r="K1347" s="20">
        <v>673.0</v>
      </c>
      <c r="L1347" s="20" t="s">
        <v>14</v>
      </c>
      <c r="M1347" s="20">
        <v>-2.88</v>
      </c>
      <c r="N1347" s="20">
        <v>80.28</v>
      </c>
      <c r="P1347" s="20">
        <v>-17.66</v>
      </c>
      <c r="Q1347" s="20">
        <v>12.69</v>
      </c>
      <c r="AM1347" s="20">
        <v>687.0</v>
      </c>
      <c r="AN1347" s="20" t="s">
        <v>14</v>
      </c>
      <c r="AO1347" s="20">
        <v>-22.88</v>
      </c>
      <c r="AP1347" s="20">
        <v>-35.89</v>
      </c>
      <c r="AS1347" s="20">
        <v>677.0</v>
      </c>
      <c r="AT1347" s="20" t="s">
        <v>14</v>
      </c>
      <c r="AU1347" s="20">
        <v>-19.05</v>
      </c>
      <c r="AV1347" s="20">
        <v>-34.62</v>
      </c>
      <c r="BM1347" s="20">
        <v>118.25</v>
      </c>
      <c r="BN1347" s="20">
        <v>71.31</v>
      </c>
      <c r="BZ1347" s="20">
        <v>-40.17</v>
      </c>
      <c r="CA1347" s="20">
        <v>34.92</v>
      </c>
      <c r="CO1347" s="20">
        <v>-30.0</v>
      </c>
      <c r="CP1347" s="20">
        <v>-44.41</v>
      </c>
    </row>
    <row r="1348">
      <c r="A1348" s="20"/>
      <c r="B1348" s="20"/>
      <c r="C1348" s="20"/>
      <c r="D1348" s="20"/>
      <c r="E1348" s="20"/>
      <c r="F1348" s="20"/>
      <c r="G1348" s="20"/>
      <c r="H1348" s="20"/>
      <c r="I1348" s="20"/>
      <c r="J1348" s="20"/>
      <c r="K1348" s="20">
        <v>673.0</v>
      </c>
      <c r="L1348" s="20" t="s">
        <v>17</v>
      </c>
      <c r="M1348" s="20">
        <v>-2.64</v>
      </c>
      <c r="N1348" s="20">
        <v>2.4</v>
      </c>
      <c r="P1348" s="20">
        <v>-1.1</v>
      </c>
      <c r="Q1348" s="20">
        <v>58.91</v>
      </c>
      <c r="AM1348" s="20">
        <v>687.0</v>
      </c>
      <c r="AN1348" s="20" t="s">
        <v>17</v>
      </c>
      <c r="AO1348" s="20">
        <v>-30.25</v>
      </c>
      <c r="AP1348" s="20">
        <v>-23.69</v>
      </c>
      <c r="AS1348" s="20">
        <v>677.0</v>
      </c>
      <c r="AT1348" s="20" t="s">
        <v>17</v>
      </c>
      <c r="AU1348" s="20">
        <v>46.89</v>
      </c>
      <c r="AV1348" s="20">
        <v>61.14</v>
      </c>
      <c r="BM1348" s="20">
        <v>248.07</v>
      </c>
      <c r="BN1348" s="20">
        <v>25.78</v>
      </c>
      <c r="BZ1348" s="20">
        <v>-63.19</v>
      </c>
      <c r="CA1348" s="20">
        <v>21.14</v>
      </c>
      <c r="CO1348" s="20">
        <v>-5.75</v>
      </c>
      <c r="CP1348" s="20">
        <v>-57.76</v>
      </c>
    </row>
    <row r="1349">
      <c r="A1349" s="20"/>
      <c r="B1349" s="20"/>
      <c r="C1349" s="20"/>
      <c r="D1349" s="20"/>
      <c r="E1349" s="20"/>
      <c r="F1349" s="20"/>
      <c r="G1349" s="20"/>
      <c r="H1349" s="20"/>
      <c r="I1349" s="20"/>
      <c r="J1349" s="20"/>
      <c r="K1349" s="20">
        <v>674.0</v>
      </c>
      <c r="L1349" s="20" t="s">
        <v>14</v>
      </c>
      <c r="M1349" s="20">
        <v>-23.28</v>
      </c>
      <c r="N1349" s="20">
        <v>78.33</v>
      </c>
      <c r="P1349" s="20">
        <v>-21.95</v>
      </c>
      <c r="Q1349" s="20">
        <v>8.18</v>
      </c>
      <c r="AM1349" s="20">
        <v>688.0</v>
      </c>
      <c r="AN1349" s="20" t="s">
        <v>14</v>
      </c>
      <c r="AO1349" s="20">
        <v>-36.56</v>
      </c>
      <c r="AP1349" s="20">
        <v>-33.04</v>
      </c>
      <c r="AS1349" s="20">
        <v>678.0</v>
      </c>
      <c r="AT1349" s="20" t="s">
        <v>14</v>
      </c>
      <c r="AU1349" s="20">
        <v>10.08</v>
      </c>
      <c r="AV1349" s="20">
        <v>-8.32</v>
      </c>
      <c r="BM1349" s="20">
        <v>53.46</v>
      </c>
      <c r="BN1349" s="20">
        <v>92.82</v>
      </c>
      <c r="BZ1349" s="20">
        <v>-44.68</v>
      </c>
      <c r="CA1349" s="20">
        <v>15.33</v>
      </c>
      <c r="CO1349" s="20">
        <v>-32.92</v>
      </c>
      <c r="CP1349" s="20">
        <v>-54.67</v>
      </c>
    </row>
    <row r="1350">
      <c r="A1350" s="20"/>
      <c r="B1350" s="20"/>
      <c r="C1350" s="20"/>
      <c r="D1350" s="20"/>
      <c r="E1350" s="20"/>
      <c r="F1350" s="20"/>
      <c r="G1350" s="20"/>
      <c r="H1350" s="20"/>
      <c r="I1350" s="20"/>
      <c r="J1350" s="20"/>
      <c r="K1350" s="20">
        <v>674.0</v>
      </c>
      <c r="L1350" s="20" t="s">
        <v>17</v>
      </c>
      <c r="M1350" s="20">
        <v>-22.67</v>
      </c>
      <c r="N1350" s="20">
        <v>17.73</v>
      </c>
      <c r="P1350" s="20">
        <v>-22.71</v>
      </c>
      <c r="Q1350" s="20">
        <v>-22.17</v>
      </c>
      <c r="AM1350" s="20">
        <v>688.0</v>
      </c>
      <c r="AN1350" s="20" t="s">
        <v>17</v>
      </c>
      <c r="AO1350" s="20">
        <v>-43.43</v>
      </c>
      <c r="AP1350" s="20">
        <v>-29.24</v>
      </c>
      <c r="AS1350" s="20">
        <v>678.0</v>
      </c>
      <c r="AT1350" s="20" t="s">
        <v>17</v>
      </c>
      <c r="AU1350" s="20">
        <v>-56.64</v>
      </c>
      <c r="AV1350" s="20">
        <v>-48.38</v>
      </c>
      <c r="BM1350" s="20">
        <v>99.34</v>
      </c>
      <c r="BN1350" s="20">
        <v>101.63</v>
      </c>
      <c r="BZ1350" s="20">
        <v>-33.45</v>
      </c>
      <c r="CA1350" s="20">
        <v>9.24</v>
      </c>
      <c r="CO1350" s="20">
        <v>3.75</v>
      </c>
      <c r="CP1350" s="20">
        <v>-45.2</v>
      </c>
    </row>
    <row r="1351">
      <c r="A1351" s="20"/>
      <c r="B1351" s="20"/>
      <c r="C1351" s="20"/>
      <c r="D1351" s="20"/>
      <c r="E1351" s="20"/>
      <c r="F1351" s="20"/>
      <c r="G1351" s="20"/>
      <c r="H1351" s="20"/>
      <c r="I1351" s="20"/>
      <c r="J1351" s="20"/>
      <c r="K1351" s="20">
        <v>675.0</v>
      </c>
      <c r="L1351" s="20" t="s">
        <v>14</v>
      </c>
      <c r="M1351" s="20">
        <v>29.21</v>
      </c>
      <c r="N1351" s="20">
        <v>82.56</v>
      </c>
      <c r="P1351" s="20">
        <v>-21.07</v>
      </c>
      <c r="Q1351" s="20">
        <v>-21.55</v>
      </c>
      <c r="AM1351" s="20">
        <v>689.0</v>
      </c>
      <c r="AN1351" s="20" t="s">
        <v>14</v>
      </c>
      <c r="AO1351" s="20">
        <v>16.66</v>
      </c>
      <c r="AP1351" s="20">
        <v>6.5</v>
      </c>
      <c r="AS1351" s="20">
        <v>679.0</v>
      </c>
      <c r="AT1351" s="20" t="s">
        <v>14</v>
      </c>
      <c r="AU1351" s="20">
        <v>-18.96</v>
      </c>
      <c r="AV1351" s="20">
        <v>-56.0</v>
      </c>
      <c r="BM1351" s="20">
        <v>161.5</v>
      </c>
      <c r="BN1351" s="20">
        <v>73.45</v>
      </c>
      <c r="BZ1351" s="20">
        <v>-43.11</v>
      </c>
      <c r="CA1351" s="20">
        <v>29.35</v>
      </c>
      <c r="CO1351" s="20">
        <v>-26.7</v>
      </c>
      <c r="CP1351" s="20">
        <v>-52.97</v>
      </c>
    </row>
    <row r="1352">
      <c r="A1352" s="20"/>
      <c r="B1352" s="20"/>
      <c r="C1352" s="20"/>
      <c r="D1352" s="20"/>
      <c r="E1352" s="20"/>
      <c r="F1352" s="20"/>
      <c r="G1352" s="20"/>
      <c r="H1352" s="20"/>
      <c r="I1352" s="20"/>
      <c r="J1352" s="20"/>
      <c r="K1352" s="20">
        <v>675.0</v>
      </c>
      <c r="L1352" s="20" t="s">
        <v>17</v>
      </c>
      <c r="M1352" s="20">
        <v>39.72</v>
      </c>
      <c r="N1352" s="20">
        <v>-28.28</v>
      </c>
      <c r="P1352" s="20">
        <v>-19.12</v>
      </c>
      <c r="Q1352" s="20">
        <v>-8.22</v>
      </c>
      <c r="AM1352" s="20">
        <v>689.0</v>
      </c>
      <c r="AN1352" s="20" t="s">
        <v>17</v>
      </c>
      <c r="AO1352" s="20">
        <v>34.03</v>
      </c>
      <c r="AP1352" s="20">
        <v>-15.63</v>
      </c>
      <c r="AS1352" s="20">
        <v>679.0</v>
      </c>
      <c r="AT1352" s="20" t="s">
        <v>17</v>
      </c>
      <c r="AU1352" s="20">
        <v>-45.75</v>
      </c>
      <c r="AV1352" s="20">
        <v>-58.99</v>
      </c>
      <c r="BM1352" s="20">
        <v>50.1</v>
      </c>
      <c r="BN1352" s="20">
        <v>104.86</v>
      </c>
      <c r="BZ1352" s="20">
        <v>-50.6</v>
      </c>
      <c r="CA1352" s="20">
        <v>106.63</v>
      </c>
      <c r="CO1352" s="20">
        <v>-7.22</v>
      </c>
      <c r="CP1352" s="20">
        <v>-16.39</v>
      </c>
    </row>
    <row r="1353">
      <c r="A1353" s="20"/>
      <c r="B1353" s="20"/>
      <c r="C1353" s="20"/>
      <c r="D1353" s="20"/>
      <c r="E1353" s="20"/>
      <c r="F1353" s="20"/>
      <c r="G1353" s="20"/>
      <c r="H1353" s="20"/>
      <c r="I1353" s="20"/>
      <c r="J1353" s="20"/>
      <c r="K1353" s="20">
        <v>676.0</v>
      </c>
      <c r="L1353" s="20" t="s">
        <v>14</v>
      </c>
      <c r="M1353" s="20">
        <v>2.08</v>
      </c>
      <c r="N1353" s="20">
        <v>85.39</v>
      </c>
      <c r="P1353" s="20">
        <v>36.26</v>
      </c>
      <c r="Q1353" s="20">
        <v>99.86</v>
      </c>
      <c r="AM1353" s="20">
        <v>690.0</v>
      </c>
      <c r="AN1353" s="20" t="s">
        <v>14</v>
      </c>
      <c r="AO1353" s="20">
        <v>-6.34</v>
      </c>
      <c r="AP1353" s="20">
        <v>-32.89</v>
      </c>
      <c r="AS1353" s="20">
        <v>680.0</v>
      </c>
      <c r="AT1353" s="20" t="s">
        <v>14</v>
      </c>
      <c r="AU1353" s="20">
        <v>-9.98</v>
      </c>
      <c r="AV1353" s="20">
        <v>-21.85</v>
      </c>
      <c r="BM1353" s="20">
        <v>72.46</v>
      </c>
      <c r="BN1353" s="20">
        <v>73.97</v>
      </c>
      <c r="BZ1353" s="20">
        <v>-38.98</v>
      </c>
      <c r="CA1353" s="20">
        <v>14.4</v>
      </c>
      <c r="CO1353" s="20">
        <v>-3.58</v>
      </c>
      <c r="CP1353" s="20">
        <v>-55.01</v>
      </c>
    </row>
    <row r="1354">
      <c r="A1354" s="20"/>
      <c r="B1354" s="20"/>
      <c r="C1354" s="20"/>
      <c r="D1354" s="20"/>
      <c r="E1354" s="20"/>
      <c r="F1354" s="20"/>
      <c r="G1354" s="20"/>
      <c r="H1354" s="20"/>
      <c r="I1354" s="20"/>
      <c r="J1354" s="20"/>
      <c r="K1354" s="20">
        <v>676.0</v>
      </c>
      <c r="L1354" s="20" t="s">
        <v>17</v>
      </c>
      <c r="M1354" s="20">
        <v>-25.44</v>
      </c>
      <c r="N1354" s="20">
        <v>5.04</v>
      </c>
      <c r="P1354" s="20">
        <v>54.18</v>
      </c>
      <c r="Q1354" s="20">
        <v>146.84</v>
      </c>
      <c r="AM1354" s="20">
        <v>690.0</v>
      </c>
      <c r="AN1354" s="20" t="s">
        <v>17</v>
      </c>
      <c r="AO1354" s="20">
        <v>4.32</v>
      </c>
      <c r="AP1354" s="20">
        <v>-3.53</v>
      </c>
      <c r="AS1354" s="20">
        <v>680.0</v>
      </c>
      <c r="AT1354" s="20" t="s">
        <v>17</v>
      </c>
      <c r="AU1354" s="20">
        <v>-5.16</v>
      </c>
      <c r="AV1354" s="20">
        <v>-39.97</v>
      </c>
      <c r="BM1354" s="20">
        <v>66.97</v>
      </c>
      <c r="BN1354" s="20">
        <v>51.39</v>
      </c>
      <c r="BZ1354" s="20">
        <v>-65.63</v>
      </c>
      <c r="CA1354" s="20">
        <v>-1.16</v>
      </c>
      <c r="CO1354" s="20">
        <v>93.75</v>
      </c>
      <c r="CP1354" s="20">
        <v>-34.03</v>
      </c>
    </row>
    <row r="1355">
      <c r="A1355" s="20"/>
      <c r="B1355" s="20"/>
      <c r="C1355" s="20"/>
      <c r="D1355" s="20"/>
      <c r="E1355" s="20"/>
      <c r="F1355" s="20"/>
      <c r="G1355" s="20"/>
      <c r="H1355" s="20"/>
      <c r="I1355" s="20"/>
      <c r="J1355" s="20"/>
      <c r="K1355" s="20">
        <v>677.0</v>
      </c>
      <c r="L1355" s="20" t="s">
        <v>14</v>
      </c>
      <c r="M1355" s="20">
        <v>-33.23</v>
      </c>
      <c r="N1355" s="20">
        <v>-4.33</v>
      </c>
      <c r="P1355" s="20">
        <v>3.48</v>
      </c>
      <c r="Q1355" s="20">
        <v>44.1</v>
      </c>
      <c r="AM1355" s="20">
        <v>691.0</v>
      </c>
      <c r="AN1355" s="20" t="s">
        <v>14</v>
      </c>
      <c r="AO1355" s="20">
        <v>-21.74</v>
      </c>
      <c r="AP1355" s="20">
        <v>-59.66</v>
      </c>
      <c r="AS1355" s="20">
        <v>681.0</v>
      </c>
      <c r="AT1355" s="20" t="s">
        <v>14</v>
      </c>
      <c r="AU1355" s="20">
        <v>-5.63</v>
      </c>
      <c r="AV1355" s="20">
        <v>-18.47</v>
      </c>
      <c r="BM1355" s="20">
        <v>58.19</v>
      </c>
      <c r="BN1355" s="20">
        <v>115.01</v>
      </c>
      <c r="BZ1355" s="20">
        <v>85.22</v>
      </c>
      <c r="CA1355" s="20">
        <v>-18.3</v>
      </c>
      <c r="CO1355" s="20">
        <v>-7.4</v>
      </c>
      <c r="CP1355" s="20">
        <v>-52.62</v>
      </c>
    </row>
    <row r="1356">
      <c r="A1356" s="20"/>
      <c r="B1356" s="20"/>
      <c r="C1356" s="20"/>
      <c r="D1356" s="20"/>
      <c r="E1356" s="20"/>
      <c r="F1356" s="20"/>
      <c r="G1356" s="20"/>
      <c r="H1356" s="20"/>
      <c r="I1356" s="20"/>
      <c r="J1356" s="20"/>
      <c r="K1356" s="20">
        <v>677.0</v>
      </c>
      <c r="L1356" s="20" t="s">
        <v>17</v>
      </c>
      <c r="M1356" s="20">
        <v>-44.0</v>
      </c>
      <c r="N1356" s="20">
        <v>-7.69</v>
      </c>
      <c r="P1356" s="20">
        <v>12.79</v>
      </c>
      <c r="Q1356" s="20">
        <v>18.54</v>
      </c>
      <c r="AM1356" s="20">
        <v>691.0</v>
      </c>
      <c r="AN1356" s="20" t="s">
        <v>17</v>
      </c>
      <c r="AO1356" s="20">
        <v>-53.99</v>
      </c>
      <c r="AP1356" s="20">
        <v>-56.53</v>
      </c>
      <c r="AS1356" s="20">
        <v>681.0</v>
      </c>
      <c r="AT1356" s="20" t="s">
        <v>17</v>
      </c>
      <c r="AU1356" s="20">
        <v>74.51</v>
      </c>
      <c r="AV1356" s="20">
        <v>-6.88</v>
      </c>
      <c r="BM1356" s="20">
        <v>154.35</v>
      </c>
      <c r="BN1356" s="20">
        <v>249.55</v>
      </c>
      <c r="BZ1356" s="20">
        <v>-65.67</v>
      </c>
      <c r="CA1356" s="20">
        <v>-2.59</v>
      </c>
      <c r="CO1356" s="20">
        <v>-8.2</v>
      </c>
      <c r="CP1356" s="20">
        <v>-55.61</v>
      </c>
    </row>
    <row r="1357">
      <c r="A1357" s="20"/>
      <c r="B1357" s="20"/>
      <c r="C1357" s="20"/>
      <c r="D1357" s="20"/>
      <c r="E1357" s="20"/>
      <c r="F1357" s="20"/>
      <c r="G1357" s="20"/>
      <c r="H1357" s="20"/>
      <c r="I1357" s="20"/>
      <c r="J1357" s="20"/>
      <c r="K1357" s="20">
        <v>678.0</v>
      </c>
      <c r="L1357" s="20" t="s">
        <v>14</v>
      </c>
      <c r="M1357" s="20">
        <v>-6.18</v>
      </c>
      <c r="N1357" s="20">
        <v>17.31</v>
      </c>
      <c r="P1357" s="20">
        <v>12.07</v>
      </c>
      <c r="Q1357" s="20">
        <v>25.69</v>
      </c>
      <c r="AM1357" s="20">
        <v>692.0</v>
      </c>
      <c r="AN1357" s="20" t="s">
        <v>14</v>
      </c>
      <c r="AO1357" s="20">
        <v>-21.19</v>
      </c>
      <c r="AP1357" s="20">
        <v>-43.0</v>
      </c>
      <c r="AS1357" s="20">
        <v>682.0</v>
      </c>
      <c r="AT1357" s="20" t="s">
        <v>14</v>
      </c>
      <c r="AU1357" s="20">
        <v>7.53</v>
      </c>
      <c r="AV1357" s="20">
        <v>-31.63</v>
      </c>
      <c r="BM1357" s="20">
        <v>129.19</v>
      </c>
      <c r="BN1357" s="20">
        <v>133.49</v>
      </c>
      <c r="BZ1357" s="20">
        <v>18.19</v>
      </c>
      <c r="CA1357" s="20">
        <v>160.79</v>
      </c>
      <c r="CO1357" s="20">
        <v>30.98</v>
      </c>
      <c r="CP1357" s="20">
        <v>-50.54</v>
      </c>
    </row>
    <row r="1358">
      <c r="A1358" s="20"/>
      <c r="B1358" s="20"/>
      <c r="C1358" s="20"/>
      <c r="D1358" s="20"/>
      <c r="E1358" s="20"/>
      <c r="F1358" s="20"/>
      <c r="G1358" s="20"/>
      <c r="H1358" s="20"/>
      <c r="I1358" s="20"/>
      <c r="J1358" s="20"/>
      <c r="K1358" s="20">
        <v>678.0</v>
      </c>
      <c r="L1358" s="20" t="s">
        <v>17</v>
      </c>
      <c r="M1358" s="20">
        <v>-9.6</v>
      </c>
      <c r="N1358" s="20">
        <v>44.43</v>
      </c>
      <c r="P1358" s="20">
        <v>-6.94</v>
      </c>
      <c r="Q1358" s="20">
        <v>95.57</v>
      </c>
      <c r="AM1358" s="20">
        <v>692.0</v>
      </c>
      <c r="AN1358" s="20" t="s">
        <v>17</v>
      </c>
      <c r="AO1358" s="20">
        <v>-61.45</v>
      </c>
      <c r="AP1358" s="20">
        <v>-27.53</v>
      </c>
      <c r="AS1358" s="20">
        <v>682.0</v>
      </c>
      <c r="AT1358" s="20" t="s">
        <v>17</v>
      </c>
      <c r="AU1358" s="20">
        <v>-30.5</v>
      </c>
      <c r="AV1358" s="20">
        <v>-43.39</v>
      </c>
      <c r="BM1358" s="20">
        <v>192.45</v>
      </c>
      <c r="BN1358" s="20">
        <v>105.2</v>
      </c>
      <c r="BZ1358" s="20">
        <v>16.82</v>
      </c>
      <c r="CA1358" s="20">
        <v>108.78</v>
      </c>
      <c r="CO1358" s="20">
        <v>19.33</v>
      </c>
      <c r="CP1358" s="20">
        <v>-33.66</v>
      </c>
    </row>
    <row r="1359">
      <c r="A1359" s="20"/>
      <c r="B1359" s="20"/>
      <c r="C1359" s="20"/>
      <c r="D1359" s="20"/>
      <c r="E1359" s="20"/>
      <c r="F1359" s="20"/>
      <c r="G1359" s="20"/>
      <c r="H1359" s="20"/>
      <c r="I1359" s="20"/>
      <c r="J1359" s="20"/>
      <c r="K1359" s="20">
        <v>679.0</v>
      </c>
      <c r="L1359" s="20" t="s">
        <v>14</v>
      </c>
      <c r="M1359" s="20">
        <v>11.44</v>
      </c>
      <c r="N1359" s="20">
        <v>29.13</v>
      </c>
      <c r="P1359" s="20">
        <v>1.89</v>
      </c>
      <c r="Q1359" s="20">
        <v>67.18</v>
      </c>
      <c r="AM1359" s="20">
        <v>693.0</v>
      </c>
      <c r="AN1359" s="20" t="s">
        <v>14</v>
      </c>
      <c r="AO1359" s="20">
        <v>21.21</v>
      </c>
      <c r="AP1359" s="20">
        <v>-11.92</v>
      </c>
      <c r="AS1359" s="20">
        <v>683.0</v>
      </c>
      <c r="AT1359" s="20" t="s">
        <v>14</v>
      </c>
      <c r="AU1359" s="20">
        <v>-14.18</v>
      </c>
      <c r="AV1359" s="20">
        <v>-51.27</v>
      </c>
      <c r="BM1359" s="20">
        <v>110.93</v>
      </c>
      <c r="BN1359" s="20">
        <v>110.82</v>
      </c>
      <c r="BZ1359" s="20">
        <v>21.81</v>
      </c>
      <c r="CA1359" s="20">
        <v>33.42</v>
      </c>
      <c r="CO1359" s="20">
        <v>10.29</v>
      </c>
      <c r="CP1359" s="20">
        <v>-35.27</v>
      </c>
    </row>
    <row r="1360">
      <c r="A1360" s="20"/>
      <c r="B1360" s="20"/>
      <c r="C1360" s="20"/>
      <c r="D1360" s="20"/>
      <c r="E1360" s="20"/>
      <c r="F1360" s="20"/>
      <c r="G1360" s="20"/>
      <c r="H1360" s="20"/>
      <c r="I1360" s="20"/>
      <c r="J1360" s="20"/>
      <c r="K1360" s="20">
        <v>679.0</v>
      </c>
      <c r="L1360" s="20" t="s">
        <v>17</v>
      </c>
      <c r="M1360" s="20">
        <v>-27.51</v>
      </c>
      <c r="N1360" s="20">
        <v>-16.38</v>
      </c>
      <c r="P1360" s="20">
        <v>-12.47</v>
      </c>
      <c r="Q1360" s="20">
        <v>44.39</v>
      </c>
      <c r="AM1360" s="20">
        <v>693.0</v>
      </c>
      <c r="AN1360" s="20" t="s">
        <v>17</v>
      </c>
      <c r="AO1360" s="20">
        <v>29.78</v>
      </c>
      <c r="AP1360" s="20">
        <v>-8.08</v>
      </c>
      <c r="AS1360" s="20">
        <v>683.0</v>
      </c>
      <c r="AT1360" s="20" t="s">
        <v>17</v>
      </c>
      <c r="AU1360" s="20">
        <v>-16.74</v>
      </c>
      <c r="AV1360" s="20">
        <v>-58.07</v>
      </c>
      <c r="BM1360" s="20">
        <v>59.3</v>
      </c>
      <c r="BN1360" s="20">
        <v>122.32</v>
      </c>
      <c r="BZ1360" s="20">
        <v>-10.42</v>
      </c>
      <c r="CA1360" s="20">
        <v>35.81</v>
      </c>
      <c r="CO1360" s="20">
        <v>-12.11</v>
      </c>
      <c r="CP1360" s="20">
        <v>-59.07</v>
      </c>
    </row>
    <row r="1361">
      <c r="A1361" s="20"/>
      <c r="B1361" s="20"/>
      <c r="C1361" s="20"/>
      <c r="D1361" s="20"/>
      <c r="E1361" s="20"/>
      <c r="F1361" s="20"/>
      <c r="G1361" s="20"/>
      <c r="H1361" s="20"/>
      <c r="I1361" s="20"/>
      <c r="J1361" s="20"/>
      <c r="K1361" s="20">
        <v>680.0</v>
      </c>
      <c r="L1361" s="20" t="s">
        <v>14</v>
      </c>
      <c r="M1361" s="20">
        <v>-22.72</v>
      </c>
      <c r="N1361" s="20">
        <v>-1.25</v>
      </c>
      <c r="P1361" s="20">
        <v>-39.55</v>
      </c>
      <c r="Q1361" s="20">
        <v>7.9</v>
      </c>
      <c r="AM1361" s="20">
        <v>694.0</v>
      </c>
      <c r="AN1361" s="20" t="s">
        <v>14</v>
      </c>
      <c r="AO1361" s="20">
        <v>-20.36</v>
      </c>
      <c r="AP1361" s="20">
        <v>-34.37</v>
      </c>
      <c r="AS1361" s="20">
        <v>684.0</v>
      </c>
      <c r="AT1361" s="20" t="s">
        <v>14</v>
      </c>
      <c r="AU1361" s="20">
        <v>1.11</v>
      </c>
      <c r="AV1361" s="20">
        <v>-20.07</v>
      </c>
      <c r="BM1361" s="20">
        <v>220.63</v>
      </c>
      <c r="BN1361" s="20">
        <v>110.74</v>
      </c>
      <c r="BZ1361" s="20">
        <v>-28.11</v>
      </c>
      <c r="CA1361" s="20">
        <v>47.87</v>
      </c>
      <c r="CO1361" s="20">
        <v>33.0</v>
      </c>
      <c r="CP1361" s="20">
        <v>-57.15</v>
      </c>
    </row>
    <row r="1362">
      <c r="A1362" s="20"/>
      <c r="B1362" s="20"/>
      <c r="C1362" s="20"/>
      <c r="D1362" s="20"/>
      <c r="E1362" s="20"/>
      <c r="F1362" s="20"/>
      <c r="G1362" s="20"/>
      <c r="H1362" s="20"/>
      <c r="I1362" s="20"/>
      <c r="J1362" s="20"/>
      <c r="K1362" s="20">
        <v>680.0</v>
      </c>
      <c r="L1362" s="20" t="s">
        <v>17</v>
      </c>
      <c r="M1362" s="20">
        <v>-35.3</v>
      </c>
      <c r="N1362" s="20">
        <v>14.64</v>
      </c>
      <c r="P1362" s="20">
        <v>-86.45</v>
      </c>
      <c r="Q1362" s="20">
        <v>-75.33</v>
      </c>
      <c r="AM1362" s="20">
        <v>694.0</v>
      </c>
      <c r="AN1362" s="20" t="s">
        <v>17</v>
      </c>
      <c r="AO1362" s="20">
        <v>-32.29</v>
      </c>
      <c r="AP1362" s="20">
        <v>-29.9</v>
      </c>
      <c r="AS1362" s="20">
        <v>684.0</v>
      </c>
      <c r="AT1362" s="20" t="s">
        <v>17</v>
      </c>
      <c r="AU1362" s="20">
        <v>-24.81</v>
      </c>
      <c r="AV1362" s="20">
        <v>-10.03</v>
      </c>
      <c r="BM1362" s="20">
        <v>132.74</v>
      </c>
      <c r="BN1362" s="20">
        <v>61.3</v>
      </c>
      <c r="BZ1362" s="20">
        <v>-37.45</v>
      </c>
      <c r="CA1362" s="20">
        <v>49.36</v>
      </c>
      <c r="CO1362" s="20">
        <v>-17.02</v>
      </c>
      <c r="CP1362" s="20">
        <v>-53.55</v>
      </c>
    </row>
    <row r="1363">
      <c r="A1363" s="20"/>
      <c r="B1363" s="20"/>
      <c r="C1363" s="20"/>
      <c r="D1363" s="20"/>
      <c r="E1363" s="20"/>
      <c r="F1363" s="20"/>
      <c r="G1363" s="20"/>
      <c r="H1363" s="20"/>
      <c r="I1363" s="20"/>
      <c r="J1363" s="20"/>
      <c r="K1363" s="20">
        <v>681.0</v>
      </c>
      <c r="L1363" s="20" t="s">
        <v>14</v>
      </c>
      <c r="M1363" s="20">
        <v>-31.38</v>
      </c>
      <c r="N1363" s="20">
        <v>-11.79</v>
      </c>
      <c r="P1363" s="20">
        <v>-19.06</v>
      </c>
      <c r="Q1363" s="20">
        <v>5.69</v>
      </c>
      <c r="AM1363" s="20">
        <v>695.0</v>
      </c>
      <c r="AN1363" s="20" t="s">
        <v>14</v>
      </c>
      <c r="AO1363" s="20">
        <v>-13.51</v>
      </c>
      <c r="AP1363" s="20">
        <v>-16.93</v>
      </c>
      <c r="AS1363" s="20">
        <v>685.0</v>
      </c>
      <c r="AT1363" s="20" t="s">
        <v>14</v>
      </c>
      <c r="AU1363" s="20">
        <v>-21.34</v>
      </c>
      <c r="AV1363" s="20">
        <v>-26.2</v>
      </c>
      <c r="BM1363" s="20">
        <v>88.74</v>
      </c>
      <c r="BN1363" s="20">
        <v>214.89</v>
      </c>
      <c r="BZ1363" s="20">
        <v>57.18</v>
      </c>
      <c r="CA1363" s="20">
        <v>245.83</v>
      </c>
      <c r="CO1363" s="20">
        <v>9.86</v>
      </c>
      <c r="CP1363" s="20">
        <v>-60.78</v>
      </c>
    </row>
    <row r="1364">
      <c r="A1364" s="20"/>
      <c r="B1364" s="20"/>
      <c r="C1364" s="20"/>
      <c r="D1364" s="20"/>
      <c r="E1364" s="20"/>
      <c r="F1364" s="20"/>
      <c r="G1364" s="20"/>
      <c r="H1364" s="20"/>
      <c r="I1364" s="20"/>
      <c r="J1364" s="20"/>
      <c r="K1364" s="20">
        <v>681.0</v>
      </c>
      <c r="L1364" s="20" t="s">
        <v>17</v>
      </c>
      <c r="M1364" s="20">
        <v>-27.17</v>
      </c>
      <c r="N1364" s="20">
        <v>-17.84</v>
      </c>
      <c r="P1364" s="20">
        <v>-58.71</v>
      </c>
      <c r="Q1364" s="20">
        <v>-70.84</v>
      </c>
      <c r="AM1364" s="20">
        <v>695.0</v>
      </c>
      <c r="AN1364" s="20" t="s">
        <v>17</v>
      </c>
      <c r="AO1364" s="20">
        <v>-23.7</v>
      </c>
      <c r="AP1364" s="20">
        <v>-4.87</v>
      </c>
      <c r="AS1364" s="20">
        <v>685.0</v>
      </c>
      <c r="AT1364" s="20" t="s">
        <v>17</v>
      </c>
      <c r="AU1364" s="20">
        <v>-36.72</v>
      </c>
      <c r="AV1364" s="20">
        <v>-40.7</v>
      </c>
      <c r="BM1364" s="20">
        <v>89.63</v>
      </c>
      <c r="BN1364" s="20">
        <v>7.64</v>
      </c>
      <c r="BZ1364" s="20">
        <v>3.59</v>
      </c>
      <c r="CA1364" s="20">
        <v>246.1</v>
      </c>
      <c r="CO1364" s="20">
        <v>8.66</v>
      </c>
      <c r="CP1364" s="20">
        <v>-54.73</v>
      </c>
    </row>
    <row r="1365">
      <c r="A1365" s="20"/>
      <c r="B1365" s="20"/>
      <c r="C1365" s="20"/>
      <c r="D1365" s="20"/>
      <c r="E1365" s="20"/>
      <c r="F1365" s="20"/>
      <c r="G1365" s="20"/>
      <c r="H1365" s="20"/>
      <c r="I1365" s="20"/>
      <c r="J1365" s="20"/>
      <c r="K1365" s="20">
        <v>682.0</v>
      </c>
      <c r="L1365" s="20" t="s">
        <v>14</v>
      </c>
      <c r="M1365" s="20">
        <v>-5.4</v>
      </c>
      <c r="N1365" s="20">
        <v>-4.59</v>
      </c>
      <c r="P1365" s="20">
        <v>-21.27</v>
      </c>
      <c r="Q1365" s="20">
        <v>-8.93</v>
      </c>
      <c r="AM1365" s="20">
        <v>696.0</v>
      </c>
      <c r="AN1365" s="20" t="s">
        <v>14</v>
      </c>
      <c r="AO1365" s="20">
        <v>-18.36</v>
      </c>
      <c r="AP1365" s="20">
        <v>-27.62</v>
      </c>
      <c r="AS1365" s="20">
        <v>686.0</v>
      </c>
      <c r="AT1365" s="20" t="s">
        <v>14</v>
      </c>
      <c r="AU1365" s="20">
        <v>-11.52</v>
      </c>
      <c r="AV1365" s="20">
        <v>-24.06</v>
      </c>
      <c r="BM1365" s="20">
        <v>86.67</v>
      </c>
      <c r="BN1365" s="20">
        <v>80.47</v>
      </c>
      <c r="BZ1365" s="20">
        <v>15.85</v>
      </c>
      <c r="CA1365" s="20">
        <v>78.22</v>
      </c>
      <c r="CO1365" s="20">
        <v>0.48</v>
      </c>
      <c r="CP1365" s="20">
        <v>-29.29</v>
      </c>
    </row>
    <row r="1366">
      <c r="A1366" s="20"/>
      <c r="B1366" s="20"/>
      <c r="C1366" s="20"/>
      <c r="D1366" s="20"/>
      <c r="E1366" s="20"/>
      <c r="F1366" s="20"/>
      <c r="G1366" s="20"/>
      <c r="H1366" s="20"/>
      <c r="I1366" s="20"/>
      <c r="J1366" s="20"/>
      <c r="K1366" s="20">
        <v>682.0</v>
      </c>
      <c r="L1366" s="20" t="s">
        <v>17</v>
      </c>
      <c r="M1366" s="20">
        <v>-20.19</v>
      </c>
      <c r="N1366" s="20">
        <v>-6.38</v>
      </c>
      <c r="P1366" s="20">
        <v>-66.94</v>
      </c>
      <c r="Q1366" s="20">
        <v>-39.81</v>
      </c>
      <c r="AM1366" s="20">
        <v>696.0</v>
      </c>
      <c r="AN1366" s="20" t="s">
        <v>17</v>
      </c>
      <c r="AO1366" s="20">
        <v>-4.83</v>
      </c>
      <c r="AP1366" s="20">
        <v>0.5</v>
      </c>
      <c r="AS1366" s="20">
        <v>686.0</v>
      </c>
      <c r="AT1366" s="20" t="s">
        <v>17</v>
      </c>
      <c r="AU1366" s="20">
        <v>-3.89</v>
      </c>
      <c r="AV1366" s="20">
        <v>-5.1</v>
      </c>
      <c r="BM1366" s="20">
        <v>122.97</v>
      </c>
      <c r="BN1366" s="20">
        <v>115.19</v>
      </c>
      <c r="BZ1366" s="20">
        <v>-50.39</v>
      </c>
      <c r="CA1366" s="20">
        <v>85.66</v>
      </c>
      <c r="CO1366" s="20">
        <v>7.3</v>
      </c>
      <c r="CP1366" s="20">
        <v>8.4</v>
      </c>
    </row>
    <row r="1367">
      <c r="A1367" s="20"/>
      <c r="B1367" s="20"/>
      <c r="C1367" s="20"/>
      <c r="D1367" s="20"/>
      <c r="E1367" s="20"/>
      <c r="F1367" s="20"/>
      <c r="G1367" s="20"/>
      <c r="H1367" s="20"/>
      <c r="I1367" s="20"/>
      <c r="J1367" s="20"/>
      <c r="K1367" s="20">
        <v>683.0</v>
      </c>
      <c r="L1367" s="20" t="s">
        <v>14</v>
      </c>
      <c r="M1367" s="20">
        <v>-13.39</v>
      </c>
      <c r="N1367" s="20">
        <v>25.04</v>
      </c>
      <c r="P1367" s="20">
        <v>-28.6</v>
      </c>
      <c r="Q1367" s="20">
        <v>69.49</v>
      </c>
      <c r="AM1367" s="20">
        <v>698.0</v>
      </c>
      <c r="AN1367" s="20" t="s">
        <v>14</v>
      </c>
      <c r="AO1367" s="20">
        <v>13.54</v>
      </c>
      <c r="AP1367" s="20">
        <v>-46.53</v>
      </c>
      <c r="AS1367" s="20">
        <v>687.0</v>
      </c>
      <c r="AT1367" s="20" t="s">
        <v>14</v>
      </c>
      <c r="AU1367" s="20">
        <v>4.88</v>
      </c>
      <c r="AV1367" s="20">
        <v>-11.02</v>
      </c>
      <c r="BM1367" s="20">
        <v>104.53</v>
      </c>
      <c r="BN1367" s="20">
        <v>95.26</v>
      </c>
      <c r="BZ1367" s="20">
        <v>-62.08</v>
      </c>
      <c r="CA1367" s="20">
        <v>137.11</v>
      </c>
      <c r="CO1367" s="20">
        <v>-0.51</v>
      </c>
      <c r="CP1367" s="20">
        <v>-58.25</v>
      </c>
    </row>
    <row r="1368">
      <c r="A1368" s="20"/>
      <c r="B1368" s="20"/>
      <c r="C1368" s="20"/>
      <c r="D1368" s="20"/>
      <c r="E1368" s="20"/>
      <c r="F1368" s="20"/>
      <c r="G1368" s="20"/>
      <c r="H1368" s="20"/>
      <c r="I1368" s="20"/>
      <c r="J1368" s="20"/>
      <c r="K1368" s="20">
        <v>683.0</v>
      </c>
      <c r="L1368" s="20" t="s">
        <v>17</v>
      </c>
      <c r="M1368" s="20">
        <v>-32.34</v>
      </c>
      <c r="N1368" s="20">
        <v>4.91</v>
      </c>
      <c r="P1368" s="20">
        <v>-23.86</v>
      </c>
      <c r="Q1368" s="20">
        <v>94.69</v>
      </c>
      <c r="AM1368" s="20">
        <v>698.0</v>
      </c>
      <c r="AN1368" s="20" t="s">
        <v>17</v>
      </c>
      <c r="AO1368" s="20">
        <v>3.86</v>
      </c>
      <c r="AP1368" s="20">
        <v>-60.49</v>
      </c>
      <c r="AS1368" s="20">
        <v>687.0</v>
      </c>
      <c r="AT1368" s="20" t="s">
        <v>17</v>
      </c>
      <c r="AU1368" s="20">
        <v>-26.94</v>
      </c>
      <c r="AV1368" s="20">
        <v>-42.41</v>
      </c>
      <c r="BM1368" s="20">
        <v>35.82</v>
      </c>
      <c r="BN1368" s="20">
        <v>146.31</v>
      </c>
      <c r="BZ1368" s="20">
        <v>-65.68</v>
      </c>
      <c r="CA1368" s="20">
        <v>75.71</v>
      </c>
      <c r="CO1368" s="20">
        <v>10.09</v>
      </c>
      <c r="CP1368" s="20">
        <v>-63.64</v>
      </c>
    </row>
    <row r="1369">
      <c r="A1369" s="20"/>
      <c r="B1369" s="20"/>
      <c r="C1369" s="20"/>
      <c r="D1369" s="20"/>
      <c r="E1369" s="20"/>
      <c r="F1369" s="20"/>
      <c r="G1369" s="20"/>
      <c r="H1369" s="20"/>
      <c r="I1369" s="20"/>
      <c r="J1369" s="20"/>
      <c r="K1369" s="20">
        <v>684.0</v>
      </c>
      <c r="L1369" s="20" t="s">
        <v>14</v>
      </c>
      <c r="M1369" s="20">
        <v>-15.01</v>
      </c>
      <c r="N1369" s="20">
        <v>10.21</v>
      </c>
      <c r="P1369" s="20">
        <v>-20.26</v>
      </c>
      <c r="Q1369" s="20">
        <v>-3.54</v>
      </c>
      <c r="AM1369" s="20">
        <v>701.0</v>
      </c>
      <c r="AN1369" s="20" t="s">
        <v>14</v>
      </c>
      <c r="AO1369" s="20">
        <v>1.96</v>
      </c>
      <c r="AP1369" s="20">
        <v>-21.37</v>
      </c>
      <c r="AS1369" s="20">
        <v>688.0</v>
      </c>
      <c r="AT1369" s="20" t="s">
        <v>14</v>
      </c>
      <c r="AU1369" s="20">
        <v>-13.76</v>
      </c>
      <c r="AV1369" s="20">
        <v>-9.95</v>
      </c>
      <c r="BM1369" s="20">
        <v>38.05</v>
      </c>
      <c r="BN1369" s="20">
        <v>61.19</v>
      </c>
      <c r="BZ1369" s="20">
        <v>-41.66</v>
      </c>
      <c r="CA1369" s="20">
        <v>75.63</v>
      </c>
      <c r="CO1369" s="20">
        <v>-31.49</v>
      </c>
      <c r="CP1369" s="20">
        <v>-61.42</v>
      </c>
    </row>
    <row r="1370">
      <c r="A1370" s="20"/>
      <c r="B1370" s="20"/>
      <c r="C1370" s="20"/>
      <c r="D1370" s="20"/>
      <c r="E1370" s="20"/>
      <c r="F1370" s="20"/>
      <c r="G1370" s="20"/>
      <c r="H1370" s="20"/>
      <c r="I1370" s="20"/>
      <c r="J1370" s="20"/>
      <c r="K1370" s="20">
        <v>684.0</v>
      </c>
      <c r="L1370" s="20" t="s">
        <v>17</v>
      </c>
      <c r="M1370" s="20">
        <v>-3.94</v>
      </c>
      <c r="N1370" s="20">
        <v>45.62</v>
      </c>
      <c r="P1370" s="20">
        <v>-29.69</v>
      </c>
      <c r="Q1370" s="20">
        <v>17.4</v>
      </c>
      <c r="AM1370" s="20">
        <v>701.0</v>
      </c>
      <c r="AN1370" s="20" t="s">
        <v>17</v>
      </c>
      <c r="AO1370" s="20">
        <v>-10.36</v>
      </c>
      <c r="AP1370" s="20">
        <v>11.59</v>
      </c>
      <c r="AS1370" s="20">
        <v>688.0</v>
      </c>
      <c r="AT1370" s="20" t="s">
        <v>17</v>
      </c>
      <c r="AU1370" s="20">
        <v>0.85</v>
      </c>
      <c r="AV1370" s="20">
        <v>-9.49</v>
      </c>
      <c r="BM1370" s="20">
        <v>71.44</v>
      </c>
      <c r="BN1370" s="20">
        <v>57.55</v>
      </c>
      <c r="BZ1370" s="20">
        <v>-34.02</v>
      </c>
      <c r="CA1370" s="20">
        <v>46.6</v>
      </c>
      <c r="CO1370" s="20">
        <v>-45.82</v>
      </c>
      <c r="CP1370" s="20">
        <v>-66.26</v>
      </c>
    </row>
    <row r="1371">
      <c r="A1371" s="20"/>
      <c r="B1371" s="20"/>
      <c r="C1371" s="20"/>
      <c r="D1371" s="20"/>
      <c r="E1371" s="20"/>
      <c r="F1371" s="20"/>
      <c r="G1371" s="20"/>
      <c r="H1371" s="20"/>
      <c r="I1371" s="20"/>
      <c r="J1371" s="20"/>
      <c r="K1371" s="20">
        <v>685.0</v>
      </c>
      <c r="L1371" s="20" t="s">
        <v>14</v>
      </c>
      <c r="M1371" s="20">
        <v>-31.54</v>
      </c>
      <c r="N1371" s="20">
        <v>-31.1</v>
      </c>
      <c r="P1371" s="20">
        <v>-30.26</v>
      </c>
      <c r="Q1371" s="20">
        <v>9.66</v>
      </c>
      <c r="AM1371" s="20">
        <v>702.0</v>
      </c>
      <c r="AN1371" s="20" t="s">
        <v>14</v>
      </c>
      <c r="AO1371" s="20">
        <v>13.75</v>
      </c>
      <c r="AP1371" s="20">
        <v>44.99</v>
      </c>
      <c r="AS1371" s="20">
        <v>689.0</v>
      </c>
      <c r="AT1371" s="20" t="s">
        <v>14</v>
      </c>
      <c r="AU1371" s="20">
        <v>-8.84</v>
      </c>
      <c r="AV1371" s="20">
        <v>-29.06</v>
      </c>
      <c r="BM1371" s="20">
        <v>63.27</v>
      </c>
      <c r="BN1371" s="20">
        <v>48.09</v>
      </c>
      <c r="BZ1371" s="20">
        <v>-44.7</v>
      </c>
      <c r="CA1371" s="20">
        <v>220.08</v>
      </c>
      <c r="CO1371" s="20">
        <v>-37.14</v>
      </c>
      <c r="CP1371" s="20">
        <v>-43.73</v>
      </c>
    </row>
    <row r="1372">
      <c r="A1372" s="20"/>
      <c r="B1372" s="20"/>
      <c r="C1372" s="20"/>
      <c r="D1372" s="20"/>
      <c r="E1372" s="20"/>
      <c r="F1372" s="20"/>
      <c r="G1372" s="20"/>
      <c r="H1372" s="20"/>
      <c r="I1372" s="20"/>
      <c r="J1372" s="20"/>
      <c r="K1372" s="20">
        <v>685.0</v>
      </c>
      <c r="L1372" s="20" t="s">
        <v>17</v>
      </c>
      <c r="M1372" s="20">
        <v>-36.28</v>
      </c>
      <c r="N1372" s="20">
        <v>-20.95</v>
      </c>
      <c r="P1372" s="20">
        <v>-21.44</v>
      </c>
      <c r="Q1372" s="20">
        <v>-32.8</v>
      </c>
      <c r="AM1372" s="20">
        <v>702.0</v>
      </c>
      <c r="AN1372" s="20" t="s">
        <v>17</v>
      </c>
      <c r="AO1372" s="20">
        <v>-18.41</v>
      </c>
      <c r="AP1372" s="20">
        <v>-1.96</v>
      </c>
      <c r="AS1372" s="20">
        <v>689.0</v>
      </c>
      <c r="AT1372" s="20" t="s">
        <v>17</v>
      </c>
      <c r="AU1372" s="20">
        <v>-40.36</v>
      </c>
      <c r="AV1372" s="20">
        <v>-28.49</v>
      </c>
      <c r="BM1372" s="20">
        <v>135.49</v>
      </c>
      <c r="BN1372" s="20">
        <v>162.6</v>
      </c>
      <c r="BZ1372" s="20">
        <v>-56.35</v>
      </c>
      <c r="CA1372" s="20">
        <v>19.37</v>
      </c>
      <c r="CO1372" s="20">
        <v>-33.47</v>
      </c>
      <c r="CP1372" s="20">
        <v>-20.18</v>
      </c>
    </row>
    <row r="1373">
      <c r="A1373" s="20"/>
      <c r="B1373" s="20"/>
      <c r="C1373" s="20"/>
      <c r="D1373" s="20"/>
      <c r="E1373" s="20"/>
      <c r="F1373" s="20"/>
      <c r="G1373" s="20"/>
      <c r="H1373" s="20"/>
      <c r="I1373" s="20"/>
      <c r="J1373" s="20"/>
      <c r="K1373" s="20">
        <v>686.0</v>
      </c>
      <c r="L1373" s="20" t="s">
        <v>14</v>
      </c>
      <c r="M1373" s="20">
        <v>9.01</v>
      </c>
      <c r="N1373" s="20">
        <v>13.76</v>
      </c>
      <c r="P1373" s="20">
        <v>-6.73</v>
      </c>
      <c r="Q1373" s="20">
        <v>-7.27</v>
      </c>
      <c r="AM1373" s="20">
        <v>703.0</v>
      </c>
      <c r="AN1373" s="20" t="s">
        <v>14</v>
      </c>
      <c r="AO1373" s="20">
        <v>-18.43</v>
      </c>
      <c r="AP1373" s="20">
        <v>-48.41</v>
      </c>
      <c r="AS1373" s="20">
        <v>690.0</v>
      </c>
      <c r="AT1373" s="20" t="s">
        <v>14</v>
      </c>
      <c r="AU1373" s="20">
        <v>-1.18</v>
      </c>
      <c r="AV1373" s="20">
        <v>-10.0</v>
      </c>
      <c r="BM1373" s="20">
        <v>113.31</v>
      </c>
      <c r="BN1373" s="20">
        <v>31.11</v>
      </c>
      <c r="BZ1373" s="20">
        <v>-11.95</v>
      </c>
      <c r="CA1373" s="20">
        <v>219.9</v>
      </c>
      <c r="CO1373" s="20">
        <v>-40.61</v>
      </c>
      <c r="CP1373" s="20">
        <v>-34.43</v>
      </c>
    </row>
    <row r="1374">
      <c r="A1374" s="20"/>
      <c r="B1374" s="20"/>
      <c r="C1374" s="20"/>
      <c r="D1374" s="20"/>
      <c r="E1374" s="20"/>
      <c r="F1374" s="20"/>
      <c r="G1374" s="20"/>
      <c r="H1374" s="20"/>
      <c r="I1374" s="20"/>
      <c r="J1374" s="20"/>
      <c r="K1374" s="20">
        <v>686.0</v>
      </c>
      <c r="L1374" s="20" t="s">
        <v>17</v>
      </c>
      <c r="M1374" s="20">
        <v>-6.42</v>
      </c>
      <c r="N1374" s="20">
        <v>12.43</v>
      </c>
      <c r="P1374" s="20">
        <v>-18.05</v>
      </c>
      <c r="Q1374" s="20">
        <v>18.11</v>
      </c>
      <c r="AM1374" s="20">
        <v>703.0</v>
      </c>
      <c r="AN1374" s="20" t="s">
        <v>17</v>
      </c>
      <c r="AO1374" s="20">
        <v>-39.64</v>
      </c>
      <c r="AP1374" s="20">
        <v>-32.67</v>
      </c>
      <c r="AS1374" s="20">
        <v>690.0</v>
      </c>
      <c r="AT1374" s="20" t="s">
        <v>17</v>
      </c>
      <c r="AU1374" s="20">
        <v>27.34</v>
      </c>
      <c r="AV1374" s="20">
        <v>-29.68</v>
      </c>
      <c r="BM1374" s="20">
        <v>50.52</v>
      </c>
      <c r="BN1374" s="20">
        <v>39.84</v>
      </c>
      <c r="BZ1374" s="20">
        <v>6.07</v>
      </c>
      <c r="CA1374" s="20">
        <v>-19.69</v>
      </c>
      <c r="CO1374" s="20">
        <v>-6.32</v>
      </c>
      <c r="CP1374" s="20">
        <v>6.18</v>
      </c>
    </row>
    <row r="1375">
      <c r="A1375" s="20"/>
      <c r="B1375" s="20"/>
      <c r="C1375" s="20"/>
      <c r="D1375" s="20"/>
      <c r="E1375" s="20"/>
      <c r="F1375" s="20"/>
      <c r="G1375" s="20"/>
      <c r="H1375" s="20"/>
      <c r="I1375" s="20"/>
      <c r="J1375" s="20"/>
      <c r="K1375" s="20">
        <v>687.0</v>
      </c>
      <c r="L1375" s="20" t="s">
        <v>14</v>
      </c>
      <c r="M1375" s="20">
        <v>18.13</v>
      </c>
      <c r="N1375" s="20">
        <v>7.8</v>
      </c>
      <c r="P1375" s="20">
        <v>-12.42</v>
      </c>
      <c r="Q1375" s="20">
        <v>18.8</v>
      </c>
      <c r="AM1375" s="20">
        <v>704.0</v>
      </c>
      <c r="AN1375" s="20" t="s">
        <v>14</v>
      </c>
      <c r="AO1375" s="20">
        <v>-2.09</v>
      </c>
      <c r="AP1375" s="20">
        <v>-35.01</v>
      </c>
      <c r="AS1375" s="20">
        <v>691.0</v>
      </c>
      <c r="AT1375" s="20" t="s">
        <v>14</v>
      </c>
      <c r="AU1375" s="20">
        <v>-36.95</v>
      </c>
      <c r="AV1375" s="20">
        <v>-55.52</v>
      </c>
      <c r="BM1375" s="20">
        <v>112.1</v>
      </c>
      <c r="BN1375" s="20">
        <v>89.68</v>
      </c>
      <c r="BZ1375" s="20">
        <v>-34.71</v>
      </c>
      <c r="CA1375" s="20">
        <v>71.1</v>
      </c>
      <c r="CO1375" s="20">
        <v>45.76</v>
      </c>
      <c r="CP1375" s="20">
        <v>-45.73</v>
      </c>
    </row>
    <row r="1376">
      <c r="A1376" s="20"/>
      <c r="B1376" s="20"/>
      <c r="C1376" s="20"/>
      <c r="D1376" s="20"/>
      <c r="E1376" s="20"/>
      <c r="F1376" s="20"/>
      <c r="G1376" s="20"/>
      <c r="H1376" s="20"/>
      <c r="I1376" s="20"/>
      <c r="J1376" s="20"/>
      <c r="K1376" s="20">
        <v>687.0</v>
      </c>
      <c r="L1376" s="20" t="s">
        <v>17</v>
      </c>
      <c r="M1376" s="20">
        <v>-36.82</v>
      </c>
      <c r="N1376" s="20">
        <v>-7.35</v>
      </c>
      <c r="P1376" s="20">
        <v>2.48</v>
      </c>
      <c r="Q1376" s="20">
        <v>55.95</v>
      </c>
      <c r="AM1376" s="20">
        <v>704.0</v>
      </c>
      <c r="AN1376" s="20" t="s">
        <v>17</v>
      </c>
      <c r="AO1376" s="20">
        <v>37.09</v>
      </c>
      <c r="AP1376" s="20">
        <v>-16.17</v>
      </c>
      <c r="AS1376" s="20">
        <v>691.0</v>
      </c>
      <c r="AT1376" s="20" t="s">
        <v>17</v>
      </c>
      <c r="AU1376" s="20">
        <v>-23.24</v>
      </c>
      <c r="AV1376" s="20">
        <v>-42.87</v>
      </c>
      <c r="BM1376" s="20">
        <v>119.0</v>
      </c>
      <c r="BN1376" s="20">
        <v>139.44</v>
      </c>
      <c r="BZ1376" s="20">
        <v>5.79</v>
      </c>
      <c r="CA1376" s="20">
        <v>5.73</v>
      </c>
      <c r="CO1376" s="20">
        <v>-23.61</v>
      </c>
      <c r="CP1376" s="20">
        <v>-60.11</v>
      </c>
    </row>
    <row r="1377">
      <c r="A1377" s="20"/>
      <c r="B1377" s="20"/>
      <c r="C1377" s="20"/>
      <c r="D1377" s="20"/>
      <c r="E1377" s="20"/>
      <c r="F1377" s="20"/>
      <c r="G1377" s="20"/>
      <c r="H1377" s="20"/>
      <c r="I1377" s="20"/>
      <c r="J1377" s="20"/>
      <c r="K1377" s="20">
        <v>688.0</v>
      </c>
      <c r="L1377" s="20" t="s">
        <v>14</v>
      </c>
      <c r="M1377" s="20">
        <v>-35.04</v>
      </c>
      <c r="N1377" s="20">
        <v>19.44</v>
      </c>
      <c r="P1377" s="20">
        <v>28.59</v>
      </c>
      <c r="Q1377" s="20">
        <v>-0.5</v>
      </c>
      <c r="AM1377" s="20">
        <v>705.0</v>
      </c>
      <c r="AN1377" s="20" t="s">
        <v>14</v>
      </c>
      <c r="AO1377" s="20">
        <v>3.97</v>
      </c>
      <c r="AP1377" s="20">
        <v>25.81</v>
      </c>
      <c r="AS1377" s="20">
        <v>692.0</v>
      </c>
      <c r="AT1377" s="20" t="s">
        <v>14</v>
      </c>
      <c r="AU1377" s="20">
        <v>-4.58</v>
      </c>
      <c r="AV1377" s="20">
        <v>-43.35</v>
      </c>
      <c r="BM1377" s="20">
        <v>40.03</v>
      </c>
      <c r="BN1377" s="20">
        <v>86.42</v>
      </c>
      <c r="BZ1377" s="20">
        <v>-57.28</v>
      </c>
      <c r="CA1377" s="20">
        <v>171.9</v>
      </c>
      <c r="CO1377" s="20">
        <v>40.78</v>
      </c>
      <c r="CP1377" s="20">
        <v>-41.82</v>
      </c>
    </row>
    <row r="1378">
      <c r="A1378" s="20"/>
      <c r="B1378" s="20"/>
      <c r="C1378" s="20"/>
      <c r="D1378" s="20"/>
      <c r="E1378" s="20"/>
      <c r="F1378" s="20"/>
      <c r="G1378" s="20"/>
      <c r="H1378" s="20"/>
      <c r="I1378" s="20"/>
      <c r="J1378" s="20"/>
      <c r="K1378" s="20">
        <v>688.0</v>
      </c>
      <c r="L1378" s="20" t="s">
        <v>17</v>
      </c>
      <c r="M1378" s="20">
        <v>-15.27</v>
      </c>
      <c r="N1378" s="20">
        <v>6.28</v>
      </c>
      <c r="P1378" s="20">
        <v>33.36</v>
      </c>
      <c r="Q1378" s="20">
        <v>-10.63</v>
      </c>
      <c r="AM1378" s="20">
        <v>705.0</v>
      </c>
      <c r="AN1378" s="20" t="s">
        <v>17</v>
      </c>
      <c r="AO1378" s="20">
        <v>3.25</v>
      </c>
      <c r="AP1378" s="20">
        <v>6.42</v>
      </c>
      <c r="AS1378" s="20">
        <v>692.0</v>
      </c>
      <c r="AT1378" s="20" t="s">
        <v>17</v>
      </c>
      <c r="AU1378" s="20">
        <v>1.94</v>
      </c>
      <c r="AV1378" s="20">
        <v>-43.49</v>
      </c>
      <c r="BM1378" s="20">
        <v>192.06</v>
      </c>
      <c r="BN1378" s="20">
        <v>107.2</v>
      </c>
      <c r="BZ1378" s="20">
        <v>-52.26</v>
      </c>
      <c r="CA1378" s="20">
        <v>93.49</v>
      </c>
      <c r="CO1378" s="20">
        <v>-6.66</v>
      </c>
      <c r="CP1378" s="20">
        <v>-61.24</v>
      </c>
    </row>
    <row r="1379">
      <c r="A1379" s="20"/>
      <c r="B1379" s="20"/>
      <c r="C1379" s="20"/>
      <c r="D1379" s="20"/>
      <c r="E1379" s="20"/>
      <c r="F1379" s="20"/>
      <c r="G1379" s="20"/>
      <c r="H1379" s="20"/>
      <c r="I1379" s="20"/>
      <c r="J1379" s="20"/>
      <c r="K1379" s="20">
        <v>689.0</v>
      </c>
      <c r="L1379" s="20" t="s">
        <v>14</v>
      </c>
      <c r="M1379" s="20">
        <v>16.67</v>
      </c>
      <c r="N1379" s="20">
        <v>-4.71</v>
      </c>
      <c r="P1379" s="20">
        <v>-26.66</v>
      </c>
      <c r="Q1379" s="20">
        <v>7.38</v>
      </c>
      <c r="AM1379" s="20">
        <v>706.0</v>
      </c>
      <c r="AN1379" s="20" t="s">
        <v>14</v>
      </c>
      <c r="AO1379" s="20">
        <v>-10.84</v>
      </c>
      <c r="AP1379" s="20">
        <v>-33.49</v>
      </c>
      <c r="AS1379" s="20">
        <v>693.0</v>
      </c>
      <c r="AT1379" s="20" t="s">
        <v>14</v>
      </c>
      <c r="AU1379" s="20">
        <v>-10.02</v>
      </c>
      <c r="AV1379" s="20">
        <v>-9.51</v>
      </c>
      <c r="BM1379" s="20">
        <v>120.81</v>
      </c>
      <c r="BN1379" s="20">
        <v>149.47</v>
      </c>
      <c r="BZ1379" s="20">
        <v>-50.24</v>
      </c>
      <c r="CA1379" s="20">
        <v>18.36</v>
      </c>
      <c r="CO1379" s="20">
        <v>-26.51</v>
      </c>
      <c r="CP1379" s="20">
        <v>-67.55</v>
      </c>
    </row>
    <row r="1380">
      <c r="A1380" s="20"/>
      <c r="B1380" s="20"/>
      <c r="C1380" s="20"/>
      <c r="D1380" s="20"/>
      <c r="E1380" s="20"/>
      <c r="F1380" s="20"/>
      <c r="G1380" s="20"/>
      <c r="H1380" s="20"/>
      <c r="I1380" s="20"/>
      <c r="J1380" s="20"/>
      <c r="K1380" s="20">
        <v>689.0</v>
      </c>
      <c r="L1380" s="20" t="s">
        <v>17</v>
      </c>
      <c r="M1380" s="20">
        <v>-27.68</v>
      </c>
      <c r="N1380" s="20">
        <v>-9.21</v>
      </c>
      <c r="P1380" s="20">
        <v>-68.4</v>
      </c>
      <c r="Q1380" s="20">
        <v>-74.38</v>
      </c>
      <c r="AM1380" s="20">
        <v>706.0</v>
      </c>
      <c r="AN1380" s="20" t="s">
        <v>17</v>
      </c>
      <c r="AO1380" s="20">
        <v>34.1</v>
      </c>
      <c r="AP1380" s="20">
        <v>4.11</v>
      </c>
      <c r="AS1380" s="20">
        <v>693.0</v>
      </c>
      <c r="AT1380" s="20" t="s">
        <v>17</v>
      </c>
      <c r="AU1380" s="20">
        <v>0.92</v>
      </c>
      <c r="AV1380" s="20">
        <v>-44.01</v>
      </c>
      <c r="BM1380" s="20">
        <v>157.63</v>
      </c>
      <c r="BN1380" s="20">
        <v>12.27</v>
      </c>
      <c r="BZ1380" s="20">
        <v>42.76</v>
      </c>
      <c r="CA1380" s="20">
        <v>40.98</v>
      </c>
      <c r="CO1380" s="20">
        <v>-11.91</v>
      </c>
      <c r="CP1380" s="20">
        <v>-63.37</v>
      </c>
    </row>
    <row r="1381">
      <c r="A1381" s="20"/>
      <c r="B1381" s="20"/>
      <c r="C1381" s="20"/>
      <c r="D1381" s="20"/>
      <c r="E1381" s="20"/>
      <c r="F1381" s="20"/>
      <c r="G1381" s="20"/>
      <c r="H1381" s="20"/>
      <c r="I1381" s="20"/>
      <c r="J1381" s="20"/>
      <c r="K1381" s="20">
        <v>690.0</v>
      </c>
      <c r="L1381" s="20" t="s">
        <v>14</v>
      </c>
      <c r="M1381" s="20">
        <v>-36.17</v>
      </c>
      <c r="N1381" s="20">
        <v>-22.37</v>
      </c>
      <c r="P1381" s="20">
        <v>9.6</v>
      </c>
      <c r="Q1381" s="20">
        <v>57.43</v>
      </c>
      <c r="AM1381" s="20">
        <v>707.0</v>
      </c>
      <c r="AN1381" s="20" t="s">
        <v>14</v>
      </c>
      <c r="AO1381" s="20">
        <v>4.84</v>
      </c>
      <c r="AP1381" s="20">
        <v>-13.89</v>
      </c>
      <c r="AS1381" s="20">
        <v>694.0</v>
      </c>
      <c r="AT1381" s="20" t="s">
        <v>14</v>
      </c>
      <c r="AU1381" s="20">
        <v>-18.41</v>
      </c>
      <c r="AV1381" s="20">
        <v>-23.53</v>
      </c>
      <c r="BM1381" s="20">
        <v>73.15</v>
      </c>
      <c r="BN1381" s="20">
        <v>63.76</v>
      </c>
      <c r="BZ1381" s="20">
        <v>-29.95</v>
      </c>
      <c r="CA1381" s="20">
        <v>42.66</v>
      </c>
      <c r="CO1381" s="20">
        <v>19.88</v>
      </c>
      <c r="CP1381" s="20">
        <v>-38.97</v>
      </c>
    </row>
    <row r="1382">
      <c r="A1382" s="20"/>
      <c r="B1382" s="20"/>
      <c r="C1382" s="20"/>
      <c r="D1382" s="20"/>
      <c r="E1382" s="20"/>
      <c r="F1382" s="20"/>
      <c r="G1382" s="20"/>
      <c r="H1382" s="20"/>
      <c r="I1382" s="20"/>
      <c r="J1382" s="20"/>
      <c r="K1382" s="20">
        <v>690.0</v>
      </c>
      <c r="L1382" s="20" t="s">
        <v>17</v>
      </c>
      <c r="M1382" s="20">
        <v>2.74</v>
      </c>
      <c r="N1382" s="20">
        <v>28.59</v>
      </c>
      <c r="P1382" s="20">
        <v>0.11</v>
      </c>
      <c r="Q1382" s="20">
        <v>13.98</v>
      </c>
      <c r="AM1382" s="20">
        <v>707.0</v>
      </c>
      <c r="AN1382" s="20" t="s">
        <v>17</v>
      </c>
      <c r="AO1382" s="20">
        <v>11.3</v>
      </c>
      <c r="AP1382" s="20">
        <v>-23.56</v>
      </c>
      <c r="AS1382" s="20">
        <v>694.0</v>
      </c>
      <c r="AT1382" s="20" t="s">
        <v>17</v>
      </c>
      <c r="AU1382" s="20">
        <v>-6.8</v>
      </c>
      <c r="AV1382" s="20">
        <v>-29.84</v>
      </c>
      <c r="BM1382" s="20">
        <v>128.18</v>
      </c>
      <c r="BN1382" s="20">
        <v>154.02</v>
      </c>
      <c r="BZ1382" s="20">
        <v>-19.56</v>
      </c>
      <c r="CA1382" s="20">
        <v>88.39</v>
      </c>
      <c r="CO1382" s="20">
        <v>0.7</v>
      </c>
      <c r="CP1382" s="20">
        <v>-57.83</v>
      </c>
    </row>
    <row r="1383">
      <c r="A1383" s="20"/>
      <c r="B1383" s="20"/>
      <c r="C1383" s="20"/>
      <c r="D1383" s="20"/>
      <c r="E1383" s="20"/>
      <c r="F1383" s="20"/>
      <c r="G1383" s="20"/>
      <c r="H1383" s="20"/>
      <c r="I1383" s="20"/>
      <c r="J1383" s="20"/>
      <c r="K1383" s="20">
        <v>691.0</v>
      </c>
      <c r="L1383" s="20" t="s">
        <v>14</v>
      </c>
      <c r="M1383" s="20">
        <v>-0.79</v>
      </c>
      <c r="N1383" s="20">
        <v>-7.57</v>
      </c>
      <c r="P1383" s="20">
        <v>41.93</v>
      </c>
      <c r="Q1383" s="20">
        <v>28.94</v>
      </c>
      <c r="AM1383" s="20">
        <v>708.0</v>
      </c>
      <c r="AN1383" s="20" t="s">
        <v>14</v>
      </c>
      <c r="AO1383" s="20">
        <v>16.75</v>
      </c>
      <c r="AP1383" s="20">
        <v>-31.15</v>
      </c>
      <c r="AS1383" s="20">
        <v>695.0</v>
      </c>
      <c r="AT1383" s="20" t="s">
        <v>14</v>
      </c>
      <c r="AU1383" s="20">
        <v>4.5</v>
      </c>
      <c r="AV1383" s="20">
        <v>5.53</v>
      </c>
      <c r="BM1383" s="20">
        <v>166.16</v>
      </c>
      <c r="BN1383" s="20">
        <v>166.54</v>
      </c>
      <c r="BZ1383" s="20">
        <v>-40.61</v>
      </c>
      <c r="CA1383" s="20">
        <v>182.82</v>
      </c>
      <c r="CO1383" s="20">
        <v>13.55</v>
      </c>
      <c r="CP1383" s="20">
        <v>-39.37</v>
      </c>
    </row>
    <row r="1384">
      <c r="A1384" s="20"/>
      <c r="B1384" s="20"/>
      <c r="C1384" s="20"/>
      <c r="D1384" s="20"/>
      <c r="E1384" s="20"/>
      <c r="F1384" s="20"/>
      <c r="G1384" s="20"/>
      <c r="H1384" s="20"/>
      <c r="I1384" s="20"/>
      <c r="J1384" s="20"/>
      <c r="K1384" s="20">
        <v>691.0</v>
      </c>
      <c r="L1384" s="20" t="s">
        <v>17</v>
      </c>
      <c r="M1384" s="20">
        <v>-12.93</v>
      </c>
      <c r="N1384" s="20">
        <v>58.4</v>
      </c>
      <c r="P1384" s="20">
        <v>27.06</v>
      </c>
      <c r="Q1384" s="20">
        <v>102.26</v>
      </c>
      <c r="AM1384" s="20">
        <v>708.0</v>
      </c>
      <c r="AN1384" s="20" t="s">
        <v>17</v>
      </c>
      <c r="AO1384" s="20">
        <v>10.11</v>
      </c>
      <c r="AP1384" s="20">
        <v>-13.13</v>
      </c>
      <c r="AS1384" s="20">
        <v>695.0</v>
      </c>
      <c r="AT1384" s="20" t="s">
        <v>17</v>
      </c>
      <c r="AU1384" s="20">
        <v>-12.91</v>
      </c>
      <c r="AV1384" s="20">
        <v>-31.47</v>
      </c>
      <c r="BM1384" s="20">
        <v>137.03</v>
      </c>
      <c r="BN1384" s="20">
        <v>205.99</v>
      </c>
      <c r="BZ1384" s="20">
        <v>-29.66</v>
      </c>
      <c r="CA1384" s="20">
        <v>108.35</v>
      </c>
      <c r="CO1384" s="20">
        <v>-29.62</v>
      </c>
      <c r="CP1384" s="20">
        <v>-65.68</v>
      </c>
    </row>
    <row r="1385">
      <c r="A1385" s="20"/>
      <c r="B1385" s="20"/>
      <c r="C1385" s="20"/>
      <c r="D1385" s="20"/>
      <c r="E1385" s="20"/>
      <c r="F1385" s="20"/>
      <c r="G1385" s="20"/>
      <c r="H1385" s="20"/>
      <c r="I1385" s="20"/>
      <c r="J1385" s="20"/>
      <c r="K1385" s="20">
        <v>692.0</v>
      </c>
      <c r="L1385" s="20" t="s">
        <v>14</v>
      </c>
      <c r="M1385" s="20">
        <v>-1.96</v>
      </c>
      <c r="N1385" s="20">
        <v>-0.24</v>
      </c>
      <c r="P1385" s="20">
        <v>-25.47</v>
      </c>
      <c r="Q1385" s="20">
        <v>26.31</v>
      </c>
      <c r="AM1385" s="20">
        <v>709.0</v>
      </c>
      <c r="AN1385" s="20" t="s">
        <v>14</v>
      </c>
      <c r="AO1385" s="20">
        <v>11.55</v>
      </c>
      <c r="AP1385" s="20">
        <v>-12.6</v>
      </c>
      <c r="AS1385" s="20">
        <v>696.0</v>
      </c>
      <c r="AT1385" s="20" t="s">
        <v>14</v>
      </c>
      <c r="AU1385" s="20">
        <v>-10.36</v>
      </c>
      <c r="AV1385" s="20">
        <v>-33.0</v>
      </c>
      <c r="BM1385" s="20">
        <v>37.5</v>
      </c>
      <c r="BN1385" s="20">
        <v>69.14</v>
      </c>
      <c r="BZ1385" s="20">
        <v>-43.11</v>
      </c>
      <c r="CA1385" s="20">
        <v>142.45</v>
      </c>
      <c r="CO1385" s="20">
        <v>-17.36</v>
      </c>
      <c r="CP1385" s="20">
        <v>-26.6</v>
      </c>
    </row>
    <row r="1386">
      <c r="A1386" s="20"/>
      <c r="B1386" s="20"/>
      <c r="C1386" s="20"/>
      <c r="D1386" s="20"/>
      <c r="E1386" s="20"/>
      <c r="F1386" s="20"/>
      <c r="G1386" s="20"/>
      <c r="H1386" s="20"/>
      <c r="I1386" s="20"/>
      <c r="J1386" s="20"/>
      <c r="K1386" s="20">
        <v>692.0</v>
      </c>
      <c r="L1386" s="20" t="s">
        <v>17</v>
      </c>
      <c r="M1386" s="20">
        <v>1.49</v>
      </c>
      <c r="N1386" s="20">
        <v>40.89</v>
      </c>
      <c r="P1386" s="20">
        <v>4.85</v>
      </c>
      <c r="Q1386" s="20">
        <v>57.48</v>
      </c>
      <c r="AM1386" s="20">
        <v>709.0</v>
      </c>
      <c r="AN1386" s="20" t="s">
        <v>17</v>
      </c>
      <c r="AO1386" s="20">
        <v>2.97</v>
      </c>
      <c r="AP1386" s="20">
        <v>-11.9</v>
      </c>
      <c r="AS1386" s="20">
        <v>696.0</v>
      </c>
      <c r="AT1386" s="20" t="s">
        <v>17</v>
      </c>
      <c r="AU1386" s="20">
        <v>-3.13</v>
      </c>
      <c r="AV1386" s="20">
        <v>15.3</v>
      </c>
      <c r="BM1386" s="20">
        <v>89.21</v>
      </c>
      <c r="BN1386" s="20">
        <v>80.22</v>
      </c>
      <c r="BZ1386" s="20">
        <v>-28.12</v>
      </c>
      <c r="CA1386" s="20">
        <v>-28.55</v>
      </c>
      <c r="CO1386" s="20">
        <v>-32.75</v>
      </c>
      <c r="CP1386" s="20">
        <v>-42.76</v>
      </c>
    </row>
    <row r="1387">
      <c r="A1387" s="20"/>
      <c r="B1387" s="20"/>
      <c r="C1387" s="20"/>
      <c r="D1387" s="20"/>
      <c r="E1387" s="20"/>
      <c r="F1387" s="20"/>
      <c r="G1387" s="20"/>
      <c r="H1387" s="20"/>
      <c r="I1387" s="20"/>
      <c r="J1387" s="20"/>
      <c r="K1387" s="20">
        <v>693.0</v>
      </c>
      <c r="L1387" s="20" t="s">
        <v>14</v>
      </c>
      <c r="M1387" s="20">
        <v>-31.74</v>
      </c>
      <c r="N1387" s="20">
        <v>-35.62</v>
      </c>
      <c r="P1387" s="20">
        <v>26.92</v>
      </c>
      <c r="Q1387" s="20">
        <v>108.67</v>
      </c>
      <c r="AM1387" s="20">
        <v>710.0</v>
      </c>
      <c r="AN1387" s="20" t="s">
        <v>14</v>
      </c>
      <c r="AO1387" s="20">
        <v>-26.27</v>
      </c>
      <c r="AP1387" s="20">
        <v>-21.01</v>
      </c>
      <c r="AS1387" s="20">
        <v>697.0</v>
      </c>
      <c r="AT1387" s="20" t="s">
        <v>14</v>
      </c>
      <c r="AU1387" s="20">
        <v>0.01</v>
      </c>
      <c r="AV1387" s="20">
        <v>-42.95</v>
      </c>
      <c r="BM1387" s="20">
        <v>62.45</v>
      </c>
      <c r="BN1387" s="20">
        <v>90.89</v>
      </c>
      <c r="BZ1387" s="20">
        <v>-60.14</v>
      </c>
      <c r="CA1387" s="20">
        <v>283.09</v>
      </c>
      <c r="CO1387" s="20">
        <v>-27.94</v>
      </c>
      <c r="CP1387" s="20">
        <v>-22.53</v>
      </c>
    </row>
    <row r="1388">
      <c r="A1388" s="20"/>
      <c r="B1388" s="20"/>
      <c r="C1388" s="20"/>
      <c r="D1388" s="20"/>
      <c r="E1388" s="20"/>
      <c r="F1388" s="20"/>
      <c r="G1388" s="20"/>
      <c r="H1388" s="20"/>
      <c r="I1388" s="20"/>
      <c r="J1388" s="20"/>
      <c r="K1388" s="20">
        <v>693.0</v>
      </c>
      <c r="L1388" s="20" t="s">
        <v>17</v>
      </c>
      <c r="M1388" s="20">
        <v>-41.54</v>
      </c>
      <c r="N1388" s="20">
        <v>-39.69</v>
      </c>
      <c r="P1388" s="20">
        <v>2.62</v>
      </c>
      <c r="Q1388" s="20">
        <v>95.65</v>
      </c>
      <c r="AM1388" s="20">
        <v>710.0</v>
      </c>
      <c r="AN1388" s="20" t="s">
        <v>17</v>
      </c>
      <c r="AO1388" s="20">
        <v>-30.5</v>
      </c>
      <c r="AP1388" s="20">
        <v>-20.38</v>
      </c>
      <c r="AS1388" s="20">
        <v>697.0</v>
      </c>
      <c r="AT1388" s="20" t="s">
        <v>17</v>
      </c>
      <c r="AU1388" s="20">
        <v>-52.39</v>
      </c>
      <c r="AV1388" s="20">
        <v>-25.95</v>
      </c>
      <c r="BM1388" s="20">
        <v>95.02</v>
      </c>
      <c r="BN1388" s="20">
        <v>152.2</v>
      </c>
      <c r="BZ1388" s="20">
        <v>-21.29</v>
      </c>
      <c r="CA1388" s="20">
        <v>149.06</v>
      </c>
      <c r="CO1388" s="20">
        <v>-45.74</v>
      </c>
      <c r="CP1388" s="20">
        <v>-47.23</v>
      </c>
    </row>
    <row r="1389">
      <c r="A1389" s="20"/>
      <c r="B1389" s="20"/>
      <c r="C1389" s="20"/>
      <c r="D1389" s="20"/>
      <c r="E1389" s="20"/>
      <c r="F1389" s="20"/>
      <c r="G1389" s="20"/>
      <c r="H1389" s="20"/>
      <c r="I1389" s="20"/>
      <c r="J1389" s="20"/>
      <c r="K1389" s="20">
        <v>694.0</v>
      </c>
      <c r="L1389" s="20" t="s">
        <v>14</v>
      </c>
      <c r="M1389" s="20">
        <v>-17.85</v>
      </c>
      <c r="N1389" s="20">
        <v>-6.76</v>
      </c>
      <c r="P1389" s="20">
        <v>-33.25</v>
      </c>
      <c r="Q1389" s="20">
        <v>31.16</v>
      </c>
      <c r="AM1389" s="20">
        <v>711.0</v>
      </c>
      <c r="AN1389" s="20" t="s">
        <v>14</v>
      </c>
      <c r="AO1389" s="20">
        <v>29.44</v>
      </c>
      <c r="AP1389" s="20">
        <v>-29.37</v>
      </c>
      <c r="AS1389" s="20">
        <v>698.0</v>
      </c>
      <c r="AT1389" s="20" t="s">
        <v>14</v>
      </c>
      <c r="AU1389" s="20">
        <v>-27.16</v>
      </c>
      <c r="AV1389" s="20">
        <v>-9.71</v>
      </c>
      <c r="BM1389" s="20">
        <v>96.03</v>
      </c>
      <c r="BN1389" s="20">
        <v>59.68</v>
      </c>
      <c r="BZ1389" s="20">
        <v>-75.13</v>
      </c>
      <c r="CA1389" s="20">
        <v>106.14</v>
      </c>
      <c r="CO1389" s="20">
        <v>-10.0</v>
      </c>
      <c r="CP1389" s="20">
        <v>-39.64</v>
      </c>
    </row>
    <row r="1390">
      <c r="A1390" s="20"/>
      <c r="B1390" s="20"/>
      <c r="C1390" s="20"/>
      <c r="D1390" s="20"/>
      <c r="E1390" s="20"/>
      <c r="F1390" s="20"/>
      <c r="G1390" s="20"/>
      <c r="H1390" s="20"/>
      <c r="I1390" s="20"/>
      <c r="J1390" s="20"/>
      <c r="K1390" s="20">
        <v>694.0</v>
      </c>
      <c r="L1390" s="20" t="s">
        <v>17</v>
      </c>
      <c r="M1390" s="20">
        <v>-17.47</v>
      </c>
      <c r="N1390" s="20">
        <v>-4.8</v>
      </c>
      <c r="P1390" s="20">
        <v>-35.83</v>
      </c>
      <c r="Q1390" s="20">
        <v>15.26</v>
      </c>
      <c r="AM1390" s="20">
        <v>711.0</v>
      </c>
      <c r="AN1390" s="20" t="s">
        <v>17</v>
      </c>
      <c r="AO1390" s="20">
        <v>6.97</v>
      </c>
      <c r="AP1390" s="20">
        <v>-13.51</v>
      </c>
      <c r="AS1390" s="20">
        <v>698.0</v>
      </c>
      <c r="AT1390" s="20" t="s">
        <v>17</v>
      </c>
      <c r="AU1390" s="20">
        <v>48.5</v>
      </c>
      <c r="AV1390" s="20">
        <v>-19.75</v>
      </c>
      <c r="BM1390" s="20">
        <v>238.11</v>
      </c>
      <c r="BN1390" s="20">
        <v>114.03</v>
      </c>
      <c r="BZ1390" s="20">
        <v>-62.76</v>
      </c>
      <c r="CA1390" s="20">
        <v>85.99</v>
      </c>
      <c r="CO1390" s="20">
        <v>-29.16</v>
      </c>
      <c r="CP1390" s="20">
        <v>-35.91</v>
      </c>
    </row>
    <row r="1391">
      <c r="A1391" s="20"/>
      <c r="B1391" s="20"/>
      <c r="C1391" s="20"/>
      <c r="D1391" s="20"/>
      <c r="E1391" s="20"/>
      <c r="F1391" s="20"/>
      <c r="G1391" s="20"/>
      <c r="H1391" s="20"/>
      <c r="I1391" s="20"/>
      <c r="J1391" s="20"/>
      <c r="K1391" s="20">
        <v>695.0</v>
      </c>
      <c r="L1391" s="20" t="s">
        <v>14</v>
      </c>
      <c r="M1391" s="20">
        <v>-16.21</v>
      </c>
      <c r="N1391" s="20">
        <v>-26.25</v>
      </c>
      <c r="P1391" s="20">
        <v>-26.09</v>
      </c>
      <c r="Q1391" s="20">
        <v>-7.17</v>
      </c>
      <c r="AM1391" s="20">
        <v>712.0</v>
      </c>
      <c r="AN1391" s="20" t="s">
        <v>14</v>
      </c>
      <c r="AO1391" s="20">
        <v>-43.27</v>
      </c>
      <c r="AP1391" s="20">
        <v>-39.24</v>
      </c>
      <c r="AS1391" s="20">
        <v>699.0</v>
      </c>
      <c r="AT1391" s="20" t="s">
        <v>14</v>
      </c>
      <c r="AU1391" s="20">
        <v>-22.25</v>
      </c>
      <c r="AV1391" s="20">
        <v>-64.72</v>
      </c>
      <c r="BM1391" s="20">
        <v>85.96</v>
      </c>
      <c r="BN1391" s="20">
        <v>-28.27</v>
      </c>
      <c r="BZ1391" s="20">
        <v>-38.48</v>
      </c>
      <c r="CA1391" s="20">
        <v>8.12</v>
      </c>
      <c r="CO1391" s="20">
        <v>-21.51</v>
      </c>
      <c r="CP1391" s="20">
        <v>-11.5</v>
      </c>
    </row>
    <row r="1392">
      <c r="A1392" s="20"/>
      <c r="B1392" s="20"/>
      <c r="C1392" s="20"/>
      <c r="D1392" s="20"/>
      <c r="E1392" s="20"/>
      <c r="F1392" s="20"/>
      <c r="G1392" s="20"/>
      <c r="H1392" s="20"/>
      <c r="I1392" s="20"/>
      <c r="J1392" s="20"/>
      <c r="K1392" s="20">
        <v>695.0</v>
      </c>
      <c r="L1392" s="20" t="s">
        <v>17</v>
      </c>
      <c r="M1392" s="20">
        <v>-45.63</v>
      </c>
      <c r="N1392" s="20">
        <v>-22.56</v>
      </c>
      <c r="P1392" s="20">
        <v>-22.25</v>
      </c>
      <c r="Q1392" s="20">
        <v>-1.08</v>
      </c>
      <c r="AM1392" s="20">
        <v>712.0</v>
      </c>
      <c r="AN1392" s="20" t="s">
        <v>17</v>
      </c>
      <c r="AO1392" s="20">
        <v>-25.3</v>
      </c>
      <c r="AP1392" s="20">
        <v>-24.89</v>
      </c>
      <c r="AS1392" s="20">
        <v>699.0</v>
      </c>
      <c r="AT1392" s="20" t="s">
        <v>17</v>
      </c>
      <c r="AU1392" s="20">
        <v>64.17</v>
      </c>
      <c r="AV1392" s="20">
        <v>-11.23</v>
      </c>
      <c r="BM1392" s="20">
        <v>81.96</v>
      </c>
      <c r="BN1392" s="20">
        <v>-31.6</v>
      </c>
      <c r="BZ1392" s="20">
        <v>14.05</v>
      </c>
      <c r="CA1392" s="20">
        <v>30.2</v>
      </c>
      <c r="CO1392" s="20">
        <v>-49.68</v>
      </c>
      <c r="CP1392" s="20">
        <v>11.75</v>
      </c>
    </row>
    <row r="1393">
      <c r="A1393" s="20"/>
      <c r="B1393" s="20"/>
      <c r="C1393" s="20"/>
      <c r="D1393" s="20"/>
      <c r="E1393" s="20"/>
      <c r="F1393" s="20"/>
      <c r="G1393" s="20"/>
      <c r="H1393" s="20"/>
      <c r="I1393" s="20"/>
      <c r="J1393" s="20"/>
      <c r="K1393" s="20">
        <v>696.0</v>
      </c>
      <c r="L1393" s="20" t="s">
        <v>14</v>
      </c>
      <c r="M1393" s="20">
        <v>-27.36</v>
      </c>
      <c r="N1393" s="20">
        <v>4.67</v>
      </c>
      <c r="P1393" s="20">
        <v>-35.72</v>
      </c>
      <c r="Q1393" s="20">
        <v>-1.48</v>
      </c>
      <c r="AM1393" s="20">
        <v>713.0</v>
      </c>
      <c r="AN1393" s="20" t="s">
        <v>14</v>
      </c>
      <c r="AO1393" s="20">
        <v>10.47</v>
      </c>
      <c r="AP1393" s="20">
        <v>-20.05</v>
      </c>
      <c r="AS1393" s="20">
        <v>700.0</v>
      </c>
      <c r="AT1393" s="20" t="s">
        <v>14</v>
      </c>
      <c r="AU1393" s="20">
        <v>-43.71</v>
      </c>
      <c r="AV1393" s="20">
        <v>-53.38</v>
      </c>
      <c r="BM1393" s="20">
        <v>262.84</v>
      </c>
      <c r="BN1393" s="20">
        <v>92.72</v>
      </c>
      <c r="BZ1393" s="20">
        <v>-49.39</v>
      </c>
      <c r="CA1393" s="20">
        <v>67.04</v>
      </c>
      <c r="CO1393" s="20">
        <v>9.44</v>
      </c>
      <c r="CP1393" s="20">
        <v>-55.96</v>
      </c>
    </row>
    <row r="1394">
      <c r="A1394" s="20"/>
      <c r="B1394" s="20"/>
      <c r="C1394" s="20"/>
      <c r="D1394" s="20"/>
      <c r="E1394" s="20"/>
      <c r="F1394" s="20"/>
      <c r="G1394" s="20"/>
      <c r="H1394" s="20"/>
      <c r="I1394" s="20"/>
      <c r="J1394" s="20"/>
      <c r="K1394" s="20">
        <v>696.0</v>
      </c>
      <c r="L1394" s="20" t="s">
        <v>17</v>
      </c>
      <c r="M1394" s="20">
        <v>-28.67</v>
      </c>
      <c r="N1394" s="20">
        <v>1.63</v>
      </c>
      <c r="P1394" s="20">
        <v>-34.35</v>
      </c>
      <c r="Q1394" s="20">
        <v>45.04</v>
      </c>
      <c r="AM1394" s="20">
        <v>713.0</v>
      </c>
      <c r="AN1394" s="20" t="s">
        <v>17</v>
      </c>
      <c r="AO1394" s="20">
        <v>54.37</v>
      </c>
      <c r="AP1394" s="20">
        <v>-14.66</v>
      </c>
      <c r="AS1394" s="20">
        <v>700.0</v>
      </c>
      <c r="AT1394" s="20" t="s">
        <v>17</v>
      </c>
      <c r="AU1394" s="20">
        <v>75.67</v>
      </c>
      <c r="AV1394" s="20">
        <v>-9.89</v>
      </c>
      <c r="BM1394" s="20">
        <v>99.61</v>
      </c>
      <c r="BN1394" s="20">
        <v>11.01</v>
      </c>
      <c r="BZ1394" s="20">
        <v>-14.68</v>
      </c>
      <c r="CA1394" s="20">
        <v>180.65</v>
      </c>
      <c r="CO1394" s="20">
        <v>7.21</v>
      </c>
      <c r="CP1394" s="20">
        <v>-44.89</v>
      </c>
    </row>
    <row r="1395">
      <c r="A1395" s="20"/>
      <c r="B1395" s="20"/>
      <c r="C1395" s="20"/>
      <c r="D1395" s="20"/>
      <c r="E1395" s="20"/>
      <c r="F1395" s="20"/>
      <c r="G1395" s="20"/>
      <c r="H1395" s="20"/>
      <c r="I1395" s="20"/>
      <c r="J1395" s="20"/>
      <c r="K1395" s="20">
        <v>697.0</v>
      </c>
      <c r="L1395" s="20" t="s">
        <v>14</v>
      </c>
      <c r="M1395" s="20">
        <v>-13.58</v>
      </c>
      <c r="N1395" s="20">
        <v>3.83</v>
      </c>
      <c r="P1395" s="20">
        <v>-36.66</v>
      </c>
      <c r="Q1395" s="20">
        <v>-30.61</v>
      </c>
      <c r="AM1395" s="20">
        <v>714.0</v>
      </c>
      <c r="AN1395" s="20" t="s">
        <v>14</v>
      </c>
      <c r="AO1395" s="20">
        <v>30.87</v>
      </c>
      <c r="AP1395" s="20">
        <v>-1.74</v>
      </c>
      <c r="AS1395" s="20">
        <v>701.0</v>
      </c>
      <c r="AT1395" s="20" t="s">
        <v>14</v>
      </c>
      <c r="AU1395" s="20">
        <v>-14.33</v>
      </c>
      <c r="AV1395" s="20">
        <v>-44.48</v>
      </c>
      <c r="BM1395" s="20">
        <v>183.08</v>
      </c>
      <c r="BN1395" s="20">
        <v>119.57</v>
      </c>
      <c r="BZ1395" s="20">
        <v>2.63</v>
      </c>
      <c r="CA1395" s="20">
        <v>77.94</v>
      </c>
      <c r="CO1395" s="20">
        <v>-20.91</v>
      </c>
      <c r="CP1395" s="20">
        <v>-58.22</v>
      </c>
    </row>
    <row r="1396">
      <c r="A1396" s="20"/>
      <c r="B1396" s="20"/>
      <c r="C1396" s="20"/>
      <c r="D1396" s="20"/>
      <c r="E1396" s="20"/>
      <c r="F1396" s="20"/>
      <c r="G1396" s="20"/>
      <c r="H1396" s="20"/>
      <c r="I1396" s="20"/>
      <c r="J1396" s="20"/>
      <c r="K1396" s="20">
        <v>697.0</v>
      </c>
      <c r="L1396" s="20" t="s">
        <v>17</v>
      </c>
      <c r="M1396" s="20">
        <v>-9.52</v>
      </c>
      <c r="N1396" s="20">
        <v>14.05</v>
      </c>
      <c r="P1396" s="20">
        <v>-18.74</v>
      </c>
      <c r="Q1396" s="20">
        <v>-66.11</v>
      </c>
      <c r="AM1396" s="20">
        <v>714.0</v>
      </c>
      <c r="AN1396" s="20" t="s">
        <v>17</v>
      </c>
      <c r="AO1396" s="20">
        <v>1.76</v>
      </c>
      <c r="AP1396" s="20">
        <v>7.34</v>
      </c>
      <c r="AS1396" s="20">
        <v>701.0</v>
      </c>
      <c r="AT1396" s="20" t="s">
        <v>17</v>
      </c>
      <c r="AU1396" s="20">
        <v>-6.08</v>
      </c>
      <c r="AV1396" s="20">
        <v>-58.32</v>
      </c>
      <c r="BM1396" s="20">
        <v>154.63</v>
      </c>
      <c r="BN1396" s="20">
        <v>24.84</v>
      </c>
      <c r="BZ1396" s="20">
        <v>-58.8</v>
      </c>
      <c r="CA1396" s="20">
        <v>69.08</v>
      </c>
      <c r="CO1396" s="20">
        <v>-32.17</v>
      </c>
      <c r="CP1396" s="20">
        <v>-54.13</v>
      </c>
    </row>
    <row r="1397">
      <c r="A1397" s="20"/>
      <c r="B1397" s="20"/>
      <c r="C1397" s="20"/>
      <c r="D1397" s="20"/>
      <c r="E1397" s="20"/>
      <c r="F1397" s="20"/>
      <c r="G1397" s="20"/>
      <c r="H1397" s="20"/>
      <c r="I1397" s="20"/>
      <c r="J1397" s="20"/>
      <c r="K1397" s="20">
        <v>698.0</v>
      </c>
      <c r="L1397" s="20" t="s">
        <v>14</v>
      </c>
      <c r="M1397" s="20">
        <v>9.69</v>
      </c>
      <c r="N1397" s="20">
        <v>26.46</v>
      </c>
      <c r="P1397" s="20">
        <v>-6.94</v>
      </c>
      <c r="Q1397" s="20">
        <v>27.49</v>
      </c>
      <c r="AM1397" s="20">
        <v>715.0</v>
      </c>
      <c r="AN1397" s="20" t="s">
        <v>14</v>
      </c>
      <c r="AO1397" s="20">
        <v>25.82</v>
      </c>
      <c r="AP1397" s="20">
        <v>-17.13</v>
      </c>
      <c r="AS1397" s="20">
        <v>702.0</v>
      </c>
      <c r="AT1397" s="20" t="s">
        <v>14</v>
      </c>
      <c r="AU1397" s="20">
        <v>-9.37</v>
      </c>
      <c r="AV1397" s="20">
        <v>-28.97</v>
      </c>
      <c r="BM1397" s="20">
        <v>162.68</v>
      </c>
      <c r="BN1397" s="20">
        <v>102.2</v>
      </c>
      <c r="BZ1397" s="20">
        <v>-31.87</v>
      </c>
      <c r="CA1397" s="20">
        <v>101.87</v>
      </c>
      <c r="CO1397" s="20">
        <v>-16.14</v>
      </c>
      <c r="CP1397" s="20">
        <v>-60.99</v>
      </c>
    </row>
    <row r="1398">
      <c r="A1398" s="20"/>
      <c r="B1398" s="20"/>
      <c r="C1398" s="20"/>
      <c r="D1398" s="20"/>
      <c r="E1398" s="20"/>
      <c r="F1398" s="20"/>
      <c r="G1398" s="20"/>
      <c r="H1398" s="20"/>
      <c r="I1398" s="20"/>
      <c r="J1398" s="20"/>
      <c r="K1398" s="20">
        <v>698.0</v>
      </c>
      <c r="L1398" s="20" t="s">
        <v>17</v>
      </c>
      <c r="M1398" s="20">
        <v>-10.03</v>
      </c>
      <c r="N1398" s="20">
        <v>30.8</v>
      </c>
      <c r="P1398" s="20">
        <v>-4.17</v>
      </c>
      <c r="Q1398" s="20">
        <v>36.0</v>
      </c>
      <c r="AM1398" s="20">
        <v>715.0</v>
      </c>
      <c r="AN1398" s="20" t="s">
        <v>17</v>
      </c>
      <c r="AO1398" s="20">
        <v>-32.07</v>
      </c>
      <c r="AP1398" s="20">
        <v>-16.9</v>
      </c>
      <c r="AS1398" s="20">
        <v>702.0</v>
      </c>
      <c r="AT1398" s="20" t="s">
        <v>17</v>
      </c>
      <c r="AU1398" s="20">
        <v>15.55</v>
      </c>
      <c r="AV1398" s="20">
        <v>-39.72</v>
      </c>
      <c r="BM1398" s="20">
        <v>81.83</v>
      </c>
      <c r="BN1398" s="20">
        <v>-22.67</v>
      </c>
      <c r="BZ1398" s="20">
        <v>-34.36</v>
      </c>
      <c r="CA1398" s="20">
        <v>33.75</v>
      </c>
      <c r="CO1398" s="20">
        <v>-18.97</v>
      </c>
      <c r="CP1398" s="20">
        <v>-58.47</v>
      </c>
    </row>
    <row r="1399">
      <c r="A1399" s="20"/>
      <c r="B1399" s="20"/>
      <c r="C1399" s="20"/>
      <c r="D1399" s="20"/>
      <c r="E1399" s="20"/>
      <c r="F1399" s="20"/>
      <c r="G1399" s="20"/>
      <c r="H1399" s="20"/>
      <c r="I1399" s="20"/>
      <c r="J1399" s="20"/>
      <c r="K1399" s="20">
        <v>699.0</v>
      </c>
      <c r="L1399" s="20" t="s">
        <v>14</v>
      </c>
      <c r="M1399" s="20">
        <v>-5.54</v>
      </c>
      <c r="N1399" s="20">
        <v>15.43</v>
      </c>
      <c r="P1399" s="20">
        <v>3.3</v>
      </c>
      <c r="Q1399" s="20">
        <v>34.22</v>
      </c>
      <c r="AM1399" s="20">
        <v>716.0</v>
      </c>
      <c r="AN1399" s="20" t="s">
        <v>14</v>
      </c>
      <c r="AO1399" s="20">
        <v>-0.73</v>
      </c>
      <c r="AP1399" s="20">
        <v>-24.86</v>
      </c>
      <c r="AS1399" s="20">
        <v>703.0</v>
      </c>
      <c r="AT1399" s="20" t="s">
        <v>14</v>
      </c>
      <c r="AU1399" s="20">
        <v>-45.17</v>
      </c>
      <c r="AV1399" s="20">
        <v>-27.23</v>
      </c>
      <c r="BM1399" s="20">
        <v>45.01</v>
      </c>
      <c r="BN1399" s="20">
        <v>47.04</v>
      </c>
      <c r="BZ1399" s="20">
        <v>116.85</v>
      </c>
      <c r="CA1399" s="20">
        <v>8.67</v>
      </c>
      <c r="CO1399" s="20">
        <v>12.05</v>
      </c>
      <c r="CP1399" s="20">
        <v>-39.47</v>
      </c>
    </row>
    <row r="1400">
      <c r="A1400" s="20"/>
      <c r="B1400" s="20"/>
      <c r="C1400" s="20"/>
      <c r="D1400" s="20"/>
      <c r="E1400" s="20"/>
      <c r="F1400" s="20"/>
      <c r="G1400" s="20"/>
      <c r="H1400" s="20"/>
      <c r="I1400" s="20"/>
      <c r="J1400" s="20"/>
      <c r="K1400" s="20">
        <v>699.0</v>
      </c>
      <c r="L1400" s="20" t="s">
        <v>17</v>
      </c>
      <c r="M1400" s="20">
        <v>-15.18</v>
      </c>
      <c r="N1400" s="20">
        <v>2.14</v>
      </c>
      <c r="P1400" s="20">
        <v>19.75</v>
      </c>
      <c r="Q1400" s="20">
        <v>122.5</v>
      </c>
      <c r="AM1400" s="20">
        <v>716.0</v>
      </c>
      <c r="AN1400" s="20" t="s">
        <v>17</v>
      </c>
      <c r="AO1400" s="20">
        <v>-35.87</v>
      </c>
      <c r="AP1400" s="20">
        <v>-19.75</v>
      </c>
      <c r="AS1400" s="20">
        <v>703.0</v>
      </c>
      <c r="AT1400" s="20" t="s">
        <v>17</v>
      </c>
      <c r="AU1400" s="20">
        <v>-14.79</v>
      </c>
      <c r="AV1400" s="20">
        <v>-8.71</v>
      </c>
      <c r="BM1400" s="20">
        <v>62.09</v>
      </c>
      <c r="BN1400" s="20">
        <v>17.32</v>
      </c>
      <c r="BZ1400" s="20">
        <v>-58.16</v>
      </c>
      <c r="CA1400" s="20">
        <v>-2.1</v>
      </c>
      <c r="CO1400" s="20">
        <v>-35.18</v>
      </c>
      <c r="CP1400" s="20">
        <v>-62.1</v>
      </c>
    </row>
    <row r="1401">
      <c r="A1401" s="20"/>
      <c r="B1401" s="20"/>
      <c r="C1401" s="20"/>
      <c r="D1401" s="20"/>
      <c r="E1401" s="20"/>
      <c r="F1401" s="20"/>
      <c r="G1401" s="20"/>
      <c r="H1401" s="20"/>
      <c r="I1401" s="20"/>
      <c r="J1401" s="20"/>
      <c r="K1401" s="20">
        <v>700.0</v>
      </c>
      <c r="L1401" s="20" t="s">
        <v>14</v>
      </c>
      <c r="M1401" s="20">
        <v>39.11</v>
      </c>
      <c r="N1401" s="20">
        <v>19.21</v>
      </c>
      <c r="P1401" s="20">
        <v>-24.18</v>
      </c>
      <c r="Q1401" s="20">
        <v>53.6</v>
      </c>
      <c r="AM1401" s="20">
        <v>717.0</v>
      </c>
      <c r="AN1401" s="20" t="s">
        <v>14</v>
      </c>
      <c r="AO1401" s="20">
        <v>30.7</v>
      </c>
      <c r="AP1401" s="20">
        <v>-14.75</v>
      </c>
      <c r="AS1401" s="20">
        <v>704.0</v>
      </c>
      <c r="AT1401" s="20" t="s">
        <v>14</v>
      </c>
      <c r="AU1401" s="20">
        <v>-23.35</v>
      </c>
      <c r="AV1401" s="20">
        <v>16.61</v>
      </c>
      <c r="BM1401" s="20">
        <v>8.41</v>
      </c>
      <c r="BN1401" s="20">
        <v>122.26</v>
      </c>
      <c r="BZ1401" s="20">
        <v>-50.15</v>
      </c>
      <c r="CA1401" s="20">
        <v>-16.79</v>
      </c>
      <c r="CO1401" s="20">
        <v>-55.13</v>
      </c>
      <c r="CP1401" s="20">
        <v>-51.2</v>
      </c>
    </row>
    <row r="1402">
      <c r="A1402" s="20"/>
      <c r="B1402" s="20"/>
      <c r="C1402" s="20"/>
      <c r="D1402" s="20"/>
      <c r="E1402" s="20"/>
      <c r="F1402" s="20"/>
      <c r="G1402" s="20"/>
      <c r="H1402" s="20"/>
      <c r="I1402" s="20"/>
      <c r="J1402" s="20"/>
      <c r="K1402" s="20">
        <v>700.0</v>
      </c>
      <c r="L1402" s="20" t="s">
        <v>17</v>
      </c>
      <c r="M1402" s="20">
        <v>-9.31</v>
      </c>
      <c r="N1402" s="20">
        <v>-5.94</v>
      </c>
      <c r="P1402" s="20">
        <v>3.22</v>
      </c>
      <c r="Q1402" s="20">
        <v>58.39</v>
      </c>
      <c r="AM1402" s="20">
        <v>717.0</v>
      </c>
      <c r="AN1402" s="20" t="s">
        <v>17</v>
      </c>
      <c r="AO1402" s="20">
        <v>40.13</v>
      </c>
      <c r="AP1402" s="20">
        <v>-18.8</v>
      </c>
      <c r="AS1402" s="20">
        <v>704.0</v>
      </c>
      <c r="AT1402" s="20" t="s">
        <v>17</v>
      </c>
      <c r="AU1402" s="20">
        <v>-4.49</v>
      </c>
      <c r="AV1402" s="20">
        <v>-19.09</v>
      </c>
      <c r="BM1402" s="20">
        <v>232.24</v>
      </c>
      <c r="BN1402" s="20">
        <v>49.99</v>
      </c>
      <c r="BZ1402" s="20">
        <v>-39.18</v>
      </c>
      <c r="CA1402" s="20">
        <v>109.22</v>
      </c>
      <c r="CO1402" s="20">
        <v>-32.37</v>
      </c>
      <c r="CP1402" s="20">
        <v>-37.41</v>
      </c>
    </row>
    <row r="1403">
      <c r="A1403" s="20"/>
      <c r="B1403" s="20"/>
      <c r="C1403" s="20"/>
      <c r="D1403" s="20"/>
      <c r="E1403" s="20"/>
      <c r="F1403" s="20"/>
      <c r="G1403" s="20"/>
      <c r="H1403" s="20"/>
      <c r="I1403" s="20"/>
      <c r="J1403" s="20"/>
      <c r="K1403" s="20">
        <v>701.0</v>
      </c>
      <c r="L1403" s="20" t="s">
        <v>14</v>
      </c>
      <c r="M1403" s="20">
        <v>12.52</v>
      </c>
      <c r="N1403" s="20">
        <v>12.34</v>
      </c>
      <c r="P1403" s="20">
        <v>37.14</v>
      </c>
      <c r="Q1403" s="20">
        <v>115.28</v>
      </c>
      <c r="AM1403" s="20">
        <v>718.0</v>
      </c>
      <c r="AN1403" s="20" t="s">
        <v>14</v>
      </c>
      <c r="AO1403" s="20">
        <v>-26.46</v>
      </c>
      <c r="AP1403" s="20">
        <v>-30.56</v>
      </c>
      <c r="AS1403" s="20">
        <v>705.0</v>
      </c>
      <c r="AT1403" s="20" t="s">
        <v>14</v>
      </c>
      <c r="AU1403" s="20">
        <v>-13.96</v>
      </c>
      <c r="AV1403" s="20">
        <v>-32.75</v>
      </c>
      <c r="BM1403" s="20">
        <v>133.72</v>
      </c>
      <c r="BN1403" s="20">
        <v>120.8</v>
      </c>
      <c r="BZ1403" s="20">
        <v>-17.68</v>
      </c>
      <c r="CA1403" s="20">
        <v>28.17</v>
      </c>
      <c r="CO1403" s="20">
        <v>-23.1</v>
      </c>
      <c r="CP1403" s="20">
        <v>-53.77</v>
      </c>
    </row>
    <row r="1404">
      <c r="A1404" s="20"/>
      <c r="B1404" s="20"/>
      <c r="C1404" s="20"/>
      <c r="D1404" s="20"/>
      <c r="E1404" s="20"/>
      <c r="F1404" s="20"/>
      <c r="G1404" s="20"/>
      <c r="H1404" s="20"/>
      <c r="I1404" s="20"/>
      <c r="J1404" s="20"/>
      <c r="K1404" s="20">
        <v>701.0</v>
      </c>
      <c r="L1404" s="20" t="s">
        <v>17</v>
      </c>
      <c r="M1404" s="20">
        <v>5.97</v>
      </c>
      <c r="N1404" s="20">
        <v>-31.28</v>
      </c>
      <c r="P1404" s="20">
        <v>29.99</v>
      </c>
      <c r="Q1404" s="20">
        <v>142.85</v>
      </c>
      <c r="AM1404" s="20">
        <v>718.0</v>
      </c>
      <c r="AN1404" s="20" t="s">
        <v>17</v>
      </c>
      <c r="AO1404" s="20">
        <v>-28.96</v>
      </c>
      <c r="AP1404" s="20">
        <v>-11.9</v>
      </c>
      <c r="AS1404" s="20">
        <v>705.0</v>
      </c>
      <c r="AT1404" s="20" t="s">
        <v>17</v>
      </c>
      <c r="AU1404" s="20">
        <v>57.77</v>
      </c>
      <c r="AV1404" s="20">
        <v>-9.86</v>
      </c>
      <c r="BM1404" s="20">
        <v>52.82</v>
      </c>
      <c r="BN1404" s="20">
        <v>92.99</v>
      </c>
      <c r="BZ1404" s="20">
        <v>-22.16</v>
      </c>
      <c r="CA1404" s="20">
        <v>-28.99</v>
      </c>
      <c r="CO1404" s="20">
        <v>-12.39</v>
      </c>
      <c r="CP1404" s="20">
        <v>-47.47</v>
      </c>
    </row>
    <row r="1405">
      <c r="A1405" s="20"/>
      <c r="B1405" s="20"/>
      <c r="C1405" s="20"/>
      <c r="D1405" s="20"/>
      <c r="E1405" s="20"/>
      <c r="F1405" s="20"/>
      <c r="G1405" s="20"/>
      <c r="H1405" s="20"/>
      <c r="I1405" s="20"/>
      <c r="J1405" s="20"/>
      <c r="K1405" s="20">
        <v>702.0</v>
      </c>
      <c r="L1405" s="20" t="s">
        <v>14</v>
      </c>
      <c r="M1405" s="20">
        <v>-3.9</v>
      </c>
      <c r="N1405" s="20">
        <v>6.51</v>
      </c>
      <c r="P1405" s="20">
        <v>-14.16</v>
      </c>
      <c r="Q1405" s="20">
        <v>51.45</v>
      </c>
      <c r="AM1405" s="20">
        <v>719.0</v>
      </c>
      <c r="AN1405" s="20" t="s">
        <v>14</v>
      </c>
      <c r="AO1405" s="20">
        <v>11.99</v>
      </c>
      <c r="AP1405" s="20">
        <v>-23.41</v>
      </c>
      <c r="AS1405" s="20">
        <v>706.0</v>
      </c>
      <c r="AT1405" s="20" t="s">
        <v>14</v>
      </c>
      <c r="AU1405" s="20">
        <v>-11.54</v>
      </c>
      <c r="AV1405" s="20">
        <v>-21.04</v>
      </c>
      <c r="BM1405" s="20">
        <v>128.18</v>
      </c>
      <c r="BN1405" s="20">
        <v>177.67</v>
      </c>
      <c r="BZ1405" s="20">
        <v>-3.94</v>
      </c>
      <c r="CA1405" s="20">
        <v>31.42</v>
      </c>
      <c r="CO1405" s="20">
        <v>-54.22</v>
      </c>
      <c r="CP1405" s="20">
        <v>-50.17</v>
      </c>
    </row>
    <row r="1406">
      <c r="A1406" s="20"/>
      <c r="B1406" s="20"/>
      <c r="C1406" s="20"/>
      <c r="D1406" s="20"/>
      <c r="E1406" s="20"/>
      <c r="F1406" s="20"/>
      <c r="G1406" s="20"/>
      <c r="H1406" s="20"/>
      <c r="I1406" s="20"/>
      <c r="J1406" s="20"/>
      <c r="K1406" s="20">
        <v>702.0</v>
      </c>
      <c r="L1406" s="20" t="s">
        <v>17</v>
      </c>
      <c r="M1406" s="20">
        <v>-5.2</v>
      </c>
      <c r="N1406" s="20">
        <v>22.49</v>
      </c>
      <c r="P1406" s="20">
        <v>-12.04</v>
      </c>
      <c r="Q1406" s="20">
        <v>56.58</v>
      </c>
      <c r="AM1406" s="20">
        <v>719.0</v>
      </c>
      <c r="AN1406" s="20" t="s">
        <v>17</v>
      </c>
      <c r="AO1406" s="20">
        <v>-27.85</v>
      </c>
      <c r="AP1406" s="20">
        <v>-27.58</v>
      </c>
      <c r="AS1406" s="20">
        <v>706.0</v>
      </c>
      <c r="AT1406" s="20" t="s">
        <v>17</v>
      </c>
      <c r="AU1406" s="20">
        <v>-17.58</v>
      </c>
      <c r="AV1406" s="20">
        <v>-25.65</v>
      </c>
      <c r="BM1406" s="20">
        <v>204.96</v>
      </c>
      <c r="BN1406" s="20">
        <v>133.0</v>
      </c>
      <c r="BZ1406" s="20">
        <v>1.01</v>
      </c>
      <c r="CA1406" s="20">
        <v>-30.72</v>
      </c>
      <c r="CO1406" s="20">
        <v>-30.96</v>
      </c>
      <c r="CP1406" s="20">
        <v>-60.44</v>
      </c>
    </row>
    <row r="1407">
      <c r="A1407" s="20"/>
      <c r="B1407" s="20"/>
      <c r="C1407" s="20"/>
      <c r="D1407" s="20"/>
      <c r="E1407" s="20"/>
      <c r="F1407" s="20"/>
      <c r="G1407" s="20"/>
      <c r="H1407" s="20"/>
      <c r="I1407" s="20"/>
      <c r="J1407" s="20"/>
      <c r="K1407" s="20">
        <v>703.0</v>
      </c>
      <c r="L1407" s="20" t="s">
        <v>14</v>
      </c>
      <c r="M1407" s="20">
        <v>22.81</v>
      </c>
      <c r="N1407" s="20">
        <v>-1.77</v>
      </c>
      <c r="P1407" s="20">
        <v>-43.37</v>
      </c>
      <c r="Q1407" s="20">
        <v>-13.83</v>
      </c>
      <c r="AM1407" s="20">
        <v>720.0</v>
      </c>
      <c r="AN1407" s="20" t="s">
        <v>14</v>
      </c>
      <c r="AO1407" s="20">
        <v>4.03</v>
      </c>
      <c r="AP1407" s="20">
        <v>6.71</v>
      </c>
      <c r="AS1407" s="20">
        <v>707.0</v>
      </c>
      <c r="AT1407" s="20" t="s">
        <v>14</v>
      </c>
      <c r="AU1407" s="20">
        <v>-3.94</v>
      </c>
      <c r="AV1407" s="20">
        <v>-11.06</v>
      </c>
      <c r="BM1407" s="20">
        <v>74.58</v>
      </c>
      <c r="BN1407" s="20">
        <v>95.45</v>
      </c>
      <c r="BZ1407" s="20">
        <v>-8.03</v>
      </c>
      <c r="CA1407" s="20">
        <v>139.45</v>
      </c>
      <c r="CO1407" s="20">
        <v>-59.21</v>
      </c>
      <c r="CP1407" s="20">
        <v>-63.63</v>
      </c>
    </row>
    <row r="1408">
      <c r="A1408" s="20"/>
      <c r="B1408" s="20"/>
      <c r="C1408" s="20"/>
      <c r="D1408" s="20"/>
      <c r="E1408" s="20"/>
      <c r="F1408" s="20"/>
      <c r="G1408" s="20"/>
      <c r="H1408" s="20"/>
      <c r="I1408" s="20"/>
      <c r="J1408" s="20"/>
      <c r="K1408" s="20">
        <v>703.0</v>
      </c>
      <c r="L1408" s="20" t="s">
        <v>17</v>
      </c>
      <c r="M1408" s="20">
        <v>-27.94</v>
      </c>
      <c r="N1408" s="20">
        <v>-13.15</v>
      </c>
      <c r="P1408" s="20">
        <v>-40.64</v>
      </c>
      <c r="Q1408" s="20">
        <v>-29.33</v>
      </c>
      <c r="AM1408" s="20">
        <v>720.0</v>
      </c>
      <c r="AN1408" s="20" t="s">
        <v>17</v>
      </c>
      <c r="AO1408" s="20">
        <v>2.29</v>
      </c>
      <c r="AP1408" s="20">
        <v>1.27</v>
      </c>
      <c r="AS1408" s="20">
        <v>707.0</v>
      </c>
      <c r="AT1408" s="20" t="s">
        <v>17</v>
      </c>
      <c r="AU1408" s="20">
        <v>-13.97</v>
      </c>
      <c r="AV1408" s="20">
        <v>-29.68</v>
      </c>
      <c r="BM1408" s="20">
        <v>107.56</v>
      </c>
      <c r="BN1408" s="20">
        <v>114.54</v>
      </c>
      <c r="BZ1408" s="20">
        <v>-34.94</v>
      </c>
      <c r="CA1408" s="20">
        <v>96.09</v>
      </c>
      <c r="CO1408" s="20">
        <v>-21.9</v>
      </c>
      <c r="CP1408" s="20">
        <v>-43.91</v>
      </c>
    </row>
    <row r="1409">
      <c r="A1409" s="20"/>
      <c r="B1409" s="20"/>
      <c r="C1409" s="20"/>
      <c r="D1409" s="20"/>
      <c r="E1409" s="20"/>
      <c r="F1409" s="20"/>
      <c r="G1409" s="20"/>
      <c r="H1409" s="20"/>
      <c r="I1409" s="20"/>
      <c r="J1409" s="20"/>
      <c r="K1409" s="20">
        <v>704.0</v>
      </c>
      <c r="L1409" s="20" t="s">
        <v>14</v>
      </c>
      <c r="M1409" s="20">
        <v>-21.65</v>
      </c>
      <c r="N1409" s="20">
        <v>6.05</v>
      </c>
      <c r="P1409" s="20">
        <v>-10.56</v>
      </c>
      <c r="Q1409" s="20">
        <v>27.79</v>
      </c>
      <c r="AM1409" s="20">
        <v>721.0</v>
      </c>
      <c r="AN1409" s="20" t="s">
        <v>14</v>
      </c>
      <c r="AO1409" s="20">
        <v>-2.98</v>
      </c>
      <c r="AP1409" s="20">
        <v>1.98</v>
      </c>
      <c r="AS1409" s="20">
        <v>708.0</v>
      </c>
      <c r="AT1409" s="20" t="s">
        <v>14</v>
      </c>
      <c r="AU1409" s="20">
        <v>7.35</v>
      </c>
      <c r="AV1409" s="20">
        <v>-31.41</v>
      </c>
      <c r="BM1409" s="20">
        <v>178.43</v>
      </c>
      <c r="BN1409" s="20">
        <v>56.3</v>
      </c>
      <c r="BZ1409" s="20">
        <v>-53.05</v>
      </c>
      <c r="CA1409" s="20">
        <v>33.22</v>
      </c>
      <c r="CO1409" s="20">
        <v>7.9</v>
      </c>
      <c r="CP1409" s="20">
        <v>-60.12</v>
      </c>
    </row>
    <row r="1410">
      <c r="A1410" s="20"/>
      <c r="B1410" s="20"/>
      <c r="C1410" s="20"/>
      <c r="D1410" s="20"/>
      <c r="E1410" s="20"/>
      <c r="F1410" s="20"/>
      <c r="G1410" s="20"/>
      <c r="H1410" s="20"/>
      <c r="I1410" s="20"/>
      <c r="J1410" s="20"/>
      <c r="K1410" s="20">
        <v>704.0</v>
      </c>
      <c r="L1410" s="20" t="s">
        <v>17</v>
      </c>
      <c r="M1410" s="20">
        <v>-29.28</v>
      </c>
      <c r="N1410" s="20">
        <v>-24.44</v>
      </c>
      <c r="P1410" s="20">
        <v>-34.47</v>
      </c>
      <c r="Q1410" s="20">
        <v>-31.03</v>
      </c>
      <c r="AM1410" s="20">
        <v>721.0</v>
      </c>
      <c r="AN1410" s="20" t="s">
        <v>17</v>
      </c>
      <c r="AO1410" s="20">
        <v>-25.57</v>
      </c>
      <c r="AP1410" s="20">
        <v>-14.46</v>
      </c>
      <c r="AS1410" s="20">
        <v>708.0</v>
      </c>
      <c r="AT1410" s="20" t="s">
        <v>17</v>
      </c>
      <c r="AU1410" s="20">
        <v>-30.14</v>
      </c>
      <c r="AV1410" s="20">
        <v>-15.37</v>
      </c>
      <c r="BM1410" s="20">
        <v>325.08</v>
      </c>
      <c r="BN1410" s="20">
        <v>30.7</v>
      </c>
      <c r="BZ1410" s="20">
        <v>-57.47</v>
      </c>
      <c r="CA1410" s="20">
        <v>76.09</v>
      </c>
      <c r="CO1410" s="20">
        <v>2.95</v>
      </c>
      <c r="CP1410" s="20">
        <v>-62.69</v>
      </c>
    </row>
    <row r="1411">
      <c r="A1411" s="20"/>
      <c r="B1411" s="20"/>
      <c r="C1411" s="20"/>
      <c r="D1411" s="20"/>
      <c r="E1411" s="20"/>
      <c r="F1411" s="20"/>
      <c r="G1411" s="20"/>
      <c r="H1411" s="20"/>
      <c r="I1411" s="20"/>
      <c r="J1411" s="20"/>
      <c r="K1411" s="20">
        <v>705.0</v>
      </c>
      <c r="L1411" s="20" t="s">
        <v>14</v>
      </c>
      <c r="M1411" s="20">
        <v>14.0</v>
      </c>
      <c r="N1411" s="20">
        <v>14.65</v>
      </c>
      <c r="P1411" s="20">
        <v>-33.16</v>
      </c>
      <c r="Q1411" s="20">
        <v>-10.45</v>
      </c>
      <c r="AM1411" s="20">
        <v>722.0</v>
      </c>
      <c r="AN1411" s="20" t="s">
        <v>14</v>
      </c>
      <c r="AO1411" s="20">
        <v>14.06</v>
      </c>
      <c r="AP1411" s="20">
        <v>-4.01</v>
      </c>
      <c r="AS1411" s="20">
        <v>709.0</v>
      </c>
      <c r="AT1411" s="20" t="s">
        <v>14</v>
      </c>
      <c r="AU1411" s="20">
        <v>-21.69</v>
      </c>
      <c r="AV1411" s="20">
        <v>-25.18</v>
      </c>
      <c r="BM1411" s="20">
        <v>34.53</v>
      </c>
      <c r="BN1411" s="20">
        <v>52.51</v>
      </c>
      <c r="BZ1411" s="20">
        <v>-13.46</v>
      </c>
      <c r="CA1411" s="20">
        <v>15.9</v>
      </c>
      <c r="CO1411" s="20">
        <v>-13.12</v>
      </c>
      <c r="CP1411" s="20">
        <v>-64.56</v>
      </c>
    </row>
    <row r="1412">
      <c r="A1412" s="20"/>
      <c r="B1412" s="20"/>
      <c r="C1412" s="20"/>
      <c r="D1412" s="20"/>
      <c r="E1412" s="20"/>
      <c r="F1412" s="20"/>
      <c r="G1412" s="20"/>
      <c r="H1412" s="20"/>
      <c r="I1412" s="20"/>
      <c r="J1412" s="20"/>
      <c r="K1412" s="20">
        <v>705.0</v>
      </c>
      <c r="L1412" s="20" t="s">
        <v>17</v>
      </c>
      <c r="M1412" s="20">
        <v>-5.12</v>
      </c>
      <c r="N1412" s="20">
        <v>-14.32</v>
      </c>
      <c r="P1412" s="20">
        <v>-67.34</v>
      </c>
      <c r="Q1412" s="20">
        <v>-82.4</v>
      </c>
      <c r="AM1412" s="20">
        <v>722.0</v>
      </c>
      <c r="AN1412" s="20" t="s">
        <v>17</v>
      </c>
      <c r="AO1412" s="20">
        <v>56.05</v>
      </c>
      <c r="AP1412" s="20">
        <v>-18.56</v>
      </c>
      <c r="AS1412" s="20">
        <v>709.0</v>
      </c>
      <c r="AT1412" s="20" t="s">
        <v>17</v>
      </c>
      <c r="AU1412" s="20">
        <v>-35.67</v>
      </c>
      <c r="AV1412" s="20">
        <v>-52.17</v>
      </c>
      <c r="BM1412" s="20">
        <v>114.87</v>
      </c>
      <c r="BN1412" s="20">
        <v>128.24</v>
      </c>
      <c r="BZ1412" s="20">
        <v>-19.7</v>
      </c>
      <c r="CA1412" s="20">
        <v>24.15</v>
      </c>
      <c r="CO1412" s="20">
        <v>-3.75</v>
      </c>
      <c r="CP1412" s="20">
        <v>-60.24</v>
      </c>
    </row>
    <row r="1413">
      <c r="A1413" s="20"/>
      <c r="B1413" s="20"/>
      <c r="C1413" s="20"/>
      <c r="D1413" s="20"/>
      <c r="E1413" s="20"/>
      <c r="F1413" s="20"/>
      <c r="G1413" s="20"/>
      <c r="H1413" s="20"/>
      <c r="I1413" s="20"/>
      <c r="J1413" s="20"/>
      <c r="K1413" s="20">
        <v>706.0</v>
      </c>
      <c r="L1413" s="20" t="s">
        <v>14</v>
      </c>
      <c r="M1413" s="20">
        <v>4.81</v>
      </c>
      <c r="N1413" s="20">
        <v>-2.29</v>
      </c>
      <c r="P1413" s="20">
        <v>5.38</v>
      </c>
      <c r="Q1413" s="20">
        <v>80.59</v>
      </c>
      <c r="AM1413" s="20">
        <v>723.0</v>
      </c>
      <c r="AN1413" s="20" t="s">
        <v>14</v>
      </c>
      <c r="AO1413" s="20">
        <v>56.52</v>
      </c>
      <c r="AP1413" s="20">
        <v>24.32</v>
      </c>
      <c r="AS1413" s="20">
        <v>710.0</v>
      </c>
      <c r="AT1413" s="20" t="s">
        <v>14</v>
      </c>
      <c r="AU1413" s="20">
        <v>-1.24</v>
      </c>
      <c r="AV1413" s="20">
        <v>-7.14</v>
      </c>
      <c r="BM1413" s="20">
        <v>81.91</v>
      </c>
      <c r="BN1413" s="20">
        <v>86.36</v>
      </c>
      <c r="BZ1413" s="20">
        <v>-14.78</v>
      </c>
      <c r="CA1413" s="20">
        <v>173.21</v>
      </c>
      <c r="CO1413" s="20">
        <v>-7.0</v>
      </c>
      <c r="CP1413" s="20">
        <v>-44.34</v>
      </c>
    </row>
    <row r="1414">
      <c r="A1414" s="20"/>
      <c r="B1414" s="20"/>
      <c r="C1414" s="20"/>
      <c r="D1414" s="20"/>
      <c r="E1414" s="20"/>
      <c r="F1414" s="20"/>
      <c r="G1414" s="20"/>
      <c r="H1414" s="20"/>
      <c r="I1414" s="20"/>
      <c r="J1414" s="20"/>
      <c r="K1414" s="20">
        <v>706.0</v>
      </c>
      <c r="L1414" s="20" t="s">
        <v>17</v>
      </c>
      <c r="M1414" s="20">
        <v>1.99</v>
      </c>
      <c r="N1414" s="20">
        <v>24.06</v>
      </c>
      <c r="P1414" s="20">
        <v>-16.12</v>
      </c>
      <c r="Q1414" s="20">
        <v>-27.17</v>
      </c>
      <c r="AM1414" s="20">
        <v>723.0</v>
      </c>
      <c r="AN1414" s="20" t="s">
        <v>17</v>
      </c>
      <c r="AO1414" s="20">
        <v>-27.22</v>
      </c>
      <c r="AP1414" s="20">
        <v>65.9</v>
      </c>
      <c r="AS1414" s="20">
        <v>710.0</v>
      </c>
      <c r="AT1414" s="20" t="s">
        <v>17</v>
      </c>
      <c r="AU1414" s="20">
        <v>-13.52</v>
      </c>
      <c r="AV1414" s="20">
        <v>-9.99</v>
      </c>
      <c r="BM1414" s="20">
        <v>11.72</v>
      </c>
      <c r="BN1414" s="20">
        <v>16.84</v>
      </c>
      <c r="BZ1414" s="20">
        <v>-40.69</v>
      </c>
      <c r="CA1414" s="20">
        <v>83.33</v>
      </c>
      <c r="CO1414" s="20">
        <v>9.58</v>
      </c>
      <c r="CP1414" s="20">
        <v>-62.89</v>
      </c>
    </row>
    <row r="1415">
      <c r="A1415" s="20"/>
      <c r="B1415" s="20"/>
      <c r="C1415" s="20"/>
      <c r="D1415" s="20"/>
      <c r="E1415" s="20"/>
      <c r="F1415" s="20"/>
      <c r="G1415" s="20"/>
      <c r="H1415" s="20"/>
      <c r="I1415" s="20"/>
      <c r="J1415" s="20"/>
      <c r="K1415" s="20">
        <v>707.0</v>
      </c>
      <c r="L1415" s="20" t="s">
        <v>14</v>
      </c>
      <c r="M1415" s="20">
        <v>-24.51</v>
      </c>
      <c r="N1415" s="20">
        <v>11.51</v>
      </c>
      <c r="P1415" s="20">
        <v>-29.15</v>
      </c>
      <c r="Q1415" s="20">
        <v>8.54</v>
      </c>
      <c r="AM1415" s="20">
        <v>724.0</v>
      </c>
      <c r="AN1415" s="20" t="s">
        <v>14</v>
      </c>
      <c r="AO1415" s="20">
        <v>4.89</v>
      </c>
      <c r="AP1415" s="20">
        <v>-27.77</v>
      </c>
      <c r="AS1415" s="20">
        <v>711.0</v>
      </c>
      <c r="AT1415" s="20" t="s">
        <v>14</v>
      </c>
      <c r="AU1415" s="20">
        <v>-21.36</v>
      </c>
      <c r="AV1415" s="20">
        <v>-26.37</v>
      </c>
      <c r="BM1415" s="20">
        <v>2.91</v>
      </c>
      <c r="BN1415" s="20">
        <v>37.62</v>
      </c>
      <c r="BZ1415" s="20">
        <v>-49.62</v>
      </c>
      <c r="CA1415" s="20">
        <v>207.6</v>
      </c>
      <c r="CO1415" s="20">
        <v>6.29</v>
      </c>
      <c r="CP1415" s="20">
        <v>-57.83</v>
      </c>
    </row>
    <row r="1416">
      <c r="A1416" s="20"/>
      <c r="B1416" s="20"/>
      <c r="C1416" s="20"/>
      <c r="D1416" s="20"/>
      <c r="E1416" s="20"/>
      <c r="F1416" s="20"/>
      <c r="G1416" s="20"/>
      <c r="H1416" s="20"/>
      <c r="I1416" s="20"/>
      <c r="J1416" s="20"/>
      <c r="K1416" s="20">
        <v>707.0</v>
      </c>
      <c r="L1416" s="20" t="s">
        <v>17</v>
      </c>
      <c r="M1416" s="20">
        <v>-23.77</v>
      </c>
      <c r="N1416" s="20">
        <v>-11.63</v>
      </c>
      <c r="P1416" s="20">
        <v>-8.88</v>
      </c>
      <c r="Q1416" s="20">
        <v>-22.37</v>
      </c>
      <c r="AM1416" s="20">
        <v>724.0</v>
      </c>
      <c r="AN1416" s="20" t="s">
        <v>17</v>
      </c>
      <c r="AO1416" s="20">
        <v>-23.2</v>
      </c>
      <c r="AP1416" s="20">
        <v>21.01</v>
      </c>
      <c r="AS1416" s="20">
        <v>711.0</v>
      </c>
      <c r="AT1416" s="20" t="s">
        <v>17</v>
      </c>
      <c r="AU1416" s="20">
        <v>-28.17</v>
      </c>
      <c r="AV1416" s="20">
        <v>-56.64</v>
      </c>
      <c r="BM1416" s="20">
        <v>27.69</v>
      </c>
      <c r="BN1416" s="20">
        <v>75.34</v>
      </c>
      <c r="BZ1416" s="20">
        <v>-46.87</v>
      </c>
      <c r="CA1416" s="20">
        <v>24.69</v>
      </c>
      <c r="CO1416" s="20">
        <v>-5.41</v>
      </c>
      <c r="CP1416" s="20">
        <v>-57.28</v>
      </c>
    </row>
    <row r="1417">
      <c r="A1417" s="20"/>
      <c r="B1417" s="20"/>
      <c r="C1417" s="20"/>
      <c r="D1417" s="20"/>
      <c r="E1417" s="20"/>
      <c r="F1417" s="20"/>
      <c r="G1417" s="20"/>
      <c r="H1417" s="20"/>
      <c r="I1417" s="20"/>
      <c r="J1417" s="20"/>
      <c r="K1417" s="20">
        <v>708.0</v>
      </c>
      <c r="L1417" s="20" t="s">
        <v>14</v>
      </c>
      <c r="M1417" s="20">
        <v>-21.88</v>
      </c>
      <c r="N1417" s="20">
        <v>-2.02</v>
      </c>
      <c r="P1417" s="20">
        <v>-20.17</v>
      </c>
      <c r="Q1417" s="20">
        <v>-0.17</v>
      </c>
      <c r="AM1417" s="20">
        <v>725.0</v>
      </c>
      <c r="AN1417" s="20" t="s">
        <v>14</v>
      </c>
      <c r="AO1417" s="20">
        <v>-20.63</v>
      </c>
      <c r="AP1417" s="20">
        <v>-39.76</v>
      </c>
      <c r="AS1417" s="20">
        <v>712.0</v>
      </c>
      <c r="AT1417" s="20" t="s">
        <v>14</v>
      </c>
      <c r="AU1417" s="20">
        <v>-2.45</v>
      </c>
      <c r="AV1417" s="20">
        <v>-19.64</v>
      </c>
      <c r="BM1417" s="20">
        <v>122.37</v>
      </c>
      <c r="BN1417" s="20">
        <v>149.1</v>
      </c>
      <c r="BZ1417" s="20">
        <v>-41.57</v>
      </c>
      <c r="CA1417" s="20">
        <v>105.84</v>
      </c>
      <c r="CO1417" s="20">
        <v>-32.28</v>
      </c>
      <c r="CP1417" s="20">
        <v>-43.73</v>
      </c>
    </row>
    <row r="1418">
      <c r="A1418" s="20"/>
      <c r="B1418" s="20"/>
      <c r="C1418" s="20"/>
      <c r="D1418" s="20"/>
      <c r="E1418" s="20"/>
      <c r="F1418" s="20"/>
      <c r="G1418" s="20"/>
      <c r="H1418" s="20"/>
      <c r="I1418" s="20"/>
      <c r="J1418" s="20"/>
      <c r="K1418" s="20">
        <v>708.0</v>
      </c>
      <c r="L1418" s="20" t="s">
        <v>17</v>
      </c>
      <c r="M1418" s="20">
        <v>-29.71</v>
      </c>
      <c r="N1418" s="20">
        <v>1.26</v>
      </c>
      <c r="P1418" s="20">
        <v>-0.91</v>
      </c>
      <c r="Q1418" s="20">
        <v>9.67</v>
      </c>
      <c r="AM1418" s="20">
        <v>725.0</v>
      </c>
      <c r="AN1418" s="20" t="s">
        <v>17</v>
      </c>
      <c r="AO1418" s="20">
        <v>-13.43</v>
      </c>
      <c r="AP1418" s="20">
        <v>10.38</v>
      </c>
      <c r="AS1418" s="20">
        <v>712.0</v>
      </c>
      <c r="AT1418" s="20" t="s">
        <v>17</v>
      </c>
      <c r="AU1418" s="20">
        <v>-19.14</v>
      </c>
      <c r="AV1418" s="20">
        <v>-13.15</v>
      </c>
      <c r="BM1418" s="20">
        <v>140.33</v>
      </c>
      <c r="BN1418" s="20">
        <v>107.98</v>
      </c>
      <c r="BZ1418" s="20">
        <v>-13.72</v>
      </c>
      <c r="CA1418" s="20">
        <v>77.16</v>
      </c>
      <c r="CO1418" s="20">
        <v>-42.68</v>
      </c>
      <c r="CP1418" s="20">
        <v>-4.6</v>
      </c>
    </row>
    <row r="1419">
      <c r="A1419" s="20"/>
      <c r="B1419" s="20"/>
      <c r="C1419" s="20"/>
      <c r="D1419" s="20"/>
      <c r="E1419" s="20"/>
      <c r="F1419" s="20"/>
      <c r="G1419" s="20"/>
      <c r="H1419" s="20"/>
      <c r="I1419" s="20"/>
      <c r="J1419" s="20"/>
      <c r="K1419" s="20">
        <v>709.0</v>
      </c>
      <c r="L1419" s="20" t="s">
        <v>14</v>
      </c>
      <c r="M1419" s="20">
        <v>3.6</v>
      </c>
      <c r="N1419" s="20">
        <v>12.78</v>
      </c>
      <c r="P1419" s="20">
        <v>-2.14</v>
      </c>
      <c r="Q1419" s="20">
        <v>38.22</v>
      </c>
      <c r="AM1419" s="20">
        <v>726.0</v>
      </c>
      <c r="AN1419" s="20" t="s">
        <v>14</v>
      </c>
      <c r="AO1419" s="20">
        <v>-45.19</v>
      </c>
      <c r="AP1419" s="20">
        <v>8.44</v>
      </c>
      <c r="AS1419" s="20">
        <v>713.0</v>
      </c>
      <c r="AT1419" s="20" t="s">
        <v>14</v>
      </c>
      <c r="AU1419" s="20">
        <v>19.38</v>
      </c>
      <c r="AV1419" s="20">
        <v>-8.62</v>
      </c>
      <c r="BM1419" s="20">
        <v>37.88</v>
      </c>
      <c r="BN1419" s="20">
        <v>112.95</v>
      </c>
      <c r="BZ1419" s="20">
        <v>-24.74</v>
      </c>
      <c r="CA1419" s="20">
        <v>41.98</v>
      </c>
      <c r="CO1419" s="20">
        <v>-20.18</v>
      </c>
      <c r="CP1419" s="20">
        <v>-37.23</v>
      </c>
    </row>
    <row r="1420">
      <c r="A1420" s="20"/>
      <c r="B1420" s="20"/>
      <c r="C1420" s="20"/>
      <c r="D1420" s="20"/>
      <c r="E1420" s="20"/>
      <c r="F1420" s="20"/>
      <c r="G1420" s="20"/>
      <c r="H1420" s="20"/>
      <c r="I1420" s="20"/>
      <c r="J1420" s="20"/>
      <c r="K1420" s="20">
        <v>709.0</v>
      </c>
      <c r="L1420" s="20" t="s">
        <v>17</v>
      </c>
      <c r="M1420" s="20">
        <v>-28.4</v>
      </c>
      <c r="N1420" s="20">
        <v>-25.87</v>
      </c>
      <c r="P1420" s="20">
        <v>-1.31</v>
      </c>
      <c r="Q1420" s="20">
        <v>41.08</v>
      </c>
      <c r="AM1420" s="20">
        <v>726.0</v>
      </c>
      <c r="AN1420" s="20" t="s">
        <v>17</v>
      </c>
      <c r="AO1420" s="20">
        <v>-17.41</v>
      </c>
      <c r="AP1420" s="20">
        <v>-6.1</v>
      </c>
      <c r="AS1420" s="20">
        <v>713.0</v>
      </c>
      <c r="AT1420" s="20" t="s">
        <v>17</v>
      </c>
      <c r="AU1420" s="20">
        <v>-11.7</v>
      </c>
      <c r="AV1420" s="20">
        <v>-54.71</v>
      </c>
      <c r="BM1420" s="20">
        <v>93.03</v>
      </c>
      <c r="BN1420" s="20">
        <v>52.07</v>
      </c>
      <c r="BZ1420" s="20">
        <v>13.84</v>
      </c>
      <c r="CA1420" s="20">
        <v>1.41</v>
      </c>
      <c r="CO1420" s="20">
        <v>10.64</v>
      </c>
      <c r="CP1420" s="20">
        <v>-45.66</v>
      </c>
    </row>
    <row r="1421">
      <c r="A1421" s="20"/>
      <c r="B1421" s="20"/>
      <c r="C1421" s="20"/>
      <c r="D1421" s="20"/>
      <c r="E1421" s="20"/>
      <c r="F1421" s="20"/>
      <c r="G1421" s="20"/>
      <c r="H1421" s="20"/>
      <c r="I1421" s="20"/>
      <c r="J1421" s="20"/>
      <c r="K1421" s="20">
        <v>710.0</v>
      </c>
      <c r="L1421" s="20" t="s">
        <v>14</v>
      </c>
      <c r="M1421" s="20">
        <v>9.05</v>
      </c>
      <c r="N1421" s="20">
        <v>10.14</v>
      </c>
      <c r="P1421" s="20">
        <v>-20.96</v>
      </c>
      <c r="Q1421" s="20">
        <v>38.08</v>
      </c>
      <c r="AM1421" s="20">
        <v>727.0</v>
      </c>
      <c r="AN1421" s="20" t="s">
        <v>14</v>
      </c>
      <c r="AO1421" s="20">
        <v>8.56</v>
      </c>
      <c r="AP1421" s="20">
        <v>-19.64</v>
      </c>
      <c r="AS1421" s="20">
        <v>714.0</v>
      </c>
      <c r="AT1421" s="20" t="s">
        <v>14</v>
      </c>
      <c r="AU1421" s="20">
        <v>16.18</v>
      </c>
      <c r="AV1421" s="20">
        <v>-5.95</v>
      </c>
      <c r="BM1421" s="20">
        <v>187.26</v>
      </c>
      <c r="BN1421" s="20">
        <v>107.69</v>
      </c>
      <c r="BZ1421" s="20">
        <v>-40.48</v>
      </c>
      <c r="CA1421" s="20">
        <v>81.63</v>
      </c>
      <c r="CO1421" s="20">
        <v>-22.34</v>
      </c>
      <c r="CP1421" s="20">
        <v>-45.24</v>
      </c>
    </row>
    <row r="1422">
      <c r="A1422" s="20"/>
      <c r="B1422" s="20"/>
      <c r="C1422" s="20"/>
      <c r="D1422" s="20"/>
      <c r="E1422" s="20"/>
      <c r="F1422" s="20"/>
      <c r="G1422" s="20"/>
      <c r="H1422" s="20"/>
      <c r="I1422" s="20"/>
      <c r="J1422" s="20"/>
      <c r="K1422" s="20">
        <v>710.0</v>
      </c>
      <c r="L1422" s="20" t="s">
        <v>17</v>
      </c>
      <c r="M1422" s="20">
        <v>-9.28</v>
      </c>
      <c r="N1422" s="20">
        <v>44.06</v>
      </c>
      <c r="P1422" s="20">
        <v>-9.48</v>
      </c>
      <c r="Q1422" s="20">
        <v>54.8</v>
      </c>
      <c r="AM1422" s="20">
        <v>727.0</v>
      </c>
      <c r="AN1422" s="20" t="s">
        <v>17</v>
      </c>
      <c r="AO1422" s="20">
        <v>-2.56</v>
      </c>
      <c r="AP1422" s="20">
        <v>2.66</v>
      </c>
      <c r="AS1422" s="20">
        <v>714.0</v>
      </c>
      <c r="AT1422" s="20" t="s">
        <v>17</v>
      </c>
      <c r="AU1422" s="20">
        <v>-36.65</v>
      </c>
      <c r="AV1422" s="20">
        <v>-11.51</v>
      </c>
      <c r="BM1422" s="20">
        <v>72.6</v>
      </c>
      <c r="BN1422" s="20">
        <v>134.1</v>
      </c>
      <c r="BZ1422" s="20">
        <v>-58.07</v>
      </c>
      <c r="CA1422" s="20">
        <v>103.4</v>
      </c>
      <c r="CO1422" s="20">
        <v>3.93</v>
      </c>
      <c r="CP1422" s="20">
        <v>8.93</v>
      </c>
    </row>
    <row r="1423">
      <c r="A1423" s="20"/>
      <c r="B1423" s="20"/>
      <c r="C1423" s="20"/>
      <c r="D1423" s="20"/>
      <c r="E1423" s="20"/>
      <c r="F1423" s="20"/>
      <c r="G1423" s="20"/>
      <c r="H1423" s="20"/>
      <c r="I1423" s="20"/>
      <c r="J1423" s="20"/>
      <c r="K1423" s="20">
        <v>711.0</v>
      </c>
      <c r="L1423" s="20" t="s">
        <v>14</v>
      </c>
      <c r="M1423" s="20">
        <v>-15.31</v>
      </c>
      <c r="N1423" s="20">
        <v>14.0</v>
      </c>
      <c r="P1423" s="20">
        <v>-20.23</v>
      </c>
      <c r="Q1423" s="20">
        <v>-4.18</v>
      </c>
      <c r="AM1423" s="20">
        <v>728.0</v>
      </c>
      <c r="AN1423" s="20" t="s">
        <v>14</v>
      </c>
      <c r="AO1423" s="20">
        <v>-36.89</v>
      </c>
      <c r="AP1423" s="20">
        <v>-35.14</v>
      </c>
      <c r="AS1423" s="20">
        <v>715.0</v>
      </c>
      <c r="AT1423" s="20" t="s">
        <v>14</v>
      </c>
      <c r="AU1423" s="20">
        <v>32.52</v>
      </c>
      <c r="AV1423" s="20">
        <v>-32.7</v>
      </c>
      <c r="BM1423" s="20">
        <v>82.99</v>
      </c>
      <c r="BN1423" s="20">
        <v>218.04</v>
      </c>
      <c r="BZ1423" s="20">
        <v>-41.05</v>
      </c>
      <c r="CA1423" s="20">
        <v>40.3</v>
      </c>
      <c r="CO1423" s="20">
        <v>5.66</v>
      </c>
      <c r="CP1423" s="20">
        <v>-45.59</v>
      </c>
    </row>
    <row r="1424">
      <c r="A1424" s="20"/>
      <c r="B1424" s="20"/>
      <c r="C1424" s="20"/>
      <c r="D1424" s="20"/>
      <c r="E1424" s="20"/>
      <c r="F1424" s="20"/>
      <c r="G1424" s="20"/>
      <c r="H1424" s="20"/>
      <c r="I1424" s="20"/>
      <c r="J1424" s="20"/>
      <c r="K1424" s="20">
        <v>711.0</v>
      </c>
      <c r="L1424" s="20" t="s">
        <v>17</v>
      </c>
      <c r="M1424" s="20">
        <v>-38.73</v>
      </c>
      <c r="N1424" s="20">
        <v>-12.66</v>
      </c>
      <c r="P1424" s="20">
        <v>-55.2</v>
      </c>
      <c r="Q1424" s="20">
        <v>-29.05</v>
      </c>
      <c r="AM1424" s="20">
        <v>728.0</v>
      </c>
      <c r="AN1424" s="20" t="s">
        <v>17</v>
      </c>
      <c r="AO1424" s="20">
        <v>-34.05</v>
      </c>
      <c r="AP1424" s="20">
        <v>-16.02</v>
      </c>
      <c r="AS1424" s="20">
        <v>715.0</v>
      </c>
      <c r="AT1424" s="20" t="s">
        <v>17</v>
      </c>
      <c r="AU1424" s="20">
        <v>18.04</v>
      </c>
      <c r="AV1424" s="20">
        <v>-4.05</v>
      </c>
      <c r="BM1424" s="20">
        <v>108.71</v>
      </c>
      <c r="BN1424" s="20">
        <v>251.66</v>
      </c>
      <c r="BZ1424" s="20">
        <v>-6.6</v>
      </c>
      <c r="CA1424" s="20">
        <v>84.51</v>
      </c>
      <c r="CO1424" s="20">
        <v>32.42</v>
      </c>
      <c r="CP1424" s="20">
        <v>-32.72</v>
      </c>
    </row>
    <row r="1425">
      <c r="A1425" s="20"/>
      <c r="B1425" s="20"/>
      <c r="C1425" s="20"/>
      <c r="D1425" s="20"/>
      <c r="E1425" s="20"/>
      <c r="F1425" s="20"/>
      <c r="G1425" s="20"/>
      <c r="H1425" s="20"/>
      <c r="I1425" s="20"/>
      <c r="J1425" s="20"/>
      <c r="K1425" s="20">
        <v>712.0</v>
      </c>
      <c r="L1425" s="20" t="s">
        <v>14</v>
      </c>
      <c r="M1425" s="20">
        <v>-6.7</v>
      </c>
      <c r="N1425" s="20">
        <v>68.45</v>
      </c>
      <c r="P1425" s="20">
        <v>-26.07</v>
      </c>
      <c r="Q1425" s="20">
        <v>-13.69</v>
      </c>
      <c r="AM1425" s="20">
        <v>729.0</v>
      </c>
      <c r="AN1425" s="20" t="s">
        <v>14</v>
      </c>
      <c r="AO1425" s="20">
        <v>5.07</v>
      </c>
      <c r="AP1425" s="20">
        <v>-13.94</v>
      </c>
      <c r="AS1425" s="20">
        <v>716.0</v>
      </c>
      <c r="AT1425" s="20" t="s">
        <v>14</v>
      </c>
      <c r="AU1425" s="20">
        <v>-13.29</v>
      </c>
      <c r="AV1425" s="20">
        <v>-31.62</v>
      </c>
      <c r="BM1425" s="20">
        <v>60.54</v>
      </c>
      <c r="BN1425" s="20">
        <v>28.27</v>
      </c>
      <c r="BZ1425" s="20">
        <v>84.05</v>
      </c>
      <c r="CA1425" s="20">
        <v>202.54</v>
      </c>
      <c r="CO1425" s="20">
        <v>-19.83</v>
      </c>
      <c r="CP1425" s="20">
        <v>-49.9</v>
      </c>
    </row>
    <row r="1426">
      <c r="A1426" s="20"/>
      <c r="B1426" s="20"/>
      <c r="C1426" s="20"/>
      <c r="D1426" s="20"/>
      <c r="E1426" s="20"/>
      <c r="F1426" s="20"/>
      <c r="G1426" s="20"/>
      <c r="H1426" s="20"/>
      <c r="I1426" s="20"/>
      <c r="J1426" s="20"/>
      <c r="K1426" s="20">
        <v>712.0</v>
      </c>
      <c r="L1426" s="20" t="s">
        <v>17</v>
      </c>
      <c r="M1426" s="20">
        <v>-34.54</v>
      </c>
      <c r="N1426" s="20">
        <v>4.33</v>
      </c>
      <c r="P1426" s="20">
        <v>4.56</v>
      </c>
      <c r="Q1426" s="20">
        <v>9.04</v>
      </c>
      <c r="AM1426" s="20">
        <v>729.0</v>
      </c>
      <c r="AN1426" s="20" t="s">
        <v>17</v>
      </c>
      <c r="AO1426" s="20">
        <v>-36.59</v>
      </c>
      <c r="AP1426" s="20">
        <v>5.6</v>
      </c>
      <c r="AS1426" s="20">
        <v>716.0</v>
      </c>
      <c r="AT1426" s="20" t="s">
        <v>17</v>
      </c>
      <c r="AU1426" s="20">
        <v>0.31</v>
      </c>
      <c r="AV1426" s="20">
        <v>-3.31</v>
      </c>
      <c r="BM1426" s="20">
        <v>188.7</v>
      </c>
      <c r="BN1426" s="20">
        <v>52.96</v>
      </c>
      <c r="BZ1426" s="20">
        <v>-39.41</v>
      </c>
      <c r="CA1426" s="20">
        <v>-12.34</v>
      </c>
      <c r="CO1426" s="20">
        <v>21.95</v>
      </c>
      <c r="CP1426" s="20">
        <v>23.78</v>
      </c>
    </row>
    <row r="1427">
      <c r="A1427" s="20"/>
      <c r="B1427" s="20"/>
      <c r="C1427" s="20"/>
      <c r="D1427" s="20"/>
      <c r="E1427" s="20"/>
      <c r="F1427" s="20"/>
      <c r="G1427" s="20"/>
      <c r="H1427" s="20"/>
      <c r="I1427" s="20"/>
      <c r="J1427" s="20"/>
      <c r="K1427" s="20">
        <v>713.0</v>
      </c>
      <c r="L1427" s="20" t="s">
        <v>14</v>
      </c>
      <c r="M1427" s="20">
        <v>19.21</v>
      </c>
      <c r="N1427" s="20">
        <v>6.12</v>
      </c>
      <c r="P1427" s="20">
        <v>31.18</v>
      </c>
      <c r="Q1427" s="20">
        <v>-17.74</v>
      </c>
      <c r="AM1427" s="20">
        <v>730.0</v>
      </c>
      <c r="AN1427" s="20" t="s">
        <v>14</v>
      </c>
      <c r="AO1427" s="20">
        <v>-10.63</v>
      </c>
      <c r="AP1427" s="20">
        <v>15.28</v>
      </c>
      <c r="AS1427" s="20">
        <v>717.0</v>
      </c>
      <c r="AT1427" s="20" t="s">
        <v>14</v>
      </c>
      <c r="AU1427" s="20">
        <v>-13.94</v>
      </c>
      <c r="AV1427" s="20">
        <v>-15.53</v>
      </c>
      <c r="BM1427" s="20">
        <v>78.98</v>
      </c>
      <c r="BN1427" s="20">
        <v>61.58</v>
      </c>
      <c r="BZ1427" s="20">
        <v>-10.09</v>
      </c>
      <c r="CA1427" s="20">
        <v>75.14</v>
      </c>
      <c r="CO1427" s="20">
        <v>-30.92</v>
      </c>
      <c r="CP1427" s="20">
        <v>-55.72</v>
      </c>
    </row>
    <row r="1428">
      <c r="A1428" s="20"/>
      <c r="B1428" s="20"/>
      <c r="C1428" s="20"/>
      <c r="D1428" s="20"/>
      <c r="E1428" s="20"/>
      <c r="F1428" s="20"/>
      <c r="G1428" s="20"/>
      <c r="H1428" s="20"/>
      <c r="I1428" s="20"/>
      <c r="J1428" s="20"/>
      <c r="K1428" s="20">
        <v>713.0</v>
      </c>
      <c r="L1428" s="20" t="s">
        <v>17</v>
      </c>
      <c r="M1428" s="20">
        <v>24.98</v>
      </c>
      <c r="N1428" s="20">
        <v>-10.57</v>
      </c>
      <c r="P1428" s="20">
        <v>-4.96</v>
      </c>
      <c r="Q1428" s="20">
        <v>-53.54</v>
      </c>
      <c r="AM1428" s="20">
        <v>730.0</v>
      </c>
      <c r="AN1428" s="20" t="s">
        <v>17</v>
      </c>
      <c r="AO1428" s="20">
        <v>15.57</v>
      </c>
      <c r="AP1428" s="20">
        <v>32.56</v>
      </c>
      <c r="AS1428" s="20">
        <v>717.0</v>
      </c>
      <c r="AT1428" s="20" t="s">
        <v>17</v>
      </c>
      <c r="AU1428" s="20">
        <v>-15.68</v>
      </c>
      <c r="AV1428" s="20">
        <v>-44.82</v>
      </c>
      <c r="BM1428" s="20">
        <v>72.79</v>
      </c>
      <c r="BN1428" s="20">
        <v>153.44</v>
      </c>
      <c r="BZ1428" s="20">
        <v>-13.32</v>
      </c>
      <c r="CA1428" s="20">
        <v>53.55</v>
      </c>
      <c r="CO1428" s="20">
        <v>21.34</v>
      </c>
      <c r="CP1428" s="20">
        <v>-45.27</v>
      </c>
    </row>
    <row r="1429">
      <c r="A1429" s="20"/>
      <c r="B1429" s="20"/>
      <c r="C1429" s="20"/>
      <c r="D1429" s="20"/>
      <c r="E1429" s="20"/>
      <c r="F1429" s="20"/>
      <c r="G1429" s="20"/>
      <c r="H1429" s="20"/>
      <c r="I1429" s="20"/>
      <c r="J1429" s="20"/>
      <c r="K1429" s="20">
        <v>714.0</v>
      </c>
      <c r="L1429" s="20" t="s">
        <v>14</v>
      </c>
      <c r="M1429" s="20">
        <v>-6.68</v>
      </c>
      <c r="N1429" s="20">
        <v>34.58</v>
      </c>
      <c r="P1429" s="20">
        <v>-2.48</v>
      </c>
      <c r="Q1429" s="20">
        <v>0.05</v>
      </c>
      <c r="AM1429" s="20">
        <v>731.0</v>
      </c>
      <c r="AN1429" s="20" t="s">
        <v>14</v>
      </c>
      <c r="AO1429" s="20">
        <v>-9.33</v>
      </c>
      <c r="AP1429" s="20">
        <v>-1.66</v>
      </c>
      <c r="AS1429" s="20">
        <v>718.0</v>
      </c>
      <c r="AT1429" s="20" t="s">
        <v>14</v>
      </c>
      <c r="AU1429" s="20">
        <v>-8.56</v>
      </c>
      <c r="AV1429" s="20">
        <v>-28.84</v>
      </c>
      <c r="BM1429" s="20">
        <v>51.23</v>
      </c>
      <c r="BN1429" s="20">
        <v>209.89</v>
      </c>
      <c r="BZ1429" s="20">
        <v>-45.2</v>
      </c>
      <c r="CA1429" s="20">
        <v>-10.15</v>
      </c>
      <c r="CO1429" s="20">
        <v>24.23</v>
      </c>
      <c r="CP1429" s="20">
        <v>-54.17</v>
      </c>
    </row>
    <row r="1430">
      <c r="A1430" s="20"/>
      <c r="B1430" s="20"/>
      <c r="C1430" s="20"/>
      <c r="D1430" s="20"/>
      <c r="E1430" s="20"/>
      <c r="F1430" s="20"/>
      <c r="G1430" s="20"/>
      <c r="H1430" s="20"/>
      <c r="I1430" s="20"/>
      <c r="J1430" s="20"/>
      <c r="K1430" s="20">
        <v>714.0</v>
      </c>
      <c r="L1430" s="20" t="s">
        <v>17</v>
      </c>
      <c r="M1430" s="20">
        <v>-8.24</v>
      </c>
      <c r="N1430" s="20">
        <v>-6.49</v>
      </c>
      <c r="P1430" s="20">
        <v>9.44</v>
      </c>
      <c r="Q1430" s="20">
        <v>21.67</v>
      </c>
      <c r="AM1430" s="20">
        <v>731.0</v>
      </c>
      <c r="AN1430" s="20" t="s">
        <v>17</v>
      </c>
      <c r="AO1430" s="20">
        <v>-44.38</v>
      </c>
      <c r="AP1430" s="20">
        <v>-14.04</v>
      </c>
      <c r="AS1430" s="20">
        <v>718.0</v>
      </c>
      <c r="AT1430" s="20" t="s">
        <v>17</v>
      </c>
      <c r="AU1430" s="20">
        <v>-23.64</v>
      </c>
      <c r="AV1430" s="20">
        <v>-66.84</v>
      </c>
      <c r="BM1430" s="20">
        <v>56.18</v>
      </c>
      <c r="BN1430" s="20">
        <v>199.22</v>
      </c>
      <c r="BZ1430" s="20">
        <v>-35.66</v>
      </c>
      <c r="CA1430" s="20">
        <v>37.98</v>
      </c>
      <c r="CO1430" s="20">
        <v>30.88</v>
      </c>
      <c r="CP1430" s="20">
        <v>-36.26</v>
      </c>
    </row>
    <row r="1431">
      <c r="A1431" s="20"/>
      <c r="B1431" s="20"/>
      <c r="C1431" s="20"/>
      <c r="D1431" s="20"/>
      <c r="E1431" s="20"/>
      <c r="F1431" s="20"/>
      <c r="G1431" s="20"/>
      <c r="H1431" s="20"/>
      <c r="I1431" s="20"/>
      <c r="J1431" s="20"/>
      <c r="K1431" s="20">
        <v>715.0</v>
      </c>
      <c r="L1431" s="20" t="s">
        <v>14</v>
      </c>
      <c r="M1431" s="20">
        <v>-16.54</v>
      </c>
      <c r="N1431" s="20">
        <v>-41.84</v>
      </c>
      <c r="P1431" s="20">
        <v>-4.73</v>
      </c>
      <c r="Q1431" s="20">
        <v>1.49</v>
      </c>
      <c r="AM1431" s="20">
        <v>732.0</v>
      </c>
      <c r="AN1431" s="20" t="s">
        <v>14</v>
      </c>
      <c r="AO1431" s="20">
        <v>-14.43</v>
      </c>
      <c r="AP1431" s="20">
        <v>12.67</v>
      </c>
      <c r="AS1431" s="20">
        <v>719.0</v>
      </c>
      <c r="AT1431" s="20" t="s">
        <v>14</v>
      </c>
      <c r="AU1431" s="20">
        <v>15.41</v>
      </c>
      <c r="AV1431" s="20">
        <v>-27.57</v>
      </c>
      <c r="BM1431" s="20">
        <v>47.91</v>
      </c>
      <c r="BN1431" s="20">
        <v>46.5</v>
      </c>
      <c r="BZ1431" s="20">
        <v>-39.99</v>
      </c>
      <c r="CA1431" s="20">
        <v>278.72</v>
      </c>
      <c r="CO1431" s="20">
        <v>-14.59</v>
      </c>
      <c r="CP1431" s="20">
        <v>-53.44</v>
      </c>
    </row>
    <row r="1432">
      <c r="A1432" s="20"/>
      <c r="B1432" s="20"/>
      <c r="C1432" s="20"/>
      <c r="D1432" s="20"/>
      <c r="E1432" s="20"/>
      <c r="F1432" s="20"/>
      <c r="G1432" s="20"/>
      <c r="H1432" s="20"/>
      <c r="I1432" s="20"/>
      <c r="J1432" s="20"/>
      <c r="K1432" s="20">
        <v>715.0</v>
      </c>
      <c r="L1432" s="20" t="s">
        <v>17</v>
      </c>
      <c r="M1432" s="20">
        <v>-35.34</v>
      </c>
      <c r="N1432" s="20">
        <v>-10.02</v>
      </c>
      <c r="P1432" s="20">
        <v>-6.47</v>
      </c>
      <c r="Q1432" s="20">
        <v>-1.25</v>
      </c>
      <c r="AM1432" s="20">
        <v>732.0</v>
      </c>
      <c r="AN1432" s="20" t="s">
        <v>17</v>
      </c>
      <c r="AO1432" s="20">
        <v>12.1</v>
      </c>
      <c r="AP1432" s="20">
        <v>-6.07</v>
      </c>
      <c r="AS1432" s="20">
        <v>719.0</v>
      </c>
      <c r="AT1432" s="20" t="s">
        <v>17</v>
      </c>
      <c r="AU1432" s="20">
        <v>3.38</v>
      </c>
      <c r="AV1432" s="20">
        <v>-38.43</v>
      </c>
      <c r="BM1432" s="20">
        <v>110.0</v>
      </c>
      <c r="BN1432" s="20">
        <v>157.39</v>
      </c>
      <c r="BZ1432" s="20">
        <v>-30.43</v>
      </c>
      <c r="CA1432" s="20">
        <v>176.94</v>
      </c>
      <c r="CO1432" s="20">
        <v>-11.65</v>
      </c>
      <c r="CP1432" s="20">
        <v>-40.11</v>
      </c>
    </row>
    <row r="1433">
      <c r="A1433" s="20"/>
      <c r="B1433" s="20"/>
      <c r="C1433" s="20"/>
      <c r="D1433" s="20"/>
      <c r="E1433" s="20"/>
      <c r="F1433" s="20"/>
      <c r="G1433" s="20"/>
      <c r="H1433" s="20"/>
      <c r="I1433" s="20"/>
      <c r="J1433" s="20"/>
      <c r="K1433" s="20">
        <v>716.0</v>
      </c>
      <c r="L1433" s="20" t="s">
        <v>14</v>
      </c>
      <c r="M1433" s="20">
        <v>-37.06</v>
      </c>
      <c r="N1433" s="20">
        <v>0.6</v>
      </c>
      <c r="P1433" s="20">
        <v>-7.61</v>
      </c>
      <c r="Q1433" s="20">
        <v>11.18</v>
      </c>
      <c r="AM1433" s="20">
        <v>733.0</v>
      </c>
      <c r="AN1433" s="20" t="s">
        <v>14</v>
      </c>
      <c r="AO1433" s="20">
        <v>-9.86</v>
      </c>
      <c r="AP1433" s="20">
        <v>-16.77</v>
      </c>
      <c r="AS1433" s="20">
        <v>720.0</v>
      </c>
      <c r="AT1433" s="20" t="s">
        <v>14</v>
      </c>
      <c r="AU1433" s="20">
        <v>-19.51</v>
      </c>
      <c r="AV1433" s="20">
        <v>-15.9</v>
      </c>
      <c r="BM1433" s="20">
        <v>64.99</v>
      </c>
      <c r="BN1433" s="20">
        <v>117.24</v>
      </c>
      <c r="BZ1433" s="20">
        <v>-54.76</v>
      </c>
      <c r="CA1433" s="20">
        <v>208.16</v>
      </c>
      <c r="CO1433" s="20">
        <v>-13.04</v>
      </c>
      <c r="CP1433" s="20">
        <v>-33.34</v>
      </c>
    </row>
    <row r="1434">
      <c r="A1434" s="20"/>
      <c r="B1434" s="20"/>
      <c r="C1434" s="20"/>
      <c r="D1434" s="20"/>
      <c r="E1434" s="20"/>
      <c r="F1434" s="20"/>
      <c r="G1434" s="20"/>
      <c r="H1434" s="20"/>
      <c r="I1434" s="20"/>
      <c r="J1434" s="20"/>
      <c r="K1434" s="20">
        <v>716.0</v>
      </c>
      <c r="L1434" s="20" t="s">
        <v>17</v>
      </c>
      <c r="M1434" s="20">
        <v>-24.85</v>
      </c>
      <c r="N1434" s="20">
        <v>-0.59</v>
      </c>
      <c r="P1434" s="20">
        <v>5.12</v>
      </c>
      <c r="Q1434" s="20">
        <v>38.37</v>
      </c>
      <c r="AM1434" s="20">
        <v>733.0</v>
      </c>
      <c r="AN1434" s="20" t="s">
        <v>17</v>
      </c>
      <c r="AO1434" s="20">
        <v>-24.94</v>
      </c>
      <c r="AP1434" s="20">
        <v>-33.62</v>
      </c>
      <c r="AS1434" s="20">
        <v>720.0</v>
      </c>
      <c r="AT1434" s="20" t="s">
        <v>17</v>
      </c>
      <c r="AU1434" s="20">
        <v>-14.13</v>
      </c>
      <c r="AV1434" s="20">
        <v>-18.64</v>
      </c>
      <c r="BM1434" s="20">
        <v>72.16</v>
      </c>
      <c r="BN1434" s="20">
        <v>117.87</v>
      </c>
      <c r="BZ1434" s="20">
        <v>-52.36</v>
      </c>
      <c r="CA1434" s="20">
        <v>179.6</v>
      </c>
      <c r="CO1434" s="20">
        <v>70.23</v>
      </c>
      <c r="CP1434" s="20">
        <v>-43.5</v>
      </c>
    </row>
    <row r="1435">
      <c r="A1435" s="20"/>
      <c r="B1435" s="20"/>
      <c r="C1435" s="20"/>
      <c r="D1435" s="20"/>
      <c r="E1435" s="20"/>
      <c r="F1435" s="20"/>
      <c r="G1435" s="20"/>
      <c r="H1435" s="20"/>
      <c r="I1435" s="20"/>
      <c r="J1435" s="20"/>
      <c r="K1435" s="20">
        <v>717.0</v>
      </c>
      <c r="L1435" s="20" t="s">
        <v>14</v>
      </c>
      <c r="M1435" s="20">
        <v>-19.65</v>
      </c>
      <c r="N1435" s="20">
        <v>-5.24</v>
      </c>
      <c r="P1435" s="20">
        <v>2.62</v>
      </c>
      <c r="Q1435" s="20">
        <v>24.47</v>
      </c>
      <c r="AM1435" s="20">
        <v>734.0</v>
      </c>
      <c r="AN1435" s="20" t="s">
        <v>14</v>
      </c>
      <c r="AO1435" s="20">
        <v>3.74</v>
      </c>
      <c r="AP1435" s="20">
        <v>-22.24</v>
      </c>
      <c r="AS1435" s="20">
        <v>721.0</v>
      </c>
      <c r="AT1435" s="20" t="s">
        <v>14</v>
      </c>
      <c r="AU1435" s="20">
        <v>-18.34</v>
      </c>
      <c r="AV1435" s="20">
        <v>-73.73</v>
      </c>
      <c r="BM1435" s="20">
        <v>65.64</v>
      </c>
      <c r="BN1435" s="20">
        <v>56.32</v>
      </c>
      <c r="BZ1435" s="20">
        <v>-19.01</v>
      </c>
      <c r="CA1435" s="20">
        <v>111.32</v>
      </c>
      <c r="CO1435" s="20">
        <v>-2.42</v>
      </c>
      <c r="CP1435" s="20">
        <v>-40.64</v>
      </c>
    </row>
    <row r="1436">
      <c r="A1436" s="20"/>
      <c r="B1436" s="20"/>
      <c r="C1436" s="20"/>
      <c r="D1436" s="20"/>
      <c r="E1436" s="20"/>
      <c r="F1436" s="20"/>
      <c r="G1436" s="20"/>
      <c r="H1436" s="20"/>
      <c r="I1436" s="20"/>
      <c r="J1436" s="20"/>
      <c r="K1436" s="20">
        <v>717.0</v>
      </c>
      <c r="L1436" s="20" t="s">
        <v>17</v>
      </c>
      <c r="M1436" s="20">
        <v>-31.26</v>
      </c>
      <c r="N1436" s="20">
        <v>-12.97</v>
      </c>
      <c r="P1436" s="20">
        <v>17.88</v>
      </c>
      <c r="Q1436" s="20">
        <v>43.08</v>
      </c>
      <c r="AM1436" s="20">
        <v>734.0</v>
      </c>
      <c r="AN1436" s="20" t="s">
        <v>17</v>
      </c>
      <c r="AO1436" s="20">
        <v>-26.11</v>
      </c>
      <c r="AP1436" s="20">
        <v>-26.21</v>
      </c>
      <c r="AS1436" s="20">
        <v>721.0</v>
      </c>
      <c r="AT1436" s="20" t="s">
        <v>17</v>
      </c>
      <c r="AU1436" s="20">
        <v>-7.4</v>
      </c>
      <c r="AV1436" s="20">
        <v>-20.27</v>
      </c>
      <c r="BM1436" s="20">
        <v>-27.06</v>
      </c>
      <c r="BN1436" s="20">
        <v>-34.81</v>
      </c>
      <c r="BZ1436" s="20">
        <v>-37.03</v>
      </c>
      <c r="CA1436" s="20">
        <v>-27.64</v>
      </c>
      <c r="CO1436" s="20">
        <v>4.21</v>
      </c>
      <c r="CP1436" s="20">
        <v>-48.79</v>
      </c>
    </row>
    <row r="1437">
      <c r="A1437" s="20"/>
      <c r="B1437" s="20"/>
      <c r="C1437" s="20"/>
      <c r="D1437" s="20"/>
      <c r="E1437" s="20"/>
      <c r="F1437" s="20"/>
      <c r="G1437" s="20"/>
      <c r="H1437" s="20"/>
      <c r="I1437" s="20"/>
      <c r="J1437" s="20"/>
      <c r="K1437" s="20">
        <v>718.0</v>
      </c>
      <c r="L1437" s="20" t="s">
        <v>14</v>
      </c>
      <c r="M1437" s="20">
        <v>-20.5</v>
      </c>
      <c r="N1437" s="20">
        <v>-16.28</v>
      </c>
      <c r="P1437" s="20">
        <v>11.25</v>
      </c>
      <c r="Q1437" s="20">
        <v>-15.97</v>
      </c>
      <c r="AM1437" s="20">
        <v>735.0</v>
      </c>
      <c r="AN1437" s="20" t="s">
        <v>14</v>
      </c>
      <c r="AO1437" s="20">
        <v>-16.44</v>
      </c>
      <c r="AP1437" s="20">
        <v>-8.78</v>
      </c>
      <c r="AS1437" s="20">
        <v>722.0</v>
      </c>
      <c r="AT1437" s="20" t="s">
        <v>14</v>
      </c>
      <c r="AU1437" s="20">
        <v>-8.29</v>
      </c>
      <c r="AV1437" s="20">
        <v>-27.39</v>
      </c>
      <c r="BM1437" s="20">
        <v>171.21</v>
      </c>
      <c r="BN1437" s="20">
        <v>32.88</v>
      </c>
      <c r="BZ1437" s="20">
        <v>-56.26</v>
      </c>
      <c r="CA1437" s="20">
        <v>29.23</v>
      </c>
      <c r="CO1437" s="20">
        <v>-18.37</v>
      </c>
      <c r="CP1437" s="20">
        <v>-39.8</v>
      </c>
    </row>
    <row r="1438">
      <c r="A1438" s="20"/>
      <c r="B1438" s="20"/>
      <c r="C1438" s="20"/>
      <c r="D1438" s="20"/>
      <c r="E1438" s="20"/>
      <c r="F1438" s="20"/>
      <c r="G1438" s="20"/>
      <c r="H1438" s="20"/>
      <c r="I1438" s="20"/>
      <c r="J1438" s="20"/>
      <c r="K1438" s="20">
        <v>718.0</v>
      </c>
      <c r="L1438" s="20" t="s">
        <v>17</v>
      </c>
      <c r="M1438" s="20">
        <v>-38.17</v>
      </c>
      <c r="N1438" s="20">
        <v>-37.7</v>
      </c>
      <c r="P1438" s="20">
        <v>-12.21</v>
      </c>
      <c r="Q1438" s="20">
        <v>-8.77</v>
      </c>
      <c r="AM1438" s="20">
        <v>735.0</v>
      </c>
      <c r="AN1438" s="20" t="s">
        <v>17</v>
      </c>
      <c r="AO1438" s="20">
        <v>-19.44</v>
      </c>
      <c r="AP1438" s="20">
        <v>-7.73</v>
      </c>
      <c r="AS1438" s="20">
        <v>722.0</v>
      </c>
      <c r="AT1438" s="20" t="s">
        <v>17</v>
      </c>
      <c r="AU1438" s="20">
        <v>5.23</v>
      </c>
      <c r="AV1438" s="20">
        <v>-57.07</v>
      </c>
      <c r="BM1438" s="20">
        <v>177.65</v>
      </c>
      <c r="BN1438" s="20">
        <v>51.65</v>
      </c>
      <c r="BZ1438" s="20">
        <v>-52.06</v>
      </c>
      <c r="CA1438" s="20">
        <v>50.65</v>
      </c>
      <c r="CO1438" s="20">
        <v>46.54</v>
      </c>
      <c r="CP1438" s="20">
        <v>-25.22</v>
      </c>
    </row>
    <row r="1439">
      <c r="A1439" s="20"/>
      <c r="B1439" s="20"/>
      <c r="C1439" s="20"/>
      <c r="D1439" s="20"/>
      <c r="E1439" s="20"/>
      <c r="F1439" s="20"/>
      <c r="G1439" s="20"/>
      <c r="H1439" s="20"/>
      <c r="I1439" s="20"/>
      <c r="J1439" s="20"/>
      <c r="K1439" s="20">
        <v>719.0</v>
      </c>
      <c r="L1439" s="20" t="s">
        <v>14</v>
      </c>
      <c r="M1439" s="20">
        <v>-4.85</v>
      </c>
      <c r="N1439" s="20">
        <v>8.28</v>
      </c>
      <c r="P1439" s="20">
        <v>-6.91</v>
      </c>
      <c r="Q1439" s="20">
        <v>12.08</v>
      </c>
      <c r="AM1439" s="20">
        <v>736.0</v>
      </c>
      <c r="AN1439" s="20" t="s">
        <v>14</v>
      </c>
      <c r="AO1439" s="20">
        <v>-17.42</v>
      </c>
      <c r="AP1439" s="20">
        <v>-22.03</v>
      </c>
      <c r="AS1439" s="20">
        <v>723.0</v>
      </c>
      <c r="AT1439" s="20" t="s">
        <v>14</v>
      </c>
      <c r="AU1439" s="20">
        <v>-38.48</v>
      </c>
      <c r="AV1439" s="20">
        <v>-67.22</v>
      </c>
      <c r="BM1439" s="20">
        <v>12.12</v>
      </c>
      <c r="BN1439" s="20">
        <v>13.46</v>
      </c>
      <c r="BZ1439" s="20">
        <v>-8.88</v>
      </c>
      <c r="CA1439" s="20">
        <v>117.8</v>
      </c>
      <c r="CO1439" s="20">
        <v>30.58</v>
      </c>
      <c r="CP1439" s="20">
        <v>-24.8</v>
      </c>
    </row>
    <row r="1440">
      <c r="A1440" s="20"/>
      <c r="B1440" s="20"/>
      <c r="C1440" s="20"/>
      <c r="D1440" s="20"/>
      <c r="E1440" s="20"/>
      <c r="F1440" s="20"/>
      <c r="G1440" s="20"/>
      <c r="H1440" s="20"/>
      <c r="I1440" s="20"/>
      <c r="J1440" s="20"/>
      <c r="K1440" s="20">
        <v>719.0</v>
      </c>
      <c r="L1440" s="20" t="s">
        <v>17</v>
      </c>
      <c r="M1440" s="20">
        <v>-48.23</v>
      </c>
      <c r="N1440" s="20">
        <v>-28.6</v>
      </c>
      <c r="P1440" s="20">
        <v>-6.58</v>
      </c>
      <c r="Q1440" s="20">
        <v>-81.83</v>
      </c>
      <c r="AM1440" s="20">
        <v>736.0</v>
      </c>
      <c r="AN1440" s="20" t="s">
        <v>17</v>
      </c>
      <c r="AO1440" s="20">
        <v>5.39</v>
      </c>
      <c r="AP1440" s="20">
        <v>-26.74</v>
      </c>
      <c r="AS1440" s="20">
        <v>723.0</v>
      </c>
      <c r="AT1440" s="20" t="s">
        <v>17</v>
      </c>
      <c r="AU1440" s="20">
        <v>-29.73</v>
      </c>
      <c r="AV1440" s="20">
        <v>-11.0</v>
      </c>
      <c r="BM1440" s="20">
        <v>-3.59</v>
      </c>
      <c r="BN1440" s="20">
        <v>-21.21</v>
      </c>
      <c r="BZ1440" s="20">
        <v>-45.42</v>
      </c>
      <c r="CA1440" s="20">
        <v>120.31</v>
      </c>
      <c r="CO1440" s="20">
        <v>23.24</v>
      </c>
      <c r="CP1440" s="20">
        <v>-48.98</v>
      </c>
    </row>
    <row r="1441">
      <c r="A1441" s="20"/>
      <c r="B1441" s="20"/>
      <c r="C1441" s="20"/>
      <c r="D1441" s="20"/>
      <c r="E1441" s="20"/>
      <c r="F1441" s="20"/>
      <c r="G1441" s="20"/>
      <c r="H1441" s="20"/>
      <c r="I1441" s="20"/>
      <c r="J1441" s="20"/>
      <c r="K1441" s="20">
        <v>720.0</v>
      </c>
      <c r="L1441" s="20" t="s">
        <v>14</v>
      </c>
      <c r="M1441" s="20">
        <v>-20.55</v>
      </c>
      <c r="N1441" s="20">
        <v>16.22</v>
      </c>
      <c r="P1441" s="20">
        <v>-20.04</v>
      </c>
      <c r="Q1441" s="20">
        <v>1.05</v>
      </c>
      <c r="AM1441" s="20">
        <v>737.0</v>
      </c>
      <c r="AN1441" s="20" t="s">
        <v>14</v>
      </c>
      <c r="AO1441" s="20">
        <v>-31.4</v>
      </c>
      <c r="AP1441" s="20">
        <v>-29.19</v>
      </c>
      <c r="AS1441" s="20">
        <v>724.0</v>
      </c>
      <c r="AT1441" s="20" t="s">
        <v>14</v>
      </c>
      <c r="AU1441" s="20">
        <v>-43.37</v>
      </c>
      <c r="AV1441" s="20">
        <v>-59.09</v>
      </c>
      <c r="BM1441" s="20">
        <v>139.71</v>
      </c>
      <c r="BN1441" s="20">
        <v>67.15</v>
      </c>
      <c r="BZ1441" s="20">
        <v>16.32</v>
      </c>
      <c r="CA1441" s="20">
        <v>50.02</v>
      </c>
      <c r="CO1441" s="20">
        <v>14.5</v>
      </c>
      <c r="CP1441" s="20">
        <v>-42.98</v>
      </c>
    </row>
    <row r="1442">
      <c r="A1442" s="20"/>
      <c r="B1442" s="20"/>
      <c r="C1442" s="20"/>
      <c r="D1442" s="20"/>
      <c r="E1442" s="20"/>
      <c r="F1442" s="20"/>
      <c r="G1442" s="20"/>
      <c r="H1442" s="20"/>
      <c r="I1442" s="20"/>
      <c r="J1442" s="20"/>
      <c r="K1442" s="20">
        <v>720.0</v>
      </c>
      <c r="L1442" s="20" t="s">
        <v>17</v>
      </c>
      <c r="M1442" s="20">
        <v>-33.94</v>
      </c>
      <c r="N1442" s="20">
        <v>-17.72</v>
      </c>
      <c r="P1442" s="20">
        <v>2.43</v>
      </c>
      <c r="Q1442" s="20">
        <v>-39.81</v>
      </c>
      <c r="AM1442" s="20">
        <v>737.0</v>
      </c>
      <c r="AN1442" s="20" t="s">
        <v>17</v>
      </c>
      <c r="AO1442" s="20">
        <v>-43.54</v>
      </c>
      <c r="AP1442" s="20">
        <v>-24.39</v>
      </c>
      <c r="AS1442" s="20">
        <v>724.0</v>
      </c>
      <c r="AT1442" s="20" t="s">
        <v>17</v>
      </c>
      <c r="AU1442" s="20">
        <v>-4.95</v>
      </c>
      <c r="AV1442" s="20">
        <v>-8.96</v>
      </c>
      <c r="BM1442" s="20">
        <v>141.3</v>
      </c>
      <c r="BN1442" s="20">
        <v>69.98</v>
      </c>
      <c r="BZ1442" s="20">
        <v>-44.28</v>
      </c>
      <c r="CA1442" s="20">
        <v>-7.33</v>
      </c>
      <c r="CO1442" s="20">
        <v>46.49</v>
      </c>
      <c r="CP1442" s="20">
        <v>-45.4</v>
      </c>
    </row>
    <row r="1443">
      <c r="A1443" s="20"/>
      <c r="B1443" s="20"/>
      <c r="C1443" s="20"/>
      <c r="D1443" s="20"/>
      <c r="E1443" s="20"/>
      <c r="F1443" s="20"/>
      <c r="G1443" s="20"/>
      <c r="H1443" s="20"/>
      <c r="I1443" s="20"/>
      <c r="J1443" s="20"/>
      <c r="K1443" s="20">
        <v>721.0</v>
      </c>
      <c r="L1443" s="20" t="s">
        <v>14</v>
      </c>
      <c r="M1443" s="20">
        <v>15.61</v>
      </c>
      <c r="N1443" s="20">
        <v>82.18</v>
      </c>
      <c r="P1443" s="20">
        <v>-2.96</v>
      </c>
      <c r="Q1443" s="20">
        <v>2.23</v>
      </c>
      <c r="AM1443" s="20">
        <v>738.0</v>
      </c>
      <c r="AN1443" s="20" t="s">
        <v>14</v>
      </c>
      <c r="AO1443" s="20">
        <v>-18.09</v>
      </c>
      <c r="AP1443" s="20">
        <v>-18.98</v>
      </c>
      <c r="AS1443" s="20">
        <v>725.0</v>
      </c>
      <c r="AT1443" s="20" t="s">
        <v>14</v>
      </c>
      <c r="AU1443" s="20">
        <v>4.59</v>
      </c>
      <c r="AV1443" s="20">
        <v>30.46</v>
      </c>
      <c r="BM1443" s="20">
        <v>27.67</v>
      </c>
      <c r="BN1443" s="20">
        <v>101.92</v>
      </c>
      <c r="CO1443" s="20">
        <v>-8.72</v>
      </c>
      <c r="CP1443" s="20">
        <v>-60.41</v>
      </c>
    </row>
    <row r="1444">
      <c r="A1444" s="20"/>
      <c r="B1444" s="20"/>
      <c r="C1444" s="20"/>
      <c r="D1444" s="20"/>
      <c r="E1444" s="20"/>
      <c r="F1444" s="20"/>
      <c r="G1444" s="20"/>
      <c r="H1444" s="20"/>
      <c r="I1444" s="20"/>
      <c r="J1444" s="20"/>
      <c r="K1444" s="20">
        <v>721.0</v>
      </c>
      <c r="L1444" s="20" t="s">
        <v>17</v>
      </c>
      <c r="M1444" s="20">
        <v>-17.38</v>
      </c>
      <c r="N1444" s="20">
        <v>23.27</v>
      </c>
      <c r="P1444" s="20">
        <v>44.17</v>
      </c>
      <c r="Q1444" s="20">
        <v>-12.49</v>
      </c>
      <c r="AM1444" s="20">
        <v>738.0</v>
      </c>
      <c r="AN1444" s="20" t="s">
        <v>17</v>
      </c>
      <c r="AO1444" s="20">
        <v>-24.86</v>
      </c>
      <c r="AP1444" s="20">
        <v>-14.83</v>
      </c>
      <c r="AS1444" s="20">
        <v>725.0</v>
      </c>
      <c r="AT1444" s="20" t="s">
        <v>17</v>
      </c>
      <c r="AU1444" s="20">
        <v>-19.47</v>
      </c>
      <c r="AV1444" s="20">
        <v>-35.05</v>
      </c>
      <c r="BM1444" s="20">
        <v>32.78</v>
      </c>
      <c r="BN1444" s="20">
        <v>101.1</v>
      </c>
      <c r="CO1444" s="20">
        <v>7.15</v>
      </c>
      <c r="CP1444" s="20">
        <v>-48.78</v>
      </c>
    </row>
    <row r="1445">
      <c r="A1445" s="20"/>
      <c r="B1445" s="20"/>
      <c r="C1445" s="20"/>
      <c r="D1445" s="20"/>
      <c r="E1445" s="20"/>
      <c r="F1445" s="20"/>
      <c r="G1445" s="20"/>
      <c r="H1445" s="20"/>
      <c r="I1445" s="20"/>
      <c r="J1445" s="20"/>
      <c r="K1445" s="20">
        <v>722.0</v>
      </c>
      <c r="L1445" s="20" t="s">
        <v>14</v>
      </c>
      <c r="M1445" s="20">
        <v>-9.61</v>
      </c>
      <c r="N1445" s="20">
        <v>74.33</v>
      </c>
      <c r="P1445" s="20">
        <v>-21.29</v>
      </c>
      <c r="Q1445" s="20">
        <v>-18.07</v>
      </c>
      <c r="AM1445" s="20">
        <v>739.0</v>
      </c>
      <c r="AN1445" s="20" t="s">
        <v>14</v>
      </c>
      <c r="AO1445" s="20">
        <v>-18.37</v>
      </c>
      <c r="AP1445" s="20">
        <v>3.29</v>
      </c>
      <c r="AS1445" s="20">
        <v>726.0</v>
      </c>
      <c r="AT1445" s="20" t="s">
        <v>14</v>
      </c>
      <c r="AU1445" s="20">
        <v>16.07</v>
      </c>
      <c r="AV1445" s="20">
        <v>-3.42</v>
      </c>
      <c r="BM1445" s="20">
        <v>67.0</v>
      </c>
      <c r="BN1445" s="20">
        <v>125.39</v>
      </c>
      <c r="CO1445" s="20">
        <v>-14.93</v>
      </c>
      <c r="CP1445" s="20">
        <v>-45.02</v>
      </c>
    </row>
    <row r="1446">
      <c r="A1446" s="20"/>
      <c r="B1446" s="20"/>
      <c r="C1446" s="20"/>
      <c r="D1446" s="20"/>
      <c r="E1446" s="20"/>
      <c r="F1446" s="20"/>
      <c r="G1446" s="20"/>
      <c r="H1446" s="20"/>
      <c r="I1446" s="20"/>
      <c r="J1446" s="20"/>
      <c r="K1446" s="20">
        <v>722.0</v>
      </c>
      <c r="L1446" s="20" t="s">
        <v>17</v>
      </c>
      <c r="M1446" s="20">
        <v>-33.37</v>
      </c>
      <c r="N1446" s="20">
        <v>27.31</v>
      </c>
      <c r="P1446" s="20">
        <v>-9.36</v>
      </c>
      <c r="Q1446" s="20">
        <v>3.83</v>
      </c>
      <c r="AM1446" s="20">
        <v>739.0</v>
      </c>
      <c r="AN1446" s="20" t="s">
        <v>17</v>
      </c>
      <c r="AO1446" s="20">
        <v>-15.76</v>
      </c>
      <c r="AP1446" s="20">
        <v>-39.76</v>
      </c>
      <c r="AS1446" s="20">
        <v>726.0</v>
      </c>
      <c r="AT1446" s="20" t="s">
        <v>17</v>
      </c>
      <c r="AU1446" s="20">
        <v>109.59</v>
      </c>
      <c r="AV1446" s="20">
        <v>-55.27</v>
      </c>
      <c r="BM1446" s="20">
        <v>26.56</v>
      </c>
      <c r="BN1446" s="20">
        <v>69.33</v>
      </c>
      <c r="CO1446" s="20">
        <v>20.59</v>
      </c>
      <c r="CP1446" s="20">
        <v>-57.35</v>
      </c>
    </row>
    <row r="1447">
      <c r="A1447" s="20"/>
      <c r="B1447" s="20"/>
      <c r="C1447" s="20"/>
      <c r="D1447" s="20"/>
      <c r="E1447" s="20"/>
      <c r="F1447" s="20"/>
      <c r="G1447" s="20"/>
      <c r="H1447" s="20"/>
      <c r="I1447" s="20"/>
      <c r="J1447" s="20"/>
      <c r="K1447" s="20">
        <v>723.0</v>
      </c>
      <c r="L1447" s="20" t="s">
        <v>14</v>
      </c>
      <c r="M1447" s="20">
        <v>-26.73</v>
      </c>
      <c r="N1447" s="20">
        <v>7.05</v>
      </c>
      <c r="P1447" s="20">
        <v>0.34</v>
      </c>
      <c r="Q1447" s="20">
        <v>-5.13</v>
      </c>
      <c r="AM1447" s="20">
        <v>740.0</v>
      </c>
      <c r="AN1447" s="20" t="s">
        <v>14</v>
      </c>
      <c r="AO1447" s="20">
        <v>17.4</v>
      </c>
      <c r="AP1447" s="20">
        <v>-4.59</v>
      </c>
      <c r="AS1447" s="20">
        <v>727.0</v>
      </c>
      <c r="AT1447" s="20" t="s">
        <v>14</v>
      </c>
      <c r="AU1447" s="20">
        <v>10.52</v>
      </c>
      <c r="AV1447" s="20">
        <v>-64.73</v>
      </c>
      <c r="BM1447" s="20">
        <v>50.16</v>
      </c>
      <c r="BN1447" s="20">
        <v>180.97</v>
      </c>
      <c r="CO1447" s="20">
        <v>19.42</v>
      </c>
      <c r="CP1447" s="20">
        <v>-49.87</v>
      </c>
    </row>
    <row r="1448">
      <c r="A1448" s="20"/>
      <c r="B1448" s="20"/>
      <c r="C1448" s="20"/>
      <c r="D1448" s="20"/>
      <c r="E1448" s="20"/>
      <c r="F1448" s="20"/>
      <c r="G1448" s="20"/>
      <c r="H1448" s="20"/>
      <c r="I1448" s="20"/>
      <c r="J1448" s="20"/>
      <c r="K1448" s="20">
        <v>723.0</v>
      </c>
      <c r="L1448" s="20" t="s">
        <v>17</v>
      </c>
      <c r="M1448" s="20">
        <v>-25.82</v>
      </c>
      <c r="N1448" s="20">
        <v>11.89</v>
      </c>
      <c r="P1448" s="20">
        <v>-24.16</v>
      </c>
      <c r="Q1448" s="20">
        <v>-20.84</v>
      </c>
      <c r="AM1448" s="20">
        <v>740.0</v>
      </c>
      <c r="AN1448" s="20" t="s">
        <v>17</v>
      </c>
      <c r="AO1448" s="20">
        <v>-34.29</v>
      </c>
      <c r="AP1448" s="20">
        <v>2.11</v>
      </c>
      <c r="AS1448" s="20">
        <v>727.0</v>
      </c>
      <c r="AT1448" s="20" t="s">
        <v>17</v>
      </c>
      <c r="AU1448" s="20">
        <v>9.88</v>
      </c>
      <c r="AV1448" s="20">
        <v>30.77</v>
      </c>
      <c r="BM1448" s="20">
        <v>42.28</v>
      </c>
      <c r="BN1448" s="20">
        <v>120.09</v>
      </c>
      <c r="CO1448" s="20">
        <v>4.25</v>
      </c>
      <c r="CP1448" s="20">
        <v>-42.73</v>
      </c>
    </row>
    <row r="1449">
      <c r="A1449" s="20"/>
      <c r="B1449" s="20"/>
      <c r="C1449" s="20"/>
      <c r="D1449" s="20"/>
      <c r="E1449" s="20"/>
      <c r="F1449" s="20"/>
      <c r="G1449" s="20"/>
      <c r="H1449" s="20"/>
      <c r="I1449" s="20"/>
      <c r="J1449" s="20"/>
      <c r="K1449" s="20">
        <v>724.0</v>
      </c>
      <c r="L1449" s="20" t="s">
        <v>14</v>
      </c>
      <c r="M1449" s="20">
        <v>-26.48</v>
      </c>
      <c r="N1449" s="20">
        <v>4.73</v>
      </c>
      <c r="P1449" s="20">
        <v>-3.54</v>
      </c>
      <c r="Q1449" s="20">
        <v>-5.92</v>
      </c>
      <c r="AM1449" s="20">
        <v>741.0</v>
      </c>
      <c r="AN1449" s="20" t="s">
        <v>14</v>
      </c>
      <c r="AO1449" s="20">
        <v>-3.05</v>
      </c>
      <c r="AP1449" s="20">
        <v>-9.24</v>
      </c>
      <c r="AS1449" s="20">
        <v>728.0</v>
      </c>
      <c r="AT1449" s="20" t="s">
        <v>14</v>
      </c>
      <c r="AU1449" s="20">
        <v>-44.1</v>
      </c>
      <c r="AV1449" s="20">
        <v>-19.27</v>
      </c>
      <c r="BM1449" s="20">
        <v>53.91</v>
      </c>
      <c r="BN1449" s="20">
        <v>123.42</v>
      </c>
      <c r="CO1449" s="20">
        <v>95.31</v>
      </c>
      <c r="CP1449" s="20">
        <v>-49.66</v>
      </c>
    </row>
    <row r="1450">
      <c r="A1450" s="20"/>
      <c r="B1450" s="20"/>
      <c r="C1450" s="20"/>
      <c r="D1450" s="20"/>
      <c r="E1450" s="20"/>
      <c r="F1450" s="20"/>
      <c r="G1450" s="20"/>
      <c r="H1450" s="20"/>
      <c r="I1450" s="20"/>
      <c r="J1450" s="20"/>
      <c r="K1450" s="20">
        <v>724.0</v>
      </c>
      <c r="L1450" s="20" t="s">
        <v>17</v>
      </c>
      <c r="M1450" s="20">
        <v>2.34</v>
      </c>
      <c r="N1450" s="20">
        <v>6.99</v>
      </c>
      <c r="P1450" s="20">
        <v>6.88</v>
      </c>
      <c r="Q1450" s="20">
        <v>-0.68</v>
      </c>
      <c r="AM1450" s="20">
        <v>741.0</v>
      </c>
      <c r="AN1450" s="20" t="s">
        <v>17</v>
      </c>
      <c r="AO1450" s="20">
        <v>12.12</v>
      </c>
      <c r="AP1450" s="20">
        <v>-17.66</v>
      </c>
      <c r="AS1450" s="20">
        <v>728.0</v>
      </c>
      <c r="AT1450" s="20" t="s">
        <v>17</v>
      </c>
      <c r="AU1450" s="20">
        <v>-38.13</v>
      </c>
      <c r="AV1450" s="20">
        <v>-25.26</v>
      </c>
      <c r="BM1450" s="20">
        <v>43.24</v>
      </c>
      <c r="BN1450" s="20">
        <v>96.13</v>
      </c>
      <c r="CO1450" s="20">
        <v>15.12</v>
      </c>
      <c r="CP1450" s="20">
        <v>-43.45</v>
      </c>
    </row>
    <row r="1451">
      <c r="A1451" s="20"/>
      <c r="B1451" s="20"/>
      <c r="C1451" s="20"/>
      <c r="D1451" s="20"/>
      <c r="E1451" s="20"/>
      <c r="F1451" s="20"/>
      <c r="G1451" s="20"/>
      <c r="H1451" s="20"/>
      <c r="I1451" s="20"/>
      <c r="J1451" s="20"/>
      <c r="K1451" s="20">
        <v>725.0</v>
      </c>
      <c r="L1451" s="20" t="s">
        <v>14</v>
      </c>
      <c r="M1451" s="20">
        <v>23.17</v>
      </c>
      <c r="N1451" s="20">
        <v>59.89</v>
      </c>
      <c r="P1451" s="20">
        <v>-10.4</v>
      </c>
      <c r="Q1451" s="20">
        <v>8.39</v>
      </c>
      <c r="AM1451" s="20">
        <v>742.0</v>
      </c>
      <c r="AN1451" s="20" t="s">
        <v>14</v>
      </c>
      <c r="AO1451" s="20">
        <v>-17.23</v>
      </c>
      <c r="AP1451" s="20">
        <v>16.09</v>
      </c>
      <c r="AS1451" s="20">
        <v>729.0</v>
      </c>
      <c r="AT1451" s="20" t="s">
        <v>14</v>
      </c>
      <c r="AU1451" s="20">
        <v>-8.18</v>
      </c>
      <c r="AV1451" s="20">
        <v>-38.83</v>
      </c>
      <c r="BM1451" s="20">
        <v>56.16</v>
      </c>
      <c r="BN1451" s="20">
        <v>147.41</v>
      </c>
      <c r="CO1451" s="20">
        <v>21.86</v>
      </c>
      <c r="CP1451" s="20">
        <v>-53.25</v>
      </c>
    </row>
    <row r="1452">
      <c r="A1452" s="20"/>
      <c r="B1452" s="20"/>
      <c r="C1452" s="20"/>
      <c r="D1452" s="20"/>
      <c r="E1452" s="20"/>
      <c r="F1452" s="20"/>
      <c r="G1452" s="20"/>
      <c r="H1452" s="20"/>
      <c r="I1452" s="20"/>
      <c r="J1452" s="20"/>
      <c r="K1452" s="20">
        <v>725.0</v>
      </c>
      <c r="L1452" s="20" t="s">
        <v>17</v>
      </c>
      <c r="M1452" s="20">
        <v>-20.62</v>
      </c>
      <c r="N1452" s="20">
        <v>-3.75</v>
      </c>
      <c r="P1452" s="20">
        <v>-20.9</v>
      </c>
      <c r="Q1452" s="20">
        <v>6.64</v>
      </c>
      <c r="AM1452" s="20">
        <v>742.0</v>
      </c>
      <c r="AN1452" s="20" t="s">
        <v>17</v>
      </c>
      <c r="AO1452" s="20">
        <v>-8.0</v>
      </c>
      <c r="AP1452" s="20">
        <v>-33.44</v>
      </c>
      <c r="AS1452" s="20">
        <v>729.0</v>
      </c>
      <c r="AT1452" s="20" t="s">
        <v>17</v>
      </c>
      <c r="AU1452" s="20">
        <v>25.21</v>
      </c>
      <c r="AV1452" s="20">
        <v>-1.19</v>
      </c>
      <c r="BM1452" s="20">
        <v>103.87</v>
      </c>
      <c r="BN1452" s="20">
        <v>152.01</v>
      </c>
      <c r="CO1452" s="20">
        <v>15.68</v>
      </c>
      <c r="CP1452" s="20">
        <v>-47.21</v>
      </c>
    </row>
    <row r="1453">
      <c r="A1453" s="20"/>
      <c r="B1453" s="20"/>
      <c r="C1453" s="20"/>
      <c r="D1453" s="20"/>
      <c r="E1453" s="20"/>
      <c r="F1453" s="20"/>
      <c r="G1453" s="20"/>
      <c r="H1453" s="20"/>
      <c r="I1453" s="20"/>
      <c r="J1453" s="20"/>
      <c r="K1453" s="20">
        <v>726.0</v>
      </c>
      <c r="L1453" s="20" t="s">
        <v>14</v>
      </c>
      <c r="M1453" s="20">
        <v>-15.96</v>
      </c>
      <c r="N1453" s="20">
        <v>4.29</v>
      </c>
      <c r="P1453" s="20">
        <v>-17.28</v>
      </c>
      <c r="Q1453" s="20">
        <v>9.17</v>
      </c>
      <c r="AM1453" s="20">
        <v>743.0</v>
      </c>
      <c r="AN1453" s="20" t="s">
        <v>14</v>
      </c>
      <c r="AO1453" s="20">
        <v>-0.33</v>
      </c>
      <c r="AP1453" s="20">
        <v>-7.05</v>
      </c>
      <c r="AS1453" s="20">
        <v>730.0</v>
      </c>
      <c r="AT1453" s="20" t="s">
        <v>14</v>
      </c>
      <c r="AU1453" s="20">
        <v>-12.6</v>
      </c>
      <c r="AV1453" s="20">
        <v>-7.85</v>
      </c>
      <c r="BM1453" s="20">
        <v>33.42</v>
      </c>
      <c r="BN1453" s="20">
        <v>80.73</v>
      </c>
      <c r="CO1453" s="20">
        <v>48.85</v>
      </c>
      <c r="CP1453" s="20">
        <v>-42.95</v>
      </c>
    </row>
    <row r="1454">
      <c r="A1454" s="20"/>
      <c r="B1454" s="20"/>
      <c r="C1454" s="20"/>
      <c r="D1454" s="20"/>
      <c r="E1454" s="20"/>
      <c r="F1454" s="20"/>
      <c r="G1454" s="20"/>
      <c r="H1454" s="20"/>
      <c r="I1454" s="20"/>
      <c r="J1454" s="20"/>
      <c r="K1454" s="20">
        <v>726.0</v>
      </c>
      <c r="L1454" s="20" t="s">
        <v>17</v>
      </c>
      <c r="M1454" s="20">
        <v>-0.54</v>
      </c>
      <c r="N1454" s="20">
        <v>17.72</v>
      </c>
      <c r="P1454" s="20">
        <v>1.76</v>
      </c>
      <c r="Q1454" s="20">
        <v>33.76</v>
      </c>
      <c r="AM1454" s="20">
        <v>743.0</v>
      </c>
      <c r="AN1454" s="20" t="s">
        <v>17</v>
      </c>
      <c r="AO1454" s="20">
        <v>-11.23</v>
      </c>
      <c r="AP1454" s="20">
        <v>-7.17</v>
      </c>
      <c r="AS1454" s="20">
        <v>730.0</v>
      </c>
      <c r="AT1454" s="20" t="s">
        <v>17</v>
      </c>
      <c r="AU1454" s="20">
        <v>24.48</v>
      </c>
      <c r="AV1454" s="20">
        <v>-46.33</v>
      </c>
      <c r="BM1454" s="20">
        <v>81.09</v>
      </c>
      <c r="BN1454" s="20">
        <v>132.39</v>
      </c>
      <c r="CO1454" s="20">
        <v>-20.12</v>
      </c>
      <c r="CP1454" s="20">
        <v>-49.9</v>
      </c>
    </row>
    <row r="1455">
      <c r="A1455" s="20"/>
      <c r="B1455" s="20"/>
      <c r="C1455" s="20"/>
      <c r="D1455" s="20"/>
      <c r="E1455" s="20"/>
      <c r="F1455" s="20"/>
      <c r="G1455" s="20"/>
      <c r="H1455" s="20"/>
      <c r="I1455" s="20"/>
      <c r="J1455" s="20"/>
      <c r="K1455" s="20">
        <v>727.0</v>
      </c>
      <c r="L1455" s="20" t="s">
        <v>14</v>
      </c>
      <c r="M1455" s="20">
        <v>-12.56</v>
      </c>
      <c r="N1455" s="20">
        <v>15.11</v>
      </c>
      <c r="P1455" s="20">
        <v>-31.39</v>
      </c>
      <c r="Q1455" s="20">
        <v>-22.17</v>
      </c>
      <c r="AM1455" s="20">
        <v>744.0</v>
      </c>
      <c r="AN1455" s="20" t="s">
        <v>14</v>
      </c>
      <c r="AO1455" s="20">
        <v>-3.4</v>
      </c>
      <c r="AP1455" s="20">
        <v>-15.3</v>
      </c>
      <c r="AS1455" s="20">
        <v>731.0</v>
      </c>
      <c r="AT1455" s="20" t="s">
        <v>14</v>
      </c>
      <c r="AU1455" s="20">
        <v>-34.51</v>
      </c>
      <c r="AV1455" s="20">
        <v>4.94</v>
      </c>
      <c r="BM1455" s="20">
        <v>65.98</v>
      </c>
      <c r="BN1455" s="20">
        <v>97.53</v>
      </c>
      <c r="CO1455" s="20">
        <v>35.59</v>
      </c>
      <c r="CP1455" s="20">
        <v>-34.76</v>
      </c>
    </row>
    <row r="1456">
      <c r="A1456" s="20"/>
      <c r="B1456" s="20"/>
      <c r="C1456" s="20"/>
      <c r="D1456" s="20"/>
      <c r="E1456" s="20"/>
      <c r="F1456" s="20"/>
      <c r="G1456" s="20"/>
      <c r="H1456" s="20"/>
      <c r="I1456" s="20"/>
      <c r="J1456" s="20"/>
      <c r="K1456" s="20">
        <v>727.0</v>
      </c>
      <c r="L1456" s="20" t="s">
        <v>17</v>
      </c>
      <c r="M1456" s="20">
        <v>-33.91</v>
      </c>
      <c r="N1456" s="20">
        <v>-4.2</v>
      </c>
      <c r="P1456" s="20">
        <v>-26.91</v>
      </c>
      <c r="Q1456" s="20">
        <v>-16.11</v>
      </c>
      <c r="AM1456" s="20">
        <v>744.0</v>
      </c>
      <c r="AN1456" s="20" t="s">
        <v>17</v>
      </c>
      <c r="AO1456" s="20">
        <v>-11.26</v>
      </c>
      <c r="AP1456" s="20">
        <v>-28.0</v>
      </c>
      <c r="AS1456" s="20">
        <v>731.0</v>
      </c>
      <c r="AT1456" s="20" t="s">
        <v>17</v>
      </c>
      <c r="AU1456" s="20">
        <v>-36.58</v>
      </c>
      <c r="AV1456" s="20">
        <v>-34.05</v>
      </c>
      <c r="BM1456" s="20">
        <v>91.7</v>
      </c>
      <c r="BN1456" s="20">
        <v>91.54</v>
      </c>
      <c r="CO1456" s="20">
        <v>0.84</v>
      </c>
      <c r="CP1456" s="20">
        <v>-55.61</v>
      </c>
    </row>
    <row r="1457">
      <c r="A1457" s="20"/>
      <c r="B1457" s="20"/>
      <c r="C1457" s="20"/>
      <c r="D1457" s="20"/>
      <c r="E1457" s="20"/>
      <c r="F1457" s="20"/>
      <c r="G1457" s="20"/>
      <c r="H1457" s="20"/>
      <c r="I1457" s="20"/>
      <c r="J1457" s="20"/>
      <c r="K1457" s="20">
        <v>728.0</v>
      </c>
      <c r="L1457" s="20" t="s">
        <v>14</v>
      </c>
      <c r="M1457" s="20">
        <v>-27.83</v>
      </c>
      <c r="N1457" s="20">
        <v>7.6</v>
      </c>
      <c r="P1457" s="20">
        <v>-10.91</v>
      </c>
      <c r="Q1457" s="20">
        <v>-24.55</v>
      </c>
      <c r="AM1457" s="20">
        <v>745.0</v>
      </c>
      <c r="AN1457" s="20" t="s">
        <v>14</v>
      </c>
      <c r="AO1457" s="20">
        <v>-13.15</v>
      </c>
      <c r="AP1457" s="20">
        <v>-19.13</v>
      </c>
      <c r="AS1457" s="20">
        <v>732.0</v>
      </c>
      <c r="AT1457" s="20" t="s">
        <v>14</v>
      </c>
      <c r="AU1457" s="20">
        <v>-31.19</v>
      </c>
      <c r="AV1457" s="20">
        <v>-8.83</v>
      </c>
      <c r="BM1457" s="20">
        <v>22.64</v>
      </c>
      <c r="BN1457" s="20">
        <v>49.6</v>
      </c>
      <c r="CO1457" s="20">
        <v>-5.54</v>
      </c>
      <c r="CP1457" s="20">
        <v>-55.44</v>
      </c>
    </row>
    <row r="1458">
      <c r="A1458" s="20"/>
      <c r="B1458" s="20"/>
      <c r="C1458" s="20"/>
      <c r="D1458" s="20"/>
      <c r="E1458" s="20"/>
      <c r="F1458" s="20"/>
      <c r="G1458" s="20"/>
      <c r="H1458" s="20"/>
      <c r="I1458" s="20"/>
      <c r="J1458" s="20"/>
      <c r="K1458" s="20">
        <v>728.0</v>
      </c>
      <c r="L1458" s="20" t="s">
        <v>17</v>
      </c>
      <c r="M1458" s="20">
        <v>4.3</v>
      </c>
      <c r="N1458" s="20">
        <v>55.26</v>
      </c>
      <c r="P1458" s="20">
        <v>-29.79</v>
      </c>
      <c r="Q1458" s="20">
        <v>-12.51</v>
      </c>
      <c r="AM1458" s="20">
        <v>745.0</v>
      </c>
      <c r="AN1458" s="20" t="s">
        <v>17</v>
      </c>
      <c r="AO1458" s="20">
        <v>-12.32</v>
      </c>
      <c r="AP1458" s="20">
        <v>-38.76</v>
      </c>
      <c r="AS1458" s="20">
        <v>732.0</v>
      </c>
      <c r="AT1458" s="20" t="s">
        <v>17</v>
      </c>
      <c r="AU1458" s="20">
        <v>-8.41</v>
      </c>
      <c r="AV1458" s="20">
        <v>26.62</v>
      </c>
      <c r="BM1458" s="20">
        <v>15.41</v>
      </c>
      <c r="BN1458" s="20">
        <v>113.3</v>
      </c>
      <c r="CO1458" s="20">
        <v>-15.22</v>
      </c>
      <c r="CP1458" s="20">
        <v>-64.14</v>
      </c>
    </row>
    <row r="1459">
      <c r="A1459" s="20"/>
      <c r="B1459" s="20"/>
      <c r="C1459" s="20"/>
      <c r="D1459" s="20"/>
      <c r="E1459" s="20"/>
      <c r="F1459" s="20"/>
      <c r="G1459" s="20"/>
      <c r="H1459" s="20"/>
      <c r="I1459" s="20"/>
      <c r="J1459" s="20"/>
      <c r="K1459" s="20">
        <v>729.0</v>
      </c>
      <c r="L1459" s="20" t="s">
        <v>14</v>
      </c>
      <c r="M1459" s="20">
        <v>5.25</v>
      </c>
      <c r="N1459" s="20">
        <v>3.67</v>
      </c>
      <c r="P1459" s="20">
        <v>-8.66</v>
      </c>
      <c r="Q1459" s="20">
        <v>-3.09</v>
      </c>
      <c r="AM1459" s="20">
        <v>746.0</v>
      </c>
      <c r="AN1459" s="20" t="s">
        <v>14</v>
      </c>
      <c r="AO1459" s="20">
        <v>8.23</v>
      </c>
      <c r="AP1459" s="20">
        <v>-13.58</v>
      </c>
      <c r="AS1459" s="20">
        <v>733.0</v>
      </c>
      <c r="AT1459" s="20" t="s">
        <v>14</v>
      </c>
      <c r="AU1459" s="20">
        <v>-3.19</v>
      </c>
      <c r="AV1459" s="20">
        <v>-26.72</v>
      </c>
      <c r="BM1459" s="20">
        <v>76.93</v>
      </c>
      <c r="BN1459" s="20">
        <v>79.02</v>
      </c>
      <c r="CO1459" s="20">
        <v>-10.55</v>
      </c>
      <c r="CP1459" s="20">
        <v>-64.19</v>
      </c>
    </row>
    <row r="1460">
      <c r="A1460" s="20"/>
      <c r="B1460" s="20"/>
      <c r="C1460" s="20"/>
      <c r="D1460" s="20"/>
      <c r="E1460" s="20"/>
      <c r="F1460" s="20"/>
      <c r="G1460" s="20"/>
      <c r="H1460" s="20"/>
      <c r="I1460" s="20"/>
      <c r="J1460" s="20"/>
      <c r="K1460" s="20">
        <v>729.0</v>
      </c>
      <c r="L1460" s="20" t="s">
        <v>17</v>
      </c>
      <c r="M1460" s="20">
        <v>-18.17</v>
      </c>
      <c r="N1460" s="20">
        <v>24.87</v>
      </c>
      <c r="P1460" s="20">
        <v>-40.86</v>
      </c>
      <c r="Q1460" s="20">
        <v>-20.01</v>
      </c>
      <c r="AM1460" s="20">
        <v>746.0</v>
      </c>
      <c r="AN1460" s="20" t="s">
        <v>17</v>
      </c>
      <c r="AO1460" s="20">
        <v>-16.05</v>
      </c>
      <c r="AP1460" s="20">
        <v>-18.84</v>
      </c>
      <c r="AS1460" s="20">
        <v>733.0</v>
      </c>
      <c r="AT1460" s="20" t="s">
        <v>17</v>
      </c>
      <c r="AU1460" s="20">
        <v>-31.08</v>
      </c>
      <c r="AV1460" s="20">
        <v>-5.81</v>
      </c>
      <c r="BM1460" s="20">
        <v>150.59</v>
      </c>
      <c r="BN1460" s="20">
        <v>164.97</v>
      </c>
      <c r="CO1460" s="20">
        <v>-18.72</v>
      </c>
      <c r="CP1460" s="20">
        <v>-53.59</v>
      </c>
    </row>
    <row r="1461">
      <c r="A1461" s="20"/>
      <c r="B1461" s="20"/>
      <c r="C1461" s="20"/>
      <c r="D1461" s="20"/>
      <c r="E1461" s="20"/>
      <c r="F1461" s="20"/>
      <c r="G1461" s="20"/>
      <c r="H1461" s="20"/>
      <c r="I1461" s="20"/>
      <c r="J1461" s="20"/>
      <c r="K1461" s="20">
        <v>730.0</v>
      </c>
      <c r="L1461" s="20" t="s">
        <v>14</v>
      </c>
      <c r="M1461" s="20">
        <v>-2.54</v>
      </c>
      <c r="N1461" s="20">
        <v>4.28</v>
      </c>
      <c r="P1461" s="20">
        <v>9.64</v>
      </c>
      <c r="Q1461" s="20">
        <v>-7.5</v>
      </c>
      <c r="AM1461" s="20">
        <v>747.0</v>
      </c>
      <c r="AN1461" s="20" t="s">
        <v>14</v>
      </c>
      <c r="AO1461" s="20">
        <v>-20.89</v>
      </c>
      <c r="AP1461" s="20">
        <v>-26.82</v>
      </c>
      <c r="AS1461" s="20">
        <v>734.0</v>
      </c>
      <c r="AT1461" s="20" t="s">
        <v>14</v>
      </c>
      <c r="AU1461" s="20">
        <v>-13.96</v>
      </c>
      <c r="AV1461" s="20">
        <v>-16.96</v>
      </c>
      <c r="BM1461" s="20">
        <v>47.1</v>
      </c>
      <c r="BN1461" s="20">
        <v>64.23</v>
      </c>
      <c r="CO1461" s="20">
        <v>-7.13</v>
      </c>
      <c r="CP1461" s="20">
        <v>-52.96</v>
      </c>
    </row>
    <row r="1462">
      <c r="A1462" s="20"/>
      <c r="B1462" s="20"/>
      <c r="C1462" s="20"/>
      <c r="D1462" s="20"/>
      <c r="E1462" s="20"/>
      <c r="F1462" s="20"/>
      <c r="G1462" s="20"/>
      <c r="H1462" s="20"/>
      <c r="I1462" s="20"/>
      <c r="J1462" s="20"/>
      <c r="K1462" s="20">
        <v>730.0</v>
      </c>
      <c r="L1462" s="20" t="s">
        <v>17</v>
      </c>
      <c r="M1462" s="20">
        <v>-21.85</v>
      </c>
      <c r="N1462" s="20">
        <v>-6.42</v>
      </c>
      <c r="P1462" s="20">
        <v>-32.23</v>
      </c>
      <c r="Q1462" s="20">
        <v>-25.06</v>
      </c>
      <c r="AM1462" s="20">
        <v>747.0</v>
      </c>
      <c r="AN1462" s="20" t="s">
        <v>17</v>
      </c>
      <c r="AO1462" s="20">
        <v>8.63</v>
      </c>
      <c r="AP1462" s="20">
        <v>24.68</v>
      </c>
      <c r="AS1462" s="20">
        <v>734.0</v>
      </c>
      <c r="AT1462" s="20" t="s">
        <v>17</v>
      </c>
      <c r="AU1462" s="20">
        <v>-45.97</v>
      </c>
      <c r="AV1462" s="20">
        <v>-74.22</v>
      </c>
      <c r="BM1462" s="20">
        <v>-16.81</v>
      </c>
      <c r="BN1462" s="20">
        <v>121.34</v>
      </c>
      <c r="CO1462" s="20">
        <v>19.16</v>
      </c>
      <c r="CP1462" s="20">
        <v>-50.4</v>
      </c>
    </row>
    <row r="1463">
      <c r="A1463" s="20"/>
      <c r="B1463" s="20"/>
      <c r="C1463" s="20"/>
      <c r="D1463" s="20"/>
      <c r="E1463" s="20"/>
      <c r="F1463" s="20"/>
      <c r="G1463" s="20"/>
      <c r="H1463" s="20"/>
      <c r="I1463" s="20"/>
      <c r="J1463" s="20"/>
      <c r="K1463" s="20">
        <v>731.0</v>
      </c>
      <c r="L1463" s="20" t="s">
        <v>14</v>
      </c>
      <c r="M1463" s="20">
        <v>-4.72</v>
      </c>
      <c r="N1463" s="20">
        <v>16.27</v>
      </c>
      <c r="P1463" s="20">
        <v>-23.19</v>
      </c>
      <c r="Q1463" s="20">
        <v>-1.91</v>
      </c>
      <c r="AM1463" s="20">
        <v>748.0</v>
      </c>
      <c r="AN1463" s="20" t="s">
        <v>14</v>
      </c>
      <c r="AO1463" s="20">
        <v>-4.73</v>
      </c>
      <c r="AP1463" s="20">
        <v>22.48</v>
      </c>
      <c r="AS1463" s="20">
        <v>735.0</v>
      </c>
      <c r="AT1463" s="20" t="s">
        <v>14</v>
      </c>
      <c r="AU1463" s="20">
        <v>-21.42</v>
      </c>
      <c r="AV1463" s="20">
        <v>1.6</v>
      </c>
      <c r="BM1463" s="20">
        <v>48.76</v>
      </c>
      <c r="BN1463" s="20">
        <v>60.2</v>
      </c>
      <c r="CO1463" s="20">
        <v>-28.86</v>
      </c>
      <c r="CP1463" s="20">
        <v>-72.49</v>
      </c>
    </row>
    <row r="1464">
      <c r="A1464" s="20"/>
      <c r="B1464" s="20"/>
      <c r="C1464" s="20"/>
      <c r="D1464" s="20"/>
      <c r="E1464" s="20"/>
      <c r="F1464" s="20"/>
      <c r="G1464" s="20"/>
      <c r="H1464" s="20"/>
      <c r="I1464" s="20"/>
      <c r="J1464" s="20"/>
      <c r="K1464" s="20">
        <v>731.0</v>
      </c>
      <c r="L1464" s="20" t="s">
        <v>17</v>
      </c>
      <c r="M1464" s="20">
        <v>-28.16</v>
      </c>
      <c r="N1464" s="20">
        <v>9.27</v>
      </c>
      <c r="P1464" s="20">
        <v>-0.76</v>
      </c>
      <c r="Q1464" s="20">
        <v>0.26</v>
      </c>
      <c r="AM1464" s="20">
        <v>748.0</v>
      </c>
      <c r="AN1464" s="20" t="s">
        <v>17</v>
      </c>
      <c r="AO1464" s="20">
        <v>-19.43</v>
      </c>
      <c r="AP1464" s="20">
        <v>78.59</v>
      </c>
      <c r="AS1464" s="20">
        <v>735.0</v>
      </c>
      <c r="AT1464" s="20" t="s">
        <v>17</v>
      </c>
      <c r="AU1464" s="20">
        <v>-6.27</v>
      </c>
      <c r="AV1464" s="20">
        <v>-36.75</v>
      </c>
      <c r="BM1464" s="20">
        <v>34.75</v>
      </c>
      <c r="BN1464" s="20">
        <v>133.05</v>
      </c>
      <c r="CO1464" s="20">
        <v>-19.37</v>
      </c>
      <c r="CP1464" s="20">
        <v>-42.49</v>
      </c>
    </row>
    <row r="1465">
      <c r="A1465" s="20"/>
      <c r="B1465" s="20"/>
      <c r="C1465" s="20"/>
      <c r="D1465" s="20"/>
      <c r="E1465" s="20"/>
      <c r="F1465" s="20"/>
      <c r="G1465" s="20"/>
      <c r="H1465" s="20"/>
      <c r="I1465" s="20"/>
      <c r="J1465" s="20"/>
      <c r="K1465" s="20">
        <v>732.0</v>
      </c>
      <c r="L1465" s="20" t="s">
        <v>14</v>
      </c>
      <c r="M1465" s="20">
        <v>-21.0</v>
      </c>
      <c r="N1465" s="20">
        <v>17.05</v>
      </c>
      <c r="P1465" s="20">
        <v>13.68</v>
      </c>
      <c r="Q1465" s="20">
        <v>18.82</v>
      </c>
      <c r="AM1465" s="20">
        <v>749.0</v>
      </c>
      <c r="AN1465" s="20" t="s">
        <v>14</v>
      </c>
      <c r="AO1465" s="20">
        <v>-50.93</v>
      </c>
      <c r="AP1465" s="20">
        <v>-3.45</v>
      </c>
      <c r="AS1465" s="20">
        <v>736.0</v>
      </c>
      <c r="AT1465" s="20" t="s">
        <v>14</v>
      </c>
      <c r="AU1465" s="20">
        <v>-5.11</v>
      </c>
      <c r="AV1465" s="20">
        <v>-8.59</v>
      </c>
      <c r="BM1465" s="20">
        <v>15.38</v>
      </c>
      <c r="BN1465" s="20">
        <v>98.63</v>
      </c>
      <c r="CO1465" s="20">
        <v>19.28</v>
      </c>
      <c r="CP1465" s="20">
        <v>-48.28</v>
      </c>
    </row>
    <row r="1466">
      <c r="A1466" s="20"/>
      <c r="B1466" s="20"/>
      <c r="C1466" s="20"/>
      <c r="D1466" s="20"/>
      <c r="E1466" s="20"/>
      <c r="F1466" s="20"/>
      <c r="G1466" s="20"/>
      <c r="H1466" s="20"/>
      <c r="I1466" s="20"/>
      <c r="J1466" s="20"/>
      <c r="K1466" s="20">
        <v>732.0</v>
      </c>
      <c r="L1466" s="20" t="s">
        <v>17</v>
      </c>
      <c r="M1466" s="20">
        <v>-28.11</v>
      </c>
      <c r="N1466" s="20">
        <v>44.49</v>
      </c>
      <c r="P1466" s="20">
        <v>-39.01</v>
      </c>
      <c r="Q1466" s="20">
        <v>-12.87</v>
      </c>
      <c r="AM1466" s="20">
        <v>749.0</v>
      </c>
      <c r="AN1466" s="20" t="s">
        <v>17</v>
      </c>
      <c r="AO1466" s="20">
        <v>-24.99</v>
      </c>
      <c r="AP1466" s="20">
        <v>-13.93</v>
      </c>
      <c r="AS1466" s="20">
        <v>736.0</v>
      </c>
      <c r="AT1466" s="20" t="s">
        <v>17</v>
      </c>
      <c r="AU1466" s="20">
        <v>-7.56</v>
      </c>
      <c r="AV1466" s="20">
        <v>14.47</v>
      </c>
      <c r="BM1466" s="20">
        <v>28.1</v>
      </c>
      <c r="BN1466" s="20">
        <v>70.96</v>
      </c>
      <c r="CO1466" s="20">
        <v>19.53</v>
      </c>
      <c r="CP1466" s="20">
        <v>-47.87</v>
      </c>
    </row>
    <row r="1467">
      <c r="A1467" s="20"/>
      <c r="B1467" s="20"/>
      <c r="C1467" s="20"/>
      <c r="D1467" s="20"/>
      <c r="E1467" s="20"/>
      <c r="F1467" s="20"/>
      <c r="G1467" s="20"/>
      <c r="H1467" s="20"/>
      <c r="I1467" s="20"/>
      <c r="J1467" s="20"/>
      <c r="K1467" s="20">
        <v>733.0</v>
      </c>
      <c r="L1467" s="20" t="s">
        <v>14</v>
      </c>
      <c r="M1467" s="20">
        <v>-31.1</v>
      </c>
      <c r="N1467" s="20">
        <v>-31.32</v>
      </c>
      <c r="P1467" s="20">
        <v>-2.85</v>
      </c>
      <c r="Q1467" s="20">
        <v>46.8</v>
      </c>
      <c r="AM1467" s="20">
        <v>750.0</v>
      </c>
      <c r="AN1467" s="20" t="s">
        <v>14</v>
      </c>
      <c r="AO1467" s="20">
        <v>-8.87</v>
      </c>
      <c r="AP1467" s="20">
        <v>-18.91</v>
      </c>
      <c r="AS1467" s="20">
        <v>737.0</v>
      </c>
      <c r="AT1467" s="20" t="s">
        <v>14</v>
      </c>
      <c r="AU1467" s="20">
        <v>-17.67</v>
      </c>
      <c r="AV1467" s="20">
        <v>-32.98</v>
      </c>
      <c r="BM1467" s="20">
        <v>2.21</v>
      </c>
      <c r="BN1467" s="20">
        <v>102.79</v>
      </c>
      <c r="CO1467" s="20">
        <v>-47.19</v>
      </c>
      <c r="CP1467" s="20">
        <v>-54.17</v>
      </c>
    </row>
    <row r="1468">
      <c r="A1468" s="20"/>
      <c r="B1468" s="20"/>
      <c r="C1468" s="20"/>
      <c r="D1468" s="20"/>
      <c r="E1468" s="20"/>
      <c r="F1468" s="20"/>
      <c r="G1468" s="20"/>
      <c r="H1468" s="20"/>
      <c r="I1468" s="20"/>
      <c r="J1468" s="20"/>
      <c r="K1468" s="20">
        <v>733.0</v>
      </c>
      <c r="L1468" s="20" t="s">
        <v>17</v>
      </c>
      <c r="M1468" s="20">
        <v>-43.0</v>
      </c>
      <c r="N1468" s="20">
        <v>-35.44</v>
      </c>
      <c r="P1468" s="20">
        <v>-21.81</v>
      </c>
      <c r="Q1468" s="20">
        <v>-16.78</v>
      </c>
      <c r="AM1468" s="20">
        <v>750.0</v>
      </c>
      <c r="AN1468" s="20" t="s">
        <v>17</v>
      </c>
      <c r="AO1468" s="20">
        <v>-11.27</v>
      </c>
      <c r="AP1468" s="20">
        <v>-11.06</v>
      </c>
      <c r="AS1468" s="20">
        <v>737.0</v>
      </c>
      <c r="AT1468" s="20" t="s">
        <v>17</v>
      </c>
      <c r="AU1468" s="20">
        <v>-13.34</v>
      </c>
      <c r="AV1468" s="20">
        <v>-52.25</v>
      </c>
      <c r="BM1468" s="20">
        <v>-15.53</v>
      </c>
      <c r="BN1468" s="20">
        <v>91.95</v>
      </c>
      <c r="CO1468" s="20">
        <v>-19.81</v>
      </c>
      <c r="CP1468" s="20">
        <v>-46.79</v>
      </c>
    </row>
    <row r="1469">
      <c r="A1469" s="20"/>
      <c r="B1469" s="20"/>
      <c r="C1469" s="20"/>
      <c r="D1469" s="20"/>
      <c r="E1469" s="20"/>
      <c r="F1469" s="20"/>
      <c r="G1469" s="20"/>
      <c r="H1469" s="20"/>
      <c r="I1469" s="20"/>
      <c r="J1469" s="20"/>
      <c r="K1469" s="20">
        <v>734.0</v>
      </c>
      <c r="L1469" s="20" t="s">
        <v>14</v>
      </c>
      <c r="M1469" s="20">
        <v>9.96</v>
      </c>
      <c r="N1469" s="20">
        <v>9.37</v>
      </c>
      <c r="P1469" s="20">
        <v>-37.69</v>
      </c>
      <c r="Q1469" s="20">
        <v>7.86</v>
      </c>
      <c r="AM1469" s="20">
        <v>751.0</v>
      </c>
      <c r="AN1469" s="20" t="s">
        <v>14</v>
      </c>
      <c r="AO1469" s="20">
        <v>-13.27</v>
      </c>
      <c r="AP1469" s="20">
        <v>17.17</v>
      </c>
      <c r="AS1469" s="20">
        <v>738.0</v>
      </c>
      <c r="AT1469" s="20" t="s">
        <v>14</v>
      </c>
      <c r="AU1469" s="20">
        <v>-7.78</v>
      </c>
      <c r="AV1469" s="20">
        <v>-46.55</v>
      </c>
      <c r="BM1469" s="20">
        <v>5.95</v>
      </c>
      <c r="BN1469" s="20">
        <v>22.99</v>
      </c>
      <c r="CO1469" s="20">
        <v>-31.16</v>
      </c>
      <c r="CP1469" s="20">
        <v>-46.16</v>
      </c>
    </row>
    <row r="1470">
      <c r="A1470" s="20"/>
      <c r="B1470" s="20"/>
      <c r="C1470" s="20"/>
      <c r="D1470" s="20"/>
      <c r="E1470" s="20"/>
      <c r="F1470" s="20"/>
      <c r="G1470" s="20"/>
      <c r="H1470" s="20"/>
      <c r="I1470" s="20"/>
      <c r="J1470" s="20"/>
      <c r="K1470" s="20">
        <v>734.0</v>
      </c>
      <c r="L1470" s="20" t="s">
        <v>17</v>
      </c>
      <c r="M1470" s="20">
        <v>-29.43</v>
      </c>
      <c r="N1470" s="20">
        <v>-2.04</v>
      </c>
      <c r="P1470" s="20">
        <v>8.59</v>
      </c>
      <c r="Q1470" s="20">
        <v>32.14</v>
      </c>
      <c r="AM1470" s="20">
        <v>751.0</v>
      </c>
      <c r="AN1470" s="20" t="s">
        <v>17</v>
      </c>
      <c r="AO1470" s="20">
        <v>-47.9</v>
      </c>
      <c r="AP1470" s="20">
        <v>-46.46</v>
      </c>
      <c r="AS1470" s="20">
        <v>738.0</v>
      </c>
      <c r="AT1470" s="20" t="s">
        <v>17</v>
      </c>
      <c r="AU1470" s="20">
        <v>53.45</v>
      </c>
      <c r="AV1470" s="20">
        <v>-40.5</v>
      </c>
      <c r="BM1470" s="20">
        <v>-14.79</v>
      </c>
      <c r="BN1470" s="20">
        <v>49.44</v>
      </c>
      <c r="CO1470" s="20">
        <v>-9.49</v>
      </c>
      <c r="CP1470" s="20">
        <v>-52.01</v>
      </c>
    </row>
    <row r="1471">
      <c r="A1471" s="20"/>
      <c r="B1471" s="20"/>
      <c r="C1471" s="20"/>
      <c r="D1471" s="20"/>
      <c r="E1471" s="20"/>
      <c r="F1471" s="20"/>
      <c r="G1471" s="20"/>
      <c r="H1471" s="20"/>
      <c r="I1471" s="20"/>
      <c r="J1471" s="20"/>
      <c r="K1471" s="20">
        <v>735.0</v>
      </c>
      <c r="L1471" s="20" t="s">
        <v>14</v>
      </c>
      <c r="M1471" s="20">
        <v>-14.64</v>
      </c>
      <c r="N1471" s="20">
        <v>21.93</v>
      </c>
      <c r="P1471" s="20">
        <v>-36.33</v>
      </c>
      <c r="Q1471" s="20">
        <v>2.97</v>
      </c>
      <c r="AM1471" s="20">
        <v>752.0</v>
      </c>
      <c r="AN1471" s="20" t="s">
        <v>14</v>
      </c>
      <c r="AO1471" s="20">
        <v>16.85</v>
      </c>
      <c r="AP1471" s="20">
        <v>5.28</v>
      </c>
      <c r="AS1471" s="20">
        <v>739.0</v>
      </c>
      <c r="AT1471" s="20" t="s">
        <v>14</v>
      </c>
      <c r="AU1471" s="20">
        <v>-28.89</v>
      </c>
      <c r="AV1471" s="20">
        <v>-47.88</v>
      </c>
      <c r="BM1471" s="20">
        <v>26.24</v>
      </c>
      <c r="BN1471" s="20">
        <v>139.59</v>
      </c>
      <c r="CO1471" s="20">
        <v>-47.76</v>
      </c>
      <c r="CP1471" s="20">
        <v>-46.14</v>
      </c>
    </row>
    <row r="1472">
      <c r="A1472" s="20"/>
      <c r="B1472" s="20"/>
      <c r="C1472" s="20"/>
      <c r="D1472" s="20"/>
      <c r="E1472" s="20"/>
      <c r="F1472" s="20"/>
      <c r="G1472" s="20"/>
      <c r="H1472" s="20"/>
      <c r="I1472" s="20"/>
      <c r="J1472" s="20"/>
      <c r="K1472" s="20">
        <v>735.0</v>
      </c>
      <c r="L1472" s="20" t="s">
        <v>17</v>
      </c>
      <c r="M1472" s="20">
        <v>-49.52</v>
      </c>
      <c r="N1472" s="20">
        <v>-22.6</v>
      </c>
      <c r="P1472" s="20">
        <v>-37.24</v>
      </c>
      <c r="Q1472" s="20">
        <v>-10.9</v>
      </c>
      <c r="AM1472" s="20">
        <v>752.0</v>
      </c>
      <c r="AN1472" s="20" t="s">
        <v>17</v>
      </c>
      <c r="AO1472" s="20">
        <v>-2.43</v>
      </c>
      <c r="AP1472" s="20">
        <v>34.05</v>
      </c>
      <c r="AS1472" s="20">
        <v>739.0</v>
      </c>
      <c r="AT1472" s="20" t="s">
        <v>17</v>
      </c>
      <c r="AU1472" s="20">
        <v>-26.14</v>
      </c>
      <c r="AV1472" s="20">
        <v>-14.5</v>
      </c>
      <c r="BM1472" s="20">
        <v>33.66</v>
      </c>
      <c r="BN1472" s="20">
        <v>104.71</v>
      </c>
      <c r="CO1472" s="20">
        <v>-9.93</v>
      </c>
      <c r="CP1472" s="20">
        <v>-49.34</v>
      </c>
    </row>
    <row r="1473">
      <c r="A1473" s="20"/>
      <c r="B1473" s="20"/>
      <c r="C1473" s="20"/>
      <c r="D1473" s="20"/>
      <c r="E1473" s="20"/>
      <c r="F1473" s="20"/>
      <c r="G1473" s="20"/>
      <c r="H1473" s="20"/>
      <c r="I1473" s="20"/>
      <c r="J1473" s="20"/>
      <c r="K1473" s="20">
        <v>736.0</v>
      </c>
      <c r="L1473" s="20" t="s">
        <v>14</v>
      </c>
      <c r="M1473" s="20">
        <v>-22.69</v>
      </c>
      <c r="N1473" s="20">
        <v>87.47</v>
      </c>
      <c r="P1473" s="20">
        <v>-23.39</v>
      </c>
      <c r="Q1473" s="20">
        <v>-8.1</v>
      </c>
      <c r="AM1473" s="20">
        <v>753.0</v>
      </c>
      <c r="AN1473" s="20" t="s">
        <v>14</v>
      </c>
      <c r="AO1473" s="20">
        <v>-43.61</v>
      </c>
      <c r="AP1473" s="20">
        <v>70.99</v>
      </c>
      <c r="AS1473" s="20">
        <v>740.0</v>
      </c>
      <c r="AT1473" s="20" t="s">
        <v>14</v>
      </c>
      <c r="AU1473" s="20">
        <v>-18.18</v>
      </c>
      <c r="AV1473" s="20">
        <v>-52.84</v>
      </c>
      <c r="BM1473" s="20">
        <v>43.94</v>
      </c>
      <c r="BN1473" s="20">
        <v>81.98</v>
      </c>
      <c r="CO1473" s="20">
        <v>-8.88</v>
      </c>
      <c r="CP1473" s="20">
        <v>-57.23</v>
      </c>
    </row>
    <row r="1474">
      <c r="A1474" s="20"/>
      <c r="B1474" s="20"/>
      <c r="C1474" s="20"/>
      <c r="D1474" s="20"/>
      <c r="E1474" s="20"/>
      <c r="F1474" s="20"/>
      <c r="G1474" s="20"/>
      <c r="H1474" s="20"/>
      <c r="I1474" s="20"/>
      <c r="J1474" s="20"/>
      <c r="K1474" s="20">
        <v>736.0</v>
      </c>
      <c r="L1474" s="20" t="s">
        <v>17</v>
      </c>
      <c r="M1474" s="20">
        <v>-27.24</v>
      </c>
      <c r="N1474" s="20">
        <v>15.3</v>
      </c>
      <c r="P1474" s="20">
        <v>-54.05</v>
      </c>
      <c r="Q1474" s="20">
        <v>-75.02</v>
      </c>
      <c r="AM1474" s="20">
        <v>753.0</v>
      </c>
      <c r="AN1474" s="20" t="s">
        <v>17</v>
      </c>
      <c r="AO1474" s="20">
        <v>-24.2</v>
      </c>
      <c r="AP1474" s="20">
        <v>16.24</v>
      </c>
      <c r="AS1474" s="20">
        <v>740.0</v>
      </c>
      <c r="AT1474" s="20" t="s">
        <v>17</v>
      </c>
      <c r="AU1474" s="20">
        <v>62.94</v>
      </c>
      <c r="AV1474" s="20">
        <v>-5.36</v>
      </c>
      <c r="BM1474" s="20">
        <v>-17.53</v>
      </c>
      <c r="BN1474" s="20">
        <v>2.93</v>
      </c>
      <c r="CO1474" s="20">
        <v>-33.22</v>
      </c>
      <c r="CP1474" s="20">
        <v>-48.89</v>
      </c>
    </row>
    <row r="1475">
      <c r="A1475" s="20"/>
      <c r="B1475" s="20"/>
      <c r="C1475" s="20"/>
      <c r="D1475" s="20"/>
      <c r="E1475" s="20"/>
      <c r="F1475" s="20"/>
      <c r="G1475" s="20"/>
      <c r="H1475" s="20"/>
      <c r="I1475" s="20"/>
      <c r="J1475" s="20"/>
      <c r="K1475" s="20">
        <v>737.0</v>
      </c>
      <c r="L1475" s="20" t="s">
        <v>14</v>
      </c>
      <c r="M1475" s="20">
        <v>-10.66</v>
      </c>
      <c r="N1475" s="20">
        <v>18.44</v>
      </c>
      <c r="P1475" s="20">
        <v>17.57</v>
      </c>
      <c r="Q1475" s="20">
        <v>18.89</v>
      </c>
      <c r="AM1475" s="20">
        <v>754.0</v>
      </c>
      <c r="AN1475" s="20" t="s">
        <v>14</v>
      </c>
      <c r="AO1475" s="20">
        <v>-19.93</v>
      </c>
      <c r="AP1475" s="20">
        <v>5.34</v>
      </c>
      <c r="AS1475" s="20">
        <v>741.0</v>
      </c>
      <c r="AT1475" s="20" t="s">
        <v>14</v>
      </c>
      <c r="AU1475" s="20">
        <v>-22.89</v>
      </c>
      <c r="AV1475" s="20">
        <v>-22.46</v>
      </c>
      <c r="BM1475" s="20">
        <v>25.66</v>
      </c>
      <c r="BN1475" s="20">
        <v>109.92</v>
      </c>
      <c r="CO1475" s="20">
        <v>-39.71</v>
      </c>
      <c r="CP1475" s="20">
        <v>-61.88</v>
      </c>
    </row>
    <row r="1476">
      <c r="A1476" s="20"/>
      <c r="B1476" s="20"/>
      <c r="C1476" s="20"/>
      <c r="D1476" s="20"/>
      <c r="E1476" s="20"/>
      <c r="F1476" s="20"/>
      <c r="G1476" s="20"/>
      <c r="H1476" s="20"/>
      <c r="I1476" s="20"/>
      <c r="J1476" s="20"/>
      <c r="K1476" s="20">
        <v>737.0</v>
      </c>
      <c r="L1476" s="20" t="s">
        <v>17</v>
      </c>
      <c r="M1476" s="20">
        <v>-30.36</v>
      </c>
      <c r="N1476" s="20">
        <v>-10.21</v>
      </c>
      <c r="P1476" s="20">
        <v>-1.25</v>
      </c>
      <c r="Q1476" s="20">
        <v>27.8</v>
      </c>
      <c r="AM1476" s="20">
        <v>754.0</v>
      </c>
      <c r="AN1476" s="20" t="s">
        <v>17</v>
      </c>
      <c r="AO1476" s="20">
        <v>-33.37</v>
      </c>
      <c r="AP1476" s="20">
        <v>-9.66</v>
      </c>
      <c r="AS1476" s="20">
        <v>741.0</v>
      </c>
      <c r="AT1476" s="20" t="s">
        <v>17</v>
      </c>
      <c r="AU1476" s="20">
        <v>-15.78</v>
      </c>
      <c r="AV1476" s="20">
        <v>-45.05</v>
      </c>
      <c r="BM1476" s="20">
        <v>17.31</v>
      </c>
      <c r="BN1476" s="20">
        <v>97.37</v>
      </c>
      <c r="CO1476" s="20">
        <v>-27.77</v>
      </c>
      <c r="CP1476" s="20">
        <v>-60.44</v>
      </c>
    </row>
    <row r="1477">
      <c r="A1477" s="20"/>
      <c r="B1477" s="20"/>
      <c r="C1477" s="20"/>
      <c r="D1477" s="20"/>
      <c r="E1477" s="20"/>
      <c r="F1477" s="20"/>
      <c r="G1477" s="20"/>
      <c r="H1477" s="20"/>
      <c r="I1477" s="20"/>
      <c r="J1477" s="20"/>
      <c r="K1477" s="20">
        <v>738.0</v>
      </c>
      <c r="L1477" s="20" t="s">
        <v>14</v>
      </c>
      <c r="M1477" s="20">
        <v>6.69</v>
      </c>
      <c r="N1477" s="20">
        <v>12.03</v>
      </c>
      <c r="P1477" s="20">
        <v>-15.4</v>
      </c>
      <c r="Q1477" s="20">
        <v>9.98</v>
      </c>
      <c r="AM1477" s="20">
        <v>755.0</v>
      </c>
      <c r="AN1477" s="20" t="s">
        <v>14</v>
      </c>
      <c r="AO1477" s="20">
        <v>-39.24</v>
      </c>
      <c r="AP1477" s="20">
        <v>4.11</v>
      </c>
      <c r="AS1477" s="20">
        <v>742.0</v>
      </c>
      <c r="AT1477" s="20" t="s">
        <v>14</v>
      </c>
      <c r="AU1477" s="20">
        <v>-11.48</v>
      </c>
      <c r="AV1477" s="20">
        <v>-14.79</v>
      </c>
      <c r="BM1477" s="20">
        <v>86.94</v>
      </c>
      <c r="BN1477" s="20">
        <v>92.2</v>
      </c>
      <c r="CO1477" s="20">
        <v>-1.89</v>
      </c>
      <c r="CP1477" s="20">
        <v>-55.16</v>
      </c>
    </row>
    <row r="1478">
      <c r="A1478" s="20"/>
      <c r="B1478" s="20"/>
      <c r="C1478" s="20"/>
      <c r="D1478" s="20"/>
      <c r="E1478" s="20"/>
      <c r="F1478" s="20"/>
      <c r="G1478" s="20"/>
      <c r="H1478" s="20"/>
      <c r="I1478" s="20"/>
      <c r="J1478" s="20"/>
      <c r="K1478" s="20">
        <v>738.0</v>
      </c>
      <c r="L1478" s="20" t="s">
        <v>17</v>
      </c>
      <c r="M1478" s="20">
        <v>2.59</v>
      </c>
      <c r="N1478" s="20">
        <v>-13.98</v>
      </c>
      <c r="P1478" s="20">
        <v>-8.88</v>
      </c>
      <c r="Q1478" s="20">
        <v>29.81</v>
      </c>
      <c r="AM1478" s="20">
        <v>755.0</v>
      </c>
      <c r="AN1478" s="20" t="s">
        <v>17</v>
      </c>
      <c r="AO1478" s="20">
        <v>-8.18</v>
      </c>
      <c r="AP1478" s="20">
        <v>4.87</v>
      </c>
      <c r="AS1478" s="20">
        <v>742.0</v>
      </c>
      <c r="AT1478" s="20" t="s">
        <v>17</v>
      </c>
      <c r="AU1478" s="20">
        <v>-28.18</v>
      </c>
      <c r="AV1478" s="20">
        <v>-32.02</v>
      </c>
      <c r="BM1478" s="20">
        <v>3.84</v>
      </c>
      <c r="BN1478" s="20">
        <v>98.44</v>
      </c>
      <c r="CO1478" s="20">
        <v>-2.83</v>
      </c>
      <c r="CP1478" s="20">
        <v>-56.58</v>
      </c>
    </row>
    <row r="1479">
      <c r="A1479" s="20"/>
      <c r="B1479" s="20"/>
      <c r="C1479" s="20"/>
      <c r="D1479" s="20"/>
      <c r="E1479" s="20"/>
      <c r="F1479" s="20"/>
      <c r="G1479" s="20"/>
      <c r="H1479" s="20"/>
      <c r="I1479" s="20"/>
      <c r="J1479" s="20"/>
      <c r="K1479" s="20">
        <v>739.0</v>
      </c>
      <c r="L1479" s="20" t="s">
        <v>14</v>
      </c>
      <c r="M1479" s="20">
        <v>15.97</v>
      </c>
      <c r="N1479" s="20">
        <v>-17.28</v>
      </c>
      <c r="P1479" s="20">
        <v>-25.04</v>
      </c>
      <c r="Q1479" s="20">
        <v>25.65</v>
      </c>
      <c r="AM1479" s="20">
        <v>756.0</v>
      </c>
      <c r="AN1479" s="20" t="s">
        <v>14</v>
      </c>
      <c r="AO1479" s="20">
        <v>-0.14</v>
      </c>
      <c r="AP1479" s="20">
        <v>-26.07</v>
      </c>
      <c r="AS1479" s="20">
        <v>743.0</v>
      </c>
      <c r="AT1479" s="20" t="s">
        <v>14</v>
      </c>
      <c r="AU1479" s="20">
        <v>-5.68</v>
      </c>
      <c r="AV1479" s="20">
        <v>-28.23</v>
      </c>
      <c r="BM1479" s="20">
        <v>-9.18</v>
      </c>
      <c r="BN1479" s="20">
        <v>94.89</v>
      </c>
      <c r="CO1479" s="20">
        <v>-35.36</v>
      </c>
      <c r="CP1479" s="20">
        <v>-71.49</v>
      </c>
    </row>
    <row r="1480">
      <c r="A1480" s="20"/>
      <c r="B1480" s="20"/>
      <c r="C1480" s="20"/>
      <c r="D1480" s="20"/>
      <c r="E1480" s="20"/>
      <c r="F1480" s="20"/>
      <c r="G1480" s="20"/>
      <c r="H1480" s="20"/>
      <c r="I1480" s="20"/>
      <c r="J1480" s="20"/>
      <c r="K1480" s="20">
        <v>739.0</v>
      </c>
      <c r="L1480" s="20" t="s">
        <v>17</v>
      </c>
      <c r="M1480" s="20">
        <v>-43.13</v>
      </c>
      <c r="N1480" s="20">
        <v>3.91</v>
      </c>
      <c r="P1480" s="20">
        <v>-14.97</v>
      </c>
      <c r="Q1480" s="20">
        <v>1.86</v>
      </c>
      <c r="AM1480" s="20">
        <v>756.0</v>
      </c>
      <c r="AN1480" s="20" t="s">
        <v>17</v>
      </c>
      <c r="AO1480" s="20">
        <v>10.37</v>
      </c>
      <c r="AP1480" s="20">
        <v>52.84</v>
      </c>
      <c r="AS1480" s="20">
        <v>743.0</v>
      </c>
      <c r="AT1480" s="20" t="s">
        <v>17</v>
      </c>
      <c r="AU1480" s="20">
        <v>-14.57</v>
      </c>
      <c r="AV1480" s="20">
        <v>-10.15</v>
      </c>
      <c r="BM1480" s="20">
        <v>9.34</v>
      </c>
      <c r="BN1480" s="20">
        <v>52.74</v>
      </c>
      <c r="CO1480" s="20">
        <v>-18.45</v>
      </c>
      <c r="CP1480" s="20">
        <v>-61.15</v>
      </c>
    </row>
    <row r="1481">
      <c r="A1481" s="20"/>
      <c r="B1481" s="20"/>
      <c r="C1481" s="20"/>
      <c r="D1481" s="20"/>
      <c r="E1481" s="20"/>
      <c r="F1481" s="20"/>
      <c r="G1481" s="20"/>
      <c r="H1481" s="20"/>
      <c r="I1481" s="20"/>
      <c r="J1481" s="20"/>
      <c r="K1481" s="20">
        <v>740.0</v>
      </c>
      <c r="L1481" s="20" t="s">
        <v>14</v>
      </c>
      <c r="M1481" s="20">
        <v>-12.64</v>
      </c>
      <c r="N1481" s="20">
        <v>18.26</v>
      </c>
      <c r="P1481" s="20">
        <v>2.44</v>
      </c>
      <c r="Q1481" s="20">
        <v>34.79</v>
      </c>
      <c r="AM1481" s="20">
        <v>757.0</v>
      </c>
      <c r="AN1481" s="20" t="s">
        <v>14</v>
      </c>
      <c r="AO1481" s="20">
        <v>-3.65</v>
      </c>
      <c r="AP1481" s="20">
        <v>-4.53</v>
      </c>
      <c r="AS1481" s="20">
        <v>744.0</v>
      </c>
      <c r="AT1481" s="20" t="s">
        <v>14</v>
      </c>
      <c r="AU1481" s="20">
        <v>3.13</v>
      </c>
      <c r="AV1481" s="20">
        <v>-2.02</v>
      </c>
      <c r="BM1481" s="20">
        <v>79.67</v>
      </c>
      <c r="BN1481" s="20">
        <v>83.47</v>
      </c>
      <c r="CO1481" s="20">
        <v>10.09</v>
      </c>
      <c r="CP1481" s="20">
        <v>-54.79</v>
      </c>
    </row>
    <row r="1482">
      <c r="A1482" s="20"/>
      <c r="B1482" s="20"/>
      <c r="C1482" s="20"/>
      <c r="D1482" s="20"/>
      <c r="E1482" s="20"/>
      <c r="F1482" s="20"/>
      <c r="G1482" s="20"/>
      <c r="H1482" s="20"/>
      <c r="I1482" s="20"/>
      <c r="J1482" s="20"/>
      <c r="K1482" s="20">
        <v>740.0</v>
      </c>
      <c r="L1482" s="20" t="s">
        <v>17</v>
      </c>
      <c r="M1482" s="20">
        <v>-14.12</v>
      </c>
      <c r="N1482" s="20">
        <v>13.36</v>
      </c>
      <c r="P1482" s="20">
        <v>-11.75</v>
      </c>
      <c r="Q1482" s="20">
        <v>32.14</v>
      </c>
      <c r="AM1482" s="20">
        <v>757.0</v>
      </c>
      <c r="AN1482" s="20" t="s">
        <v>17</v>
      </c>
      <c r="AO1482" s="20">
        <v>-33.76</v>
      </c>
      <c r="AP1482" s="20">
        <v>-54.45</v>
      </c>
      <c r="AS1482" s="20">
        <v>744.0</v>
      </c>
      <c r="AT1482" s="20" t="s">
        <v>17</v>
      </c>
      <c r="AU1482" s="20">
        <v>1.62</v>
      </c>
      <c r="AV1482" s="20">
        <v>21.87</v>
      </c>
      <c r="BM1482" s="20">
        <v>24.72</v>
      </c>
      <c r="BN1482" s="20">
        <v>60.6</v>
      </c>
      <c r="CO1482" s="20">
        <v>21.4</v>
      </c>
      <c r="CP1482" s="20">
        <v>-45.09</v>
      </c>
    </row>
    <row r="1483">
      <c r="A1483" s="20"/>
      <c r="B1483" s="20"/>
      <c r="C1483" s="20"/>
      <c r="D1483" s="20"/>
      <c r="E1483" s="20"/>
      <c r="F1483" s="20"/>
      <c r="G1483" s="20"/>
      <c r="H1483" s="20"/>
      <c r="I1483" s="20"/>
      <c r="J1483" s="20"/>
      <c r="K1483" s="20">
        <v>741.0</v>
      </c>
      <c r="L1483" s="20" t="s">
        <v>14</v>
      </c>
      <c r="M1483" s="20">
        <v>-14.6</v>
      </c>
      <c r="N1483" s="20">
        <v>-10.01</v>
      </c>
      <c r="P1483" s="20">
        <v>10.59</v>
      </c>
      <c r="Q1483" s="20">
        <v>54.71</v>
      </c>
      <c r="AM1483" s="20">
        <v>758.0</v>
      </c>
      <c r="AN1483" s="20" t="s">
        <v>14</v>
      </c>
      <c r="AO1483" s="20">
        <v>-13.69</v>
      </c>
      <c r="AP1483" s="20">
        <v>-1.73</v>
      </c>
      <c r="AS1483" s="20">
        <v>745.0</v>
      </c>
      <c r="AT1483" s="20" t="s">
        <v>14</v>
      </c>
      <c r="AU1483" s="20">
        <v>-28.8</v>
      </c>
      <c r="AV1483" s="20">
        <v>-52.2</v>
      </c>
      <c r="BM1483" s="20">
        <v>72.33</v>
      </c>
      <c r="BN1483" s="20">
        <v>40.15</v>
      </c>
      <c r="CO1483" s="20">
        <v>-15.33</v>
      </c>
      <c r="CP1483" s="20">
        <v>-51.43</v>
      </c>
    </row>
    <row r="1484">
      <c r="A1484" s="20"/>
      <c r="B1484" s="20"/>
      <c r="C1484" s="20"/>
      <c r="D1484" s="20"/>
      <c r="E1484" s="20"/>
      <c r="F1484" s="20"/>
      <c r="G1484" s="20"/>
      <c r="H1484" s="20"/>
      <c r="I1484" s="20"/>
      <c r="J1484" s="20"/>
      <c r="K1484" s="20">
        <v>741.0</v>
      </c>
      <c r="L1484" s="20" t="s">
        <v>17</v>
      </c>
      <c r="M1484" s="20">
        <v>-28.95</v>
      </c>
      <c r="N1484" s="20">
        <v>-24.65</v>
      </c>
      <c r="P1484" s="20">
        <v>-5.02</v>
      </c>
      <c r="Q1484" s="20">
        <v>5.6</v>
      </c>
      <c r="AM1484" s="20">
        <v>758.0</v>
      </c>
      <c r="AN1484" s="20" t="s">
        <v>17</v>
      </c>
      <c r="AO1484" s="20">
        <v>-20.95</v>
      </c>
      <c r="AP1484" s="20">
        <v>-1.86</v>
      </c>
      <c r="AS1484" s="20">
        <v>745.0</v>
      </c>
      <c r="AT1484" s="20" t="s">
        <v>17</v>
      </c>
      <c r="AU1484" s="20">
        <v>-23.84</v>
      </c>
      <c r="AV1484" s="20">
        <v>-41.93</v>
      </c>
      <c r="BM1484" s="20">
        <v>120.13</v>
      </c>
      <c r="BN1484" s="20">
        <v>113.0</v>
      </c>
      <c r="CO1484" s="20">
        <v>-6.93</v>
      </c>
      <c r="CP1484" s="20">
        <v>-51.16</v>
      </c>
    </row>
    <row r="1485">
      <c r="A1485" s="20"/>
      <c r="B1485" s="20"/>
      <c r="C1485" s="20"/>
      <c r="D1485" s="20"/>
      <c r="E1485" s="20"/>
      <c r="F1485" s="20"/>
      <c r="G1485" s="20"/>
      <c r="H1485" s="20"/>
      <c r="I1485" s="20"/>
      <c r="J1485" s="20"/>
      <c r="K1485" s="20">
        <v>742.0</v>
      </c>
      <c r="L1485" s="20" t="s">
        <v>14</v>
      </c>
      <c r="M1485" s="20">
        <v>-6.51</v>
      </c>
      <c r="N1485" s="20">
        <v>0.38</v>
      </c>
      <c r="P1485" s="20">
        <v>-0.36</v>
      </c>
      <c r="Q1485" s="20">
        <v>12.27</v>
      </c>
      <c r="AM1485" s="20">
        <v>759.0</v>
      </c>
      <c r="AN1485" s="20" t="s">
        <v>14</v>
      </c>
      <c r="AO1485" s="20">
        <v>-1.53</v>
      </c>
      <c r="AP1485" s="20">
        <v>24.79</v>
      </c>
      <c r="AS1485" s="20">
        <v>746.0</v>
      </c>
      <c r="AT1485" s="20" t="s">
        <v>14</v>
      </c>
      <c r="AU1485" s="20">
        <v>-47.35</v>
      </c>
      <c r="AV1485" s="20">
        <v>-53.09</v>
      </c>
      <c r="BM1485" s="20">
        <v>-18.05</v>
      </c>
      <c r="BN1485" s="20">
        <v>-52.2</v>
      </c>
      <c r="CO1485" s="20">
        <v>-2.25</v>
      </c>
      <c r="CP1485" s="20">
        <v>-44.28</v>
      </c>
    </row>
    <row r="1486">
      <c r="A1486" s="20"/>
      <c r="B1486" s="20"/>
      <c r="C1486" s="20"/>
      <c r="D1486" s="20"/>
      <c r="E1486" s="20"/>
      <c r="F1486" s="20"/>
      <c r="G1486" s="20"/>
      <c r="H1486" s="20"/>
      <c r="I1486" s="20"/>
      <c r="J1486" s="20"/>
      <c r="K1486" s="20">
        <v>742.0</v>
      </c>
      <c r="L1486" s="20" t="s">
        <v>17</v>
      </c>
      <c r="M1486" s="20">
        <v>-33.74</v>
      </c>
      <c r="N1486" s="20">
        <v>-29.07</v>
      </c>
      <c r="P1486" s="20">
        <v>-32.56</v>
      </c>
      <c r="Q1486" s="20">
        <v>-58.86</v>
      </c>
      <c r="AM1486" s="20">
        <v>759.0</v>
      </c>
      <c r="AN1486" s="20" t="s">
        <v>17</v>
      </c>
      <c r="AO1486" s="20">
        <v>-44.15</v>
      </c>
      <c r="AP1486" s="20">
        <v>-34.38</v>
      </c>
      <c r="AS1486" s="20">
        <v>746.0</v>
      </c>
      <c r="AT1486" s="20" t="s">
        <v>17</v>
      </c>
      <c r="AU1486" s="20">
        <v>11.3</v>
      </c>
      <c r="AV1486" s="20">
        <v>-19.71</v>
      </c>
      <c r="BM1486" s="20">
        <v>94.33</v>
      </c>
      <c r="BN1486" s="20">
        <v>26.99</v>
      </c>
      <c r="CO1486" s="20">
        <v>59.57</v>
      </c>
      <c r="CP1486" s="20">
        <v>-67.0</v>
      </c>
    </row>
    <row r="1487">
      <c r="A1487" s="20"/>
      <c r="B1487" s="20"/>
      <c r="C1487" s="20"/>
      <c r="D1487" s="20"/>
      <c r="E1487" s="20"/>
      <c r="F1487" s="20"/>
      <c r="G1487" s="20"/>
      <c r="H1487" s="20"/>
      <c r="I1487" s="20"/>
      <c r="J1487" s="20"/>
      <c r="K1487" s="20">
        <v>743.0</v>
      </c>
      <c r="L1487" s="20" t="s">
        <v>14</v>
      </c>
      <c r="M1487" s="20">
        <v>-8.24</v>
      </c>
      <c r="N1487" s="20">
        <v>31.51</v>
      </c>
      <c r="P1487" s="20">
        <v>-22.57</v>
      </c>
      <c r="Q1487" s="20">
        <v>0.73</v>
      </c>
      <c r="AM1487" s="20">
        <v>760.0</v>
      </c>
      <c r="AN1487" s="20" t="s">
        <v>14</v>
      </c>
      <c r="AO1487" s="20">
        <v>19.21</v>
      </c>
      <c r="AP1487" s="20">
        <v>-7.66</v>
      </c>
      <c r="AS1487" s="20">
        <v>747.0</v>
      </c>
      <c r="AT1487" s="20" t="s">
        <v>14</v>
      </c>
      <c r="AU1487" s="20">
        <v>-21.38</v>
      </c>
      <c r="AV1487" s="20">
        <v>-68.91</v>
      </c>
      <c r="BM1487" s="20">
        <v>69.93</v>
      </c>
      <c r="BN1487" s="20">
        <v>28.22</v>
      </c>
      <c r="CO1487" s="20">
        <v>-39.76</v>
      </c>
      <c r="CP1487" s="20">
        <v>-41.99</v>
      </c>
    </row>
    <row r="1488">
      <c r="A1488" s="20"/>
      <c r="B1488" s="20"/>
      <c r="C1488" s="20"/>
      <c r="D1488" s="20"/>
      <c r="E1488" s="20"/>
      <c r="F1488" s="20"/>
      <c r="G1488" s="20"/>
      <c r="H1488" s="20"/>
      <c r="I1488" s="20"/>
      <c r="J1488" s="20"/>
      <c r="K1488" s="20">
        <v>743.0</v>
      </c>
      <c r="L1488" s="20" t="s">
        <v>17</v>
      </c>
      <c r="M1488" s="20">
        <v>-24.31</v>
      </c>
      <c r="N1488" s="20">
        <v>-6.61</v>
      </c>
      <c r="P1488" s="20">
        <v>29.89</v>
      </c>
      <c r="Q1488" s="20">
        <v>-42.64</v>
      </c>
      <c r="AM1488" s="20">
        <v>760.0</v>
      </c>
      <c r="AN1488" s="20" t="s">
        <v>17</v>
      </c>
      <c r="AO1488" s="20">
        <v>-25.62</v>
      </c>
      <c r="AP1488" s="20">
        <v>-20.53</v>
      </c>
      <c r="AS1488" s="20">
        <v>747.0</v>
      </c>
      <c r="AT1488" s="20" t="s">
        <v>17</v>
      </c>
      <c r="AU1488" s="20">
        <v>-48.28</v>
      </c>
      <c r="AV1488" s="20">
        <v>-56.69</v>
      </c>
      <c r="BM1488" s="20">
        <v>-23.9</v>
      </c>
      <c r="BN1488" s="20">
        <v>47.75</v>
      </c>
      <c r="CO1488" s="20">
        <v>20.57</v>
      </c>
      <c r="CP1488" s="20">
        <v>-51.67</v>
      </c>
    </row>
    <row r="1489">
      <c r="A1489" s="20"/>
      <c r="B1489" s="20"/>
      <c r="C1489" s="20"/>
      <c r="D1489" s="20"/>
      <c r="E1489" s="20"/>
      <c r="F1489" s="20"/>
      <c r="G1489" s="20"/>
      <c r="H1489" s="20"/>
      <c r="I1489" s="20"/>
      <c r="J1489" s="20"/>
      <c r="K1489" s="20">
        <v>744.0</v>
      </c>
      <c r="L1489" s="20" t="s">
        <v>14</v>
      </c>
      <c r="M1489" s="20">
        <v>19.56</v>
      </c>
      <c r="N1489" s="20">
        <v>25.67</v>
      </c>
      <c r="P1489" s="20">
        <v>-29.73</v>
      </c>
      <c r="Q1489" s="20">
        <v>11.02</v>
      </c>
      <c r="AM1489" s="20">
        <v>761.0</v>
      </c>
      <c r="AN1489" s="20" t="s">
        <v>14</v>
      </c>
      <c r="AO1489" s="20">
        <v>5.16</v>
      </c>
      <c r="AP1489" s="20">
        <v>1.95</v>
      </c>
      <c r="AS1489" s="20">
        <v>748.0</v>
      </c>
      <c r="AT1489" s="20" t="s">
        <v>14</v>
      </c>
      <c r="AU1489" s="20">
        <v>-57.27</v>
      </c>
      <c r="AV1489" s="20">
        <v>-43.45</v>
      </c>
      <c r="BM1489" s="20">
        <v>125.06</v>
      </c>
      <c r="BN1489" s="20">
        <v>88.53</v>
      </c>
      <c r="CO1489" s="20">
        <v>-9.11</v>
      </c>
      <c r="CP1489" s="20">
        <v>-50.66</v>
      </c>
    </row>
    <row r="1490">
      <c r="A1490" s="20"/>
      <c r="B1490" s="20"/>
      <c r="C1490" s="20"/>
      <c r="D1490" s="20"/>
      <c r="E1490" s="20"/>
      <c r="F1490" s="20"/>
      <c r="G1490" s="20"/>
      <c r="H1490" s="20"/>
      <c r="I1490" s="20"/>
      <c r="J1490" s="20"/>
      <c r="K1490" s="20">
        <v>744.0</v>
      </c>
      <c r="L1490" s="20" t="s">
        <v>17</v>
      </c>
      <c r="M1490" s="20">
        <v>-25.74</v>
      </c>
      <c r="N1490" s="20">
        <v>-1.52</v>
      </c>
      <c r="P1490" s="20">
        <v>-44.63</v>
      </c>
      <c r="Q1490" s="20">
        <v>-38.73</v>
      </c>
      <c r="AM1490" s="20">
        <v>761.0</v>
      </c>
      <c r="AN1490" s="20" t="s">
        <v>17</v>
      </c>
      <c r="AO1490" s="20">
        <v>-53.62</v>
      </c>
      <c r="AP1490" s="20">
        <v>5.98</v>
      </c>
      <c r="AS1490" s="20">
        <v>748.0</v>
      </c>
      <c r="AT1490" s="20" t="s">
        <v>17</v>
      </c>
      <c r="AU1490" s="20">
        <v>-20.46</v>
      </c>
      <c r="AV1490" s="20">
        <v>-26.49</v>
      </c>
      <c r="BM1490" s="20">
        <v>105.09</v>
      </c>
      <c r="BN1490" s="20">
        <v>76.14</v>
      </c>
      <c r="CO1490" s="20">
        <v>-33.21</v>
      </c>
      <c r="CP1490" s="20">
        <v>-62.2</v>
      </c>
    </row>
    <row r="1491">
      <c r="A1491" s="20"/>
      <c r="B1491" s="20"/>
      <c r="C1491" s="20"/>
      <c r="D1491" s="20"/>
      <c r="E1491" s="20"/>
      <c r="F1491" s="20"/>
      <c r="G1491" s="20"/>
      <c r="H1491" s="20"/>
      <c r="I1491" s="20"/>
      <c r="J1491" s="20"/>
      <c r="K1491" s="20">
        <v>745.0</v>
      </c>
      <c r="L1491" s="20" t="s">
        <v>14</v>
      </c>
      <c r="M1491" s="20">
        <v>-22.14</v>
      </c>
      <c r="N1491" s="20">
        <v>22.24</v>
      </c>
      <c r="P1491" s="20">
        <v>-6.1</v>
      </c>
      <c r="Q1491" s="20">
        <v>-3.54</v>
      </c>
      <c r="AM1491" s="20">
        <v>762.0</v>
      </c>
      <c r="AN1491" s="20" t="s">
        <v>14</v>
      </c>
      <c r="AO1491" s="20">
        <v>42.8</v>
      </c>
      <c r="AP1491" s="20">
        <v>13.99</v>
      </c>
      <c r="AS1491" s="20">
        <v>749.0</v>
      </c>
      <c r="AT1491" s="20" t="s">
        <v>14</v>
      </c>
      <c r="AU1491" s="20">
        <v>-13.41</v>
      </c>
      <c r="AV1491" s="20">
        <v>-55.95</v>
      </c>
      <c r="BM1491" s="20">
        <v>51.17</v>
      </c>
      <c r="BN1491" s="20">
        <v>83.46</v>
      </c>
      <c r="CO1491" s="20">
        <v>-24.2</v>
      </c>
      <c r="CP1491" s="20">
        <v>-58.03</v>
      </c>
    </row>
    <row r="1492">
      <c r="A1492" s="20"/>
      <c r="B1492" s="20"/>
      <c r="C1492" s="20"/>
      <c r="D1492" s="20"/>
      <c r="E1492" s="20"/>
      <c r="F1492" s="20"/>
      <c r="G1492" s="20"/>
      <c r="H1492" s="20"/>
      <c r="I1492" s="20"/>
      <c r="J1492" s="20"/>
      <c r="K1492" s="20">
        <v>745.0</v>
      </c>
      <c r="L1492" s="20" t="s">
        <v>17</v>
      </c>
      <c r="M1492" s="20">
        <v>-12.41</v>
      </c>
      <c r="N1492" s="20">
        <v>0.4</v>
      </c>
      <c r="P1492" s="20">
        <v>-33.02</v>
      </c>
      <c r="Q1492" s="20">
        <v>1.29</v>
      </c>
      <c r="AM1492" s="20">
        <v>762.0</v>
      </c>
      <c r="AN1492" s="20" t="s">
        <v>17</v>
      </c>
      <c r="AO1492" s="20">
        <v>12.97</v>
      </c>
      <c r="AP1492" s="20">
        <v>-7.62</v>
      </c>
      <c r="AS1492" s="20">
        <v>749.0</v>
      </c>
      <c r="AT1492" s="20" t="s">
        <v>17</v>
      </c>
      <c r="AU1492" s="20">
        <v>-14.4</v>
      </c>
      <c r="AV1492" s="20">
        <v>-50.04</v>
      </c>
      <c r="BM1492" s="20">
        <v>41.28</v>
      </c>
      <c r="BN1492" s="20">
        <v>65.52</v>
      </c>
      <c r="CO1492" s="20">
        <v>-31.3</v>
      </c>
      <c r="CP1492" s="20">
        <v>-67.79</v>
      </c>
    </row>
    <row r="1493">
      <c r="A1493" s="20"/>
      <c r="B1493" s="20"/>
      <c r="C1493" s="20"/>
      <c r="D1493" s="20"/>
      <c r="E1493" s="20"/>
      <c r="F1493" s="20"/>
      <c r="G1493" s="20"/>
      <c r="H1493" s="20"/>
      <c r="I1493" s="20"/>
      <c r="J1493" s="20"/>
      <c r="K1493" s="20">
        <v>746.0</v>
      </c>
      <c r="L1493" s="20" t="s">
        <v>14</v>
      </c>
      <c r="M1493" s="20">
        <v>-0.44</v>
      </c>
      <c r="N1493" s="20">
        <v>-50.52</v>
      </c>
      <c r="P1493" s="20">
        <v>-11.8</v>
      </c>
      <c r="Q1493" s="20">
        <v>29.61</v>
      </c>
      <c r="AM1493" s="20">
        <v>763.0</v>
      </c>
      <c r="AN1493" s="20" t="s">
        <v>14</v>
      </c>
      <c r="AO1493" s="20">
        <v>0.51</v>
      </c>
      <c r="AP1493" s="20">
        <v>-11.9</v>
      </c>
      <c r="AS1493" s="20">
        <v>750.0</v>
      </c>
      <c r="AT1493" s="20" t="s">
        <v>14</v>
      </c>
      <c r="AU1493" s="20">
        <v>23.09</v>
      </c>
      <c r="AV1493" s="20">
        <v>-28.64</v>
      </c>
      <c r="BM1493" s="20">
        <v>-1.2</v>
      </c>
      <c r="BN1493" s="20">
        <v>46.83</v>
      </c>
      <c r="CO1493" s="20">
        <v>-46.18</v>
      </c>
      <c r="CP1493" s="20">
        <v>-52.68</v>
      </c>
    </row>
    <row r="1494">
      <c r="A1494" s="20"/>
      <c r="B1494" s="20"/>
      <c r="C1494" s="20"/>
      <c r="D1494" s="20"/>
      <c r="E1494" s="20"/>
      <c r="F1494" s="20"/>
      <c r="G1494" s="20"/>
      <c r="H1494" s="20"/>
      <c r="I1494" s="20"/>
      <c r="J1494" s="20"/>
      <c r="K1494" s="20">
        <v>746.0</v>
      </c>
      <c r="L1494" s="20" t="s">
        <v>17</v>
      </c>
      <c r="M1494" s="20">
        <v>-9.81</v>
      </c>
      <c r="N1494" s="20">
        <v>-35.61</v>
      </c>
      <c r="P1494" s="20">
        <v>-20.33</v>
      </c>
      <c r="Q1494" s="20">
        <v>-7.26</v>
      </c>
      <c r="AM1494" s="20">
        <v>763.0</v>
      </c>
      <c r="AN1494" s="20" t="s">
        <v>17</v>
      </c>
      <c r="AO1494" s="20">
        <v>-19.02</v>
      </c>
      <c r="AP1494" s="20">
        <v>-26.1</v>
      </c>
      <c r="AS1494" s="20">
        <v>750.0</v>
      </c>
      <c r="AT1494" s="20" t="s">
        <v>17</v>
      </c>
      <c r="AU1494" s="20">
        <v>32.9</v>
      </c>
      <c r="AV1494" s="20">
        <v>-49.17</v>
      </c>
      <c r="BM1494" s="20">
        <v>64.36</v>
      </c>
      <c r="BN1494" s="20">
        <v>27.32</v>
      </c>
      <c r="CO1494" s="20">
        <v>17.88</v>
      </c>
      <c r="CP1494" s="20">
        <v>-55.86</v>
      </c>
    </row>
    <row r="1495">
      <c r="A1495" s="20"/>
      <c r="B1495" s="20"/>
      <c r="C1495" s="20"/>
      <c r="D1495" s="20"/>
      <c r="E1495" s="20"/>
      <c r="F1495" s="20"/>
      <c r="G1495" s="20"/>
      <c r="H1495" s="20"/>
      <c r="I1495" s="20"/>
      <c r="J1495" s="20"/>
      <c r="K1495" s="20">
        <v>747.0</v>
      </c>
      <c r="L1495" s="20" t="s">
        <v>14</v>
      </c>
      <c r="M1495" s="20">
        <v>22.31</v>
      </c>
      <c r="N1495" s="20">
        <v>86.87</v>
      </c>
      <c r="P1495" s="20">
        <v>-7.69</v>
      </c>
      <c r="Q1495" s="20">
        <v>23.13</v>
      </c>
      <c r="AM1495" s="20">
        <v>764.0</v>
      </c>
      <c r="AN1495" s="20" t="s">
        <v>14</v>
      </c>
      <c r="AO1495" s="20">
        <v>-16.95</v>
      </c>
      <c r="AP1495" s="20">
        <v>7.91</v>
      </c>
      <c r="AS1495" s="20">
        <v>751.0</v>
      </c>
      <c r="AT1495" s="20" t="s">
        <v>14</v>
      </c>
      <c r="AU1495" s="20">
        <v>-31.93</v>
      </c>
      <c r="AV1495" s="20">
        <v>-59.23</v>
      </c>
      <c r="BM1495" s="20">
        <v>90.79</v>
      </c>
      <c r="BN1495" s="20">
        <v>208.7</v>
      </c>
      <c r="CO1495" s="20">
        <v>-33.92</v>
      </c>
      <c r="CP1495" s="20">
        <v>-55.95</v>
      </c>
    </row>
    <row r="1496">
      <c r="A1496" s="20"/>
      <c r="B1496" s="20"/>
      <c r="C1496" s="20"/>
      <c r="D1496" s="20"/>
      <c r="E1496" s="20"/>
      <c r="F1496" s="20"/>
      <c r="G1496" s="20"/>
      <c r="H1496" s="20"/>
      <c r="I1496" s="20"/>
      <c r="J1496" s="20"/>
      <c r="K1496" s="20">
        <v>747.0</v>
      </c>
      <c r="L1496" s="20" t="s">
        <v>17</v>
      </c>
      <c r="M1496" s="20">
        <v>14.43</v>
      </c>
      <c r="N1496" s="20">
        <v>0.88</v>
      </c>
      <c r="P1496" s="20">
        <v>-43.44</v>
      </c>
      <c r="Q1496" s="20">
        <v>-12.15</v>
      </c>
      <c r="AM1496" s="20">
        <v>764.0</v>
      </c>
      <c r="AN1496" s="20" t="s">
        <v>17</v>
      </c>
      <c r="AO1496" s="20">
        <v>-7.02</v>
      </c>
      <c r="AP1496" s="20">
        <v>14.48</v>
      </c>
      <c r="AS1496" s="20">
        <v>751.0</v>
      </c>
      <c r="AT1496" s="20" t="s">
        <v>17</v>
      </c>
      <c r="AU1496" s="20">
        <v>-38.32</v>
      </c>
      <c r="AV1496" s="20">
        <v>14.66</v>
      </c>
      <c r="BM1496" s="20">
        <v>78.9</v>
      </c>
      <c r="BN1496" s="20">
        <v>101.46</v>
      </c>
      <c r="CO1496" s="20">
        <v>-35.5</v>
      </c>
      <c r="CP1496" s="20">
        <v>-67.28</v>
      </c>
    </row>
    <row r="1497">
      <c r="A1497" s="20"/>
      <c r="B1497" s="20"/>
      <c r="C1497" s="20"/>
      <c r="D1497" s="20"/>
      <c r="E1497" s="20"/>
      <c r="F1497" s="20"/>
      <c r="G1497" s="20"/>
      <c r="H1497" s="20"/>
      <c r="I1497" s="20"/>
      <c r="J1497" s="20"/>
      <c r="K1497" s="20">
        <v>748.0</v>
      </c>
      <c r="L1497" s="20" t="s">
        <v>14</v>
      </c>
      <c r="M1497" s="20">
        <v>-15.87</v>
      </c>
      <c r="N1497" s="20">
        <v>25.11</v>
      </c>
      <c r="P1497" s="20">
        <v>-7.01</v>
      </c>
      <c r="Q1497" s="20">
        <v>15.56</v>
      </c>
      <c r="AM1497" s="20">
        <v>765.0</v>
      </c>
      <c r="AN1497" s="20" t="s">
        <v>14</v>
      </c>
      <c r="AO1497" s="20">
        <v>-18.22</v>
      </c>
      <c r="AP1497" s="20">
        <v>12.71</v>
      </c>
      <c r="AS1497" s="20">
        <v>752.0</v>
      </c>
      <c r="AT1497" s="20" t="s">
        <v>14</v>
      </c>
      <c r="AU1497" s="20">
        <v>-11.73</v>
      </c>
      <c r="AV1497" s="20">
        <v>-22.96</v>
      </c>
      <c r="BM1497" s="20">
        <v>88.3</v>
      </c>
      <c r="BN1497" s="20">
        <v>150.07</v>
      </c>
    </row>
    <row r="1498">
      <c r="A1498" s="20"/>
      <c r="B1498" s="20"/>
      <c r="C1498" s="20"/>
      <c r="D1498" s="20"/>
      <c r="E1498" s="20"/>
      <c r="F1498" s="20"/>
      <c r="G1498" s="20"/>
      <c r="H1498" s="20"/>
      <c r="I1498" s="20"/>
      <c r="J1498" s="20"/>
      <c r="K1498" s="20">
        <v>748.0</v>
      </c>
      <c r="L1498" s="20" t="s">
        <v>17</v>
      </c>
      <c r="M1498" s="20">
        <v>-3.29</v>
      </c>
      <c r="N1498" s="20">
        <v>55.34</v>
      </c>
      <c r="P1498" s="20">
        <v>-47.76</v>
      </c>
      <c r="Q1498" s="20">
        <v>0.07</v>
      </c>
      <c r="AM1498" s="20">
        <v>765.0</v>
      </c>
      <c r="AN1498" s="20" t="s">
        <v>17</v>
      </c>
      <c r="AO1498" s="20">
        <v>-31.38</v>
      </c>
      <c r="AP1498" s="20">
        <v>-18.09</v>
      </c>
      <c r="AS1498" s="20">
        <v>752.0</v>
      </c>
      <c r="AT1498" s="20" t="s">
        <v>17</v>
      </c>
      <c r="AU1498" s="20">
        <v>-0.49</v>
      </c>
      <c r="AV1498" s="20">
        <v>-36.76</v>
      </c>
      <c r="BM1498" s="20">
        <v>63.69</v>
      </c>
      <c r="BN1498" s="20">
        <v>135.46</v>
      </c>
    </row>
    <row r="1499">
      <c r="A1499" s="20"/>
      <c r="B1499" s="20"/>
      <c r="C1499" s="20"/>
      <c r="D1499" s="20"/>
      <c r="E1499" s="20"/>
      <c r="F1499" s="20"/>
      <c r="G1499" s="20"/>
      <c r="H1499" s="20"/>
      <c r="I1499" s="20"/>
      <c r="J1499" s="20"/>
      <c r="K1499" s="20">
        <v>749.0</v>
      </c>
      <c r="L1499" s="20" t="s">
        <v>14</v>
      </c>
      <c r="M1499" s="20">
        <v>-8.28</v>
      </c>
      <c r="N1499" s="20">
        <v>24.8</v>
      </c>
      <c r="P1499" s="20">
        <v>-35.07</v>
      </c>
      <c r="Q1499" s="20">
        <v>-12.77</v>
      </c>
      <c r="AM1499" s="20">
        <v>766.0</v>
      </c>
      <c r="AN1499" s="20" t="s">
        <v>14</v>
      </c>
      <c r="AO1499" s="20">
        <v>-1.39</v>
      </c>
      <c r="AP1499" s="20">
        <v>24.19</v>
      </c>
      <c r="AS1499" s="20">
        <v>753.0</v>
      </c>
      <c r="AT1499" s="20" t="s">
        <v>14</v>
      </c>
      <c r="AU1499" s="20">
        <v>16.34</v>
      </c>
      <c r="AV1499" s="20">
        <v>3.16</v>
      </c>
      <c r="BM1499" s="20">
        <v>-4.97</v>
      </c>
      <c r="BN1499" s="20">
        <v>87.39</v>
      </c>
    </row>
    <row r="1500">
      <c r="A1500" s="20"/>
      <c r="B1500" s="20"/>
      <c r="C1500" s="20"/>
      <c r="D1500" s="20"/>
      <c r="E1500" s="20"/>
      <c r="F1500" s="20"/>
      <c r="G1500" s="20"/>
      <c r="H1500" s="20"/>
      <c r="I1500" s="20"/>
      <c r="J1500" s="20"/>
      <c r="K1500" s="20">
        <v>749.0</v>
      </c>
      <c r="L1500" s="20" t="s">
        <v>17</v>
      </c>
      <c r="M1500" s="20">
        <v>13.27</v>
      </c>
      <c r="N1500" s="20">
        <v>-27.34</v>
      </c>
      <c r="P1500" s="20">
        <v>6.14</v>
      </c>
      <c r="Q1500" s="20">
        <v>11.25</v>
      </c>
      <c r="AM1500" s="20">
        <v>766.0</v>
      </c>
      <c r="AN1500" s="20" t="s">
        <v>17</v>
      </c>
      <c r="AO1500" s="20">
        <v>-4.92</v>
      </c>
      <c r="AP1500" s="20">
        <v>-9.29</v>
      </c>
      <c r="AS1500" s="20">
        <v>753.0</v>
      </c>
      <c r="AT1500" s="20" t="s">
        <v>17</v>
      </c>
      <c r="AU1500" s="20">
        <v>34.25</v>
      </c>
      <c r="AV1500" s="20">
        <v>-42.13</v>
      </c>
      <c r="BM1500" s="20">
        <v>74.25</v>
      </c>
      <c r="BN1500" s="20">
        <v>167.9</v>
      </c>
    </row>
    <row r="1501">
      <c r="A1501" s="20"/>
      <c r="B1501" s="20"/>
      <c r="C1501" s="20"/>
      <c r="D1501" s="20"/>
      <c r="E1501" s="20"/>
      <c r="F1501" s="20"/>
      <c r="G1501" s="20"/>
      <c r="H1501" s="20"/>
      <c r="I1501" s="20"/>
      <c r="J1501" s="20"/>
      <c r="K1501" s="20">
        <v>750.0</v>
      </c>
      <c r="L1501" s="20" t="s">
        <v>14</v>
      </c>
      <c r="M1501" s="20">
        <v>-10.16</v>
      </c>
      <c r="N1501" s="20">
        <v>7.23</v>
      </c>
      <c r="P1501" s="20">
        <v>-19.29</v>
      </c>
      <c r="Q1501" s="20">
        <v>-13.59</v>
      </c>
      <c r="AM1501" s="20">
        <v>767.0</v>
      </c>
      <c r="AN1501" s="20" t="s">
        <v>14</v>
      </c>
      <c r="AO1501" s="20">
        <v>-21.64</v>
      </c>
      <c r="AP1501" s="20">
        <v>-13.3</v>
      </c>
      <c r="AS1501" s="20">
        <v>754.0</v>
      </c>
      <c r="AT1501" s="20" t="s">
        <v>14</v>
      </c>
      <c r="AU1501" s="20">
        <v>23.9</v>
      </c>
      <c r="AV1501" s="20">
        <v>22.63</v>
      </c>
      <c r="BM1501" s="20">
        <v>12.92</v>
      </c>
      <c r="BN1501" s="20">
        <v>54.36</v>
      </c>
    </row>
    <row r="1502">
      <c r="A1502" s="20"/>
      <c r="B1502" s="20"/>
      <c r="C1502" s="20"/>
      <c r="D1502" s="20"/>
      <c r="E1502" s="20"/>
      <c r="F1502" s="20"/>
      <c r="G1502" s="20"/>
      <c r="H1502" s="20"/>
      <c r="I1502" s="20"/>
      <c r="J1502" s="20"/>
      <c r="K1502" s="20">
        <v>750.0</v>
      </c>
      <c r="L1502" s="20" t="s">
        <v>17</v>
      </c>
      <c r="M1502" s="20">
        <v>-12.99</v>
      </c>
      <c r="N1502" s="20">
        <v>4.47</v>
      </c>
      <c r="P1502" s="20">
        <v>-36.13</v>
      </c>
      <c r="Q1502" s="20">
        <v>-5.01</v>
      </c>
      <c r="AM1502" s="20">
        <v>767.0</v>
      </c>
      <c r="AN1502" s="20" t="s">
        <v>17</v>
      </c>
      <c r="AO1502" s="20">
        <v>-26.99</v>
      </c>
      <c r="AP1502" s="20">
        <v>25.43</v>
      </c>
      <c r="AS1502" s="20">
        <v>754.0</v>
      </c>
      <c r="AT1502" s="20" t="s">
        <v>17</v>
      </c>
      <c r="AU1502" s="20">
        <v>9.38</v>
      </c>
      <c r="AV1502" s="20">
        <v>-0.46</v>
      </c>
      <c r="BM1502" s="20">
        <v>91.22</v>
      </c>
      <c r="BN1502" s="20">
        <v>234.57</v>
      </c>
    </row>
    <row r="1503">
      <c r="A1503" s="20"/>
      <c r="B1503" s="20"/>
      <c r="C1503" s="20"/>
      <c r="D1503" s="20"/>
      <c r="E1503" s="20"/>
      <c r="F1503" s="20"/>
      <c r="G1503" s="20"/>
      <c r="H1503" s="20"/>
      <c r="I1503" s="20"/>
      <c r="J1503" s="20"/>
      <c r="K1503" s="20">
        <v>751.0</v>
      </c>
      <c r="L1503" s="20" t="s">
        <v>14</v>
      </c>
      <c r="M1503" s="20">
        <v>37.69</v>
      </c>
      <c r="N1503" s="20">
        <v>6.14</v>
      </c>
      <c r="P1503" s="20">
        <v>-9.94</v>
      </c>
      <c r="Q1503" s="20">
        <v>-25.74</v>
      </c>
      <c r="AM1503" s="20">
        <v>768.0</v>
      </c>
      <c r="AN1503" s="20" t="s">
        <v>14</v>
      </c>
      <c r="AO1503" s="20">
        <v>-2.38</v>
      </c>
      <c r="AP1503" s="20">
        <v>28.94</v>
      </c>
      <c r="AS1503" s="20">
        <v>755.0</v>
      </c>
      <c r="AT1503" s="20" t="s">
        <v>14</v>
      </c>
      <c r="AU1503" s="20">
        <v>2.68</v>
      </c>
      <c r="AV1503" s="20">
        <v>-34.59</v>
      </c>
      <c r="BM1503" s="20">
        <v>91.9</v>
      </c>
      <c r="BN1503" s="20">
        <v>127.7</v>
      </c>
    </row>
    <row r="1504">
      <c r="A1504" s="20"/>
      <c r="B1504" s="20"/>
      <c r="C1504" s="20"/>
      <c r="D1504" s="20"/>
      <c r="E1504" s="20"/>
      <c r="F1504" s="20"/>
      <c r="G1504" s="20"/>
      <c r="H1504" s="20"/>
      <c r="I1504" s="20"/>
      <c r="J1504" s="20"/>
      <c r="K1504" s="20">
        <v>751.0</v>
      </c>
      <c r="L1504" s="20" t="s">
        <v>17</v>
      </c>
      <c r="M1504" s="20">
        <v>-9.69</v>
      </c>
      <c r="N1504" s="20">
        <v>2.14</v>
      </c>
      <c r="P1504" s="20">
        <v>7.8</v>
      </c>
      <c r="Q1504" s="20">
        <v>-36.87</v>
      </c>
      <c r="AM1504" s="20">
        <v>768.0</v>
      </c>
      <c r="AN1504" s="20" t="s">
        <v>17</v>
      </c>
      <c r="AO1504" s="20">
        <v>-26.56</v>
      </c>
      <c r="AP1504" s="20">
        <v>-10.87</v>
      </c>
      <c r="AS1504" s="20">
        <v>755.0</v>
      </c>
      <c r="AT1504" s="20" t="s">
        <v>17</v>
      </c>
      <c r="AU1504" s="20">
        <v>0.63</v>
      </c>
      <c r="AV1504" s="20">
        <v>13.48</v>
      </c>
      <c r="BM1504" s="20">
        <v>88.45</v>
      </c>
      <c r="BN1504" s="20">
        <v>109.9</v>
      </c>
    </row>
    <row r="1505">
      <c r="A1505" s="20"/>
      <c r="B1505" s="20"/>
      <c r="C1505" s="20"/>
      <c r="D1505" s="20"/>
      <c r="E1505" s="20"/>
      <c r="F1505" s="20"/>
      <c r="G1505" s="20"/>
      <c r="H1505" s="20"/>
      <c r="I1505" s="20"/>
      <c r="J1505" s="20"/>
      <c r="K1505" s="20">
        <v>752.0</v>
      </c>
      <c r="L1505" s="20" t="s">
        <v>14</v>
      </c>
      <c r="M1505" s="20">
        <v>-24.08</v>
      </c>
      <c r="N1505" s="20">
        <v>1.41</v>
      </c>
      <c r="P1505" s="20">
        <v>6.96</v>
      </c>
      <c r="Q1505" s="20">
        <v>5.49</v>
      </c>
      <c r="AS1505" s="20">
        <v>756.0</v>
      </c>
      <c r="AT1505" s="20" t="s">
        <v>14</v>
      </c>
      <c r="AU1505" s="20">
        <v>-10.65</v>
      </c>
      <c r="AV1505" s="20">
        <v>-14.93</v>
      </c>
      <c r="BM1505" s="20">
        <v>60.07</v>
      </c>
      <c r="BN1505" s="20">
        <v>100.37</v>
      </c>
    </row>
    <row r="1506">
      <c r="A1506" s="20"/>
      <c r="B1506" s="20"/>
      <c r="C1506" s="20"/>
      <c r="D1506" s="20"/>
      <c r="E1506" s="20"/>
      <c r="F1506" s="20"/>
      <c r="G1506" s="20"/>
      <c r="H1506" s="20"/>
      <c r="I1506" s="20"/>
      <c r="J1506" s="20"/>
      <c r="K1506" s="20">
        <v>752.0</v>
      </c>
      <c r="L1506" s="20" t="s">
        <v>17</v>
      </c>
      <c r="M1506" s="20">
        <v>-16.96</v>
      </c>
      <c r="N1506" s="20">
        <v>26.32</v>
      </c>
      <c r="P1506" s="20">
        <v>-0.27</v>
      </c>
      <c r="Q1506" s="20">
        <v>-42.61</v>
      </c>
      <c r="AS1506" s="20">
        <v>756.0</v>
      </c>
      <c r="AT1506" s="20" t="s">
        <v>17</v>
      </c>
      <c r="AU1506" s="20">
        <v>2.8</v>
      </c>
      <c r="AV1506" s="20">
        <v>-18.75</v>
      </c>
      <c r="BM1506" s="20">
        <v>46.48</v>
      </c>
      <c r="BN1506" s="20">
        <v>84.99</v>
      </c>
    </row>
    <row r="1507">
      <c r="A1507" s="20"/>
      <c r="B1507" s="20"/>
      <c r="C1507" s="20"/>
      <c r="D1507" s="20"/>
      <c r="E1507" s="20"/>
      <c r="F1507" s="20"/>
      <c r="G1507" s="20"/>
      <c r="H1507" s="20"/>
      <c r="I1507" s="20"/>
      <c r="J1507" s="20"/>
      <c r="K1507" s="20">
        <v>753.0</v>
      </c>
      <c r="L1507" s="20" t="s">
        <v>14</v>
      </c>
      <c r="M1507" s="20">
        <v>14.83</v>
      </c>
      <c r="N1507" s="20">
        <v>41.44</v>
      </c>
      <c r="P1507" s="20">
        <v>5.0</v>
      </c>
      <c r="Q1507" s="20">
        <v>-6.36</v>
      </c>
      <c r="AS1507" s="20">
        <v>757.0</v>
      </c>
      <c r="AT1507" s="20" t="s">
        <v>14</v>
      </c>
      <c r="AU1507" s="20">
        <v>-6.15</v>
      </c>
      <c r="AV1507" s="20">
        <v>-40.07</v>
      </c>
      <c r="BM1507" s="20">
        <v>76.33</v>
      </c>
      <c r="BN1507" s="20">
        <v>96.54</v>
      </c>
    </row>
    <row r="1508">
      <c r="A1508" s="20"/>
      <c r="B1508" s="20"/>
      <c r="C1508" s="20"/>
      <c r="D1508" s="20"/>
      <c r="E1508" s="20"/>
      <c r="F1508" s="20"/>
      <c r="G1508" s="20"/>
      <c r="H1508" s="20"/>
      <c r="I1508" s="20"/>
      <c r="J1508" s="20"/>
      <c r="K1508" s="20">
        <v>753.0</v>
      </c>
      <c r="L1508" s="20" t="s">
        <v>17</v>
      </c>
      <c r="M1508" s="20">
        <v>-14.36</v>
      </c>
      <c r="N1508" s="20">
        <v>-5.32</v>
      </c>
      <c r="P1508" s="20">
        <v>-44.86</v>
      </c>
      <c r="Q1508" s="20">
        <v>-8.21</v>
      </c>
      <c r="AS1508" s="20">
        <v>757.0</v>
      </c>
      <c r="AT1508" s="20" t="s">
        <v>17</v>
      </c>
      <c r="AU1508" s="20">
        <v>-26.17</v>
      </c>
      <c r="AV1508" s="20">
        <v>-50.44</v>
      </c>
      <c r="BM1508" s="20">
        <v>102.98</v>
      </c>
      <c r="BN1508" s="20">
        <v>148.94</v>
      </c>
    </row>
    <row r="1509">
      <c r="A1509" s="20"/>
      <c r="B1509" s="20"/>
      <c r="C1509" s="20"/>
      <c r="D1509" s="20"/>
      <c r="E1509" s="20"/>
      <c r="F1509" s="20"/>
      <c r="G1509" s="20"/>
      <c r="H1509" s="20"/>
      <c r="I1509" s="20"/>
      <c r="J1509" s="20"/>
      <c r="K1509" s="20">
        <v>754.0</v>
      </c>
      <c r="L1509" s="20" t="s">
        <v>14</v>
      </c>
      <c r="M1509" s="20">
        <v>-24.85</v>
      </c>
      <c r="N1509" s="20">
        <v>-7.63</v>
      </c>
      <c r="P1509" s="20">
        <v>-6.59</v>
      </c>
      <c r="Q1509" s="20">
        <v>-7.16</v>
      </c>
      <c r="AS1509" s="20">
        <v>758.0</v>
      </c>
      <c r="AT1509" s="20" t="s">
        <v>14</v>
      </c>
      <c r="AU1509" s="20">
        <v>-3.47</v>
      </c>
      <c r="AV1509" s="20">
        <v>-8.56</v>
      </c>
      <c r="BM1509" s="20">
        <v>86.85</v>
      </c>
      <c r="BN1509" s="20">
        <v>121.65</v>
      </c>
    </row>
    <row r="1510">
      <c r="A1510" s="20"/>
      <c r="B1510" s="20"/>
      <c r="C1510" s="20"/>
      <c r="D1510" s="20"/>
      <c r="E1510" s="20"/>
      <c r="F1510" s="20"/>
      <c r="G1510" s="20"/>
      <c r="H1510" s="20"/>
      <c r="I1510" s="20"/>
      <c r="J1510" s="20"/>
      <c r="K1510" s="20">
        <v>754.0</v>
      </c>
      <c r="L1510" s="20" t="s">
        <v>17</v>
      </c>
      <c r="M1510" s="20">
        <v>21.97</v>
      </c>
      <c r="N1510" s="20">
        <v>-3.7</v>
      </c>
      <c r="P1510" s="20">
        <v>-35.23</v>
      </c>
      <c r="Q1510" s="20">
        <v>-23.86</v>
      </c>
      <c r="AS1510" s="20">
        <v>758.0</v>
      </c>
      <c r="AT1510" s="20" t="s">
        <v>17</v>
      </c>
      <c r="AU1510" s="20">
        <v>-18.97</v>
      </c>
      <c r="AV1510" s="20">
        <v>-55.04</v>
      </c>
      <c r="BM1510" s="20">
        <v>42.02</v>
      </c>
      <c r="BN1510" s="20">
        <v>136.54</v>
      </c>
    </row>
    <row r="1511">
      <c r="A1511" s="20"/>
      <c r="B1511" s="20"/>
      <c r="C1511" s="20"/>
      <c r="D1511" s="20"/>
      <c r="E1511" s="20"/>
      <c r="F1511" s="20"/>
      <c r="G1511" s="20"/>
      <c r="H1511" s="20"/>
      <c r="I1511" s="20"/>
      <c r="J1511" s="20"/>
      <c r="K1511" s="20">
        <v>755.0</v>
      </c>
      <c r="L1511" s="20" t="s">
        <v>14</v>
      </c>
      <c r="M1511" s="20">
        <v>-14.72</v>
      </c>
      <c r="N1511" s="20">
        <v>15.17</v>
      </c>
      <c r="P1511" s="20">
        <v>-31.55</v>
      </c>
      <c r="Q1511" s="20">
        <v>3.99</v>
      </c>
      <c r="AS1511" s="20">
        <v>759.0</v>
      </c>
      <c r="AT1511" s="20" t="s">
        <v>14</v>
      </c>
      <c r="AU1511" s="20">
        <v>-25.11</v>
      </c>
      <c r="AV1511" s="20">
        <v>-13.44</v>
      </c>
      <c r="BM1511" s="20">
        <v>40.61</v>
      </c>
      <c r="BN1511" s="20">
        <v>87.01</v>
      </c>
    </row>
    <row r="1512">
      <c r="A1512" s="20"/>
      <c r="B1512" s="20"/>
      <c r="C1512" s="20"/>
      <c r="D1512" s="20"/>
      <c r="E1512" s="20"/>
      <c r="F1512" s="20"/>
      <c r="G1512" s="20"/>
      <c r="H1512" s="20"/>
      <c r="I1512" s="20"/>
      <c r="J1512" s="20"/>
      <c r="K1512" s="20">
        <v>755.0</v>
      </c>
      <c r="L1512" s="20" t="s">
        <v>17</v>
      </c>
      <c r="M1512" s="20">
        <v>-27.05</v>
      </c>
      <c r="N1512" s="20">
        <v>-7.36</v>
      </c>
      <c r="P1512" s="20">
        <v>-48.92</v>
      </c>
      <c r="Q1512" s="20">
        <v>-28.4</v>
      </c>
      <c r="AS1512" s="20">
        <v>759.0</v>
      </c>
      <c r="AT1512" s="20" t="s">
        <v>17</v>
      </c>
      <c r="AU1512" s="20">
        <v>-14.61</v>
      </c>
      <c r="AV1512" s="20">
        <v>27.27</v>
      </c>
      <c r="BM1512" s="20">
        <v>67.31</v>
      </c>
      <c r="BN1512" s="20">
        <v>107.75</v>
      </c>
    </row>
    <row r="1513">
      <c r="A1513" s="20"/>
      <c r="B1513" s="20"/>
      <c r="C1513" s="20"/>
      <c r="D1513" s="20"/>
      <c r="E1513" s="20"/>
      <c r="F1513" s="20"/>
      <c r="G1513" s="20"/>
      <c r="H1513" s="20"/>
      <c r="I1513" s="20"/>
      <c r="J1513" s="20"/>
      <c r="K1513" s="20">
        <v>756.0</v>
      </c>
      <c r="L1513" s="20" t="s">
        <v>14</v>
      </c>
      <c r="M1513" s="20">
        <v>-21.39</v>
      </c>
      <c r="N1513" s="20">
        <v>21.41</v>
      </c>
      <c r="P1513" s="20">
        <v>-23.21</v>
      </c>
      <c r="Q1513" s="20">
        <v>-3.24</v>
      </c>
      <c r="AS1513" s="20">
        <v>760.0</v>
      </c>
      <c r="AT1513" s="20" t="s">
        <v>14</v>
      </c>
      <c r="AU1513" s="20">
        <v>-5.02</v>
      </c>
      <c r="AV1513" s="20">
        <v>-18.01</v>
      </c>
      <c r="BM1513" s="20">
        <v>46.95</v>
      </c>
      <c r="BN1513" s="20">
        <v>53.66</v>
      </c>
    </row>
    <row r="1514">
      <c r="A1514" s="20"/>
      <c r="B1514" s="20"/>
      <c r="C1514" s="20"/>
      <c r="D1514" s="20"/>
      <c r="E1514" s="20"/>
      <c r="F1514" s="20"/>
      <c r="G1514" s="20"/>
      <c r="H1514" s="20"/>
      <c r="I1514" s="20"/>
      <c r="J1514" s="20"/>
      <c r="K1514" s="20">
        <v>756.0</v>
      </c>
      <c r="L1514" s="20" t="s">
        <v>17</v>
      </c>
      <c r="M1514" s="20">
        <v>-40.61</v>
      </c>
      <c r="N1514" s="20">
        <v>-9.43</v>
      </c>
      <c r="P1514" s="20">
        <v>-42.84</v>
      </c>
      <c r="Q1514" s="20">
        <v>-9.36</v>
      </c>
      <c r="AS1514" s="20">
        <v>760.0</v>
      </c>
      <c r="AT1514" s="20" t="s">
        <v>17</v>
      </c>
      <c r="AU1514" s="20">
        <v>-7.06</v>
      </c>
      <c r="AV1514" s="20">
        <v>14.15</v>
      </c>
      <c r="BM1514" s="20">
        <v>29.73</v>
      </c>
      <c r="BN1514" s="20">
        <v>204.02</v>
      </c>
    </row>
    <row r="1515">
      <c r="A1515" s="20"/>
      <c r="B1515" s="20"/>
      <c r="C1515" s="20"/>
      <c r="D1515" s="20"/>
      <c r="E1515" s="20"/>
      <c r="F1515" s="20"/>
      <c r="G1515" s="20"/>
      <c r="H1515" s="20"/>
      <c r="I1515" s="20"/>
      <c r="J1515" s="20"/>
      <c r="K1515" s="20">
        <v>757.0</v>
      </c>
      <c r="L1515" s="20" t="s">
        <v>14</v>
      </c>
      <c r="M1515" s="20">
        <v>-32.9</v>
      </c>
      <c r="N1515" s="20">
        <v>-20.47</v>
      </c>
      <c r="AS1515" s="20">
        <v>761.0</v>
      </c>
      <c r="AT1515" s="20" t="s">
        <v>14</v>
      </c>
      <c r="AU1515" s="20">
        <v>4.21</v>
      </c>
      <c r="AV1515" s="20">
        <v>-27.36</v>
      </c>
      <c r="BM1515" s="20">
        <v>91.36</v>
      </c>
      <c r="BN1515" s="20">
        <v>133.17</v>
      </c>
    </row>
    <row r="1516">
      <c r="A1516" s="20"/>
      <c r="B1516" s="20"/>
      <c r="C1516" s="20"/>
      <c r="D1516" s="20"/>
      <c r="E1516" s="20"/>
      <c r="F1516" s="20"/>
      <c r="G1516" s="20"/>
      <c r="H1516" s="20"/>
      <c r="I1516" s="20"/>
      <c r="J1516" s="20"/>
      <c r="K1516" s="20">
        <v>757.0</v>
      </c>
      <c r="L1516" s="20" t="s">
        <v>17</v>
      </c>
      <c r="M1516" s="20">
        <v>-44.99</v>
      </c>
      <c r="N1516" s="20">
        <v>-24.35</v>
      </c>
      <c r="AS1516" s="20">
        <v>761.0</v>
      </c>
      <c r="AT1516" s="20" t="s">
        <v>17</v>
      </c>
      <c r="AU1516" s="20">
        <v>11.73</v>
      </c>
      <c r="AV1516" s="20">
        <v>-32.11</v>
      </c>
      <c r="BM1516" s="20">
        <v>30.13</v>
      </c>
      <c r="BN1516" s="20">
        <v>146.01</v>
      </c>
    </row>
    <row r="1517">
      <c r="A1517" s="20"/>
      <c r="B1517" s="20"/>
      <c r="C1517" s="20"/>
      <c r="D1517" s="20"/>
      <c r="E1517" s="20"/>
      <c r="F1517" s="20"/>
      <c r="G1517" s="20"/>
      <c r="H1517" s="20"/>
      <c r="I1517" s="20"/>
      <c r="J1517" s="20"/>
      <c r="K1517" s="20">
        <v>758.0</v>
      </c>
      <c r="L1517" s="20" t="s">
        <v>14</v>
      </c>
      <c r="M1517" s="20">
        <v>-20.81</v>
      </c>
      <c r="N1517" s="20">
        <v>-3.2</v>
      </c>
      <c r="AS1517" s="20">
        <v>762.0</v>
      </c>
      <c r="AT1517" s="20" t="s">
        <v>14</v>
      </c>
      <c r="AU1517" s="20">
        <v>3.66</v>
      </c>
      <c r="AV1517" s="20">
        <v>12.01</v>
      </c>
      <c r="BM1517" s="20">
        <v>74.41</v>
      </c>
      <c r="BN1517" s="20">
        <v>85.41</v>
      </c>
    </row>
    <row r="1518">
      <c r="A1518" s="20"/>
      <c r="B1518" s="20"/>
      <c r="C1518" s="20"/>
      <c r="D1518" s="20"/>
      <c r="E1518" s="20"/>
      <c r="F1518" s="20"/>
      <c r="G1518" s="20"/>
      <c r="H1518" s="20"/>
      <c r="I1518" s="20"/>
      <c r="J1518" s="20"/>
      <c r="K1518" s="20">
        <v>758.0</v>
      </c>
      <c r="L1518" s="20" t="s">
        <v>17</v>
      </c>
      <c r="M1518" s="20">
        <v>-14.85</v>
      </c>
      <c r="N1518" s="20">
        <v>9.2</v>
      </c>
      <c r="AS1518" s="20">
        <v>762.0</v>
      </c>
      <c r="AT1518" s="20" t="s">
        <v>17</v>
      </c>
      <c r="AU1518" s="20">
        <v>26.2</v>
      </c>
      <c r="AV1518" s="20">
        <v>55.22</v>
      </c>
      <c r="BM1518" s="20">
        <v>-8.0</v>
      </c>
      <c r="BN1518" s="20">
        <v>78.57</v>
      </c>
    </row>
    <row r="1519">
      <c r="A1519" s="20"/>
      <c r="B1519" s="20"/>
      <c r="C1519" s="20"/>
      <c r="D1519" s="20"/>
      <c r="E1519" s="20"/>
      <c r="F1519" s="20"/>
      <c r="G1519" s="20"/>
      <c r="H1519" s="20"/>
      <c r="I1519" s="20"/>
      <c r="J1519" s="20"/>
      <c r="K1519" s="20">
        <v>759.0</v>
      </c>
      <c r="L1519" s="20" t="s">
        <v>14</v>
      </c>
      <c r="M1519" s="20">
        <v>-21.87</v>
      </c>
      <c r="N1519" s="20">
        <v>12.32</v>
      </c>
      <c r="AS1519" s="20">
        <v>763.0</v>
      </c>
      <c r="AT1519" s="20" t="s">
        <v>14</v>
      </c>
      <c r="AU1519" s="20">
        <v>-29.95</v>
      </c>
      <c r="AV1519" s="20">
        <v>-50.45</v>
      </c>
      <c r="BM1519" s="20">
        <v>9.58</v>
      </c>
      <c r="BN1519" s="20">
        <v>188.41</v>
      </c>
    </row>
    <row r="1520">
      <c r="A1520" s="20"/>
      <c r="B1520" s="20"/>
      <c r="C1520" s="20"/>
      <c r="D1520" s="20"/>
      <c r="E1520" s="20"/>
      <c r="F1520" s="20"/>
      <c r="G1520" s="20"/>
      <c r="H1520" s="20"/>
      <c r="I1520" s="20"/>
      <c r="J1520" s="20"/>
      <c r="K1520" s="20">
        <v>759.0</v>
      </c>
      <c r="L1520" s="20" t="s">
        <v>17</v>
      </c>
      <c r="M1520" s="20">
        <v>-44.19</v>
      </c>
      <c r="N1520" s="20">
        <v>-19.26</v>
      </c>
      <c r="AS1520" s="20">
        <v>763.0</v>
      </c>
      <c r="AT1520" s="20" t="s">
        <v>17</v>
      </c>
      <c r="AU1520" s="20">
        <v>-36.15</v>
      </c>
      <c r="AV1520" s="20">
        <v>-19.91</v>
      </c>
      <c r="BM1520" s="20">
        <v>31.02</v>
      </c>
      <c r="BN1520" s="20">
        <v>142.24</v>
      </c>
    </row>
    <row r="1521">
      <c r="A1521" s="20"/>
      <c r="B1521" s="20"/>
      <c r="C1521" s="20"/>
      <c r="D1521" s="20"/>
      <c r="E1521" s="20"/>
      <c r="F1521" s="20"/>
      <c r="G1521" s="20"/>
      <c r="H1521" s="20"/>
      <c r="I1521" s="20"/>
      <c r="J1521" s="20"/>
      <c r="K1521" s="20">
        <v>760.0</v>
      </c>
      <c r="L1521" s="20" t="s">
        <v>14</v>
      </c>
      <c r="M1521" s="20">
        <v>-21.1</v>
      </c>
      <c r="N1521" s="20">
        <v>56.08</v>
      </c>
      <c r="AS1521" s="20">
        <v>764.0</v>
      </c>
      <c r="AT1521" s="20" t="s">
        <v>14</v>
      </c>
      <c r="AU1521" s="20">
        <v>-8.14</v>
      </c>
      <c r="AV1521" s="20">
        <v>-38.54</v>
      </c>
      <c r="BM1521" s="20">
        <v>30.05</v>
      </c>
      <c r="BN1521" s="20">
        <v>124.04</v>
      </c>
    </row>
    <row r="1522">
      <c r="A1522" s="20"/>
      <c r="B1522" s="20"/>
      <c r="C1522" s="20"/>
      <c r="D1522" s="20"/>
      <c r="E1522" s="20"/>
      <c r="F1522" s="20"/>
      <c r="G1522" s="20"/>
      <c r="H1522" s="20"/>
      <c r="I1522" s="20"/>
      <c r="J1522" s="20"/>
      <c r="K1522" s="20">
        <v>760.0</v>
      </c>
      <c r="L1522" s="20" t="s">
        <v>17</v>
      </c>
      <c r="M1522" s="20">
        <v>-37.21</v>
      </c>
      <c r="N1522" s="20">
        <v>0.34</v>
      </c>
      <c r="AS1522" s="20">
        <v>764.0</v>
      </c>
      <c r="AT1522" s="20" t="s">
        <v>17</v>
      </c>
      <c r="AU1522" s="20">
        <v>22.68</v>
      </c>
      <c r="AV1522" s="20">
        <v>-39.49</v>
      </c>
      <c r="BM1522" s="20">
        <v>55.88</v>
      </c>
      <c r="BN1522" s="20">
        <v>102.54</v>
      </c>
    </row>
    <row r="1523">
      <c r="A1523" s="20"/>
      <c r="B1523" s="20"/>
      <c r="C1523" s="20"/>
      <c r="D1523" s="20"/>
      <c r="E1523" s="20"/>
      <c r="F1523" s="20"/>
      <c r="G1523" s="20"/>
      <c r="H1523" s="20"/>
      <c r="I1523" s="20"/>
      <c r="J1523" s="20"/>
      <c r="K1523" s="20">
        <v>761.0</v>
      </c>
      <c r="L1523" s="20" t="s">
        <v>14</v>
      </c>
      <c r="M1523" s="20">
        <v>14.64</v>
      </c>
      <c r="N1523" s="20">
        <v>22.85</v>
      </c>
      <c r="AS1523" s="20">
        <v>765.0</v>
      </c>
      <c r="AT1523" s="20" t="s">
        <v>14</v>
      </c>
      <c r="AU1523" s="20">
        <v>-30.83</v>
      </c>
      <c r="AV1523" s="20">
        <v>-35.13</v>
      </c>
      <c r="BM1523" s="20">
        <v>63.32</v>
      </c>
      <c r="BN1523" s="20">
        <v>92.25</v>
      </c>
    </row>
    <row r="1524">
      <c r="A1524" s="20"/>
      <c r="B1524" s="20"/>
      <c r="C1524" s="20"/>
      <c r="D1524" s="20"/>
      <c r="E1524" s="20"/>
      <c r="F1524" s="20"/>
      <c r="G1524" s="20"/>
      <c r="H1524" s="20"/>
      <c r="I1524" s="20"/>
      <c r="J1524" s="20"/>
      <c r="K1524" s="20">
        <v>761.0</v>
      </c>
      <c r="L1524" s="20" t="s">
        <v>17</v>
      </c>
      <c r="M1524" s="20">
        <v>-22.71</v>
      </c>
      <c r="N1524" s="20">
        <v>1.7</v>
      </c>
      <c r="AS1524" s="20">
        <v>765.0</v>
      </c>
      <c r="AT1524" s="20" t="s">
        <v>17</v>
      </c>
      <c r="AU1524" s="20">
        <v>-34.43</v>
      </c>
      <c r="AV1524" s="20">
        <v>-57.65</v>
      </c>
      <c r="BM1524" s="20">
        <v>85.03</v>
      </c>
      <c r="BN1524" s="20">
        <v>149.32</v>
      </c>
    </row>
    <row r="1525">
      <c r="A1525" s="20"/>
      <c r="B1525" s="20"/>
      <c r="C1525" s="20"/>
      <c r="D1525" s="20"/>
      <c r="E1525" s="20"/>
      <c r="F1525" s="20"/>
      <c r="G1525" s="20"/>
      <c r="H1525" s="20"/>
      <c r="I1525" s="20"/>
      <c r="J1525" s="20"/>
      <c r="K1525" s="20">
        <v>762.0</v>
      </c>
      <c r="L1525" s="20" t="s">
        <v>14</v>
      </c>
      <c r="M1525" s="20">
        <v>9.96</v>
      </c>
      <c r="N1525" s="20">
        <v>33.0</v>
      </c>
      <c r="AS1525" s="20">
        <v>766.0</v>
      </c>
      <c r="AT1525" s="20" t="s">
        <v>14</v>
      </c>
      <c r="AU1525" s="20">
        <v>-19.56</v>
      </c>
      <c r="AV1525" s="20">
        <v>-36.39</v>
      </c>
      <c r="BM1525" s="20">
        <v>78.82</v>
      </c>
      <c r="BN1525" s="20">
        <v>127.11</v>
      </c>
    </row>
    <row r="1526">
      <c r="A1526" s="20"/>
      <c r="B1526" s="20"/>
      <c r="C1526" s="20"/>
      <c r="D1526" s="20"/>
      <c r="E1526" s="20"/>
      <c r="F1526" s="20"/>
      <c r="G1526" s="20"/>
      <c r="H1526" s="20"/>
      <c r="I1526" s="20"/>
      <c r="J1526" s="20"/>
      <c r="K1526" s="20">
        <v>762.0</v>
      </c>
      <c r="L1526" s="20" t="s">
        <v>17</v>
      </c>
      <c r="M1526" s="20">
        <v>-5.86</v>
      </c>
      <c r="N1526" s="20">
        <v>16.39</v>
      </c>
      <c r="AS1526" s="20">
        <v>766.0</v>
      </c>
      <c r="AT1526" s="20" t="s">
        <v>17</v>
      </c>
      <c r="AU1526" s="20">
        <v>-38.42</v>
      </c>
      <c r="AV1526" s="20">
        <v>-68.17</v>
      </c>
      <c r="BM1526" s="20">
        <v>24.12</v>
      </c>
      <c r="BN1526" s="20">
        <v>139.9</v>
      </c>
    </row>
    <row r="1527">
      <c r="A1527" s="20"/>
      <c r="B1527" s="20"/>
      <c r="C1527" s="20"/>
      <c r="D1527" s="20"/>
      <c r="E1527" s="20"/>
      <c r="F1527" s="20"/>
      <c r="G1527" s="20"/>
      <c r="H1527" s="20"/>
      <c r="I1527" s="20"/>
      <c r="J1527" s="20"/>
      <c r="K1527" s="20">
        <v>763.0</v>
      </c>
      <c r="L1527" s="20" t="s">
        <v>14</v>
      </c>
      <c r="M1527" s="20">
        <v>-39.51</v>
      </c>
      <c r="N1527" s="20">
        <v>-10.32</v>
      </c>
      <c r="AS1527" s="20">
        <v>767.0</v>
      </c>
      <c r="AT1527" s="20" t="s">
        <v>14</v>
      </c>
      <c r="AU1527" s="20">
        <v>-20.71</v>
      </c>
      <c r="AV1527" s="20">
        <v>-26.44</v>
      </c>
      <c r="BM1527" s="20">
        <v>29.79</v>
      </c>
      <c r="BN1527" s="20">
        <v>45.02</v>
      </c>
    </row>
    <row r="1528">
      <c r="A1528" s="20"/>
      <c r="B1528" s="20"/>
      <c r="C1528" s="20"/>
      <c r="D1528" s="20"/>
      <c r="E1528" s="20"/>
      <c r="F1528" s="20"/>
      <c r="G1528" s="20"/>
      <c r="H1528" s="20"/>
      <c r="I1528" s="20"/>
      <c r="J1528" s="20"/>
      <c r="K1528" s="20">
        <v>763.0</v>
      </c>
      <c r="L1528" s="20" t="s">
        <v>17</v>
      </c>
      <c r="M1528" s="20">
        <v>-31.13</v>
      </c>
      <c r="N1528" s="20">
        <v>29.06</v>
      </c>
      <c r="AS1528" s="20">
        <v>767.0</v>
      </c>
      <c r="AT1528" s="20" t="s">
        <v>17</v>
      </c>
      <c r="AU1528" s="20">
        <v>-6.45</v>
      </c>
      <c r="AV1528" s="20">
        <v>-23.76</v>
      </c>
      <c r="BM1528" s="20">
        <v>56.53</v>
      </c>
      <c r="BN1528" s="20">
        <v>145.3</v>
      </c>
    </row>
    <row r="1529">
      <c r="A1529" s="20"/>
      <c r="B1529" s="20"/>
      <c r="C1529" s="20"/>
      <c r="D1529" s="20"/>
      <c r="E1529" s="20"/>
      <c r="F1529" s="20"/>
      <c r="G1529" s="20"/>
      <c r="H1529" s="20"/>
      <c r="I1529" s="20"/>
      <c r="J1529" s="20"/>
      <c r="K1529" s="20">
        <v>764.0</v>
      </c>
      <c r="L1529" s="20" t="s">
        <v>14</v>
      </c>
      <c r="M1529" s="20">
        <v>-37.03</v>
      </c>
      <c r="N1529" s="20">
        <v>0.47</v>
      </c>
      <c r="AS1529" s="20">
        <v>768.0</v>
      </c>
      <c r="AT1529" s="20" t="s">
        <v>14</v>
      </c>
      <c r="AU1529" s="20">
        <v>-16.58</v>
      </c>
      <c r="AV1529" s="20">
        <v>-4.54</v>
      </c>
      <c r="BM1529" s="20">
        <v>5.04</v>
      </c>
      <c r="BN1529" s="20">
        <v>149.13</v>
      </c>
    </row>
    <row r="1530">
      <c r="A1530" s="20"/>
      <c r="B1530" s="20"/>
      <c r="C1530" s="20"/>
      <c r="D1530" s="20"/>
      <c r="E1530" s="20"/>
      <c r="F1530" s="20"/>
      <c r="G1530" s="20"/>
      <c r="H1530" s="20"/>
      <c r="I1530" s="20"/>
      <c r="J1530" s="20"/>
      <c r="K1530" s="20">
        <v>764.0</v>
      </c>
      <c r="L1530" s="20" t="s">
        <v>17</v>
      </c>
      <c r="M1530" s="20">
        <v>-42.61</v>
      </c>
      <c r="N1530" s="20">
        <v>11.76</v>
      </c>
      <c r="AS1530" s="20">
        <v>768.0</v>
      </c>
      <c r="AT1530" s="20" t="s">
        <v>17</v>
      </c>
      <c r="AU1530" s="20">
        <v>-2.78</v>
      </c>
      <c r="AV1530" s="20">
        <v>-27.35</v>
      </c>
      <c r="BM1530" s="20">
        <v>55.78</v>
      </c>
      <c r="BN1530" s="20">
        <v>178.71</v>
      </c>
    </row>
    <row r="1531">
      <c r="A1531" s="20"/>
      <c r="B1531" s="20"/>
      <c r="C1531" s="20"/>
      <c r="D1531" s="20"/>
      <c r="E1531" s="20"/>
      <c r="F1531" s="20"/>
      <c r="G1531" s="20"/>
      <c r="H1531" s="20"/>
      <c r="I1531" s="20"/>
      <c r="J1531" s="20"/>
      <c r="K1531" s="20">
        <v>765.0</v>
      </c>
      <c r="L1531" s="20" t="s">
        <v>14</v>
      </c>
      <c r="M1531" s="20">
        <v>-13.31</v>
      </c>
      <c r="N1531" s="20">
        <v>7.59</v>
      </c>
    </row>
    <row r="1532">
      <c r="A1532" s="20"/>
      <c r="B1532" s="20"/>
      <c r="C1532" s="20"/>
      <c r="D1532" s="20"/>
      <c r="E1532" s="20"/>
      <c r="F1532" s="20"/>
      <c r="G1532" s="20"/>
      <c r="H1532" s="20"/>
      <c r="I1532" s="20"/>
      <c r="J1532" s="20"/>
      <c r="K1532" s="20">
        <v>765.0</v>
      </c>
      <c r="L1532" s="20" t="s">
        <v>17</v>
      </c>
      <c r="M1532" s="20">
        <v>-35.26</v>
      </c>
      <c r="N1532" s="20">
        <v>-16.99</v>
      </c>
    </row>
    <row r="1533">
      <c r="A1533" s="20"/>
      <c r="B1533" s="20"/>
      <c r="C1533" s="20"/>
      <c r="D1533" s="20"/>
      <c r="E1533" s="20"/>
      <c r="F1533" s="20"/>
      <c r="G1533" s="20"/>
      <c r="H1533" s="20"/>
      <c r="I1533" s="20"/>
      <c r="J1533" s="20"/>
      <c r="K1533" s="20">
        <v>766.0</v>
      </c>
      <c r="L1533" s="20" t="s">
        <v>14</v>
      </c>
      <c r="M1533" s="20">
        <v>-18.28</v>
      </c>
      <c r="N1533" s="20">
        <v>-13.88</v>
      </c>
    </row>
    <row r="1534">
      <c r="A1534" s="20"/>
      <c r="B1534" s="20"/>
      <c r="C1534" s="20"/>
      <c r="D1534" s="20"/>
      <c r="E1534" s="20"/>
      <c r="F1534" s="20"/>
      <c r="G1534" s="20"/>
      <c r="H1534" s="20"/>
      <c r="I1534" s="20"/>
      <c r="J1534" s="20"/>
      <c r="K1534" s="20">
        <v>766.0</v>
      </c>
      <c r="L1534" s="20" t="s">
        <v>17</v>
      </c>
      <c r="M1534" s="20">
        <v>-36.02</v>
      </c>
      <c r="N1534" s="20">
        <v>-17.61</v>
      </c>
    </row>
    <row r="1535">
      <c r="A1535" s="20"/>
      <c r="B1535" s="20"/>
      <c r="C1535" s="20"/>
      <c r="D1535" s="20"/>
      <c r="E1535" s="20"/>
      <c r="F1535" s="20"/>
      <c r="G1535" s="20"/>
      <c r="H1535" s="20"/>
      <c r="I1535" s="20"/>
      <c r="J1535" s="20"/>
      <c r="K1535" s="20">
        <v>767.0</v>
      </c>
      <c r="L1535" s="20" t="s">
        <v>14</v>
      </c>
      <c r="M1535" s="20">
        <v>11.56</v>
      </c>
      <c r="N1535" s="20">
        <v>20.63</v>
      </c>
    </row>
    <row r="1536">
      <c r="A1536" s="20"/>
      <c r="B1536" s="20"/>
      <c r="C1536" s="20"/>
      <c r="D1536" s="20"/>
      <c r="E1536" s="20"/>
      <c r="F1536" s="20"/>
      <c r="G1536" s="20"/>
      <c r="H1536" s="20"/>
      <c r="I1536" s="20"/>
      <c r="J1536" s="20"/>
      <c r="K1536" s="20">
        <v>767.0</v>
      </c>
      <c r="L1536" s="20" t="s">
        <v>17</v>
      </c>
      <c r="M1536" s="20">
        <v>-39.55</v>
      </c>
      <c r="N1536" s="20">
        <v>-22.15</v>
      </c>
    </row>
    <row r="1537">
      <c r="A1537" s="20"/>
      <c r="B1537" s="20"/>
      <c r="C1537" s="20"/>
      <c r="D1537" s="20"/>
      <c r="E1537" s="20"/>
      <c r="F1537" s="20"/>
      <c r="G1537" s="20"/>
      <c r="H1537" s="20"/>
      <c r="I1537" s="20"/>
      <c r="J1537" s="20"/>
      <c r="K1537" s="20">
        <v>768.0</v>
      </c>
      <c r="L1537" s="20" t="s">
        <v>14</v>
      </c>
      <c r="M1537" s="20">
        <v>-32.78</v>
      </c>
      <c r="N1537" s="20">
        <v>2.35</v>
      </c>
    </row>
    <row r="1538">
      <c r="A1538" s="20"/>
      <c r="B1538" s="20"/>
      <c r="C1538" s="20"/>
      <c r="D1538" s="20"/>
      <c r="E1538" s="20"/>
      <c r="F1538" s="20"/>
      <c r="G1538" s="20"/>
      <c r="H1538" s="20"/>
      <c r="I1538" s="20"/>
      <c r="J1538" s="20"/>
      <c r="K1538" s="20">
        <v>768.0</v>
      </c>
      <c r="L1538" s="20" t="s">
        <v>17</v>
      </c>
      <c r="M1538" s="20">
        <v>-42.15</v>
      </c>
      <c r="N1538" s="20">
        <v>-9.11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41"/>
      <c r="B1" s="142" t="s">
        <v>204</v>
      </c>
      <c r="C1" s="143"/>
      <c r="D1" s="143"/>
      <c r="E1" s="143"/>
      <c r="F1" s="143"/>
      <c r="G1" s="144" t="s">
        <v>205</v>
      </c>
      <c r="H1" s="143"/>
      <c r="I1" s="143"/>
      <c r="J1" s="143"/>
      <c r="K1" s="143"/>
      <c r="L1" s="143"/>
      <c r="M1" s="145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</row>
    <row r="2">
      <c r="A2" s="121" t="s">
        <v>3</v>
      </c>
      <c r="B2" s="147" t="s">
        <v>206</v>
      </c>
      <c r="C2" s="148" t="s">
        <v>207</v>
      </c>
      <c r="D2" s="148" t="s">
        <v>179</v>
      </c>
      <c r="E2" s="148" t="s">
        <v>208</v>
      </c>
      <c r="F2" s="149" t="s">
        <v>209</v>
      </c>
      <c r="G2" s="147">
        <v>1.0</v>
      </c>
      <c r="H2" s="148" t="s">
        <v>131</v>
      </c>
      <c r="I2" s="148">
        <v>2.0</v>
      </c>
      <c r="J2" s="148" t="s">
        <v>210</v>
      </c>
      <c r="K2" s="150" t="s">
        <v>211</v>
      </c>
      <c r="L2" s="148" t="s">
        <v>212</v>
      </c>
      <c r="M2" s="151" t="s">
        <v>213</v>
      </c>
      <c r="N2" s="122" t="s">
        <v>214</v>
      </c>
      <c r="O2" s="122" t="s">
        <v>215</v>
      </c>
      <c r="P2" s="122" t="s">
        <v>216</v>
      </c>
      <c r="Q2" s="146"/>
      <c r="R2" s="146"/>
      <c r="S2" s="102" t="s">
        <v>217</v>
      </c>
      <c r="T2" s="146"/>
      <c r="U2" s="146"/>
      <c r="V2" s="146"/>
      <c r="W2" s="146"/>
      <c r="X2" s="146"/>
      <c r="Y2" s="146"/>
      <c r="Z2" s="146"/>
      <c r="AA2" s="146"/>
      <c r="AB2" s="146"/>
      <c r="AC2" s="146"/>
      <c r="AD2" s="146"/>
      <c r="AE2" s="146"/>
      <c r="AF2" s="146"/>
      <c r="AG2" s="146"/>
    </row>
    <row r="3">
      <c r="A3" s="122"/>
      <c r="B3" s="152"/>
      <c r="C3" s="153"/>
      <c r="D3" s="153"/>
      <c r="E3" s="153"/>
      <c r="F3" s="154" t="str">
        <f t="shared" ref="F3:F22" si="1">IFERROR((E3-C3)/abs(C3),"")</f>
        <v/>
      </c>
      <c r="G3" s="146"/>
      <c r="H3" s="146"/>
      <c r="I3" s="146"/>
      <c r="J3" s="122"/>
      <c r="K3" s="155" t="str">
        <f t="shared" ref="K3:K22" si="2">IF(ISNUMBER(J3),J3/$E$29,"")</f>
        <v/>
      </c>
      <c r="L3" s="122"/>
      <c r="M3" s="155" t="str">
        <f t="shared" ref="M3:M22" si="3">IF(ISNUMBER(L3),L3/H3,"")</f>
        <v/>
      </c>
      <c r="N3" s="141"/>
      <c r="O3" s="122"/>
      <c r="P3" s="156"/>
      <c r="Q3" s="146"/>
      <c r="R3" s="146"/>
      <c r="S3" s="146"/>
      <c r="T3" s="146"/>
      <c r="U3" s="146"/>
      <c r="V3" s="146"/>
      <c r="W3" s="146"/>
      <c r="X3" s="146"/>
      <c r="Y3" s="146"/>
      <c r="Z3" s="146"/>
      <c r="AA3" s="146"/>
      <c r="AB3" s="146"/>
      <c r="AC3" s="146"/>
      <c r="AD3" s="146"/>
      <c r="AE3" s="146"/>
      <c r="AF3" s="146"/>
      <c r="AG3" s="146"/>
    </row>
    <row r="4">
      <c r="A4" s="122"/>
      <c r="B4" s="152"/>
      <c r="C4" s="153"/>
      <c r="D4" s="153"/>
      <c r="E4" s="153"/>
      <c r="F4" s="154" t="str">
        <f t="shared" si="1"/>
        <v/>
      </c>
      <c r="G4" s="146"/>
      <c r="H4" s="146"/>
      <c r="I4" s="146"/>
      <c r="J4" s="122"/>
      <c r="K4" s="155" t="str">
        <f t="shared" si="2"/>
        <v/>
      </c>
      <c r="L4" s="122"/>
      <c r="M4" s="155" t="str">
        <f t="shared" si="3"/>
        <v/>
      </c>
      <c r="N4" s="141"/>
      <c r="O4" s="122"/>
      <c r="P4" s="156"/>
      <c r="Q4" s="146"/>
      <c r="R4" s="146"/>
      <c r="S4" s="157" t="s">
        <v>218</v>
      </c>
      <c r="T4" s="158"/>
      <c r="Z4" s="30"/>
      <c r="AA4" s="30"/>
      <c r="AB4" s="30"/>
      <c r="AC4" s="30"/>
    </row>
    <row r="5">
      <c r="A5" s="16"/>
      <c r="B5" s="159"/>
      <c r="C5" s="82"/>
      <c r="D5" s="82"/>
      <c r="E5" s="82"/>
      <c r="F5" s="154" t="str">
        <f t="shared" si="1"/>
        <v/>
      </c>
      <c r="G5" s="146"/>
      <c r="H5" s="146"/>
      <c r="I5" s="146"/>
      <c r="J5" s="16"/>
      <c r="K5" s="155" t="str">
        <f t="shared" si="2"/>
        <v/>
      </c>
      <c r="L5" s="16"/>
      <c r="M5" s="155" t="str">
        <f t="shared" si="3"/>
        <v/>
      </c>
      <c r="N5" s="122"/>
      <c r="O5" s="75"/>
      <c r="P5" s="160"/>
      <c r="S5" s="158"/>
      <c r="T5" s="161" t="s">
        <v>219</v>
      </c>
    </row>
    <row r="6">
      <c r="A6" s="122"/>
      <c r="B6" s="152"/>
      <c r="C6" s="153"/>
      <c r="D6" s="153"/>
      <c r="E6" s="153"/>
      <c r="F6" s="154" t="str">
        <f t="shared" si="1"/>
        <v/>
      </c>
      <c r="G6" s="146"/>
      <c r="H6" s="146"/>
      <c r="I6" s="146"/>
      <c r="J6" s="122"/>
      <c r="K6" s="155" t="str">
        <f t="shared" si="2"/>
        <v/>
      </c>
      <c r="L6" s="122"/>
      <c r="M6" s="155" t="str">
        <f t="shared" si="3"/>
        <v/>
      </c>
      <c r="N6" s="141"/>
      <c r="O6" s="122"/>
      <c r="P6" s="156"/>
      <c r="Q6" s="146"/>
      <c r="R6" s="146"/>
      <c r="S6" s="158"/>
      <c r="T6" s="161" t="s">
        <v>220</v>
      </c>
      <c r="Z6" s="85"/>
      <c r="AD6" s="20" t="s">
        <v>221</v>
      </c>
    </row>
    <row r="7">
      <c r="A7" s="16"/>
      <c r="B7" s="159"/>
      <c r="C7" s="82"/>
      <c r="D7" s="82"/>
      <c r="E7" s="82"/>
      <c r="F7" s="154" t="str">
        <f t="shared" si="1"/>
        <v/>
      </c>
      <c r="G7" s="162"/>
      <c r="H7" s="75"/>
      <c r="I7" s="75"/>
      <c r="J7" s="75"/>
      <c r="K7" s="155" t="str">
        <f t="shared" si="2"/>
        <v/>
      </c>
      <c r="L7" s="75"/>
      <c r="M7" s="155" t="str">
        <f t="shared" si="3"/>
        <v/>
      </c>
      <c r="N7" s="16"/>
      <c r="O7" s="75"/>
      <c r="P7" s="163"/>
      <c r="AD7" s="161" t="s">
        <v>222</v>
      </c>
      <c r="AE7" s="158"/>
      <c r="AF7" s="158"/>
      <c r="AG7" s="158"/>
    </row>
    <row r="8">
      <c r="A8" s="16"/>
      <c r="B8" s="159"/>
      <c r="C8" s="82"/>
      <c r="D8" s="82"/>
      <c r="E8" s="82"/>
      <c r="F8" s="154" t="str">
        <f t="shared" si="1"/>
        <v/>
      </c>
      <c r="G8" s="162"/>
      <c r="H8" s="75"/>
      <c r="I8" s="75"/>
      <c r="J8" s="75"/>
      <c r="K8" s="155" t="str">
        <f t="shared" si="2"/>
        <v/>
      </c>
      <c r="L8" s="75"/>
      <c r="M8" s="155" t="str">
        <f t="shared" si="3"/>
        <v/>
      </c>
      <c r="N8" s="16"/>
      <c r="O8" s="75"/>
      <c r="P8" s="163"/>
      <c r="S8" s="161" t="s">
        <v>223</v>
      </c>
      <c r="AA8" s="85"/>
      <c r="AD8" s="161" t="s">
        <v>224</v>
      </c>
    </row>
    <row r="9">
      <c r="A9" s="122"/>
      <c r="B9" s="152"/>
      <c r="C9" s="153"/>
      <c r="D9" s="153"/>
      <c r="E9" s="153"/>
      <c r="F9" s="154" t="str">
        <f t="shared" si="1"/>
        <v/>
      </c>
      <c r="G9" s="146"/>
      <c r="H9" s="146"/>
      <c r="I9" s="146"/>
      <c r="J9" s="122"/>
      <c r="K9" s="155" t="str">
        <f t="shared" si="2"/>
        <v/>
      </c>
      <c r="L9" s="122"/>
      <c r="M9" s="155" t="str">
        <f t="shared" si="3"/>
        <v/>
      </c>
      <c r="N9" s="141"/>
      <c r="O9" s="122"/>
      <c r="P9" s="156"/>
      <c r="Q9" s="146"/>
      <c r="R9" s="146"/>
    </row>
    <row r="10">
      <c r="A10" s="16"/>
      <c r="B10" s="159"/>
      <c r="C10" s="82"/>
      <c r="D10" s="82"/>
      <c r="E10" s="82"/>
      <c r="F10" s="154" t="str">
        <f t="shared" si="1"/>
        <v/>
      </c>
      <c r="G10" s="146"/>
      <c r="H10" s="141"/>
      <c r="I10" s="146"/>
      <c r="J10" s="16"/>
      <c r="K10" s="155" t="str">
        <f t="shared" si="2"/>
        <v/>
      </c>
      <c r="L10" s="16"/>
      <c r="M10" s="155" t="str">
        <f t="shared" si="3"/>
        <v/>
      </c>
      <c r="N10" s="122"/>
      <c r="O10" s="75"/>
      <c r="P10" s="163"/>
      <c r="Z10" s="85"/>
    </row>
    <row r="11">
      <c r="A11" s="122"/>
      <c r="B11" s="152"/>
      <c r="C11" s="153"/>
      <c r="D11" s="153"/>
      <c r="E11" s="153"/>
      <c r="F11" s="154" t="str">
        <f t="shared" si="1"/>
        <v/>
      </c>
      <c r="G11" s="164"/>
      <c r="H11" s="141"/>
      <c r="I11" s="141"/>
      <c r="J11" s="122"/>
      <c r="K11" s="155" t="str">
        <f t="shared" si="2"/>
        <v/>
      </c>
      <c r="L11" s="122"/>
      <c r="M11" s="155" t="str">
        <f t="shared" si="3"/>
        <v/>
      </c>
      <c r="N11" s="122"/>
      <c r="O11" s="141"/>
      <c r="P11" s="165"/>
      <c r="Q11" s="146"/>
      <c r="R11" s="146"/>
    </row>
    <row r="12">
      <c r="A12" s="16"/>
      <c r="B12" s="159"/>
      <c r="C12" s="82"/>
      <c r="D12" s="82"/>
      <c r="E12" s="82"/>
      <c r="F12" s="154" t="str">
        <f t="shared" si="1"/>
        <v/>
      </c>
      <c r="G12" s="146"/>
      <c r="H12" s="146"/>
      <c r="I12" s="146"/>
      <c r="J12" s="16"/>
      <c r="K12" s="155" t="str">
        <f t="shared" si="2"/>
        <v/>
      </c>
      <c r="L12" s="16"/>
      <c r="M12" s="155" t="str">
        <f t="shared" si="3"/>
        <v/>
      </c>
      <c r="N12" s="122"/>
      <c r="O12" s="75"/>
      <c r="P12" s="163"/>
    </row>
    <row r="13">
      <c r="A13" s="122"/>
      <c r="B13" s="152"/>
      <c r="C13" s="153"/>
      <c r="D13" s="153"/>
      <c r="E13" s="153"/>
      <c r="F13" s="154" t="str">
        <f t="shared" si="1"/>
        <v/>
      </c>
      <c r="G13" s="164"/>
      <c r="H13" s="141"/>
      <c r="I13" s="141"/>
      <c r="J13" s="141"/>
      <c r="K13" s="155" t="str">
        <f t="shared" si="2"/>
        <v/>
      </c>
      <c r="L13" s="141"/>
      <c r="M13" s="155" t="str">
        <f t="shared" si="3"/>
        <v/>
      </c>
      <c r="N13" s="122"/>
      <c r="O13" s="141"/>
      <c r="P13" s="165"/>
      <c r="Q13" s="146"/>
      <c r="R13" s="146"/>
    </row>
    <row r="14">
      <c r="A14" s="16"/>
      <c r="B14" s="159"/>
      <c r="C14" s="82"/>
      <c r="D14" s="82"/>
      <c r="E14" s="82"/>
      <c r="F14" s="154" t="str">
        <f t="shared" si="1"/>
        <v/>
      </c>
      <c r="G14" s="162"/>
      <c r="H14" s="75"/>
      <c r="I14" s="75"/>
      <c r="J14" s="75"/>
      <c r="K14" s="155" t="str">
        <f t="shared" si="2"/>
        <v/>
      </c>
      <c r="L14" s="75"/>
      <c r="M14" s="155" t="str">
        <f t="shared" si="3"/>
        <v/>
      </c>
      <c r="N14" s="16"/>
      <c r="O14" s="75"/>
      <c r="P14" s="163"/>
    </row>
    <row r="15">
      <c r="A15" s="16"/>
      <c r="B15" s="159"/>
      <c r="C15" s="82"/>
      <c r="D15" s="82"/>
      <c r="E15" s="82"/>
      <c r="F15" s="154" t="str">
        <f t="shared" si="1"/>
        <v/>
      </c>
      <c r="G15" s="162"/>
      <c r="H15" s="75"/>
      <c r="I15" s="75"/>
      <c r="J15" s="75"/>
      <c r="K15" s="155" t="str">
        <f t="shared" si="2"/>
        <v/>
      </c>
      <c r="L15" s="75"/>
      <c r="M15" s="155" t="str">
        <f t="shared" si="3"/>
        <v/>
      </c>
      <c r="N15" s="122"/>
      <c r="O15" s="75"/>
      <c r="P15" s="163"/>
      <c r="S15" s="20" t="s">
        <v>225</v>
      </c>
    </row>
    <row r="16">
      <c r="A16" s="16"/>
      <c r="B16" s="159"/>
      <c r="C16" s="82"/>
      <c r="D16" s="82"/>
      <c r="E16" s="82"/>
      <c r="F16" s="154" t="str">
        <f t="shared" si="1"/>
        <v/>
      </c>
      <c r="G16" s="162"/>
      <c r="H16" s="75"/>
      <c r="I16" s="75"/>
      <c r="J16" s="75"/>
      <c r="K16" s="155" t="str">
        <f t="shared" si="2"/>
        <v/>
      </c>
      <c r="L16" s="75"/>
      <c r="M16" s="155" t="str">
        <f t="shared" si="3"/>
        <v/>
      </c>
      <c r="N16" s="122"/>
      <c r="O16" s="75"/>
      <c r="P16" s="163"/>
    </row>
    <row r="17">
      <c r="A17" s="16"/>
      <c r="B17" s="159"/>
      <c r="C17" s="82"/>
      <c r="D17" s="82"/>
      <c r="E17" s="82"/>
      <c r="F17" s="154" t="str">
        <f t="shared" si="1"/>
        <v/>
      </c>
      <c r="G17" s="162"/>
      <c r="H17" s="75"/>
      <c r="I17" s="75"/>
      <c r="J17" s="75"/>
      <c r="K17" s="155" t="str">
        <f t="shared" si="2"/>
        <v/>
      </c>
      <c r="L17" s="75"/>
      <c r="M17" s="155" t="str">
        <f t="shared" si="3"/>
        <v/>
      </c>
      <c r="N17" s="122"/>
      <c r="O17" s="75"/>
      <c r="P17" s="163"/>
    </row>
    <row r="18">
      <c r="A18" s="16"/>
      <c r="B18" s="159"/>
      <c r="C18" s="82"/>
      <c r="D18" s="82"/>
      <c r="E18" s="82"/>
      <c r="F18" s="154" t="str">
        <f t="shared" si="1"/>
        <v/>
      </c>
      <c r="G18" s="162"/>
      <c r="H18" s="75"/>
      <c r="I18" s="75"/>
      <c r="J18" s="75"/>
      <c r="K18" s="155" t="str">
        <f t="shared" si="2"/>
        <v/>
      </c>
      <c r="L18" s="75"/>
      <c r="M18" s="155" t="str">
        <f t="shared" si="3"/>
        <v/>
      </c>
      <c r="N18" s="16"/>
      <c r="O18" s="75"/>
      <c r="P18" s="163"/>
    </row>
    <row r="19">
      <c r="A19" s="122"/>
      <c r="B19" s="152"/>
      <c r="C19" s="153"/>
      <c r="D19" s="153"/>
      <c r="E19" s="153"/>
      <c r="F19" s="154" t="str">
        <f t="shared" si="1"/>
        <v/>
      </c>
      <c r="G19" s="164"/>
      <c r="H19" s="141"/>
      <c r="I19" s="141"/>
      <c r="J19" s="122"/>
      <c r="K19" s="155" t="str">
        <f t="shared" si="2"/>
        <v/>
      </c>
      <c r="L19" s="122"/>
      <c r="M19" s="155" t="str">
        <f t="shared" si="3"/>
        <v/>
      </c>
      <c r="N19" s="16"/>
      <c r="O19" s="141"/>
      <c r="P19" s="165"/>
      <c r="Q19" s="146"/>
      <c r="R19" s="146"/>
      <c r="S19" s="20" t="s">
        <v>226</v>
      </c>
    </row>
    <row r="20">
      <c r="A20" s="21"/>
      <c r="B20" s="13"/>
      <c r="C20" s="13"/>
      <c r="D20" s="13"/>
      <c r="E20" s="13"/>
      <c r="F20" s="154" t="str">
        <f t="shared" si="1"/>
        <v/>
      </c>
      <c r="G20" s="17"/>
      <c r="H20" s="17"/>
      <c r="I20" s="17"/>
      <c r="J20" s="17"/>
      <c r="K20" s="155" t="str">
        <f t="shared" si="2"/>
        <v/>
      </c>
      <c r="L20" s="17"/>
      <c r="M20" s="155" t="str">
        <f t="shared" si="3"/>
        <v/>
      </c>
      <c r="N20" s="16"/>
      <c r="O20" s="17"/>
      <c r="P20" s="166"/>
    </row>
    <row r="21">
      <c r="A21" s="21"/>
      <c r="B21" s="13"/>
      <c r="C21" s="13"/>
      <c r="D21" s="13"/>
      <c r="E21" s="13"/>
      <c r="F21" s="154" t="str">
        <f t="shared" si="1"/>
        <v/>
      </c>
      <c r="G21" s="17"/>
      <c r="H21" s="17"/>
      <c r="I21" s="17"/>
      <c r="J21" s="17"/>
      <c r="K21" s="155" t="str">
        <f t="shared" si="2"/>
        <v/>
      </c>
      <c r="L21" s="17"/>
      <c r="M21" s="155" t="str">
        <f t="shared" si="3"/>
        <v/>
      </c>
      <c r="N21" s="16"/>
      <c r="O21" s="17"/>
      <c r="P21" s="166"/>
    </row>
    <row r="22">
      <c r="A22" s="4"/>
      <c r="B22" s="61"/>
      <c r="C22" s="61"/>
      <c r="D22" s="61"/>
      <c r="E22" s="61"/>
      <c r="F22" s="154" t="str">
        <f t="shared" si="1"/>
        <v/>
      </c>
      <c r="G22" s="146"/>
      <c r="H22" s="146"/>
      <c r="I22" s="146"/>
      <c r="J22" s="146"/>
      <c r="K22" s="155" t="str">
        <f t="shared" si="2"/>
        <v/>
      </c>
      <c r="L22" s="146"/>
      <c r="M22" s="155" t="str">
        <f t="shared" si="3"/>
        <v/>
      </c>
      <c r="N22" s="122"/>
      <c r="O22" s="146"/>
      <c r="P22" s="146"/>
      <c r="Q22" s="146"/>
      <c r="R22" s="146"/>
      <c r="S22" s="146"/>
      <c r="T22" s="146"/>
      <c r="U22" s="146"/>
      <c r="V22" s="146"/>
      <c r="W22" s="146"/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</row>
    <row r="23">
      <c r="A23" s="146"/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  <c r="Y23" s="146"/>
      <c r="Z23" s="146"/>
      <c r="AA23" s="146"/>
      <c r="AB23" s="146"/>
      <c r="AC23" s="146"/>
      <c r="AD23" s="146"/>
      <c r="AE23" s="146"/>
      <c r="AF23" s="146"/>
      <c r="AG23" s="146"/>
    </row>
    <row r="24">
      <c r="A24" s="102" t="s">
        <v>171</v>
      </c>
      <c r="B24" s="167" t="str">
        <f t="shared" ref="B24:F24" si="4">IFERROR(AVERAGE(B3:B22),"")</f>
        <v/>
      </c>
      <c r="C24" s="167" t="str">
        <f t="shared" si="4"/>
        <v/>
      </c>
      <c r="D24" s="167" t="str">
        <f t="shared" si="4"/>
        <v/>
      </c>
      <c r="E24" s="167" t="str">
        <f t="shared" si="4"/>
        <v/>
      </c>
      <c r="F24" s="167" t="str">
        <f t="shared" si="4"/>
        <v/>
      </c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9" t="s">
        <v>16</v>
      </c>
      <c r="T24" s="20">
        <v>145.0</v>
      </c>
      <c r="U24" s="20">
        <v>145.0</v>
      </c>
      <c r="V24" s="146"/>
      <c r="W24" s="146"/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</row>
    <row r="25">
      <c r="A25" s="146"/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9" t="s">
        <v>18</v>
      </c>
      <c r="T25" s="20">
        <v>1172.0</v>
      </c>
      <c r="U25" s="20">
        <v>518.0</v>
      </c>
      <c r="V25" s="146"/>
      <c r="W25" s="146"/>
      <c r="X25" s="146"/>
      <c r="Y25" s="146"/>
      <c r="Z25" s="146"/>
      <c r="AA25" s="146"/>
      <c r="AB25" s="146"/>
      <c r="AC25" s="146"/>
      <c r="AD25" s="146"/>
      <c r="AE25" s="146"/>
      <c r="AF25" s="146"/>
      <c r="AG25" s="146"/>
    </row>
    <row r="26">
      <c r="A26" s="146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6" t="s">
        <v>19</v>
      </c>
      <c r="T26" s="20">
        <v>411.0</v>
      </c>
      <c r="U26" s="20">
        <v>812.0</v>
      </c>
      <c r="V26" s="146"/>
      <c r="W26" s="146"/>
      <c r="X26" s="146"/>
      <c r="Y26" s="146"/>
      <c r="Z26" s="146"/>
      <c r="AA26" s="146"/>
      <c r="AB26" s="146"/>
      <c r="AC26" s="146"/>
      <c r="AD26" s="146"/>
      <c r="AE26" s="146"/>
      <c r="AF26" s="146"/>
      <c r="AG26" s="146"/>
    </row>
    <row r="27">
      <c r="A27" s="146"/>
      <c r="B27" s="146"/>
      <c r="C27" s="146"/>
      <c r="D27" s="146"/>
      <c r="E27" s="146"/>
      <c r="F27" s="146"/>
      <c r="G27" s="168" t="s">
        <v>227</v>
      </c>
      <c r="H27" s="146"/>
      <c r="I27" s="146"/>
      <c r="J27" s="146"/>
      <c r="K27" s="146"/>
      <c r="L27" s="146"/>
      <c r="M27" s="146"/>
      <c r="O27" s="146"/>
      <c r="P27" s="146"/>
      <c r="Q27" s="146"/>
      <c r="R27" s="146"/>
      <c r="S27" s="16" t="s">
        <v>20</v>
      </c>
      <c r="T27" s="20">
        <v>1267.0</v>
      </c>
      <c r="U27" s="20">
        <v>1023.0</v>
      </c>
      <c r="V27" s="146"/>
      <c r="W27" s="146"/>
      <c r="X27" s="146"/>
      <c r="Y27" s="146"/>
      <c r="Z27" s="146"/>
      <c r="AA27" s="146"/>
      <c r="AB27" s="146"/>
      <c r="AC27" s="146"/>
      <c r="AD27" s="146"/>
      <c r="AE27" s="146"/>
      <c r="AF27" s="146"/>
      <c r="AG27" s="146"/>
    </row>
    <row r="28">
      <c r="A28" s="146"/>
      <c r="B28" s="146"/>
      <c r="C28" s="146"/>
      <c r="D28" s="146"/>
      <c r="E28" s="146"/>
      <c r="F28" s="146"/>
      <c r="G28" s="169">
        <v>1.0</v>
      </c>
      <c r="H28" s="169" t="s">
        <v>131</v>
      </c>
      <c r="I28" s="169">
        <v>2.0</v>
      </c>
      <c r="J28" s="146"/>
      <c r="K28" s="146"/>
      <c r="L28" s="146"/>
      <c r="M28" s="146"/>
      <c r="O28" s="146"/>
      <c r="P28" s="146"/>
      <c r="Q28" s="146"/>
      <c r="R28" s="146"/>
      <c r="S28" s="16" t="s">
        <v>21</v>
      </c>
      <c r="T28" s="20">
        <v>770.0</v>
      </c>
      <c r="U28" s="20">
        <v>1263.0</v>
      </c>
      <c r="V28" s="146"/>
      <c r="W28" s="146"/>
      <c r="X28" s="146"/>
      <c r="Y28" s="146"/>
      <c r="Z28" s="146"/>
      <c r="AA28" s="146"/>
      <c r="AB28" s="146"/>
      <c r="AC28" s="146"/>
      <c r="AD28" s="146"/>
      <c r="AE28" s="146"/>
      <c r="AF28" s="146"/>
      <c r="AG28" s="146"/>
    </row>
    <row r="29">
      <c r="A29" s="146"/>
      <c r="B29" s="146"/>
      <c r="C29" s="146"/>
      <c r="D29" s="4" t="s">
        <v>228</v>
      </c>
      <c r="E29" s="4">
        <f>J29</f>
        <v>146</v>
      </c>
      <c r="F29" s="146"/>
      <c r="G29" s="170">
        <v>59.0</v>
      </c>
      <c r="H29" s="170">
        <v>33.0</v>
      </c>
      <c r="I29" s="170">
        <v>54.0</v>
      </c>
      <c r="J29" s="146">
        <f>SUM(G29:I29)</f>
        <v>146</v>
      </c>
      <c r="K29" s="146"/>
      <c r="L29" s="102" t="s">
        <v>229</v>
      </c>
      <c r="M29" s="102" t="s">
        <v>230</v>
      </c>
      <c r="O29" s="4">
        <v>1.0</v>
      </c>
      <c r="P29" s="146">
        <f t="shared" ref="P29:P31" si="6">COUNTIF($M$30:$M1001,O29)</f>
        <v>54</v>
      </c>
      <c r="R29" s="146"/>
      <c r="S29" s="146"/>
      <c r="T29" s="146"/>
      <c r="U29" s="146"/>
      <c r="V29" s="146"/>
      <c r="W29" s="146"/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</row>
    <row r="30">
      <c r="A30" s="146"/>
      <c r="B30" s="146"/>
      <c r="C30" s="146"/>
      <c r="D30" s="146"/>
      <c r="E30" s="146"/>
      <c r="F30" s="146"/>
      <c r="G30" s="171">
        <f t="shared" ref="G30:I30" si="5">G29/$J$29</f>
        <v>0.404109589</v>
      </c>
      <c r="H30" s="171">
        <f t="shared" si="5"/>
        <v>0.2260273973</v>
      </c>
      <c r="I30" s="171">
        <f t="shared" si="5"/>
        <v>0.3698630137</v>
      </c>
      <c r="J30" s="146"/>
      <c r="K30" s="146"/>
      <c r="L30" s="4">
        <v>0.0</v>
      </c>
      <c r="M30" s="4">
        <v>2.0</v>
      </c>
      <c r="O30" s="4">
        <v>0.0</v>
      </c>
      <c r="P30" s="146">
        <f t="shared" si="6"/>
        <v>23</v>
      </c>
      <c r="R30" s="146"/>
      <c r="S30" s="146"/>
      <c r="T30" s="146"/>
      <c r="U30" s="146"/>
      <c r="V30" s="146"/>
      <c r="W30" s="146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</row>
    <row r="31">
      <c r="A31" s="146"/>
      <c r="B31" s="146"/>
      <c r="C31" s="146"/>
      <c r="D31" s="146"/>
      <c r="E31" s="146"/>
      <c r="F31" s="146"/>
      <c r="K31" s="146"/>
      <c r="L31" s="4">
        <v>2.0</v>
      </c>
      <c r="M31" s="4">
        <v>2.0</v>
      </c>
      <c r="O31" s="4">
        <v>2.0</v>
      </c>
      <c r="P31" s="146">
        <f t="shared" si="6"/>
        <v>69</v>
      </c>
      <c r="R31" s="146"/>
      <c r="S31" s="102" t="s">
        <v>231</v>
      </c>
      <c r="T31" s="146"/>
      <c r="U31" s="146"/>
      <c r="V31" s="146"/>
      <c r="W31" s="146"/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</row>
    <row r="32">
      <c r="A32" s="146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4">
        <v>2.0</v>
      </c>
      <c r="M32" s="4">
        <v>2.0</v>
      </c>
      <c r="O32" s="146"/>
      <c r="P32" s="146"/>
      <c r="R32" s="146"/>
      <c r="S32" s="146"/>
      <c r="T32" s="146"/>
      <c r="U32" s="146"/>
      <c r="V32" s="146"/>
      <c r="W32" s="146"/>
      <c r="X32" s="146"/>
      <c r="Y32" s="146"/>
      <c r="Z32" s="146"/>
      <c r="AA32" s="146"/>
      <c r="AB32" s="146"/>
      <c r="AC32" s="146"/>
      <c r="AD32" s="146"/>
      <c r="AE32" s="146"/>
      <c r="AF32" s="146"/>
      <c r="AG32" s="146"/>
    </row>
    <row r="33">
      <c r="A33" s="146"/>
      <c r="B33" s="146"/>
      <c r="C33" s="146"/>
      <c r="D33" s="146"/>
      <c r="E33" s="146"/>
      <c r="F33" s="146"/>
      <c r="G33" s="105" t="s">
        <v>232</v>
      </c>
      <c r="J33" s="146"/>
      <c r="K33" s="146"/>
      <c r="L33" s="4">
        <v>2.0</v>
      </c>
      <c r="M33" s="4">
        <v>2.0</v>
      </c>
      <c r="O33" s="146"/>
      <c r="P33" s="146"/>
      <c r="R33" s="146"/>
      <c r="T33" s="51" t="s">
        <v>233</v>
      </c>
      <c r="W33" s="20" t="s">
        <v>234</v>
      </c>
      <c r="AA33" s="30"/>
      <c r="AD33" s="146"/>
      <c r="AE33" s="146"/>
      <c r="AF33" s="146"/>
      <c r="AG33" s="146"/>
    </row>
    <row r="34">
      <c r="A34" s="146"/>
      <c r="B34" s="146"/>
      <c r="C34" s="146"/>
      <c r="D34" s="146"/>
      <c r="E34" s="146"/>
      <c r="F34" s="146"/>
      <c r="G34" s="172">
        <v>1.0</v>
      </c>
      <c r="H34" s="172" t="s">
        <v>131</v>
      </c>
      <c r="I34" s="172">
        <v>2.0</v>
      </c>
      <c r="J34" s="146"/>
      <c r="K34" s="146"/>
      <c r="L34" s="4">
        <v>0.0</v>
      </c>
      <c r="M34" s="4">
        <v>0.0</v>
      </c>
      <c r="N34" s="146"/>
      <c r="O34" s="146"/>
      <c r="P34" s="146"/>
      <c r="R34" s="146"/>
      <c r="S34" s="34" t="s">
        <v>16</v>
      </c>
      <c r="T34" s="100">
        <v>1626.0</v>
      </c>
      <c r="U34" s="100" t="s">
        <v>235</v>
      </c>
      <c r="W34" s="20">
        <v>5193.0</v>
      </c>
      <c r="AD34" s="146"/>
      <c r="AE34" s="146"/>
      <c r="AF34" s="146"/>
      <c r="AG34" s="146"/>
    </row>
    <row r="35">
      <c r="A35" s="146"/>
      <c r="B35" s="146"/>
      <c r="C35" s="146"/>
      <c r="D35" s="146"/>
      <c r="E35" s="146"/>
      <c r="F35" s="146"/>
      <c r="G35" s="173">
        <v>0.485</v>
      </c>
      <c r="H35" s="173">
        <v>0.285</v>
      </c>
      <c r="I35" s="173">
        <v>0.23</v>
      </c>
      <c r="J35" s="146"/>
      <c r="K35" s="146"/>
      <c r="L35" s="4">
        <v>2.0</v>
      </c>
      <c r="M35" s="4">
        <v>2.0</v>
      </c>
      <c r="N35" s="146"/>
      <c r="O35" s="146"/>
      <c r="P35" s="146"/>
      <c r="R35" s="146"/>
      <c r="S35" s="34" t="s">
        <v>18</v>
      </c>
      <c r="T35" s="100">
        <v>4176.0</v>
      </c>
      <c r="U35" s="100" t="s">
        <v>235</v>
      </c>
      <c r="W35" s="20">
        <v>4863.0</v>
      </c>
      <c r="AD35" s="146"/>
      <c r="AE35" s="146"/>
      <c r="AF35" s="146"/>
      <c r="AG35" s="146"/>
    </row>
    <row r="36">
      <c r="A36" s="146"/>
      <c r="B36" s="146"/>
      <c r="C36" s="146"/>
      <c r="D36" s="146"/>
      <c r="E36" s="146"/>
      <c r="F36" s="146"/>
      <c r="G36" s="17">
        <f t="shared" ref="G36:I36" si="7">ROUND(G35*$E$29,0)</f>
        <v>71</v>
      </c>
      <c r="H36" s="17">
        <f t="shared" si="7"/>
        <v>42</v>
      </c>
      <c r="I36" s="17">
        <f t="shared" si="7"/>
        <v>34</v>
      </c>
      <c r="J36" s="146"/>
      <c r="K36" s="146"/>
      <c r="L36" s="4">
        <v>2.0</v>
      </c>
      <c r="M36" s="4">
        <v>2.0</v>
      </c>
      <c r="N36" s="174"/>
      <c r="O36" s="146"/>
      <c r="P36" s="146"/>
      <c r="R36" s="146"/>
      <c r="S36" s="20" t="s">
        <v>19</v>
      </c>
      <c r="T36" s="100">
        <v>5130.0</v>
      </c>
      <c r="U36" s="175"/>
      <c r="W36" s="20">
        <v>3032.0</v>
      </c>
      <c r="AD36" s="146"/>
      <c r="AE36" s="146"/>
      <c r="AF36" s="146"/>
      <c r="AG36" s="146"/>
    </row>
    <row r="37">
      <c r="A37" s="146"/>
      <c r="B37" s="146"/>
      <c r="C37" s="146"/>
      <c r="D37" s="146"/>
      <c r="E37" s="146"/>
      <c r="F37" s="146"/>
      <c r="J37" s="146"/>
      <c r="K37" s="146"/>
      <c r="L37" s="4">
        <v>2.0</v>
      </c>
      <c r="M37" s="4">
        <v>2.0</v>
      </c>
      <c r="N37" s="174"/>
      <c r="O37" s="146"/>
      <c r="P37" s="146"/>
      <c r="Q37" s="146"/>
      <c r="R37" s="146"/>
      <c r="S37" s="20" t="s">
        <v>20</v>
      </c>
      <c r="T37" s="100">
        <v>2114.0</v>
      </c>
      <c r="U37" s="175"/>
      <c r="W37" s="20">
        <v>2114.0</v>
      </c>
      <c r="AD37" s="146"/>
      <c r="AE37" s="146"/>
      <c r="AF37" s="146"/>
      <c r="AG37" s="146"/>
    </row>
    <row r="38">
      <c r="A38" s="146"/>
      <c r="B38" s="146"/>
      <c r="C38" s="146"/>
      <c r="D38" s="146"/>
      <c r="E38" s="146"/>
      <c r="F38" s="4" t="s">
        <v>236</v>
      </c>
      <c r="G38" s="171">
        <f t="shared" ref="G38:I38" si="8">G30-G35</f>
        <v>-0.08089041096</v>
      </c>
      <c r="H38" s="171">
        <f t="shared" si="8"/>
        <v>-0.05897260274</v>
      </c>
      <c r="I38" s="171">
        <f t="shared" si="8"/>
        <v>0.1398630137</v>
      </c>
      <c r="J38" s="146"/>
      <c r="K38" s="146"/>
      <c r="L38" s="4">
        <v>1.0</v>
      </c>
      <c r="M38" s="4">
        <v>0.0</v>
      </c>
      <c r="N38" s="174"/>
      <c r="O38" s="146"/>
      <c r="P38" s="146"/>
      <c r="Q38" s="146"/>
      <c r="R38" s="146"/>
      <c r="S38" s="20" t="s">
        <v>21</v>
      </c>
      <c r="T38" s="175"/>
      <c r="U38" s="175"/>
      <c r="W38" s="20">
        <v>240.0</v>
      </c>
      <c r="AD38" s="146"/>
      <c r="AE38" s="146"/>
      <c r="AF38" s="146"/>
      <c r="AG38" s="146"/>
    </row>
    <row r="39">
      <c r="A39" s="146"/>
      <c r="B39" s="146"/>
      <c r="C39" s="146"/>
      <c r="D39" s="146"/>
      <c r="E39" s="146"/>
      <c r="K39" s="146"/>
      <c r="L39" s="4">
        <v>1.0</v>
      </c>
      <c r="M39" s="4">
        <v>1.0</v>
      </c>
      <c r="N39" s="174"/>
      <c r="O39" s="146"/>
      <c r="P39" s="146"/>
      <c r="Q39" s="146"/>
      <c r="R39" s="146"/>
      <c r="U39" s="20"/>
      <c r="AD39" s="146"/>
      <c r="AE39" s="146"/>
      <c r="AF39" s="146"/>
      <c r="AG39" s="146"/>
    </row>
    <row r="40">
      <c r="A40" s="146"/>
      <c r="B40" s="146"/>
      <c r="C40" s="146"/>
      <c r="D40" s="146"/>
      <c r="E40" s="146"/>
      <c r="K40" s="146"/>
      <c r="L40" s="4">
        <v>1.0</v>
      </c>
      <c r="M40" s="4">
        <v>1.0</v>
      </c>
      <c r="N40" s="174"/>
      <c r="O40" s="146"/>
      <c r="P40" s="146"/>
      <c r="Q40" s="146"/>
      <c r="R40" s="146"/>
      <c r="U40" s="20"/>
      <c r="AD40" s="146"/>
      <c r="AE40" s="146"/>
      <c r="AF40" s="146"/>
      <c r="AG40" s="146"/>
    </row>
    <row r="41">
      <c r="A41" s="146"/>
      <c r="B41" s="146"/>
      <c r="C41" s="146"/>
      <c r="D41" s="146"/>
      <c r="E41" s="146"/>
      <c r="K41" s="146"/>
      <c r="L41" s="4">
        <v>1.0</v>
      </c>
      <c r="M41" s="4">
        <v>1.0</v>
      </c>
      <c r="N41" s="174"/>
      <c r="O41" s="146"/>
      <c r="P41" s="146"/>
      <c r="Q41" s="146"/>
      <c r="R41" s="146"/>
      <c r="U41" s="20"/>
      <c r="AD41" s="146"/>
      <c r="AE41" s="146"/>
      <c r="AF41" s="146"/>
      <c r="AG41" s="146"/>
    </row>
    <row r="42">
      <c r="A42" s="146"/>
      <c r="B42" s="146"/>
      <c r="C42" s="146"/>
      <c r="D42" s="146"/>
      <c r="E42" s="146"/>
      <c r="K42" s="146"/>
      <c r="L42" s="4">
        <v>0.0</v>
      </c>
      <c r="M42" s="4">
        <v>1.0</v>
      </c>
      <c r="N42" s="174"/>
      <c r="O42" s="146"/>
      <c r="P42" s="146"/>
      <c r="Q42" s="146"/>
      <c r="R42" s="146"/>
      <c r="U42" s="20"/>
      <c r="AD42" s="146"/>
      <c r="AE42" s="146"/>
      <c r="AF42" s="146"/>
      <c r="AG42" s="146"/>
    </row>
    <row r="43">
      <c r="A43" s="146"/>
      <c r="B43" s="146"/>
      <c r="C43" s="146"/>
      <c r="D43" s="146"/>
      <c r="E43" s="146"/>
      <c r="K43" s="146"/>
      <c r="L43" s="4">
        <v>1.0</v>
      </c>
      <c r="M43" s="4">
        <v>0.0</v>
      </c>
      <c r="N43" s="174"/>
      <c r="O43" s="146"/>
      <c r="P43" s="146"/>
      <c r="Q43" s="146"/>
      <c r="R43" s="146"/>
      <c r="U43" s="20"/>
      <c r="AD43" s="146"/>
      <c r="AE43" s="146"/>
      <c r="AF43" s="146"/>
      <c r="AG43" s="146"/>
    </row>
    <row r="44">
      <c r="A44" s="146"/>
      <c r="B44" s="146"/>
      <c r="C44" s="146"/>
      <c r="D44" s="146"/>
      <c r="E44" s="146"/>
      <c r="K44" s="146"/>
      <c r="L44" s="4">
        <v>2.0</v>
      </c>
      <c r="M44" s="4">
        <v>2.0</v>
      </c>
      <c r="N44" s="174"/>
      <c r="O44" s="146"/>
      <c r="P44" s="146"/>
      <c r="Q44" s="146"/>
      <c r="R44" s="146"/>
      <c r="AD44" s="146"/>
      <c r="AE44" s="146"/>
      <c r="AF44" s="146"/>
      <c r="AG44" s="146"/>
    </row>
    <row r="45">
      <c r="A45" s="146"/>
      <c r="B45" s="146"/>
      <c r="C45" s="146"/>
      <c r="D45" s="146"/>
      <c r="E45" s="146"/>
      <c r="K45" s="146"/>
      <c r="L45" s="4">
        <v>2.0</v>
      </c>
      <c r="M45" s="4">
        <v>2.0</v>
      </c>
      <c r="N45" s="174"/>
      <c r="O45" s="146"/>
      <c r="P45" s="146"/>
      <c r="Q45" s="146"/>
      <c r="R45" s="146"/>
      <c r="T45" s="161" t="s">
        <v>237</v>
      </c>
      <c r="AD45" s="146"/>
      <c r="AE45" s="146"/>
      <c r="AF45" s="146"/>
      <c r="AG45" s="146"/>
    </row>
    <row r="46">
      <c r="A46" s="146"/>
      <c r="B46" s="146"/>
      <c r="C46" s="146"/>
      <c r="D46" s="146"/>
      <c r="E46" s="146"/>
      <c r="K46" s="146"/>
      <c r="L46" s="4">
        <v>1.0</v>
      </c>
      <c r="M46" s="4">
        <v>1.0</v>
      </c>
      <c r="N46" s="174"/>
      <c r="O46" s="146"/>
      <c r="P46" s="146"/>
      <c r="Q46" s="146"/>
      <c r="R46" s="146"/>
      <c r="AD46" s="146"/>
      <c r="AE46" s="146"/>
      <c r="AF46" s="146"/>
      <c r="AG46" s="146"/>
    </row>
    <row r="47">
      <c r="A47" s="146"/>
      <c r="B47" s="146"/>
      <c r="C47" s="146"/>
      <c r="D47" s="146"/>
      <c r="E47" s="146"/>
      <c r="K47" s="146"/>
      <c r="L47" s="4">
        <v>1.0</v>
      </c>
      <c r="M47" s="4">
        <v>1.0</v>
      </c>
      <c r="N47" s="174"/>
      <c r="O47" s="146"/>
      <c r="P47" s="146"/>
      <c r="Q47" s="146"/>
      <c r="R47" s="146"/>
      <c r="S47" s="146"/>
      <c r="T47" s="146"/>
      <c r="U47" s="146"/>
      <c r="V47" s="146"/>
      <c r="W47" s="146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</row>
    <row r="48">
      <c r="A48" s="146"/>
      <c r="B48" s="146"/>
      <c r="C48" s="146"/>
      <c r="D48" s="146"/>
      <c r="E48" s="146"/>
      <c r="K48" s="146"/>
      <c r="L48" s="4">
        <v>2.0</v>
      </c>
      <c r="M48" s="4">
        <v>2.0</v>
      </c>
      <c r="N48" s="174"/>
      <c r="O48" s="146"/>
      <c r="P48" s="146"/>
      <c r="Q48" s="146"/>
      <c r="R48" s="146"/>
      <c r="S48" s="146"/>
      <c r="T48" s="146"/>
      <c r="U48" s="146"/>
      <c r="V48" s="146"/>
      <c r="W48" s="146"/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</row>
    <row r="49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4">
        <v>1.0</v>
      </c>
      <c r="M49" s="4">
        <v>0.0</v>
      </c>
      <c r="N49" s="174"/>
      <c r="O49" s="146"/>
      <c r="P49" s="146"/>
      <c r="Q49" s="146"/>
      <c r="R49" s="146"/>
      <c r="S49" s="146" t="s">
        <v>0</v>
      </c>
      <c r="T49" s="146" t="s">
        <v>1</v>
      </c>
      <c r="U49" s="4" t="s">
        <v>2</v>
      </c>
      <c r="V49" s="4" t="s">
        <v>3</v>
      </c>
      <c r="W49" s="4" t="s">
        <v>4</v>
      </c>
      <c r="X49" s="4" t="s">
        <v>62</v>
      </c>
      <c r="Y49" s="4" t="s">
        <v>43</v>
      </c>
      <c r="Z49" s="4" t="s">
        <v>47</v>
      </c>
      <c r="AA49" s="4" t="s">
        <v>48</v>
      </c>
      <c r="AB49" s="4" t="s">
        <v>49</v>
      </c>
      <c r="AC49" s="4" t="s">
        <v>50</v>
      </c>
      <c r="AD49" s="4" t="s">
        <v>45</v>
      </c>
      <c r="AE49" s="61" t="s">
        <v>64</v>
      </c>
      <c r="AF49" s="61" t="s">
        <v>44</v>
      </c>
      <c r="AG49" s="61" t="s">
        <v>238</v>
      </c>
    </row>
    <row r="50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4">
        <v>2.0</v>
      </c>
      <c r="M50" s="4">
        <v>2.0</v>
      </c>
      <c r="N50" s="174"/>
      <c r="O50" s="146"/>
      <c r="P50" s="146"/>
      <c r="Q50" s="146"/>
      <c r="R50" s="146"/>
      <c r="S50" s="176">
        <v>6.0</v>
      </c>
      <c r="T50" s="146" t="s">
        <v>13</v>
      </c>
      <c r="U50" s="177">
        <v>45685.0</v>
      </c>
      <c r="V50" s="4">
        <v>616.0</v>
      </c>
      <c r="W50" s="4" t="s">
        <v>14</v>
      </c>
      <c r="X50" s="61">
        <v>584.10821479406</v>
      </c>
      <c r="Y50" s="61"/>
      <c r="Z50" s="4">
        <v>70.0</v>
      </c>
      <c r="AA50" s="4">
        <v>45.0</v>
      </c>
      <c r="AB50" s="4">
        <v>10.0</v>
      </c>
      <c r="AC50" s="146"/>
      <c r="AD50" s="146"/>
      <c r="AE50" s="61">
        <v>31833.0939389723</v>
      </c>
      <c r="AF50" s="61">
        <v>54.49862394110609</v>
      </c>
      <c r="AG50" s="61"/>
    </row>
    <row r="51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4">
        <v>0.0</v>
      </c>
      <c r="M51" s="4">
        <v>2.0</v>
      </c>
      <c r="N51" s="174"/>
      <c r="O51" s="146"/>
      <c r="P51" s="146"/>
      <c r="Q51" s="146"/>
      <c r="R51" s="146"/>
      <c r="S51" s="4">
        <v>167.0</v>
      </c>
      <c r="T51" s="4" t="s">
        <v>15</v>
      </c>
      <c r="U51" s="177"/>
      <c r="V51" s="177"/>
      <c r="W51" s="177"/>
      <c r="X51" s="146"/>
      <c r="Y51" s="146"/>
      <c r="Z51" s="146"/>
      <c r="AA51" s="146"/>
      <c r="AB51" s="146"/>
      <c r="AC51" s="146"/>
      <c r="AD51" s="4"/>
      <c r="AE51" s="178"/>
      <c r="AF51" s="178"/>
      <c r="AG51" s="178"/>
    </row>
    <row r="52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4">
        <v>2.0</v>
      </c>
      <c r="M52" s="4">
        <v>2.0</v>
      </c>
      <c r="N52" s="174"/>
      <c r="O52" s="146"/>
      <c r="P52" s="146"/>
      <c r="Q52" s="146"/>
      <c r="R52" s="146"/>
      <c r="S52" s="176">
        <v>48.0</v>
      </c>
      <c r="T52" s="146" t="s">
        <v>16</v>
      </c>
      <c r="U52" s="177">
        <v>45719.0</v>
      </c>
      <c r="V52" s="4">
        <v>5193.0</v>
      </c>
      <c r="W52" s="4" t="s">
        <v>14</v>
      </c>
      <c r="X52" s="179">
        <v>1.41003293517905</v>
      </c>
      <c r="Y52" s="61">
        <v>80.0</v>
      </c>
      <c r="Z52" s="4"/>
      <c r="AA52" s="4"/>
      <c r="AB52" s="4"/>
      <c r="AC52" s="61"/>
      <c r="AD52" s="178">
        <v>12.0</v>
      </c>
      <c r="AE52" s="61">
        <v>18.3811167659873</v>
      </c>
      <c r="AF52" s="180">
        <v>13.03594852814783</v>
      </c>
      <c r="AG52" s="61" t="s">
        <v>239</v>
      </c>
    </row>
    <row r="53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4">
        <v>1.0</v>
      </c>
      <c r="M53" s="4">
        <v>2.0</v>
      </c>
      <c r="N53" s="174"/>
      <c r="O53" s="146"/>
      <c r="P53" s="146"/>
      <c r="Q53" s="146"/>
      <c r="R53" s="146"/>
      <c r="S53" s="4">
        <v>55.0</v>
      </c>
      <c r="T53" s="146" t="s">
        <v>18</v>
      </c>
      <c r="U53" s="177">
        <v>45719.0</v>
      </c>
      <c r="V53" s="4">
        <v>4863.0</v>
      </c>
      <c r="W53" s="4" t="s">
        <v>14</v>
      </c>
      <c r="X53" s="179">
        <v>1.63203401219684</v>
      </c>
      <c r="Y53" s="61">
        <v>65.0</v>
      </c>
      <c r="Z53" s="61"/>
      <c r="AA53" s="61"/>
      <c r="AB53" s="61"/>
      <c r="AC53" s="61"/>
      <c r="AD53" s="178">
        <v>9.75</v>
      </c>
      <c r="AE53" s="61">
        <v>10.2684969590418</v>
      </c>
      <c r="AF53" s="180">
        <v>6.291840048860032</v>
      </c>
      <c r="AG53" s="61" t="s">
        <v>239</v>
      </c>
    </row>
    <row r="54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4">
        <v>2.0</v>
      </c>
      <c r="M54" s="4">
        <v>2.0</v>
      </c>
      <c r="N54" s="174"/>
      <c r="O54" s="146"/>
      <c r="P54" s="146"/>
      <c r="Q54" s="146"/>
      <c r="R54" s="146"/>
      <c r="S54" s="4">
        <v>59.0</v>
      </c>
      <c r="T54" s="4" t="s">
        <v>19</v>
      </c>
      <c r="U54" s="177">
        <v>45720.0</v>
      </c>
      <c r="V54" s="4">
        <v>3032.0</v>
      </c>
      <c r="W54" s="4" t="s">
        <v>14</v>
      </c>
      <c r="X54" s="179">
        <v>1.06853835846173</v>
      </c>
      <c r="Y54" s="61">
        <v>110.0</v>
      </c>
      <c r="Z54" s="61"/>
      <c r="AA54" s="61"/>
      <c r="AB54" s="61"/>
      <c r="AC54" s="61"/>
      <c r="AD54" s="178">
        <v>16.5</v>
      </c>
      <c r="AE54" s="61">
        <v>2.911074683344</v>
      </c>
      <c r="AF54" s="180">
        <v>2.7243520649411117</v>
      </c>
      <c r="AG54" s="61" t="s">
        <v>239</v>
      </c>
    </row>
    <row r="55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4">
        <v>2.0</v>
      </c>
      <c r="M55" s="4">
        <v>2.0</v>
      </c>
      <c r="N55" s="174"/>
      <c r="O55" s="146"/>
      <c r="P55" s="146"/>
      <c r="Q55" s="146"/>
      <c r="R55" s="146"/>
      <c r="S55" s="4">
        <v>77.0</v>
      </c>
      <c r="T55" s="4" t="s">
        <v>20</v>
      </c>
      <c r="U55" s="177">
        <v>45720.0</v>
      </c>
      <c r="V55" s="4">
        <v>2114.0</v>
      </c>
      <c r="W55" s="4" t="s">
        <v>14</v>
      </c>
      <c r="X55" s="179">
        <v>1.09822611282299</v>
      </c>
      <c r="Y55" s="61">
        <v>40.0</v>
      </c>
      <c r="Z55" s="4"/>
      <c r="AA55" s="4"/>
      <c r="AB55" s="4"/>
      <c r="AC55" s="61"/>
      <c r="AD55" s="178">
        <v>6.0</v>
      </c>
      <c r="AE55" s="61">
        <v>2.35349633471392</v>
      </c>
      <c r="AF55" s="180">
        <v>2.1429979739456915</v>
      </c>
      <c r="AG55" s="61" t="s">
        <v>239</v>
      </c>
    </row>
    <row r="56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4">
        <v>1.0</v>
      </c>
      <c r="M56" s="4">
        <v>1.0</v>
      </c>
      <c r="N56" s="174"/>
      <c r="O56" s="146"/>
      <c r="P56" s="146"/>
      <c r="Q56" s="146"/>
      <c r="R56" s="146"/>
      <c r="S56" s="4">
        <v>148.0</v>
      </c>
      <c r="T56" s="4" t="s">
        <v>21</v>
      </c>
      <c r="U56" s="177">
        <v>45720.0</v>
      </c>
      <c r="V56" s="4">
        <v>240.0</v>
      </c>
      <c r="W56" s="4" t="s">
        <v>14</v>
      </c>
      <c r="X56" s="179">
        <v>1.06829550473903</v>
      </c>
      <c r="Y56" s="61">
        <v>110.0</v>
      </c>
      <c r="Z56" s="4"/>
      <c r="AA56" s="4"/>
      <c r="AB56" s="4"/>
      <c r="AC56" s="61"/>
      <c r="AD56" s="178">
        <v>16.5</v>
      </c>
      <c r="AE56" s="61">
        <v>4.25215839444752</v>
      </c>
      <c r="AF56" s="180">
        <v>3.98032040346951</v>
      </c>
      <c r="AG56" s="61" t="s">
        <v>239</v>
      </c>
    </row>
    <row r="57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4">
        <v>2.0</v>
      </c>
      <c r="M57" s="4">
        <v>1.0</v>
      </c>
      <c r="N57" s="174"/>
      <c r="O57" s="146"/>
      <c r="P57" s="146"/>
      <c r="Q57" s="146"/>
      <c r="R57" s="146"/>
      <c r="S57" s="146"/>
      <c r="T57" s="146"/>
      <c r="U57" s="146"/>
      <c r="V57" s="146"/>
      <c r="W57" s="146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</row>
    <row r="58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4">
        <v>1.0</v>
      </c>
      <c r="M58" s="4">
        <v>1.0</v>
      </c>
      <c r="N58" s="174"/>
      <c r="O58" s="146"/>
      <c r="P58" s="146"/>
      <c r="Q58" s="146"/>
      <c r="R58" s="146"/>
      <c r="S58" s="146"/>
      <c r="T58" s="146"/>
      <c r="U58" s="146"/>
      <c r="V58" s="146"/>
      <c r="W58" s="146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</row>
    <row r="59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4">
        <v>0.0</v>
      </c>
      <c r="M59" s="4">
        <v>1.0</v>
      </c>
      <c r="N59" s="174"/>
      <c r="O59" s="146"/>
      <c r="P59" s="146"/>
      <c r="Q59" s="146"/>
      <c r="R59" s="146"/>
      <c r="S59" s="146"/>
      <c r="T59" s="146"/>
      <c r="U59" s="146"/>
      <c r="V59" s="146"/>
      <c r="W59" s="146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</row>
    <row r="60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4">
        <v>2.0</v>
      </c>
      <c r="M60" s="4">
        <v>0.0</v>
      </c>
      <c r="N60" s="174"/>
      <c r="O60" s="146"/>
      <c r="P60" s="146"/>
      <c r="Q60" s="146"/>
      <c r="R60" s="146"/>
      <c r="S60" s="146"/>
      <c r="T60" s="146"/>
      <c r="U60" s="146"/>
      <c r="V60" s="146"/>
      <c r="W60" s="146"/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</row>
    <row r="61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4">
        <v>0.0</v>
      </c>
      <c r="M61" s="4">
        <v>1.0</v>
      </c>
      <c r="N61" s="174"/>
      <c r="O61" s="146"/>
      <c r="P61" s="146"/>
      <c r="Q61" s="146"/>
      <c r="R61" s="146"/>
      <c r="S61" s="146"/>
      <c r="T61" s="146"/>
      <c r="U61" s="146"/>
      <c r="V61" s="146"/>
      <c r="W61" s="146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</row>
    <row r="62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4">
        <v>2.0</v>
      </c>
      <c r="M62" s="4">
        <v>0.0</v>
      </c>
      <c r="N62" s="174"/>
      <c r="O62" s="146"/>
      <c r="P62" s="146"/>
      <c r="Q62" s="146"/>
      <c r="R62" s="146"/>
      <c r="S62" s="146"/>
      <c r="U62" s="20" t="s">
        <v>240</v>
      </c>
      <c r="V62" s="20" t="s">
        <v>241</v>
      </c>
      <c r="AC62" s="146"/>
      <c r="AD62" s="146"/>
      <c r="AE62" s="146"/>
      <c r="AF62" s="146"/>
      <c r="AG62" s="146"/>
    </row>
    <row r="63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4">
        <v>0.0</v>
      </c>
      <c r="M63" s="4">
        <v>1.0</v>
      </c>
      <c r="N63" s="174"/>
      <c r="O63" s="146"/>
      <c r="P63" s="146"/>
      <c r="Q63" s="146"/>
      <c r="R63" s="146"/>
      <c r="S63" s="146"/>
      <c r="T63" s="19" t="s">
        <v>16</v>
      </c>
      <c r="U63" s="20">
        <v>2434.0</v>
      </c>
      <c r="V63" s="20">
        <v>2165.0</v>
      </c>
      <c r="W63" s="20" t="s">
        <v>242</v>
      </c>
      <c r="AC63" s="146"/>
      <c r="AD63" s="146"/>
      <c r="AE63" s="146"/>
      <c r="AF63" s="146"/>
      <c r="AG63" s="146"/>
    </row>
    <row r="64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4">
        <v>0.0</v>
      </c>
      <c r="M64" s="4">
        <v>1.0</v>
      </c>
      <c r="N64" s="174"/>
      <c r="O64" s="146"/>
      <c r="P64" s="146"/>
      <c r="Q64" s="146"/>
      <c r="R64" s="146"/>
      <c r="S64" s="146"/>
      <c r="T64" s="19" t="s">
        <v>18</v>
      </c>
      <c r="U64" s="20">
        <v>4863.0</v>
      </c>
      <c r="V64" s="20">
        <v>4522.0</v>
      </c>
      <c r="AC64" s="146"/>
      <c r="AD64" s="146"/>
      <c r="AE64" s="146"/>
      <c r="AF64" s="146"/>
      <c r="AG64" s="146"/>
    </row>
    <row r="65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4">
        <v>0.0</v>
      </c>
      <c r="M65" s="4">
        <v>1.0</v>
      </c>
      <c r="N65" s="174"/>
      <c r="O65" s="146"/>
      <c r="P65" s="146"/>
      <c r="Q65" s="146"/>
      <c r="R65" s="146"/>
      <c r="S65" s="146"/>
      <c r="T65" s="16" t="s">
        <v>19</v>
      </c>
      <c r="U65" s="20">
        <v>4954.0</v>
      </c>
      <c r="V65" s="20">
        <v>4486.0</v>
      </c>
      <c r="AC65" s="146"/>
      <c r="AD65" s="146"/>
      <c r="AE65" s="146"/>
      <c r="AF65" s="146"/>
      <c r="AG65" s="146"/>
    </row>
    <row r="66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4">
        <v>0.0</v>
      </c>
      <c r="M66" s="4">
        <v>2.0</v>
      </c>
      <c r="N66" s="174"/>
      <c r="O66" s="146"/>
      <c r="P66" s="146"/>
      <c r="Q66" s="146"/>
      <c r="R66" s="146"/>
      <c r="S66" s="146"/>
      <c r="T66" s="16" t="s">
        <v>20</v>
      </c>
      <c r="U66" s="20">
        <v>5132.0</v>
      </c>
      <c r="V66" s="20">
        <v>4605.0</v>
      </c>
      <c r="AC66" s="146"/>
      <c r="AD66" s="146"/>
      <c r="AE66" s="146"/>
      <c r="AF66" s="146"/>
      <c r="AG66" s="146"/>
    </row>
    <row r="67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4">
        <v>1.0</v>
      </c>
      <c r="M67" s="4">
        <v>2.0</v>
      </c>
      <c r="N67" s="174"/>
      <c r="O67" s="146"/>
      <c r="P67" s="146"/>
      <c r="Q67" s="146"/>
      <c r="R67" s="146"/>
      <c r="S67" s="146"/>
      <c r="T67" s="16" t="s">
        <v>21</v>
      </c>
      <c r="U67" s="20">
        <v>3490.0</v>
      </c>
      <c r="V67" s="20">
        <v>5142.0</v>
      </c>
      <c r="AC67" s="146"/>
      <c r="AD67" s="146"/>
      <c r="AE67" s="146"/>
      <c r="AF67" s="146"/>
      <c r="AG67" s="146"/>
    </row>
    <row r="68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4">
        <v>2.0</v>
      </c>
      <c r="M68" s="4">
        <v>2.0</v>
      </c>
      <c r="N68" s="174"/>
      <c r="O68" s="146"/>
      <c r="P68" s="146"/>
      <c r="Q68" s="146"/>
      <c r="R68" s="146"/>
      <c r="S68" s="146"/>
      <c r="AC68" s="146"/>
      <c r="AD68" s="146"/>
      <c r="AE68" s="146"/>
      <c r="AF68" s="146"/>
      <c r="AG68" s="146"/>
    </row>
    <row r="69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4">
        <v>1.0</v>
      </c>
      <c r="M69" s="4">
        <v>2.0</v>
      </c>
      <c r="N69" s="174"/>
      <c r="O69" s="146"/>
      <c r="P69" s="146"/>
      <c r="Q69" s="146"/>
      <c r="R69" s="146"/>
      <c r="S69" s="146"/>
      <c r="T69" s="146"/>
      <c r="U69" s="146"/>
      <c r="V69" s="146"/>
      <c r="W69" s="146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</row>
    <row r="70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4">
        <v>2.0</v>
      </c>
      <c r="M70" s="4">
        <v>2.0</v>
      </c>
      <c r="N70" s="174"/>
      <c r="O70" s="146"/>
      <c r="P70" s="146"/>
      <c r="Q70" s="146"/>
      <c r="R70" s="146"/>
      <c r="S70" s="146"/>
      <c r="T70" s="146"/>
      <c r="U70" s="19" t="s">
        <v>16</v>
      </c>
      <c r="V70" s="100">
        <v>3526.0</v>
      </c>
      <c r="W70" s="100">
        <v>3574.0</v>
      </c>
      <c r="X70" s="45">
        <v>4764.0</v>
      </c>
      <c r="Y70" s="146"/>
      <c r="Z70" s="146"/>
      <c r="AA70" s="146"/>
      <c r="AB70" s="146"/>
      <c r="AC70" s="146"/>
      <c r="AD70" s="146"/>
      <c r="AE70" s="146"/>
      <c r="AF70" s="146"/>
      <c r="AG70" s="146"/>
    </row>
    <row r="71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4">
        <v>1.0</v>
      </c>
      <c r="M71" s="4">
        <v>1.0</v>
      </c>
      <c r="N71" s="174"/>
      <c r="O71" s="146"/>
      <c r="P71" s="146"/>
      <c r="Q71" s="146"/>
      <c r="R71" s="146"/>
      <c r="S71" s="146"/>
      <c r="T71" s="146"/>
      <c r="U71" s="19" t="s">
        <v>18</v>
      </c>
      <c r="V71" s="45">
        <v>4522.0</v>
      </c>
      <c r="Y71" s="146"/>
      <c r="Z71" s="146"/>
      <c r="AA71" s="146"/>
      <c r="AB71" s="146"/>
      <c r="AC71" s="146"/>
      <c r="AD71" s="146"/>
      <c r="AE71" s="146"/>
      <c r="AF71" s="146"/>
      <c r="AG71" s="146"/>
    </row>
    <row r="72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4">
        <v>2.0</v>
      </c>
      <c r="M72" s="4">
        <v>2.0</v>
      </c>
      <c r="N72" s="174"/>
      <c r="O72" s="146"/>
      <c r="P72" s="146"/>
      <c r="Q72" s="146"/>
      <c r="R72" s="146"/>
      <c r="S72" s="146"/>
      <c r="T72" s="146"/>
      <c r="U72" s="16" t="s">
        <v>19</v>
      </c>
      <c r="V72" s="40">
        <v>5130.0</v>
      </c>
      <c r="W72" s="45">
        <v>4486.0</v>
      </c>
      <c r="Y72" s="146"/>
      <c r="Z72" s="146"/>
      <c r="AA72" s="146"/>
      <c r="AB72" s="146"/>
      <c r="AC72" s="146"/>
      <c r="AD72" s="146"/>
      <c r="AE72" s="146"/>
      <c r="AF72" s="146"/>
      <c r="AG72" s="146"/>
    </row>
    <row r="73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4">
        <v>1.0</v>
      </c>
      <c r="M73" s="4">
        <v>2.0</v>
      </c>
      <c r="N73" s="146"/>
      <c r="O73" s="146"/>
      <c r="P73" s="146"/>
      <c r="Q73" s="146"/>
      <c r="R73" s="146"/>
      <c r="S73" s="146"/>
      <c r="T73" s="146"/>
      <c r="U73" s="16" t="s">
        <v>20</v>
      </c>
      <c r="V73" s="45">
        <v>2516.0</v>
      </c>
      <c r="W73" s="20">
        <v>2114.0</v>
      </c>
      <c r="Y73" s="146"/>
      <c r="Z73" s="146"/>
      <c r="AA73" s="146"/>
      <c r="AB73" s="146"/>
      <c r="AC73" s="146"/>
      <c r="AD73" s="146"/>
      <c r="AE73" s="146"/>
      <c r="AF73" s="146"/>
      <c r="AG73" s="146"/>
    </row>
    <row r="74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4">
        <v>2.0</v>
      </c>
      <c r="M74" s="4">
        <v>1.0</v>
      </c>
      <c r="N74" s="146"/>
      <c r="O74" s="146"/>
      <c r="P74" s="146"/>
      <c r="Q74" s="146"/>
      <c r="R74" s="146"/>
      <c r="S74" s="146"/>
      <c r="T74" s="146"/>
      <c r="U74" s="16" t="s">
        <v>21</v>
      </c>
      <c r="V74" s="100">
        <v>5142.0</v>
      </c>
      <c r="W74" s="45">
        <v>5132.0</v>
      </c>
      <c r="Y74" s="146"/>
      <c r="Z74" s="146"/>
      <c r="AA74" s="146"/>
      <c r="AB74" s="146"/>
      <c r="AC74" s="146"/>
      <c r="AD74" s="146"/>
      <c r="AE74" s="146"/>
      <c r="AF74" s="146"/>
      <c r="AG74" s="146"/>
    </row>
    <row r="75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4">
        <v>1.0</v>
      </c>
      <c r="M75" s="4">
        <v>0.0</v>
      </c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  <c r="Y75" s="146"/>
      <c r="Z75" s="146"/>
      <c r="AA75" s="146"/>
      <c r="AB75" s="146"/>
      <c r="AC75" s="146"/>
      <c r="AD75" s="146"/>
      <c r="AE75" s="146"/>
      <c r="AF75" s="146"/>
      <c r="AG75" s="146"/>
    </row>
    <row r="76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4">
        <v>1.0</v>
      </c>
      <c r="M76" s="4">
        <v>1.0</v>
      </c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  <c r="Y76" s="146"/>
      <c r="Z76" s="146"/>
      <c r="AA76" s="146"/>
      <c r="AB76" s="146"/>
      <c r="AC76" s="146"/>
      <c r="AD76" s="146"/>
      <c r="AE76" s="146"/>
      <c r="AF76" s="146"/>
      <c r="AG76" s="146"/>
    </row>
    <row r="77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4">
        <v>1.0</v>
      </c>
      <c r="M77" s="4">
        <v>1.0</v>
      </c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  <c r="Y77" s="146"/>
      <c r="Z77" s="146"/>
      <c r="AA77" s="146"/>
      <c r="AB77" s="146"/>
      <c r="AC77" s="146"/>
      <c r="AD77" s="146"/>
      <c r="AE77" s="146"/>
      <c r="AF77" s="146"/>
      <c r="AG77" s="146"/>
    </row>
    <row r="78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4">
        <v>0.0</v>
      </c>
      <c r="M78" s="4">
        <v>0.0</v>
      </c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  <c r="Y78" s="146"/>
      <c r="Z78" s="146"/>
      <c r="AA78" s="146"/>
      <c r="AB78" s="146"/>
      <c r="AC78" s="146"/>
      <c r="AD78" s="146"/>
      <c r="AE78" s="146"/>
      <c r="AF78" s="146"/>
      <c r="AG78" s="146"/>
    </row>
    <row r="79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4">
        <v>1.0</v>
      </c>
      <c r="M79" s="4">
        <v>1.0</v>
      </c>
      <c r="N79" s="146"/>
      <c r="O79" s="146"/>
      <c r="P79" s="146"/>
      <c r="Q79" s="146"/>
      <c r="R79" s="146"/>
      <c r="S79" s="146"/>
      <c r="T79" s="102" t="s">
        <v>243</v>
      </c>
      <c r="U79" s="146"/>
      <c r="V79" s="146"/>
      <c r="W79" s="146"/>
      <c r="X79" s="146"/>
      <c r="Y79" s="146"/>
      <c r="Z79" s="146"/>
      <c r="AA79" s="146"/>
      <c r="AB79" s="146"/>
      <c r="AC79" s="146"/>
      <c r="AD79" s="146"/>
      <c r="AE79" s="146"/>
      <c r="AF79" s="146"/>
      <c r="AG79" s="146"/>
    </row>
    <row r="80">
      <c r="A80" s="146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4">
        <v>2.0</v>
      </c>
      <c r="M80" s="4">
        <v>2.0</v>
      </c>
      <c r="N80" s="146"/>
      <c r="O80" s="146"/>
      <c r="P80" s="146"/>
      <c r="Q80" s="146"/>
      <c r="R80" s="146"/>
      <c r="S80" s="146"/>
      <c r="T80" s="20" t="s">
        <v>244</v>
      </c>
      <c r="U80" s="17"/>
      <c r="V80" s="17"/>
      <c r="W80" s="17"/>
      <c r="X80" s="17"/>
      <c r="Y80" s="17"/>
      <c r="AA80" s="66"/>
      <c r="AB80" s="146"/>
      <c r="AC80" s="146"/>
      <c r="AD80" s="146"/>
      <c r="AE80" s="146"/>
      <c r="AF80" s="146"/>
      <c r="AG80" s="146"/>
    </row>
    <row r="81">
      <c r="A81" s="146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4">
        <v>1.0</v>
      </c>
      <c r="M81" s="4">
        <v>1.0</v>
      </c>
      <c r="N81" s="146"/>
      <c r="O81" s="146"/>
      <c r="P81" s="146"/>
      <c r="Q81" s="146"/>
      <c r="R81" s="146"/>
      <c r="S81" s="146"/>
      <c r="T81" s="40">
        <v>3836.0</v>
      </c>
      <c r="V81" s="19" t="s">
        <v>16</v>
      </c>
      <c r="W81" s="20">
        <v>100.0</v>
      </c>
      <c r="X81" s="20">
        <v>80.0</v>
      </c>
      <c r="Y81" s="21">
        <v>100.0</v>
      </c>
      <c r="Z81" s="66">
        <f t="shared" ref="Z81:Z85" si="9">AVERAGE(W81:Y81)</f>
        <v>93.33333333</v>
      </c>
      <c r="AA81" s="28">
        <f>Z81*'Data preparation'!$C$2</f>
        <v>9.333333333</v>
      </c>
      <c r="AB81" s="146"/>
      <c r="AC81" s="146"/>
      <c r="AD81" s="146"/>
      <c r="AE81" s="146"/>
      <c r="AF81" s="146"/>
      <c r="AG81" s="146"/>
    </row>
    <row r="82">
      <c r="A82" s="146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4">
        <v>2.0</v>
      </c>
      <c r="M82" s="4">
        <v>2.0</v>
      </c>
      <c r="N82" s="146"/>
      <c r="O82" s="146"/>
      <c r="P82" s="146"/>
      <c r="Q82" s="146"/>
      <c r="R82" s="146"/>
      <c r="S82" s="146"/>
      <c r="T82" s="40">
        <v>3960.0</v>
      </c>
      <c r="V82" s="19" t="s">
        <v>18</v>
      </c>
      <c r="W82" s="20">
        <v>80.0</v>
      </c>
      <c r="X82" s="20">
        <v>120.0</v>
      </c>
      <c r="Y82" s="21">
        <v>120.0</v>
      </c>
      <c r="Z82" s="66">
        <f t="shared" si="9"/>
        <v>106.6666667</v>
      </c>
      <c r="AA82" s="28">
        <f>Z82*'Data preparation'!$C$2</f>
        <v>10.66666667</v>
      </c>
      <c r="AB82" s="146"/>
      <c r="AC82" s="146"/>
      <c r="AD82" s="146"/>
      <c r="AE82" s="146"/>
      <c r="AF82" s="146"/>
      <c r="AG82" s="146"/>
    </row>
    <row r="83">
      <c r="A83" s="146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4">
        <v>1.0</v>
      </c>
      <c r="M83" s="4">
        <v>1.0</v>
      </c>
      <c r="N83" s="146"/>
      <c r="O83" s="146"/>
      <c r="P83" s="146"/>
      <c r="Q83" s="146"/>
      <c r="R83" s="146"/>
      <c r="S83" s="146"/>
      <c r="T83" s="45">
        <v>3032.0</v>
      </c>
      <c r="V83" s="16" t="s">
        <v>19</v>
      </c>
      <c r="W83" s="20">
        <v>80.0</v>
      </c>
      <c r="X83" s="20">
        <v>120.0</v>
      </c>
      <c r="Y83" s="21">
        <v>120.0</v>
      </c>
      <c r="Z83" s="66">
        <f t="shared" si="9"/>
        <v>106.6666667</v>
      </c>
      <c r="AA83" s="28">
        <f>Z83*'Data preparation'!$C$2</f>
        <v>10.66666667</v>
      </c>
      <c r="AB83" s="146"/>
      <c r="AC83" s="146"/>
      <c r="AD83" s="146"/>
      <c r="AE83" s="146"/>
      <c r="AF83" s="146"/>
      <c r="AG83" s="146"/>
    </row>
    <row r="84">
      <c r="A84" s="146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4">
        <v>1.0</v>
      </c>
      <c r="M84" s="4">
        <v>1.0</v>
      </c>
      <c r="N84" s="146"/>
      <c r="O84" s="146"/>
      <c r="P84" s="146"/>
      <c r="Q84" s="146"/>
      <c r="R84" s="146"/>
      <c r="S84" s="146"/>
      <c r="T84" s="45">
        <v>2114.0</v>
      </c>
      <c r="V84" s="16" t="s">
        <v>20</v>
      </c>
      <c r="W84" s="20">
        <v>120.0</v>
      </c>
      <c r="X84" s="20">
        <v>80.0</v>
      </c>
      <c r="Y84" s="21">
        <v>80.0</v>
      </c>
      <c r="Z84" s="66">
        <f t="shared" si="9"/>
        <v>93.33333333</v>
      </c>
      <c r="AA84" s="28">
        <f>Z84*'Data preparation'!$C$2</f>
        <v>9.333333333</v>
      </c>
      <c r="AB84" s="146"/>
      <c r="AC84" s="146"/>
      <c r="AD84" s="146"/>
      <c r="AE84" s="146"/>
      <c r="AF84" s="146"/>
      <c r="AG84" s="146"/>
    </row>
    <row r="85">
      <c r="A85" s="146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4">
        <v>2.0</v>
      </c>
      <c r="M85" s="4">
        <v>2.0</v>
      </c>
      <c r="N85" s="146"/>
      <c r="O85" s="146"/>
      <c r="P85" s="146"/>
      <c r="Q85" s="146"/>
      <c r="R85" s="146"/>
      <c r="S85" s="146"/>
      <c r="T85" s="45">
        <v>870.0</v>
      </c>
      <c r="V85" s="16" t="s">
        <v>21</v>
      </c>
      <c r="W85" s="20">
        <v>130.0</v>
      </c>
      <c r="X85" s="20">
        <v>130.0</v>
      </c>
      <c r="Y85" s="21">
        <v>70.0</v>
      </c>
      <c r="Z85" s="66">
        <f t="shared" si="9"/>
        <v>110</v>
      </c>
      <c r="AA85" s="28">
        <f>Z85*'Data preparation'!$C$2</f>
        <v>11</v>
      </c>
      <c r="AB85" s="146"/>
      <c r="AC85" s="146"/>
      <c r="AD85" s="146"/>
      <c r="AE85" s="146"/>
      <c r="AF85" s="146"/>
      <c r="AG85" s="146"/>
    </row>
    <row r="86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4">
        <v>2.0</v>
      </c>
      <c r="M86" s="4">
        <v>2.0</v>
      </c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</row>
    <row r="87">
      <c r="A87" s="146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4">
        <v>1.0</v>
      </c>
      <c r="M87" s="4">
        <v>1.0</v>
      </c>
      <c r="N87" s="146"/>
      <c r="O87" s="146"/>
      <c r="P87" s="146"/>
      <c r="Q87" s="146"/>
      <c r="R87" s="146"/>
      <c r="S87" s="146"/>
      <c r="T87" s="146"/>
      <c r="U87" s="146"/>
      <c r="V87" s="146"/>
      <c r="W87" s="146"/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</row>
    <row r="88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4">
        <v>1.0</v>
      </c>
      <c r="M88" s="4">
        <v>2.0</v>
      </c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</row>
    <row r="89">
      <c r="A89" s="146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4">
        <v>2.0</v>
      </c>
      <c r="M89" s="4">
        <v>2.0</v>
      </c>
      <c r="N89" s="146"/>
      <c r="O89" s="146"/>
      <c r="P89" s="146"/>
      <c r="Q89" s="146"/>
      <c r="R89" s="146"/>
      <c r="S89" s="146"/>
      <c r="T89" s="146"/>
      <c r="U89" s="146"/>
      <c r="V89" s="146"/>
      <c r="W89" s="146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</row>
    <row r="90">
      <c r="A90" s="146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4">
        <v>1.0</v>
      </c>
      <c r="M90" s="4">
        <v>2.0</v>
      </c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  <c r="Y90" s="146"/>
      <c r="Z90" s="146"/>
      <c r="AA90" s="146"/>
      <c r="AB90" s="146"/>
      <c r="AC90" s="146"/>
      <c r="AD90" s="146"/>
      <c r="AE90" s="146"/>
      <c r="AF90" s="146"/>
      <c r="AG90" s="146"/>
    </row>
    <row r="91">
      <c r="A91" s="146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4">
        <v>0.0</v>
      </c>
      <c r="M91" s="4">
        <v>2.0</v>
      </c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  <c r="Y91" s="146"/>
      <c r="Z91" s="146"/>
      <c r="AA91" s="146"/>
      <c r="AB91" s="146"/>
      <c r="AC91" s="146"/>
      <c r="AD91" s="146"/>
      <c r="AE91" s="146"/>
      <c r="AF91" s="146"/>
      <c r="AG91" s="146"/>
    </row>
    <row r="92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4">
        <v>0.0</v>
      </c>
      <c r="M92" s="4">
        <v>0.0</v>
      </c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  <c r="Y92" s="146"/>
      <c r="Z92" s="146"/>
      <c r="AA92" s="146"/>
      <c r="AB92" s="146"/>
      <c r="AC92" s="146"/>
      <c r="AD92" s="146"/>
      <c r="AE92" s="146"/>
      <c r="AF92" s="146"/>
      <c r="AG92" s="146"/>
    </row>
    <row r="93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4">
        <v>1.0</v>
      </c>
      <c r="M93" s="4">
        <v>0.0</v>
      </c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  <c r="Y93" s="146"/>
      <c r="Z93" s="146"/>
      <c r="AA93" s="146"/>
      <c r="AB93" s="146"/>
      <c r="AC93" s="146"/>
      <c r="AD93" s="146"/>
      <c r="AE93" s="146"/>
      <c r="AF93" s="146"/>
      <c r="AG93" s="146"/>
    </row>
    <row r="94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4">
        <v>1.0</v>
      </c>
      <c r="M94" s="4">
        <v>1.0</v>
      </c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  <c r="Y94" s="146"/>
      <c r="Z94" s="146"/>
      <c r="AA94" s="146"/>
      <c r="AB94" s="146"/>
      <c r="AC94" s="146"/>
      <c r="AD94" s="146"/>
      <c r="AE94" s="146"/>
      <c r="AF94" s="146"/>
      <c r="AG94" s="146"/>
    </row>
    <row r="95">
      <c r="A95" s="146"/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4">
        <v>2.0</v>
      </c>
      <c r="M95" s="4">
        <v>2.0</v>
      </c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  <c r="Y95" s="146"/>
      <c r="Z95" s="146"/>
      <c r="AA95" s="146"/>
      <c r="AB95" s="146"/>
      <c r="AC95" s="146"/>
      <c r="AD95" s="146"/>
      <c r="AE95" s="146"/>
      <c r="AF95" s="146"/>
      <c r="AG95" s="146"/>
    </row>
    <row r="96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4">
        <v>1.0</v>
      </c>
      <c r="M96" s="4">
        <v>0.0</v>
      </c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  <c r="Y96" s="146"/>
      <c r="Z96" s="146"/>
      <c r="AA96" s="146"/>
      <c r="AB96" s="146"/>
      <c r="AC96" s="146"/>
      <c r="AD96" s="146"/>
      <c r="AE96" s="146"/>
      <c r="AF96" s="146"/>
      <c r="AG96" s="146"/>
    </row>
    <row r="97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4">
        <v>2.0</v>
      </c>
      <c r="M97" s="4">
        <v>1.0</v>
      </c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  <c r="Y97" s="146"/>
      <c r="Z97" s="146"/>
      <c r="AA97" s="146"/>
      <c r="AB97" s="146"/>
      <c r="AC97" s="146"/>
      <c r="AD97" s="146"/>
      <c r="AE97" s="146"/>
      <c r="AF97" s="146"/>
      <c r="AG97" s="146"/>
    </row>
    <row r="98">
      <c r="A98" s="146"/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4">
        <v>0.0</v>
      </c>
      <c r="M98" s="4">
        <v>1.0</v>
      </c>
      <c r="N98" s="146"/>
      <c r="O98" s="146"/>
      <c r="P98" s="146"/>
      <c r="Q98" s="146"/>
      <c r="R98" s="146"/>
      <c r="S98" s="146"/>
      <c r="T98" s="146"/>
      <c r="U98" s="146"/>
      <c r="V98" s="146"/>
      <c r="W98" s="146"/>
      <c r="X98" s="146"/>
      <c r="Y98" s="146"/>
      <c r="Z98" s="146"/>
      <c r="AA98" s="146"/>
      <c r="AB98" s="146"/>
      <c r="AC98" s="146"/>
      <c r="AD98" s="146"/>
      <c r="AE98" s="146"/>
      <c r="AF98" s="146"/>
      <c r="AG98" s="146"/>
    </row>
    <row r="99">
      <c r="A99" s="146"/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4">
        <v>0.0</v>
      </c>
      <c r="M99" s="4">
        <v>2.0</v>
      </c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  <c r="Y99" s="146"/>
      <c r="Z99" s="146"/>
      <c r="AA99" s="146"/>
      <c r="AB99" s="146"/>
      <c r="AC99" s="146"/>
      <c r="AD99" s="146"/>
      <c r="AE99" s="146"/>
      <c r="AF99" s="146"/>
      <c r="AG99" s="146"/>
    </row>
    <row r="100">
      <c r="A100" s="146"/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4">
        <v>0.0</v>
      </c>
      <c r="M100" s="4">
        <v>1.0</v>
      </c>
      <c r="N100" s="146"/>
      <c r="O100" s="146"/>
      <c r="P100" s="146"/>
      <c r="Q100" s="146"/>
      <c r="R100" s="146"/>
      <c r="S100" s="146"/>
      <c r="T100" s="146"/>
      <c r="U100" s="146"/>
      <c r="V100" s="146"/>
      <c r="W100" s="146"/>
      <c r="X100" s="146"/>
      <c r="Y100" s="146"/>
      <c r="Z100" s="146"/>
      <c r="AA100" s="146"/>
      <c r="AB100" s="146"/>
      <c r="AC100" s="146"/>
      <c r="AD100" s="146"/>
      <c r="AE100" s="146"/>
      <c r="AF100" s="146"/>
      <c r="AG100" s="146"/>
    </row>
    <row r="101">
      <c r="A101" s="146"/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4">
        <v>2.0</v>
      </c>
      <c r="M101" s="4">
        <v>2.0</v>
      </c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  <c r="Y101" s="146"/>
      <c r="Z101" s="146"/>
      <c r="AA101" s="146"/>
      <c r="AB101" s="146"/>
      <c r="AC101" s="146"/>
      <c r="AD101" s="146"/>
      <c r="AE101" s="146"/>
      <c r="AF101" s="146"/>
      <c r="AG101" s="146"/>
    </row>
    <row r="102">
      <c r="A102" s="146"/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4">
        <v>0.0</v>
      </c>
      <c r="M102" s="4">
        <v>2.0</v>
      </c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  <c r="Y102" s="146"/>
      <c r="Z102" s="146"/>
      <c r="AA102" s="146"/>
      <c r="AB102" s="146"/>
      <c r="AC102" s="146"/>
      <c r="AD102" s="146"/>
      <c r="AE102" s="146"/>
      <c r="AF102" s="146"/>
      <c r="AG102" s="146"/>
    </row>
    <row r="103">
      <c r="A103" s="146"/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4">
        <v>1.0</v>
      </c>
      <c r="M103" s="4">
        <v>1.0</v>
      </c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  <c r="Y103" s="146"/>
      <c r="Z103" s="146"/>
      <c r="AA103" s="146"/>
      <c r="AB103" s="146"/>
      <c r="AC103" s="146"/>
      <c r="AD103" s="146"/>
      <c r="AE103" s="146"/>
      <c r="AF103" s="146"/>
      <c r="AG103" s="146"/>
    </row>
    <row r="104">
      <c r="A104" s="146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4">
        <v>1.0</v>
      </c>
      <c r="M104" s="4">
        <v>0.0</v>
      </c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  <c r="Y104" s="146"/>
      <c r="Z104" s="146"/>
      <c r="AA104" s="146"/>
      <c r="AB104" s="146"/>
      <c r="AC104" s="146"/>
      <c r="AD104" s="146"/>
      <c r="AE104" s="146"/>
      <c r="AF104" s="146"/>
      <c r="AG104" s="146"/>
    </row>
    <row r="105">
      <c r="A105" s="146"/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4">
        <v>0.0</v>
      </c>
      <c r="M105" s="4">
        <v>0.0</v>
      </c>
      <c r="N105" s="146"/>
      <c r="O105" s="146"/>
      <c r="P105" s="146"/>
      <c r="Q105" s="146"/>
      <c r="R105" s="146"/>
      <c r="S105" s="146"/>
      <c r="T105" s="146"/>
      <c r="U105" s="146"/>
      <c r="V105" s="146"/>
      <c r="W105" s="146"/>
      <c r="X105" s="146"/>
      <c r="Y105" s="146"/>
      <c r="Z105" s="146"/>
      <c r="AA105" s="146"/>
      <c r="AB105" s="146"/>
      <c r="AC105" s="146"/>
      <c r="AD105" s="146"/>
      <c r="AE105" s="146"/>
      <c r="AF105" s="146"/>
      <c r="AG105" s="146"/>
    </row>
    <row r="106">
      <c r="A106" s="146"/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4">
        <v>1.0</v>
      </c>
      <c r="M106" s="4">
        <v>2.0</v>
      </c>
      <c r="N106" s="146"/>
      <c r="O106" s="146"/>
      <c r="P106" s="146"/>
      <c r="Q106" s="146"/>
      <c r="R106" s="146"/>
      <c r="S106" s="146"/>
      <c r="T106" s="146"/>
      <c r="U106" s="146"/>
      <c r="V106" s="146"/>
      <c r="W106" s="146"/>
      <c r="X106" s="146"/>
      <c r="Y106" s="146"/>
      <c r="Z106" s="146"/>
      <c r="AA106" s="146"/>
      <c r="AB106" s="146"/>
      <c r="AC106" s="146"/>
      <c r="AD106" s="146"/>
      <c r="AE106" s="146"/>
      <c r="AF106" s="146"/>
      <c r="AG106" s="146"/>
    </row>
    <row r="107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4">
        <v>0.0</v>
      </c>
      <c r="M107" s="4">
        <v>2.0</v>
      </c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  <c r="Y107" s="146"/>
      <c r="Z107" s="146"/>
      <c r="AA107" s="146"/>
      <c r="AB107" s="146"/>
      <c r="AC107" s="146"/>
      <c r="AD107" s="146"/>
      <c r="AE107" s="146"/>
      <c r="AF107" s="146"/>
      <c r="AG107" s="146"/>
    </row>
    <row r="108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4">
        <v>2.0</v>
      </c>
      <c r="M108" s="4">
        <v>2.0</v>
      </c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  <c r="Y108" s="146"/>
      <c r="Z108" s="146"/>
      <c r="AA108" s="146"/>
      <c r="AB108" s="146"/>
      <c r="AC108" s="146"/>
      <c r="AD108" s="146"/>
      <c r="AE108" s="146"/>
      <c r="AF108" s="146"/>
      <c r="AG108" s="146"/>
    </row>
    <row r="109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4">
        <v>2.0</v>
      </c>
      <c r="M109" s="4">
        <v>2.0</v>
      </c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  <c r="Y109" s="146"/>
      <c r="Z109" s="146"/>
      <c r="AA109" s="146"/>
      <c r="AB109" s="146"/>
      <c r="AC109" s="146"/>
      <c r="AD109" s="146"/>
      <c r="AE109" s="146"/>
      <c r="AF109" s="146"/>
      <c r="AG109" s="146"/>
    </row>
    <row r="110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4">
        <v>0.0</v>
      </c>
      <c r="M110" s="4">
        <v>2.0</v>
      </c>
      <c r="N110" s="146"/>
      <c r="O110" s="146"/>
      <c r="P110" s="146"/>
      <c r="Q110" s="146"/>
      <c r="R110" s="146"/>
      <c r="S110" s="146"/>
      <c r="T110" s="146"/>
      <c r="U110" s="146"/>
      <c r="V110" s="146"/>
      <c r="W110" s="146"/>
      <c r="X110" s="146"/>
      <c r="Y110" s="146"/>
      <c r="Z110" s="146"/>
      <c r="AA110" s="146"/>
      <c r="AB110" s="146"/>
      <c r="AC110" s="146"/>
      <c r="AD110" s="146"/>
      <c r="AE110" s="146"/>
      <c r="AF110" s="146"/>
      <c r="AG110" s="146"/>
    </row>
    <row r="111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4">
        <v>2.0</v>
      </c>
      <c r="M111" s="4">
        <v>2.0</v>
      </c>
      <c r="N111" s="146"/>
      <c r="O111" s="146"/>
      <c r="P111" s="146"/>
      <c r="Q111" s="146"/>
      <c r="R111" s="146"/>
      <c r="S111" s="146"/>
      <c r="T111" s="146"/>
      <c r="U111" s="146"/>
      <c r="V111" s="146"/>
      <c r="W111" s="146"/>
      <c r="X111" s="146"/>
      <c r="Y111" s="146"/>
      <c r="Z111" s="146"/>
      <c r="AA111" s="146"/>
      <c r="AB111" s="146"/>
      <c r="AC111" s="146"/>
      <c r="AD111" s="146"/>
      <c r="AE111" s="146"/>
      <c r="AF111" s="146"/>
      <c r="AG111" s="146"/>
    </row>
    <row r="112">
      <c r="A112" s="146"/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4">
        <v>1.0</v>
      </c>
      <c r="M112" s="4">
        <v>2.0</v>
      </c>
      <c r="N112" s="146"/>
      <c r="O112" s="146"/>
      <c r="P112" s="146"/>
      <c r="Q112" s="146"/>
      <c r="R112" s="146"/>
      <c r="S112" s="146"/>
      <c r="T112" s="146"/>
      <c r="U112" s="146"/>
      <c r="V112" s="146"/>
      <c r="W112" s="146"/>
      <c r="X112" s="146"/>
      <c r="Y112" s="146"/>
      <c r="Z112" s="146"/>
      <c r="AA112" s="146"/>
      <c r="AB112" s="146"/>
      <c r="AC112" s="146"/>
      <c r="AD112" s="146"/>
      <c r="AE112" s="146"/>
      <c r="AF112" s="146"/>
      <c r="AG112" s="146"/>
    </row>
    <row r="113">
      <c r="A113" s="146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4">
        <v>0.0</v>
      </c>
      <c r="M113" s="4">
        <v>2.0</v>
      </c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  <c r="Y113" s="146"/>
      <c r="Z113" s="146"/>
      <c r="AA113" s="146"/>
      <c r="AB113" s="146"/>
      <c r="AC113" s="146"/>
      <c r="AD113" s="146"/>
      <c r="AE113" s="146"/>
      <c r="AF113" s="146"/>
      <c r="AG113" s="146"/>
    </row>
    <row r="114">
      <c r="A114" s="146"/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4">
        <v>0.0</v>
      </c>
      <c r="M114" s="4">
        <v>1.0</v>
      </c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  <c r="Y114" s="146"/>
      <c r="Z114" s="146"/>
      <c r="AA114" s="146"/>
      <c r="AB114" s="146"/>
      <c r="AC114" s="146"/>
      <c r="AD114" s="146"/>
      <c r="AE114" s="146"/>
      <c r="AF114" s="146"/>
      <c r="AG114" s="146"/>
    </row>
    <row r="115">
      <c r="A115" s="146"/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4">
        <v>0.0</v>
      </c>
      <c r="M115" s="4">
        <v>2.0</v>
      </c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  <c r="Y115" s="146"/>
      <c r="Z115" s="146"/>
      <c r="AA115" s="146"/>
      <c r="AB115" s="146"/>
      <c r="AC115" s="146"/>
      <c r="AD115" s="146"/>
      <c r="AE115" s="146"/>
      <c r="AF115" s="146"/>
      <c r="AG115" s="146"/>
    </row>
    <row r="116">
      <c r="A116" s="146"/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4">
        <v>1.0</v>
      </c>
      <c r="M116" s="4">
        <v>0.0</v>
      </c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/>
      <c r="Y116" s="146"/>
      <c r="Z116" s="146"/>
      <c r="AA116" s="146"/>
      <c r="AB116" s="146"/>
      <c r="AC116" s="146"/>
      <c r="AD116" s="146"/>
      <c r="AE116" s="146"/>
      <c r="AF116" s="146"/>
      <c r="AG116" s="146"/>
    </row>
    <row r="117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4">
        <v>2.0</v>
      </c>
      <c r="M117" s="4">
        <v>2.0</v>
      </c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/>
      <c r="Y117" s="146"/>
      <c r="Z117" s="146"/>
      <c r="AA117" s="146"/>
      <c r="AB117" s="146"/>
      <c r="AC117" s="146"/>
      <c r="AD117" s="146"/>
      <c r="AE117" s="146"/>
      <c r="AF117" s="146"/>
      <c r="AG117" s="146"/>
    </row>
    <row r="118">
      <c r="A118" s="146"/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4">
        <v>1.0</v>
      </c>
      <c r="M118" s="4">
        <v>2.0</v>
      </c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  <c r="Y118" s="146"/>
      <c r="Z118" s="146"/>
      <c r="AA118" s="146"/>
      <c r="AB118" s="146"/>
      <c r="AC118" s="146"/>
      <c r="AD118" s="146"/>
      <c r="AE118" s="146"/>
      <c r="AF118" s="146"/>
      <c r="AG118" s="146"/>
    </row>
    <row r="119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4">
        <v>2.0</v>
      </c>
      <c r="M119" s="4">
        <v>2.0</v>
      </c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  <c r="Y119" s="146"/>
      <c r="Z119" s="146"/>
      <c r="AA119" s="146"/>
      <c r="AB119" s="146"/>
      <c r="AC119" s="146"/>
      <c r="AD119" s="146"/>
      <c r="AE119" s="146"/>
      <c r="AF119" s="146"/>
      <c r="AG119" s="146"/>
    </row>
    <row r="120">
      <c r="A120" s="146"/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4">
        <v>1.0</v>
      </c>
      <c r="M120" s="4">
        <v>1.0</v>
      </c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  <c r="Y120" s="146"/>
      <c r="Z120" s="146"/>
      <c r="AA120" s="146"/>
      <c r="AB120" s="146"/>
      <c r="AC120" s="146"/>
      <c r="AD120" s="146"/>
      <c r="AE120" s="146"/>
      <c r="AF120" s="146"/>
      <c r="AG120" s="146"/>
    </row>
    <row r="121">
      <c r="A121" s="146"/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4">
        <v>1.0</v>
      </c>
      <c r="M121" s="4">
        <v>1.0</v>
      </c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/>
      <c r="Y121" s="146"/>
      <c r="Z121" s="146"/>
      <c r="AA121" s="146"/>
      <c r="AB121" s="146"/>
      <c r="AC121" s="146"/>
      <c r="AD121" s="146"/>
      <c r="AE121" s="146"/>
      <c r="AF121" s="146"/>
      <c r="AG121" s="146"/>
    </row>
    <row r="122">
      <c r="A122" s="146"/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4">
        <v>0.0</v>
      </c>
      <c r="M122" s="4">
        <v>2.0</v>
      </c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/>
      <c r="Y122" s="146"/>
      <c r="Z122" s="146"/>
      <c r="AA122" s="146"/>
      <c r="AB122" s="146"/>
      <c r="AC122" s="146"/>
      <c r="AD122" s="146"/>
      <c r="AE122" s="146"/>
      <c r="AF122" s="146"/>
      <c r="AG122" s="146"/>
    </row>
    <row r="123">
      <c r="A123" s="146"/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4">
        <v>1.0</v>
      </c>
      <c r="M123" s="4">
        <v>1.0</v>
      </c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/>
      <c r="Y123" s="146"/>
      <c r="Z123" s="146"/>
      <c r="AA123" s="146"/>
      <c r="AB123" s="146"/>
      <c r="AC123" s="146"/>
      <c r="AD123" s="146"/>
      <c r="AE123" s="146"/>
      <c r="AF123" s="146"/>
      <c r="AG123" s="146"/>
    </row>
    <row r="124">
      <c r="A124" s="146"/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4">
        <v>1.0</v>
      </c>
      <c r="M124" s="4">
        <v>1.0</v>
      </c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  <c r="Y124" s="146"/>
      <c r="Z124" s="146"/>
      <c r="AA124" s="146"/>
      <c r="AB124" s="146"/>
      <c r="AC124" s="146"/>
      <c r="AD124" s="146"/>
      <c r="AE124" s="146"/>
      <c r="AF124" s="146"/>
      <c r="AG124" s="146"/>
    </row>
    <row r="125">
      <c r="A125" s="146"/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4">
        <v>1.0</v>
      </c>
      <c r="M125" s="4">
        <v>2.0</v>
      </c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  <c r="Y125" s="146"/>
      <c r="Z125" s="146"/>
      <c r="AA125" s="146"/>
      <c r="AB125" s="146"/>
      <c r="AC125" s="146"/>
      <c r="AD125" s="146"/>
      <c r="AE125" s="146"/>
      <c r="AF125" s="146"/>
      <c r="AG125" s="146"/>
    </row>
    <row r="126">
      <c r="A126" s="146"/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4">
        <v>2.0</v>
      </c>
      <c r="M126" s="4">
        <v>1.0</v>
      </c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  <c r="Y126" s="146"/>
      <c r="Z126" s="146"/>
      <c r="AA126" s="146"/>
      <c r="AB126" s="146"/>
      <c r="AC126" s="146"/>
      <c r="AD126" s="146"/>
      <c r="AE126" s="146"/>
      <c r="AF126" s="146"/>
      <c r="AG126" s="146"/>
    </row>
    <row r="127">
      <c r="A127" s="146"/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4">
        <v>1.0</v>
      </c>
      <c r="M127" s="4">
        <v>2.0</v>
      </c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/>
      <c r="Y127" s="146"/>
      <c r="Z127" s="146"/>
      <c r="AA127" s="146"/>
      <c r="AB127" s="146"/>
      <c r="AC127" s="146"/>
      <c r="AD127" s="146"/>
      <c r="AE127" s="146"/>
      <c r="AF127" s="146"/>
      <c r="AG127" s="146"/>
    </row>
    <row r="128">
      <c r="A128" s="146"/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4">
        <v>1.0</v>
      </c>
      <c r="M128" s="4">
        <v>1.0</v>
      </c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/>
      <c r="Y128" s="146"/>
      <c r="Z128" s="146"/>
      <c r="AA128" s="146"/>
      <c r="AB128" s="146"/>
      <c r="AC128" s="146"/>
      <c r="AD128" s="146"/>
      <c r="AE128" s="146"/>
      <c r="AF128" s="146"/>
      <c r="AG128" s="146"/>
    </row>
    <row r="129">
      <c r="A129" s="146"/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4">
        <v>2.0</v>
      </c>
      <c r="M129" s="4">
        <v>1.0</v>
      </c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/>
      <c r="Y129" s="146"/>
      <c r="Z129" s="146"/>
      <c r="AA129" s="146"/>
      <c r="AB129" s="146"/>
      <c r="AC129" s="146"/>
      <c r="AD129" s="146"/>
      <c r="AE129" s="146"/>
      <c r="AF129" s="146"/>
      <c r="AG129" s="146"/>
    </row>
    <row r="130">
      <c r="A130" s="146"/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4">
        <v>2.0</v>
      </c>
      <c r="M130" s="4">
        <v>1.0</v>
      </c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  <c r="Y130" s="146"/>
      <c r="Z130" s="146"/>
      <c r="AA130" s="146"/>
      <c r="AB130" s="146"/>
      <c r="AC130" s="146"/>
      <c r="AD130" s="146"/>
      <c r="AE130" s="146"/>
      <c r="AF130" s="146"/>
      <c r="AG130" s="146"/>
    </row>
    <row r="131">
      <c r="A131" s="146"/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4">
        <v>2.0</v>
      </c>
      <c r="M131" s="4">
        <v>2.0</v>
      </c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  <c r="Y131" s="146"/>
      <c r="Z131" s="146"/>
      <c r="AA131" s="146"/>
      <c r="AB131" s="146"/>
      <c r="AC131" s="146"/>
      <c r="AD131" s="146"/>
      <c r="AE131" s="146"/>
      <c r="AF131" s="146"/>
      <c r="AG131" s="146"/>
    </row>
    <row r="132">
      <c r="A132" s="146"/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4">
        <v>1.0</v>
      </c>
      <c r="M132" s="4">
        <v>1.0</v>
      </c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  <c r="Y132" s="146"/>
      <c r="Z132" s="146"/>
      <c r="AA132" s="146"/>
      <c r="AB132" s="146"/>
      <c r="AC132" s="146"/>
      <c r="AD132" s="146"/>
      <c r="AE132" s="146"/>
      <c r="AF132" s="146"/>
      <c r="AG132" s="146"/>
    </row>
    <row r="133">
      <c r="A133" s="146"/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4">
        <v>0.0</v>
      </c>
      <c r="M133" s="4">
        <v>0.0</v>
      </c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  <c r="Y133" s="146"/>
      <c r="Z133" s="146"/>
      <c r="AA133" s="146"/>
      <c r="AB133" s="146"/>
      <c r="AC133" s="146"/>
      <c r="AD133" s="146"/>
      <c r="AE133" s="146"/>
      <c r="AF133" s="146"/>
      <c r="AG133" s="146"/>
    </row>
    <row r="134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4">
        <v>1.0</v>
      </c>
      <c r="M134" s="4">
        <v>0.0</v>
      </c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  <c r="Y134" s="146"/>
      <c r="Z134" s="146"/>
      <c r="AA134" s="146"/>
      <c r="AB134" s="146"/>
      <c r="AC134" s="146"/>
      <c r="AD134" s="146"/>
      <c r="AE134" s="146"/>
      <c r="AF134" s="146"/>
      <c r="AG134" s="146"/>
    </row>
    <row r="135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4">
        <v>1.0</v>
      </c>
      <c r="M135" s="4">
        <v>2.0</v>
      </c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  <c r="Y135" s="146"/>
      <c r="Z135" s="146"/>
      <c r="AA135" s="146"/>
      <c r="AB135" s="146"/>
      <c r="AC135" s="146"/>
      <c r="AD135" s="146"/>
      <c r="AE135" s="146"/>
      <c r="AF135" s="146"/>
      <c r="AG135" s="146"/>
    </row>
    <row r="136">
      <c r="A136" s="146"/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4">
        <v>0.0</v>
      </c>
      <c r="M136" s="4">
        <v>2.0</v>
      </c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  <c r="Y136" s="146"/>
      <c r="Z136" s="146"/>
      <c r="AA136" s="146"/>
      <c r="AB136" s="146"/>
      <c r="AC136" s="146"/>
      <c r="AD136" s="146"/>
      <c r="AE136" s="146"/>
      <c r="AF136" s="146"/>
      <c r="AG136" s="146"/>
    </row>
    <row r="137">
      <c r="A137" s="146"/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4">
        <v>1.0</v>
      </c>
      <c r="M137" s="4">
        <v>1.0</v>
      </c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  <c r="Y137" s="146"/>
      <c r="Z137" s="146"/>
      <c r="AA137" s="146"/>
      <c r="AB137" s="146"/>
      <c r="AC137" s="146"/>
      <c r="AD137" s="146"/>
      <c r="AE137" s="146"/>
      <c r="AF137" s="146"/>
      <c r="AG137" s="146"/>
    </row>
    <row r="138">
      <c r="A138" s="146"/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4">
        <v>2.0</v>
      </c>
      <c r="M138" s="4">
        <v>2.0</v>
      </c>
      <c r="N138" s="146"/>
      <c r="O138" s="146"/>
      <c r="P138" s="146"/>
      <c r="Q138" s="146"/>
      <c r="R138" s="146"/>
      <c r="S138" s="146"/>
      <c r="T138" s="146"/>
      <c r="U138" s="146"/>
      <c r="V138" s="146"/>
      <c r="W138" s="146"/>
      <c r="X138" s="146"/>
      <c r="Y138" s="146"/>
      <c r="Z138" s="146"/>
      <c r="AA138" s="146"/>
      <c r="AB138" s="146"/>
      <c r="AC138" s="146"/>
      <c r="AD138" s="146"/>
      <c r="AE138" s="146"/>
      <c r="AF138" s="146"/>
      <c r="AG138" s="146"/>
    </row>
    <row r="139">
      <c r="A139" s="146"/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4">
        <v>2.0</v>
      </c>
      <c r="M139" s="4">
        <v>2.0</v>
      </c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  <c r="Y139" s="146"/>
      <c r="Z139" s="146"/>
      <c r="AA139" s="146"/>
      <c r="AB139" s="146"/>
      <c r="AC139" s="146"/>
      <c r="AD139" s="146"/>
      <c r="AE139" s="146"/>
      <c r="AF139" s="146"/>
      <c r="AG139" s="146"/>
    </row>
    <row r="140">
      <c r="A140" s="146"/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4">
        <v>1.0</v>
      </c>
      <c r="M140" s="4">
        <v>1.0</v>
      </c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  <c r="Y140" s="146"/>
      <c r="Z140" s="146"/>
      <c r="AA140" s="146"/>
      <c r="AB140" s="146"/>
      <c r="AC140" s="146"/>
      <c r="AD140" s="146"/>
      <c r="AE140" s="146"/>
      <c r="AF140" s="146"/>
      <c r="AG140" s="146"/>
    </row>
    <row r="141">
      <c r="A141" s="146"/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4">
        <v>0.0</v>
      </c>
      <c r="M141" s="4">
        <v>1.0</v>
      </c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  <c r="Y141" s="146"/>
      <c r="Z141" s="146"/>
      <c r="AA141" s="146"/>
      <c r="AB141" s="146"/>
      <c r="AC141" s="146"/>
      <c r="AD141" s="146"/>
      <c r="AE141" s="146"/>
      <c r="AF141" s="146"/>
      <c r="AG141" s="146"/>
    </row>
    <row r="142">
      <c r="A142" s="146"/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4">
        <v>2.0</v>
      </c>
      <c r="M142" s="4">
        <v>2.0</v>
      </c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  <c r="AD142" s="146"/>
      <c r="AE142" s="146"/>
      <c r="AF142" s="146"/>
      <c r="AG142" s="146"/>
    </row>
    <row r="143">
      <c r="A143" s="146"/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4">
        <v>1.0</v>
      </c>
      <c r="M143" s="4">
        <v>0.0</v>
      </c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  <c r="AD143" s="146"/>
      <c r="AE143" s="146"/>
      <c r="AF143" s="146"/>
      <c r="AG143" s="146"/>
    </row>
    <row r="144">
      <c r="A144" s="146"/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4">
        <v>2.0</v>
      </c>
      <c r="M144" s="4">
        <v>2.0</v>
      </c>
      <c r="N144" s="146"/>
      <c r="O144" s="146"/>
      <c r="P144" s="146"/>
      <c r="Q144" s="146"/>
      <c r="R144" s="146"/>
      <c r="S144" s="146"/>
      <c r="T144" s="146"/>
      <c r="U144" s="146"/>
      <c r="V144" s="146"/>
      <c r="W144" s="146"/>
      <c r="X144" s="146"/>
      <c r="Y144" s="146"/>
      <c r="Z144" s="146"/>
      <c r="AA144" s="146"/>
      <c r="AB144" s="146"/>
      <c r="AC144" s="146"/>
      <c r="AD144" s="146"/>
      <c r="AE144" s="146"/>
      <c r="AF144" s="146"/>
      <c r="AG144" s="146"/>
    </row>
    <row r="145">
      <c r="A145" s="146"/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4">
        <v>0.0</v>
      </c>
      <c r="M145" s="4">
        <v>0.0</v>
      </c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  <c r="Y145" s="146"/>
      <c r="Z145" s="146"/>
      <c r="AA145" s="146"/>
      <c r="AB145" s="146"/>
      <c r="AC145" s="146"/>
      <c r="AD145" s="146"/>
      <c r="AE145" s="146"/>
      <c r="AF145" s="146"/>
      <c r="AG145" s="146"/>
    </row>
    <row r="146">
      <c r="A146" s="146"/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4">
        <v>2.0</v>
      </c>
      <c r="M146" s="4">
        <v>1.0</v>
      </c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  <c r="Y146" s="146"/>
      <c r="Z146" s="146"/>
      <c r="AA146" s="146"/>
      <c r="AB146" s="146"/>
      <c r="AC146" s="146"/>
      <c r="AD146" s="146"/>
      <c r="AE146" s="146"/>
      <c r="AF146" s="146"/>
      <c r="AG146" s="146"/>
    </row>
    <row r="147">
      <c r="A147" s="146"/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4">
        <v>1.0</v>
      </c>
      <c r="M147" s="4">
        <v>0.0</v>
      </c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  <c r="AD147" s="146"/>
      <c r="AE147" s="146"/>
      <c r="AF147" s="146"/>
      <c r="AG147" s="146"/>
    </row>
    <row r="148">
      <c r="A148" s="146"/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4">
        <v>1.0</v>
      </c>
      <c r="M148" s="4">
        <v>1.0</v>
      </c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  <c r="AD148" s="146"/>
      <c r="AE148" s="146"/>
      <c r="AF148" s="146"/>
      <c r="AG148" s="146"/>
    </row>
    <row r="149">
      <c r="A149" s="146"/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4">
        <v>1.0</v>
      </c>
      <c r="M149" s="4">
        <v>1.0</v>
      </c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  <c r="AD149" s="146"/>
      <c r="AE149" s="146"/>
      <c r="AF149" s="146"/>
      <c r="AG149" s="146"/>
    </row>
    <row r="150">
      <c r="A150" s="146"/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4">
        <v>2.0</v>
      </c>
      <c r="M150" s="4">
        <v>2.0</v>
      </c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  <c r="AD150" s="146"/>
      <c r="AE150" s="146"/>
      <c r="AF150" s="146"/>
      <c r="AG150" s="146"/>
    </row>
    <row r="151">
      <c r="A151" s="146"/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4">
        <v>1.0</v>
      </c>
      <c r="M151" s="4">
        <v>1.0</v>
      </c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  <c r="Y151" s="146"/>
      <c r="Z151" s="146"/>
      <c r="AA151" s="146"/>
      <c r="AB151" s="146"/>
      <c r="AC151" s="146"/>
      <c r="AD151" s="146"/>
      <c r="AE151" s="146"/>
      <c r="AF151" s="146"/>
      <c r="AG151" s="146"/>
    </row>
    <row r="152">
      <c r="A152" s="146"/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4">
        <v>0.0</v>
      </c>
      <c r="M152" s="4">
        <v>1.0</v>
      </c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  <c r="AD152" s="146"/>
      <c r="AE152" s="146"/>
      <c r="AF152" s="146"/>
      <c r="AG152" s="146"/>
    </row>
    <row r="153">
      <c r="A153" s="146"/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4">
        <v>2.0</v>
      </c>
      <c r="M153" s="4">
        <v>2.0</v>
      </c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  <c r="Y153" s="146"/>
      <c r="Z153" s="146"/>
      <c r="AA153" s="146"/>
      <c r="AB153" s="146"/>
      <c r="AC153" s="146"/>
      <c r="AD153" s="146"/>
      <c r="AE153" s="146"/>
      <c r="AF153" s="146"/>
      <c r="AG153" s="146"/>
    </row>
    <row r="154">
      <c r="A154" s="146"/>
      <c r="B154" s="146"/>
      <c r="C154" s="146"/>
      <c r="D154" s="146"/>
      <c r="E154" s="146"/>
      <c r="F154" s="146"/>
      <c r="G154" s="146"/>
      <c r="H154" s="146"/>
      <c r="I154" s="146"/>
      <c r="J154" s="146"/>
      <c r="K154" s="146"/>
      <c r="L154" s="4">
        <v>2.0</v>
      </c>
      <c r="M154" s="4">
        <v>2.0</v>
      </c>
      <c r="N154" s="146"/>
      <c r="O154" s="146"/>
      <c r="P154" s="146"/>
      <c r="Q154" s="146"/>
      <c r="R154" s="146"/>
      <c r="S154" s="146"/>
      <c r="T154" s="146"/>
      <c r="U154" s="146"/>
      <c r="V154" s="146"/>
      <c r="W154" s="146"/>
      <c r="X154" s="146"/>
      <c r="Y154" s="146"/>
      <c r="Z154" s="146"/>
      <c r="AA154" s="146"/>
      <c r="AB154" s="146"/>
      <c r="AC154" s="146"/>
      <c r="AD154" s="146"/>
      <c r="AE154" s="146"/>
      <c r="AF154" s="146"/>
      <c r="AG154" s="146"/>
    </row>
    <row r="155">
      <c r="A155" s="146"/>
      <c r="B155" s="146"/>
      <c r="C155" s="146"/>
      <c r="D155" s="146"/>
      <c r="E155" s="146"/>
      <c r="F155" s="146"/>
      <c r="G155" s="146"/>
      <c r="H155" s="146"/>
      <c r="I155" s="146"/>
      <c r="J155" s="146"/>
      <c r="K155" s="146"/>
      <c r="L155" s="4">
        <v>2.0</v>
      </c>
      <c r="M155" s="4">
        <v>2.0</v>
      </c>
      <c r="N155" s="146"/>
      <c r="O155" s="146"/>
      <c r="P155" s="146"/>
      <c r="Q155" s="146"/>
      <c r="R155" s="146"/>
      <c r="S155" s="146"/>
      <c r="T155" s="146"/>
      <c r="U155" s="146"/>
      <c r="V155" s="146"/>
      <c r="W155" s="146"/>
      <c r="X155" s="146"/>
      <c r="Y155" s="146"/>
      <c r="Z155" s="146"/>
      <c r="AA155" s="146"/>
      <c r="AB155" s="146"/>
      <c r="AC155" s="146"/>
      <c r="AD155" s="146"/>
      <c r="AE155" s="146"/>
      <c r="AF155" s="146"/>
      <c r="AG155" s="146"/>
    </row>
    <row r="156">
      <c r="A156" s="146"/>
      <c r="B156" s="146"/>
      <c r="C156" s="146"/>
      <c r="D156" s="146"/>
      <c r="E156" s="146"/>
      <c r="F156" s="146"/>
      <c r="G156" s="146"/>
      <c r="H156" s="146"/>
      <c r="I156" s="146"/>
      <c r="J156" s="146"/>
      <c r="K156" s="146"/>
      <c r="L156" s="4">
        <v>1.0</v>
      </c>
      <c r="M156" s="4">
        <v>1.0</v>
      </c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  <c r="Y156" s="146"/>
      <c r="Z156" s="146"/>
      <c r="AA156" s="146"/>
      <c r="AB156" s="146"/>
      <c r="AC156" s="146"/>
      <c r="AD156" s="146"/>
      <c r="AE156" s="146"/>
      <c r="AF156" s="146"/>
      <c r="AG156" s="146"/>
    </row>
    <row r="157">
      <c r="A157" s="146"/>
      <c r="B157" s="146"/>
      <c r="C157" s="146"/>
      <c r="D157" s="146"/>
      <c r="E157" s="146"/>
      <c r="F157" s="146"/>
      <c r="G157" s="146"/>
      <c r="H157" s="146"/>
      <c r="I157" s="146"/>
      <c r="J157" s="146"/>
      <c r="K157" s="146"/>
      <c r="L157" s="4">
        <v>2.0</v>
      </c>
      <c r="M157" s="4">
        <v>2.0</v>
      </c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  <c r="Y157" s="146"/>
      <c r="Z157" s="146"/>
      <c r="AA157" s="146"/>
      <c r="AB157" s="146"/>
      <c r="AC157" s="146"/>
      <c r="AD157" s="146"/>
      <c r="AE157" s="146"/>
      <c r="AF157" s="146"/>
      <c r="AG157" s="146"/>
    </row>
    <row r="158">
      <c r="A158" s="146"/>
      <c r="B158" s="146"/>
      <c r="C158" s="146"/>
      <c r="D158" s="146"/>
      <c r="E158" s="146"/>
      <c r="F158" s="146"/>
      <c r="G158" s="146"/>
      <c r="H158" s="146"/>
      <c r="I158" s="146"/>
      <c r="J158" s="146"/>
      <c r="K158" s="146"/>
      <c r="L158" s="4">
        <v>2.0</v>
      </c>
      <c r="M158" s="4">
        <v>1.0</v>
      </c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  <c r="Y158" s="146"/>
      <c r="Z158" s="146"/>
      <c r="AA158" s="146"/>
      <c r="AB158" s="146"/>
      <c r="AC158" s="146"/>
      <c r="AD158" s="146"/>
      <c r="AE158" s="146"/>
      <c r="AF158" s="146"/>
      <c r="AG158" s="146"/>
    </row>
    <row r="159">
      <c r="A159" s="146"/>
      <c r="B159" s="146"/>
      <c r="C159" s="146"/>
      <c r="D159" s="146"/>
      <c r="E159" s="146"/>
      <c r="F159" s="146"/>
      <c r="G159" s="146"/>
      <c r="H159" s="146"/>
      <c r="I159" s="146"/>
      <c r="J159" s="146"/>
      <c r="K159" s="146"/>
      <c r="L159" s="4">
        <v>0.0</v>
      </c>
      <c r="M159" s="4">
        <v>1.0</v>
      </c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  <c r="Y159" s="146"/>
      <c r="Z159" s="146"/>
      <c r="AA159" s="146"/>
      <c r="AB159" s="146"/>
      <c r="AC159" s="146"/>
      <c r="AD159" s="146"/>
      <c r="AE159" s="146"/>
      <c r="AF159" s="146"/>
      <c r="AG159" s="146"/>
    </row>
    <row r="160">
      <c r="A160" s="146"/>
      <c r="B160" s="146"/>
      <c r="C160" s="146"/>
      <c r="D160" s="146"/>
      <c r="E160" s="146"/>
      <c r="F160" s="146"/>
      <c r="G160" s="146"/>
      <c r="H160" s="146"/>
      <c r="I160" s="146"/>
      <c r="J160" s="146"/>
      <c r="K160" s="146"/>
      <c r="L160" s="4">
        <v>2.0</v>
      </c>
      <c r="M160" s="4">
        <v>0.0</v>
      </c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  <c r="Y160" s="146"/>
      <c r="Z160" s="146"/>
      <c r="AA160" s="146"/>
      <c r="AB160" s="146"/>
      <c r="AC160" s="146"/>
      <c r="AD160" s="146"/>
      <c r="AE160" s="146"/>
      <c r="AF160" s="146"/>
      <c r="AG160" s="146"/>
    </row>
    <row r="161">
      <c r="A161" s="146"/>
      <c r="B161" s="146"/>
      <c r="C161" s="146"/>
      <c r="D161" s="146"/>
      <c r="E161" s="146"/>
      <c r="F161" s="146"/>
      <c r="G161" s="146"/>
      <c r="H161" s="146"/>
      <c r="I161" s="146"/>
      <c r="J161" s="146"/>
      <c r="K161" s="146"/>
      <c r="L161" s="4">
        <v>1.0</v>
      </c>
      <c r="M161" s="4">
        <v>1.0</v>
      </c>
      <c r="N161" s="146"/>
      <c r="O161" s="146"/>
      <c r="P161" s="146"/>
      <c r="Q161" s="146"/>
      <c r="R161" s="146"/>
      <c r="S161" s="146"/>
      <c r="T161" s="146"/>
      <c r="U161" s="146"/>
      <c r="V161" s="146"/>
      <c r="W161" s="146"/>
      <c r="X161" s="146"/>
      <c r="Y161" s="146"/>
      <c r="Z161" s="146"/>
      <c r="AA161" s="146"/>
      <c r="AB161" s="146"/>
      <c r="AC161" s="146"/>
      <c r="AD161" s="146"/>
      <c r="AE161" s="146"/>
      <c r="AF161" s="146"/>
      <c r="AG161" s="146"/>
    </row>
    <row r="162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4">
        <v>2.0</v>
      </c>
      <c r="M162" s="4">
        <v>2.0</v>
      </c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  <c r="AD162" s="146"/>
      <c r="AE162" s="146"/>
      <c r="AF162" s="146"/>
      <c r="AG162" s="146"/>
    </row>
    <row r="163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4">
        <v>1.0</v>
      </c>
      <c r="M163" s="4">
        <v>0.0</v>
      </c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  <c r="Y163" s="146"/>
      <c r="Z163" s="146"/>
      <c r="AA163" s="146"/>
      <c r="AB163" s="146"/>
      <c r="AC163" s="146"/>
      <c r="AD163" s="146"/>
      <c r="AE163" s="146"/>
      <c r="AF163" s="146"/>
      <c r="AG163" s="146"/>
    </row>
    <row r="164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4">
        <v>1.0</v>
      </c>
      <c r="M164" s="4">
        <v>1.0</v>
      </c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  <c r="Y164" s="146"/>
      <c r="Z164" s="146"/>
      <c r="AA164" s="146"/>
      <c r="AB164" s="146"/>
      <c r="AC164" s="146"/>
      <c r="AD164" s="146"/>
      <c r="AE164" s="146"/>
      <c r="AF164" s="146"/>
      <c r="AG164" s="146"/>
    </row>
    <row r="165">
      <c r="A165" s="146"/>
      <c r="B165" s="146"/>
      <c r="C165" s="146"/>
      <c r="D165" s="146"/>
      <c r="E165" s="146"/>
      <c r="F165" s="146"/>
      <c r="G165" s="146"/>
      <c r="H165" s="146"/>
      <c r="I165" s="146"/>
      <c r="J165" s="146"/>
      <c r="K165" s="146"/>
      <c r="L165" s="4">
        <v>1.0</v>
      </c>
      <c r="M165" s="4">
        <v>0.0</v>
      </c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  <c r="Y165" s="146"/>
      <c r="Z165" s="146"/>
      <c r="AA165" s="146"/>
      <c r="AB165" s="146"/>
      <c r="AC165" s="146"/>
      <c r="AD165" s="146"/>
      <c r="AE165" s="146"/>
      <c r="AF165" s="146"/>
      <c r="AG165" s="146"/>
    </row>
    <row r="166">
      <c r="A166" s="146"/>
      <c r="B166" s="146"/>
      <c r="C166" s="146"/>
      <c r="D166" s="146"/>
      <c r="E166" s="146"/>
      <c r="F166" s="146"/>
      <c r="G166" s="146"/>
      <c r="H166" s="146"/>
      <c r="I166" s="146"/>
      <c r="J166" s="146"/>
      <c r="K166" s="146"/>
      <c r="L166" s="4">
        <v>0.0</v>
      </c>
      <c r="M166" s="4">
        <v>2.0</v>
      </c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  <c r="Y166" s="146"/>
      <c r="Z166" s="146"/>
      <c r="AA166" s="146"/>
      <c r="AB166" s="146"/>
      <c r="AC166" s="146"/>
      <c r="AD166" s="146"/>
      <c r="AE166" s="146"/>
      <c r="AF166" s="146"/>
      <c r="AG166" s="146"/>
    </row>
    <row r="167">
      <c r="A167" s="146"/>
      <c r="B167" s="146"/>
      <c r="C167" s="146"/>
      <c r="D167" s="146"/>
      <c r="E167" s="146"/>
      <c r="F167" s="146"/>
      <c r="G167" s="146"/>
      <c r="H167" s="146"/>
      <c r="I167" s="146"/>
      <c r="J167" s="146"/>
      <c r="K167" s="146"/>
      <c r="L167" s="4">
        <v>1.0</v>
      </c>
      <c r="M167" s="4">
        <v>1.0</v>
      </c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  <c r="Y167" s="146"/>
      <c r="Z167" s="146"/>
      <c r="AA167" s="146"/>
      <c r="AB167" s="146"/>
      <c r="AC167" s="146"/>
      <c r="AD167" s="146"/>
      <c r="AE167" s="146"/>
      <c r="AF167" s="146"/>
      <c r="AG167" s="146"/>
    </row>
    <row r="168">
      <c r="A168" s="146"/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4">
        <v>0.0</v>
      </c>
      <c r="M168" s="4">
        <v>2.0</v>
      </c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  <c r="Y168" s="146"/>
      <c r="Z168" s="146"/>
      <c r="AA168" s="146"/>
      <c r="AB168" s="146"/>
      <c r="AC168" s="146"/>
      <c r="AD168" s="146"/>
      <c r="AE168" s="146"/>
      <c r="AF168" s="146"/>
      <c r="AG168" s="146"/>
    </row>
    <row r="169">
      <c r="A169" s="146"/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4">
        <v>1.0</v>
      </c>
      <c r="M169" s="4">
        <v>1.0</v>
      </c>
      <c r="N169" s="146"/>
      <c r="O169" s="146"/>
      <c r="P169" s="146"/>
      <c r="Q169" s="146"/>
      <c r="R169" s="146"/>
      <c r="S169" s="146"/>
      <c r="T169" s="146"/>
      <c r="U169" s="146"/>
      <c r="V169" s="146"/>
      <c r="W169" s="146"/>
      <c r="X169" s="146"/>
      <c r="Y169" s="146"/>
      <c r="Z169" s="146"/>
      <c r="AA169" s="146"/>
      <c r="AB169" s="146"/>
      <c r="AC169" s="146"/>
      <c r="AD169" s="146"/>
      <c r="AE169" s="146"/>
      <c r="AF169" s="146"/>
      <c r="AG169" s="146"/>
    </row>
    <row r="170">
      <c r="A170" s="146"/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4">
        <v>2.0</v>
      </c>
      <c r="M170" s="4">
        <v>2.0</v>
      </c>
      <c r="N170" s="146"/>
      <c r="O170" s="146"/>
      <c r="P170" s="146"/>
      <c r="Q170" s="146"/>
      <c r="R170" s="146"/>
      <c r="S170" s="146"/>
      <c r="T170" s="146"/>
      <c r="U170" s="146"/>
      <c r="V170" s="146"/>
      <c r="W170" s="146"/>
      <c r="X170" s="146"/>
      <c r="Y170" s="146"/>
      <c r="Z170" s="146"/>
      <c r="AA170" s="146"/>
      <c r="AB170" s="146"/>
      <c r="AC170" s="146"/>
      <c r="AD170" s="146"/>
      <c r="AE170" s="146"/>
      <c r="AF170" s="146"/>
      <c r="AG170" s="146"/>
    </row>
    <row r="171">
      <c r="A171" s="146"/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4">
        <v>2.0</v>
      </c>
      <c r="M171" s="4">
        <v>1.0</v>
      </c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6"/>
      <c r="AA171" s="146"/>
      <c r="AB171" s="146"/>
      <c r="AC171" s="146"/>
      <c r="AD171" s="146"/>
      <c r="AE171" s="146"/>
      <c r="AF171" s="146"/>
      <c r="AG171" s="146"/>
    </row>
    <row r="172">
      <c r="A172" s="146"/>
      <c r="B172" s="146"/>
      <c r="C172" s="146"/>
      <c r="D172" s="146"/>
      <c r="E172" s="146"/>
      <c r="F172" s="146"/>
      <c r="G172" s="146"/>
      <c r="H172" s="146"/>
      <c r="I172" s="146"/>
      <c r="J172" s="146"/>
      <c r="K172" s="146"/>
      <c r="L172" s="4">
        <v>1.0</v>
      </c>
      <c r="M172" s="4">
        <v>0.0</v>
      </c>
      <c r="N172" s="146"/>
      <c r="O172" s="146"/>
      <c r="P172" s="146"/>
      <c r="Q172" s="146"/>
      <c r="R172" s="146"/>
      <c r="S172" s="146"/>
      <c r="T172" s="146"/>
      <c r="U172" s="146"/>
      <c r="V172" s="146"/>
      <c r="W172" s="146"/>
      <c r="X172" s="146"/>
      <c r="Y172" s="146"/>
      <c r="Z172" s="146"/>
      <c r="AA172" s="146"/>
      <c r="AB172" s="146"/>
      <c r="AC172" s="146"/>
      <c r="AD172" s="146"/>
      <c r="AE172" s="146"/>
      <c r="AF172" s="146"/>
      <c r="AG172" s="146"/>
    </row>
    <row r="173">
      <c r="A173" s="146"/>
      <c r="B173" s="146"/>
      <c r="C173" s="146"/>
      <c r="D173" s="146"/>
      <c r="E173" s="146"/>
      <c r="F173" s="146"/>
      <c r="G173" s="146"/>
      <c r="H173" s="146"/>
      <c r="I173" s="146"/>
      <c r="J173" s="146"/>
      <c r="K173" s="146"/>
      <c r="L173" s="4">
        <v>0.0</v>
      </c>
      <c r="M173" s="4">
        <v>2.0</v>
      </c>
      <c r="N173" s="146"/>
      <c r="O173" s="146"/>
      <c r="P173" s="146"/>
      <c r="Q173" s="146"/>
      <c r="R173" s="146"/>
      <c r="S173" s="146"/>
      <c r="T173" s="146"/>
      <c r="U173" s="146"/>
      <c r="V173" s="146"/>
      <c r="W173" s="146"/>
      <c r="X173" s="146"/>
      <c r="Y173" s="146"/>
      <c r="Z173" s="146"/>
      <c r="AA173" s="146"/>
      <c r="AB173" s="146"/>
      <c r="AC173" s="146"/>
      <c r="AD173" s="146"/>
      <c r="AE173" s="146"/>
      <c r="AF173" s="146"/>
      <c r="AG173" s="146"/>
    </row>
    <row r="174">
      <c r="A174" s="146"/>
      <c r="B174" s="146"/>
      <c r="C174" s="146"/>
      <c r="D174" s="146"/>
      <c r="E174" s="146"/>
      <c r="F174" s="146"/>
      <c r="G174" s="146"/>
      <c r="H174" s="146"/>
      <c r="I174" s="146"/>
      <c r="J174" s="146"/>
      <c r="K174" s="146"/>
      <c r="L174" s="4">
        <v>2.0</v>
      </c>
      <c r="M174" s="4">
        <v>2.0</v>
      </c>
      <c r="N174" s="146"/>
      <c r="O174" s="146"/>
      <c r="P174" s="146"/>
      <c r="Q174" s="146"/>
      <c r="R174" s="146"/>
      <c r="S174" s="146"/>
      <c r="T174" s="146"/>
      <c r="U174" s="146"/>
      <c r="V174" s="146"/>
      <c r="W174" s="146"/>
      <c r="X174" s="146"/>
      <c r="Y174" s="146"/>
      <c r="Z174" s="146"/>
      <c r="AA174" s="146"/>
      <c r="AB174" s="146"/>
      <c r="AC174" s="146"/>
      <c r="AD174" s="146"/>
      <c r="AE174" s="146"/>
      <c r="AF174" s="146"/>
      <c r="AG174" s="146"/>
    </row>
    <row r="175">
      <c r="A175" s="146"/>
      <c r="B175" s="146"/>
      <c r="C175" s="146"/>
      <c r="D175" s="146"/>
      <c r="E175" s="146"/>
      <c r="F175" s="146"/>
      <c r="G175" s="146"/>
      <c r="H175" s="146"/>
      <c r="I175" s="146"/>
      <c r="J175" s="146"/>
      <c r="K175" s="146"/>
      <c r="L175" s="4">
        <v>2.0</v>
      </c>
      <c r="M175" s="4">
        <v>2.0</v>
      </c>
      <c r="N175" s="146"/>
      <c r="O175" s="146"/>
      <c r="P175" s="146"/>
      <c r="Q175" s="146"/>
      <c r="R175" s="146"/>
      <c r="S175" s="146"/>
      <c r="T175" s="146"/>
      <c r="U175" s="146"/>
      <c r="V175" s="146"/>
      <c r="W175" s="146"/>
      <c r="X175" s="146"/>
      <c r="Y175" s="146"/>
      <c r="Z175" s="146"/>
      <c r="AA175" s="146"/>
      <c r="AB175" s="146"/>
      <c r="AC175" s="146"/>
      <c r="AD175" s="146"/>
      <c r="AE175" s="146"/>
      <c r="AF175" s="146"/>
      <c r="AG175" s="146"/>
    </row>
    <row r="176">
      <c r="A176" s="146"/>
      <c r="B176" s="146"/>
      <c r="C176" s="146"/>
      <c r="D176" s="146"/>
      <c r="E176" s="146"/>
      <c r="F176" s="146"/>
      <c r="G176" s="146"/>
      <c r="H176" s="146"/>
      <c r="I176" s="146"/>
      <c r="J176" s="146"/>
      <c r="K176" s="146"/>
      <c r="L176" s="146"/>
      <c r="M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  <c r="Y176" s="146"/>
      <c r="Z176" s="146"/>
      <c r="AA176" s="146"/>
      <c r="AB176" s="146"/>
      <c r="AC176" s="146"/>
      <c r="AD176" s="146"/>
      <c r="AE176" s="146"/>
      <c r="AF176" s="146"/>
      <c r="AG176" s="146"/>
    </row>
    <row r="177">
      <c r="A177" s="146"/>
      <c r="B177" s="146"/>
      <c r="C177" s="146"/>
      <c r="D177" s="146"/>
      <c r="E177" s="146"/>
      <c r="F177" s="146"/>
      <c r="G177" s="146"/>
      <c r="H177" s="146"/>
      <c r="I177" s="146"/>
      <c r="J177" s="146"/>
      <c r="K177" s="146"/>
      <c r="L177" s="146"/>
      <c r="M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  <c r="Y177" s="146"/>
      <c r="Z177" s="146"/>
      <c r="AA177" s="146"/>
      <c r="AB177" s="146"/>
      <c r="AC177" s="146"/>
      <c r="AD177" s="146"/>
      <c r="AE177" s="146"/>
      <c r="AF177" s="146"/>
      <c r="AG177" s="146"/>
    </row>
    <row r="178">
      <c r="A178" s="146"/>
      <c r="B178" s="146"/>
      <c r="C178" s="146"/>
      <c r="D178" s="146"/>
      <c r="E178" s="146"/>
      <c r="F178" s="146"/>
      <c r="G178" s="146"/>
      <c r="H178" s="146"/>
      <c r="I178" s="146"/>
      <c r="J178" s="146"/>
      <c r="K178" s="146"/>
      <c r="L178" s="146"/>
      <c r="M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  <c r="Y178" s="146"/>
      <c r="Z178" s="146"/>
      <c r="AA178" s="146"/>
      <c r="AB178" s="146"/>
      <c r="AC178" s="146"/>
      <c r="AD178" s="146"/>
      <c r="AE178" s="146"/>
      <c r="AF178" s="146"/>
      <c r="AG178" s="146"/>
    </row>
    <row r="179">
      <c r="A179" s="146"/>
      <c r="B179" s="146"/>
      <c r="C179" s="146"/>
      <c r="D179" s="146"/>
      <c r="E179" s="146"/>
      <c r="F179" s="146"/>
      <c r="G179" s="146"/>
      <c r="H179" s="146"/>
      <c r="I179" s="146"/>
      <c r="J179" s="146"/>
      <c r="K179" s="146"/>
      <c r="L179" s="146"/>
      <c r="M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  <c r="Y179" s="146"/>
      <c r="Z179" s="146"/>
      <c r="AA179" s="146"/>
      <c r="AB179" s="146"/>
      <c r="AC179" s="146"/>
      <c r="AD179" s="146"/>
      <c r="AE179" s="146"/>
      <c r="AF179" s="146"/>
      <c r="AG179" s="146"/>
    </row>
    <row r="180">
      <c r="A180" s="146"/>
      <c r="B180" s="146"/>
      <c r="C180" s="146"/>
      <c r="D180" s="146"/>
      <c r="E180" s="146"/>
      <c r="F180" s="146"/>
      <c r="G180" s="146"/>
      <c r="H180" s="146"/>
      <c r="I180" s="146"/>
      <c r="J180" s="146"/>
      <c r="K180" s="146"/>
      <c r="L180" s="146"/>
      <c r="M180" s="146"/>
      <c r="N180" s="146"/>
      <c r="O180" s="146"/>
      <c r="P180" s="146"/>
      <c r="Q180" s="146"/>
      <c r="R180" s="146"/>
      <c r="S180" s="146"/>
      <c r="T180" s="146"/>
      <c r="U180" s="146"/>
      <c r="V180" s="146"/>
      <c r="W180" s="146"/>
      <c r="X180" s="146"/>
      <c r="Y180" s="146"/>
      <c r="Z180" s="146"/>
      <c r="AA180" s="146"/>
      <c r="AB180" s="146"/>
      <c r="AC180" s="146"/>
      <c r="AD180" s="146"/>
      <c r="AE180" s="146"/>
      <c r="AF180" s="146"/>
      <c r="AG180" s="146"/>
    </row>
    <row r="181">
      <c r="A181" s="146"/>
      <c r="B181" s="146"/>
      <c r="C181" s="146"/>
      <c r="D181" s="146"/>
      <c r="E181" s="146"/>
      <c r="F181" s="146"/>
      <c r="G181" s="146"/>
      <c r="H181" s="146"/>
      <c r="I181" s="146"/>
      <c r="J181" s="146"/>
      <c r="K181" s="146"/>
      <c r="L181" s="146"/>
      <c r="M181" s="146"/>
      <c r="N181" s="146"/>
      <c r="O181" s="146"/>
      <c r="P181" s="146"/>
      <c r="Q181" s="146"/>
      <c r="R181" s="146"/>
      <c r="S181" s="146"/>
      <c r="T181" s="146"/>
      <c r="U181" s="146"/>
      <c r="V181" s="146"/>
      <c r="W181" s="146"/>
      <c r="X181" s="146"/>
      <c r="Y181" s="146"/>
      <c r="Z181" s="146"/>
      <c r="AA181" s="146"/>
      <c r="AB181" s="146"/>
      <c r="AC181" s="146"/>
      <c r="AD181" s="146"/>
      <c r="AE181" s="146"/>
      <c r="AF181" s="146"/>
      <c r="AG181" s="146"/>
    </row>
    <row r="182">
      <c r="A182" s="146"/>
      <c r="B182" s="146"/>
      <c r="C182" s="146"/>
      <c r="D182" s="146"/>
      <c r="E182" s="146"/>
      <c r="F182" s="146"/>
      <c r="G182" s="146"/>
      <c r="H182" s="146"/>
      <c r="I182" s="146"/>
      <c r="J182" s="146"/>
      <c r="K182" s="146"/>
      <c r="L182" s="146"/>
      <c r="M182" s="146"/>
      <c r="N182" s="146"/>
      <c r="O182" s="146"/>
      <c r="P182" s="146"/>
      <c r="Q182" s="146"/>
      <c r="R182" s="146"/>
      <c r="S182" s="146"/>
      <c r="T182" s="146"/>
      <c r="U182" s="146"/>
      <c r="V182" s="146"/>
      <c r="W182" s="146"/>
      <c r="X182" s="146"/>
      <c r="Y182" s="146"/>
      <c r="Z182" s="146"/>
      <c r="AA182" s="146"/>
      <c r="AB182" s="146"/>
      <c r="AC182" s="146"/>
      <c r="AD182" s="146"/>
      <c r="AE182" s="146"/>
      <c r="AF182" s="146"/>
      <c r="AG182" s="146"/>
    </row>
    <row r="183">
      <c r="A183" s="146"/>
      <c r="B183" s="146"/>
      <c r="C183" s="146"/>
      <c r="D183" s="146"/>
      <c r="E183" s="146"/>
      <c r="F183" s="146"/>
      <c r="G183" s="146"/>
      <c r="H183" s="146"/>
      <c r="I183" s="146"/>
      <c r="J183" s="146"/>
      <c r="K183" s="146"/>
      <c r="L183" s="146"/>
      <c r="M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  <c r="Y183" s="146"/>
      <c r="Z183" s="146"/>
      <c r="AA183" s="146"/>
      <c r="AB183" s="146"/>
      <c r="AC183" s="146"/>
      <c r="AD183" s="146"/>
      <c r="AE183" s="146"/>
      <c r="AF183" s="146"/>
      <c r="AG183" s="146"/>
    </row>
    <row r="184">
      <c r="A184" s="146"/>
      <c r="B184" s="146"/>
      <c r="C184" s="146"/>
      <c r="D184" s="146"/>
      <c r="E184" s="146"/>
      <c r="F184" s="146"/>
      <c r="G184" s="146"/>
      <c r="H184" s="146"/>
      <c r="I184" s="146"/>
      <c r="J184" s="146"/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  <c r="Y184" s="146"/>
      <c r="Z184" s="146"/>
      <c r="AA184" s="146"/>
      <c r="AB184" s="146"/>
      <c r="AC184" s="146"/>
      <c r="AD184" s="146"/>
      <c r="AE184" s="146"/>
      <c r="AF184" s="146"/>
      <c r="AG184" s="146"/>
    </row>
    <row r="185">
      <c r="A185" s="146"/>
      <c r="B185" s="146"/>
      <c r="C185" s="146"/>
      <c r="D185" s="146"/>
      <c r="E185" s="146"/>
      <c r="F185" s="146"/>
      <c r="G185" s="146"/>
      <c r="H185" s="146"/>
      <c r="I185" s="146"/>
      <c r="J185" s="146"/>
      <c r="K185" s="146"/>
      <c r="L185" s="146"/>
      <c r="M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  <c r="Y185" s="146"/>
      <c r="Z185" s="146"/>
      <c r="AA185" s="146"/>
      <c r="AB185" s="146"/>
      <c r="AC185" s="146"/>
      <c r="AD185" s="146"/>
      <c r="AE185" s="146"/>
      <c r="AF185" s="146"/>
      <c r="AG185" s="146"/>
    </row>
    <row r="186">
      <c r="A186" s="146"/>
      <c r="B186" s="146"/>
      <c r="C186" s="146"/>
      <c r="D186" s="146"/>
      <c r="E186" s="146"/>
      <c r="F186" s="146"/>
      <c r="G186" s="146"/>
      <c r="H186" s="146"/>
      <c r="I186" s="146"/>
      <c r="J186" s="146"/>
      <c r="K186" s="146"/>
      <c r="L186" s="146"/>
      <c r="M186" s="146"/>
      <c r="N186" s="146"/>
      <c r="O186" s="146"/>
      <c r="P186" s="146"/>
      <c r="Q186" s="146"/>
      <c r="R186" s="146"/>
      <c r="S186" s="146"/>
      <c r="T186" s="146"/>
      <c r="U186" s="146"/>
      <c r="V186" s="146"/>
      <c r="W186" s="146"/>
      <c r="X186" s="146"/>
      <c r="Y186" s="146"/>
      <c r="Z186" s="146"/>
      <c r="AA186" s="146"/>
      <c r="AB186" s="146"/>
      <c r="AC186" s="146"/>
      <c r="AD186" s="146"/>
      <c r="AE186" s="146"/>
      <c r="AF186" s="146"/>
      <c r="AG186" s="146"/>
    </row>
    <row r="187">
      <c r="A187" s="146"/>
      <c r="B187" s="146"/>
      <c r="C187" s="146"/>
      <c r="D187" s="146"/>
      <c r="E187" s="146"/>
      <c r="F187" s="146"/>
      <c r="G187" s="146"/>
      <c r="H187" s="146"/>
      <c r="I187" s="146"/>
      <c r="J187" s="146"/>
      <c r="K187" s="146"/>
      <c r="L187" s="146"/>
      <c r="M187" s="146"/>
      <c r="N187" s="146"/>
      <c r="O187" s="146"/>
      <c r="P187" s="146"/>
      <c r="Q187" s="146"/>
      <c r="R187" s="146"/>
      <c r="S187" s="146"/>
      <c r="T187" s="146"/>
      <c r="U187" s="146"/>
      <c r="V187" s="146"/>
      <c r="W187" s="146"/>
      <c r="X187" s="146"/>
      <c r="Y187" s="146"/>
      <c r="Z187" s="146"/>
      <c r="AA187" s="146"/>
      <c r="AB187" s="146"/>
      <c r="AC187" s="146"/>
      <c r="AD187" s="146"/>
      <c r="AE187" s="146"/>
      <c r="AF187" s="146"/>
      <c r="AG187" s="146"/>
    </row>
    <row r="188">
      <c r="A188" s="146"/>
      <c r="B188" s="146"/>
      <c r="C188" s="146"/>
      <c r="D188" s="146"/>
      <c r="E188" s="146"/>
      <c r="F188" s="146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  <c r="Y188" s="146"/>
      <c r="Z188" s="146"/>
      <c r="AA188" s="146"/>
      <c r="AB188" s="146"/>
      <c r="AC188" s="146"/>
      <c r="AD188" s="146"/>
      <c r="AE188" s="146"/>
      <c r="AF188" s="146"/>
      <c r="AG188" s="146"/>
    </row>
    <row r="189">
      <c r="A189" s="146"/>
      <c r="B189" s="146"/>
      <c r="C189" s="146"/>
      <c r="D189" s="146"/>
      <c r="E189" s="146"/>
      <c r="F189" s="146"/>
      <c r="G189" s="146"/>
      <c r="H189" s="146"/>
      <c r="I189" s="146"/>
      <c r="J189" s="146"/>
      <c r="K189" s="146"/>
      <c r="L189" s="146"/>
      <c r="M189" s="146"/>
      <c r="N189" s="146"/>
      <c r="O189" s="146"/>
      <c r="P189" s="146"/>
      <c r="Q189" s="146"/>
      <c r="R189" s="146"/>
      <c r="S189" s="146"/>
      <c r="T189" s="146"/>
      <c r="U189" s="146"/>
      <c r="V189" s="146"/>
      <c r="W189" s="146"/>
      <c r="X189" s="146"/>
      <c r="Y189" s="146"/>
      <c r="Z189" s="146"/>
      <c r="AA189" s="146"/>
      <c r="AB189" s="146"/>
      <c r="AC189" s="146"/>
      <c r="AD189" s="146"/>
      <c r="AE189" s="146"/>
      <c r="AF189" s="146"/>
      <c r="AG189" s="146"/>
    </row>
    <row r="190">
      <c r="A190" s="146"/>
      <c r="B190" s="146"/>
      <c r="C190" s="146"/>
      <c r="D190" s="146"/>
      <c r="E190" s="146"/>
      <c r="F190" s="146"/>
      <c r="G190" s="146"/>
      <c r="H190" s="146"/>
      <c r="I190" s="146"/>
      <c r="J190" s="146"/>
      <c r="K190" s="146"/>
      <c r="L190" s="146"/>
      <c r="M190" s="146"/>
      <c r="N190" s="146"/>
      <c r="O190" s="146"/>
      <c r="P190" s="146"/>
      <c r="Q190" s="146"/>
      <c r="R190" s="146"/>
      <c r="S190" s="146"/>
      <c r="T190" s="146"/>
      <c r="U190" s="146"/>
      <c r="V190" s="146"/>
      <c r="W190" s="146"/>
      <c r="X190" s="146"/>
      <c r="Y190" s="146"/>
      <c r="Z190" s="146"/>
      <c r="AA190" s="146"/>
      <c r="AB190" s="146"/>
      <c r="AC190" s="146"/>
      <c r="AD190" s="146"/>
      <c r="AE190" s="146"/>
      <c r="AF190" s="146"/>
      <c r="AG190" s="146"/>
    </row>
    <row r="191">
      <c r="A191" s="146"/>
      <c r="B191" s="146"/>
      <c r="C191" s="146"/>
      <c r="D191" s="146"/>
      <c r="E191" s="146"/>
      <c r="F191" s="146"/>
      <c r="G191" s="146"/>
      <c r="H191" s="146"/>
      <c r="I191" s="146"/>
      <c r="J191" s="146"/>
      <c r="K191" s="146"/>
      <c r="L191" s="146"/>
      <c r="M191" s="146"/>
      <c r="N191" s="146"/>
      <c r="O191" s="146"/>
      <c r="P191" s="146"/>
      <c r="Q191" s="146"/>
      <c r="R191" s="146"/>
      <c r="S191" s="146"/>
      <c r="T191" s="146"/>
      <c r="U191" s="146"/>
      <c r="V191" s="146"/>
      <c r="W191" s="146"/>
      <c r="X191" s="146"/>
      <c r="Y191" s="146"/>
      <c r="Z191" s="146"/>
      <c r="AA191" s="146"/>
      <c r="AB191" s="146"/>
      <c r="AC191" s="146"/>
      <c r="AD191" s="146"/>
      <c r="AE191" s="146"/>
      <c r="AF191" s="146"/>
      <c r="AG191" s="146"/>
    </row>
    <row r="19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M192" s="146"/>
      <c r="N192" s="146"/>
      <c r="O192" s="146"/>
      <c r="P192" s="146"/>
      <c r="Q192" s="146"/>
      <c r="R192" s="146"/>
      <c r="S192" s="146"/>
      <c r="T192" s="146"/>
      <c r="U192" s="146"/>
      <c r="V192" s="146"/>
      <c r="W192" s="146"/>
      <c r="X192" s="146"/>
      <c r="Y192" s="146"/>
      <c r="Z192" s="146"/>
      <c r="AA192" s="146"/>
      <c r="AB192" s="146"/>
      <c r="AC192" s="146"/>
      <c r="AD192" s="146"/>
      <c r="AE192" s="146"/>
      <c r="AF192" s="146"/>
      <c r="AG192" s="146"/>
    </row>
    <row r="193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M193" s="146"/>
      <c r="N193" s="146"/>
      <c r="O193" s="146"/>
      <c r="P193" s="146"/>
      <c r="Q193" s="146"/>
      <c r="R193" s="146"/>
      <c r="S193" s="146"/>
      <c r="T193" s="146"/>
      <c r="U193" s="146"/>
      <c r="V193" s="146"/>
      <c r="W193" s="146"/>
      <c r="X193" s="146"/>
      <c r="Y193" s="146"/>
      <c r="Z193" s="146"/>
      <c r="AA193" s="146"/>
      <c r="AB193" s="146"/>
      <c r="AC193" s="146"/>
      <c r="AD193" s="146"/>
      <c r="AE193" s="146"/>
      <c r="AF193" s="146"/>
      <c r="AG193" s="146"/>
    </row>
    <row r="194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M194" s="146"/>
      <c r="N194" s="146"/>
      <c r="O194" s="146"/>
      <c r="P194" s="146"/>
      <c r="Q194" s="146"/>
      <c r="R194" s="146"/>
      <c r="S194" s="146"/>
      <c r="T194" s="146"/>
      <c r="U194" s="146"/>
      <c r="V194" s="146"/>
      <c r="W194" s="146"/>
      <c r="X194" s="146"/>
      <c r="Y194" s="146"/>
      <c r="Z194" s="146"/>
      <c r="AA194" s="146"/>
      <c r="AB194" s="146"/>
      <c r="AC194" s="146"/>
      <c r="AD194" s="146"/>
      <c r="AE194" s="146"/>
      <c r="AF194" s="146"/>
      <c r="AG194" s="146"/>
    </row>
    <row r="195">
      <c r="A195" s="146"/>
      <c r="B195" s="146"/>
      <c r="C195" s="146"/>
      <c r="D195" s="146"/>
      <c r="E195" s="146"/>
      <c r="F195" s="146"/>
      <c r="G195" s="146"/>
      <c r="H195" s="146"/>
      <c r="I195" s="146"/>
      <c r="J195" s="146"/>
      <c r="K195" s="146"/>
      <c r="L195" s="146"/>
      <c r="M195" s="146"/>
      <c r="N195" s="146"/>
      <c r="O195" s="146"/>
      <c r="P195" s="146"/>
      <c r="Q195" s="146"/>
      <c r="R195" s="146"/>
      <c r="S195" s="146"/>
      <c r="T195" s="146"/>
      <c r="U195" s="146"/>
      <c r="V195" s="146"/>
      <c r="W195" s="146"/>
      <c r="X195" s="146"/>
      <c r="Y195" s="146"/>
      <c r="Z195" s="146"/>
      <c r="AA195" s="146"/>
      <c r="AB195" s="146"/>
      <c r="AC195" s="146"/>
      <c r="AD195" s="146"/>
      <c r="AE195" s="146"/>
      <c r="AF195" s="146"/>
      <c r="AG195" s="146"/>
    </row>
    <row r="196">
      <c r="A196" s="146"/>
      <c r="B196" s="146"/>
      <c r="C196" s="146"/>
      <c r="D196" s="146"/>
      <c r="E196" s="146"/>
      <c r="F196" s="146"/>
      <c r="G196" s="146"/>
      <c r="H196" s="146"/>
      <c r="I196" s="146"/>
      <c r="J196" s="146"/>
      <c r="K196" s="146"/>
      <c r="L196" s="146"/>
      <c r="M196" s="146"/>
      <c r="N196" s="146"/>
      <c r="O196" s="146"/>
      <c r="P196" s="146"/>
      <c r="Q196" s="146"/>
      <c r="R196" s="146"/>
      <c r="S196" s="146"/>
      <c r="T196" s="146"/>
      <c r="U196" s="146"/>
      <c r="V196" s="146"/>
      <c r="W196" s="146"/>
      <c r="X196" s="146"/>
      <c r="Y196" s="146"/>
      <c r="Z196" s="146"/>
      <c r="AA196" s="146"/>
      <c r="AB196" s="146"/>
      <c r="AC196" s="146"/>
      <c r="AD196" s="146"/>
      <c r="AE196" s="146"/>
      <c r="AF196" s="146"/>
      <c r="AG196" s="146"/>
    </row>
    <row r="197">
      <c r="A197" s="146"/>
      <c r="B197" s="146"/>
      <c r="C197" s="146"/>
      <c r="D197" s="146"/>
      <c r="E197" s="146"/>
      <c r="F197" s="146"/>
      <c r="G197" s="146"/>
      <c r="H197" s="146"/>
      <c r="I197" s="146"/>
      <c r="J197" s="146"/>
      <c r="K197" s="146"/>
      <c r="L197" s="146"/>
      <c r="M197" s="146"/>
      <c r="N197" s="146"/>
      <c r="O197" s="146"/>
      <c r="P197" s="146"/>
      <c r="Q197" s="146"/>
      <c r="R197" s="146"/>
      <c r="S197" s="146"/>
      <c r="T197" s="146"/>
      <c r="U197" s="146"/>
      <c r="V197" s="146"/>
      <c r="W197" s="146"/>
      <c r="X197" s="146"/>
      <c r="Y197" s="146"/>
      <c r="Z197" s="146"/>
      <c r="AA197" s="146"/>
      <c r="AB197" s="146"/>
      <c r="AC197" s="146"/>
      <c r="AD197" s="146"/>
      <c r="AE197" s="146"/>
      <c r="AF197" s="146"/>
      <c r="AG197" s="146"/>
    </row>
    <row r="198">
      <c r="A198" s="146"/>
      <c r="B198" s="146"/>
      <c r="C198" s="146"/>
      <c r="D198" s="146"/>
      <c r="E198" s="146"/>
      <c r="F198" s="146"/>
      <c r="G198" s="146"/>
      <c r="H198" s="146"/>
      <c r="I198" s="146"/>
      <c r="J198" s="146"/>
      <c r="K198" s="146"/>
      <c r="L198" s="146"/>
      <c r="M198" s="146"/>
      <c r="N198" s="146"/>
      <c r="O198" s="146"/>
      <c r="P198" s="146"/>
      <c r="Q198" s="146"/>
      <c r="R198" s="146"/>
      <c r="S198" s="146"/>
      <c r="T198" s="146"/>
      <c r="U198" s="146"/>
      <c r="V198" s="146"/>
      <c r="W198" s="146"/>
      <c r="X198" s="146"/>
      <c r="Y198" s="146"/>
      <c r="Z198" s="146"/>
      <c r="AA198" s="146"/>
      <c r="AB198" s="146"/>
      <c r="AC198" s="146"/>
      <c r="AD198" s="146"/>
      <c r="AE198" s="146"/>
      <c r="AF198" s="146"/>
      <c r="AG198" s="146"/>
    </row>
    <row r="199">
      <c r="A199" s="146"/>
      <c r="B199" s="146"/>
      <c r="C199" s="146"/>
      <c r="D199" s="146"/>
      <c r="E199" s="146"/>
      <c r="F199" s="146"/>
      <c r="G199" s="146"/>
      <c r="H199" s="146"/>
      <c r="I199" s="146"/>
      <c r="J199" s="146"/>
      <c r="K199" s="146"/>
      <c r="L199" s="146"/>
      <c r="M199" s="146"/>
      <c r="N199" s="146"/>
      <c r="O199" s="146"/>
      <c r="P199" s="146"/>
      <c r="Q199" s="146"/>
      <c r="R199" s="146"/>
      <c r="S199" s="146"/>
      <c r="T199" s="146"/>
      <c r="U199" s="146"/>
      <c r="V199" s="146"/>
      <c r="W199" s="146"/>
      <c r="X199" s="146"/>
      <c r="Y199" s="146"/>
      <c r="Z199" s="146"/>
      <c r="AA199" s="146"/>
      <c r="AB199" s="146"/>
      <c r="AC199" s="146"/>
      <c r="AD199" s="146"/>
      <c r="AE199" s="146"/>
      <c r="AF199" s="146"/>
      <c r="AG199" s="146"/>
    </row>
    <row r="200">
      <c r="A200" s="146"/>
      <c r="B200" s="146"/>
      <c r="C200" s="146"/>
      <c r="D200" s="146"/>
      <c r="E200" s="146"/>
      <c r="F200" s="146"/>
      <c r="G200" s="146"/>
      <c r="H200" s="146"/>
      <c r="I200" s="146"/>
      <c r="J200" s="146"/>
      <c r="K200" s="146"/>
      <c r="L200" s="146"/>
      <c r="M200" s="146"/>
      <c r="N200" s="146"/>
      <c r="O200" s="146"/>
      <c r="P200" s="146"/>
      <c r="Q200" s="146"/>
      <c r="R200" s="146"/>
      <c r="S200" s="146"/>
      <c r="T200" s="146"/>
      <c r="U200" s="146"/>
      <c r="V200" s="146"/>
      <c r="W200" s="146"/>
      <c r="X200" s="146"/>
      <c r="Y200" s="146"/>
      <c r="Z200" s="146"/>
      <c r="AA200" s="146"/>
      <c r="AB200" s="146"/>
      <c r="AC200" s="146"/>
      <c r="AD200" s="146"/>
      <c r="AE200" s="146"/>
      <c r="AF200" s="146"/>
      <c r="AG200" s="146"/>
    </row>
    <row r="201">
      <c r="A201" s="146"/>
      <c r="B201" s="146"/>
      <c r="C201" s="146"/>
      <c r="D201" s="146"/>
      <c r="E201" s="146"/>
      <c r="F201" s="146"/>
      <c r="G201" s="146"/>
      <c r="H201" s="146"/>
      <c r="I201" s="146"/>
      <c r="J201" s="146"/>
      <c r="K201" s="146"/>
      <c r="L201" s="146"/>
      <c r="M201" s="146"/>
      <c r="N201" s="146"/>
      <c r="O201" s="146"/>
      <c r="P201" s="146"/>
      <c r="Q201" s="146"/>
      <c r="R201" s="146"/>
      <c r="S201" s="146"/>
      <c r="T201" s="146"/>
      <c r="U201" s="146"/>
      <c r="V201" s="146"/>
      <c r="W201" s="146"/>
      <c r="X201" s="146"/>
      <c r="Y201" s="146"/>
      <c r="Z201" s="146"/>
      <c r="AA201" s="146"/>
      <c r="AB201" s="146"/>
      <c r="AC201" s="146"/>
      <c r="AD201" s="146"/>
      <c r="AE201" s="146"/>
      <c r="AF201" s="146"/>
      <c r="AG201" s="146"/>
    </row>
    <row r="202">
      <c r="A202" s="146"/>
      <c r="B202" s="146"/>
      <c r="C202" s="146"/>
      <c r="D202" s="146"/>
      <c r="E202" s="146"/>
      <c r="F202" s="146"/>
      <c r="G202" s="146"/>
      <c r="H202" s="146"/>
      <c r="I202" s="146"/>
      <c r="J202" s="146"/>
      <c r="K202" s="146"/>
      <c r="L202" s="146"/>
      <c r="M202" s="146"/>
      <c r="N202" s="146"/>
      <c r="O202" s="146"/>
      <c r="P202" s="146"/>
      <c r="Q202" s="146"/>
      <c r="R202" s="146"/>
      <c r="S202" s="146"/>
      <c r="T202" s="146"/>
      <c r="U202" s="146"/>
      <c r="V202" s="146"/>
      <c r="W202" s="146"/>
      <c r="X202" s="146"/>
      <c r="Y202" s="146"/>
      <c r="Z202" s="146"/>
      <c r="AA202" s="146"/>
      <c r="AB202" s="146"/>
      <c r="AC202" s="146"/>
      <c r="AD202" s="146"/>
      <c r="AE202" s="146"/>
      <c r="AF202" s="146"/>
      <c r="AG202" s="146"/>
    </row>
    <row r="203">
      <c r="A203" s="146"/>
      <c r="B203" s="146"/>
      <c r="C203" s="146"/>
      <c r="D203" s="146"/>
      <c r="E203" s="146"/>
      <c r="F203" s="146"/>
      <c r="G203" s="146"/>
      <c r="H203" s="146"/>
      <c r="I203" s="146"/>
      <c r="J203" s="146"/>
      <c r="K203" s="146"/>
      <c r="L203" s="146"/>
      <c r="M203" s="146"/>
      <c r="N203" s="146"/>
      <c r="O203" s="146"/>
      <c r="P203" s="146"/>
      <c r="Q203" s="146"/>
      <c r="R203" s="146"/>
      <c r="S203" s="146"/>
      <c r="T203" s="146"/>
      <c r="U203" s="146"/>
      <c r="V203" s="146"/>
      <c r="W203" s="146"/>
      <c r="X203" s="146"/>
      <c r="Y203" s="146"/>
      <c r="Z203" s="146"/>
      <c r="AA203" s="146"/>
      <c r="AB203" s="146"/>
      <c r="AC203" s="146"/>
      <c r="AD203" s="146"/>
      <c r="AE203" s="146"/>
      <c r="AF203" s="146"/>
      <c r="AG203" s="146"/>
    </row>
    <row r="204">
      <c r="A204" s="146"/>
      <c r="B204" s="146"/>
      <c r="C204" s="146"/>
      <c r="D204" s="146"/>
      <c r="E204" s="146"/>
      <c r="F204" s="146"/>
      <c r="G204" s="146"/>
      <c r="H204" s="146"/>
      <c r="I204" s="146"/>
      <c r="J204" s="146"/>
      <c r="K204" s="146"/>
      <c r="L204" s="146"/>
      <c r="M204" s="146"/>
      <c r="N204" s="146"/>
      <c r="O204" s="146"/>
      <c r="P204" s="146"/>
      <c r="Q204" s="146"/>
      <c r="R204" s="146"/>
      <c r="S204" s="146"/>
      <c r="T204" s="146"/>
      <c r="U204" s="146"/>
      <c r="V204" s="146"/>
      <c r="W204" s="146"/>
      <c r="X204" s="146"/>
      <c r="Y204" s="146"/>
      <c r="Z204" s="146"/>
      <c r="AA204" s="146"/>
      <c r="AB204" s="146"/>
      <c r="AC204" s="146"/>
      <c r="AD204" s="146"/>
      <c r="AE204" s="146"/>
      <c r="AF204" s="146"/>
      <c r="AG204" s="146"/>
    </row>
    <row r="205">
      <c r="A205" s="146"/>
      <c r="B205" s="146"/>
      <c r="C205" s="146"/>
      <c r="D205" s="146"/>
      <c r="E205" s="146"/>
      <c r="F205" s="146"/>
      <c r="G205" s="146"/>
      <c r="H205" s="146"/>
      <c r="I205" s="146"/>
      <c r="J205" s="146"/>
      <c r="K205" s="146"/>
      <c r="L205" s="146"/>
      <c r="M205" s="146"/>
      <c r="N205" s="146"/>
      <c r="O205" s="146"/>
      <c r="P205" s="146"/>
      <c r="Q205" s="146"/>
      <c r="R205" s="146"/>
      <c r="S205" s="146"/>
      <c r="T205" s="146"/>
      <c r="U205" s="146"/>
      <c r="V205" s="146"/>
      <c r="W205" s="146"/>
      <c r="X205" s="146"/>
      <c r="Y205" s="146"/>
      <c r="Z205" s="146"/>
      <c r="AA205" s="146"/>
      <c r="AB205" s="146"/>
      <c r="AC205" s="146"/>
      <c r="AD205" s="146"/>
      <c r="AE205" s="146"/>
      <c r="AF205" s="146"/>
      <c r="AG205" s="146"/>
    </row>
    <row r="206">
      <c r="A206" s="146"/>
      <c r="B206" s="146"/>
      <c r="C206" s="146"/>
      <c r="D206" s="146"/>
      <c r="E206" s="146"/>
      <c r="F206" s="146"/>
      <c r="G206" s="146"/>
      <c r="H206" s="146"/>
      <c r="I206" s="146"/>
      <c r="J206" s="146"/>
      <c r="K206" s="146"/>
      <c r="L206" s="146"/>
      <c r="M206" s="146"/>
      <c r="N206" s="146"/>
      <c r="O206" s="146"/>
      <c r="P206" s="146"/>
      <c r="Q206" s="146"/>
      <c r="R206" s="146"/>
      <c r="S206" s="146"/>
      <c r="T206" s="146"/>
      <c r="U206" s="146"/>
      <c r="V206" s="146"/>
      <c r="W206" s="146"/>
      <c r="X206" s="146"/>
      <c r="Y206" s="146"/>
      <c r="Z206" s="146"/>
      <c r="AA206" s="146"/>
      <c r="AB206" s="146"/>
      <c r="AC206" s="146"/>
      <c r="AD206" s="146"/>
      <c r="AE206" s="146"/>
      <c r="AF206" s="146"/>
      <c r="AG206" s="146"/>
    </row>
    <row r="207">
      <c r="A207" s="146"/>
      <c r="B207" s="146"/>
      <c r="C207" s="146"/>
      <c r="D207" s="146"/>
      <c r="E207" s="146"/>
      <c r="F207" s="146"/>
      <c r="G207" s="146"/>
      <c r="H207" s="146"/>
      <c r="I207" s="146"/>
      <c r="J207" s="146"/>
      <c r="K207" s="146"/>
      <c r="L207" s="146"/>
      <c r="M207" s="146"/>
      <c r="N207" s="146"/>
      <c r="O207" s="146"/>
      <c r="P207" s="146"/>
      <c r="Q207" s="146"/>
      <c r="R207" s="146"/>
      <c r="S207" s="146"/>
      <c r="T207" s="146"/>
      <c r="U207" s="146"/>
      <c r="V207" s="146"/>
      <c r="W207" s="146"/>
      <c r="X207" s="146"/>
      <c r="Y207" s="146"/>
      <c r="Z207" s="146"/>
      <c r="AA207" s="146"/>
      <c r="AB207" s="146"/>
      <c r="AC207" s="146"/>
      <c r="AD207" s="146"/>
      <c r="AE207" s="146"/>
      <c r="AF207" s="146"/>
      <c r="AG207" s="146"/>
    </row>
    <row r="208">
      <c r="A208" s="146"/>
      <c r="B208" s="146"/>
      <c r="C208" s="146"/>
      <c r="D208" s="146"/>
      <c r="E208" s="146"/>
      <c r="F208" s="146"/>
      <c r="G208" s="146"/>
      <c r="H208" s="146"/>
      <c r="I208" s="146"/>
      <c r="J208" s="146"/>
      <c r="K208" s="146"/>
      <c r="L208" s="146"/>
      <c r="M208" s="146"/>
      <c r="N208" s="146"/>
      <c r="O208" s="146"/>
      <c r="P208" s="146"/>
      <c r="Q208" s="146"/>
      <c r="R208" s="146"/>
      <c r="S208" s="146"/>
      <c r="T208" s="146"/>
      <c r="U208" s="146"/>
      <c r="V208" s="146"/>
      <c r="W208" s="146"/>
      <c r="X208" s="146"/>
      <c r="Y208" s="146"/>
      <c r="Z208" s="146"/>
      <c r="AA208" s="146"/>
      <c r="AB208" s="146"/>
      <c r="AC208" s="146"/>
      <c r="AD208" s="146"/>
      <c r="AE208" s="146"/>
      <c r="AF208" s="146"/>
      <c r="AG208" s="146"/>
    </row>
    <row r="209">
      <c r="A209" s="146"/>
      <c r="B209" s="146"/>
      <c r="C209" s="146"/>
      <c r="D209" s="146"/>
      <c r="E209" s="146"/>
      <c r="F209" s="146"/>
      <c r="G209" s="146"/>
      <c r="H209" s="146"/>
      <c r="I209" s="146"/>
      <c r="J209" s="146"/>
      <c r="K209" s="146"/>
      <c r="L209" s="146"/>
      <c r="M209" s="146"/>
      <c r="N209" s="146"/>
      <c r="O209" s="146"/>
      <c r="P209" s="146"/>
      <c r="Q209" s="146"/>
      <c r="R209" s="146"/>
      <c r="S209" s="146"/>
      <c r="T209" s="146"/>
      <c r="U209" s="146"/>
      <c r="V209" s="146"/>
      <c r="W209" s="146"/>
      <c r="X209" s="146"/>
      <c r="Y209" s="146"/>
      <c r="Z209" s="146"/>
      <c r="AA209" s="146"/>
      <c r="AB209" s="146"/>
      <c r="AC209" s="146"/>
      <c r="AD209" s="146"/>
      <c r="AE209" s="146"/>
      <c r="AF209" s="146"/>
      <c r="AG209" s="146"/>
    </row>
    <row r="210">
      <c r="A210" s="146"/>
      <c r="B210" s="146"/>
      <c r="C210" s="146"/>
      <c r="D210" s="146"/>
      <c r="E210" s="146"/>
      <c r="F210" s="146"/>
      <c r="G210" s="146"/>
      <c r="H210" s="146"/>
      <c r="I210" s="146"/>
      <c r="J210" s="146"/>
      <c r="K210" s="146"/>
      <c r="L210" s="146"/>
      <c r="M210" s="146"/>
      <c r="N210" s="146"/>
      <c r="O210" s="146"/>
      <c r="P210" s="146"/>
      <c r="Q210" s="146"/>
      <c r="R210" s="146"/>
      <c r="S210" s="146"/>
      <c r="T210" s="146"/>
      <c r="U210" s="146"/>
      <c r="V210" s="146"/>
      <c r="W210" s="146"/>
      <c r="X210" s="146"/>
      <c r="Y210" s="146"/>
      <c r="Z210" s="146"/>
      <c r="AA210" s="146"/>
      <c r="AB210" s="146"/>
      <c r="AC210" s="146"/>
      <c r="AD210" s="146"/>
      <c r="AE210" s="146"/>
      <c r="AF210" s="146"/>
      <c r="AG210" s="146"/>
    </row>
    <row r="211">
      <c r="A211" s="146"/>
      <c r="B211" s="146"/>
      <c r="C211" s="146"/>
      <c r="D211" s="146"/>
      <c r="E211" s="146"/>
      <c r="F211" s="146"/>
      <c r="G211" s="146"/>
      <c r="H211" s="146"/>
      <c r="I211" s="146"/>
      <c r="J211" s="146"/>
      <c r="K211" s="146"/>
      <c r="L211" s="146"/>
      <c r="M211" s="146"/>
      <c r="N211" s="146"/>
      <c r="O211" s="146"/>
      <c r="P211" s="146"/>
      <c r="Q211" s="146"/>
      <c r="R211" s="146"/>
      <c r="S211" s="146"/>
      <c r="T211" s="146"/>
      <c r="U211" s="146"/>
      <c r="V211" s="146"/>
      <c r="W211" s="146"/>
      <c r="X211" s="146"/>
      <c r="Y211" s="146"/>
      <c r="Z211" s="146"/>
      <c r="AA211" s="146"/>
      <c r="AB211" s="146"/>
      <c r="AC211" s="146"/>
      <c r="AD211" s="146"/>
      <c r="AE211" s="146"/>
      <c r="AF211" s="146"/>
      <c r="AG211" s="146"/>
    </row>
    <row r="212">
      <c r="A212" s="146"/>
      <c r="B212" s="146"/>
      <c r="C212" s="146"/>
      <c r="D212" s="146"/>
      <c r="E212" s="146"/>
      <c r="F212" s="146"/>
      <c r="G212" s="146"/>
      <c r="H212" s="146"/>
      <c r="I212" s="146"/>
      <c r="J212" s="146"/>
      <c r="K212" s="146"/>
      <c r="L212" s="146"/>
      <c r="M212" s="146"/>
      <c r="N212" s="146"/>
      <c r="O212" s="146"/>
      <c r="P212" s="146"/>
      <c r="Q212" s="146"/>
      <c r="R212" s="146"/>
      <c r="S212" s="146"/>
      <c r="T212" s="146"/>
      <c r="U212" s="146"/>
      <c r="V212" s="146"/>
      <c r="W212" s="146"/>
      <c r="X212" s="146"/>
      <c r="Y212" s="146"/>
      <c r="Z212" s="146"/>
      <c r="AA212" s="146"/>
      <c r="AB212" s="146"/>
      <c r="AC212" s="146"/>
      <c r="AD212" s="146"/>
      <c r="AE212" s="146"/>
      <c r="AF212" s="146"/>
      <c r="AG212" s="146"/>
    </row>
    <row r="213">
      <c r="A213" s="146"/>
      <c r="B213" s="146"/>
      <c r="C213" s="146"/>
      <c r="D213" s="146"/>
      <c r="E213" s="146"/>
      <c r="F213" s="146"/>
      <c r="G213" s="146"/>
      <c r="H213" s="146"/>
      <c r="I213" s="146"/>
      <c r="J213" s="146"/>
      <c r="K213" s="146"/>
      <c r="L213" s="146"/>
      <c r="M213" s="146"/>
      <c r="N213" s="146"/>
      <c r="O213" s="146"/>
      <c r="P213" s="146"/>
      <c r="Q213" s="146"/>
      <c r="R213" s="146"/>
      <c r="S213" s="146"/>
      <c r="T213" s="146"/>
      <c r="U213" s="146"/>
      <c r="V213" s="146"/>
      <c r="W213" s="146"/>
      <c r="X213" s="146"/>
      <c r="Y213" s="146"/>
      <c r="Z213" s="146"/>
      <c r="AA213" s="146"/>
      <c r="AB213" s="146"/>
      <c r="AC213" s="146"/>
      <c r="AD213" s="146"/>
      <c r="AE213" s="146"/>
      <c r="AF213" s="146"/>
      <c r="AG213" s="146"/>
    </row>
    <row r="214">
      <c r="A214" s="146"/>
      <c r="B214" s="146"/>
      <c r="C214" s="146"/>
      <c r="D214" s="146"/>
      <c r="E214" s="146"/>
      <c r="F214" s="146"/>
      <c r="G214" s="146"/>
      <c r="H214" s="146"/>
      <c r="I214" s="146"/>
      <c r="J214" s="146"/>
      <c r="K214" s="146"/>
      <c r="L214" s="146"/>
      <c r="M214" s="146"/>
      <c r="N214" s="146"/>
      <c r="O214" s="146"/>
      <c r="P214" s="146"/>
      <c r="Q214" s="146"/>
      <c r="R214" s="146"/>
      <c r="S214" s="146"/>
      <c r="T214" s="146"/>
      <c r="U214" s="146"/>
      <c r="V214" s="146"/>
      <c r="W214" s="146"/>
      <c r="X214" s="146"/>
      <c r="Y214" s="146"/>
      <c r="Z214" s="146"/>
      <c r="AA214" s="146"/>
      <c r="AB214" s="146"/>
      <c r="AC214" s="146"/>
      <c r="AD214" s="146"/>
      <c r="AE214" s="146"/>
      <c r="AF214" s="146"/>
      <c r="AG214" s="146"/>
    </row>
    <row r="215">
      <c r="A215" s="146"/>
      <c r="B215" s="146"/>
      <c r="C215" s="146"/>
      <c r="D215" s="146"/>
      <c r="E215" s="146"/>
      <c r="F215" s="146"/>
      <c r="G215" s="146"/>
      <c r="H215" s="146"/>
      <c r="I215" s="146"/>
      <c r="J215" s="146"/>
      <c r="K215" s="146"/>
      <c r="L215" s="146"/>
      <c r="M215" s="146"/>
      <c r="N215" s="146"/>
      <c r="O215" s="146"/>
      <c r="P215" s="146"/>
      <c r="Q215" s="146"/>
      <c r="R215" s="146"/>
      <c r="S215" s="146"/>
      <c r="T215" s="146"/>
      <c r="U215" s="146"/>
      <c r="V215" s="146"/>
      <c r="W215" s="146"/>
      <c r="X215" s="146"/>
      <c r="Y215" s="146"/>
      <c r="Z215" s="146"/>
      <c r="AA215" s="146"/>
      <c r="AB215" s="146"/>
      <c r="AC215" s="146"/>
      <c r="AD215" s="146"/>
      <c r="AE215" s="146"/>
      <c r="AF215" s="146"/>
      <c r="AG215" s="146"/>
    </row>
    <row r="216">
      <c r="A216" s="146"/>
      <c r="B216" s="146"/>
      <c r="C216" s="146"/>
      <c r="D216" s="146"/>
      <c r="E216" s="146"/>
      <c r="F216" s="146"/>
      <c r="G216" s="146"/>
      <c r="H216" s="146"/>
      <c r="I216" s="146"/>
      <c r="J216" s="146"/>
      <c r="K216" s="146"/>
      <c r="L216" s="146"/>
      <c r="M216" s="146"/>
      <c r="N216" s="146"/>
      <c r="O216" s="146"/>
      <c r="P216" s="146"/>
      <c r="Q216" s="146"/>
      <c r="R216" s="146"/>
      <c r="S216" s="146"/>
      <c r="T216" s="146"/>
      <c r="U216" s="146"/>
      <c r="V216" s="146"/>
      <c r="W216" s="146"/>
      <c r="X216" s="146"/>
      <c r="Y216" s="146"/>
      <c r="Z216" s="146"/>
      <c r="AA216" s="146"/>
      <c r="AB216" s="146"/>
      <c r="AC216" s="146"/>
      <c r="AD216" s="146"/>
      <c r="AE216" s="146"/>
      <c r="AF216" s="146"/>
      <c r="AG216" s="146"/>
    </row>
    <row r="217">
      <c r="A217" s="146"/>
      <c r="B217" s="146"/>
      <c r="C217" s="146"/>
      <c r="D217" s="146"/>
      <c r="E217" s="146"/>
      <c r="F217" s="146"/>
      <c r="G217" s="146"/>
      <c r="H217" s="146"/>
      <c r="I217" s="146"/>
      <c r="J217" s="146"/>
      <c r="K217" s="146"/>
      <c r="L217" s="146"/>
      <c r="M217" s="146"/>
      <c r="N217" s="146"/>
      <c r="O217" s="146"/>
      <c r="P217" s="146"/>
      <c r="Q217" s="146"/>
      <c r="R217" s="146"/>
      <c r="S217" s="146"/>
      <c r="T217" s="146"/>
      <c r="U217" s="146"/>
      <c r="V217" s="146"/>
      <c r="W217" s="146"/>
      <c r="X217" s="146"/>
      <c r="Y217" s="146"/>
      <c r="Z217" s="146"/>
      <c r="AA217" s="146"/>
      <c r="AB217" s="146"/>
      <c r="AC217" s="146"/>
      <c r="AD217" s="146"/>
      <c r="AE217" s="146"/>
      <c r="AF217" s="146"/>
      <c r="AG217" s="146"/>
    </row>
    <row r="218">
      <c r="A218" s="146"/>
      <c r="B218" s="146"/>
      <c r="C218" s="146"/>
      <c r="D218" s="146"/>
      <c r="E218" s="146"/>
      <c r="F218" s="146"/>
      <c r="G218" s="146"/>
      <c r="H218" s="146"/>
      <c r="I218" s="146"/>
      <c r="J218" s="146"/>
      <c r="K218" s="146"/>
      <c r="L218" s="146"/>
      <c r="M218" s="146"/>
      <c r="N218" s="146"/>
      <c r="O218" s="146"/>
      <c r="P218" s="146"/>
      <c r="Q218" s="146"/>
      <c r="R218" s="146"/>
      <c r="S218" s="146"/>
      <c r="T218" s="146"/>
      <c r="U218" s="146"/>
      <c r="V218" s="146"/>
      <c r="W218" s="146"/>
      <c r="X218" s="146"/>
      <c r="Y218" s="146"/>
      <c r="Z218" s="146"/>
      <c r="AA218" s="146"/>
      <c r="AB218" s="146"/>
      <c r="AC218" s="146"/>
      <c r="AD218" s="146"/>
      <c r="AE218" s="146"/>
      <c r="AF218" s="146"/>
      <c r="AG218" s="146"/>
    </row>
    <row r="219">
      <c r="A219" s="146"/>
      <c r="B219" s="146"/>
      <c r="C219" s="146"/>
      <c r="D219" s="146"/>
      <c r="E219" s="146"/>
      <c r="F219" s="146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  <c r="Y219" s="146"/>
      <c r="Z219" s="146"/>
      <c r="AA219" s="146"/>
      <c r="AB219" s="146"/>
      <c r="AC219" s="146"/>
      <c r="AD219" s="146"/>
      <c r="AE219" s="146"/>
      <c r="AF219" s="146"/>
      <c r="AG219" s="146"/>
    </row>
    <row r="220">
      <c r="A220" s="146"/>
      <c r="B220" s="146"/>
      <c r="C220" s="146"/>
      <c r="D220" s="146"/>
      <c r="E220" s="146"/>
      <c r="F220" s="146"/>
      <c r="G220" s="146"/>
      <c r="H220" s="146"/>
      <c r="I220" s="146"/>
      <c r="J220" s="146"/>
      <c r="K220" s="146"/>
      <c r="L220" s="146"/>
      <c r="M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  <c r="Y220" s="146"/>
      <c r="Z220" s="146"/>
      <c r="AA220" s="146"/>
      <c r="AB220" s="146"/>
      <c r="AC220" s="146"/>
      <c r="AD220" s="146"/>
      <c r="AE220" s="146"/>
      <c r="AF220" s="146"/>
      <c r="AG220" s="146"/>
    </row>
    <row r="221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M221" s="146"/>
      <c r="N221" s="146"/>
      <c r="O221" s="146"/>
      <c r="P221" s="146"/>
      <c r="Q221" s="146"/>
      <c r="R221" s="146"/>
      <c r="S221" s="146"/>
      <c r="T221" s="146"/>
      <c r="U221" s="146"/>
      <c r="V221" s="146"/>
      <c r="W221" s="146"/>
      <c r="X221" s="146"/>
      <c r="Y221" s="146"/>
      <c r="Z221" s="146"/>
      <c r="AA221" s="146"/>
      <c r="AB221" s="146"/>
      <c r="AC221" s="146"/>
      <c r="AD221" s="146"/>
      <c r="AE221" s="146"/>
      <c r="AF221" s="146"/>
      <c r="AG221" s="146"/>
    </row>
    <row r="222">
      <c r="A222" s="146"/>
      <c r="B222" s="146"/>
      <c r="C222" s="146"/>
      <c r="D222" s="146"/>
      <c r="E222" s="146"/>
      <c r="F222" s="146"/>
      <c r="G222" s="146"/>
      <c r="H222" s="146"/>
      <c r="I222" s="146"/>
      <c r="J222" s="146"/>
      <c r="K222" s="146"/>
      <c r="L222" s="146"/>
      <c r="M222" s="146"/>
      <c r="N222" s="146"/>
      <c r="O222" s="146"/>
      <c r="P222" s="146"/>
      <c r="Q222" s="146"/>
      <c r="R222" s="146"/>
      <c r="S222" s="146"/>
      <c r="T222" s="146"/>
      <c r="U222" s="146"/>
      <c r="V222" s="146"/>
      <c r="W222" s="146"/>
      <c r="X222" s="146"/>
      <c r="Y222" s="146"/>
      <c r="Z222" s="146"/>
      <c r="AA222" s="146"/>
      <c r="AB222" s="146"/>
      <c r="AC222" s="146"/>
      <c r="AD222" s="146"/>
      <c r="AE222" s="146"/>
      <c r="AF222" s="146"/>
      <c r="AG222" s="146"/>
    </row>
    <row r="223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M223" s="146"/>
      <c r="N223" s="146"/>
      <c r="O223" s="146"/>
      <c r="P223" s="146"/>
      <c r="Q223" s="146"/>
      <c r="R223" s="146"/>
      <c r="S223" s="146"/>
      <c r="T223" s="146"/>
      <c r="U223" s="146"/>
      <c r="V223" s="146"/>
      <c r="W223" s="146"/>
      <c r="X223" s="146"/>
      <c r="Y223" s="146"/>
      <c r="Z223" s="146"/>
      <c r="AA223" s="146"/>
      <c r="AB223" s="146"/>
      <c r="AC223" s="146"/>
      <c r="AD223" s="146"/>
      <c r="AE223" s="146"/>
      <c r="AF223" s="146"/>
      <c r="AG223" s="146"/>
    </row>
    <row r="224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M224" s="146"/>
      <c r="N224" s="146"/>
      <c r="O224" s="146"/>
      <c r="P224" s="146"/>
      <c r="Q224" s="146"/>
      <c r="R224" s="146"/>
      <c r="S224" s="146"/>
      <c r="T224" s="146"/>
      <c r="U224" s="146"/>
      <c r="V224" s="146"/>
      <c r="W224" s="146"/>
      <c r="X224" s="146"/>
      <c r="Y224" s="146"/>
      <c r="Z224" s="146"/>
      <c r="AA224" s="146"/>
      <c r="AB224" s="146"/>
      <c r="AC224" s="146"/>
      <c r="AD224" s="146"/>
      <c r="AE224" s="146"/>
      <c r="AF224" s="146"/>
      <c r="AG224" s="146"/>
    </row>
    <row r="225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M225" s="146"/>
      <c r="N225" s="146"/>
      <c r="O225" s="146"/>
      <c r="P225" s="146"/>
      <c r="Q225" s="146"/>
      <c r="R225" s="146"/>
      <c r="S225" s="146"/>
      <c r="T225" s="146"/>
      <c r="U225" s="146"/>
      <c r="V225" s="146"/>
      <c r="W225" s="146"/>
      <c r="X225" s="146"/>
      <c r="Y225" s="146"/>
      <c r="Z225" s="146"/>
      <c r="AA225" s="146"/>
      <c r="AB225" s="146"/>
      <c r="AC225" s="146"/>
      <c r="AD225" s="146"/>
      <c r="AE225" s="146"/>
      <c r="AF225" s="146"/>
      <c r="AG225" s="146"/>
    </row>
    <row r="226">
      <c r="A226" s="146"/>
      <c r="B226" s="146"/>
      <c r="C226" s="146"/>
      <c r="D226" s="146"/>
      <c r="E226" s="146"/>
      <c r="F226" s="146"/>
      <c r="G226" s="146"/>
      <c r="H226" s="146"/>
      <c r="I226" s="146"/>
      <c r="J226" s="146"/>
      <c r="K226" s="146"/>
      <c r="L226" s="146"/>
      <c r="M226" s="146"/>
      <c r="N226" s="146"/>
      <c r="O226" s="146"/>
      <c r="P226" s="146"/>
      <c r="Q226" s="146"/>
      <c r="R226" s="146"/>
      <c r="S226" s="146"/>
      <c r="T226" s="146"/>
      <c r="U226" s="146"/>
      <c r="V226" s="146"/>
      <c r="W226" s="146"/>
      <c r="X226" s="146"/>
      <c r="Y226" s="146"/>
      <c r="Z226" s="146"/>
      <c r="AA226" s="146"/>
      <c r="AB226" s="146"/>
      <c r="AC226" s="146"/>
      <c r="AD226" s="146"/>
      <c r="AE226" s="146"/>
      <c r="AF226" s="146"/>
      <c r="AG226" s="146"/>
    </row>
    <row r="227">
      <c r="A227" s="146"/>
      <c r="B227" s="146"/>
      <c r="C227" s="146"/>
      <c r="D227" s="146"/>
      <c r="E227" s="146"/>
      <c r="F227" s="146"/>
      <c r="G227" s="146"/>
      <c r="H227" s="146"/>
      <c r="I227" s="146"/>
      <c r="J227" s="146"/>
      <c r="K227" s="146"/>
      <c r="L227" s="146"/>
      <c r="M227" s="146"/>
      <c r="N227" s="146"/>
      <c r="O227" s="146"/>
      <c r="P227" s="146"/>
      <c r="Q227" s="146"/>
      <c r="R227" s="146"/>
      <c r="S227" s="146"/>
      <c r="T227" s="146"/>
      <c r="U227" s="146"/>
      <c r="V227" s="146"/>
      <c r="W227" s="146"/>
      <c r="X227" s="146"/>
      <c r="Y227" s="146"/>
      <c r="Z227" s="146"/>
      <c r="AA227" s="146"/>
      <c r="AB227" s="146"/>
      <c r="AC227" s="146"/>
      <c r="AD227" s="146"/>
      <c r="AE227" s="146"/>
      <c r="AF227" s="146"/>
      <c r="AG227" s="146"/>
    </row>
    <row r="228">
      <c r="A228" s="146"/>
      <c r="B228" s="146"/>
      <c r="C228" s="146"/>
      <c r="D228" s="146"/>
      <c r="E228" s="146"/>
      <c r="F228" s="146"/>
      <c r="G228" s="146"/>
      <c r="H228" s="146"/>
      <c r="I228" s="146"/>
      <c r="J228" s="146"/>
      <c r="K228" s="146"/>
      <c r="L228" s="146"/>
      <c r="M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/>
      <c r="Y228" s="146"/>
      <c r="Z228" s="146"/>
      <c r="AA228" s="146"/>
      <c r="AB228" s="146"/>
      <c r="AC228" s="146"/>
      <c r="AD228" s="146"/>
      <c r="AE228" s="146"/>
      <c r="AF228" s="146"/>
      <c r="AG228" s="146"/>
    </row>
    <row r="229">
      <c r="A229" s="146"/>
      <c r="B229" s="146"/>
      <c r="C229" s="146"/>
      <c r="D229" s="146"/>
      <c r="E229" s="146"/>
      <c r="F229" s="146"/>
      <c r="G229" s="146"/>
      <c r="H229" s="146"/>
      <c r="I229" s="146"/>
      <c r="J229" s="146"/>
      <c r="K229" s="146"/>
      <c r="L229" s="146"/>
      <c r="M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/>
      <c r="Y229" s="146"/>
      <c r="Z229" s="146"/>
      <c r="AA229" s="146"/>
      <c r="AB229" s="146"/>
      <c r="AC229" s="146"/>
      <c r="AD229" s="146"/>
      <c r="AE229" s="146"/>
      <c r="AF229" s="146"/>
      <c r="AG229" s="146"/>
    </row>
    <row r="230">
      <c r="A230" s="146"/>
      <c r="B230" s="146"/>
      <c r="C230" s="146"/>
      <c r="D230" s="146"/>
      <c r="E230" s="146"/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  <c r="AD230" s="146"/>
      <c r="AE230" s="146"/>
      <c r="AF230" s="146"/>
      <c r="AG230" s="146"/>
    </row>
    <row r="231">
      <c r="A231" s="146"/>
      <c r="B231" s="146"/>
      <c r="C231" s="146"/>
      <c r="D231" s="146"/>
      <c r="E231" s="146"/>
      <c r="F231" s="146"/>
      <c r="G231" s="146"/>
      <c r="H231" s="146"/>
      <c r="I231" s="146"/>
      <c r="J231" s="146"/>
      <c r="K231" s="146"/>
      <c r="L231" s="146"/>
      <c r="M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/>
      <c r="Y231" s="146"/>
      <c r="Z231" s="146"/>
      <c r="AA231" s="146"/>
      <c r="AB231" s="146"/>
      <c r="AC231" s="146"/>
      <c r="AD231" s="146"/>
      <c r="AE231" s="146"/>
      <c r="AF231" s="146"/>
      <c r="AG231" s="146"/>
    </row>
    <row r="232">
      <c r="A232" s="146"/>
      <c r="B232" s="146"/>
      <c r="C232" s="146"/>
      <c r="D232" s="146"/>
      <c r="E232" s="146"/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  <c r="AD232" s="146"/>
      <c r="AE232" s="146"/>
      <c r="AF232" s="146"/>
      <c r="AG232" s="146"/>
    </row>
    <row r="233">
      <c r="A233" s="146"/>
      <c r="B233" s="146"/>
      <c r="C233" s="146"/>
      <c r="D233" s="146"/>
      <c r="E233" s="146"/>
      <c r="F233" s="146"/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  <c r="AD233" s="146"/>
      <c r="AE233" s="146"/>
      <c r="AF233" s="146"/>
      <c r="AG233" s="146"/>
    </row>
    <row r="234">
      <c r="A234" s="146"/>
      <c r="B234" s="146"/>
      <c r="C234" s="146"/>
      <c r="D234" s="146"/>
      <c r="E234" s="146"/>
      <c r="F234" s="146"/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  <c r="AD234" s="146"/>
      <c r="AE234" s="146"/>
      <c r="AF234" s="146"/>
      <c r="AG234" s="146"/>
    </row>
    <row r="235">
      <c r="A235" s="146"/>
      <c r="B235" s="146"/>
      <c r="C235" s="146"/>
      <c r="D235" s="146"/>
      <c r="E235" s="146"/>
      <c r="F235" s="146"/>
      <c r="G235" s="146"/>
      <c r="H235" s="146"/>
      <c r="I235" s="146"/>
      <c r="J235" s="146"/>
      <c r="K235" s="146"/>
      <c r="L235" s="146"/>
      <c r="M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/>
      <c r="Y235" s="146"/>
      <c r="Z235" s="146"/>
      <c r="AA235" s="146"/>
      <c r="AB235" s="146"/>
      <c r="AC235" s="146"/>
      <c r="AD235" s="146"/>
      <c r="AE235" s="146"/>
      <c r="AF235" s="146"/>
      <c r="AG235" s="146"/>
    </row>
    <row r="236">
      <c r="A236" s="146"/>
      <c r="B236" s="146"/>
      <c r="C236" s="146"/>
      <c r="D236" s="146"/>
      <c r="E236" s="146"/>
      <c r="F236" s="146"/>
      <c r="G236" s="146"/>
      <c r="H236" s="146"/>
      <c r="I236" s="146"/>
      <c r="J236" s="146"/>
      <c r="K236" s="146"/>
      <c r="L236" s="146"/>
      <c r="M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/>
      <c r="Y236" s="146"/>
      <c r="Z236" s="146"/>
      <c r="AA236" s="146"/>
      <c r="AB236" s="146"/>
      <c r="AC236" s="146"/>
      <c r="AD236" s="146"/>
      <c r="AE236" s="146"/>
      <c r="AF236" s="146"/>
      <c r="AG236" s="146"/>
    </row>
    <row r="237">
      <c r="A237" s="146"/>
      <c r="B237" s="146"/>
      <c r="C237" s="146"/>
      <c r="D237" s="146"/>
      <c r="E237" s="146"/>
      <c r="F237" s="146"/>
      <c r="G237" s="146"/>
      <c r="H237" s="146"/>
      <c r="I237" s="146"/>
      <c r="J237" s="146"/>
      <c r="K237" s="146"/>
      <c r="L237" s="146"/>
      <c r="M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/>
      <c r="Y237" s="146"/>
      <c r="Z237" s="146"/>
      <c r="AA237" s="146"/>
      <c r="AB237" s="146"/>
      <c r="AC237" s="146"/>
      <c r="AD237" s="146"/>
      <c r="AE237" s="146"/>
      <c r="AF237" s="146"/>
      <c r="AG237" s="146"/>
    </row>
    <row r="238">
      <c r="A238" s="146"/>
      <c r="B238" s="146"/>
      <c r="C238" s="146"/>
      <c r="D238" s="146"/>
      <c r="E238" s="146"/>
      <c r="F238" s="146"/>
      <c r="G238" s="146"/>
      <c r="H238" s="146"/>
      <c r="I238" s="146"/>
      <c r="J238" s="146"/>
      <c r="K238" s="146"/>
      <c r="L238" s="146"/>
      <c r="M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/>
      <c r="Y238" s="146"/>
      <c r="Z238" s="146"/>
      <c r="AA238" s="146"/>
      <c r="AB238" s="146"/>
      <c r="AC238" s="146"/>
      <c r="AD238" s="146"/>
      <c r="AE238" s="146"/>
      <c r="AF238" s="146"/>
      <c r="AG238" s="146"/>
    </row>
    <row r="239">
      <c r="A239" s="146"/>
      <c r="B239" s="146"/>
      <c r="C239" s="146"/>
      <c r="D239" s="146"/>
      <c r="E239" s="146"/>
      <c r="F239" s="146"/>
      <c r="G239" s="146"/>
      <c r="H239" s="146"/>
      <c r="I239" s="146"/>
      <c r="J239" s="146"/>
      <c r="K239" s="146"/>
      <c r="L239" s="146"/>
      <c r="M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/>
      <c r="Y239" s="146"/>
      <c r="Z239" s="146"/>
      <c r="AA239" s="146"/>
      <c r="AB239" s="146"/>
      <c r="AC239" s="146"/>
      <c r="AD239" s="146"/>
      <c r="AE239" s="146"/>
      <c r="AF239" s="146"/>
      <c r="AG239" s="146"/>
    </row>
    <row r="240">
      <c r="A240" s="146"/>
      <c r="B240" s="146"/>
      <c r="C240" s="146"/>
      <c r="D240" s="146"/>
      <c r="E240" s="146"/>
      <c r="F240" s="146"/>
      <c r="G240" s="146"/>
      <c r="H240" s="146"/>
      <c r="I240" s="146"/>
      <c r="J240" s="146"/>
      <c r="K240" s="146"/>
      <c r="L240" s="146"/>
      <c r="M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/>
      <c r="Y240" s="146"/>
      <c r="Z240" s="146"/>
      <c r="AA240" s="146"/>
      <c r="AB240" s="146"/>
      <c r="AC240" s="146"/>
      <c r="AD240" s="146"/>
      <c r="AE240" s="146"/>
      <c r="AF240" s="146"/>
      <c r="AG240" s="146"/>
    </row>
    <row r="241">
      <c r="A241" s="146"/>
      <c r="B241" s="146"/>
      <c r="C241" s="146"/>
      <c r="D241" s="146"/>
      <c r="E241" s="146"/>
      <c r="F241" s="146"/>
      <c r="G241" s="146"/>
      <c r="H241" s="146"/>
      <c r="I241" s="146"/>
      <c r="J241" s="146"/>
      <c r="K241" s="146"/>
      <c r="L241" s="146"/>
      <c r="M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/>
      <c r="Y241" s="146"/>
      <c r="Z241" s="146"/>
      <c r="AA241" s="146"/>
      <c r="AB241" s="146"/>
      <c r="AC241" s="146"/>
      <c r="AD241" s="146"/>
      <c r="AE241" s="146"/>
      <c r="AF241" s="146"/>
      <c r="AG241" s="146"/>
    </row>
    <row r="242">
      <c r="A242" s="146"/>
      <c r="B242" s="146"/>
      <c r="C242" s="146"/>
      <c r="D242" s="146"/>
      <c r="E242" s="146"/>
      <c r="F242" s="146"/>
      <c r="G242" s="146"/>
      <c r="H242" s="146"/>
      <c r="I242" s="146"/>
      <c r="J242" s="146"/>
      <c r="K242" s="146"/>
      <c r="L242" s="146"/>
      <c r="M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/>
      <c r="Y242" s="146"/>
      <c r="Z242" s="146"/>
      <c r="AA242" s="146"/>
      <c r="AB242" s="146"/>
      <c r="AC242" s="146"/>
      <c r="AD242" s="146"/>
      <c r="AE242" s="146"/>
      <c r="AF242" s="146"/>
      <c r="AG242" s="146"/>
    </row>
    <row r="243">
      <c r="A243" s="146"/>
      <c r="B243" s="146"/>
      <c r="C243" s="146"/>
      <c r="D243" s="146"/>
      <c r="E243" s="146"/>
      <c r="F243" s="146"/>
      <c r="G243" s="146"/>
      <c r="H243" s="146"/>
      <c r="I243" s="146"/>
      <c r="J243" s="146"/>
      <c r="K243" s="146"/>
      <c r="L243" s="146"/>
      <c r="M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/>
      <c r="Y243" s="146"/>
      <c r="Z243" s="146"/>
      <c r="AA243" s="146"/>
      <c r="AB243" s="146"/>
      <c r="AC243" s="146"/>
      <c r="AD243" s="146"/>
      <c r="AE243" s="146"/>
      <c r="AF243" s="146"/>
      <c r="AG243" s="146"/>
    </row>
    <row r="244">
      <c r="A244" s="146"/>
      <c r="B244" s="146"/>
      <c r="C244" s="146"/>
      <c r="D244" s="146"/>
      <c r="E244" s="146"/>
      <c r="F244" s="146"/>
      <c r="G244" s="146"/>
      <c r="H244" s="146"/>
      <c r="I244" s="146"/>
      <c r="J244" s="146"/>
      <c r="K244" s="146"/>
      <c r="L244" s="146"/>
      <c r="M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/>
      <c r="Y244" s="146"/>
      <c r="Z244" s="146"/>
      <c r="AA244" s="146"/>
      <c r="AB244" s="146"/>
      <c r="AC244" s="146"/>
      <c r="AD244" s="146"/>
      <c r="AE244" s="146"/>
      <c r="AF244" s="146"/>
      <c r="AG244" s="146"/>
    </row>
    <row r="245">
      <c r="A245" s="146"/>
      <c r="B245" s="146"/>
      <c r="C245" s="146"/>
      <c r="D245" s="146"/>
      <c r="E245" s="146"/>
      <c r="F245" s="146"/>
      <c r="G245" s="146"/>
      <c r="H245" s="146"/>
      <c r="I245" s="146"/>
      <c r="J245" s="146"/>
      <c r="K245" s="146"/>
      <c r="L245" s="146"/>
      <c r="M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/>
      <c r="Y245" s="146"/>
      <c r="Z245" s="146"/>
      <c r="AA245" s="146"/>
      <c r="AB245" s="146"/>
      <c r="AC245" s="146"/>
      <c r="AD245" s="146"/>
      <c r="AE245" s="146"/>
      <c r="AF245" s="146"/>
      <c r="AG245" s="146"/>
    </row>
    <row r="246">
      <c r="A246" s="146"/>
      <c r="B246" s="146"/>
      <c r="C246" s="146"/>
      <c r="D246" s="146"/>
      <c r="E246" s="146"/>
      <c r="F246" s="146"/>
      <c r="G246" s="146"/>
      <c r="H246" s="146"/>
      <c r="I246" s="146"/>
      <c r="J246" s="146"/>
      <c r="K246" s="146"/>
      <c r="L246" s="146"/>
      <c r="M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/>
      <c r="Y246" s="146"/>
      <c r="Z246" s="146"/>
      <c r="AA246" s="146"/>
      <c r="AB246" s="146"/>
      <c r="AC246" s="146"/>
      <c r="AD246" s="146"/>
      <c r="AE246" s="146"/>
      <c r="AF246" s="146"/>
      <c r="AG246" s="146"/>
    </row>
    <row r="247">
      <c r="A247" s="146"/>
      <c r="B247" s="146"/>
      <c r="C247" s="146"/>
      <c r="D247" s="146"/>
      <c r="E247" s="146"/>
      <c r="F247" s="146"/>
      <c r="G247" s="146"/>
      <c r="H247" s="146"/>
      <c r="I247" s="146"/>
      <c r="J247" s="146"/>
      <c r="K247" s="146"/>
      <c r="L247" s="146"/>
      <c r="M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/>
      <c r="Y247" s="146"/>
      <c r="Z247" s="146"/>
      <c r="AA247" s="146"/>
      <c r="AB247" s="146"/>
      <c r="AC247" s="146"/>
      <c r="AD247" s="146"/>
      <c r="AE247" s="146"/>
      <c r="AF247" s="146"/>
      <c r="AG247" s="146"/>
    </row>
    <row r="248">
      <c r="A248" s="146"/>
      <c r="B248" s="146"/>
      <c r="C248" s="146"/>
      <c r="D248" s="146"/>
      <c r="E248" s="146"/>
      <c r="F248" s="146"/>
      <c r="G248" s="146"/>
      <c r="H248" s="146"/>
      <c r="I248" s="146"/>
      <c r="J248" s="146"/>
      <c r="K248" s="146"/>
      <c r="L248" s="146"/>
      <c r="M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/>
      <c r="Y248" s="146"/>
      <c r="Z248" s="146"/>
      <c r="AA248" s="146"/>
      <c r="AB248" s="146"/>
      <c r="AC248" s="146"/>
      <c r="AD248" s="146"/>
      <c r="AE248" s="146"/>
      <c r="AF248" s="146"/>
      <c r="AG248" s="146"/>
    </row>
    <row r="249">
      <c r="A249" s="146"/>
      <c r="B249" s="146"/>
      <c r="C249" s="146"/>
      <c r="D249" s="146"/>
      <c r="E249" s="146"/>
      <c r="F249" s="146"/>
      <c r="G249" s="146"/>
      <c r="H249" s="146"/>
      <c r="I249" s="146"/>
      <c r="J249" s="146"/>
      <c r="K249" s="146"/>
      <c r="L249" s="146"/>
      <c r="M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/>
      <c r="Y249" s="146"/>
      <c r="Z249" s="146"/>
      <c r="AA249" s="146"/>
      <c r="AB249" s="146"/>
      <c r="AC249" s="146"/>
      <c r="AD249" s="146"/>
      <c r="AE249" s="146"/>
      <c r="AF249" s="146"/>
      <c r="AG249" s="146"/>
    </row>
    <row r="250">
      <c r="A250" s="146"/>
      <c r="B250" s="146"/>
      <c r="C250" s="146"/>
      <c r="D250" s="146"/>
      <c r="E250" s="146"/>
      <c r="F250" s="146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  <c r="Y250" s="146"/>
      <c r="Z250" s="146"/>
      <c r="AA250" s="146"/>
      <c r="AB250" s="146"/>
      <c r="AC250" s="146"/>
      <c r="AD250" s="146"/>
      <c r="AE250" s="146"/>
      <c r="AF250" s="146"/>
      <c r="AG250" s="146"/>
    </row>
    <row r="251">
      <c r="A251" s="146"/>
      <c r="B251" s="146"/>
      <c r="C251" s="146"/>
      <c r="D251" s="146"/>
      <c r="E251" s="146"/>
      <c r="F251" s="146"/>
      <c r="G251" s="146"/>
      <c r="H251" s="146"/>
      <c r="I251" s="146"/>
      <c r="J251" s="146"/>
      <c r="K251" s="146"/>
      <c r="L251" s="146"/>
      <c r="M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/>
      <c r="Y251" s="146"/>
      <c r="Z251" s="146"/>
      <c r="AA251" s="146"/>
      <c r="AB251" s="146"/>
      <c r="AC251" s="146"/>
      <c r="AD251" s="146"/>
      <c r="AE251" s="146"/>
      <c r="AF251" s="146"/>
      <c r="AG251" s="146"/>
    </row>
    <row r="25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/>
      <c r="Y252" s="146"/>
      <c r="Z252" s="146"/>
      <c r="AA252" s="146"/>
      <c r="AB252" s="146"/>
      <c r="AC252" s="146"/>
      <c r="AD252" s="146"/>
      <c r="AE252" s="146"/>
      <c r="AF252" s="146"/>
      <c r="AG252" s="146"/>
    </row>
    <row r="253">
      <c r="A253" s="146"/>
      <c r="B253" s="146"/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M253" s="146"/>
      <c r="N253" s="146"/>
      <c r="O253" s="146"/>
      <c r="P253" s="146"/>
      <c r="Q253" s="146"/>
      <c r="R253" s="146"/>
      <c r="S253" s="146"/>
      <c r="T253" s="146"/>
      <c r="U253" s="146"/>
      <c r="V253" s="146"/>
      <c r="W253" s="146"/>
      <c r="X253" s="146"/>
      <c r="Y253" s="146"/>
      <c r="Z253" s="146"/>
      <c r="AA253" s="146"/>
      <c r="AB253" s="146"/>
      <c r="AC253" s="146"/>
      <c r="AD253" s="146"/>
      <c r="AE253" s="146"/>
      <c r="AF253" s="146"/>
      <c r="AG253" s="146"/>
    </row>
    <row r="254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/>
      <c r="Q254" s="146"/>
      <c r="R254" s="146"/>
      <c r="S254" s="146"/>
      <c r="T254" s="146"/>
      <c r="U254" s="146"/>
      <c r="V254" s="146"/>
      <c r="W254" s="146"/>
      <c r="X254" s="146"/>
      <c r="Y254" s="146"/>
      <c r="Z254" s="146"/>
      <c r="AA254" s="146"/>
      <c r="AB254" s="146"/>
      <c r="AC254" s="146"/>
      <c r="AD254" s="146"/>
      <c r="AE254" s="146"/>
      <c r="AF254" s="146"/>
      <c r="AG254" s="146"/>
    </row>
    <row r="255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/>
      <c r="Q255" s="146"/>
      <c r="R255" s="146"/>
      <c r="S255" s="146"/>
      <c r="T255" s="146"/>
      <c r="U255" s="146"/>
      <c r="V255" s="146"/>
      <c r="W255" s="146"/>
      <c r="X255" s="146"/>
      <c r="Y255" s="146"/>
      <c r="Z255" s="146"/>
      <c r="AA255" s="146"/>
      <c r="AB255" s="146"/>
      <c r="AC255" s="146"/>
      <c r="AD255" s="146"/>
      <c r="AE255" s="146"/>
      <c r="AF255" s="146"/>
      <c r="AG255" s="146"/>
    </row>
    <row r="256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/>
      <c r="Q256" s="146"/>
      <c r="R256" s="146"/>
      <c r="S256" s="146"/>
      <c r="T256" s="146"/>
      <c r="U256" s="146"/>
      <c r="V256" s="146"/>
      <c r="W256" s="146"/>
      <c r="X256" s="146"/>
      <c r="Y256" s="146"/>
      <c r="Z256" s="146"/>
      <c r="AA256" s="146"/>
      <c r="AB256" s="146"/>
      <c r="AC256" s="146"/>
      <c r="AD256" s="146"/>
      <c r="AE256" s="146"/>
      <c r="AF256" s="146"/>
      <c r="AG256" s="146"/>
    </row>
    <row r="257">
      <c r="A257" s="146"/>
      <c r="B257" s="146"/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M257" s="146"/>
      <c r="N257" s="146"/>
      <c r="O257" s="146"/>
      <c r="P257" s="146"/>
      <c r="Q257" s="146"/>
      <c r="R257" s="146"/>
      <c r="S257" s="146"/>
      <c r="T257" s="146"/>
      <c r="U257" s="146"/>
      <c r="V257" s="146"/>
      <c r="W257" s="146"/>
      <c r="X257" s="146"/>
      <c r="Y257" s="146"/>
      <c r="Z257" s="146"/>
      <c r="AA257" s="146"/>
      <c r="AB257" s="146"/>
      <c r="AC257" s="146"/>
      <c r="AD257" s="146"/>
      <c r="AE257" s="146"/>
      <c r="AF257" s="146"/>
      <c r="AG257" s="146"/>
    </row>
    <row r="258">
      <c r="A258" s="146"/>
      <c r="B258" s="146"/>
      <c r="C258" s="146"/>
      <c r="D258" s="146"/>
      <c r="E258" s="146"/>
      <c r="F258" s="146"/>
      <c r="G258" s="146"/>
      <c r="H258" s="146"/>
      <c r="I258" s="146"/>
      <c r="J258" s="146"/>
      <c r="K258" s="146"/>
      <c r="L258" s="146"/>
      <c r="M258" s="146"/>
      <c r="N258" s="146"/>
      <c r="O258" s="146"/>
      <c r="P258" s="146"/>
      <c r="Q258" s="146"/>
      <c r="R258" s="146"/>
      <c r="S258" s="146"/>
      <c r="T258" s="146"/>
      <c r="U258" s="146"/>
      <c r="V258" s="146"/>
      <c r="W258" s="146"/>
      <c r="X258" s="146"/>
      <c r="Y258" s="146"/>
      <c r="Z258" s="146"/>
      <c r="AA258" s="146"/>
      <c r="AB258" s="146"/>
      <c r="AC258" s="146"/>
      <c r="AD258" s="146"/>
      <c r="AE258" s="146"/>
      <c r="AF258" s="146"/>
      <c r="AG258" s="146"/>
    </row>
    <row r="259">
      <c r="A259" s="146"/>
      <c r="B259" s="146"/>
      <c r="C259" s="146"/>
      <c r="D259" s="146"/>
      <c r="E259" s="146"/>
      <c r="F259" s="146"/>
      <c r="G259" s="146"/>
      <c r="H259" s="146"/>
      <c r="I259" s="146"/>
      <c r="J259" s="146"/>
      <c r="K259" s="146"/>
      <c r="L259" s="146"/>
      <c r="M259" s="146"/>
      <c r="N259" s="146"/>
      <c r="O259" s="146"/>
      <c r="P259" s="146"/>
      <c r="Q259" s="146"/>
      <c r="R259" s="146"/>
      <c r="S259" s="146"/>
      <c r="T259" s="146"/>
      <c r="U259" s="146"/>
      <c r="V259" s="146"/>
      <c r="W259" s="146"/>
      <c r="X259" s="146"/>
      <c r="Y259" s="146"/>
      <c r="Z259" s="146"/>
      <c r="AA259" s="146"/>
      <c r="AB259" s="146"/>
      <c r="AC259" s="146"/>
      <c r="AD259" s="146"/>
      <c r="AE259" s="146"/>
      <c r="AF259" s="146"/>
      <c r="AG259" s="146"/>
    </row>
    <row r="260">
      <c r="A260" s="146"/>
      <c r="B260" s="146"/>
      <c r="C260" s="146"/>
      <c r="D260" s="146"/>
      <c r="E260" s="146"/>
      <c r="F260" s="146"/>
      <c r="G260" s="146"/>
      <c r="H260" s="146"/>
      <c r="I260" s="146"/>
      <c r="J260" s="146"/>
      <c r="K260" s="146"/>
      <c r="L260" s="146"/>
      <c r="M260" s="146"/>
      <c r="N260" s="146"/>
      <c r="O260" s="146"/>
      <c r="P260" s="146"/>
      <c r="Q260" s="146"/>
      <c r="R260" s="146"/>
      <c r="S260" s="146"/>
      <c r="T260" s="146"/>
      <c r="U260" s="146"/>
      <c r="V260" s="146"/>
      <c r="W260" s="146"/>
      <c r="X260" s="146"/>
      <c r="Y260" s="146"/>
      <c r="Z260" s="146"/>
      <c r="AA260" s="146"/>
      <c r="AB260" s="146"/>
      <c r="AC260" s="146"/>
      <c r="AD260" s="146"/>
      <c r="AE260" s="146"/>
      <c r="AF260" s="146"/>
      <c r="AG260" s="146"/>
    </row>
    <row r="261">
      <c r="A261" s="146"/>
      <c r="B261" s="146"/>
      <c r="C261" s="146"/>
      <c r="D261" s="146"/>
      <c r="E261" s="146"/>
      <c r="F261" s="146"/>
      <c r="G261" s="146"/>
      <c r="H261" s="146"/>
      <c r="I261" s="146"/>
      <c r="J261" s="146"/>
      <c r="K261" s="146"/>
      <c r="L261" s="146"/>
      <c r="M261" s="146"/>
      <c r="N261" s="146"/>
      <c r="O261" s="146"/>
      <c r="P261" s="146"/>
      <c r="Q261" s="146"/>
      <c r="R261" s="146"/>
      <c r="S261" s="146"/>
      <c r="T261" s="146"/>
      <c r="U261" s="146"/>
      <c r="V261" s="146"/>
      <c r="W261" s="146"/>
      <c r="X261" s="146"/>
      <c r="Y261" s="146"/>
      <c r="Z261" s="146"/>
      <c r="AA261" s="146"/>
      <c r="AB261" s="146"/>
      <c r="AC261" s="146"/>
      <c r="AD261" s="146"/>
      <c r="AE261" s="146"/>
      <c r="AF261" s="146"/>
      <c r="AG261" s="146"/>
    </row>
    <row r="262">
      <c r="A262" s="146"/>
      <c r="B262" s="146"/>
      <c r="C262" s="146"/>
      <c r="D262" s="146"/>
      <c r="E262" s="146"/>
      <c r="F262" s="146"/>
      <c r="G262" s="146"/>
      <c r="H262" s="146"/>
      <c r="I262" s="146"/>
      <c r="J262" s="146"/>
      <c r="K262" s="146"/>
      <c r="L262" s="146"/>
      <c r="M262" s="146"/>
      <c r="N262" s="146"/>
      <c r="O262" s="146"/>
      <c r="P262" s="146"/>
      <c r="Q262" s="146"/>
      <c r="R262" s="146"/>
      <c r="S262" s="146"/>
      <c r="T262" s="146"/>
      <c r="U262" s="146"/>
      <c r="V262" s="146"/>
      <c r="W262" s="146"/>
      <c r="X262" s="146"/>
      <c r="Y262" s="146"/>
      <c r="Z262" s="146"/>
      <c r="AA262" s="146"/>
      <c r="AB262" s="146"/>
      <c r="AC262" s="146"/>
      <c r="AD262" s="146"/>
      <c r="AE262" s="146"/>
      <c r="AF262" s="146"/>
      <c r="AG262" s="146"/>
    </row>
    <row r="263">
      <c r="A263" s="146"/>
      <c r="B263" s="146"/>
      <c r="C263" s="146"/>
      <c r="D263" s="146"/>
      <c r="E263" s="146"/>
      <c r="F263" s="146"/>
      <c r="G263" s="146"/>
      <c r="H263" s="146"/>
      <c r="I263" s="146"/>
      <c r="J263" s="146"/>
      <c r="K263" s="146"/>
      <c r="L263" s="146"/>
      <c r="M263" s="146"/>
      <c r="N263" s="146"/>
      <c r="O263" s="146"/>
      <c r="P263" s="146"/>
      <c r="Q263" s="146"/>
      <c r="R263" s="146"/>
      <c r="S263" s="146"/>
      <c r="T263" s="146"/>
      <c r="U263" s="146"/>
      <c r="V263" s="146"/>
      <c r="W263" s="146"/>
      <c r="X263" s="146"/>
      <c r="Y263" s="146"/>
      <c r="Z263" s="146"/>
      <c r="AA263" s="146"/>
      <c r="AB263" s="146"/>
      <c r="AC263" s="146"/>
      <c r="AD263" s="146"/>
      <c r="AE263" s="146"/>
      <c r="AF263" s="146"/>
      <c r="AG263" s="146"/>
    </row>
    <row r="264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  <c r="Y264" s="146"/>
      <c r="Z264" s="146"/>
      <c r="AA264" s="146"/>
      <c r="AB264" s="146"/>
      <c r="AC264" s="146"/>
      <c r="AD264" s="146"/>
      <c r="AE264" s="146"/>
      <c r="AF264" s="146"/>
      <c r="AG264" s="146"/>
    </row>
    <row r="265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  <c r="Y265" s="146"/>
      <c r="Z265" s="146"/>
      <c r="AA265" s="146"/>
      <c r="AB265" s="146"/>
      <c r="AC265" s="146"/>
      <c r="AD265" s="146"/>
      <c r="AE265" s="146"/>
      <c r="AF265" s="146"/>
      <c r="AG265" s="146"/>
    </row>
    <row r="266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  <c r="Y266" s="146"/>
      <c r="Z266" s="146"/>
      <c r="AA266" s="146"/>
      <c r="AB266" s="146"/>
      <c r="AC266" s="146"/>
      <c r="AD266" s="146"/>
      <c r="AE266" s="146"/>
      <c r="AF266" s="146"/>
      <c r="AG266" s="146"/>
    </row>
    <row r="267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  <c r="Y267" s="146"/>
      <c r="Z267" s="146"/>
      <c r="AA267" s="146"/>
      <c r="AB267" s="146"/>
      <c r="AC267" s="146"/>
      <c r="AD267" s="146"/>
      <c r="AE267" s="146"/>
      <c r="AF267" s="146"/>
      <c r="AG267" s="146"/>
    </row>
    <row r="268">
      <c r="A268" s="146"/>
      <c r="B268" s="146"/>
      <c r="C268" s="146"/>
      <c r="D268" s="146"/>
      <c r="E268" s="146"/>
      <c r="F268" s="146"/>
      <c r="G268" s="146"/>
      <c r="H268" s="146"/>
      <c r="I268" s="146"/>
      <c r="J268" s="146"/>
      <c r="K268" s="146"/>
      <c r="L268" s="146"/>
      <c r="M268" s="146"/>
      <c r="N268" s="146"/>
      <c r="O268" s="146"/>
      <c r="P268" s="146"/>
      <c r="Q268" s="146"/>
      <c r="R268" s="146"/>
      <c r="S268" s="146"/>
      <c r="T268" s="146"/>
      <c r="U268" s="146"/>
      <c r="V268" s="146"/>
      <c r="W268" s="146"/>
      <c r="X268" s="146"/>
      <c r="Y268" s="146"/>
      <c r="Z268" s="146"/>
      <c r="AA268" s="146"/>
      <c r="AB268" s="146"/>
      <c r="AC268" s="146"/>
      <c r="AD268" s="146"/>
      <c r="AE268" s="146"/>
      <c r="AF268" s="146"/>
      <c r="AG268" s="146"/>
    </row>
    <row r="269">
      <c r="A269" s="146"/>
      <c r="B269" s="146"/>
      <c r="C269" s="146"/>
      <c r="D269" s="146"/>
      <c r="E269" s="146"/>
      <c r="F269" s="146"/>
      <c r="G269" s="146"/>
      <c r="H269" s="146"/>
      <c r="I269" s="146"/>
      <c r="J269" s="146"/>
      <c r="K269" s="146"/>
      <c r="L269" s="146"/>
      <c r="M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  <c r="Y269" s="146"/>
      <c r="Z269" s="146"/>
      <c r="AA269" s="146"/>
      <c r="AB269" s="146"/>
      <c r="AC269" s="146"/>
      <c r="AD269" s="146"/>
      <c r="AE269" s="146"/>
      <c r="AF269" s="146"/>
      <c r="AG269" s="146"/>
    </row>
    <row r="270">
      <c r="A270" s="146"/>
      <c r="B270" s="146"/>
      <c r="C270" s="146"/>
      <c r="D270" s="146"/>
      <c r="E270" s="146"/>
      <c r="F270" s="146"/>
      <c r="G270" s="146"/>
      <c r="H270" s="146"/>
      <c r="I270" s="146"/>
      <c r="J270" s="146"/>
      <c r="K270" s="146"/>
      <c r="L270" s="146"/>
      <c r="M270" s="146"/>
      <c r="N270" s="146"/>
      <c r="O270" s="146"/>
      <c r="P270" s="146"/>
      <c r="Q270" s="146"/>
      <c r="R270" s="146"/>
      <c r="S270" s="146"/>
      <c r="T270" s="146"/>
      <c r="U270" s="146"/>
      <c r="V270" s="146"/>
      <c r="W270" s="146"/>
      <c r="X270" s="146"/>
      <c r="Y270" s="146"/>
      <c r="Z270" s="146"/>
      <c r="AA270" s="146"/>
      <c r="AB270" s="146"/>
      <c r="AC270" s="146"/>
      <c r="AD270" s="146"/>
      <c r="AE270" s="146"/>
      <c r="AF270" s="146"/>
      <c r="AG270" s="146"/>
    </row>
    <row r="271">
      <c r="A271" s="146"/>
      <c r="B271" s="146"/>
      <c r="C271" s="146"/>
      <c r="D271" s="146"/>
      <c r="E271" s="146"/>
      <c r="F271" s="146"/>
      <c r="G271" s="146"/>
      <c r="H271" s="146"/>
      <c r="I271" s="146"/>
      <c r="J271" s="146"/>
      <c r="K271" s="146"/>
      <c r="L271" s="146"/>
      <c r="M271" s="146"/>
      <c r="N271" s="146"/>
      <c r="O271" s="146"/>
      <c r="P271" s="146"/>
      <c r="Q271" s="146"/>
      <c r="R271" s="146"/>
      <c r="S271" s="146"/>
      <c r="T271" s="146"/>
      <c r="U271" s="146"/>
      <c r="V271" s="146"/>
      <c r="W271" s="146"/>
      <c r="X271" s="146"/>
      <c r="Y271" s="146"/>
      <c r="Z271" s="146"/>
      <c r="AA271" s="146"/>
      <c r="AB271" s="146"/>
      <c r="AC271" s="146"/>
      <c r="AD271" s="146"/>
      <c r="AE271" s="146"/>
      <c r="AF271" s="146"/>
      <c r="AG271" s="146"/>
    </row>
    <row r="272">
      <c r="A272" s="146"/>
      <c r="B272" s="146"/>
      <c r="C272" s="146"/>
      <c r="D272" s="146"/>
      <c r="E272" s="146"/>
      <c r="F272" s="146"/>
      <c r="G272" s="146"/>
      <c r="H272" s="146"/>
      <c r="I272" s="146"/>
      <c r="J272" s="146"/>
      <c r="K272" s="146"/>
      <c r="L272" s="146"/>
      <c r="M272" s="146"/>
      <c r="N272" s="146"/>
      <c r="O272" s="146"/>
      <c r="P272" s="146"/>
      <c r="Q272" s="146"/>
      <c r="R272" s="146"/>
      <c r="S272" s="146"/>
      <c r="T272" s="146"/>
      <c r="U272" s="146"/>
      <c r="V272" s="146"/>
      <c r="W272" s="146"/>
      <c r="X272" s="146"/>
      <c r="Y272" s="146"/>
      <c r="Z272" s="146"/>
      <c r="AA272" s="146"/>
      <c r="AB272" s="146"/>
      <c r="AC272" s="146"/>
      <c r="AD272" s="146"/>
      <c r="AE272" s="146"/>
      <c r="AF272" s="146"/>
      <c r="AG272" s="146"/>
    </row>
    <row r="273">
      <c r="A273" s="146"/>
      <c r="B273" s="146"/>
      <c r="C273" s="146"/>
      <c r="D273" s="146"/>
      <c r="E273" s="146"/>
      <c r="F273" s="146"/>
      <c r="G273" s="146"/>
      <c r="H273" s="146"/>
      <c r="I273" s="146"/>
      <c r="J273" s="146"/>
      <c r="K273" s="146"/>
      <c r="L273" s="146"/>
      <c r="M273" s="146"/>
      <c r="N273" s="146"/>
      <c r="O273" s="146"/>
      <c r="P273" s="146"/>
      <c r="Q273" s="146"/>
      <c r="R273" s="146"/>
      <c r="S273" s="146"/>
      <c r="T273" s="146"/>
      <c r="U273" s="146"/>
      <c r="V273" s="146"/>
      <c r="W273" s="146"/>
      <c r="X273" s="146"/>
      <c r="Y273" s="146"/>
      <c r="Z273" s="146"/>
      <c r="AA273" s="146"/>
      <c r="AB273" s="146"/>
      <c r="AC273" s="146"/>
      <c r="AD273" s="146"/>
      <c r="AE273" s="146"/>
      <c r="AF273" s="146"/>
      <c r="AG273" s="146"/>
    </row>
    <row r="274">
      <c r="A274" s="146"/>
      <c r="B274" s="146"/>
      <c r="C274" s="146"/>
      <c r="D274" s="146"/>
      <c r="E274" s="146"/>
      <c r="F274" s="146"/>
      <c r="G274" s="146"/>
      <c r="H274" s="146"/>
      <c r="I274" s="146"/>
      <c r="J274" s="146"/>
      <c r="K274" s="146"/>
      <c r="L274" s="146"/>
      <c r="M274" s="146"/>
      <c r="N274" s="146"/>
      <c r="O274" s="146"/>
      <c r="P274" s="146"/>
      <c r="Q274" s="146"/>
      <c r="R274" s="146"/>
      <c r="S274" s="146"/>
      <c r="T274" s="146"/>
      <c r="U274" s="146"/>
      <c r="V274" s="146"/>
      <c r="W274" s="146"/>
      <c r="X274" s="146"/>
      <c r="Y274" s="146"/>
      <c r="Z274" s="146"/>
      <c r="AA274" s="146"/>
      <c r="AB274" s="146"/>
      <c r="AC274" s="146"/>
      <c r="AD274" s="146"/>
      <c r="AE274" s="146"/>
      <c r="AF274" s="146"/>
      <c r="AG274" s="146"/>
    </row>
    <row r="275">
      <c r="A275" s="146"/>
      <c r="B275" s="146"/>
      <c r="C275" s="146"/>
      <c r="D275" s="146"/>
      <c r="E275" s="146"/>
      <c r="F275" s="146"/>
      <c r="G275" s="146"/>
      <c r="H275" s="146"/>
      <c r="I275" s="146"/>
      <c r="J275" s="146"/>
      <c r="K275" s="146"/>
      <c r="L275" s="146"/>
      <c r="M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  <c r="Y275" s="146"/>
      <c r="Z275" s="146"/>
      <c r="AA275" s="146"/>
      <c r="AB275" s="146"/>
      <c r="AC275" s="146"/>
      <c r="AD275" s="146"/>
      <c r="AE275" s="146"/>
      <c r="AF275" s="146"/>
      <c r="AG275" s="146"/>
    </row>
    <row r="276">
      <c r="A276" s="146"/>
      <c r="B276" s="146"/>
      <c r="C276" s="146"/>
      <c r="D276" s="146"/>
      <c r="E276" s="146"/>
      <c r="F276" s="146"/>
      <c r="G276" s="146"/>
      <c r="H276" s="146"/>
      <c r="I276" s="146"/>
      <c r="J276" s="146"/>
      <c r="K276" s="146"/>
      <c r="L276" s="146"/>
      <c r="M276" s="146"/>
      <c r="N276" s="146"/>
      <c r="O276" s="146"/>
      <c r="P276" s="146"/>
      <c r="Q276" s="146"/>
      <c r="R276" s="146"/>
      <c r="S276" s="146"/>
      <c r="T276" s="146"/>
      <c r="U276" s="146"/>
      <c r="V276" s="146"/>
      <c r="W276" s="146"/>
      <c r="X276" s="146"/>
      <c r="Y276" s="146"/>
      <c r="Z276" s="146"/>
      <c r="AA276" s="146"/>
      <c r="AB276" s="146"/>
      <c r="AC276" s="146"/>
      <c r="AD276" s="146"/>
      <c r="AE276" s="146"/>
      <c r="AF276" s="146"/>
      <c r="AG276" s="146"/>
    </row>
    <row r="277">
      <c r="A277" s="146"/>
      <c r="B277" s="146"/>
      <c r="C277" s="146"/>
      <c r="D277" s="146"/>
      <c r="E277" s="146"/>
      <c r="F277" s="146"/>
      <c r="G277" s="146"/>
      <c r="H277" s="146"/>
      <c r="I277" s="146"/>
      <c r="J277" s="146"/>
      <c r="K277" s="146"/>
      <c r="L277" s="146"/>
      <c r="M277" s="146"/>
      <c r="N277" s="146"/>
      <c r="O277" s="146"/>
      <c r="P277" s="146"/>
      <c r="Q277" s="146"/>
      <c r="R277" s="146"/>
      <c r="S277" s="146"/>
      <c r="T277" s="146"/>
      <c r="U277" s="146"/>
      <c r="V277" s="146"/>
      <c r="W277" s="146"/>
      <c r="X277" s="146"/>
      <c r="Y277" s="146"/>
      <c r="Z277" s="146"/>
      <c r="AA277" s="146"/>
      <c r="AB277" s="146"/>
      <c r="AC277" s="146"/>
      <c r="AD277" s="146"/>
      <c r="AE277" s="146"/>
      <c r="AF277" s="146"/>
      <c r="AG277" s="146"/>
    </row>
    <row r="278">
      <c r="A278" s="146"/>
      <c r="B278" s="146"/>
      <c r="C278" s="146"/>
      <c r="D278" s="146"/>
      <c r="E278" s="146"/>
      <c r="F278" s="146"/>
      <c r="G278" s="146"/>
      <c r="H278" s="146"/>
      <c r="I278" s="146"/>
      <c r="J278" s="146"/>
      <c r="K278" s="146"/>
      <c r="L278" s="146"/>
      <c r="M278" s="146"/>
      <c r="N278" s="146"/>
      <c r="O278" s="146"/>
      <c r="P278" s="146"/>
      <c r="Q278" s="146"/>
      <c r="R278" s="146"/>
      <c r="S278" s="146"/>
      <c r="T278" s="146"/>
      <c r="U278" s="146"/>
      <c r="V278" s="146"/>
      <c r="W278" s="146"/>
      <c r="X278" s="146"/>
      <c r="Y278" s="146"/>
      <c r="Z278" s="146"/>
      <c r="AA278" s="146"/>
      <c r="AB278" s="146"/>
      <c r="AC278" s="146"/>
      <c r="AD278" s="146"/>
      <c r="AE278" s="146"/>
      <c r="AF278" s="146"/>
      <c r="AG278" s="146"/>
    </row>
    <row r="279">
      <c r="A279" s="146"/>
      <c r="B279" s="146"/>
      <c r="C279" s="146"/>
      <c r="D279" s="146"/>
      <c r="E279" s="146"/>
      <c r="F279" s="146"/>
      <c r="G279" s="146"/>
      <c r="H279" s="146"/>
      <c r="I279" s="146"/>
      <c r="J279" s="146"/>
      <c r="K279" s="146"/>
      <c r="L279" s="146"/>
      <c r="M279" s="146"/>
      <c r="N279" s="146"/>
      <c r="O279" s="146"/>
      <c r="P279" s="146"/>
      <c r="Q279" s="146"/>
      <c r="R279" s="146"/>
      <c r="S279" s="146"/>
      <c r="T279" s="146"/>
      <c r="U279" s="146"/>
      <c r="V279" s="146"/>
      <c r="W279" s="146"/>
      <c r="X279" s="146"/>
      <c r="Y279" s="146"/>
      <c r="Z279" s="146"/>
      <c r="AA279" s="146"/>
      <c r="AB279" s="146"/>
      <c r="AC279" s="146"/>
      <c r="AD279" s="146"/>
      <c r="AE279" s="146"/>
      <c r="AF279" s="146"/>
      <c r="AG279" s="146"/>
    </row>
    <row r="280">
      <c r="A280" s="146"/>
      <c r="B280" s="146"/>
      <c r="C280" s="146"/>
      <c r="D280" s="146"/>
      <c r="E280" s="146"/>
      <c r="F280" s="146"/>
      <c r="G280" s="146"/>
      <c r="H280" s="146"/>
      <c r="I280" s="146"/>
      <c r="J280" s="146"/>
      <c r="K280" s="146"/>
      <c r="L280" s="146"/>
      <c r="M280" s="146"/>
      <c r="N280" s="146"/>
      <c r="O280" s="146"/>
      <c r="P280" s="146"/>
      <c r="Q280" s="146"/>
      <c r="R280" s="146"/>
      <c r="S280" s="146"/>
      <c r="T280" s="146"/>
      <c r="U280" s="146"/>
      <c r="V280" s="146"/>
      <c r="W280" s="146"/>
      <c r="X280" s="146"/>
      <c r="Y280" s="146"/>
      <c r="Z280" s="146"/>
      <c r="AA280" s="146"/>
      <c r="AB280" s="146"/>
      <c r="AC280" s="146"/>
      <c r="AD280" s="146"/>
      <c r="AE280" s="146"/>
      <c r="AF280" s="146"/>
      <c r="AG280" s="146"/>
    </row>
    <row r="281">
      <c r="A281" s="146"/>
      <c r="B281" s="146"/>
      <c r="C281" s="146"/>
      <c r="D281" s="146"/>
      <c r="E281" s="146"/>
      <c r="F281" s="146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  <c r="Y281" s="146"/>
      <c r="Z281" s="146"/>
      <c r="AA281" s="146"/>
      <c r="AB281" s="146"/>
      <c r="AC281" s="146"/>
      <c r="AD281" s="146"/>
      <c r="AE281" s="146"/>
      <c r="AF281" s="146"/>
      <c r="AG281" s="146"/>
    </row>
    <row r="282">
      <c r="A282" s="146"/>
      <c r="B282" s="146"/>
      <c r="C282" s="146"/>
      <c r="D282" s="146"/>
      <c r="E282" s="146"/>
      <c r="F282" s="146"/>
      <c r="G282" s="146"/>
      <c r="H282" s="146"/>
      <c r="I282" s="146"/>
      <c r="J282" s="146"/>
      <c r="K282" s="146"/>
      <c r="L282" s="146"/>
      <c r="M282" s="146"/>
      <c r="N282" s="146"/>
      <c r="O282" s="146"/>
      <c r="P282" s="146"/>
      <c r="Q282" s="146"/>
      <c r="R282" s="146"/>
      <c r="S282" s="146"/>
      <c r="T282" s="146"/>
      <c r="U282" s="146"/>
      <c r="V282" s="146"/>
      <c r="W282" s="146"/>
      <c r="X282" s="146"/>
      <c r="Y282" s="146"/>
      <c r="Z282" s="146"/>
      <c r="AA282" s="146"/>
      <c r="AB282" s="146"/>
      <c r="AC282" s="146"/>
      <c r="AD282" s="146"/>
      <c r="AE282" s="146"/>
      <c r="AF282" s="146"/>
      <c r="AG282" s="146"/>
    </row>
    <row r="283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M283" s="146"/>
      <c r="N283" s="146"/>
      <c r="O283" s="146"/>
      <c r="P283" s="146"/>
      <c r="Q283" s="146"/>
      <c r="R283" s="146"/>
      <c r="S283" s="146"/>
      <c r="T283" s="146"/>
      <c r="U283" s="146"/>
      <c r="V283" s="146"/>
      <c r="W283" s="146"/>
      <c r="X283" s="146"/>
      <c r="Y283" s="146"/>
      <c r="Z283" s="146"/>
      <c r="AA283" s="146"/>
      <c r="AB283" s="146"/>
      <c r="AC283" s="146"/>
      <c r="AD283" s="146"/>
      <c r="AE283" s="146"/>
      <c r="AF283" s="146"/>
      <c r="AG283" s="146"/>
    </row>
    <row r="284">
      <c r="A284" s="146"/>
      <c r="B284" s="146"/>
      <c r="C284" s="146"/>
      <c r="D284" s="146"/>
      <c r="E284" s="146"/>
      <c r="F284" s="146"/>
      <c r="G284" s="146"/>
      <c r="H284" s="146"/>
      <c r="I284" s="146"/>
      <c r="J284" s="146"/>
      <c r="K284" s="146"/>
      <c r="L284" s="146"/>
      <c r="M284" s="146"/>
      <c r="N284" s="146"/>
      <c r="O284" s="146"/>
      <c r="P284" s="146"/>
      <c r="Q284" s="146"/>
      <c r="R284" s="146"/>
      <c r="S284" s="146"/>
      <c r="T284" s="146"/>
      <c r="U284" s="146"/>
      <c r="V284" s="146"/>
      <c r="W284" s="146"/>
      <c r="X284" s="146"/>
      <c r="Y284" s="146"/>
      <c r="Z284" s="146"/>
      <c r="AA284" s="146"/>
      <c r="AB284" s="146"/>
      <c r="AC284" s="146"/>
      <c r="AD284" s="146"/>
      <c r="AE284" s="146"/>
      <c r="AF284" s="146"/>
      <c r="AG284" s="146"/>
    </row>
    <row r="285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M285" s="146"/>
      <c r="N285" s="146"/>
      <c r="O285" s="146"/>
      <c r="P285" s="146"/>
      <c r="Q285" s="146"/>
      <c r="R285" s="146"/>
      <c r="S285" s="146"/>
      <c r="T285" s="146"/>
      <c r="U285" s="146"/>
      <c r="V285" s="146"/>
      <c r="W285" s="146"/>
      <c r="X285" s="146"/>
      <c r="Y285" s="146"/>
      <c r="Z285" s="146"/>
      <c r="AA285" s="146"/>
      <c r="AB285" s="146"/>
      <c r="AC285" s="146"/>
      <c r="AD285" s="146"/>
      <c r="AE285" s="146"/>
      <c r="AF285" s="146"/>
      <c r="AG285" s="146"/>
    </row>
    <row r="286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M286" s="146"/>
      <c r="N286" s="146"/>
      <c r="O286" s="146"/>
      <c r="P286" s="146"/>
      <c r="Q286" s="146"/>
      <c r="R286" s="146"/>
      <c r="S286" s="146"/>
      <c r="T286" s="146"/>
      <c r="U286" s="146"/>
      <c r="V286" s="146"/>
      <c r="W286" s="146"/>
      <c r="X286" s="146"/>
      <c r="Y286" s="146"/>
      <c r="Z286" s="146"/>
      <c r="AA286" s="146"/>
      <c r="AB286" s="146"/>
      <c r="AC286" s="146"/>
      <c r="AD286" s="146"/>
      <c r="AE286" s="146"/>
      <c r="AF286" s="146"/>
      <c r="AG286" s="146"/>
    </row>
    <row r="287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M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  <c r="Y287" s="146"/>
      <c r="Z287" s="146"/>
      <c r="AA287" s="146"/>
      <c r="AB287" s="146"/>
      <c r="AC287" s="146"/>
      <c r="AD287" s="146"/>
      <c r="AE287" s="146"/>
      <c r="AF287" s="146"/>
      <c r="AG287" s="146"/>
    </row>
    <row r="288">
      <c r="A288" s="146"/>
      <c r="B288" s="146"/>
      <c r="C288" s="146"/>
      <c r="D288" s="146"/>
      <c r="E288" s="146"/>
      <c r="F288" s="146"/>
      <c r="G288" s="146"/>
      <c r="H288" s="146"/>
      <c r="I288" s="146"/>
      <c r="J288" s="146"/>
      <c r="K288" s="146"/>
      <c r="L288" s="146"/>
      <c r="M288" s="146"/>
      <c r="N288" s="146"/>
      <c r="O288" s="146"/>
      <c r="P288" s="146"/>
      <c r="Q288" s="146"/>
      <c r="R288" s="146"/>
      <c r="S288" s="146"/>
      <c r="T288" s="146"/>
      <c r="U288" s="146"/>
      <c r="V288" s="146"/>
      <c r="W288" s="146"/>
      <c r="X288" s="146"/>
      <c r="Y288" s="146"/>
      <c r="Z288" s="146"/>
      <c r="AA288" s="146"/>
      <c r="AB288" s="146"/>
      <c r="AC288" s="146"/>
      <c r="AD288" s="146"/>
      <c r="AE288" s="146"/>
      <c r="AF288" s="146"/>
      <c r="AG288" s="146"/>
    </row>
    <row r="289">
      <c r="A289" s="146"/>
      <c r="B289" s="146"/>
      <c r="C289" s="146"/>
      <c r="D289" s="146"/>
      <c r="E289" s="146"/>
      <c r="F289" s="146"/>
      <c r="G289" s="146"/>
      <c r="H289" s="146"/>
      <c r="I289" s="146"/>
      <c r="J289" s="146"/>
      <c r="K289" s="146"/>
      <c r="L289" s="146"/>
      <c r="M289" s="146"/>
      <c r="N289" s="146"/>
      <c r="O289" s="146"/>
      <c r="P289" s="146"/>
      <c r="Q289" s="146"/>
      <c r="R289" s="146"/>
      <c r="S289" s="146"/>
      <c r="T289" s="146"/>
      <c r="U289" s="146"/>
      <c r="V289" s="146"/>
      <c r="W289" s="146"/>
      <c r="X289" s="146"/>
      <c r="Y289" s="146"/>
      <c r="Z289" s="146"/>
      <c r="AA289" s="146"/>
      <c r="AB289" s="146"/>
      <c r="AC289" s="146"/>
      <c r="AD289" s="146"/>
      <c r="AE289" s="146"/>
      <c r="AF289" s="146"/>
      <c r="AG289" s="146"/>
    </row>
    <row r="290">
      <c r="A290" s="146"/>
      <c r="B290" s="146"/>
      <c r="C290" s="146"/>
      <c r="D290" s="146"/>
      <c r="E290" s="146"/>
      <c r="F290" s="146"/>
      <c r="G290" s="146"/>
      <c r="H290" s="146"/>
      <c r="I290" s="146"/>
      <c r="J290" s="146"/>
      <c r="K290" s="146"/>
      <c r="L290" s="146"/>
      <c r="M290" s="146"/>
      <c r="N290" s="146"/>
      <c r="O290" s="146"/>
      <c r="P290" s="146"/>
      <c r="Q290" s="146"/>
      <c r="R290" s="146"/>
      <c r="S290" s="146"/>
      <c r="T290" s="146"/>
      <c r="U290" s="146"/>
      <c r="V290" s="146"/>
      <c r="W290" s="146"/>
      <c r="X290" s="146"/>
      <c r="Y290" s="146"/>
      <c r="Z290" s="146"/>
      <c r="AA290" s="146"/>
      <c r="AB290" s="146"/>
      <c r="AC290" s="146"/>
      <c r="AD290" s="146"/>
      <c r="AE290" s="146"/>
      <c r="AF290" s="146"/>
      <c r="AG290" s="146"/>
    </row>
    <row r="291">
      <c r="A291" s="146"/>
      <c r="B291" s="146"/>
      <c r="C291" s="146"/>
      <c r="D291" s="146"/>
      <c r="E291" s="146"/>
      <c r="F291" s="146"/>
      <c r="G291" s="146"/>
      <c r="H291" s="146"/>
      <c r="I291" s="146"/>
      <c r="J291" s="146"/>
      <c r="K291" s="146"/>
      <c r="L291" s="146"/>
      <c r="M291" s="146"/>
      <c r="N291" s="146"/>
      <c r="O291" s="146"/>
      <c r="P291" s="146"/>
      <c r="Q291" s="146"/>
      <c r="R291" s="146"/>
      <c r="S291" s="146"/>
      <c r="T291" s="146"/>
      <c r="U291" s="146"/>
      <c r="V291" s="146"/>
      <c r="W291" s="146"/>
      <c r="X291" s="146"/>
      <c r="Y291" s="146"/>
      <c r="Z291" s="146"/>
      <c r="AA291" s="146"/>
      <c r="AB291" s="146"/>
      <c r="AC291" s="146"/>
      <c r="AD291" s="146"/>
      <c r="AE291" s="146"/>
      <c r="AF291" s="146"/>
      <c r="AG291" s="146"/>
    </row>
    <row r="292">
      <c r="A292" s="146"/>
      <c r="B292" s="146"/>
      <c r="C292" s="146"/>
      <c r="D292" s="146"/>
      <c r="E292" s="146"/>
      <c r="F292" s="146"/>
      <c r="G292" s="146"/>
      <c r="H292" s="146"/>
      <c r="I292" s="146"/>
      <c r="J292" s="146"/>
      <c r="K292" s="146"/>
      <c r="L292" s="146"/>
      <c r="M292" s="146"/>
      <c r="N292" s="146"/>
      <c r="O292" s="146"/>
      <c r="P292" s="146"/>
      <c r="Q292" s="146"/>
      <c r="R292" s="146"/>
      <c r="S292" s="146"/>
      <c r="T292" s="146"/>
      <c r="U292" s="146"/>
      <c r="V292" s="146"/>
      <c r="W292" s="146"/>
      <c r="X292" s="146"/>
      <c r="Y292" s="146"/>
      <c r="Z292" s="146"/>
      <c r="AA292" s="146"/>
      <c r="AB292" s="146"/>
      <c r="AC292" s="146"/>
      <c r="AD292" s="146"/>
      <c r="AE292" s="146"/>
      <c r="AF292" s="146"/>
      <c r="AG292" s="146"/>
    </row>
    <row r="293">
      <c r="A293" s="146"/>
      <c r="B293" s="146"/>
      <c r="C293" s="146"/>
      <c r="D293" s="146"/>
      <c r="E293" s="146"/>
      <c r="F293" s="146"/>
      <c r="G293" s="146"/>
      <c r="H293" s="146"/>
      <c r="I293" s="146"/>
      <c r="J293" s="146"/>
      <c r="K293" s="146"/>
      <c r="L293" s="146"/>
      <c r="M293" s="146"/>
      <c r="N293" s="146"/>
      <c r="O293" s="146"/>
      <c r="P293" s="146"/>
      <c r="Q293" s="146"/>
      <c r="R293" s="146"/>
      <c r="S293" s="146"/>
      <c r="T293" s="146"/>
      <c r="U293" s="146"/>
      <c r="V293" s="146"/>
      <c r="W293" s="146"/>
      <c r="X293" s="146"/>
      <c r="Y293" s="146"/>
      <c r="Z293" s="146"/>
      <c r="AA293" s="146"/>
      <c r="AB293" s="146"/>
      <c r="AC293" s="146"/>
      <c r="AD293" s="146"/>
      <c r="AE293" s="146"/>
      <c r="AF293" s="146"/>
      <c r="AG293" s="146"/>
    </row>
    <row r="294">
      <c r="A294" s="146"/>
      <c r="B294" s="146"/>
      <c r="C294" s="146"/>
      <c r="D294" s="146"/>
      <c r="E294" s="146"/>
      <c r="F294" s="146"/>
      <c r="G294" s="146"/>
      <c r="H294" s="146"/>
      <c r="I294" s="146"/>
      <c r="J294" s="146"/>
      <c r="K294" s="146"/>
      <c r="L294" s="146"/>
      <c r="M294" s="146"/>
      <c r="N294" s="146"/>
      <c r="O294" s="146"/>
      <c r="P294" s="146"/>
      <c r="Q294" s="146"/>
      <c r="R294" s="146"/>
      <c r="S294" s="146"/>
      <c r="T294" s="146"/>
      <c r="U294" s="146"/>
      <c r="V294" s="146"/>
      <c r="W294" s="146"/>
      <c r="X294" s="146"/>
      <c r="Y294" s="146"/>
      <c r="Z294" s="146"/>
      <c r="AA294" s="146"/>
      <c r="AB294" s="146"/>
      <c r="AC294" s="146"/>
      <c r="AD294" s="146"/>
      <c r="AE294" s="146"/>
      <c r="AF294" s="146"/>
      <c r="AG294" s="146"/>
    </row>
    <row r="295">
      <c r="A295" s="146"/>
      <c r="B295" s="146"/>
      <c r="C295" s="146"/>
      <c r="D295" s="146"/>
      <c r="E295" s="146"/>
      <c r="F295" s="146"/>
      <c r="G295" s="146"/>
      <c r="H295" s="146"/>
      <c r="I295" s="146"/>
      <c r="J295" s="146"/>
      <c r="K295" s="146"/>
      <c r="L295" s="146"/>
      <c r="M295" s="146"/>
      <c r="N295" s="146"/>
      <c r="O295" s="146"/>
      <c r="P295" s="146"/>
      <c r="Q295" s="146"/>
      <c r="R295" s="146"/>
      <c r="S295" s="146"/>
      <c r="T295" s="146"/>
      <c r="U295" s="146"/>
      <c r="V295" s="146"/>
      <c r="W295" s="146"/>
      <c r="X295" s="146"/>
      <c r="Y295" s="146"/>
      <c r="Z295" s="146"/>
      <c r="AA295" s="146"/>
      <c r="AB295" s="146"/>
      <c r="AC295" s="146"/>
      <c r="AD295" s="146"/>
      <c r="AE295" s="146"/>
      <c r="AF295" s="146"/>
      <c r="AG295" s="146"/>
    </row>
    <row r="296">
      <c r="A296" s="146"/>
      <c r="B296" s="146"/>
      <c r="C296" s="146"/>
      <c r="D296" s="146"/>
      <c r="E296" s="146"/>
      <c r="F296" s="146"/>
      <c r="G296" s="146"/>
      <c r="H296" s="146"/>
      <c r="I296" s="146"/>
      <c r="J296" s="146"/>
      <c r="K296" s="146"/>
      <c r="L296" s="146"/>
      <c r="M296" s="146"/>
      <c r="N296" s="146"/>
      <c r="O296" s="146"/>
      <c r="P296" s="146"/>
      <c r="Q296" s="146"/>
      <c r="R296" s="146"/>
      <c r="S296" s="146"/>
      <c r="T296" s="146"/>
      <c r="U296" s="146"/>
      <c r="V296" s="146"/>
      <c r="W296" s="146"/>
      <c r="X296" s="146"/>
      <c r="Y296" s="146"/>
      <c r="Z296" s="146"/>
      <c r="AA296" s="146"/>
      <c r="AB296" s="146"/>
      <c r="AC296" s="146"/>
      <c r="AD296" s="146"/>
      <c r="AE296" s="146"/>
      <c r="AF296" s="146"/>
      <c r="AG296" s="146"/>
    </row>
    <row r="297">
      <c r="A297" s="146"/>
      <c r="B297" s="146"/>
      <c r="C297" s="146"/>
      <c r="D297" s="146"/>
      <c r="E297" s="146"/>
      <c r="F297" s="146"/>
      <c r="G297" s="146"/>
      <c r="H297" s="146"/>
      <c r="I297" s="146"/>
      <c r="J297" s="146"/>
      <c r="K297" s="146"/>
      <c r="L297" s="146"/>
      <c r="M297" s="146"/>
      <c r="N297" s="146"/>
      <c r="O297" s="146"/>
      <c r="P297" s="146"/>
      <c r="Q297" s="146"/>
      <c r="R297" s="146"/>
      <c r="S297" s="146"/>
      <c r="T297" s="146"/>
      <c r="U297" s="146"/>
      <c r="V297" s="146"/>
      <c r="W297" s="146"/>
      <c r="X297" s="146"/>
      <c r="Y297" s="146"/>
      <c r="Z297" s="146"/>
      <c r="AA297" s="146"/>
      <c r="AB297" s="146"/>
      <c r="AC297" s="146"/>
      <c r="AD297" s="146"/>
      <c r="AE297" s="146"/>
      <c r="AF297" s="146"/>
      <c r="AG297" s="146"/>
    </row>
    <row r="298">
      <c r="A298" s="146"/>
      <c r="B298" s="146"/>
      <c r="C298" s="146"/>
      <c r="D298" s="146"/>
      <c r="E298" s="146"/>
      <c r="F298" s="146"/>
      <c r="G298" s="146"/>
      <c r="H298" s="146"/>
      <c r="I298" s="146"/>
      <c r="J298" s="146"/>
      <c r="K298" s="146"/>
      <c r="L298" s="146"/>
      <c r="M298" s="146"/>
      <c r="N298" s="146"/>
      <c r="O298" s="146"/>
      <c r="P298" s="146"/>
      <c r="Q298" s="146"/>
      <c r="R298" s="146"/>
      <c r="S298" s="146"/>
      <c r="T298" s="146"/>
      <c r="U298" s="146"/>
      <c r="V298" s="146"/>
      <c r="W298" s="146"/>
      <c r="X298" s="146"/>
      <c r="Y298" s="146"/>
      <c r="Z298" s="146"/>
      <c r="AA298" s="146"/>
      <c r="AB298" s="146"/>
      <c r="AC298" s="146"/>
      <c r="AD298" s="146"/>
      <c r="AE298" s="146"/>
      <c r="AF298" s="146"/>
      <c r="AG298" s="146"/>
    </row>
    <row r="299">
      <c r="A299" s="146"/>
      <c r="B299" s="146"/>
      <c r="C299" s="146"/>
      <c r="D299" s="146"/>
      <c r="E299" s="146"/>
      <c r="F299" s="146"/>
      <c r="G299" s="146"/>
      <c r="H299" s="146"/>
      <c r="I299" s="146"/>
      <c r="J299" s="146"/>
      <c r="K299" s="146"/>
      <c r="L299" s="146"/>
      <c r="M299" s="146"/>
      <c r="N299" s="146"/>
      <c r="O299" s="146"/>
      <c r="P299" s="146"/>
      <c r="Q299" s="146"/>
      <c r="R299" s="146"/>
      <c r="S299" s="146"/>
      <c r="T299" s="146"/>
      <c r="U299" s="146"/>
      <c r="V299" s="146"/>
      <c r="W299" s="146"/>
      <c r="X299" s="146"/>
      <c r="Y299" s="146"/>
      <c r="Z299" s="146"/>
      <c r="AA299" s="146"/>
      <c r="AB299" s="146"/>
      <c r="AC299" s="146"/>
      <c r="AD299" s="146"/>
      <c r="AE299" s="146"/>
      <c r="AF299" s="146"/>
      <c r="AG299" s="146"/>
    </row>
    <row r="300">
      <c r="A300" s="146"/>
      <c r="B300" s="146"/>
      <c r="C300" s="146"/>
      <c r="D300" s="146"/>
      <c r="E300" s="146"/>
      <c r="F300" s="146"/>
      <c r="G300" s="146"/>
      <c r="H300" s="146"/>
      <c r="I300" s="146"/>
      <c r="J300" s="146"/>
      <c r="K300" s="146"/>
      <c r="L300" s="146"/>
      <c r="M300" s="146"/>
      <c r="N300" s="146"/>
      <c r="O300" s="146"/>
      <c r="P300" s="146"/>
      <c r="Q300" s="146"/>
      <c r="R300" s="146"/>
      <c r="S300" s="146"/>
      <c r="T300" s="146"/>
      <c r="U300" s="146"/>
      <c r="V300" s="146"/>
      <c r="W300" s="146"/>
      <c r="X300" s="146"/>
      <c r="Y300" s="146"/>
      <c r="Z300" s="146"/>
      <c r="AA300" s="146"/>
      <c r="AB300" s="146"/>
      <c r="AC300" s="146"/>
      <c r="AD300" s="146"/>
      <c r="AE300" s="146"/>
      <c r="AF300" s="146"/>
      <c r="AG300" s="146"/>
    </row>
    <row r="301">
      <c r="A301" s="146"/>
      <c r="B301" s="146"/>
      <c r="C301" s="146"/>
      <c r="D301" s="146"/>
      <c r="E301" s="146"/>
      <c r="F301" s="146"/>
      <c r="G301" s="146"/>
      <c r="H301" s="146"/>
      <c r="I301" s="146"/>
      <c r="J301" s="146"/>
      <c r="K301" s="146"/>
      <c r="L301" s="146"/>
      <c r="M301" s="146"/>
      <c r="N301" s="146"/>
      <c r="O301" s="146"/>
      <c r="P301" s="146"/>
      <c r="Q301" s="146"/>
      <c r="R301" s="146"/>
      <c r="S301" s="146"/>
      <c r="T301" s="146"/>
      <c r="U301" s="146"/>
      <c r="V301" s="146"/>
      <c r="W301" s="146"/>
      <c r="X301" s="146"/>
      <c r="Y301" s="146"/>
      <c r="Z301" s="146"/>
      <c r="AA301" s="146"/>
      <c r="AB301" s="146"/>
      <c r="AC301" s="146"/>
      <c r="AD301" s="146"/>
      <c r="AE301" s="146"/>
      <c r="AF301" s="146"/>
      <c r="AG301" s="146"/>
    </row>
    <row r="302">
      <c r="A302" s="146"/>
      <c r="B302" s="146"/>
      <c r="C302" s="146"/>
      <c r="D302" s="146"/>
      <c r="E302" s="146"/>
      <c r="F302" s="146"/>
      <c r="G302" s="146"/>
      <c r="H302" s="146"/>
      <c r="I302" s="146"/>
      <c r="J302" s="146"/>
      <c r="K302" s="146"/>
      <c r="L302" s="146"/>
      <c r="M302" s="146"/>
      <c r="N302" s="146"/>
      <c r="O302" s="146"/>
      <c r="P302" s="146"/>
      <c r="Q302" s="146"/>
      <c r="R302" s="146"/>
      <c r="S302" s="146"/>
      <c r="T302" s="146"/>
      <c r="U302" s="146"/>
      <c r="V302" s="146"/>
      <c r="W302" s="146"/>
      <c r="X302" s="146"/>
      <c r="Y302" s="146"/>
      <c r="Z302" s="146"/>
      <c r="AA302" s="146"/>
      <c r="AB302" s="146"/>
      <c r="AC302" s="146"/>
      <c r="AD302" s="146"/>
      <c r="AE302" s="146"/>
      <c r="AF302" s="146"/>
      <c r="AG302" s="146"/>
    </row>
    <row r="303">
      <c r="A303" s="146"/>
      <c r="B303" s="146"/>
      <c r="C303" s="146"/>
      <c r="D303" s="146"/>
      <c r="E303" s="146"/>
      <c r="F303" s="146"/>
      <c r="G303" s="146"/>
      <c r="H303" s="146"/>
      <c r="I303" s="146"/>
      <c r="J303" s="146"/>
      <c r="K303" s="146"/>
      <c r="L303" s="146"/>
      <c r="M303" s="146"/>
      <c r="N303" s="146"/>
      <c r="O303" s="146"/>
      <c r="P303" s="146"/>
      <c r="Q303" s="146"/>
      <c r="R303" s="146"/>
      <c r="S303" s="146"/>
      <c r="T303" s="146"/>
      <c r="U303" s="146"/>
      <c r="V303" s="146"/>
      <c r="W303" s="146"/>
      <c r="X303" s="146"/>
      <c r="Y303" s="146"/>
      <c r="Z303" s="146"/>
      <c r="AA303" s="146"/>
      <c r="AB303" s="146"/>
      <c r="AC303" s="146"/>
      <c r="AD303" s="146"/>
      <c r="AE303" s="146"/>
      <c r="AF303" s="146"/>
      <c r="AG303" s="146"/>
    </row>
    <row r="304">
      <c r="A304" s="146"/>
      <c r="B304" s="146"/>
      <c r="C304" s="146"/>
      <c r="D304" s="146"/>
      <c r="E304" s="146"/>
      <c r="F304" s="146"/>
      <c r="G304" s="146"/>
      <c r="H304" s="146"/>
      <c r="I304" s="146"/>
      <c r="J304" s="146"/>
      <c r="K304" s="146"/>
      <c r="L304" s="146"/>
      <c r="M304" s="146"/>
      <c r="N304" s="146"/>
      <c r="O304" s="146"/>
      <c r="P304" s="146"/>
      <c r="Q304" s="146"/>
      <c r="R304" s="146"/>
      <c r="S304" s="146"/>
      <c r="T304" s="146"/>
      <c r="U304" s="146"/>
      <c r="V304" s="146"/>
      <c r="W304" s="146"/>
      <c r="X304" s="146"/>
      <c r="Y304" s="146"/>
      <c r="Z304" s="146"/>
      <c r="AA304" s="146"/>
      <c r="AB304" s="146"/>
      <c r="AC304" s="146"/>
      <c r="AD304" s="146"/>
      <c r="AE304" s="146"/>
      <c r="AF304" s="146"/>
      <c r="AG304" s="146"/>
    </row>
    <row r="305">
      <c r="A305" s="146"/>
      <c r="B305" s="146"/>
      <c r="C305" s="146"/>
      <c r="D305" s="146"/>
      <c r="E305" s="146"/>
      <c r="F305" s="146"/>
      <c r="G305" s="146"/>
      <c r="H305" s="146"/>
      <c r="I305" s="146"/>
      <c r="J305" s="146"/>
      <c r="K305" s="146"/>
      <c r="L305" s="146"/>
      <c r="M305" s="146"/>
      <c r="N305" s="146"/>
      <c r="O305" s="146"/>
      <c r="P305" s="146"/>
      <c r="Q305" s="146"/>
      <c r="R305" s="146"/>
      <c r="S305" s="146"/>
      <c r="T305" s="146"/>
      <c r="U305" s="146"/>
      <c r="V305" s="146"/>
      <c r="W305" s="146"/>
      <c r="X305" s="146"/>
      <c r="Y305" s="146"/>
      <c r="Z305" s="146"/>
      <c r="AA305" s="146"/>
      <c r="AB305" s="146"/>
      <c r="AC305" s="146"/>
      <c r="AD305" s="146"/>
      <c r="AE305" s="146"/>
      <c r="AF305" s="146"/>
      <c r="AG305" s="146"/>
    </row>
    <row r="306">
      <c r="A306" s="146"/>
      <c r="B306" s="146"/>
      <c r="C306" s="146"/>
      <c r="D306" s="146"/>
      <c r="E306" s="146"/>
      <c r="F306" s="146"/>
      <c r="G306" s="146"/>
      <c r="H306" s="146"/>
      <c r="I306" s="146"/>
      <c r="J306" s="146"/>
      <c r="K306" s="146"/>
      <c r="L306" s="146"/>
      <c r="M306" s="146"/>
      <c r="N306" s="146"/>
      <c r="O306" s="146"/>
      <c r="P306" s="146"/>
      <c r="Q306" s="146"/>
      <c r="R306" s="146"/>
      <c r="S306" s="146"/>
      <c r="T306" s="146"/>
      <c r="U306" s="146"/>
      <c r="V306" s="146"/>
      <c r="W306" s="146"/>
      <c r="X306" s="146"/>
      <c r="Y306" s="146"/>
      <c r="Z306" s="146"/>
      <c r="AA306" s="146"/>
      <c r="AB306" s="146"/>
      <c r="AC306" s="146"/>
      <c r="AD306" s="146"/>
      <c r="AE306" s="146"/>
      <c r="AF306" s="146"/>
      <c r="AG306" s="146"/>
    </row>
    <row r="307">
      <c r="A307" s="146"/>
      <c r="B307" s="146"/>
      <c r="C307" s="146"/>
      <c r="D307" s="146"/>
      <c r="E307" s="146"/>
      <c r="F307" s="146"/>
      <c r="G307" s="146"/>
      <c r="H307" s="146"/>
      <c r="I307" s="146"/>
      <c r="J307" s="146"/>
      <c r="K307" s="146"/>
      <c r="L307" s="146"/>
      <c r="M307" s="146"/>
      <c r="N307" s="146"/>
      <c r="O307" s="146"/>
      <c r="P307" s="146"/>
      <c r="Q307" s="146"/>
      <c r="R307" s="146"/>
      <c r="S307" s="146"/>
      <c r="T307" s="146"/>
      <c r="U307" s="146"/>
      <c r="V307" s="146"/>
      <c r="W307" s="146"/>
      <c r="X307" s="146"/>
      <c r="Y307" s="146"/>
      <c r="Z307" s="146"/>
      <c r="AA307" s="146"/>
      <c r="AB307" s="146"/>
      <c r="AC307" s="146"/>
      <c r="AD307" s="146"/>
      <c r="AE307" s="146"/>
      <c r="AF307" s="146"/>
      <c r="AG307" s="146"/>
    </row>
    <row r="308">
      <c r="A308" s="146"/>
      <c r="B308" s="146"/>
      <c r="C308" s="146"/>
      <c r="D308" s="146"/>
      <c r="E308" s="146"/>
      <c r="F308" s="146"/>
      <c r="G308" s="146"/>
      <c r="H308" s="146"/>
      <c r="I308" s="146"/>
      <c r="J308" s="146"/>
      <c r="K308" s="146"/>
      <c r="L308" s="146"/>
      <c r="M308" s="146"/>
      <c r="N308" s="146"/>
      <c r="O308" s="146"/>
      <c r="P308" s="146"/>
      <c r="Q308" s="146"/>
      <c r="R308" s="146"/>
      <c r="S308" s="146"/>
      <c r="T308" s="146"/>
      <c r="U308" s="146"/>
      <c r="V308" s="146"/>
      <c r="W308" s="146"/>
      <c r="X308" s="146"/>
      <c r="Y308" s="146"/>
      <c r="Z308" s="146"/>
      <c r="AA308" s="146"/>
      <c r="AB308" s="146"/>
      <c r="AC308" s="146"/>
      <c r="AD308" s="146"/>
      <c r="AE308" s="146"/>
      <c r="AF308" s="146"/>
      <c r="AG308" s="146"/>
    </row>
    <row r="309">
      <c r="A309" s="146"/>
      <c r="B309" s="146"/>
      <c r="C309" s="146"/>
      <c r="D309" s="146"/>
      <c r="E309" s="146"/>
      <c r="F309" s="146"/>
      <c r="G309" s="146"/>
      <c r="H309" s="146"/>
      <c r="I309" s="146"/>
      <c r="J309" s="146"/>
      <c r="K309" s="146"/>
      <c r="L309" s="146"/>
      <c r="M309" s="146"/>
      <c r="N309" s="146"/>
      <c r="O309" s="146"/>
      <c r="P309" s="146"/>
      <c r="Q309" s="146"/>
      <c r="R309" s="146"/>
      <c r="S309" s="146"/>
      <c r="T309" s="146"/>
      <c r="U309" s="146"/>
      <c r="V309" s="146"/>
      <c r="W309" s="146"/>
      <c r="X309" s="146"/>
      <c r="Y309" s="146"/>
      <c r="Z309" s="146"/>
      <c r="AA309" s="146"/>
      <c r="AB309" s="146"/>
      <c r="AC309" s="146"/>
      <c r="AD309" s="146"/>
      <c r="AE309" s="146"/>
      <c r="AF309" s="146"/>
      <c r="AG309" s="146"/>
    </row>
    <row r="310">
      <c r="A310" s="146"/>
      <c r="B310" s="146"/>
      <c r="C310" s="146"/>
      <c r="D310" s="146"/>
      <c r="E310" s="146"/>
      <c r="F310" s="146"/>
      <c r="G310" s="146"/>
      <c r="H310" s="146"/>
      <c r="I310" s="146"/>
      <c r="J310" s="146"/>
      <c r="K310" s="146"/>
      <c r="L310" s="146"/>
      <c r="M310" s="146"/>
      <c r="N310" s="146"/>
      <c r="O310" s="146"/>
      <c r="P310" s="146"/>
      <c r="Q310" s="146"/>
      <c r="R310" s="146"/>
      <c r="S310" s="146"/>
      <c r="T310" s="146"/>
      <c r="U310" s="146"/>
      <c r="V310" s="146"/>
      <c r="W310" s="146"/>
      <c r="X310" s="146"/>
      <c r="Y310" s="146"/>
      <c r="Z310" s="146"/>
      <c r="AA310" s="146"/>
      <c r="AB310" s="146"/>
      <c r="AC310" s="146"/>
      <c r="AD310" s="146"/>
      <c r="AE310" s="146"/>
      <c r="AF310" s="146"/>
      <c r="AG310" s="146"/>
    </row>
    <row r="311">
      <c r="A311" s="146"/>
      <c r="B311" s="146"/>
      <c r="C311" s="146"/>
      <c r="D311" s="146"/>
      <c r="E311" s="146"/>
      <c r="F311" s="146"/>
      <c r="G311" s="146"/>
      <c r="H311" s="146"/>
      <c r="I311" s="146"/>
      <c r="J311" s="146"/>
      <c r="K311" s="146"/>
      <c r="L311" s="146"/>
      <c r="M311" s="146"/>
      <c r="N311" s="146"/>
      <c r="O311" s="146"/>
      <c r="P311" s="146"/>
      <c r="Q311" s="146"/>
      <c r="R311" s="146"/>
      <c r="S311" s="146"/>
      <c r="T311" s="146"/>
      <c r="U311" s="146"/>
      <c r="V311" s="146"/>
      <c r="W311" s="146"/>
      <c r="X311" s="146"/>
      <c r="Y311" s="146"/>
      <c r="Z311" s="146"/>
      <c r="AA311" s="146"/>
      <c r="AB311" s="146"/>
      <c r="AC311" s="146"/>
      <c r="AD311" s="146"/>
      <c r="AE311" s="146"/>
      <c r="AF311" s="146"/>
      <c r="AG311" s="146"/>
    </row>
    <row r="312">
      <c r="A312" s="146"/>
      <c r="B312" s="146"/>
      <c r="C312" s="146"/>
      <c r="D312" s="146"/>
      <c r="E312" s="146"/>
      <c r="F312" s="146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  <c r="Y312" s="146"/>
      <c r="Z312" s="146"/>
      <c r="AA312" s="146"/>
      <c r="AB312" s="146"/>
      <c r="AC312" s="146"/>
      <c r="AD312" s="146"/>
      <c r="AE312" s="146"/>
      <c r="AF312" s="146"/>
      <c r="AG312" s="146"/>
    </row>
    <row r="313">
      <c r="A313" s="146"/>
      <c r="B313" s="146"/>
      <c r="C313" s="146"/>
      <c r="D313" s="146"/>
      <c r="E313" s="146"/>
      <c r="F313" s="146"/>
      <c r="G313" s="146"/>
      <c r="H313" s="146"/>
      <c r="I313" s="146"/>
      <c r="J313" s="146"/>
      <c r="K313" s="146"/>
      <c r="L313" s="146"/>
      <c r="M313" s="146"/>
      <c r="N313" s="146"/>
      <c r="O313" s="146"/>
      <c r="P313" s="146"/>
      <c r="Q313" s="146"/>
      <c r="R313" s="146"/>
      <c r="S313" s="146"/>
      <c r="T313" s="146"/>
      <c r="U313" s="146"/>
      <c r="V313" s="146"/>
      <c r="W313" s="146"/>
      <c r="X313" s="146"/>
      <c r="Y313" s="146"/>
      <c r="Z313" s="146"/>
      <c r="AA313" s="146"/>
      <c r="AB313" s="146"/>
      <c r="AC313" s="146"/>
      <c r="AD313" s="146"/>
      <c r="AE313" s="146"/>
      <c r="AF313" s="146"/>
      <c r="AG313" s="146"/>
    </row>
    <row r="314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M314" s="146"/>
      <c r="N314" s="146"/>
      <c r="O314" s="146"/>
      <c r="P314" s="146"/>
      <c r="Q314" s="146"/>
      <c r="R314" s="146"/>
      <c r="S314" s="146"/>
      <c r="T314" s="146"/>
      <c r="U314" s="146"/>
      <c r="V314" s="146"/>
      <c r="W314" s="146"/>
      <c r="X314" s="146"/>
      <c r="Y314" s="146"/>
      <c r="Z314" s="146"/>
      <c r="AA314" s="146"/>
      <c r="AB314" s="146"/>
      <c r="AC314" s="146"/>
      <c r="AD314" s="146"/>
      <c r="AE314" s="146"/>
      <c r="AF314" s="146"/>
      <c r="AG314" s="146"/>
    </row>
    <row r="315">
      <c r="A315" s="146"/>
      <c r="B315" s="146"/>
      <c r="C315" s="146"/>
      <c r="D315" s="146"/>
      <c r="E315" s="146"/>
      <c r="F315" s="146"/>
      <c r="G315" s="146"/>
      <c r="H315" s="146"/>
      <c r="I315" s="146"/>
      <c r="J315" s="146"/>
      <c r="K315" s="146"/>
      <c r="L315" s="146"/>
      <c r="M315" s="146"/>
      <c r="N315" s="146"/>
      <c r="O315" s="146"/>
      <c r="P315" s="146"/>
      <c r="Q315" s="146"/>
      <c r="R315" s="146"/>
      <c r="S315" s="146"/>
      <c r="T315" s="146"/>
      <c r="U315" s="146"/>
      <c r="V315" s="146"/>
      <c r="W315" s="146"/>
      <c r="X315" s="146"/>
      <c r="Y315" s="146"/>
      <c r="Z315" s="146"/>
      <c r="AA315" s="146"/>
      <c r="AB315" s="146"/>
      <c r="AC315" s="146"/>
      <c r="AD315" s="146"/>
      <c r="AE315" s="146"/>
      <c r="AF315" s="146"/>
      <c r="AG315" s="146"/>
    </row>
    <row r="316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M316" s="146"/>
      <c r="N316" s="146"/>
      <c r="O316" s="146"/>
      <c r="P316" s="146"/>
      <c r="Q316" s="146"/>
      <c r="R316" s="146"/>
      <c r="S316" s="146"/>
      <c r="T316" s="146"/>
      <c r="U316" s="146"/>
      <c r="V316" s="146"/>
      <c r="W316" s="146"/>
      <c r="X316" s="146"/>
      <c r="Y316" s="146"/>
      <c r="Z316" s="146"/>
      <c r="AA316" s="146"/>
      <c r="AB316" s="146"/>
      <c r="AC316" s="146"/>
      <c r="AD316" s="146"/>
      <c r="AE316" s="146"/>
      <c r="AF316" s="146"/>
      <c r="AG316" s="146"/>
    </row>
    <row r="317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M317" s="146"/>
      <c r="N317" s="146"/>
      <c r="O317" s="146"/>
      <c r="P317" s="146"/>
      <c r="Q317" s="146"/>
      <c r="R317" s="146"/>
      <c r="S317" s="146"/>
      <c r="T317" s="146"/>
      <c r="U317" s="146"/>
      <c r="V317" s="146"/>
      <c r="W317" s="146"/>
      <c r="X317" s="146"/>
      <c r="Y317" s="146"/>
      <c r="Z317" s="146"/>
      <c r="AA317" s="146"/>
      <c r="AB317" s="146"/>
      <c r="AC317" s="146"/>
      <c r="AD317" s="146"/>
      <c r="AE317" s="146"/>
      <c r="AF317" s="146"/>
      <c r="AG317" s="146"/>
    </row>
    <row r="318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M318" s="146"/>
      <c r="N318" s="146"/>
      <c r="O318" s="146"/>
      <c r="P318" s="146"/>
      <c r="Q318" s="146"/>
      <c r="R318" s="146"/>
      <c r="S318" s="146"/>
      <c r="T318" s="146"/>
      <c r="U318" s="146"/>
      <c r="V318" s="146"/>
      <c r="W318" s="146"/>
      <c r="X318" s="146"/>
      <c r="Y318" s="146"/>
      <c r="Z318" s="146"/>
      <c r="AA318" s="146"/>
      <c r="AB318" s="146"/>
      <c r="AC318" s="146"/>
      <c r="AD318" s="146"/>
      <c r="AE318" s="146"/>
      <c r="AF318" s="146"/>
      <c r="AG318" s="146"/>
    </row>
    <row r="319">
      <c r="A319" s="146"/>
      <c r="B319" s="146"/>
      <c r="C319" s="146"/>
      <c r="D319" s="146"/>
      <c r="E319" s="146"/>
      <c r="F319" s="146"/>
      <c r="G319" s="146"/>
      <c r="H319" s="146"/>
      <c r="I319" s="146"/>
      <c r="J319" s="146"/>
      <c r="K319" s="146"/>
      <c r="L319" s="146"/>
      <c r="M319" s="146"/>
      <c r="N319" s="146"/>
      <c r="O319" s="146"/>
      <c r="P319" s="146"/>
      <c r="Q319" s="146"/>
      <c r="R319" s="146"/>
      <c r="S319" s="146"/>
      <c r="T319" s="146"/>
      <c r="U319" s="146"/>
      <c r="V319" s="146"/>
      <c r="W319" s="146"/>
      <c r="X319" s="146"/>
      <c r="Y319" s="146"/>
      <c r="Z319" s="146"/>
      <c r="AA319" s="146"/>
      <c r="AB319" s="146"/>
      <c r="AC319" s="146"/>
      <c r="AD319" s="146"/>
      <c r="AE319" s="146"/>
      <c r="AF319" s="146"/>
      <c r="AG319" s="146"/>
    </row>
    <row r="320">
      <c r="A320" s="146"/>
      <c r="B320" s="146"/>
      <c r="C320" s="146"/>
      <c r="D320" s="146"/>
      <c r="E320" s="146"/>
      <c r="F320" s="146"/>
      <c r="G320" s="146"/>
      <c r="H320" s="146"/>
      <c r="I320" s="146"/>
      <c r="J320" s="146"/>
      <c r="K320" s="146"/>
      <c r="L320" s="146"/>
      <c r="M320" s="146"/>
      <c r="N320" s="146"/>
      <c r="O320" s="146"/>
      <c r="P320" s="146"/>
      <c r="Q320" s="146"/>
      <c r="R320" s="146"/>
      <c r="S320" s="146"/>
      <c r="T320" s="146"/>
      <c r="U320" s="146"/>
      <c r="V320" s="146"/>
      <c r="W320" s="146"/>
      <c r="X320" s="146"/>
      <c r="Y320" s="146"/>
      <c r="Z320" s="146"/>
      <c r="AA320" s="146"/>
      <c r="AB320" s="146"/>
      <c r="AC320" s="146"/>
      <c r="AD320" s="146"/>
      <c r="AE320" s="146"/>
      <c r="AF320" s="146"/>
      <c r="AG320" s="146"/>
    </row>
    <row r="321">
      <c r="A321" s="146"/>
      <c r="B321" s="146"/>
      <c r="C321" s="146"/>
      <c r="D321" s="146"/>
      <c r="E321" s="146"/>
      <c r="F321" s="146"/>
      <c r="G321" s="146"/>
      <c r="H321" s="146"/>
      <c r="I321" s="146"/>
      <c r="J321" s="146"/>
      <c r="K321" s="146"/>
      <c r="L321" s="146"/>
      <c r="M321" s="146"/>
      <c r="N321" s="146"/>
      <c r="O321" s="146"/>
      <c r="P321" s="146"/>
      <c r="Q321" s="146"/>
      <c r="R321" s="146"/>
      <c r="S321" s="146"/>
      <c r="T321" s="146"/>
      <c r="U321" s="146"/>
      <c r="V321" s="146"/>
      <c r="W321" s="146"/>
      <c r="X321" s="146"/>
      <c r="Y321" s="146"/>
      <c r="Z321" s="146"/>
      <c r="AA321" s="146"/>
      <c r="AB321" s="146"/>
      <c r="AC321" s="146"/>
      <c r="AD321" s="146"/>
      <c r="AE321" s="146"/>
      <c r="AF321" s="146"/>
      <c r="AG321" s="146"/>
    </row>
    <row r="322">
      <c r="A322" s="146"/>
      <c r="B322" s="146"/>
      <c r="C322" s="146"/>
      <c r="D322" s="146"/>
      <c r="E322" s="146"/>
      <c r="F322" s="146"/>
      <c r="G322" s="146"/>
      <c r="H322" s="146"/>
      <c r="I322" s="146"/>
      <c r="J322" s="146"/>
      <c r="K322" s="146"/>
      <c r="L322" s="146"/>
      <c r="M322" s="146"/>
      <c r="N322" s="146"/>
      <c r="O322" s="146"/>
      <c r="P322" s="146"/>
      <c r="Q322" s="146"/>
      <c r="R322" s="146"/>
      <c r="S322" s="146"/>
      <c r="T322" s="146"/>
      <c r="U322" s="146"/>
      <c r="V322" s="146"/>
      <c r="W322" s="146"/>
      <c r="X322" s="146"/>
      <c r="Y322" s="146"/>
      <c r="Z322" s="146"/>
      <c r="AA322" s="146"/>
      <c r="AB322" s="146"/>
      <c r="AC322" s="146"/>
      <c r="AD322" s="146"/>
      <c r="AE322" s="146"/>
      <c r="AF322" s="146"/>
      <c r="AG322" s="146"/>
    </row>
    <row r="323">
      <c r="A323" s="146"/>
      <c r="B323" s="146"/>
      <c r="C323" s="146"/>
      <c r="D323" s="146"/>
      <c r="E323" s="146"/>
      <c r="F323" s="146"/>
      <c r="G323" s="146"/>
      <c r="H323" s="146"/>
      <c r="I323" s="146"/>
      <c r="J323" s="146"/>
      <c r="K323" s="146"/>
      <c r="L323" s="146"/>
      <c r="M323" s="146"/>
      <c r="N323" s="146"/>
      <c r="O323" s="146"/>
      <c r="P323" s="146"/>
      <c r="Q323" s="146"/>
      <c r="R323" s="146"/>
      <c r="S323" s="146"/>
      <c r="T323" s="146"/>
      <c r="U323" s="146"/>
      <c r="V323" s="146"/>
      <c r="W323" s="146"/>
      <c r="X323" s="146"/>
      <c r="Y323" s="146"/>
      <c r="Z323" s="146"/>
      <c r="AA323" s="146"/>
      <c r="AB323" s="146"/>
      <c r="AC323" s="146"/>
      <c r="AD323" s="146"/>
      <c r="AE323" s="146"/>
      <c r="AF323" s="146"/>
      <c r="AG323" s="146"/>
    </row>
    <row r="324">
      <c r="A324" s="146"/>
      <c r="B324" s="146"/>
      <c r="C324" s="146"/>
      <c r="D324" s="146"/>
      <c r="E324" s="146"/>
      <c r="F324" s="146"/>
      <c r="G324" s="146"/>
      <c r="H324" s="146"/>
      <c r="I324" s="146"/>
      <c r="J324" s="146"/>
      <c r="K324" s="146"/>
      <c r="L324" s="146"/>
      <c r="M324" s="146"/>
      <c r="N324" s="146"/>
      <c r="O324" s="146"/>
      <c r="P324" s="146"/>
      <c r="Q324" s="146"/>
      <c r="R324" s="146"/>
      <c r="S324" s="146"/>
      <c r="T324" s="146"/>
      <c r="U324" s="146"/>
      <c r="V324" s="146"/>
      <c r="W324" s="146"/>
      <c r="X324" s="146"/>
      <c r="Y324" s="146"/>
      <c r="Z324" s="146"/>
      <c r="AA324" s="146"/>
      <c r="AB324" s="146"/>
      <c r="AC324" s="146"/>
      <c r="AD324" s="146"/>
      <c r="AE324" s="146"/>
      <c r="AF324" s="146"/>
      <c r="AG324" s="146"/>
    </row>
    <row r="325">
      <c r="A325" s="146"/>
      <c r="B325" s="146"/>
      <c r="C325" s="146"/>
      <c r="D325" s="146"/>
      <c r="E325" s="146"/>
      <c r="F325" s="146"/>
      <c r="G325" s="146"/>
      <c r="H325" s="146"/>
      <c r="I325" s="146"/>
      <c r="J325" s="146"/>
      <c r="K325" s="146"/>
      <c r="L325" s="146"/>
      <c r="M325" s="146"/>
      <c r="N325" s="146"/>
      <c r="O325" s="146"/>
      <c r="P325" s="146"/>
      <c r="Q325" s="146"/>
      <c r="R325" s="146"/>
      <c r="S325" s="146"/>
      <c r="T325" s="146"/>
      <c r="U325" s="146"/>
      <c r="V325" s="146"/>
      <c r="W325" s="146"/>
      <c r="X325" s="146"/>
      <c r="Y325" s="146"/>
      <c r="Z325" s="146"/>
      <c r="AA325" s="146"/>
      <c r="AB325" s="146"/>
      <c r="AC325" s="146"/>
      <c r="AD325" s="146"/>
      <c r="AE325" s="146"/>
      <c r="AF325" s="146"/>
      <c r="AG325" s="146"/>
    </row>
    <row r="326">
      <c r="A326" s="146"/>
      <c r="B326" s="146"/>
      <c r="C326" s="146"/>
      <c r="D326" s="146"/>
      <c r="E326" s="146"/>
      <c r="F326" s="146"/>
      <c r="G326" s="146"/>
      <c r="H326" s="146"/>
      <c r="I326" s="146"/>
      <c r="J326" s="146"/>
      <c r="K326" s="146"/>
      <c r="L326" s="146"/>
      <c r="M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  <c r="Y326" s="146"/>
      <c r="Z326" s="146"/>
      <c r="AA326" s="146"/>
      <c r="AB326" s="146"/>
      <c r="AC326" s="146"/>
      <c r="AD326" s="146"/>
      <c r="AE326" s="146"/>
      <c r="AF326" s="146"/>
      <c r="AG326" s="146"/>
    </row>
    <row r="327">
      <c r="A327" s="146"/>
      <c r="B327" s="146"/>
      <c r="C327" s="146"/>
      <c r="D327" s="146"/>
      <c r="E327" s="146"/>
      <c r="F327" s="146"/>
      <c r="G327" s="146"/>
      <c r="H327" s="146"/>
      <c r="I327" s="146"/>
      <c r="J327" s="146"/>
      <c r="K327" s="146"/>
      <c r="L327" s="146"/>
      <c r="M327" s="146"/>
      <c r="N327" s="146"/>
      <c r="O327" s="146"/>
      <c r="P327" s="146"/>
      <c r="Q327" s="146"/>
      <c r="R327" s="146"/>
      <c r="S327" s="146"/>
      <c r="T327" s="146"/>
      <c r="U327" s="146"/>
      <c r="V327" s="146"/>
      <c r="W327" s="146"/>
      <c r="X327" s="146"/>
      <c r="Y327" s="146"/>
      <c r="Z327" s="146"/>
      <c r="AA327" s="146"/>
      <c r="AB327" s="146"/>
      <c r="AC327" s="146"/>
      <c r="AD327" s="146"/>
      <c r="AE327" s="146"/>
      <c r="AF327" s="146"/>
      <c r="AG327" s="146"/>
    </row>
    <row r="328">
      <c r="A328" s="146"/>
      <c r="B328" s="146"/>
      <c r="C328" s="146"/>
      <c r="D328" s="146"/>
      <c r="E328" s="146"/>
      <c r="F328" s="146"/>
      <c r="G328" s="146"/>
      <c r="H328" s="146"/>
      <c r="I328" s="146"/>
      <c r="J328" s="146"/>
      <c r="K328" s="146"/>
      <c r="L328" s="146"/>
      <c r="M328" s="146"/>
      <c r="N328" s="146"/>
      <c r="O328" s="146"/>
      <c r="P328" s="146"/>
      <c r="Q328" s="146"/>
      <c r="R328" s="146"/>
      <c r="S328" s="146"/>
      <c r="T328" s="146"/>
      <c r="U328" s="146"/>
      <c r="V328" s="146"/>
      <c r="W328" s="146"/>
      <c r="X328" s="146"/>
      <c r="Y328" s="146"/>
      <c r="Z328" s="146"/>
      <c r="AA328" s="146"/>
      <c r="AB328" s="146"/>
      <c r="AC328" s="146"/>
      <c r="AD328" s="146"/>
      <c r="AE328" s="146"/>
      <c r="AF328" s="146"/>
      <c r="AG328" s="146"/>
    </row>
    <row r="329">
      <c r="A329" s="146"/>
      <c r="B329" s="146"/>
      <c r="C329" s="146"/>
      <c r="D329" s="146"/>
      <c r="E329" s="146"/>
      <c r="F329" s="146"/>
      <c r="G329" s="146"/>
      <c r="H329" s="146"/>
      <c r="I329" s="146"/>
      <c r="J329" s="146"/>
      <c r="K329" s="146"/>
      <c r="L329" s="146"/>
      <c r="M329" s="146"/>
      <c r="N329" s="146"/>
      <c r="O329" s="146"/>
      <c r="P329" s="146"/>
      <c r="Q329" s="146"/>
      <c r="R329" s="146"/>
      <c r="S329" s="146"/>
      <c r="T329" s="146"/>
      <c r="U329" s="146"/>
      <c r="V329" s="146"/>
      <c r="W329" s="146"/>
      <c r="X329" s="146"/>
      <c r="Y329" s="146"/>
      <c r="Z329" s="146"/>
      <c r="AA329" s="146"/>
      <c r="AB329" s="146"/>
      <c r="AC329" s="146"/>
      <c r="AD329" s="146"/>
      <c r="AE329" s="146"/>
      <c r="AF329" s="146"/>
      <c r="AG329" s="146"/>
    </row>
    <row r="330">
      <c r="A330" s="146"/>
      <c r="B330" s="146"/>
      <c r="C330" s="146"/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6"/>
      <c r="U330" s="146"/>
      <c r="V330" s="146"/>
      <c r="W330" s="146"/>
      <c r="X330" s="146"/>
      <c r="Y330" s="146"/>
      <c r="Z330" s="146"/>
      <c r="AA330" s="146"/>
      <c r="AB330" s="146"/>
      <c r="AC330" s="146"/>
      <c r="AD330" s="146"/>
      <c r="AE330" s="146"/>
      <c r="AF330" s="146"/>
      <c r="AG330" s="146"/>
    </row>
    <row r="331">
      <c r="A331" s="146"/>
      <c r="B331" s="146"/>
      <c r="C331" s="146"/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6"/>
      <c r="U331" s="146"/>
      <c r="V331" s="146"/>
      <c r="W331" s="146"/>
      <c r="X331" s="146"/>
      <c r="Y331" s="146"/>
      <c r="Z331" s="146"/>
      <c r="AA331" s="146"/>
      <c r="AB331" s="146"/>
      <c r="AC331" s="146"/>
      <c r="AD331" s="146"/>
      <c r="AE331" s="146"/>
      <c r="AF331" s="146"/>
      <c r="AG331" s="146"/>
    </row>
    <row r="332">
      <c r="A332" s="146"/>
      <c r="B332" s="146"/>
      <c r="C332" s="146"/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146"/>
      <c r="U332" s="146"/>
      <c r="V332" s="146"/>
      <c r="W332" s="146"/>
      <c r="X332" s="146"/>
      <c r="Y332" s="146"/>
      <c r="Z332" s="146"/>
      <c r="AA332" s="146"/>
      <c r="AB332" s="146"/>
      <c r="AC332" s="146"/>
      <c r="AD332" s="146"/>
      <c r="AE332" s="146"/>
      <c r="AF332" s="146"/>
      <c r="AG332" s="146"/>
    </row>
    <row r="333">
      <c r="A333" s="146"/>
      <c r="B333" s="146"/>
      <c r="C333" s="146"/>
      <c r="D333" s="146"/>
      <c r="E333" s="146"/>
      <c r="F333" s="146"/>
      <c r="G333" s="146"/>
      <c r="H333" s="146"/>
      <c r="I333" s="146"/>
      <c r="J333" s="146"/>
      <c r="K333" s="146"/>
      <c r="L333" s="146"/>
      <c r="M333" s="146"/>
      <c r="N333" s="146"/>
      <c r="O333" s="146"/>
      <c r="P333" s="146"/>
      <c r="Q333" s="146"/>
      <c r="R333" s="146"/>
      <c r="S333" s="146"/>
      <c r="T333" s="146"/>
      <c r="U333" s="146"/>
      <c r="V333" s="146"/>
      <c r="W333" s="146"/>
      <c r="X333" s="146"/>
      <c r="Y333" s="146"/>
      <c r="Z333" s="146"/>
      <c r="AA333" s="146"/>
      <c r="AB333" s="146"/>
      <c r="AC333" s="146"/>
      <c r="AD333" s="146"/>
      <c r="AE333" s="146"/>
      <c r="AF333" s="146"/>
      <c r="AG333" s="146"/>
    </row>
    <row r="334">
      <c r="A334" s="146"/>
      <c r="B334" s="146"/>
      <c r="C334" s="146"/>
      <c r="D334" s="146"/>
      <c r="E334" s="146"/>
      <c r="F334" s="146"/>
      <c r="G334" s="146"/>
      <c r="H334" s="146"/>
      <c r="I334" s="146"/>
      <c r="J334" s="146"/>
      <c r="K334" s="146"/>
      <c r="L334" s="146"/>
      <c r="M334" s="146"/>
      <c r="N334" s="146"/>
      <c r="O334" s="146"/>
      <c r="P334" s="146"/>
      <c r="Q334" s="146"/>
      <c r="R334" s="146"/>
      <c r="S334" s="146"/>
      <c r="T334" s="146"/>
      <c r="U334" s="146"/>
      <c r="V334" s="146"/>
      <c r="W334" s="146"/>
      <c r="X334" s="146"/>
      <c r="Y334" s="146"/>
      <c r="Z334" s="146"/>
      <c r="AA334" s="146"/>
      <c r="AB334" s="146"/>
      <c r="AC334" s="146"/>
      <c r="AD334" s="146"/>
      <c r="AE334" s="146"/>
      <c r="AF334" s="146"/>
      <c r="AG334" s="146"/>
    </row>
    <row r="335">
      <c r="A335" s="146"/>
      <c r="B335" s="146"/>
      <c r="C335" s="146"/>
      <c r="D335" s="146"/>
      <c r="E335" s="146"/>
      <c r="F335" s="146"/>
      <c r="G335" s="146"/>
      <c r="H335" s="146"/>
      <c r="I335" s="146"/>
      <c r="J335" s="146"/>
      <c r="K335" s="146"/>
      <c r="L335" s="146"/>
      <c r="M335" s="146"/>
      <c r="N335" s="146"/>
      <c r="O335" s="146"/>
      <c r="P335" s="146"/>
      <c r="Q335" s="146"/>
      <c r="R335" s="146"/>
      <c r="S335" s="146"/>
      <c r="T335" s="146"/>
      <c r="U335" s="146"/>
      <c r="V335" s="146"/>
      <c r="W335" s="146"/>
      <c r="X335" s="146"/>
      <c r="Y335" s="146"/>
      <c r="Z335" s="146"/>
      <c r="AA335" s="146"/>
      <c r="AB335" s="146"/>
      <c r="AC335" s="146"/>
      <c r="AD335" s="146"/>
      <c r="AE335" s="146"/>
      <c r="AF335" s="146"/>
      <c r="AG335" s="146"/>
    </row>
    <row r="336">
      <c r="A336" s="146"/>
      <c r="B336" s="146"/>
      <c r="C336" s="146"/>
      <c r="D336" s="146"/>
      <c r="E336" s="146"/>
      <c r="F336" s="146"/>
      <c r="G336" s="146"/>
      <c r="H336" s="146"/>
      <c r="I336" s="146"/>
      <c r="J336" s="146"/>
      <c r="K336" s="146"/>
      <c r="L336" s="146"/>
      <c r="M336" s="146"/>
      <c r="N336" s="146"/>
      <c r="O336" s="146"/>
      <c r="P336" s="146"/>
      <c r="Q336" s="146"/>
      <c r="R336" s="146"/>
      <c r="S336" s="146"/>
      <c r="T336" s="146"/>
      <c r="U336" s="146"/>
      <c r="V336" s="146"/>
      <c r="W336" s="146"/>
      <c r="X336" s="146"/>
      <c r="Y336" s="146"/>
      <c r="Z336" s="146"/>
      <c r="AA336" s="146"/>
      <c r="AB336" s="146"/>
      <c r="AC336" s="146"/>
      <c r="AD336" s="146"/>
      <c r="AE336" s="146"/>
      <c r="AF336" s="146"/>
      <c r="AG336" s="146"/>
    </row>
    <row r="337">
      <c r="A337" s="146"/>
      <c r="B337" s="146"/>
      <c r="C337" s="146"/>
      <c r="D337" s="146"/>
      <c r="E337" s="146"/>
      <c r="F337" s="146"/>
      <c r="G337" s="146"/>
      <c r="H337" s="146"/>
      <c r="I337" s="146"/>
      <c r="J337" s="146"/>
      <c r="K337" s="146"/>
      <c r="L337" s="146"/>
      <c r="M337" s="146"/>
      <c r="N337" s="146"/>
      <c r="O337" s="146"/>
      <c r="P337" s="146"/>
      <c r="Q337" s="146"/>
      <c r="R337" s="146"/>
      <c r="S337" s="146"/>
      <c r="T337" s="146"/>
      <c r="U337" s="146"/>
      <c r="V337" s="146"/>
      <c r="W337" s="146"/>
      <c r="X337" s="146"/>
      <c r="Y337" s="146"/>
      <c r="Z337" s="146"/>
      <c r="AA337" s="146"/>
      <c r="AB337" s="146"/>
      <c r="AC337" s="146"/>
      <c r="AD337" s="146"/>
      <c r="AE337" s="146"/>
      <c r="AF337" s="146"/>
      <c r="AG337" s="146"/>
    </row>
    <row r="338">
      <c r="A338" s="146"/>
      <c r="B338" s="146"/>
      <c r="C338" s="146"/>
      <c r="D338" s="146"/>
      <c r="E338" s="146"/>
      <c r="F338" s="146"/>
      <c r="G338" s="146"/>
      <c r="H338" s="146"/>
      <c r="I338" s="146"/>
      <c r="J338" s="146"/>
      <c r="K338" s="146"/>
      <c r="L338" s="146"/>
      <c r="M338" s="146"/>
      <c r="N338" s="146"/>
      <c r="O338" s="146"/>
      <c r="P338" s="146"/>
      <c r="Q338" s="146"/>
      <c r="R338" s="146"/>
      <c r="S338" s="146"/>
      <c r="T338" s="146"/>
      <c r="U338" s="146"/>
      <c r="V338" s="146"/>
      <c r="W338" s="146"/>
      <c r="X338" s="146"/>
      <c r="Y338" s="146"/>
      <c r="Z338" s="146"/>
      <c r="AA338" s="146"/>
      <c r="AB338" s="146"/>
      <c r="AC338" s="146"/>
      <c r="AD338" s="146"/>
      <c r="AE338" s="146"/>
      <c r="AF338" s="146"/>
      <c r="AG338" s="146"/>
    </row>
    <row r="339">
      <c r="A339" s="146"/>
      <c r="B339" s="146"/>
      <c r="C339" s="146"/>
      <c r="D339" s="146"/>
      <c r="E339" s="146"/>
      <c r="F339" s="146"/>
      <c r="G339" s="146"/>
      <c r="H339" s="146"/>
      <c r="I339" s="146"/>
      <c r="J339" s="146"/>
      <c r="K339" s="146"/>
      <c r="L339" s="146"/>
      <c r="M339" s="146"/>
      <c r="N339" s="146"/>
      <c r="O339" s="146"/>
      <c r="P339" s="146"/>
      <c r="Q339" s="146"/>
      <c r="R339" s="146"/>
      <c r="S339" s="146"/>
      <c r="T339" s="146"/>
      <c r="U339" s="146"/>
      <c r="V339" s="146"/>
      <c r="W339" s="146"/>
      <c r="X339" s="146"/>
      <c r="Y339" s="146"/>
      <c r="Z339" s="146"/>
      <c r="AA339" s="146"/>
      <c r="AB339" s="146"/>
      <c r="AC339" s="146"/>
      <c r="AD339" s="146"/>
      <c r="AE339" s="146"/>
      <c r="AF339" s="146"/>
      <c r="AG339" s="146"/>
    </row>
    <row r="340">
      <c r="A340" s="146"/>
      <c r="B340" s="146"/>
      <c r="C340" s="146"/>
      <c r="D340" s="146"/>
      <c r="E340" s="146"/>
      <c r="F340" s="146"/>
      <c r="G340" s="146"/>
      <c r="H340" s="146"/>
      <c r="I340" s="146"/>
      <c r="J340" s="146"/>
      <c r="K340" s="146"/>
      <c r="L340" s="146"/>
      <c r="M340" s="146"/>
      <c r="N340" s="146"/>
      <c r="O340" s="146"/>
      <c r="P340" s="146"/>
      <c r="Q340" s="146"/>
      <c r="R340" s="146"/>
      <c r="S340" s="146"/>
      <c r="T340" s="146"/>
      <c r="U340" s="146"/>
      <c r="V340" s="146"/>
      <c r="W340" s="146"/>
      <c r="X340" s="146"/>
      <c r="Y340" s="146"/>
      <c r="Z340" s="146"/>
      <c r="AA340" s="146"/>
      <c r="AB340" s="146"/>
      <c r="AC340" s="146"/>
      <c r="AD340" s="146"/>
      <c r="AE340" s="146"/>
      <c r="AF340" s="146"/>
      <c r="AG340" s="146"/>
    </row>
    <row r="341">
      <c r="A341" s="146"/>
      <c r="B341" s="146"/>
      <c r="C341" s="146"/>
      <c r="D341" s="146"/>
      <c r="E341" s="146"/>
      <c r="F341" s="146"/>
      <c r="G341" s="146"/>
      <c r="H341" s="146"/>
      <c r="I341" s="146"/>
      <c r="J341" s="146"/>
      <c r="K341" s="146"/>
      <c r="L341" s="146"/>
      <c r="M341" s="146"/>
      <c r="N341" s="146"/>
      <c r="O341" s="146"/>
      <c r="P341" s="146"/>
      <c r="Q341" s="146"/>
      <c r="R341" s="146"/>
      <c r="S341" s="146"/>
      <c r="T341" s="146"/>
      <c r="U341" s="146"/>
      <c r="V341" s="146"/>
      <c r="W341" s="146"/>
      <c r="X341" s="146"/>
      <c r="Y341" s="146"/>
      <c r="Z341" s="146"/>
      <c r="AA341" s="146"/>
      <c r="AB341" s="146"/>
      <c r="AC341" s="146"/>
      <c r="AD341" s="146"/>
      <c r="AE341" s="146"/>
      <c r="AF341" s="146"/>
      <c r="AG341" s="146"/>
    </row>
    <row r="342">
      <c r="A342" s="146"/>
      <c r="B342" s="146"/>
      <c r="C342" s="146"/>
      <c r="D342" s="146"/>
      <c r="E342" s="146"/>
      <c r="F342" s="146"/>
      <c r="G342" s="146"/>
      <c r="H342" s="146"/>
      <c r="I342" s="146"/>
      <c r="J342" s="146"/>
      <c r="K342" s="146"/>
      <c r="L342" s="146"/>
      <c r="M342" s="146"/>
      <c r="N342" s="146"/>
      <c r="O342" s="146"/>
      <c r="P342" s="146"/>
      <c r="Q342" s="146"/>
      <c r="R342" s="146"/>
      <c r="S342" s="146"/>
      <c r="T342" s="146"/>
      <c r="U342" s="146"/>
      <c r="V342" s="146"/>
      <c r="W342" s="146"/>
      <c r="X342" s="146"/>
      <c r="Y342" s="146"/>
      <c r="Z342" s="146"/>
      <c r="AA342" s="146"/>
      <c r="AB342" s="146"/>
      <c r="AC342" s="146"/>
      <c r="AD342" s="146"/>
      <c r="AE342" s="146"/>
      <c r="AF342" s="146"/>
      <c r="AG342" s="146"/>
    </row>
    <row r="343">
      <c r="A343" s="146"/>
      <c r="B343" s="146"/>
      <c r="C343" s="146"/>
      <c r="D343" s="146"/>
      <c r="E343" s="146"/>
      <c r="F343" s="146"/>
      <c r="G343" s="146"/>
      <c r="H343" s="146"/>
      <c r="I343" s="146"/>
      <c r="J343" s="146"/>
      <c r="K343" s="146"/>
      <c r="L343" s="146"/>
      <c r="M343" s="146"/>
      <c r="N343" s="146"/>
      <c r="O343" s="146"/>
      <c r="P343" s="146"/>
      <c r="Q343" s="146"/>
      <c r="R343" s="146"/>
      <c r="S343" s="146"/>
      <c r="T343" s="146"/>
      <c r="U343" s="146"/>
      <c r="V343" s="146"/>
      <c r="W343" s="146"/>
      <c r="X343" s="146"/>
      <c r="Y343" s="146"/>
      <c r="Z343" s="146"/>
      <c r="AA343" s="146"/>
      <c r="AB343" s="146"/>
      <c r="AC343" s="146"/>
      <c r="AD343" s="146"/>
      <c r="AE343" s="146"/>
      <c r="AF343" s="146"/>
      <c r="AG343" s="146"/>
    </row>
    <row r="344">
      <c r="A344" s="146"/>
      <c r="B344" s="146"/>
      <c r="C344" s="146"/>
      <c r="D344" s="146"/>
      <c r="E344" s="146"/>
      <c r="F344" s="146"/>
      <c r="G344" s="146"/>
      <c r="H344" s="146"/>
      <c r="I344" s="146"/>
      <c r="J344" s="146"/>
      <c r="K344" s="146"/>
      <c r="L344" s="146"/>
      <c r="M344" s="146"/>
      <c r="N344" s="146"/>
      <c r="O344" s="146"/>
      <c r="P344" s="146"/>
      <c r="Q344" s="146"/>
      <c r="R344" s="146"/>
      <c r="S344" s="146"/>
      <c r="T344" s="146"/>
      <c r="U344" s="146"/>
      <c r="V344" s="146"/>
      <c r="W344" s="146"/>
      <c r="X344" s="146"/>
      <c r="Y344" s="146"/>
      <c r="Z344" s="146"/>
      <c r="AA344" s="146"/>
      <c r="AB344" s="146"/>
      <c r="AC344" s="146"/>
      <c r="AD344" s="146"/>
      <c r="AE344" s="146"/>
      <c r="AF344" s="146"/>
      <c r="AG344" s="146"/>
    </row>
    <row r="345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M345" s="146"/>
      <c r="N345" s="146"/>
      <c r="O345" s="146"/>
      <c r="P345" s="146"/>
      <c r="Q345" s="146"/>
      <c r="R345" s="146"/>
      <c r="S345" s="146"/>
      <c r="T345" s="146"/>
      <c r="U345" s="146"/>
      <c r="V345" s="146"/>
      <c r="W345" s="146"/>
      <c r="X345" s="146"/>
      <c r="Y345" s="146"/>
      <c r="Z345" s="146"/>
      <c r="AA345" s="146"/>
      <c r="AB345" s="146"/>
      <c r="AC345" s="146"/>
      <c r="AD345" s="146"/>
      <c r="AE345" s="146"/>
      <c r="AF345" s="146"/>
      <c r="AG345" s="146"/>
    </row>
    <row r="346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M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  <c r="Y346" s="146"/>
      <c r="Z346" s="146"/>
      <c r="AA346" s="146"/>
      <c r="AB346" s="146"/>
      <c r="AC346" s="146"/>
      <c r="AD346" s="146"/>
      <c r="AE346" s="146"/>
      <c r="AF346" s="146"/>
      <c r="AG346" s="146"/>
    </row>
    <row r="347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M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  <c r="Y347" s="146"/>
      <c r="Z347" s="146"/>
      <c r="AA347" s="146"/>
      <c r="AB347" s="146"/>
      <c r="AC347" s="146"/>
      <c r="AD347" s="146"/>
      <c r="AE347" s="146"/>
      <c r="AF347" s="146"/>
      <c r="AG347" s="146"/>
    </row>
    <row r="348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M348" s="146"/>
      <c r="N348" s="146"/>
      <c r="O348" s="146"/>
      <c r="P348" s="146"/>
      <c r="Q348" s="146"/>
      <c r="R348" s="146"/>
      <c r="S348" s="146"/>
      <c r="T348" s="146"/>
      <c r="U348" s="146"/>
      <c r="V348" s="146"/>
      <c r="W348" s="146"/>
      <c r="X348" s="146"/>
      <c r="Y348" s="146"/>
      <c r="Z348" s="146"/>
      <c r="AA348" s="146"/>
      <c r="AB348" s="146"/>
      <c r="AC348" s="146"/>
      <c r="AD348" s="146"/>
      <c r="AE348" s="146"/>
      <c r="AF348" s="146"/>
      <c r="AG348" s="146"/>
    </row>
    <row r="349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M349" s="146"/>
      <c r="N349" s="146"/>
      <c r="O349" s="146"/>
      <c r="P349" s="146"/>
      <c r="Q349" s="146"/>
      <c r="R349" s="146"/>
      <c r="S349" s="146"/>
      <c r="T349" s="146"/>
      <c r="U349" s="146"/>
      <c r="V349" s="146"/>
      <c r="W349" s="146"/>
      <c r="X349" s="146"/>
      <c r="Y349" s="146"/>
      <c r="Z349" s="146"/>
      <c r="AA349" s="146"/>
      <c r="AB349" s="146"/>
      <c r="AC349" s="146"/>
      <c r="AD349" s="146"/>
      <c r="AE349" s="146"/>
      <c r="AF349" s="146"/>
      <c r="AG349" s="146"/>
    </row>
    <row r="350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  <c r="Y350" s="146"/>
      <c r="Z350" s="146"/>
      <c r="AA350" s="146"/>
      <c r="AB350" s="146"/>
      <c r="AC350" s="146"/>
      <c r="AD350" s="146"/>
      <c r="AE350" s="146"/>
      <c r="AF350" s="146"/>
      <c r="AG350" s="146"/>
    </row>
    <row r="351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M351" s="146"/>
      <c r="N351" s="146"/>
      <c r="O351" s="146"/>
      <c r="P351" s="146"/>
      <c r="Q351" s="146"/>
      <c r="R351" s="146"/>
      <c r="S351" s="146"/>
      <c r="T351" s="146"/>
      <c r="U351" s="146"/>
      <c r="V351" s="146"/>
      <c r="W351" s="146"/>
      <c r="X351" s="146"/>
      <c r="Y351" s="146"/>
      <c r="Z351" s="146"/>
      <c r="AA351" s="146"/>
      <c r="AB351" s="146"/>
      <c r="AC351" s="146"/>
      <c r="AD351" s="146"/>
      <c r="AE351" s="146"/>
      <c r="AF351" s="146"/>
      <c r="AG351" s="146"/>
    </row>
    <row r="35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M352" s="146"/>
      <c r="N352" s="146"/>
      <c r="O352" s="146"/>
      <c r="P352" s="146"/>
      <c r="Q352" s="146"/>
      <c r="R352" s="146"/>
      <c r="S352" s="146"/>
      <c r="T352" s="146"/>
      <c r="U352" s="146"/>
      <c r="V352" s="146"/>
      <c r="W352" s="146"/>
      <c r="X352" s="146"/>
      <c r="Y352" s="146"/>
      <c r="Z352" s="146"/>
      <c r="AA352" s="146"/>
      <c r="AB352" s="146"/>
      <c r="AC352" s="146"/>
      <c r="AD352" s="146"/>
      <c r="AE352" s="146"/>
      <c r="AF352" s="146"/>
      <c r="AG352" s="146"/>
    </row>
    <row r="353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M353" s="146"/>
      <c r="N353" s="146"/>
      <c r="O353" s="146"/>
      <c r="P353" s="146"/>
      <c r="Q353" s="146"/>
      <c r="R353" s="146"/>
      <c r="S353" s="146"/>
      <c r="T353" s="146"/>
      <c r="U353" s="146"/>
      <c r="V353" s="146"/>
      <c r="W353" s="146"/>
      <c r="X353" s="146"/>
      <c r="Y353" s="146"/>
      <c r="Z353" s="146"/>
      <c r="AA353" s="146"/>
      <c r="AB353" s="146"/>
      <c r="AC353" s="146"/>
      <c r="AD353" s="146"/>
      <c r="AE353" s="146"/>
      <c r="AF353" s="146"/>
      <c r="AG353" s="146"/>
    </row>
    <row r="354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M354" s="146"/>
      <c r="N354" s="146"/>
      <c r="O354" s="146"/>
      <c r="P354" s="146"/>
      <c r="Q354" s="146"/>
      <c r="R354" s="146"/>
      <c r="S354" s="146"/>
      <c r="T354" s="146"/>
      <c r="U354" s="146"/>
      <c r="V354" s="146"/>
      <c r="W354" s="146"/>
      <c r="X354" s="146"/>
      <c r="Y354" s="146"/>
      <c r="Z354" s="146"/>
      <c r="AA354" s="146"/>
      <c r="AB354" s="146"/>
      <c r="AC354" s="146"/>
      <c r="AD354" s="146"/>
      <c r="AE354" s="146"/>
      <c r="AF354" s="146"/>
      <c r="AG354" s="146"/>
    </row>
    <row r="355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M355" s="146"/>
      <c r="N355" s="146"/>
      <c r="O355" s="146"/>
      <c r="P355" s="146"/>
      <c r="Q355" s="146"/>
      <c r="R355" s="146"/>
      <c r="S355" s="146"/>
      <c r="T355" s="146"/>
      <c r="U355" s="146"/>
      <c r="V355" s="146"/>
      <c r="W355" s="146"/>
      <c r="X355" s="146"/>
      <c r="Y355" s="146"/>
      <c r="Z355" s="146"/>
      <c r="AA355" s="146"/>
      <c r="AB355" s="146"/>
      <c r="AC355" s="146"/>
      <c r="AD355" s="146"/>
      <c r="AE355" s="146"/>
      <c r="AF355" s="146"/>
      <c r="AG355" s="146"/>
    </row>
    <row r="356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M356" s="146"/>
      <c r="N356" s="146"/>
      <c r="O356" s="146"/>
      <c r="P356" s="146"/>
      <c r="Q356" s="146"/>
      <c r="R356" s="146"/>
      <c r="S356" s="146"/>
      <c r="T356" s="146"/>
      <c r="U356" s="146"/>
      <c r="V356" s="146"/>
      <c r="W356" s="146"/>
      <c r="X356" s="146"/>
      <c r="Y356" s="146"/>
      <c r="Z356" s="146"/>
      <c r="AA356" s="146"/>
      <c r="AB356" s="146"/>
      <c r="AC356" s="146"/>
      <c r="AD356" s="146"/>
      <c r="AE356" s="146"/>
      <c r="AF356" s="146"/>
      <c r="AG356" s="146"/>
    </row>
    <row r="357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M357" s="146"/>
      <c r="N357" s="146"/>
      <c r="O357" s="146"/>
      <c r="P357" s="146"/>
      <c r="Q357" s="146"/>
      <c r="R357" s="146"/>
      <c r="S357" s="146"/>
      <c r="T357" s="146"/>
      <c r="U357" s="146"/>
      <c r="V357" s="146"/>
      <c r="W357" s="146"/>
      <c r="X357" s="146"/>
      <c r="Y357" s="146"/>
      <c r="Z357" s="146"/>
      <c r="AA357" s="146"/>
      <c r="AB357" s="146"/>
      <c r="AC357" s="146"/>
      <c r="AD357" s="146"/>
      <c r="AE357" s="146"/>
      <c r="AF357" s="146"/>
      <c r="AG357" s="146"/>
    </row>
    <row r="358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M358" s="146"/>
      <c r="N358" s="146"/>
      <c r="O358" s="146"/>
      <c r="P358" s="146"/>
      <c r="Q358" s="146"/>
      <c r="R358" s="146"/>
      <c r="S358" s="146"/>
      <c r="T358" s="146"/>
      <c r="U358" s="146"/>
      <c r="V358" s="146"/>
      <c r="W358" s="146"/>
      <c r="X358" s="146"/>
      <c r="Y358" s="146"/>
      <c r="Z358" s="146"/>
      <c r="AA358" s="146"/>
      <c r="AB358" s="146"/>
      <c r="AC358" s="146"/>
      <c r="AD358" s="146"/>
      <c r="AE358" s="146"/>
      <c r="AF358" s="146"/>
      <c r="AG358" s="146"/>
    </row>
    <row r="359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M359" s="146"/>
      <c r="N359" s="146"/>
      <c r="O359" s="146"/>
      <c r="P359" s="146"/>
      <c r="Q359" s="146"/>
      <c r="R359" s="146"/>
      <c r="S359" s="146"/>
      <c r="T359" s="146"/>
      <c r="U359" s="146"/>
      <c r="V359" s="146"/>
      <c r="W359" s="146"/>
      <c r="X359" s="146"/>
      <c r="Y359" s="146"/>
      <c r="Z359" s="146"/>
      <c r="AA359" s="146"/>
      <c r="AB359" s="146"/>
      <c r="AC359" s="146"/>
      <c r="AD359" s="146"/>
      <c r="AE359" s="146"/>
      <c r="AF359" s="146"/>
      <c r="AG359" s="146"/>
    </row>
    <row r="360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M360" s="146"/>
      <c r="N360" s="146"/>
      <c r="O360" s="146"/>
      <c r="P360" s="146"/>
      <c r="Q360" s="146"/>
      <c r="R360" s="146"/>
      <c r="S360" s="146"/>
      <c r="T360" s="146"/>
      <c r="U360" s="146"/>
      <c r="V360" s="146"/>
      <c r="W360" s="146"/>
      <c r="X360" s="146"/>
      <c r="Y360" s="146"/>
      <c r="Z360" s="146"/>
      <c r="AA360" s="146"/>
      <c r="AB360" s="146"/>
      <c r="AC360" s="146"/>
      <c r="AD360" s="146"/>
      <c r="AE360" s="146"/>
      <c r="AF360" s="146"/>
      <c r="AG360" s="146"/>
    </row>
    <row r="361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M361" s="146"/>
      <c r="N361" s="146"/>
      <c r="O361" s="146"/>
      <c r="P361" s="146"/>
      <c r="Q361" s="146"/>
      <c r="R361" s="146"/>
      <c r="S361" s="146"/>
      <c r="T361" s="146"/>
      <c r="U361" s="146"/>
      <c r="V361" s="146"/>
      <c r="W361" s="146"/>
      <c r="X361" s="146"/>
      <c r="Y361" s="146"/>
      <c r="Z361" s="146"/>
      <c r="AA361" s="146"/>
      <c r="AB361" s="146"/>
      <c r="AC361" s="146"/>
      <c r="AD361" s="146"/>
      <c r="AE361" s="146"/>
      <c r="AF361" s="146"/>
      <c r="AG361" s="146"/>
    </row>
    <row r="36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  <c r="Y362" s="146"/>
      <c r="Z362" s="146"/>
      <c r="AA362" s="146"/>
      <c r="AB362" s="146"/>
      <c r="AC362" s="146"/>
      <c r="AD362" s="146"/>
      <c r="AE362" s="146"/>
      <c r="AF362" s="146"/>
      <c r="AG362" s="146"/>
    </row>
    <row r="363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M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  <c r="Y363" s="146"/>
      <c r="Z363" s="146"/>
      <c r="AA363" s="146"/>
      <c r="AB363" s="146"/>
      <c r="AC363" s="146"/>
      <c r="AD363" s="146"/>
      <c r="AE363" s="146"/>
      <c r="AF363" s="146"/>
      <c r="AG363" s="146"/>
    </row>
    <row r="364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M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  <c r="Y364" s="146"/>
      <c r="Z364" s="146"/>
      <c r="AA364" s="146"/>
      <c r="AB364" s="146"/>
      <c r="AC364" s="146"/>
      <c r="AD364" s="146"/>
      <c r="AE364" s="146"/>
      <c r="AF364" s="146"/>
      <c r="AG364" s="146"/>
    </row>
    <row r="365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M365" s="146"/>
      <c r="N365" s="146"/>
      <c r="O365" s="146"/>
      <c r="P365" s="146"/>
      <c r="Q365" s="146"/>
      <c r="R365" s="146"/>
      <c r="S365" s="146"/>
      <c r="T365" s="146"/>
      <c r="U365" s="146"/>
      <c r="V365" s="146"/>
      <c r="W365" s="146"/>
      <c r="X365" s="146"/>
      <c r="Y365" s="146"/>
      <c r="Z365" s="146"/>
      <c r="AA365" s="146"/>
      <c r="AB365" s="146"/>
      <c r="AC365" s="146"/>
      <c r="AD365" s="146"/>
      <c r="AE365" s="146"/>
      <c r="AF365" s="146"/>
      <c r="AG365" s="146"/>
    </row>
    <row r="366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M366" s="146"/>
      <c r="N366" s="146"/>
      <c r="O366" s="146"/>
      <c r="P366" s="146"/>
      <c r="Q366" s="146"/>
      <c r="R366" s="146"/>
      <c r="S366" s="146"/>
      <c r="T366" s="146"/>
      <c r="U366" s="146"/>
      <c r="V366" s="146"/>
      <c r="W366" s="146"/>
      <c r="X366" s="146"/>
      <c r="Y366" s="146"/>
      <c r="Z366" s="146"/>
      <c r="AA366" s="146"/>
      <c r="AB366" s="146"/>
      <c r="AC366" s="146"/>
      <c r="AD366" s="146"/>
      <c r="AE366" s="146"/>
      <c r="AF366" s="146"/>
      <c r="AG366" s="146"/>
    </row>
    <row r="367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M367" s="146"/>
      <c r="N367" s="146"/>
      <c r="O367" s="146"/>
      <c r="P367" s="146"/>
      <c r="Q367" s="146"/>
      <c r="R367" s="146"/>
      <c r="S367" s="146"/>
      <c r="T367" s="146"/>
      <c r="U367" s="146"/>
      <c r="V367" s="146"/>
      <c r="W367" s="146"/>
      <c r="X367" s="146"/>
      <c r="Y367" s="146"/>
      <c r="Z367" s="146"/>
      <c r="AA367" s="146"/>
      <c r="AB367" s="146"/>
      <c r="AC367" s="146"/>
      <c r="AD367" s="146"/>
      <c r="AE367" s="146"/>
      <c r="AF367" s="146"/>
      <c r="AG367" s="146"/>
    </row>
    <row r="368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M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  <c r="Y368" s="146"/>
      <c r="Z368" s="146"/>
      <c r="AA368" s="146"/>
      <c r="AB368" s="146"/>
      <c r="AC368" s="146"/>
      <c r="AD368" s="146"/>
      <c r="AE368" s="146"/>
      <c r="AF368" s="146"/>
      <c r="AG368" s="146"/>
    </row>
    <row r="369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M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  <c r="Y369" s="146"/>
      <c r="Z369" s="146"/>
      <c r="AA369" s="146"/>
      <c r="AB369" s="146"/>
      <c r="AC369" s="146"/>
      <c r="AD369" s="146"/>
      <c r="AE369" s="146"/>
      <c r="AF369" s="146"/>
      <c r="AG369" s="146"/>
    </row>
    <row r="370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M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  <c r="Y370" s="146"/>
      <c r="Z370" s="146"/>
      <c r="AA370" s="146"/>
      <c r="AB370" s="146"/>
      <c r="AC370" s="146"/>
      <c r="AD370" s="146"/>
      <c r="AE370" s="146"/>
      <c r="AF370" s="146"/>
      <c r="AG370" s="146"/>
    </row>
    <row r="371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M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  <c r="Y371" s="146"/>
      <c r="Z371" s="146"/>
      <c r="AA371" s="146"/>
      <c r="AB371" s="146"/>
      <c r="AC371" s="146"/>
      <c r="AD371" s="146"/>
      <c r="AE371" s="146"/>
      <c r="AF371" s="146"/>
      <c r="AG371" s="146"/>
    </row>
    <row r="37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M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  <c r="Y372" s="146"/>
      <c r="Z372" s="146"/>
      <c r="AA372" s="146"/>
      <c r="AB372" s="146"/>
      <c r="AC372" s="146"/>
      <c r="AD372" s="146"/>
      <c r="AE372" s="146"/>
      <c r="AF372" s="146"/>
      <c r="AG372" s="146"/>
    </row>
    <row r="373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M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  <c r="Y373" s="146"/>
      <c r="Z373" s="146"/>
      <c r="AA373" s="146"/>
      <c r="AB373" s="146"/>
      <c r="AC373" s="146"/>
      <c r="AD373" s="146"/>
      <c r="AE373" s="146"/>
      <c r="AF373" s="146"/>
      <c r="AG373" s="146"/>
    </row>
    <row r="374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M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  <c r="Y374" s="146"/>
      <c r="Z374" s="146"/>
      <c r="AA374" s="146"/>
      <c r="AB374" s="146"/>
      <c r="AC374" s="146"/>
      <c r="AD374" s="146"/>
      <c r="AE374" s="146"/>
      <c r="AF374" s="146"/>
      <c r="AG374" s="146"/>
    </row>
    <row r="375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M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  <c r="Y375" s="146"/>
      <c r="Z375" s="146"/>
      <c r="AA375" s="146"/>
      <c r="AB375" s="146"/>
      <c r="AC375" s="146"/>
      <c r="AD375" s="146"/>
      <c r="AE375" s="146"/>
      <c r="AF375" s="146"/>
      <c r="AG375" s="146"/>
    </row>
    <row r="376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M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  <c r="Y376" s="146"/>
      <c r="Z376" s="146"/>
      <c r="AA376" s="146"/>
      <c r="AB376" s="146"/>
      <c r="AC376" s="146"/>
      <c r="AD376" s="146"/>
      <c r="AE376" s="146"/>
      <c r="AF376" s="146"/>
      <c r="AG376" s="146"/>
    </row>
    <row r="377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M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  <c r="Y377" s="146"/>
      <c r="Z377" s="146"/>
      <c r="AA377" s="146"/>
      <c r="AB377" s="146"/>
      <c r="AC377" s="146"/>
      <c r="AD377" s="146"/>
      <c r="AE377" s="146"/>
      <c r="AF377" s="146"/>
      <c r="AG377" s="146"/>
    </row>
    <row r="378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M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  <c r="Y378" s="146"/>
      <c r="Z378" s="146"/>
      <c r="AA378" s="146"/>
      <c r="AB378" s="146"/>
      <c r="AC378" s="146"/>
      <c r="AD378" s="146"/>
      <c r="AE378" s="146"/>
      <c r="AF378" s="146"/>
      <c r="AG378" s="146"/>
    </row>
    <row r="379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M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  <c r="Y379" s="146"/>
      <c r="Z379" s="146"/>
      <c r="AA379" s="146"/>
      <c r="AB379" s="146"/>
      <c r="AC379" s="146"/>
      <c r="AD379" s="146"/>
      <c r="AE379" s="146"/>
      <c r="AF379" s="146"/>
      <c r="AG379" s="146"/>
    </row>
    <row r="380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M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  <c r="Y380" s="146"/>
      <c r="Z380" s="146"/>
      <c r="AA380" s="146"/>
      <c r="AB380" s="146"/>
      <c r="AC380" s="146"/>
      <c r="AD380" s="146"/>
      <c r="AE380" s="146"/>
      <c r="AF380" s="146"/>
      <c r="AG380" s="146"/>
    </row>
    <row r="381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M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  <c r="Y381" s="146"/>
      <c r="Z381" s="146"/>
      <c r="AA381" s="146"/>
      <c r="AB381" s="146"/>
      <c r="AC381" s="146"/>
      <c r="AD381" s="146"/>
      <c r="AE381" s="146"/>
      <c r="AF381" s="146"/>
      <c r="AG381" s="146"/>
    </row>
    <row r="38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M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  <c r="Y382" s="146"/>
      <c r="Z382" s="146"/>
      <c r="AA382" s="146"/>
      <c r="AB382" s="146"/>
      <c r="AC382" s="146"/>
      <c r="AD382" s="146"/>
      <c r="AE382" s="146"/>
      <c r="AF382" s="146"/>
      <c r="AG382" s="146"/>
    </row>
    <row r="383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M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  <c r="Y383" s="146"/>
      <c r="Z383" s="146"/>
      <c r="AA383" s="146"/>
      <c r="AB383" s="146"/>
      <c r="AC383" s="146"/>
      <c r="AD383" s="146"/>
      <c r="AE383" s="146"/>
      <c r="AF383" s="146"/>
      <c r="AG383" s="146"/>
    </row>
    <row r="384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M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  <c r="Y384" s="146"/>
      <c r="Z384" s="146"/>
      <c r="AA384" s="146"/>
      <c r="AB384" s="146"/>
      <c r="AC384" s="146"/>
      <c r="AD384" s="146"/>
      <c r="AE384" s="146"/>
      <c r="AF384" s="146"/>
      <c r="AG384" s="146"/>
    </row>
    <row r="385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M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  <c r="Y385" s="146"/>
      <c r="Z385" s="146"/>
      <c r="AA385" s="146"/>
      <c r="AB385" s="146"/>
      <c r="AC385" s="146"/>
      <c r="AD385" s="146"/>
      <c r="AE385" s="146"/>
      <c r="AF385" s="146"/>
      <c r="AG385" s="146"/>
    </row>
    <row r="386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M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  <c r="Y386" s="146"/>
      <c r="Z386" s="146"/>
      <c r="AA386" s="146"/>
      <c r="AB386" s="146"/>
      <c r="AC386" s="146"/>
      <c r="AD386" s="146"/>
      <c r="AE386" s="146"/>
      <c r="AF386" s="146"/>
      <c r="AG386" s="146"/>
    </row>
    <row r="387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  <c r="Y387" s="146"/>
      <c r="Z387" s="146"/>
      <c r="AA387" s="146"/>
      <c r="AB387" s="146"/>
      <c r="AC387" s="146"/>
      <c r="AD387" s="146"/>
      <c r="AE387" s="146"/>
      <c r="AF387" s="146"/>
      <c r="AG387" s="146"/>
    </row>
    <row r="388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M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  <c r="Y388" s="146"/>
      <c r="Z388" s="146"/>
      <c r="AA388" s="146"/>
      <c r="AB388" s="146"/>
      <c r="AC388" s="146"/>
      <c r="AD388" s="146"/>
      <c r="AE388" s="146"/>
      <c r="AF388" s="146"/>
      <c r="AG388" s="146"/>
    </row>
    <row r="389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M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  <c r="Y389" s="146"/>
      <c r="Z389" s="146"/>
      <c r="AA389" s="146"/>
      <c r="AB389" s="146"/>
      <c r="AC389" s="146"/>
      <c r="AD389" s="146"/>
      <c r="AE389" s="146"/>
      <c r="AF389" s="146"/>
      <c r="AG389" s="146"/>
    </row>
    <row r="390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M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  <c r="Y390" s="146"/>
      <c r="Z390" s="146"/>
      <c r="AA390" s="146"/>
      <c r="AB390" s="146"/>
      <c r="AC390" s="146"/>
      <c r="AD390" s="146"/>
      <c r="AE390" s="146"/>
      <c r="AF390" s="146"/>
      <c r="AG390" s="146"/>
    </row>
    <row r="391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M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  <c r="Y391" s="146"/>
      <c r="Z391" s="146"/>
      <c r="AA391" s="146"/>
      <c r="AB391" s="146"/>
      <c r="AC391" s="146"/>
      <c r="AD391" s="146"/>
      <c r="AE391" s="146"/>
      <c r="AF391" s="146"/>
      <c r="AG391" s="146"/>
    </row>
    <row r="39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M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  <c r="Y392" s="146"/>
      <c r="Z392" s="146"/>
      <c r="AA392" s="146"/>
      <c r="AB392" s="146"/>
      <c r="AC392" s="146"/>
      <c r="AD392" s="146"/>
      <c r="AE392" s="146"/>
      <c r="AF392" s="146"/>
      <c r="AG392" s="146"/>
    </row>
    <row r="393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  <c r="Y393" s="146"/>
      <c r="Z393" s="146"/>
      <c r="AA393" s="146"/>
      <c r="AB393" s="146"/>
      <c r="AC393" s="146"/>
      <c r="AD393" s="146"/>
      <c r="AE393" s="146"/>
      <c r="AF393" s="146"/>
      <c r="AG393" s="146"/>
    </row>
    <row r="394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M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  <c r="Y394" s="146"/>
      <c r="Z394" s="146"/>
      <c r="AA394" s="146"/>
      <c r="AB394" s="146"/>
      <c r="AC394" s="146"/>
      <c r="AD394" s="146"/>
      <c r="AE394" s="146"/>
      <c r="AF394" s="146"/>
      <c r="AG394" s="146"/>
    </row>
    <row r="395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M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  <c r="Y395" s="146"/>
      <c r="Z395" s="146"/>
      <c r="AA395" s="146"/>
      <c r="AB395" s="146"/>
      <c r="AC395" s="146"/>
      <c r="AD395" s="146"/>
      <c r="AE395" s="146"/>
      <c r="AF395" s="146"/>
      <c r="AG395" s="146"/>
    </row>
    <row r="396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  <c r="Y396" s="146"/>
      <c r="Z396" s="146"/>
      <c r="AA396" s="146"/>
      <c r="AB396" s="146"/>
      <c r="AC396" s="146"/>
      <c r="AD396" s="146"/>
      <c r="AE396" s="146"/>
      <c r="AF396" s="146"/>
      <c r="AG396" s="146"/>
    </row>
    <row r="397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  <c r="Y397" s="146"/>
      <c r="Z397" s="146"/>
      <c r="AA397" s="146"/>
      <c r="AB397" s="146"/>
      <c r="AC397" s="146"/>
      <c r="AD397" s="146"/>
      <c r="AE397" s="146"/>
      <c r="AF397" s="146"/>
      <c r="AG397" s="146"/>
    </row>
    <row r="398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M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  <c r="Y398" s="146"/>
      <c r="Z398" s="146"/>
      <c r="AA398" s="146"/>
      <c r="AB398" s="146"/>
      <c r="AC398" s="146"/>
      <c r="AD398" s="146"/>
      <c r="AE398" s="146"/>
      <c r="AF398" s="146"/>
      <c r="AG398" s="146"/>
    </row>
    <row r="399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M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  <c r="Y399" s="146"/>
      <c r="Z399" s="146"/>
      <c r="AA399" s="146"/>
      <c r="AB399" s="146"/>
      <c r="AC399" s="146"/>
      <c r="AD399" s="146"/>
      <c r="AE399" s="146"/>
      <c r="AF399" s="146"/>
      <c r="AG399" s="146"/>
    </row>
    <row r="400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M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  <c r="Y400" s="146"/>
      <c r="Z400" s="146"/>
      <c r="AA400" s="146"/>
      <c r="AB400" s="146"/>
      <c r="AC400" s="146"/>
      <c r="AD400" s="146"/>
      <c r="AE400" s="146"/>
      <c r="AF400" s="146"/>
      <c r="AG400" s="146"/>
    </row>
    <row r="401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M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  <c r="Y401" s="146"/>
      <c r="Z401" s="146"/>
      <c r="AA401" s="146"/>
      <c r="AB401" s="146"/>
      <c r="AC401" s="146"/>
      <c r="AD401" s="146"/>
      <c r="AE401" s="146"/>
      <c r="AF401" s="146"/>
      <c r="AG401" s="146"/>
    </row>
    <row r="40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M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  <c r="Y402" s="146"/>
      <c r="Z402" s="146"/>
      <c r="AA402" s="146"/>
      <c r="AB402" s="146"/>
      <c r="AC402" s="146"/>
      <c r="AD402" s="146"/>
      <c r="AE402" s="146"/>
      <c r="AF402" s="146"/>
      <c r="AG402" s="146"/>
    </row>
    <row r="403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M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  <c r="Y403" s="146"/>
      <c r="Z403" s="146"/>
      <c r="AA403" s="146"/>
      <c r="AB403" s="146"/>
      <c r="AC403" s="146"/>
      <c r="AD403" s="146"/>
      <c r="AE403" s="146"/>
      <c r="AF403" s="146"/>
      <c r="AG403" s="146"/>
    </row>
    <row r="404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M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  <c r="Y404" s="146"/>
      <c r="Z404" s="146"/>
      <c r="AA404" s="146"/>
      <c r="AB404" s="146"/>
      <c r="AC404" s="146"/>
      <c r="AD404" s="146"/>
      <c r="AE404" s="146"/>
      <c r="AF404" s="146"/>
      <c r="AG404" s="146"/>
    </row>
    <row r="405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M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  <c r="Y405" s="146"/>
      <c r="Z405" s="146"/>
      <c r="AA405" s="146"/>
      <c r="AB405" s="146"/>
      <c r="AC405" s="146"/>
      <c r="AD405" s="146"/>
      <c r="AE405" s="146"/>
      <c r="AF405" s="146"/>
      <c r="AG405" s="146"/>
    </row>
    <row r="406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M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  <c r="Y406" s="146"/>
      <c r="Z406" s="146"/>
      <c r="AA406" s="146"/>
      <c r="AB406" s="146"/>
      <c r="AC406" s="146"/>
      <c r="AD406" s="146"/>
      <c r="AE406" s="146"/>
      <c r="AF406" s="146"/>
      <c r="AG406" s="146"/>
    </row>
    <row r="407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M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  <c r="Y407" s="146"/>
      <c r="Z407" s="146"/>
      <c r="AA407" s="146"/>
      <c r="AB407" s="146"/>
      <c r="AC407" s="146"/>
      <c r="AD407" s="146"/>
      <c r="AE407" s="146"/>
      <c r="AF407" s="146"/>
      <c r="AG407" s="146"/>
    </row>
    <row r="408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M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  <c r="Y408" s="146"/>
      <c r="Z408" s="146"/>
      <c r="AA408" s="146"/>
      <c r="AB408" s="146"/>
      <c r="AC408" s="146"/>
      <c r="AD408" s="146"/>
      <c r="AE408" s="146"/>
      <c r="AF408" s="146"/>
      <c r="AG408" s="146"/>
    </row>
    <row r="409">
      <c r="A409" s="146"/>
      <c r="B409" s="146"/>
      <c r="C409" s="146"/>
      <c r="D409" s="146"/>
      <c r="E409" s="146"/>
      <c r="F409" s="146"/>
      <c r="G409" s="146"/>
      <c r="H409" s="146"/>
      <c r="I409" s="146"/>
      <c r="J409" s="146"/>
      <c r="K409" s="146"/>
      <c r="L409" s="146"/>
      <c r="M409" s="146"/>
      <c r="N409" s="146"/>
      <c r="O409" s="146"/>
      <c r="P409" s="146"/>
      <c r="Q409" s="146"/>
      <c r="R409" s="146"/>
      <c r="S409" s="146"/>
      <c r="T409" s="146"/>
      <c r="U409" s="146"/>
      <c r="V409" s="146"/>
      <c r="W409" s="146"/>
      <c r="X409" s="146"/>
      <c r="Y409" s="146"/>
      <c r="Z409" s="146"/>
      <c r="AA409" s="146"/>
      <c r="AB409" s="146"/>
      <c r="AC409" s="146"/>
      <c r="AD409" s="146"/>
      <c r="AE409" s="146"/>
      <c r="AF409" s="146"/>
      <c r="AG409" s="146"/>
    </row>
    <row r="410">
      <c r="A410" s="146"/>
      <c r="B410" s="146"/>
      <c r="C410" s="146"/>
      <c r="D410" s="146"/>
      <c r="E410" s="146"/>
      <c r="F410" s="146"/>
      <c r="G410" s="146"/>
      <c r="H410" s="146"/>
      <c r="I410" s="146"/>
      <c r="J410" s="146"/>
      <c r="K410" s="146"/>
      <c r="L410" s="146"/>
      <c r="M410" s="146"/>
      <c r="N410" s="146"/>
      <c r="O410" s="146"/>
      <c r="P410" s="146"/>
      <c r="Q410" s="146"/>
      <c r="R410" s="146"/>
      <c r="S410" s="146"/>
      <c r="T410" s="146"/>
      <c r="U410" s="146"/>
      <c r="V410" s="146"/>
      <c r="W410" s="146"/>
      <c r="X410" s="146"/>
      <c r="Y410" s="146"/>
      <c r="Z410" s="146"/>
      <c r="AA410" s="146"/>
      <c r="AB410" s="146"/>
      <c r="AC410" s="146"/>
      <c r="AD410" s="146"/>
      <c r="AE410" s="146"/>
      <c r="AF410" s="146"/>
      <c r="AG410" s="146"/>
    </row>
    <row r="411">
      <c r="A411" s="146"/>
      <c r="B411" s="146"/>
      <c r="C411" s="146"/>
      <c r="D411" s="146"/>
      <c r="E411" s="146"/>
      <c r="F411" s="146"/>
      <c r="G411" s="146"/>
      <c r="H411" s="146"/>
      <c r="I411" s="146"/>
      <c r="J411" s="146"/>
      <c r="K411" s="146"/>
      <c r="L411" s="146"/>
      <c r="M411" s="146"/>
      <c r="N411" s="146"/>
      <c r="O411" s="146"/>
      <c r="P411" s="146"/>
      <c r="Q411" s="146"/>
      <c r="R411" s="146"/>
      <c r="S411" s="146"/>
      <c r="T411" s="146"/>
      <c r="U411" s="146"/>
      <c r="V411" s="146"/>
      <c r="W411" s="146"/>
      <c r="X411" s="146"/>
      <c r="Y411" s="146"/>
      <c r="Z411" s="146"/>
      <c r="AA411" s="146"/>
      <c r="AB411" s="146"/>
      <c r="AC411" s="146"/>
      <c r="AD411" s="146"/>
      <c r="AE411" s="146"/>
      <c r="AF411" s="146"/>
      <c r="AG411" s="146"/>
    </row>
    <row r="412">
      <c r="A412" s="146"/>
      <c r="B412" s="146"/>
      <c r="C412" s="146"/>
      <c r="D412" s="146"/>
      <c r="E412" s="146"/>
      <c r="F412" s="146"/>
      <c r="G412" s="146"/>
      <c r="H412" s="146"/>
      <c r="I412" s="146"/>
      <c r="J412" s="146"/>
      <c r="K412" s="146"/>
      <c r="L412" s="146"/>
      <c r="M412" s="146"/>
      <c r="N412" s="146"/>
      <c r="O412" s="146"/>
      <c r="P412" s="146"/>
      <c r="Q412" s="146"/>
      <c r="R412" s="146"/>
      <c r="S412" s="146"/>
      <c r="T412" s="146"/>
      <c r="U412" s="146"/>
      <c r="V412" s="146"/>
      <c r="W412" s="146"/>
      <c r="X412" s="146"/>
      <c r="Y412" s="146"/>
      <c r="Z412" s="146"/>
      <c r="AA412" s="146"/>
      <c r="AB412" s="146"/>
      <c r="AC412" s="146"/>
      <c r="AD412" s="146"/>
      <c r="AE412" s="146"/>
      <c r="AF412" s="146"/>
      <c r="AG412" s="146"/>
    </row>
    <row r="413">
      <c r="A413" s="146"/>
      <c r="B413" s="146"/>
      <c r="C413" s="146"/>
      <c r="D413" s="146"/>
      <c r="E413" s="146"/>
      <c r="F413" s="146"/>
      <c r="G413" s="146"/>
      <c r="H413" s="146"/>
      <c r="I413" s="146"/>
      <c r="J413" s="146"/>
      <c r="K413" s="146"/>
      <c r="L413" s="146"/>
      <c r="M413" s="146"/>
      <c r="N413" s="146"/>
      <c r="O413" s="146"/>
      <c r="P413" s="146"/>
      <c r="Q413" s="146"/>
      <c r="R413" s="146"/>
      <c r="S413" s="146"/>
      <c r="T413" s="146"/>
      <c r="U413" s="146"/>
      <c r="V413" s="146"/>
      <c r="W413" s="146"/>
      <c r="X413" s="146"/>
      <c r="Y413" s="146"/>
      <c r="Z413" s="146"/>
      <c r="AA413" s="146"/>
      <c r="AB413" s="146"/>
      <c r="AC413" s="146"/>
      <c r="AD413" s="146"/>
      <c r="AE413" s="146"/>
      <c r="AF413" s="146"/>
      <c r="AG413" s="146"/>
    </row>
    <row r="414">
      <c r="A414" s="146"/>
      <c r="B414" s="146"/>
      <c r="C414" s="146"/>
      <c r="D414" s="146"/>
      <c r="E414" s="146"/>
      <c r="F414" s="146"/>
      <c r="G414" s="146"/>
      <c r="H414" s="146"/>
      <c r="I414" s="146"/>
      <c r="J414" s="146"/>
      <c r="K414" s="146"/>
      <c r="L414" s="146"/>
      <c r="M414" s="146"/>
      <c r="N414" s="146"/>
      <c r="O414" s="146"/>
      <c r="P414" s="146"/>
      <c r="Q414" s="146"/>
      <c r="R414" s="146"/>
      <c r="S414" s="146"/>
      <c r="T414" s="146"/>
      <c r="U414" s="146"/>
      <c r="V414" s="146"/>
      <c r="W414" s="146"/>
      <c r="X414" s="146"/>
      <c r="Y414" s="146"/>
      <c r="Z414" s="146"/>
      <c r="AA414" s="146"/>
      <c r="AB414" s="146"/>
      <c r="AC414" s="146"/>
      <c r="AD414" s="146"/>
      <c r="AE414" s="146"/>
      <c r="AF414" s="146"/>
      <c r="AG414" s="146"/>
    </row>
    <row r="415">
      <c r="A415" s="146"/>
      <c r="B415" s="146"/>
      <c r="C415" s="146"/>
      <c r="D415" s="146"/>
      <c r="E415" s="146"/>
      <c r="F415" s="146"/>
      <c r="G415" s="146"/>
      <c r="H415" s="146"/>
      <c r="I415" s="146"/>
      <c r="J415" s="146"/>
      <c r="K415" s="146"/>
      <c r="L415" s="146"/>
      <c r="M415" s="146"/>
      <c r="N415" s="146"/>
      <c r="O415" s="146"/>
      <c r="P415" s="146"/>
      <c r="Q415" s="146"/>
      <c r="R415" s="146"/>
      <c r="S415" s="146"/>
      <c r="T415" s="146"/>
      <c r="U415" s="146"/>
      <c r="V415" s="146"/>
      <c r="W415" s="146"/>
      <c r="X415" s="146"/>
      <c r="Y415" s="146"/>
      <c r="Z415" s="146"/>
      <c r="AA415" s="146"/>
      <c r="AB415" s="146"/>
      <c r="AC415" s="146"/>
      <c r="AD415" s="146"/>
      <c r="AE415" s="146"/>
      <c r="AF415" s="146"/>
      <c r="AG415" s="146"/>
    </row>
    <row r="416">
      <c r="A416" s="146"/>
      <c r="B416" s="146"/>
      <c r="C416" s="146"/>
      <c r="D416" s="146"/>
      <c r="E416" s="146"/>
      <c r="F416" s="146"/>
      <c r="G416" s="146"/>
      <c r="H416" s="146"/>
      <c r="I416" s="146"/>
      <c r="J416" s="146"/>
      <c r="K416" s="146"/>
      <c r="L416" s="146"/>
      <c r="M416" s="146"/>
      <c r="N416" s="146"/>
      <c r="O416" s="146"/>
      <c r="P416" s="146"/>
      <c r="Q416" s="146"/>
      <c r="R416" s="146"/>
      <c r="S416" s="146"/>
      <c r="T416" s="146"/>
      <c r="U416" s="146"/>
      <c r="V416" s="146"/>
      <c r="W416" s="146"/>
      <c r="X416" s="146"/>
      <c r="Y416" s="146"/>
      <c r="Z416" s="146"/>
      <c r="AA416" s="146"/>
      <c r="AB416" s="146"/>
      <c r="AC416" s="146"/>
      <c r="AD416" s="146"/>
      <c r="AE416" s="146"/>
      <c r="AF416" s="146"/>
      <c r="AG416" s="146"/>
    </row>
    <row r="417">
      <c r="A417" s="146"/>
      <c r="B417" s="146"/>
      <c r="C417" s="146"/>
      <c r="D417" s="146"/>
      <c r="E417" s="146"/>
      <c r="F417" s="146"/>
      <c r="G417" s="146"/>
      <c r="H417" s="146"/>
      <c r="I417" s="146"/>
      <c r="J417" s="146"/>
      <c r="K417" s="146"/>
      <c r="L417" s="146"/>
      <c r="M417" s="146"/>
      <c r="N417" s="146"/>
      <c r="O417" s="146"/>
      <c r="P417" s="146"/>
      <c r="Q417" s="146"/>
      <c r="R417" s="146"/>
      <c r="S417" s="146"/>
      <c r="T417" s="146"/>
      <c r="U417" s="146"/>
      <c r="V417" s="146"/>
      <c r="W417" s="146"/>
      <c r="X417" s="146"/>
      <c r="Y417" s="146"/>
      <c r="Z417" s="146"/>
      <c r="AA417" s="146"/>
      <c r="AB417" s="146"/>
      <c r="AC417" s="146"/>
      <c r="AD417" s="146"/>
      <c r="AE417" s="146"/>
      <c r="AF417" s="146"/>
      <c r="AG417" s="146"/>
    </row>
    <row r="418">
      <c r="A418" s="146"/>
      <c r="B418" s="146"/>
      <c r="C418" s="146"/>
      <c r="D418" s="146"/>
      <c r="E418" s="146"/>
      <c r="F418" s="146"/>
      <c r="G418" s="146"/>
      <c r="H418" s="146"/>
      <c r="I418" s="146"/>
      <c r="J418" s="146"/>
      <c r="K418" s="146"/>
      <c r="L418" s="146"/>
      <c r="M418" s="146"/>
      <c r="N418" s="146"/>
      <c r="O418" s="146"/>
      <c r="P418" s="146"/>
      <c r="Q418" s="146"/>
      <c r="R418" s="146"/>
      <c r="S418" s="146"/>
      <c r="T418" s="146"/>
      <c r="U418" s="146"/>
      <c r="V418" s="146"/>
      <c r="W418" s="146"/>
      <c r="X418" s="146"/>
      <c r="Y418" s="146"/>
      <c r="Z418" s="146"/>
      <c r="AA418" s="146"/>
      <c r="AB418" s="146"/>
      <c r="AC418" s="146"/>
      <c r="AD418" s="146"/>
      <c r="AE418" s="146"/>
      <c r="AF418" s="146"/>
      <c r="AG418" s="146"/>
    </row>
    <row r="419">
      <c r="A419" s="146"/>
      <c r="B419" s="146"/>
      <c r="C419" s="146"/>
      <c r="D419" s="146"/>
      <c r="E419" s="146"/>
      <c r="F419" s="146"/>
      <c r="G419" s="146"/>
      <c r="H419" s="146"/>
      <c r="I419" s="146"/>
      <c r="J419" s="146"/>
      <c r="K419" s="146"/>
      <c r="L419" s="146"/>
      <c r="M419" s="146"/>
      <c r="N419" s="146"/>
      <c r="O419" s="146"/>
      <c r="P419" s="146"/>
      <c r="Q419" s="146"/>
      <c r="R419" s="146"/>
      <c r="S419" s="146"/>
      <c r="T419" s="146"/>
      <c r="U419" s="146"/>
      <c r="V419" s="146"/>
      <c r="W419" s="146"/>
      <c r="X419" s="146"/>
      <c r="Y419" s="146"/>
      <c r="Z419" s="146"/>
      <c r="AA419" s="146"/>
      <c r="AB419" s="146"/>
      <c r="AC419" s="146"/>
      <c r="AD419" s="146"/>
      <c r="AE419" s="146"/>
      <c r="AF419" s="146"/>
      <c r="AG419" s="146"/>
    </row>
    <row r="420">
      <c r="A420" s="146"/>
      <c r="B420" s="146"/>
      <c r="C420" s="146"/>
      <c r="D420" s="146"/>
      <c r="E420" s="146"/>
      <c r="F420" s="146"/>
      <c r="G420" s="146"/>
      <c r="H420" s="146"/>
      <c r="I420" s="146"/>
      <c r="J420" s="146"/>
      <c r="K420" s="146"/>
      <c r="L420" s="146"/>
      <c r="M420" s="146"/>
      <c r="N420" s="146"/>
      <c r="O420" s="146"/>
      <c r="P420" s="146"/>
      <c r="Q420" s="146"/>
      <c r="R420" s="146"/>
      <c r="S420" s="146"/>
      <c r="T420" s="146"/>
      <c r="U420" s="146"/>
      <c r="V420" s="146"/>
      <c r="W420" s="146"/>
      <c r="X420" s="146"/>
      <c r="Y420" s="146"/>
      <c r="Z420" s="146"/>
      <c r="AA420" s="146"/>
      <c r="AB420" s="146"/>
      <c r="AC420" s="146"/>
      <c r="AD420" s="146"/>
      <c r="AE420" s="146"/>
      <c r="AF420" s="146"/>
      <c r="AG420" s="146"/>
    </row>
    <row r="421">
      <c r="A421" s="146"/>
      <c r="B421" s="146"/>
      <c r="C421" s="146"/>
      <c r="D421" s="146"/>
      <c r="E421" s="146"/>
      <c r="F421" s="146"/>
      <c r="G421" s="146"/>
      <c r="H421" s="146"/>
      <c r="I421" s="146"/>
      <c r="J421" s="146"/>
      <c r="K421" s="146"/>
      <c r="L421" s="146"/>
      <c r="M421" s="146"/>
      <c r="N421" s="146"/>
      <c r="O421" s="146"/>
      <c r="P421" s="146"/>
      <c r="Q421" s="146"/>
      <c r="R421" s="146"/>
      <c r="S421" s="146"/>
      <c r="T421" s="146"/>
      <c r="U421" s="146"/>
      <c r="V421" s="146"/>
      <c r="W421" s="146"/>
      <c r="X421" s="146"/>
      <c r="Y421" s="146"/>
      <c r="Z421" s="146"/>
      <c r="AA421" s="146"/>
      <c r="AB421" s="146"/>
      <c r="AC421" s="146"/>
      <c r="AD421" s="146"/>
      <c r="AE421" s="146"/>
      <c r="AF421" s="146"/>
      <c r="AG421" s="146"/>
    </row>
    <row r="422">
      <c r="A422" s="146"/>
      <c r="B422" s="146"/>
      <c r="C422" s="146"/>
      <c r="D422" s="146"/>
      <c r="E422" s="146"/>
      <c r="F422" s="146"/>
      <c r="G422" s="146"/>
      <c r="H422" s="146"/>
      <c r="I422" s="146"/>
      <c r="J422" s="146"/>
      <c r="K422" s="146"/>
      <c r="L422" s="146"/>
      <c r="M422" s="146"/>
      <c r="N422" s="146"/>
      <c r="O422" s="146"/>
      <c r="P422" s="146"/>
      <c r="Q422" s="146"/>
      <c r="R422" s="146"/>
      <c r="S422" s="146"/>
      <c r="T422" s="146"/>
      <c r="U422" s="146"/>
      <c r="V422" s="146"/>
      <c r="W422" s="146"/>
      <c r="X422" s="146"/>
      <c r="Y422" s="146"/>
      <c r="Z422" s="146"/>
      <c r="AA422" s="146"/>
      <c r="AB422" s="146"/>
      <c r="AC422" s="146"/>
      <c r="AD422" s="146"/>
      <c r="AE422" s="146"/>
      <c r="AF422" s="146"/>
      <c r="AG422" s="146"/>
    </row>
    <row r="423">
      <c r="A423" s="146"/>
      <c r="B423" s="146"/>
      <c r="C423" s="146"/>
      <c r="D423" s="146"/>
      <c r="E423" s="146"/>
      <c r="F423" s="146"/>
      <c r="G423" s="146"/>
      <c r="H423" s="146"/>
      <c r="I423" s="146"/>
      <c r="J423" s="146"/>
      <c r="K423" s="146"/>
      <c r="L423" s="146"/>
      <c r="M423" s="146"/>
      <c r="N423" s="146"/>
      <c r="O423" s="146"/>
      <c r="P423" s="146"/>
      <c r="Q423" s="146"/>
      <c r="R423" s="146"/>
      <c r="S423" s="146"/>
      <c r="T423" s="146"/>
      <c r="U423" s="146"/>
      <c r="V423" s="146"/>
      <c r="W423" s="146"/>
      <c r="X423" s="146"/>
      <c r="Y423" s="146"/>
      <c r="Z423" s="146"/>
      <c r="AA423" s="146"/>
      <c r="AB423" s="146"/>
      <c r="AC423" s="146"/>
      <c r="AD423" s="146"/>
      <c r="AE423" s="146"/>
      <c r="AF423" s="146"/>
      <c r="AG423" s="146"/>
    </row>
    <row r="424">
      <c r="A424" s="146"/>
      <c r="B424" s="146"/>
      <c r="C424" s="146"/>
      <c r="D424" s="146"/>
      <c r="E424" s="146"/>
      <c r="F424" s="146"/>
      <c r="G424" s="146"/>
      <c r="H424" s="146"/>
      <c r="I424" s="146"/>
      <c r="J424" s="146"/>
      <c r="K424" s="146"/>
      <c r="L424" s="146"/>
      <c r="M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  <c r="Y424" s="146"/>
      <c r="Z424" s="146"/>
      <c r="AA424" s="146"/>
      <c r="AB424" s="146"/>
      <c r="AC424" s="146"/>
      <c r="AD424" s="146"/>
      <c r="AE424" s="146"/>
      <c r="AF424" s="146"/>
      <c r="AG424" s="146"/>
    </row>
    <row r="425">
      <c r="A425" s="146"/>
      <c r="B425" s="146"/>
      <c r="C425" s="146"/>
      <c r="D425" s="146"/>
      <c r="E425" s="146"/>
      <c r="F425" s="146"/>
      <c r="G425" s="146"/>
      <c r="H425" s="146"/>
      <c r="I425" s="146"/>
      <c r="J425" s="146"/>
      <c r="K425" s="146"/>
      <c r="L425" s="146"/>
      <c r="M425" s="146"/>
      <c r="N425" s="146"/>
      <c r="O425" s="146"/>
      <c r="P425" s="146"/>
      <c r="Q425" s="146"/>
      <c r="R425" s="146"/>
      <c r="S425" s="146"/>
      <c r="T425" s="146"/>
      <c r="U425" s="146"/>
      <c r="V425" s="146"/>
      <c r="W425" s="146"/>
      <c r="X425" s="146"/>
      <c r="Y425" s="146"/>
      <c r="Z425" s="146"/>
      <c r="AA425" s="146"/>
      <c r="AB425" s="146"/>
      <c r="AC425" s="146"/>
      <c r="AD425" s="146"/>
      <c r="AE425" s="146"/>
      <c r="AF425" s="146"/>
      <c r="AG425" s="146"/>
    </row>
    <row r="426">
      <c r="A426" s="146"/>
      <c r="B426" s="146"/>
      <c r="C426" s="146"/>
      <c r="D426" s="146"/>
      <c r="E426" s="146"/>
      <c r="F426" s="146"/>
      <c r="G426" s="146"/>
      <c r="H426" s="146"/>
      <c r="I426" s="146"/>
      <c r="J426" s="146"/>
      <c r="K426" s="146"/>
      <c r="L426" s="146"/>
      <c r="M426" s="146"/>
      <c r="N426" s="146"/>
      <c r="O426" s="146"/>
      <c r="P426" s="146"/>
      <c r="Q426" s="146"/>
      <c r="R426" s="146"/>
      <c r="S426" s="146"/>
      <c r="T426" s="146"/>
      <c r="U426" s="146"/>
      <c r="V426" s="146"/>
      <c r="W426" s="146"/>
      <c r="X426" s="146"/>
      <c r="Y426" s="146"/>
      <c r="Z426" s="146"/>
      <c r="AA426" s="146"/>
      <c r="AB426" s="146"/>
      <c r="AC426" s="146"/>
      <c r="AD426" s="146"/>
      <c r="AE426" s="146"/>
      <c r="AF426" s="146"/>
      <c r="AG426" s="146"/>
    </row>
    <row r="427">
      <c r="A427" s="146"/>
      <c r="B427" s="146"/>
      <c r="C427" s="146"/>
      <c r="D427" s="146"/>
      <c r="E427" s="146"/>
      <c r="F427" s="146"/>
      <c r="G427" s="146"/>
      <c r="H427" s="146"/>
      <c r="I427" s="146"/>
      <c r="J427" s="146"/>
      <c r="K427" s="146"/>
      <c r="L427" s="146"/>
      <c r="M427" s="146"/>
      <c r="N427" s="146"/>
      <c r="O427" s="146"/>
      <c r="P427" s="146"/>
      <c r="Q427" s="146"/>
      <c r="R427" s="146"/>
      <c r="S427" s="146"/>
      <c r="T427" s="146"/>
      <c r="U427" s="146"/>
      <c r="V427" s="146"/>
      <c r="W427" s="146"/>
      <c r="X427" s="146"/>
      <c r="Y427" s="146"/>
      <c r="Z427" s="146"/>
      <c r="AA427" s="146"/>
      <c r="AB427" s="146"/>
      <c r="AC427" s="146"/>
      <c r="AD427" s="146"/>
      <c r="AE427" s="146"/>
      <c r="AF427" s="146"/>
      <c r="AG427" s="146"/>
    </row>
    <row r="428">
      <c r="A428" s="146"/>
      <c r="B428" s="146"/>
      <c r="C428" s="146"/>
      <c r="D428" s="146"/>
      <c r="E428" s="146"/>
      <c r="F428" s="146"/>
      <c r="G428" s="146"/>
      <c r="H428" s="146"/>
      <c r="I428" s="146"/>
      <c r="J428" s="146"/>
      <c r="K428" s="146"/>
      <c r="L428" s="146"/>
      <c r="M428" s="146"/>
      <c r="N428" s="146"/>
      <c r="O428" s="146"/>
      <c r="P428" s="146"/>
      <c r="Q428" s="146"/>
      <c r="R428" s="146"/>
      <c r="S428" s="146"/>
      <c r="T428" s="146"/>
      <c r="U428" s="146"/>
      <c r="V428" s="146"/>
      <c r="W428" s="146"/>
      <c r="X428" s="146"/>
      <c r="Y428" s="146"/>
      <c r="Z428" s="146"/>
      <c r="AA428" s="146"/>
      <c r="AB428" s="146"/>
      <c r="AC428" s="146"/>
      <c r="AD428" s="146"/>
      <c r="AE428" s="146"/>
      <c r="AF428" s="146"/>
      <c r="AG428" s="146"/>
    </row>
    <row r="429">
      <c r="A429" s="146"/>
      <c r="B429" s="146"/>
      <c r="C429" s="146"/>
      <c r="D429" s="146"/>
      <c r="E429" s="146"/>
      <c r="F429" s="146"/>
      <c r="G429" s="146"/>
      <c r="H429" s="146"/>
      <c r="I429" s="146"/>
      <c r="J429" s="146"/>
      <c r="K429" s="146"/>
      <c r="L429" s="146"/>
      <c r="M429" s="146"/>
      <c r="N429" s="146"/>
      <c r="O429" s="146"/>
      <c r="P429" s="146"/>
      <c r="Q429" s="146"/>
      <c r="R429" s="146"/>
      <c r="S429" s="146"/>
      <c r="T429" s="146"/>
      <c r="U429" s="146"/>
      <c r="V429" s="146"/>
      <c r="W429" s="146"/>
      <c r="X429" s="146"/>
      <c r="Y429" s="146"/>
      <c r="Z429" s="146"/>
      <c r="AA429" s="146"/>
      <c r="AB429" s="146"/>
      <c r="AC429" s="146"/>
      <c r="AD429" s="146"/>
      <c r="AE429" s="146"/>
      <c r="AF429" s="146"/>
      <c r="AG429" s="146"/>
    </row>
    <row r="430">
      <c r="A430" s="146"/>
      <c r="B430" s="146"/>
      <c r="C430" s="146"/>
      <c r="D430" s="146"/>
      <c r="E430" s="146"/>
      <c r="F430" s="146"/>
      <c r="G430" s="146"/>
      <c r="H430" s="146"/>
      <c r="I430" s="146"/>
      <c r="J430" s="146"/>
      <c r="K430" s="146"/>
      <c r="L430" s="146"/>
      <c r="M430" s="146"/>
      <c r="N430" s="146"/>
      <c r="O430" s="146"/>
      <c r="P430" s="146"/>
      <c r="Q430" s="146"/>
      <c r="R430" s="146"/>
      <c r="S430" s="146"/>
      <c r="T430" s="146"/>
      <c r="U430" s="146"/>
      <c r="V430" s="146"/>
      <c r="W430" s="146"/>
      <c r="X430" s="146"/>
      <c r="Y430" s="146"/>
      <c r="Z430" s="146"/>
      <c r="AA430" s="146"/>
      <c r="AB430" s="146"/>
      <c r="AC430" s="146"/>
      <c r="AD430" s="146"/>
      <c r="AE430" s="146"/>
      <c r="AF430" s="146"/>
      <c r="AG430" s="146"/>
    </row>
    <row r="431">
      <c r="A431" s="146"/>
      <c r="B431" s="146"/>
      <c r="C431" s="146"/>
      <c r="D431" s="146"/>
      <c r="E431" s="146"/>
      <c r="F431" s="146"/>
      <c r="G431" s="146"/>
      <c r="H431" s="146"/>
      <c r="I431" s="146"/>
      <c r="J431" s="146"/>
      <c r="K431" s="146"/>
      <c r="L431" s="146"/>
      <c r="M431" s="146"/>
      <c r="N431" s="146"/>
      <c r="O431" s="146"/>
      <c r="P431" s="146"/>
      <c r="Q431" s="146"/>
      <c r="R431" s="146"/>
      <c r="S431" s="146"/>
      <c r="T431" s="146"/>
      <c r="U431" s="146"/>
      <c r="V431" s="146"/>
      <c r="W431" s="146"/>
      <c r="X431" s="146"/>
      <c r="Y431" s="146"/>
      <c r="Z431" s="146"/>
      <c r="AA431" s="146"/>
      <c r="AB431" s="146"/>
      <c r="AC431" s="146"/>
      <c r="AD431" s="146"/>
      <c r="AE431" s="146"/>
      <c r="AF431" s="146"/>
      <c r="AG431" s="146"/>
    </row>
    <row r="432">
      <c r="A432" s="146"/>
      <c r="B432" s="146"/>
      <c r="C432" s="146"/>
      <c r="D432" s="146"/>
      <c r="E432" s="146"/>
      <c r="F432" s="146"/>
      <c r="G432" s="146"/>
      <c r="H432" s="146"/>
      <c r="I432" s="146"/>
      <c r="J432" s="146"/>
      <c r="K432" s="146"/>
      <c r="L432" s="146"/>
      <c r="M432" s="146"/>
      <c r="N432" s="146"/>
      <c r="O432" s="146"/>
      <c r="P432" s="146"/>
      <c r="Q432" s="146"/>
      <c r="R432" s="146"/>
      <c r="S432" s="146"/>
      <c r="T432" s="146"/>
      <c r="U432" s="146"/>
      <c r="V432" s="146"/>
      <c r="W432" s="146"/>
      <c r="X432" s="146"/>
      <c r="Y432" s="146"/>
      <c r="Z432" s="146"/>
      <c r="AA432" s="146"/>
      <c r="AB432" s="146"/>
      <c r="AC432" s="146"/>
      <c r="AD432" s="146"/>
      <c r="AE432" s="146"/>
      <c r="AF432" s="146"/>
      <c r="AG432" s="146"/>
    </row>
    <row r="433">
      <c r="A433" s="146"/>
      <c r="B433" s="146"/>
      <c r="C433" s="146"/>
      <c r="D433" s="146"/>
      <c r="E433" s="146"/>
      <c r="F433" s="146"/>
      <c r="G433" s="146"/>
      <c r="H433" s="146"/>
      <c r="I433" s="146"/>
      <c r="J433" s="146"/>
      <c r="K433" s="146"/>
      <c r="L433" s="146"/>
      <c r="M433" s="146"/>
      <c r="N433" s="146"/>
      <c r="O433" s="146"/>
      <c r="P433" s="146"/>
      <c r="Q433" s="146"/>
      <c r="R433" s="146"/>
      <c r="S433" s="146"/>
      <c r="T433" s="146"/>
      <c r="U433" s="146"/>
      <c r="V433" s="146"/>
      <c r="W433" s="146"/>
      <c r="X433" s="146"/>
      <c r="Y433" s="146"/>
      <c r="Z433" s="146"/>
      <c r="AA433" s="146"/>
      <c r="AB433" s="146"/>
      <c r="AC433" s="146"/>
      <c r="AD433" s="146"/>
      <c r="AE433" s="146"/>
      <c r="AF433" s="146"/>
      <c r="AG433" s="146"/>
    </row>
    <row r="434">
      <c r="A434" s="146"/>
      <c r="B434" s="146"/>
      <c r="C434" s="146"/>
      <c r="D434" s="146"/>
      <c r="E434" s="146"/>
      <c r="F434" s="146"/>
      <c r="G434" s="146"/>
      <c r="H434" s="146"/>
      <c r="I434" s="146"/>
      <c r="J434" s="146"/>
      <c r="K434" s="146"/>
      <c r="L434" s="146"/>
      <c r="M434" s="146"/>
      <c r="N434" s="146"/>
      <c r="O434" s="146"/>
      <c r="P434" s="146"/>
      <c r="Q434" s="146"/>
      <c r="R434" s="146"/>
      <c r="S434" s="146"/>
      <c r="T434" s="146"/>
      <c r="U434" s="146"/>
      <c r="V434" s="146"/>
      <c r="W434" s="146"/>
      <c r="X434" s="146"/>
      <c r="Y434" s="146"/>
      <c r="Z434" s="146"/>
      <c r="AA434" s="146"/>
      <c r="AB434" s="146"/>
      <c r="AC434" s="146"/>
      <c r="AD434" s="146"/>
      <c r="AE434" s="146"/>
      <c r="AF434" s="146"/>
      <c r="AG434" s="146"/>
    </row>
    <row r="435">
      <c r="A435" s="146"/>
      <c r="B435" s="146"/>
      <c r="C435" s="146"/>
      <c r="D435" s="146"/>
      <c r="E435" s="146"/>
      <c r="F435" s="146"/>
      <c r="G435" s="146"/>
      <c r="H435" s="146"/>
      <c r="I435" s="146"/>
      <c r="J435" s="146"/>
      <c r="K435" s="146"/>
      <c r="L435" s="146"/>
      <c r="M435" s="146"/>
      <c r="N435" s="146"/>
      <c r="O435" s="146"/>
      <c r="P435" s="146"/>
      <c r="Q435" s="146"/>
      <c r="R435" s="146"/>
      <c r="S435" s="146"/>
      <c r="T435" s="146"/>
      <c r="U435" s="146"/>
      <c r="V435" s="146"/>
      <c r="W435" s="146"/>
      <c r="X435" s="146"/>
      <c r="Y435" s="146"/>
      <c r="Z435" s="146"/>
      <c r="AA435" s="146"/>
      <c r="AB435" s="146"/>
      <c r="AC435" s="146"/>
      <c r="AD435" s="146"/>
      <c r="AE435" s="146"/>
      <c r="AF435" s="146"/>
      <c r="AG435" s="146"/>
    </row>
    <row r="436">
      <c r="A436" s="146"/>
      <c r="B436" s="146"/>
      <c r="C436" s="146"/>
      <c r="D436" s="146"/>
      <c r="E436" s="146"/>
      <c r="F436" s="146"/>
      <c r="G436" s="146"/>
      <c r="H436" s="146"/>
      <c r="I436" s="146"/>
      <c r="J436" s="146"/>
      <c r="K436" s="146"/>
      <c r="L436" s="146"/>
      <c r="M436" s="146"/>
      <c r="N436" s="146"/>
      <c r="O436" s="146"/>
      <c r="P436" s="146"/>
      <c r="Q436" s="146"/>
      <c r="R436" s="146"/>
      <c r="S436" s="146"/>
      <c r="T436" s="146"/>
      <c r="U436" s="146"/>
      <c r="V436" s="146"/>
      <c r="W436" s="146"/>
      <c r="X436" s="146"/>
      <c r="Y436" s="146"/>
      <c r="Z436" s="146"/>
      <c r="AA436" s="146"/>
      <c r="AB436" s="146"/>
      <c r="AC436" s="146"/>
      <c r="AD436" s="146"/>
      <c r="AE436" s="146"/>
      <c r="AF436" s="146"/>
      <c r="AG436" s="146"/>
    </row>
    <row r="437">
      <c r="A437" s="146"/>
      <c r="B437" s="146"/>
      <c r="C437" s="146"/>
      <c r="D437" s="146"/>
      <c r="E437" s="146"/>
      <c r="F437" s="146"/>
      <c r="G437" s="146"/>
      <c r="H437" s="146"/>
      <c r="I437" s="146"/>
      <c r="J437" s="146"/>
      <c r="K437" s="146"/>
      <c r="L437" s="146"/>
      <c r="M437" s="146"/>
      <c r="N437" s="146"/>
      <c r="O437" s="146"/>
      <c r="P437" s="146"/>
      <c r="Q437" s="146"/>
      <c r="R437" s="146"/>
      <c r="S437" s="146"/>
      <c r="T437" s="146"/>
      <c r="U437" s="146"/>
      <c r="V437" s="146"/>
      <c r="W437" s="146"/>
      <c r="X437" s="146"/>
      <c r="Y437" s="146"/>
      <c r="Z437" s="146"/>
      <c r="AA437" s="146"/>
      <c r="AB437" s="146"/>
      <c r="AC437" s="146"/>
      <c r="AD437" s="146"/>
      <c r="AE437" s="146"/>
      <c r="AF437" s="146"/>
      <c r="AG437" s="146"/>
    </row>
    <row r="438">
      <c r="A438" s="146"/>
      <c r="B438" s="146"/>
      <c r="C438" s="146"/>
      <c r="D438" s="146"/>
      <c r="E438" s="146"/>
      <c r="F438" s="146"/>
      <c r="G438" s="146"/>
      <c r="H438" s="146"/>
      <c r="I438" s="146"/>
      <c r="J438" s="146"/>
      <c r="K438" s="146"/>
      <c r="L438" s="146"/>
      <c r="M438" s="146"/>
      <c r="N438" s="146"/>
      <c r="O438" s="146"/>
      <c r="P438" s="146"/>
      <c r="Q438" s="146"/>
      <c r="R438" s="146"/>
      <c r="S438" s="146"/>
      <c r="T438" s="146"/>
      <c r="U438" s="146"/>
      <c r="V438" s="146"/>
      <c r="W438" s="146"/>
      <c r="X438" s="146"/>
      <c r="Y438" s="146"/>
      <c r="Z438" s="146"/>
      <c r="AA438" s="146"/>
      <c r="AB438" s="146"/>
      <c r="AC438" s="146"/>
      <c r="AD438" s="146"/>
      <c r="AE438" s="146"/>
      <c r="AF438" s="146"/>
      <c r="AG438" s="146"/>
    </row>
    <row r="439">
      <c r="A439" s="146"/>
      <c r="B439" s="146"/>
      <c r="C439" s="146"/>
      <c r="D439" s="146"/>
      <c r="E439" s="146"/>
      <c r="F439" s="146"/>
      <c r="G439" s="146"/>
      <c r="H439" s="146"/>
      <c r="I439" s="146"/>
      <c r="J439" s="146"/>
      <c r="K439" s="146"/>
      <c r="L439" s="146"/>
      <c r="M439" s="146"/>
      <c r="N439" s="146"/>
      <c r="O439" s="146"/>
      <c r="P439" s="146"/>
      <c r="Q439" s="146"/>
      <c r="R439" s="146"/>
      <c r="S439" s="146"/>
      <c r="T439" s="146"/>
      <c r="U439" s="146"/>
      <c r="V439" s="146"/>
      <c r="W439" s="146"/>
      <c r="X439" s="146"/>
      <c r="Y439" s="146"/>
      <c r="Z439" s="146"/>
      <c r="AA439" s="146"/>
      <c r="AB439" s="146"/>
      <c r="AC439" s="146"/>
      <c r="AD439" s="146"/>
      <c r="AE439" s="146"/>
      <c r="AF439" s="146"/>
      <c r="AG439" s="146"/>
    </row>
    <row r="440">
      <c r="A440" s="146"/>
      <c r="B440" s="146"/>
      <c r="C440" s="146"/>
      <c r="D440" s="146"/>
      <c r="E440" s="146"/>
      <c r="F440" s="146"/>
      <c r="G440" s="146"/>
      <c r="H440" s="146"/>
      <c r="I440" s="146"/>
      <c r="J440" s="146"/>
      <c r="K440" s="146"/>
      <c r="L440" s="146"/>
      <c r="M440" s="146"/>
      <c r="N440" s="146"/>
      <c r="O440" s="146"/>
      <c r="P440" s="146"/>
      <c r="Q440" s="146"/>
      <c r="R440" s="146"/>
      <c r="S440" s="146"/>
      <c r="T440" s="146"/>
      <c r="U440" s="146"/>
      <c r="V440" s="146"/>
      <c r="W440" s="146"/>
      <c r="X440" s="146"/>
      <c r="Y440" s="146"/>
      <c r="Z440" s="146"/>
      <c r="AA440" s="146"/>
      <c r="AB440" s="146"/>
      <c r="AC440" s="146"/>
      <c r="AD440" s="146"/>
      <c r="AE440" s="146"/>
      <c r="AF440" s="146"/>
      <c r="AG440" s="146"/>
    </row>
    <row r="441">
      <c r="A441" s="146"/>
      <c r="B441" s="146"/>
      <c r="C441" s="146"/>
      <c r="D441" s="146"/>
      <c r="E441" s="146"/>
      <c r="F441" s="146"/>
      <c r="G441" s="146"/>
      <c r="H441" s="146"/>
      <c r="I441" s="146"/>
      <c r="J441" s="146"/>
      <c r="K441" s="146"/>
      <c r="L441" s="146"/>
      <c r="M441" s="146"/>
      <c r="N441" s="146"/>
      <c r="O441" s="146"/>
      <c r="P441" s="146"/>
      <c r="Q441" s="146"/>
      <c r="R441" s="146"/>
      <c r="S441" s="146"/>
      <c r="T441" s="146"/>
      <c r="U441" s="146"/>
      <c r="V441" s="146"/>
      <c r="W441" s="146"/>
      <c r="X441" s="146"/>
      <c r="Y441" s="146"/>
      <c r="Z441" s="146"/>
      <c r="AA441" s="146"/>
      <c r="AB441" s="146"/>
      <c r="AC441" s="146"/>
      <c r="AD441" s="146"/>
      <c r="AE441" s="146"/>
      <c r="AF441" s="146"/>
      <c r="AG441" s="146"/>
    </row>
    <row r="442">
      <c r="A442" s="146"/>
      <c r="B442" s="146"/>
      <c r="C442" s="146"/>
      <c r="D442" s="146"/>
      <c r="E442" s="146"/>
      <c r="F442" s="146"/>
      <c r="G442" s="146"/>
      <c r="H442" s="146"/>
      <c r="I442" s="146"/>
      <c r="J442" s="146"/>
      <c r="K442" s="146"/>
      <c r="L442" s="146"/>
      <c r="M442" s="146"/>
      <c r="N442" s="146"/>
      <c r="O442" s="146"/>
      <c r="P442" s="146"/>
      <c r="Q442" s="146"/>
      <c r="R442" s="146"/>
      <c r="S442" s="146"/>
      <c r="T442" s="146"/>
      <c r="U442" s="146"/>
      <c r="V442" s="146"/>
      <c r="W442" s="146"/>
      <c r="X442" s="146"/>
      <c r="Y442" s="146"/>
      <c r="Z442" s="146"/>
      <c r="AA442" s="146"/>
      <c r="AB442" s="146"/>
      <c r="AC442" s="146"/>
      <c r="AD442" s="146"/>
      <c r="AE442" s="146"/>
      <c r="AF442" s="146"/>
      <c r="AG442" s="146"/>
    </row>
    <row r="443">
      <c r="A443" s="146"/>
      <c r="B443" s="146"/>
      <c r="C443" s="146"/>
      <c r="D443" s="146"/>
      <c r="E443" s="146"/>
      <c r="F443" s="146"/>
      <c r="G443" s="146"/>
      <c r="H443" s="146"/>
      <c r="I443" s="146"/>
      <c r="J443" s="146"/>
      <c r="K443" s="146"/>
      <c r="L443" s="146"/>
      <c r="M443" s="146"/>
      <c r="N443" s="146"/>
      <c r="O443" s="146"/>
      <c r="P443" s="146"/>
      <c r="Q443" s="146"/>
      <c r="R443" s="146"/>
      <c r="S443" s="146"/>
      <c r="T443" s="146"/>
      <c r="U443" s="146"/>
      <c r="V443" s="146"/>
      <c r="W443" s="146"/>
      <c r="X443" s="146"/>
      <c r="Y443" s="146"/>
      <c r="Z443" s="146"/>
      <c r="AA443" s="146"/>
      <c r="AB443" s="146"/>
      <c r="AC443" s="146"/>
      <c r="AD443" s="146"/>
      <c r="AE443" s="146"/>
      <c r="AF443" s="146"/>
      <c r="AG443" s="146"/>
    </row>
    <row r="444">
      <c r="A444" s="146"/>
      <c r="B444" s="146"/>
      <c r="C444" s="146"/>
      <c r="D444" s="146"/>
      <c r="E444" s="146"/>
      <c r="F444" s="146"/>
      <c r="G444" s="146"/>
      <c r="H444" s="146"/>
      <c r="I444" s="146"/>
      <c r="J444" s="146"/>
      <c r="K444" s="146"/>
      <c r="L444" s="146"/>
      <c r="M444" s="146"/>
      <c r="N444" s="146"/>
      <c r="O444" s="146"/>
      <c r="P444" s="146"/>
      <c r="Q444" s="146"/>
      <c r="R444" s="146"/>
      <c r="S444" s="146"/>
      <c r="T444" s="146"/>
      <c r="U444" s="146"/>
      <c r="V444" s="146"/>
      <c r="W444" s="146"/>
      <c r="X444" s="146"/>
      <c r="Y444" s="146"/>
      <c r="Z444" s="146"/>
      <c r="AA444" s="146"/>
      <c r="AB444" s="146"/>
      <c r="AC444" s="146"/>
      <c r="AD444" s="146"/>
      <c r="AE444" s="146"/>
      <c r="AF444" s="146"/>
      <c r="AG444" s="146"/>
    </row>
    <row r="445">
      <c r="A445" s="146"/>
      <c r="B445" s="146"/>
      <c r="C445" s="146"/>
      <c r="D445" s="146"/>
      <c r="E445" s="146"/>
      <c r="F445" s="146"/>
      <c r="G445" s="146"/>
      <c r="H445" s="146"/>
      <c r="I445" s="146"/>
      <c r="J445" s="146"/>
      <c r="K445" s="146"/>
      <c r="L445" s="146"/>
      <c r="M445" s="146"/>
      <c r="N445" s="146"/>
      <c r="O445" s="146"/>
      <c r="P445" s="146"/>
      <c r="Q445" s="146"/>
      <c r="R445" s="146"/>
      <c r="S445" s="146"/>
      <c r="T445" s="146"/>
      <c r="U445" s="146"/>
      <c r="V445" s="146"/>
      <c r="W445" s="146"/>
      <c r="X445" s="146"/>
      <c r="Y445" s="146"/>
      <c r="Z445" s="146"/>
      <c r="AA445" s="146"/>
      <c r="AB445" s="146"/>
      <c r="AC445" s="146"/>
      <c r="AD445" s="146"/>
      <c r="AE445" s="146"/>
      <c r="AF445" s="146"/>
      <c r="AG445" s="146"/>
    </row>
    <row r="446">
      <c r="A446" s="146"/>
      <c r="B446" s="146"/>
      <c r="C446" s="146"/>
      <c r="D446" s="146"/>
      <c r="E446" s="146"/>
      <c r="F446" s="146"/>
      <c r="G446" s="146"/>
      <c r="H446" s="146"/>
      <c r="I446" s="146"/>
      <c r="J446" s="146"/>
      <c r="K446" s="146"/>
      <c r="L446" s="146"/>
      <c r="M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  <c r="Y446" s="146"/>
      <c r="Z446" s="146"/>
      <c r="AA446" s="146"/>
      <c r="AB446" s="146"/>
      <c r="AC446" s="146"/>
      <c r="AD446" s="146"/>
      <c r="AE446" s="146"/>
      <c r="AF446" s="146"/>
      <c r="AG446" s="146"/>
    </row>
    <row r="447">
      <c r="A447" s="146"/>
      <c r="B447" s="146"/>
      <c r="C447" s="146"/>
      <c r="D447" s="146"/>
      <c r="E447" s="146"/>
      <c r="F447" s="146"/>
      <c r="G447" s="146"/>
      <c r="H447" s="146"/>
      <c r="I447" s="146"/>
      <c r="J447" s="146"/>
      <c r="K447" s="146"/>
      <c r="L447" s="146"/>
      <c r="M447" s="146"/>
      <c r="N447" s="146"/>
      <c r="O447" s="146"/>
      <c r="P447" s="146"/>
      <c r="Q447" s="146"/>
      <c r="R447" s="146"/>
      <c r="S447" s="146"/>
      <c r="T447" s="146"/>
      <c r="U447" s="146"/>
      <c r="V447" s="146"/>
      <c r="W447" s="146"/>
      <c r="X447" s="146"/>
      <c r="Y447" s="146"/>
      <c r="Z447" s="146"/>
      <c r="AA447" s="146"/>
      <c r="AB447" s="146"/>
      <c r="AC447" s="146"/>
      <c r="AD447" s="146"/>
      <c r="AE447" s="146"/>
      <c r="AF447" s="146"/>
      <c r="AG447" s="146"/>
    </row>
    <row r="448">
      <c r="A448" s="146"/>
      <c r="B448" s="146"/>
      <c r="C448" s="146"/>
      <c r="D448" s="146"/>
      <c r="E448" s="146"/>
      <c r="F448" s="146"/>
      <c r="G448" s="146"/>
      <c r="H448" s="146"/>
      <c r="I448" s="146"/>
      <c r="J448" s="146"/>
      <c r="K448" s="146"/>
      <c r="L448" s="146"/>
      <c r="M448" s="146"/>
      <c r="N448" s="146"/>
      <c r="O448" s="146"/>
      <c r="P448" s="146"/>
      <c r="Q448" s="146"/>
      <c r="R448" s="146"/>
      <c r="S448" s="146"/>
      <c r="T448" s="146"/>
      <c r="U448" s="146"/>
      <c r="V448" s="146"/>
      <c r="W448" s="146"/>
      <c r="X448" s="146"/>
      <c r="Y448" s="146"/>
      <c r="Z448" s="146"/>
      <c r="AA448" s="146"/>
      <c r="AB448" s="146"/>
      <c r="AC448" s="146"/>
      <c r="AD448" s="146"/>
      <c r="AE448" s="146"/>
      <c r="AF448" s="146"/>
      <c r="AG448" s="146"/>
    </row>
    <row r="449">
      <c r="A449" s="146"/>
      <c r="B449" s="146"/>
      <c r="C449" s="146"/>
      <c r="D449" s="146"/>
      <c r="E449" s="146"/>
      <c r="F449" s="146"/>
      <c r="G449" s="146"/>
      <c r="H449" s="146"/>
      <c r="I449" s="146"/>
      <c r="J449" s="146"/>
      <c r="K449" s="146"/>
      <c r="L449" s="146"/>
      <c r="M449" s="146"/>
      <c r="N449" s="146"/>
      <c r="O449" s="146"/>
      <c r="P449" s="146"/>
      <c r="Q449" s="146"/>
      <c r="R449" s="146"/>
      <c r="S449" s="146"/>
      <c r="T449" s="146"/>
      <c r="U449" s="146"/>
      <c r="V449" s="146"/>
      <c r="W449" s="146"/>
      <c r="X449" s="146"/>
      <c r="Y449" s="146"/>
      <c r="Z449" s="146"/>
      <c r="AA449" s="146"/>
      <c r="AB449" s="146"/>
      <c r="AC449" s="146"/>
      <c r="AD449" s="146"/>
      <c r="AE449" s="146"/>
      <c r="AF449" s="146"/>
      <c r="AG449" s="146"/>
    </row>
    <row r="450">
      <c r="A450" s="146"/>
      <c r="B450" s="146"/>
      <c r="C450" s="146"/>
      <c r="D450" s="146"/>
      <c r="E450" s="146"/>
      <c r="F450" s="146"/>
      <c r="G450" s="146"/>
      <c r="H450" s="146"/>
      <c r="I450" s="146"/>
      <c r="J450" s="146"/>
      <c r="K450" s="146"/>
      <c r="L450" s="146"/>
      <c r="M450" s="146"/>
      <c r="N450" s="146"/>
      <c r="O450" s="146"/>
      <c r="P450" s="146"/>
      <c r="Q450" s="146"/>
      <c r="R450" s="146"/>
      <c r="S450" s="146"/>
      <c r="T450" s="146"/>
      <c r="U450" s="146"/>
      <c r="V450" s="146"/>
      <c r="W450" s="146"/>
      <c r="X450" s="146"/>
      <c r="Y450" s="146"/>
      <c r="Z450" s="146"/>
      <c r="AA450" s="146"/>
      <c r="AB450" s="146"/>
      <c r="AC450" s="146"/>
      <c r="AD450" s="146"/>
      <c r="AE450" s="146"/>
      <c r="AF450" s="146"/>
      <c r="AG450" s="146"/>
    </row>
    <row r="451">
      <c r="A451" s="146"/>
      <c r="B451" s="146"/>
      <c r="C451" s="146"/>
      <c r="D451" s="146"/>
      <c r="E451" s="146"/>
      <c r="F451" s="146"/>
      <c r="G451" s="146"/>
      <c r="H451" s="146"/>
      <c r="I451" s="146"/>
      <c r="J451" s="146"/>
      <c r="K451" s="146"/>
      <c r="L451" s="146"/>
      <c r="M451" s="146"/>
      <c r="N451" s="146"/>
      <c r="O451" s="146"/>
      <c r="P451" s="146"/>
      <c r="Q451" s="146"/>
      <c r="R451" s="146"/>
      <c r="S451" s="146"/>
      <c r="T451" s="146"/>
      <c r="U451" s="146"/>
      <c r="V451" s="146"/>
      <c r="W451" s="146"/>
      <c r="X451" s="146"/>
      <c r="Y451" s="146"/>
      <c r="Z451" s="146"/>
      <c r="AA451" s="146"/>
      <c r="AB451" s="146"/>
      <c r="AC451" s="146"/>
      <c r="AD451" s="146"/>
      <c r="AE451" s="146"/>
      <c r="AF451" s="146"/>
      <c r="AG451" s="146"/>
    </row>
    <row r="452">
      <c r="A452" s="146"/>
      <c r="B452" s="146"/>
      <c r="C452" s="146"/>
      <c r="D452" s="146"/>
      <c r="E452" s="146"/>
      <c r="F452" s="146"/>
      <c r="G452" s="146"/>
      <c r="H452" s="146"/>
      <c r="I452" s="146"/>
      <c r="J452" s="146"/>
      <c r="K452" s="146"/>
      <c r="L452" s="146"/>
      <c r="M452" s="146"/>
      <c r="N452" s="146"/>
      <c r="O452" s="146"/>
      <c r="P452" s="146"/>
      <c r="Q452" s="146"/>
      <c r="R452" s="146"/>
      <c r="S452" s="146"/>
      <c r="T452" s="146"/>
      <c r="U452" s="146"/>
      <c r="V452" s="146"/>
      <c r="W452" s="146"/>
      <c r="X452" s="146"/>
      <c r="Y452" s="146"/>
      <c r="Z452" s="146"/>
      <c r="AA452" s="146"/>
      <c r="AB452" s="146"/>
      <c r="AC452" s="146"/>
      <c r="AD452" s="146"/>
      <c r="AE452" s="146"/>
      <c r="AF452" s="146"/>
      <c r="AG452" s="146"/>
    </row>
    <row r="453">
      <c r="A453" s="146"/>
      <c r="B453" s="146"/>
      <c r="C453" s="146"/>
      <c r="D453" s="146"/>
      <c r="E453" s="146"/>
      <c r="F453" s="146"/>
      <c r="G453" s="146"/>
      <c r="H453" s="146"/>
      <c r="I453" s="146"/>
      <c r="J453" s="146"/>
      <c r="K453" s="146"/>
      <c r="L453" s="146"/>
      <c r="M453" s="146"/>
      <c r="N453" s="146"/>
      <c r="O453" s="146"/>
      <c r="P453" s="146"/>
      <c r="Q453" s="146"/>
      <c r="R453" s="146"/>
      <c r="S453" s="146"/>
      <c r="T453" s="146"/>
      <c r="U453" s="146"/>
      <c r="V453" s="146"/>
      <c r="W453" s="146"/>
      <c r="X453" s="146"/>
      <c r="Y453" s="146"/>
      <c r="Z453" s="146"/>
      <c r="AA453" s="146"/>
      <c r="AB453" s="146"/>
      <c r="AC453" s="146"/>
      <c r="AD453" s="146"/>
      <c r="AE453" s="146"/>
      <c r="AF453" s="146"/>
      <c r="AG453" s="146"/>
    </row>
    <row r="454">
      <c r="A454" s="146"/>
      <c r="B454" s="146"/>
      <c r="C454" s="146"/>
      <c r="D454" s="146"/>
      <c r="E454" s="146"/>
      <c r="F454" s="146"/>
      <c r="G454" s="146"/>
      <c r="H454" s="146"/>
      <c r="I454" s="146"/>
      <c r="J454" s="146"/>
      <c r="K454" s="146"/>
      <c r="L454" s="146"/>
      <c r="M454" s="146"/>
      <c r="N454" s="146"/>
      <c r="O454" s="146"/>
      <c r="P454" s="146"/>
      <c r="Q454" s="146"/>
      <c r="R454" s="146"/>
      <c r="S454" s="146"/>
      <c r="T454" s="146"/>
      <c r="U454" s="146"/>
      <c r="V454" s="146"/>
      <c r="W454" s="146"/>
      <c r="X454" s="146"/>
      <c r="Y454" s="146"/>
      <c r="Z454" s="146"/>
      <c r="AA454" s="146"/>
      <c r="AB454" s="146"/>
      <c r="AC454" s="146"/>
      <c r="AD454" s="146"/>
      <c r="AE454" s="146"/>
      <c r="AF454" s="146"/>
      <c r="AG454" s="146"/>
    </row>
    <row r="455">
      <c r="A455" s="146"/>
      <c r="B455" s="146"/>
      <c r="C455" s="146"/>
      <c r="D455" s="146"/>
      <c r="E455" s="146"/>
      <c r="F455" s="146"/>
      <c r="G455" s="146"/>
      <c r="H455" s="146"/>
      <c r="I455" s="146"/>
      <c r="J455" s="146"/>
      <c r="K455" s="146"/>
      <c r="L455" s="146"/>
      <c r="M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  <c r="Y455" s="146"/>
      <c r="Z455" s="146"/>
      <c r="AA455" s="146"/>
      <c r="AB455" s="146"/>
      <c r="AC455" s="146"/>
      <c r="AD455" s="146"/>
      <c r="AE455" s="146"/>
      <c r="AF455" s="146"/>
      <c r="AG455" s="146"/>
    </row>
    <row r="456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  <c r="Y456" s="146"/>
      <c r="Z456" s="146"/>
      <c r="AA456" s="146"/>
      <c r="AB456" s="146"/>
      <c r="AC456" s="146"/>
      <c r="AD456" s="146"/>
      <c r="AE456" s="146"/>
      <c r="AF456" s="146"/>
      <c r="AG456" s="146"/>
    </row>
    <row r="457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  <c r="Y457" s="146"/>
      <c r="Z457" s="146"/>
      <c r="AA457" s="146"/>
      <c r="AB457" s="146"/>
      <c r="AC457" s="146"/>
      <c r="AD457" s="146"/>
      <c r="AE457" s="146"/>
      <c r="AF457" s="146"/>
      <c r="AG457" s="146"/>
    </row>
    <row r="458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  <c r="Y458" s="146"/>
      <c r="Z458" s="146"/>
      <c r="AA458" s="146"/>
      <c r="AB458" s="146"/>
      <c r="AC458" s="146"/>
      <c r="AD458" s="146"/>
      <c r="AE458" s="146"/>
      <c r="AF458" s="146"/>
      <c r="AG458" s="146"/>
    </row>
    <row r="459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  <c r="Y459" s="146"/>
      <c r="Z459" s="146"/>
      <c r="AA459" s="146"/>
      <c r="AB459" s="146"/>
      <c r="AC459" s="146"/>
      <c r="AD459" s="146"/>
      <c r="AE459" s="146"/>
      <c r="AF459" s="146"/>
      <c r="AG459" s="146"/>
    </row>
    <row r="460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  <c r="Y460" s="146"/>
      <c r="Z460" s="146"/>
      <c r="AA460" s="146"/>
      <c r="AB460" s="146"/>
      <c r="AC460" s="146"/>
      <c r="AD460" s="146"/>
      <c r="AE460" s="146"/>
      <c r="AF460" s="146"/>
      <c r="AG460" s="146"/>
    </row>
    <row r="461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  <c r="Y461" s="146"/>
      <c r="Z461" s="146"/>
      <c r="AA461" s="146"/>
      <c r="AB461" s="146"/>
      <c r="AC461" s="146"/>
      <c r="AD461" s="146"/>
      <c r="AE461" s="146"/>
      <c r="AF461" s="146"/>
      <c r="AG461" s="146"/>
    </row>
    <row r="462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  <c r="Y462" s="146"/>
      <c r="Z462" s="146"/>
      <c r="AA462" s="146"/>
      <c r="AB462" s="146"/>
      <c r="AC462" s="146"/>
      <c r="AD462" s="146"/>
      <c r="AE462" s="146"/>
      <c r="AF462" s="146"/>
      <c r="AG462" s="146"/>
    </row>
    <row r="463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  <c r="Y463" s="146"/>
      <c r="Z463" s="146"/>
      <c r="AA463" s="146"/>
      <c r="AB463" s="146"/>
      <c r="AC463" s="146"/>
      <c r="AD463" s="146"/>
      <c r="AE463" s="146"/>
      <c r="AF463" s="146"/>
      <c r="AG463" s="146"/>
    </row>
    <row r="464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  <c r="Y464" s="146"/>
      <c r="Z464" s="146"/>
      <c r="AA464" s="146"/>
      <c r="AB464" s="146"/>
      <c r="AC464" s="146"/>
      <c r="AD464" s="146"/>
      <c r="AE464" s="146"/>
      <c r="AF464" s="146"/>
      <c r="AG464" s="146"/>
    </row>
    <row r="465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  <c r="Y465" s="146"/>
      <c r="Z465" s="146"/>
      <c r="AA465" s="146"/>
      <c r="AB465" s="146"/>
      <c r="AC465" s="146"/>
      <c r="AD465" s="146"/>
      <c r="AE465" s="146"/>
      <c r="AF465" s="146"/>
      <c r="AG465" s="146"/>
    </row>
    <row r="466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  <c r="Y466" s="146"/>
      <c r="Z466" s="146"/>
      <c r="AA466" s="146"/>
      <c r="AB466" s="146"/>
      <c r="AC466" s="146"/>
      <c r="AD466" s="146"/>
      <c r="AE466" s="146"/>
      <c r="AF466" s="146"/>
      <c r="AG466" s="146"/>
    </row>
    <row r="467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  <c r="Y467" s="146"/>
      <c r="Z467" s="146"/>
      <c r="AA467" s="146"/>
      <c r="AB467" s="146"/>
      <c r="AC467" s="146"/>
      <c r="AD467" s="146"/>
      <c r="AE467" s="146"/>
      <c r="AF467" s="146"/>
      <c r="AG467" s="146"/>
    </row>
    <row r="468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  <c r="Y468" s="146"/>
      <c r="Z468" s="146"/>
      <c r="AA468" s="146"/>
      <c r="AB468" s="146"/>
      <c r="AC468" s="146"/>
      <c r="AD468" s="146"/>
      <c r="AE468" s="146"/>
      <c r="AF468" s="146"/>
      <c r="AG468" s="146"/>
    </row>
    <row r="469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  <c r="Y469" s="146"/>
      <c r="Z469" s="146"/>
      <c r="AA469" s="146"/>
      <c r="AB469" s="146"/>
      <c r="AC469" s="146"/>
      <c r="AD469" s="146"/>
      <c r="AE469" s="146"/>
      <c r="AF469" s="146"/>
      <c r="AG469" s="146"/>
    </row>
    <row r="470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  <c r="Y470" s="146"/>
      <c r="Z470" s="146"/>
      <c r="AA470" s="146"/>
      <c r="AB470" s="146"/>
      <c r="AC470" s="146"/>
      <c r="AD470" s="146"/>
      <c r="AE470" s="146"/>
      <c r="AF470" s="146"/>
      <c r="AG470" s="146"/>
    </row>
    <row r="471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  <c r="Y471" s="146"/>
      <c r="Z471" s="146"/>
      <c r="AA471" s="146"/>
      <c r="AB471" s="146"/>
      <c r="AC471" s="146"/>
      <c r="AD471" s="146"/>
      <c r="AE471" s="146"/>
      <c r="AF471" s="146"/>
      <c r="AG471" s="146"/>
    </row>
    <row r="472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  <c r="Y472" s="146"/>
      <c r="Z472" s="146"/>
      <c r="AA472" s="146"/>
      <c r="AB472" s="146"/>
      <c r="AC472" s="146"/>
      <c r="AD472" s="146"/>
      <c r="AE472" s="146"/>
      <c r="AF472" s="146"/>
      <c r="AG472" s="146"/>
    </row>
    <row r="473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  <c r="Y473" s="146"/>
      <c r="Z473" s="146"/>
      <c r="AA473" s="146"/>
      <c r="AB473" s="146"/>
      <c r="AC473" s="146"/>
      <c r="AD473" s="146"/>
      <c r="AE473" s="146"/>
      <c r="AF473" s="146"/>
      <c r="AG473" s="146"/>
    </row>
    <row r="474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  <c r="Y474" s="146"/>
      <c r="Z474" s="146"/>
      <c r="AA474" s="146"/>
      <c r="AB474" s="146"/>
      <c r="AC474" s="146"/>
      <c r="AD474" s="146"/>
      <c r="AE474" s="146"/>
      <c r="AF474" s="146"/>
      <c r="AG474" s="146"/>
    </row>
    <row r="475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  <c r="Y475" s="146"/>
      <c r="Z475" s="146"/>
      <c r="AA475" s="146"/>
      <c r="AB475" s="146"/>
      <c r="AC475" s="146"/>
      <c r="AD475" s="146"/>
      <c r="AE475" s="146"/>
      <c r="AF475" s="146"/>
      <c r="AG475" s="146"/>
    </row>
    <row r="476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  <c r="Y476" s="146"/>
      <c r="Z476" s="146"/>
      <c r="AA476" s="146"/>
      <c r="AB476" s="146"/>
      <c r="AC476" s="146"/>
      <c r="AD476" s="146"/>
      <c r="AE476" s="146"/>
      <c r="AF476" s="146"/>
      <c r="AG476" s="146"/>
    </row>
    <row r="477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  <c r="Y477" s="146"/>
      <c r="Z477" s="146"/>
      <c r="AA477" s="146"/>
      <c r="AB477" s="146"/>
      <c r="AC477" s="146"/>
      <c r="AD477" s="146"/>
      <c r="AE477" s="146"/>
      <c r="AF477" s="146"/>
      <c r="AG477" s="146"/>
    </row>
    <row r="478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  <c r="Y478" s="146"/>
      <c r="Z478" s="146"/>
      <c r="AA478" s="146"/>
      <c r="AB478" s="146"/>
      <c r="AC478" s="146"/>
      <c r="AD478" s="146"/>
      <c r="AE478" s="146"/>
      <c r="AF478" s="146"/>
      <c r="AG478" s="146"/>
    </row>
    <row r="479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  <c r="Y479" s="146"/>
      <c r="Z479" s="146"/>
      <c r="AA479" s="146"/>
      <c r="AB479" s="146"/>
      <c r="AC479" s="146"/>
      <c r="AD479" s="146"/>
      <c r="AE479" s="146"/>
      <c r="AF479" s="146"/>
      <c r="AG479" s="146"/>
    </row>
    <row r="480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  <c r="Y480" s="146"/>
      <c r="Z480" s="146"/>
      <c r="AA480" s="146"/>
      <c r="AB480" s="146"/>
      <c r="AC480" s="146"/>
      <c r="AD480" s="146"/>
      <c r="AE480" s="146"/>
      <c r="AF480" s="146"/>
      <c r="AG480" s="146"/>
    </row>
    <row r="481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  <c r="Y481" s="146"/>
      <c r="Z481" s="146"/>
      <c r="AA481" s="146"/>
      <c r="AB481" s="146"/>
      <c r="AC481" s="146"/>
      <c r="AD481" s="146"/>
      <c r="AE481" s="146"/>
      <c r="AF481" s="146"/>
      <c r="AG481" s="146"/>
    </row>
    <row r="482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  <c r="Y482" s="146"/>
      <c r="Z482" s="146"/>
      <c r="AA482" s="146"/>
      <c r="AB482" s="146"/>
      <c r="AC482" s="146"/>
      <c r="AD482" s="146"/>
      <c r="AE482" s="146"/>
      <c r="AF482" s="146"/>
      <c r="AG482" s="146"/>
    </row>
    <row r="483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  <c r="Y483" s="146"/>
      <c r="Z483" s="146"/>
      <c r="AA483" s="146"/>
      <c r="AB483" s="146"/>
      <c r="AC483" s="146"/>
      <c r="AD483" s="146"/>
      <c r="AE483" s="146"/>
      <c r="AF483" s="146"/>
      <c r="AG483" s="146"/>
    </row>
    <row r="484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  <c r="Y484" s="146"/>
      <c r="Z484" s="146"/>
      <c r="AA484" s="146"/>
      <c r="AB484" s="146"/>
      <c r="AC484" s="146"/>
      <c r="AD484" s="146"/>
      <c r="AE484" s="146"/>
      <c r="AF484" s="146"/>
      <c r="AG484" s="146"/>
    </row>
    <row r="485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  <c r="Y485" s="146"/>
      <c r="Z485" s="146"/>
      <c r="AA485" s="146"/>
      <c r="AB485" s="146"/>
      <c r="AC485" s="146"/>
      <c r="AD485" s="146"/>
      <c r="AE485" s="146"/>
      <c r="AF485" s="146"/>
      <c r="AG485" s="146"/>
    </row>
    <row r="486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  <c r="Y486" s="146"/>
      <c r="Z486" s="146"/>
      <c r="AA486" s="146"/>
      <c r="AB486" s="146"/>
      <c r="AC486" s="146"/>
      <c r="AD486" s="146"/>
      <c r="AE486" s="146"/>
      <c r="AF486" s="146"/>
      <c r="AG486" s="146"/>
    </row>
    <row r="487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  <c r="Y487" s="146"/>
      <c r="Z487" s="146"/>
      <c r="AA487" s="146"/>
      <c r="AB487" s="146"/>
      <c r="AC487" s="146"/>
      <c r="AD487" s="146"/>
      <c r="AE487" s="146"/>
      <c r="AF487" s="146"/>
      <c r="AG487" s="146"/>
    </row>
    <row r="488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  <c r="Y488" s="146"/>
      <c r="Z488" s="146"/>
      <c r="AA488" s="146"/>
      <c r="AB488" s="146"/>
      <c r="AC488" s="146"/>
      <c r="AD488" s="146"/>
      <c r="AE488" s="146"/>
      <c r="AF488" s="146"/>
      <c r="AG488" s="146"/>
    </row>
    <row r="489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  <c r="Y489" s="146"/>
      <c r="Z489" s="146"/>
      <c r="AA489" s="146"/>
      <c r="AB489" s="146"/>
      <c r="AC489" s="146"/>
      <c r="AD489" s="146"/>
      <c r="AE489" s="146"/>
      <c r="AF489" s="146"/>
      <c r="AG489" s="146"/>
    </row>
    <row r="490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  <c r="Y490" s="146"/>
      <c r="Z490" s="146"/>
      <c r="AA490" s="146"/>
      <c r="AB490" s="146"/>
      <c r="AC490" s="146"/>
      <c r="AD490" s="146"/>
      <c r="AE490" s="146"/>
      <c r="AF490" s="146"/>
      <c r="AG490" s="146"/>
    </row>
    <row r="491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  <c r="Y491" s="146"/>
      <c r="Z491" s="146"/>
      <c r="AA491" s="146"/>
      <c r="AB491" s="146"/>
      <c r="AC491" s="146"/>
      <c r="AD491" s="146"/>
      <c r="AE491" s="146"/>
      <c r="AF491" s="146"/>
      <c r="AG491" s="146"/>
    </row>
    <row r="492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  <c r="Y492" s="146"/>
      <c r="Z492" s="146"/>
      <c r="AA492" s="146"/>
      <c r="AB492" s="146"/>
      <c r="AC492" s="146"/>
      <c r="AD492" s="146"/>
      <c r="AE492" s="146"/>
      <c r="AF492" s="146"/>
      <c r="AG492" s="146"/>
    </row>
    <row r="493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  <c r="Y493" s="146"/>
      <c r="Z493" s="146"/>
      <c r="AA493" s="146"/>
      <c r="AB493" s="146"/>
      <c r="AC493" s="146"/>
      <c r="AD493" s="146"/>
      <c r="AE493" s="146"/>
      <c r="AF493" s="146"/>
      <c r="AG493" s="146"/>
    </row>
    <row r="494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  <c r="Y494" s="146"/>
      <c r="Z494" s="146"/>
      <c r="AA494" s="146"/>
      <c r="AB494" s="146"/>
      <c r="AC494" s="146"/>
      <c r="AD494" s="146"/>
      <c r="AE494" s="146"/>
      <c r="AF494" s="146"/>
      <c r="AG494" s="146"/>
    </row>
    <row r="495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  <c r="Y495" s="146"/>
      <c r="Z495" s="146"/>
      <c r="AA495" s="146"/>
      <c r="AB495" s="146"/>
      <c r="AC495" s="146"/>
      <c r="AD495" s="146"/>
      <c r="AE495" s="146"/>
      <c r="AF495" s="146"/>
      <c r="AG495" s="146"/>
    </row>
    <row r="496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  <c r="Y496" s="146"/>
      <c r="Z496" s="146"/>
      <c r="AA496" s="146"/>
      <c r="AB496" s="146"/>
      <c r="AC496" s="146"/>
      <c r="AD496" s="146"/>
      <c r="AE496" s="146"/>
      <c r="AF496" s="146"/>
      <c r="AG496" s="146"/>
    </row>
    <row r="497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  <c r="Y497" s="146"/>
      <c r="Z497" s="146"/>
      <c r="AA497" s="146"/>
      <c r="AB497" s="146"/>
      <c r="AC497" s="146"/>
      <c r="AD497" s="146"/>
      <c r="AE497" s="146"/>
      <c r="AF497" s="146"/>
      <c r="AG497" s="146"/>
    </row>
    <row r="498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  <c r="Y498" s="146"/>
      <c r="Z498" s="146"/>
      <c r="AA498" s="146"/>
      <c r="AB498" s="146"/>
      <c r="AC498" s="146"/>
      <c r="AD498" s="146"/>
      <c r="AE498" s="146"/>
      <c r="AF498" s="146"/>
      <c r="AG498" s="146"/>
    </row>
    <row r="499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  <c r="Y499" s="146"/>
      <c r="Z499" s="146"/>
      <c r="AA499" s="146"/>
      <c r="AB499" s="146"/>
      <c r="AC499" s="146"/>
      <c r="AD499" s="146"/>
      <c r="AE499" s="146"/>
      <c r="AF499" s="146"/>
      <c r="AG499" s="146"/>
    </row>
    <row r="500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  <c r="Y500" s="146"/>
      <c r="Z500" s="146"/>
      <c r="AA500" s="146"/>
      <c r="AB500" s="146"/>
      <c r="AC500" s="146"/>
      <c r="AD500" s="146"/>
      <c r="AE500" s="146"/>
      <c r="AF500" s="146"/>
      <c r="AG500" s="146"/>
    </row>
    <row r="501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  <c r="Y501" s="146"/>
      <c r="Z501" s="146"/>
      <c r="AA501" s="146"/>
      <c r="AB501" s="146"/>
      <c r="AC501" s="146"/>
      <c r="AD501" s="146"/>
      <c r="AE501" s="146"/>
      <c r="AF501" s="146"/>
      <c r="AG501" s="146"/>
    </row>
    <row r="502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  <c r="Y502" s="146"/>
      <c r="Z502" s="146"/>
      <c r="AA502" s="146"/>
      <c r="AB502" s="146"/>
      <c r="AC502" s="146"/>
      <c r="AD502" s="146"/>
      <c r="AE502" s="146"/>
      <c r="AF502" s="146"/>
      <c r="AG502" s="146"/>
    </row>
    <row r="503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  <c r="Y503" s="146"/>
      <c r="Z503" s="146"/>
      <c r="AA503" s="146"/>
      <c r="AB503" s="146"/>
      <c r="AC503" s="146"/>
      <c r="AD503" s="146"/>
      <c r="AE503" s="146"/>
      <c r="AF503" s="146"/>
      <c r="AG503" s="146"/>
    </row>
    <row r="504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  <c r="Y504" s="146"/>
      <c r="Z504" s="146"/>
      <c r="AA504" s="146"/>
      <c r="AB504" s="146"/>
      <c r="AC504" s="146"/>
      <c r="AD504" s="146"/>
      <c r="AE504" s="146"/>
      <c r="AF504" s="146"/>
      <c r="AG504" s="146"/>
    </row>
    <row r="505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  <c r="Y505" s="146"/>
      <c r="Z505" s="146"/>
      <c r="AA505" s="146"/>
      <c r="AB505" s="146"/>
      <c r="AC505" s="146"/>
      <c r="AD505" s="146"/>
      <c r="AE505" s="146"/>
      <c r="AF505" s="146"/>
      <c r="AG505" s="146"/>
    </row>
    <row r="506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  <c r="Y506" s="146"/>
      <c r="Z506" s="146"/>
      <c r="AA506" s="146"/>
      <c r="AB506" s="146"/>
      <c r="AC506" s="146"/>
      <c r="AD506" s="146"/>
      <c r="AE506" s="146"/>
      <c r="AF506" s="146"/>
      <c r="AG506" s="146"/>
    </row>
    <row r="507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  <c r="Y507" s="146"/>
      <c r="Z507" s="146"/>
      <c r="AA507" s="146"/>
      <c r="AB507" s="146"/>
      <c r="AC507" s="146"/>
      <c r="AD507" s="146"/>
      <c r="AE507" s="146"/>
      <c r="AF507" s="146"/>
      <c r="AG507" s="146"/>
    </row>
    <row r="508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  <c r="Y508" s="146"/>
      <c r="Z508" s="146"/>
      <c r="AA508" s="146"/>
      <c r="AB508" s="146"/>
      <c r="AC508" s="146"/>
      <c r="AD508" s="146"/>
      <c r="AE508" s="146"/>
      <c r="AF508" s="146"/>
      <c r="AG508" s="146"/>
    </row>
    <row r="509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  <c r="Y509" s="146"/>
      <c r="Z509" s="146"/>
      <c r="AA509" s="146"/>
      <c r="AB509" s="146"/>
      <c r="AC509" s="146"/>
      <c r="AD509" s="146"/>
      <c r="AE509" s="146"/>
      <c r="AF509" s="146"/>
      <c r="AG509" s="146"/>
    </row>
    <row r="510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  <c r="Y510" s="146"/>
      <c r="Z510" s="146"/>
      <c r="AA510" s="146"/>
      <c r="AB510" s="146"/>
      <c r="AC510" s="146"/>
      <c r="AD510" s="146"/>
      <c r="AE510" s="146"/>
      <c r="AF510" s="146"/>
      <c r="AG510" s="146"/>
    </row>
    <row r="511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  <c r="Y511" s="146"/>
      <c r="Z511" s="146"/>
      <c r="AA511" s="146"/>
      <c r="AB511" s="146"/>
      <c r="AC511" s="146"/>
      <c r="AD511" s="146"/>
      <c r="AE511" s="146"/>
      <c r="AF511" s="146"/>
      <c r="AG511" s="146"/>
    </row>
    <row r="512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  <c r="Y512" s="146"/>
      <c r="Z512" s="146"/>
      <c r="AA512" s="146"/>
      <c r="AB512" s="146"/>
      <c r="AC512" s="146"/>
      <c r="AD512" s="146"/>
      <c r="AE512" s="146"/>
      <c r="AF512" s="146"/>
      <c r="AG512" s="146"/>
    </row>
    <row r="513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  <c r="Y513" s="146"/>
      <c r="Z513" s="146"/>
      <c r="AA513" s="146"/>
      <c r="AB513" s="146"/>
      <c r="AC513" s="146"/>
      <c r="AD513" s="146"/>
      <c r="AE513" s="146"/>
      <c r="AF513" s="146"/>
      <c r="AG513" s="146"/>
    </row>
    <row r="514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  <c r="Y514" s="146"/>
      <c r="Z514" s="146"/>
      <c r="AA514" s="146"/>
      <c r="AB514" s="146"/>
      <c r="AC514" s="146"/>
      <c r="AD514" s="146"/>
      <c r="AE514" s="146"/>
      <c r="AF514" s="146"/>
      <c r="AG514" s="146"/>
    </row>
    <row r="515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  <c r="Y515" s="146"/>
      <c r="Z515" s="146"/>
      <c r="AA515" s="146"/>
      <c r="AB515" s="146"/>
      <c r="AC515" s="146"/>
      <c r="AD515" s="146"/>
      <c r="AE515" s="146"/>
      <c r="AF515" s="146"/>
      <c r="AG515" s="146"/>
    </row>
    <row r="516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  <c r="Y516" s="146"/>
      <c r="Z516" s="146"/>
      <c r="AA516" s="146"/>
      <c r="AB516" s="146"/>
      <c r="AC516" s="146"/>
      <c r="AD516" s="146"/>
      <c r="AE516" s="146"/>
      <c r="AF516" s="146"/>
      <c r="AG516" s="146"/>
    </row>
    <row r="517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  <c r="Y517" s="146"/>
      <c r="Z517" s="146"/>
      <c r="AA517" s="146"/>
      <c r="AB517" s="146"/>
      <c r="AC517" s="146"/>
      <c r="AD517" s="146"/>
      <c r="AE517" s="146"/>
      <c r="AF517" s="146"/>
      <c r="AG517" s="146"/>
    </row>
    <row r="518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  <c r="Y518" s="146"/>
      <c r="Z518" s="146"/>
      <c r="AA518" s="146"/>
      <c r="AB518" s="146"/>
      <c r="AC518" s="146"/>
      <c r="AD518" s="146"/>
      <c r="AE518" s="146"/>
      <c r="AF518" s="146"/>
      <c r="AG518" s="146"/>
    </row>
    <row r="519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  <c r="Y519" s="146"/>
      <c r="Z519" s="146"/>
      <c r="AA519" s="146"/>
      <c r="AB519" s="146"/>
      <c r="AC519" s="146"/>
      <c r="AD519" s="146"/>
      <c r="AE519" s="146"/>
      <c r="AF519" s="146"/>
      <c r="AG519" s="146"/>
    </row>
    <row r="520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  <c r="Y520" s="146"/>
      <c r="Z520" s="146"/>
      <c r="AA520" s="146"/>
      <c r="AB520" s="146"/>
      <c r="AC520" s="146"/>
      <c r="AD520" s="146"/>
      <c r="AE520" s="146"/>
      <c r="AF520" s="146"/>
      <c r="AG520" s="146"/>
    </row>
    <row r="521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  <c r="Y521" s="146"/>
      <c r="Z521" s="146"/>
      <c r="AA521" s="146"/>
      <c r="AB521" s="146"/>
      <c r="AC521" s="146"/>
      <c r="AD521" s="146"/>
      <c r="AE521" s="146"/>
      <c r="AF521" s="146"/>
      <c r="AG521" s="146"/>
    </row>
    <row r="522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  <c r="Y522" s="146"/>
      <c r="Z522" s="146"/>
      <c r="AA522" s="146"/>
      <c r="AB522" s="146"/>
      <c r="AC522" s="146"/>
      <c r="AD522" s="146"/>
      <c r="AE522" s="146"/>
      <c r="AF522" s="146"/>
      <c r="AG522" s="146"/>
    </row>
    <row r="523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  <c r="Y523" s="146"/>
      <c r="Z523" s="146"/>
      <c r="AA523" s="146"/>
      <c r="AB523" s="146"/>
      <c r="AC523" s="146"/>
      <c r="AD523" s="146"/>
      <c r="AE523" s="146"/>
      <c r="AF523" s="146"/>
      <c r="AG523" s="146"/>
    </row>
    <row r="524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  <c r="Y524" s="146"/>
      <c r="Z524" s="146"/>
      <c r="AA524" s="146"/>
      <c r="AB524" s="146"/>
      <c r="AC524" s="146"/>
      <c r="AD524" s="146"/>
      <c r="AE524" s="146"/>
      <c r="AF524" s="146"/>
      <c r="AG524" s="146"/>
    </row>
    <row r="525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  <c r="Y525" s="146"/>
      <c r="Z525" s="146"/>
      <c r="AA525" s="146"/>
      <c r="AB525" s="146"/>
      <c r="AC525" s="146"/>
      <c r="AD525" s="146"/>
      <c r="AE525" s="146"/>
      <c r="AF525" s="146"/>
      <c r="AG525" s="146"/>
    </row>
    <row r="526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  <c r="Y526" s="146"/>
      <c r="Z526" s="146"/>
      <c r="AA526" s="146"/>
      <c r="AB526" s="146"/>
      <c r="AC526" s="146"/>
      <c r="AD526" s="146"/>
      <c r="AE526" s="146"/>
      <c r="AF526" s="146"/>
      <c r="AG526" s="146"/>
    </row>
    <row r="527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  <c r="Y527" s="146"/>
      <c r="Z527" s="146"/>
      <c r="AA527" s="146"/>
      <c r="AB527" s="146"/>
      <c r="AC527" s="146"/>
      <c r="AD527" s="146"/>
      <c r="AE527" s="146"/>
      <c r="AF527" s="146"/>
      <c r="AG527" s="146"/>
    </row>
    <row r="528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  <c r="Y528" s="146"/>
      <c r="Z528" s="146"/>
      <c r="AA528" s="146"/>
      <c r="AB528" s="146"/>
      <c r="AC528" s="146"/>
      <c r="AD528" s="146"/>
      <c r="AE528" s="146"/>
      <c r="AF528" s="146"/>
      <c r="AG528" s="146"/>
    </row>
    <row r="529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  <c r="Y529" s="146"/>
      <c r="Z529" s="146"/>
      <c r="AA529" s="146"/>
      <c r="AB529" s="146"/>
      <c r="AC529" s="146"/>
      <c r="AD529" s="146"/>
      <c r="AE529" s="146"/>
      <c r="AF529" s="146"/>
      <c r="AG529" s="146"/>
    </row>
    <row r="530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  <c r="Y530" s="146"/>
      <c r="Z530" s="146"/>
      <c r="AA530" s="146"/>
      <c r="AB530" s="146"/>
      <c r="AC530" s="146"/>
      <c r="AD530" s="146"/>
      <c r="AE530" s="146"/>
      <c r="AF530" s="146"/>
      <c r="AG530" s="146"/>
    </row>
    <row r="531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  <c r="Y531" s="146"/>
      <c r="Z531" s="146"/>
      <c r="AA531" s="146"/>
      <c r="AB531" s="146"/>
      <c r="AC531" s="146"/>
      <c r="AD531" s="146"/>
      <c r="AE531" s="146"/>
      <c r="AF531" s="146"/>
      <c r="AG531" s="146"/>
    </row>
    <row r="532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  <c r="Y532" s="146"/>
      <c r="Z532" s="146"/>
      <c r="AA532" s="146"/>
      <c r="AB532" s="146"/>
      <c r="AC532" s="146"/>
      <c r="AD532" s="146"/>
      <c r="AE532" s="146"/>
      <c r="AF532" s="146"/>
      <c r="AG532" s="146"/>
    </row>
    <row r="533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  <c r="Y533" s="146"/>
      <c r="Z533" s="146"/>
      <c r="AA533" s="146"/>
      <c r="AB533" s="146"/>
      <c r="AC533" s="146"/>
      <c r="AD533" s="146"/>
      <c r="AE533" s="146"/>
      <c r="AF533" s="146"/>
      <c r="AG533" s="146"/>
    </row>
    <row r="534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  <c r="Y534" s="146"/>
      <c r="Z534" s="146"/>
      <c r="AA534" s="146"/>
      <c r="AB534" s="146"/>
      <c r="AC534" s="146"/>
      <c r="AD534" s="146"/>
      <c r="AE534" s="146"/>
      <c r="AF534" s="146"/>
      <c r="AG534" s="146"/>
    </row>
    <row r="535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  <c r="Y535" s="146"/>
      <c r="Z535" s="146"/>
      <c r="AA535" s="146"/>
      <c r="AB535" s="146"/>
      <c r="AC535" s="146"/>
      <c r="AD535" s="146"/>
      <c r="AE535" s="146"/>
      <c r="AF535" s="146"/>
      <c r="AG535" s="146"/>
    </row>
    <row r="536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  <c r="Y536" s="146"/>
      <c r="Z536" s="146"/>
      <c r="AA536" s="146"/>
      <c r="AB536" s="146"/>
      <c r="AC536" s="146"/>
      <c r="AD536" s="146"/>
      <c r="AE536" s="146"/>
      <c r="AF536" s="146"/>
      <c r="AG536" s="146"/>
    </row>
    <row r="537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  <c r="Y537" s="146"/>
      <c r="Z537" s="146"/>
      <c r="AA537" s="146"/>
      <c r="AB537" s="146"/>
      <c r="AC537" s="146"/>
      <c r="AD537" s="146"/>
      <c r="AE537" s="146"/>
      <c r="AF537" s="146"/>
      <c r="AG537" s="146"/>
    </row>
    <row r="538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  <c r="Y538" s="146"/>
      <c r="Z538" s="146"/>
      <c r="AA538" s="146"/>
      <c r="AB538" s="146"/>
      <c r="AC538" s="146"/>
      <c r="AD538" s="146"/>
      <c r="AE538" s="146"/>
      <c r="AF538" s="146"/>
      <c r="AG538" s="146"/>
    </row>
    <row r="539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  <c r="Y539" s="146"/>
      <c r="Z539" s="146"/>
      <c r="AA539" s="146"/>
      <c r="AB539" s="146"/>
      <c r="AC539" s="146"/>
      <c r="AD539" s="146"/>
      <c r="AE539" s="146"/>
      <c r="AF539" s="146"/>
      <c r="AG539" s="146"/>
    </row>
    <row r="540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  <c r="Y540" s="146"/>
      <c r="Z540" s="146"/>
      <c r="AA540" s="146"/>
      <c r="AB540" s="146"/>
      <c r="AC540" s="146"/>
      <c r="AD540" s="146"/>
      <c r="AE540" s="146"/>
      <c r="AF540" s="146"/>
      <c r="AG540" s="146"/>
    </row>
    <row r="541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  <c r="Y541" s="146"/>
      <c r="Z541" s="146"/>
      <c r="AA541" s="146"/>
      <c r="AB541" s="146"/>
      <c r="AC541" s="146"/>
      <c r="AD541" s="146"/>
      <c r="AE541" s="146"/>
      <c r="AF541" s="146"/>
      <c r="AG541" s="146"/>
    </row>
    <row r="542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  <c r="Y542" s="146"/>
      <c r="Z542" s="146"/>
      <c r="AA542" s="146"/>
      <c r="AB542" s="146"/>
      <c r="AC542" s="146"/>
      <c r="AD542" s="146"/>
      <c r="AE542" s="146"/>
      <c r="AF542" s="146"/>
      <c r="AG542" s="146"/>
    </row>
    <row r="543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  <c r="Y543" s="146"/>
      <c r="Z543" s="146"/>
      <c r="AA543" s="146"/>
      <c r="AB543" s="146"/>
      <c r="AC543" s="146"/>
      <c r="AD543" s="146"/>
      <c r="AE543" s="146"/>
      <c r="AF543" s="146"/>
      <c r="AG543" s="146"/>
    </row>
    <row r="544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  <c r="Y544" s="146"/>
      <c r="Z544" s="146"/>
      <c r="AA544" s="146"/>
      <c r="AB544" s="146"/>
      <c r="AC544" s="146"/>
      <c r="AD544" s="146"/>
      <c r="AE544" s="146"/>
      <c r="AF544" s="146"/>
      <c r="AG544" s="146"/>
    </row>
    <row r="545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  <c r="Y545" s="146"/>
      <c r="Z545" s="146"/>
      <c r="AA545" s="146"/>
      <c r="AB545" s="146"/>
      <c r="AC545" s="146"/>
      <c r="AD545" s="146"/>
      <c r="AE545" s="146"/>
      <c r="AF545" s="146"/>
      <c r="AG545" s="146"/>
    </row>
    <row r="546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  <c r="Y546" s="146"/>
      <c r="Z546" s="146"/>
      <c r="AA546" s="146"/>
      <c r="AB546" s="146"/>
      <c r="AC546" s="146"/>
      <c r="AD546" s="146"/>
      <c r="AE546" s="146"/>
      <c r="AF546" s="146"/>
      <c r="AG546" s="146"/>
    </row>
    <row r="547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  <c r="Y547" s="146"/>
      <c r="Z547" s="146"/>
      <c r="AA547" s="146"/>
      <c r="AB547" s="146"/>
      <c r="AC547" s="146"/>
      <c r="AD547" s="146"/>
      <c r="AE547" s="146"/>
      <c r="AF547" s="146"/>
      <c r="AG547" s="146"/>
    </row>
    <row r="548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  <c r="Y548" s="146"/>
      <c r="Z548" s="146"/>
      <c r="AA548" s="146"/>
      <c r="AB548" s="146"/>
      <c r="AC548" s="146"/>
      <c r="AD548" s="146"/>
      <c r="AE548" s="146"/>
      <c r="AF548" s="146"/>
      <c r="AG548" s="146"/>
    </row>
    <row r="549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  <c r="Y549" s="146"/>
      <c r="Z549" s="146"/>
      <c r="AA549" s="146"/>
      <c r="AB549" s="146"/>
      <c r="AC549" s="146"/>
      <c r="AD549" s="146"/>
      <c r="AE549" s="146"/>
      <c r="AF549" s="146"/>
      <c r="AG549" s="146"/>
    </row>
    <row r="550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  <c r="Y550" s="146"/>
      <c r="Z550" s="146"/>
      <c r="AA550" s="146"/>
      <c r="AB550" s="146"/>
      <c r="AC550" s="146"/>
      <c r="AD550" s="146"/>
      <c r="AE550" s="146"/>
      <c r="AF550" s="146"/>
      <c r="AG550" s="146"/>
    </row>
    <row r="551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  <c r="Y551" s="146"/>
      <c r="Z551" s="146"/>
      <c r="AA551" s="146"/>
      <c r="AB551" s="146"/>
      <c r="AC551" s="146"/>
      <c r="AD551" s="146"/>
      <c r="AE551" s="146"/>
      <c r="AF551" s="146"/>
      <c r="AG551" s="146"/>
    </row>
    <row r="552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  <c r="Y552" s="146"/>
      <c r="Z552" s="146"/>
      <c r="AA552" s="146"/>
      <c r="AB552" s="146"/>
      <c r="AC552" s="146"/>
      <c r="AD552" s="146"/>
      <c r="AE552" s="146"/>
      <c r="AF552" s="146"/>
      <c r="AG552" s="146"/>
    </row>
    <row r="553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  <c r="Y553" s="146"/>
      <c r="Z553" s="146"/>
      <c r="AA553" s="146"/>
      <c r="AB553" s="146"/>
      <c r="AC553" s="146"/>
      <c r="AD553" s="146"/>
      <c r="AE553" s="146"/>
      <c r="AF553" s="146"/>
      <c r="AG553" s="146"/>
    </row>
    <row r="554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  <c r="Y554" s="146"/>
      <c r="Z554" s="146"/>
      <c r="AA554" s="146"/>
      <c r="AB554" s="146"/>
      <c r="AC554" s="146"/>
      <c r="AD554" s="146"/>
      <c r="AE554" s="146"/>
      <c r="AF554" s="146"/>
      <c r="AG554" s="146"/>
    </row>
    <row r="555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  <c r="Y555" s="146"/>
      <c r="Z555" s="146"/>
      <c r="AA555" s="146"/>
      <c r="AB555" s="146"/>
      <c r="AC555" s="146"/>
      <c r="AD555" s="146"/>
      <c r="AE555" s="146"/>
      <c r="AF555" s="146"/>
      <c r="AG555" s="146"/>
    </row>
    <row r="556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  <c r="Y556" s="146"/>
      <c r="Z556" s="146"/>
      <c r="AA556" s="146"/>
      <c r="AB556" s="146"/>
      <c r="AC556" s="146"/>
      <c r="AD556" s="146"/>
      <c r="AE556" s="146"/>
      <c r="AF556" s="146"/>
      <c r="AG556" s="146"/>
    </row>
    <row r="557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  <c r="Y557" s="146"/>
      <c r="Z557" s="146"/>
      <c r="AA557" s="146"/>
      <c r="AB557" s="146"/>
      <c r="AC557" s="146"/>
      <c r="AD557" s="146"/>
      <c r="AE557" s="146"/>
      <c r="AF557" s="146"/>
      <c r="AG557" s="146"/>
    </row>
    <row r="558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  <c r="Y558" s="146"/>
      <c r="Z558" s="146"/>
      <c r="AA558" s="146"/>
      <c r="AB558" s="146"/>
      <c r="AC558" s="146"/>
      <c r="AD558" s="146"/>
      <c r="AE558" s="146"/>
      <c r="AF558" s="146"/>
      <c r="AG558" s="146"/>
    </row>
    <row r="559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  <c r="Y559" s="146"/>
      <c r="Z559" s="146"/>
      <c r="AA559" s="146"/>
      <c r="AB559" s="146"/>
      <c r="AC559" s="146"/>
      <c r="AD559" s="146"/>
      <c r="AE559" s="146"/>
      <c r="AF559" s="146"/>
      <c r="AG559" s="146"/>
    </row>
    <row r="560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  <c r="Y560" s="146"/>
      <c r="Z560" s="146"/>
      <c r="AA560" s="146"/>
      <c r="AB560" s="146"/>
      <c r="AC560" s="146"/>
      <c r="AD560" s="146"/>
      <c r="AE560" s="146"/>
      <c r="AF560" s="146"/>
      <c r="AG560" s="146"/>
    </row>
    <row r="561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  <c r="Y561" s="146"/>
      <c r="Z561" s="146"/>
      <c r="AA561" s="146"/>
      <c r="AB561" s="146"/>
      <c r="AC561" s="146"/>
      <c r="AD561" s="146"/>
      <c r="AE561" s="146"/>
      <c r="AF561" s="146"/>
      <c r="AG561" s="146"/>
    </row>
    <row r="562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  <c r="Y562" s="146"/>
      <c r="Z562" s="146"/>
      <c r="AA562" s="146"/>
      <c r="AB562" s="146"/>
      <c r="AC562" s="146"/>
      <c r="AD562" s="146"/>
      <c r="AE562" s="146"/>
      <c r="AF562" s="146"/>
      <c r="AG562" s="146"/>
    </row>
    <row r="563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  <c r="Y563" s="146"/>
      <c r="Z563" s="146"/>
      <c r="AA563" s="146"/>
      <c r="AB563" s="146"/>
      <c r="AC563" s="146"/>
      <c r="AD563" s="146"/>
      <c r="AE563" s="146"/>
      <c r="AF563" s="146"/>
      <c r="AG563" s="146"/>
    </row>
    <row r="564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  <c r="Y564" s="146"/>
      <c r="Z564" s="146"/>
      <c r="AA564" s="146"/>
      <c r="AB564" s="146"/>
      <c r="AC564" s="146"/>
      <c r="AD564" s="146"/>
      <c r="AE564" s="146"/>
      <c r="AF564" s="146"/>
      <c r="AG564" s="146"/>
    </row>
    <row r="565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  <c r="Y565" s="146"/>
      <c r="Z565" s="146"/>
      <c r="AA565" s="146"/>
      <c r="AB565" s="146"/>
      <c r="AC565" s="146"/>
      <c r="AD565" s="146"/>
      <c r="AE565" s="146"/>
      <c r="AF565" s="146"/>
      <c r="AG565" s="146"/>
    </row>
    <row r="566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  <c r="Y566" s="146"/>
      <c r="Z566" s="146"/>
      <c r="AA566" s="146"/>
      <c r="AB566" s="146"/>
      <c r="AC566" s="146"/>
      <c r="AD566" s="146"/>
      <c r="AE566" s="146"/>
      <c r="AF566" s="146"/>
      <c r="AG566" s="146"/>
    </row>
    <row r="567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  <c r="Y567" s="146"/>
      <c r="Z567" s="146"/>
      <c r="AA567" s="146"/>
      <c r="AB567" s="146"/>
      <c r="AC567" s="146"/>
      <c r="AD567" s="146"/>
      <c r="AE567" s="146"/>
      <c r="AF567" s="146"/>
      <c r="AG567" s="146"/>
    </row>
    <row r="568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  <c r="Y568" s="146"/>
      <c r="Z568" s="146"/>
      <c r="AA568" s="146"/>
      <c r="AB568" s="146"/>
      <c r="AC568" s="146"/>
      <c r="AD568" s="146"/>
      <c r="AE568" s="146"/>
      <c r="AF568" s="146"/>
      <c r="AG568" s="146"/>
    </row>
    <row r="569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  <c r="Y569" s="146"/>
      <c r="Z569" s="146"/>
      <c r="AA569" s="146"/>
      <c r="AB569" s="146"/>
      <c r="AC569" s="146"/>
      <c r="AD569" s="146"/>
      <c r="AE569" s="146"/>
      <c r="AF569" s="146"/>
      <c r="AG569" s="146"/>
    </row>
    <row r="570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  <c r="Y570" s="146"/>
      <c r="Z570" s="146"/>
      <c r="AA570" s="146"/>
      <c r="AB570" s="146"/>
      <c r="AC570" s="146"/>
      <c r="AD570" s="146"/>
      <c r="AE570" s="146"/>
      <c r="AF570" s="146"/>
      <c r="AG570" s="146"/>
    </row>
    <row r="571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  <c r="Y571" s="146"/>
      <c r="Z571" s="146"/>
      <c r="AA571" s="146"/>
      <c r="AB571" s="146"/>
      <c r="AC571" s="146"/>
      <c r="AD571" s="146"/>
      <c r="AE571" s="146"/>
      <c r="AF571" s="146"/>
      <c r="AG571" s="146"/>
    </row>
    <row r="572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  <c r="Y572" s="146"/>
      <c r="Z572" s="146"/>
      <c r="AA572" s="146"/>
      <c r="AB572" s="146"/>
      <c r="AC572" s="146"/>
      <c r="AD572" s="146"/>
      <c r="AE572" s="146"/>
      <c r="AF572" s="146"/>
      <c r="AG572" s="146"/>
    </row>
    <row r="573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  <c r="Y573" s="146"/>
      <c r="Z573" s="146"/>
      <c r="AA573" s="146"/>
      <c r="AB573" s="146"/>
      <c r="AC573" s="146"/>
      <c r="AD573" s="146"/>
      <c r="AE573" s="146"/>
      <c r="AF573" s="146"/>
      <c r="AG573" s="146"/>
    </row>
    <row r="574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  <c r="Y574" s="146"/>
      <c r="Z574" s="146"/>
      <c r="AA574" s="146"/>
      <c r="AB574" s="146"/>
      <c r="AC574" s="146"/>
      <c r="AD574" s="146"/>
      <c r="AE574" s="146"/>
      <c r="AF574" s="146"/>
      <c r="AG574" s="146"/>
    </row>
    <row r="575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  <c r="Y575" s="146"/>
      <c r="Z575" s="146"/>
      <c r="AA575" s="146"/>
      <c r="AB575" s="146"/>
      <c r="AC575" s="146"/>
      <c r="AD575" s="146"/>
      <c r="AE575" s="146"/>
      <c r="AF575" s="146"/>
      <c r="AG575" s="146"/>
    </row>
    <row r="576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  <c r="Y576" s="146"/>
      <c r="Z576" s="146"/>
      <c r="AA576" s="146"/>
      <c r="AB576" s="146"/>
      <c r="AC576" s="146"/>
      <c r="AD576" s="146"/>
      <c r="AE576" s="146"/>
      <c r="AF576" s="146"/>
      <c r="AG576" s="146"/>
    </row>
    <row r="577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  <c r="Y577" s="146"/>
      <c r="Z577" s="146"/>
      <c r="AA577" s="146"/>
      <c r="AB577" s="146"/>
      <c r="AC577" s="146"/>
      <c r="AD577" s="146"/>
      <c r="AE577" s="146"/>
      <c r="AF577" s="146"/>
      <c r="AG577" s="146"/>
    </row>
    <row r="578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  <c r="Y578" s="146"/>
      <c r="Z578" s="146"/>
      <c r="AA578" s="146"/>
      <c r="AB578" s="146"/>
      <c r="AC578" s="146"/>
      <c r="AD578" s="146"/>
      <c r="AE578" s="146"/>
      <c r="AF578" s="146"/>
      <c r="AG578" s="146"/>
    </row>
    <row r="579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  <c r="Y579" s="146"/>
      <c r="Z579" s="146"/>
      <c r="AA579" s="146"/>
      <c r="AB579" s="146"/>
      <c r="AC579" s="146"/>
      <c r="AD579" s="146"/>
      <c r="AE579" s="146"/>
      <c r="AF579" s="146"/>
      <c r="AG579" s="146"/>
    </row>
    <row r="580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  <c r="Y580" s="146"/>
      <c r="Z580" s="146"/>
      <c r="AA580" s="146"/>
      <c r="AB580" s="146"/>
      <c r="AC580" s="146"/>
      <c r="AD580" s="146"/>
      <c r="AE580" s="146"/>
      <c r="AF580" s="146"/>
      <c r="AG580" s="146"/>
    </row>
    <row r="581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  <c r="Y581" s="146"/>
      <c r="Z581" s="146"/>
      <c r="AA581" s="146"/>
      <c r="AB581" s="146"/>
      <c r="AC581" s="146"/>
      <c r="AD581" s="146"/>
      <c r="AE581" s="146"/>
      <c r="AF581" s="146"/>
      <c r="AG581" s="146"/>
    </row>
    <row r="582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  <c r="Y582" s="146"/>
      <c r="Z582" s="146"/>
      <c r="AA582" s="146"/>
      <c r="AB582" s="146"/>
      <c r="AC582" s="146"/>
      <c r="AD582" s="146"/>
      <c r="AE582" s="146"/>
      <c r="AF582" s="146"/>
      <c r="AG582" s="146"/>
    </row>
    <row r="583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  <c r="Y583" s="146"/>
      <c r="Z583" s="146"/>
      <c r="AA583" s="146"/>
      <c r="AB583" s="146"/>
      <c r="AC583" s="146"/>
      <c r="AD583" s="146"/>
      <c r="AE583" s="146"/>
      <c r="AF583" s="146"/>
      <c r="AG583" s="146"/>
    </row>
    <row r="584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  <c r="Y584" s="146"/>
      <c r="Z584" s="146"/>
      <c r="AA584" s="146"/>
      <c r="AB584" s="146"/>
      <c r="AC584" s="146"/>
      <c r="AD584" s="146"/>
      <c r="AE584" s="146"/>
      <c r="AF584" s="146"/>
      <c r="AG584" s="146"/>
    </row>
    <row r="585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  <c r="Y585" s="146"/>
      <c r="Z585" s="146"/>
      <c r="AA585" s="146"/>
      <c r="AB585" s="146"/>
      <c r="AC585" s="146"/>
      <c r="AD585" s="146"/>
      <c r="AE585" s="146"/>
      <c r="AF585" s="146"/>
      <c r="AG585" s="146"/>
    </row>
    <row r="586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  <c r="Y586" s="146"/>
      <c r="Z586" s="146"/>
      <c r="AA586" s="146"/>
      <c r="AB586" s="146"/>
      <c r="AC586" s="146"/>
      <c r="AD586" s="146"/>
      <c r="AE586" s="146"/>
      <c r="AF586" s="146"/>
      <c r="AG586" s="146"/>
    </row>
    <row r="587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  <c r="Y587" s="146"/>
      <c r="Z587" s="146"/>
      <c r="AA587" s="146"/>
      <c r="AB587" s="146"/>
      <c r="AC587" s="146"/>
      <c r="AD587" s="146"/>
      <c r="AE587" s="146"/>
      <c r="AF587" s="146"/>
      <c r="AG587" s="146"/>
    </row>
    <row r="588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  <c r="Y588" s="146"/>
      <c r="Z588" s="146"/>
      <c r="AA588" s="146"/>
      <c r="AB588" s="146"/>
      <c r="AC588" s="146"/>
      <c r="AD588" s="146"/>
      <c r="AE588" s="146"/>
      <c r="AF588" s="146"/>
      <c r="AG588" s="146"/>
    </row>
    <row r="589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  <c r="Y589" s="146"/>
      <c r="Z589" s="146"/>
      <c r="AA589" s="146"/>
      <c r="AB589" s="146"/>
      <c r="AC589" s="146"/>
      <c r="AD589" s="146"/>
      <c r="AE589" s="146"/>
      <c r="AF589" s="146"/>
      <c r="AG589" s="146"/>
    </row>
    <row r="590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  <c r="Y590" s="146"/>
      <c r="Z590" s="146"/>
      <c r="AA590" s="146"/>
      <c r="AB590" s="146"/>
      <c r="AC590" s="146"/>
      <c r="AD590" s="146"/>
      <c r="AE590" s="146"/>
      <c r="AF590" s="146"/>
      <c r="AG590" s="146"/>
    </row>
    <row r="591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  <c r="Y591" s="146"/>
      <c r="Z591" s="146"/>
      <c r="AA591" s="146"/>
      <c r="AB591" s="146"/>
      <c r="AC591" s="146"/>
      <c r="AD591" s="146"/>
      <c r="AE591" s="146"/>
      <c r="AF591" s="146"/>
      <c r="AG591" s="146"/>
    </row>
    <row r="592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  <c r="Y592" s="146"/>
      <c r="Z592" s="146"/>
      <c r="AA592" s="146"/>
      <c r="AB592" s="146"/>
      <c r="AC592" s="146"/>
      <c r="AD592" s="146"/>
      <c r="AE592" s="146"/>
      <c r="AF592" s="146"/>
      <c r="AG592" s="146"/>
    </row>
    <row r="593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  <c r="Y593" s="146"/>
      <c r="Z593" s="146"/>
      <c r="AA593" s="146"/>
      <c r="AB593" s="146"/>
      <c r="AC593" s="146"/>
      <c r="AD593" s="146"/>
      <c r="AE593" s="146"/>
      <c r="AF593" s="146"/>
      <c r="AG593" s="146"/>
    </row>
    <row r="594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  <c r="Y594" s="146"/>
      <c r="Z594" s="146"/>
      <c r="AA594" s="146"/>
      <c r="AB594" s="146"/>
      <c r="AC594" s="146"/>
      <c r="AD594" s="146"/>
      <c r="AE594" s="146"/>
      <c r="AF594" s="146"/>
      <c r="AG594" s="146"/>
    </row>
    <row r="595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  <c r="Y595" s="146"/>
      <c r="Z595" s="146"/>
      <c r="AA595" s="146"/>
      <c r="AB595" s="146"/>
      <c r="AC595" s="146"/>
      <c r="AD595" s="146"/>
      <c r="AE595" s="146"/>
      <c r="AF595" s="146"/>
      <c r="AG595" s="146"/>
    </row>
    <row r="596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  <c r="Y596" s="146"/>
      <c r="Z596" s="146"/>
      <c r="AA596" s="146"/>
      <c r="AB596" s="146"/>
      <c r="AC596" s="146"/>
      <c r="AD596" s="146"/>
      <c r="AE596" s="146"/>
      <c r="AF596" s="146"/>
      <c r="AG596" s="146"/>
    </row>
    <row r="597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  <c r="Y597" s="146"/>
      <c r="Z597" s="146"/>
      <c r="AA597" s="146"/>
      <c r="AB597" s="146"/>
      <c r="AC597" s="146"/>
      <c r="AD597" s="146"/>
      <c r="AE597" s="146"/>
      <c r="AF597" s="146"/>
      <c r="AG597" s="146"/>
    </row>
    <row r="598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  <c r="Y598" s="146"/>
      <c r="Z598" s="146"/>
      <c r="AA598" s="146"/>
      <c r="AB598" s="146"/>
      <c r="AC598" s="146"/>
      <c r="AD598" s="146"/>
      <c r="AE598" s="146"/>
      <c r="AF598" s="146"/>
      <c r="AG598" s="146"/>
    </row>
    <row r="599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  <c r="Y599" s="146"/>
      <c r="Z599" s="146"/>
      <c r="AA599" s="146"/>
      <c r="AB599" s="146"/>
      <c r="AC599" s="146"/>
      <c r="AD599" s="146"/>
      <c r="AE599" s="146"/>
      <c r="AF599" s="146"/>
      <c r="AG599" s="146"/>
    </row>
    <row r="600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  <c r="Y600" s="146"/>
      <c r="Z600" s="146"/>
      <c r="AA600" s="146"/>
      <c r="AB600" s="146"/>
      <c r="AC600" s="146"/>
      <c r="AD600" s="146"/>
      <c r="AE600" s="146"/>
      <c r="AF600" s="146"/>
      <c r="AG600" s="146"/>
    </row>
    <row r="601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  <c r="Y601" s="146"/>
      <c r="Z601" s="146"/>
      <c r="AA601" s="146"/>
      <c r="AB601" s="146"/>
      <c r="AC601" s="146"/>
      <c r="AD601" s="146"/>
      <c r="AE601" s="146"/>
      <c r="AF601" s="146"/>
      <c r="AG601" s="146"/>
    </row>
    <row r="602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  <c r="Y602" s="146"/>
      <c r="Z602" s="146"/>
      <c r="AA602" s="146"/>
      <c r="AB602" s="146"/>
      <c r="AC602" s="146"/>
      <c r="AD602" s="146"/>
      <c r="AE602" s="146"/>
      <c r="AF602" s="146"/>
      <c r="AG602" s="146"/>
    </row>
    <row r="603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  <c r="Y603" s="146"/>
      <c r="Z603" s="146"/>
      <c r="AA603" s="146"/>
      <c r="AB603" s="146"/>
      <c r="AC603" s="146"/>
      <c r="AD603" s="146"/>
      <c r="AE603" s="146"/>
      <c r="AF603" s="146"/>
      <c r="AG603" s="146"/>
    </row>
    <row r="604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  <c r="Y604" s="146"/>
      <c r="Z604" s="146"/>
      <c r="AA604" s="146"/>
      <c r="AB604" s="146"/>
      <c r="AC604" s="146"/>
      <c r="AD604" s="146"/>
      <c r="AE604" s="146"/>
      <c r="AF604" s="146"/>
      <c r="AG604" s="146"/>
    </row>
    <row r="605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  <c r="Y605" s="146"/>
      <c r="Z605" s="146"/>
      <c r="AA605" s="146"/>
      <c r="AB605" s="146"/>
      <c r="AC605" s="146"/>
      <c r="AD605" s="146"/>
      <c r="AE605" s="146"/>
      <c r="AF605" s="146"/>
      <c r="AG605" s="146"/>
    </row>
    <row r="606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  <c r="Y606" s="146"/>
      <c r="Z606" s="146"/>
      <c r="AA606" s="146"/>
      <c r="AB606" s="146"/>
      <c r="AC606" s="146"/>
      <c r="AD606" s="146"/>
      <c r="AE606" s="146"/>
      <c r="AF606" s="146"/>
      <c r="AG606" s="146"/>
    </row>
    <row r="607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  <c r="Y607" s="146"/>
      <c r="Z607" s="146"/>
      <c r="AA607" s="146"/>
      <c r="AB607" s="146"/>
      <c r="AC607" s="146"/>
      <c r="AD607" s="146"/>
      <c r="AE607" s="146"/>
      <c r="AF607" s="146"/>
      <c r="AG607" s="146"/>
    </row>
    <row r="608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  <c r="Y608" s="146"/>
      <c r="Z608" s="146"/>
      <c r="AA608" s="146"/>
      <c r="AB608" s="146"/>
      <c r="AC608" s="146"/>
      <c r="AD608" s="146"/>
      <c r="AE608" s="146"/>
      <c r="AF608" s="146"/>
      <c r="AG608" s="146"/>
    </row>
    <row r="609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  <c r="Y609" s="146"/>
      <c r="Z609" s="146"/>
      <c r="AA609" s="146"/>
      <c r="AB609" s="146"/>
      <c r="AC609" s="146"/>
      <c r="AD609" s="146"/>
      <c r="AE609" s="146"/>
      <c r="AF609" s="146"/>
      <c r="AG609" s="146"/>
    </row>
    <row r="610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  <c r="Y610" s="146"/>
      <c r="Z610" s="146"/>
      <c r="AA610" s="146"/>
      <c r="AB610" s="146"/>
      <c r="AC610" s="146"/>
      <c r="AD610" s="146"/>
      <c r="AE610" s="146"/>
      <c r="AF610" s="146"/>
      <c r="AG610" s="146"/>
    </row>
    <row r="611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  <c r="Y611" s="146"/>
      <c r="Z611" s="146"/>
      <c r="AA611" s="146"/>
      <c r="AB611" s="146"/>
      <c r="AC611" s="146"/>
      <c r="AD611" s="146"/>
      <c r="AE611" s="146"/>
      <c r="AF611" s="146"/>
      <c r="AG611" s="146"/>
    </row>
    <row r="612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  <c r="Y612" s="146"/>
      <c r="Z612" s="146"/>
      <c r="AA612" s="146"/>
      <c r="AB612" s="146"/>
      <c r="AC612" s="146"/>
      <c r="AD612" s="146"/>
      <c r="AE612" s="146"/>
      <c r="AF612" s="146"/>
      <c r="AG612" s="146"/>
    </row>
    <row r="613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  <c r="Y613" s="146"/>
      <c r="Z613" s="146"/>
      <c r="AA613" s="146"/>
      <c r="AB613" s="146"/>
      <c r="AC613" s="146"/>
      <c r="AD613" s="146"/>
      <c r="AE613" s="146"/>
      <c r="AF613" s="146"/>
      <c r="AG613" s="146"/>
    </row>
    <row r="614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  <c r="Y614" s="146"/>
      <c r="Z614" s="146"/>
      <c r="AA614" s="146"/>
      <c r="AB614" s="146"/>
      <c r="AC614" s="146"/>
      <c r="AD614" s="146"/>
      <c r="AE614" s="146"/>
      <c r="AF614" s="146"/>
      <c r="AG614" s="146"/>
    </row>
    <row r="615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  <c r="Y615" s="146"/>
      <c r="Z615" s="146"/>
      <c r="AA615" s="146"/>
      <c r="AB615" s="146"/>
      <c r="AC615" s="146"/>
      <c r="AD615" s="146"/>
      <c r="AE615" s="146"/>
      <c r="AF615" s="146"/>
      <c r="AG615" s="146"/>
    </row>
    <row r="616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  <c r="Y616" s="146"/>
      <c r="Z616" s="146"/>
      <c r="AA616" s="146"/>
      <c r="AB616" s="146"/>
      <c r="AC616" s="146"/>
      <c r="AD616" s="146"/>
      <c r="AE616" s="146"/>
      <c r="AF616" s="146"/>
      <c r="AG616" s="146"/>
    </row>
    <row r="617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  <c r="Y617" s="146"/>
      <c r="Z617" s="146"/>
      <c r="AA617" s="146"/>
      <c r="AB617" s="146"/>
      <c r="AC617" s="146"/>
      <c r="AD617" s="146"/>
      <c r="AE617" s="146"/>
      <c r="AF617" s="146"/>
      <c r="AG617" s="146"/>
    </row>
    <row r="618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  <c r="Y618" s="146"/>
      <c r="Z618" s="146"/>
      <c r="AA618" s="146"/>
      <c r="AB618" s="146"/>
      <c r="AC618" s="146"/>
      <c r="AD618" s="146"/>
      <c r="AE618" s="146"/>
      <c r="AF618" s="146"/>
      <c r="AG618" s="146"/>
    </row>
    <row r="619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  <c r="Y619" s="146"/>
      <c r="Z619" s="146"/>
      <c r="AA619" s="146"/>
      <c r="AB619" s="146"/>
      <c r="AC619" s="146"/>
      <c r="AD619" s="146"/>
      <c r="AE619" s="146"/>
      <c r="AF619" s="146"/>
      <c r="AG619" s="146"/>
    </row>
    <row r="620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  <c r="Y620" s="146"/>
      <c r="Z620" s="146"/>
      <c r="AA620" s="146"/>
      <c r="AB620" s="146"/>
      <c r="AC620" s="146"/>
      <c r="AD620" s="146"/>
      <c r="AE620" s="146"/>
      <c r="AF620" s="146"/>
      <c r="AG620" s="146"/>
    </row>
    <row r="621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  <c r="Y621" s="146"/>
      <c r="Z621" s="146"/>
      <c r="AA621" s="146"/>
      <c r="AB621" s="146"/>
      <c r="AC621" s="146"/>
      <c r="AD621" s="146"/>
      <c r="AE621" s="146"/>
      <c r="AF621" s="146"/>
      <c r="AG621" s="146"/>
    </row>
    <row r="622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  <c r="Y622" s="146"/>
      <c r="Z622" s="146"/>
      <c r="AA622" s="146"/>
      <c r="AB622" s="146"/>
      <c r="AC622" s="146"/>
      <c r="AD622" s="146"/>
      <c r="AE622" s="146"/>
      <c r="AF622" s="146"/>
      <c r="AG622" s="146"/>
    </row>
    <row r="623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  <c r="Y623" s="146"/>
      <c r="Z623" s="146"/>
      <c r="AA623" s="146"/>
      <c r="AB623" s="146"/>
      <c r="AC623" s="146"/>
      <c r="AD623" s="146"/>
      <c r="AE623" s="146"/>
      <c r="AF623" s="146"/>
      <c r="AG623" s="146"/>
    </row>
    <row r="624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  <c r="Y624" s="146"/>
      <c r="Z624" s="146"/>
      <c r="AA624" s="146"/>
      <c r="AB624" s="146"/>
      <c r="AC624" s="146"/>
      <c r="AD624" s="146"/>
      <c r="AE624" s="146"/>
      <c r="AF624" s="146"/>
      <c r="AG624" s="146"/>
    </row>
    <row r="625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  <c r="Y625" s="146"/>
      <c r="Z625" s="146"/>
      <c r="AA625" s="146"/>
      <c r="AB625" s="146"/>
      <c r="AC625" s="146"/>
      <c r="AD625" s="146"/>
      <c r="AE625" s="146"/>
      <c r="AF625" s="146"/>
      <c r="AG625" s="146"/>
    </row>
    <row r="626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  <c r="Y626" s="146"/>
      <c r="Z626" s="146"/>
      <c r="AA626" s="146"/>
      <c r="AB626" s="146"/>
      <c r="AC626" s="146"/>
      <c r="AD626" s="146"/>
      <c r="AE626" s="146"/>
      <c r="AF626" s="146"/>
      <c r="AG626" s="146"/>
    </row>
    <row r="627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  <c r="Y627" s="146"/>
      <c r="Z627" s="146"/>
      <c r="AA627" s="146"/>
      <c r="AB627" s="146"/>
      <c r="AC627" s="146"/>
      <c r="AD627" s="146"/>
      <c r="AE627" s="146"/>
      <c r="AF627" s="146"/>
      <c r="AG627" s="146"/>
    </row>
    <row r="628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  <c r="Y628" s="146"/>
      <c r="Z628" s="146"/>
      <c r="AA628" s="146"/>
      <c r="AB628" s="146"/>
      <c r="AC628" s="146"/>
      <c r="AD628" s="146"/>
      <c r="AE628" s="146"/>
      <c r="AF628" s="146"/>
      <c r="AG628" s="146"/>
    </row>
    <row r="629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  <c r="Y629" s="146"/>
      <c r="Z629" s="146"/>
      <c r="AA629" s="146"/>
      <c r="AB629" s="146"/>
      <c r="AC629" s="146"/>
      <c r="AD629" s="146"/>
      <c r="AE629" s="146"/>
      <c r="AF629" s="146"/>
      <c r="AG629" s="146"/>
    </row>
    <row r="630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  <c r="Y630" s="146"/>
      <c r="Z630" s="146"/>
      <c r="AA630" s="146"/>
      <c r="AB630" s="146"/>
      <c r="AC630" s="146"/>
      <c r="AD630" s="146"/>
      <c r="AE630" s="146"/>
      <c r="AF630" s="146"/>
      <c r="AG630" s="146"/>
    </row>
    <row r="631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  <c r="Y631" s="146"/>
      <c r="Z631" s="146"/>
      <c r="AA631" s="146"/>
      <c r="AB631" s="146"/>
      <c r="AC631" s="146"/>
      <c r="AD631" s="146"/>
      <c r="AE631" s="146"/>
      <c r="AF631" s="146"/>
      <c r="AG631" s="146"/>
    </row>
    <row r="632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  <c r="Y632" s="146"/>
      <c r="Z632" s="146"/>
      <c r="AA632" s="146"/>
      <c r="AB632" s="146"/>
      <c r="AC632" s="146"/>
      <c r="AD632" s="146"/>
      <c r="AE632" s="146"/>
      <c r="AF632" s="146"/>
      <c r="AG632" s="146"/>
    </row>
    <row r="633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  <c r="Y633" s="146"/>
      <c r="Z633" s="146"/>
      <c r="AA633" s="146"/>
      <c r="AB633" s="146"/>
      <c r="AC633" s="146"/>
      <c r="AD633" s="146"/>
      <c r="AE633" s="146"/>
      <c r="AF633" s="146"/>
      <c r="AG633" s="146"/>
    </row>
    <row r="634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  <c r="Y634" s="146"/>
      <c r="Z634" s="146"/>
      <c r="AA634" s="146"/>
      <c r="AB634" s="146"/>
      <c r="AC634" s="146"/>
      <c r="AD634" s="146"/>
      <c r="AE634" s="146"/>
      <c r="AF634" s="146"/>
      <c r="AG634" s="146"/>
    </row>
    <row r="635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  <c r="Y635" s="146"/>
      <c r="Z635" s="146"/>
      <c r="AA635" s="146"/>
      <c r="AB635" s="146"/>
      <c r="AC635" s="146"/>
      <c r="AD635" s="146"/>
      <c r="AE635" s="146"/>
      <c r="AF635" s="146"/>
      <c r="AG635" s="146"/>
    </row>
    <row r="636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  <c r="Y636" s="146"/>
      <c r="Z636" s="146"/>
      <c r="AA636" s="146"/>
      <c r="AB636" s="146"/>
      <c r="AC636" s="146"/>
      <c r="AD636" s="146"/>
      <c r="AE636" s="146"/>
      <c r="AF636" s="146"/>
      <c r="AG636" s="146"/>
    </row>
    <row r="637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  <c r="Y637" s="146"/>
      <c r="Z637" s="146"/>
      <c r="AA637" s="146"/>
      <c r="AB637" s="146"/>
      <c r="AC637" s="146"/>
      <c r="AD637" s="146"/>
      <c r="AE637" s="146"/>
      <c r="AF637" s="146"/>
      <c r="AG637" s="146"/>
    </row>
    <row r="638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  <c r="Y638" s="146"/>
      <c r="Z638" s="146"/>
      <c r="AA638" s="146"/>
      <c r="AB638" s="146"/>
      <c r="AC638" s="146"/>
      <c r="AD638" s="146"/>
      <c r="AE638" s="146"/>
      <c r="AF638" s="146"/>
      <c r="AG638" s="146"/>
    </row>
    <row r="639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  <c r="Y639" s="146"/>
      <c r="Z639" s="146"/>
      <c r="AA639" s="146"/>
      <c r="AB639" s="146"/>
      <c r="AC639" s="146"/>
      <c r="AD639" s="146"/>
      <c r="AE639" s="146"/>
      <c r="AF639" s="146"/>
      <c r="AG639" s="146"/>
    </row>
    <row r="640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  <c r="Y640" s="146"/>
      <c r="Z640" s="146"/>
      <c r="AA640" s="146"/>
      <c r="AB640" s="146"/>
      <c r="AC640" s="146"/>
      <c r="AD640" s="146"/>
      <c r="AE640" s="146"/>
      <c r="AF640" s="146"/>
      <c r="AG640" s="146"/>
    </row>
    <row r="641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  <c r="Y641" s="146"/>
      <c r="Z641" s="146"/>
      <c r="AA641" s="146"/>
      <c r="AB641" s="146"/>
      <c r="AC641" s="146"/>
      <c r="AD641" s="146"/>
      <c r="AE641" s="146"/>
      <c r="AF641" s="146"/>
      <c r="AG641" s="146"/>
    </row>
    <row r="642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  <c r="Y642" s="146"/>
      <c r="Z642" s="146"/>
      <c r="AA642" s="146"/>
      <c r="AB642" s="146"/>
      <c r="AC642" s="146"/>
      <c r="AD642" s="146"/>
      <c r="AE642" s="146"/>
      <c r="AF642" s="146"/>
      <c r="AG642" s="146"/>
    </row>
    <row r="643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  <c r="Y643" s="146"/>
      <c r="Z643" s="146"/>
      <c r="AA643" s="146"/>
      <c r="AB643" s="146"/>
      <c r="AC643" s="146"/>
      <c r="AD643" s="146"/>
      <c r="AE643" s="146"/>
      <c r="AF643" s="146"/>
      <c r="AG643" s="146"/>
    </row>
    <row r="644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  <c r="Y644" s="146"/>
      <c r="Z644" s="146"/>
      <c r="AA644" s="146"/>
      <c r="AB644" s="146"/>
      <c r="AC644" s="146"/>
      <c r="AD644" s="146"/>
      <c r="AE644" s="146"/>
      <c r="AF644" s="146"/>
      <c r="AG644" s="146"/>
    </row>
    <row r="645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  <c r="Y645" s="146"/>
      <c r="Z645" s="146"/>
      <c r="AA645" s="146"/>
      <c r="AB645" s="146"/>
      <c r="AC645" s="146"/>
      <c r="AD645" s="146"/>
      <c r="AE645" s="146"/>
      <c r="AF645" s="146"/>
      <c r="AG645" s="146"/>
    </row>
    <row r="646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  <c r="Y646" s="146"/>
      <c r="Z646" s="146"/>
      <c r="AA646" s="146"/>
      <c r="AB646" s="146"/>
      <c r="AC646" s="146"/>
      <c r="AD646" s="146"/>
      <c r="AE646" s="146"/>
      <c r="AF646" s="146"/>
      <c r="AG646" s="146"/>
    </row>
    <row r="647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  <c r="Y647" s="146"/>
      <c r="Z647" s="146"/>
      <c r="AA647" s="146"/>
      <c r="AB647" s="146"/>
      <c r="AC647" s="146"/>
      <c r="AD647" s="146"/>
      <c r="AE647" s="146"/>
      <c r="AF647" s="146"/>
      <c r="AG647" s="146"/>
    </row>
    <row r="648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  <c r="Y648" s="146"/>
      <c r="Z648" s="146"/>
      <c r="AA648" s="146"/>
      <c r="AB648" s="146"/>
      <c r="AC648" s="146"/>
      <c r="AD648" s="146"/>
      <c r="AE648" s="146"/>
      <c r="AF648" s="146"/>
      <c r="AG648" s="146"/>
    </row>
    <row r="649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  <c r="Y649" s="146"/>
      <c r="Z649" s="146"/>
      <c r="AA649" s="146"/>
      <c r="AB649" s="146"/>
      <c r="AC649" s="146"/>
      <c r="AD649" s="146"/>
      <c r="AE649" s="146"/>
      <c r="AF649" s="146"/>
      <c r="AG649" s="146"/>
    </row>
    <row r="650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  <c r="Y650" s="146"/>
      <c r="Z650" s="146"/>
      <c r="AA650" s="146"/>
      <c r="AB650" s="146"/>
      <c r="AC650" s="146"/>
      <c r="AD650" s="146"/>
      <c r="AE650" s="146"/>
      <c r="AF650" s="146"/>
      <c r="AG650" s="146"/>
    </row>
    <row r="651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  <c r="Y651" s="146"/>
      <c r="Z651" s="146"/>
      <c r="AA651" s="146"/>
      <c r="AB651" s="146"/>
      <c r="AC651" s="146"/>
      <c r="AD651" s="146"/>
      <c r="AE651" s="146"/>
      <c r="AF651" s="146"/>
      <c r="AG651" s="146"/>
    </row>
    <row r="652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  <c r="Y652" s="146"/>
      <c r="Z652" s="146"/>
      <c r="AA652" s="146"/>
      <c r="AB652" s="146"/>
      <c r="AC652" s="146"/>
      <c r="AD652" s="146"/>
      <c r="AE652" s="146"/>
      <c r="AF652" s="146"/>
      <c r="AG652" s="146"/>
    </row>
    <row r="653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  <c r="Y653" s="146"/>
      <c r="Z653" s="146"/>
      <c r="AA653" s="146"/>
      <c r="AB653" s="146"/>
      <c r="AC653" s="146"/>
      <c r="AD653" s="146"/>
      <c r="AE653" s="146"/>
      <c r="AF653" s="146"/>
      <c r="AG653" s="146"/>
    </row>
    <row r="654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  <c r="Y654" s="146"/>
      <c r="Z654" s="146"/>
      <c r="AA654" s="146"/>
      <c r="AB654" s="146"/>
      <c r="AC654" s="146"/>
      <c r="AD654" s="146"/>
      <c r="AE654" s="146"/>
      <c r="AF654" s="146"/>
      <c r="AG654" s="146"/>
    </row>
    <row r="655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  <c r="Y655" s="146"/>
      <c r="Z655" s="146"/>
      <c r="AA655" s="146"/>
      <c r="AB655" s="146"/>
      <c r="AC655" s="146"/>
      <c r="AD655" s="146"/>
      <c r="AE655" s="146"/>
      <c r="AF655" s="146"/>
      <c r="AG655" s="146"/>
    </row>
    <row r="656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  <c r="Y656" s="146"/>
      <c r="Z656" s="146"/>
      <c r="AA656" s="146"/>
      <c r="AB656" s="146"/>
      <c r="AC656" s="146"/>
      <c r="AD656" s="146"/>
      <c r="AE656" s="146"/>
      <c r="AF656" s="146"/>
      <c r="AG656" s="146"/>
    </row>
    <row r="657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  <c r="Y657" s="146"/>
      <c r="Z657" s="146"/>
      <c r="AA657" s="146"/>
      <c r="AB657" s="146"/>
      <c r="AC657" s="146"/>
      <c r="AD657" s="146"/>
      <c r="AE657" s="146"/>
      <c r="AF657" s="146"/>
      <c r="AG657" s="146"/>
    </row>
    <row r="658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  <c r="Y658" s="146"/>
      <c r="Z658" s="146"/>
      <c r="AA658" s="146"/>
      <c r="AB658" s="146"/>
      <c r="AC658" s="146"/>
      <c r="AD658" s="146"/>
      <c r="AE658" s="146"/>
      <c r="AF658" s="146"/>
      <c r="AG658" s="146"/>
    </row>
    <row r="659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  <c r="Y659" s="146"/>
      <c r="Z659" s="146"/>
      <c r="AA659" s="146"/>
      <c r="AB659" s="146"/>
      <c r="AC659" s="146"/>
      <c r="AD659" s="146"/>
      <c r="AE659" s="146"/>
      <c r="AF659" s="146"/>
      <c r="AG659" s="146"/>
    </row>
    <row r="660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  <c r="Y660" s="146"/>
      <c r="Z660" s="146"/>
      <c r="AA660" s="146"/>
      <c r="AB660" s="146"/>
      <c r="AC660" s="146"/>
      <c r="AD660" s="146"/>
      <c r="AE660" s="146"/>
      <c r="AF660" s="146"/>
      <c r="AG660" s="146"/>
    </row>
    <row r="661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  <c r="Y661" s="146"/>
      <c r="Z661" s="146"/>
      <c r="AA661" s="146"/>
      <c r="AB661" s="146"/>
      <c r="AC661" s="146"/>
      <c r="AD661" s="146"/>
      <c r="AE661" s="146"/>
      <c r="AF661" s="146"/>
      <c r="AG661" s="146"/>
    </row>
    <row r="662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  <c r="Y662" s="146"/>
      <c r="Z662" s="146"/>
      <c r="AA662" s="146"/>
      <c r="AB662" s="146"/>
      <c r="AC662" s="146"/>
      <c r="AD662" s="146"/>
      <c r="AE662" s="146"/>
      <c r="AF662" s="146"/>
      <c r="AG662" s="146"/>
    </row>
    <row r="663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  <c r="Y663" s="146"/>
      <c r="Z663" s="146"/>
      <c r="AA663" s="146"/>
      <c r="AB663" s="146"/>
      <c r="AC663" s="146"/>
      <c r="AD663" s="146"/>
      <c r="AE663" s="146"/>
      <c r="AF663" s="146"/>
      <c r="AG663" s="146"/>
    </row>
    <row r="664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  <c r="Y664" s="146"/>
      <c r="Z664" s="146"/>
      <c r="AA664" s="146"/>
      <c r="AB664" s="146"/>
      <c r="AC664" s="146"/>
      <c r="AD664" s="146"/>
      <c r="AE664" s="146"/>
      <c r="AF664" s="146"/>
      <c r="AG664" s="146"/>
    </row>
    <row r="665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  <c r="Y665" s="146"/>
      <c r="Z665" s="146"/>
      <c r="AA665" s="146"/>
      <c r="AB665" s="146"/>
      <c r="AC665" s="146"/>
      <c r="AD665" s="146"/>
      <c r="AE665" s="146"/>
      <c r="AF665" s="146"/>
      <c r="AG665" s="146"/>
    </row>
    <row r="666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  <c r="Y666" s="146"/>
      <c r="Z666" s="146"/>
      <c r="AA666" s="146"/>
      <c r="AB666" s="146"/>
      <c r="AC666" s="146"/>
      <c r="AD666" s="146"/>
      <c r="AE666" s="146"/>
      <c r="AF666" s="146"/>
      <c r="AG666" s="146"/>
    </row>
    <row r="667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  <c r="Y667" s="146"/>
      <c r="Z667" s="146"/>
      <c r="AA667" s="146"/>
      <c r="AB667" s="146"/>
      <c r="AC667" s="146"/>
      <c r="AD667" s="146"/>
      <c r="AE667" s="146"/>
      <c r="AF667" s="146"/>
      <c r="AG667" s="146"/>
    </row>
    <row r="668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  <c r="Y668" s="146"/>
      <c r="Z668" s="146"/>
      <c r="AA668" s="146"/>
      <c r="AB668" s="146"/>
      <c r="AC668" s="146"/>
      <c r="AD668" s="146"/>
      <c r="AE668" s="146"/>
      <c r="AF668" s="146"/>
      <c r="AG668" s="146"/>
    </row>
    <row r="669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  <c r="Y669" s="146"/>
      <c r="Z669" s="146"/>
      <c r="AA669" s="146"/>
      <c r="AB669" s="146"/>
      <c r="AC669" s="146"/>
      <c r="AD669" s="146"/>
      <c r="AE669" s="146"/>
      <c r="AF669" s="146"/>
      <c r="AG669" s="146"/>
    </row>
    <row r="670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  <c r="Y670" s="146"/>
      <c r="Z670" s="146"/>
      <c r="AA670" s="146"/>
      <c r="AB670" s="146"/>
      <c r="AC670" s="146"/>
      <c r="AD670" s="146"/>
      <c r="AE670" s="146"/>
      <c r="AF670" s="146"/>
      <c r="AG670" s="146"/>
    </row>
    <row r="671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  <c r="Y671" s="146"/>
      <c r="Z671" s="146"/>
      <c r="AA671" s="146"/>
      <c r="AB671" s="146"/>
      <c r="AC671" s="146"/>
      <c r="AD671" s="146"/>
      <c r="AE671" s="146"/>
      <c r="AF671" s="146"/>
      <c r="AG671" s="146"/>
    </row>
    <row r="672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  <c r="Y672" s="146"/>
      <c r="Z672" s="146"/>
      <c r="AA672" s="146"/>
      <c r="AB672" s="146"/>
      <c r="AC672" s="146"/>
      <c r="AD672" s="146"/>
      <c r="AE672" s="146"/>
      <c r="AF672" s="146"/>
      <c r="AG672" s="146"/>
    </row>
    <row r="673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  <c r="Y673" s="146"/>
      <c r="Z673" s="146"/>
      <c r="AA673" s="146"/>
      <c r="AB673" s="146"/>
      <c r="AC673" s="146"/>
      <c r="AD673" s="146"/>
      <c r="AE673" s="146"/>
      <c r="AF673" s="146"/>
      <c r="AG673" s="146"/>
    </row>
    <row r="674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  <c r="Y674" s="146"/>
      <c r="Z674" s="146"/>
      <c r="AA674" s="146"/>
      <c r="AB674" s="146"/>
      <c r="AC674" s="146"/>
      <c r="AD674" s="146"/>
      <c r="AE674" s="146"/>
      <c r="AF674" s="146"/>
      <c r="AG674" s="146"/>
    </row>
    <row r="675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  <c r="Y675" s="146"/>
      <c r="Z675" s="146"/>
      <c r="AA675" s="146"/>
      <c r="AB675" s="146"/>
      <c r="AC675" s="146"/>
      <c r="AD675" s="146"/>
      <c r="AE675" s="146"/>
      <c r="AF675" s="146"/>
      <c r="AG675" s="146"/>
    </row>
    <row r="676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  <c r="Y676" s="146"/>
      <c r="Z676" s="146"/>
      <c r="AA676" s="146"/>
      <c r="AB676" s="146"/>
      <c r="AC676" s="146"/>
      <c r="AD676" s="146"/>
      <c r="AE676" s="146"/>
      <c r="AF676" s="146"/>
      <c r="AG676" s="146"/>
    </row>
    <row r="677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  <c r="Y677" s="146"/>
      <c r="Z677" s="146"/>
      <c r="AA677" s="146"/>
      <c r="AB677" s="146"/>
      <c r="AC677" s="146"/>
      <c r="AD677" s="146"/>
      <c r="AE677" s="146"/>
      <c r="AF677" s="146"/>
      <c r="AG677" s="146"/>
    </row>
    <row r="678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  <c r="Y678" s="146"/>
      <c r="Z678" s="146"/>
      <c r="AA678" s="146"/>
      <c r="AB678" s="146"/>
      <c r="AC678" s="146"/>
      <c r="AD678" s="146"/>
      <c r="AE678" s="146"/>
      <c r="AF678" s="146"/>
      <c r="AG678" s="146"/>
    </row>
    <row r="679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  <c r="Y679" s="146"/>
      <c r="Z679" s="146"/>
      <c r="AA679" s="146"/>
      <c r="AB679" s="146"/>
      <c r="AC679" s="146"/>
      <c r="AD679" s="146"/>
      <c r="AE679" s="146"/>
      <c r="AF679" s="146"/>
      <c r="AG679" s="146"/>
    </row>
    <row r="680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  <c r="Y680" s="146"/>
      <c r="Z680" s="146"/>
      <c r="AA680" s="146"/>
      <c r="AB680" s="146"/>
      <c r="AC680" s="146"/>
      <c r="AD680" s="146"/>
      <c r="AE680" s="146"/>
      <c r="AF680" s="146"/>
      <c r="AG680" s="146"/>
    </row>
    <row r="681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  <c r="Y681" s="146"/>
      <c r="Z681" s="146"/>
      <c r="AA681" s="146"/>
      <c r="AB681" s="146"/>
      <c r="AC681" s="146"/>
      <c r="AD681" s="146"/>
      <c r="AE681" s="146"/>
      <c r="AF681" s="146"/>
      <c r="AG681" s="146"/>
    </row>
    <row r="682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  <c r="Y682" s="146"/>
      <c r="Z682" s="146"/>
      <c r="AA682" s="146"/>
      <c r="AB682" s="146"/>
      <c r="AC682" s="146"/>
      <c r="AD682" s="146"/>
      <c r="AE682" s="146"/>
      <c r="AF682" s="146"/>
      <c r="AG682" s="146"/>
    </row>
    <row r="683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  <c r="Y683" s="146"/>
      <c r="Z683" s="146"/>
      <c r="AA683" s="146"/>
      <c r="AB683" s="146"/>
      <c r="AC683" s="146"/>
      <c r="AD683" s="146"/>
      <c r="AE683" s="146"/>
      <c r="AF683" s="146"/>
      <c r="AG683" s="146"/>
    </row>
    <row r="684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  <c r="Y684" s="146"/>
      <c r="Z684" s="146"/>
      <c r="AA684" s="146"/>
      <c r="AB684" s="146"/>
      <c r="AC684" s="146"/>
      <c r="AD684" s="146"/>
      <c r="AE684" s="146"/>
      <c r="AF684" s="146"/>
      <c r="AG684" s="146"/>
    </row>
    <row r="685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  <c r="Y685" s="146"/>
      <c r="Z685" s="146"/>
      <c r="AA685" s="146"/>
      <c r="AB685" s="146"/>
      <c r="AC685" s="146"/>
      <c r="AD685" s="146"/>
      <c r="AE685" s="146"/>
      <c r="AF685" s="146"/>
      <c r="AG685" s="146"/>
    </row>
    <row r="686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  <c r="Y686" s="146"/>
      <c r="Z686" s="146"/>
      <c r="AA686" s="146"/>
      <c r="AB686" s="146"/>
      <c r="AC686" s="146"/>
      <c r="AD686" s="146"/>
      <c r="AE686" s="146"/>
      <c r="AF686" s="146"/>
      <c r="AG686" s="146"/>
    </row>
    <row r="687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  <c r="Y687" s="146"/>
      <c r="Z687" s="146"/>
      <c r="AA687" s="146"/>
      <c r="AB687" s="146"/>
      <c r="AC687" s="146"/>
      <c r="AD687" s="146"/>
      <c r="AE687" s="146"/>
      <c r="AF687" s="146"/>
      <c r="AG687" s="146"/>
    </row>
    <row r="688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  <c r="Y688" s="146"/>
      <c r="Z688" s="146"/>
      <c r="AA688" s="146"/>
      <c r="AB688" s="146"/>
      <c r="AC688" s="146"/>
      <c r="AD688" s="146"/>
      <c r="AE688" s="146"/>
      <c r="AF688" s="146"/>
      <c r="AG688" s="146"/>
    </row>
    <row r="689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  <c r="Y689" s="146"/>
      <c r="Z689" s="146"/>
      <c r="AA689" s="146"/>
      <c r="AB689" s="146"/>
      <c r="AC689" s="146"/>
      <c r="AD689" s="146"/>
      <c r="AE689" s="146"/>
      <c r="AF689" s="146"/>
      <c r="AG689" s="146"/>
    </row>
    <row r="690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  <c r="Y690" s="146"/>
      <c r="Z690" s="146"/>
      <c r="AA690" s="146"/>
      <c r="AB690" s="146"/>
      <c r="AC690" s="146"/>
      <c r="AD690" s="146"/>
      <c r="AE690" s="146"/>
      <c r="AF690" s="146"/>
      <c r="AG690" s="146"/>
    </row>
    <row r="691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  <c r="Y691" s="146"/>
      <c r="Z691" s="146"/>
      <c r="AA691" s="146"/>
      <c r="AB691" s="146"/>
      <c r="AC691" s="146"/>
      <c r="AD691" s="146"/>
      <c r="AE691" s="146"/>
      <c r="AF691" s="146"/>
      <c r="AG691" s="146"/>
    </row>
    <row r="692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  <c r="Y692" s="146"/>
      <c r="Z692" s="146"/>
      <c r="AA692" s="146"/>
      <c r="AB692" s="146"/>
      <c r="AC692" s="146"/>
      <c r="AD692" s="146"/>
      <c r="AE692" s="146"/>
      <c r="AF692" s="146"/>
      <c r="AG692" s="146"/>
    </row>
    <row r="693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  <c r="Y693" s="146"/>
      <c r="Z693" s="146"/>
      <c r="AA693" s="146"/>
      <c r="AB693" s="146"/>
      <c r="AC693" s="146"/>
      <c r="AD693" s="146"/>
      <c r="AE693" s="146"/>
      <c r="AF693" s="146"/>
      <c r="AG693" s="146"/>
    </row>
    <row r="694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  <c r="Y694" s="146"/>
      <c r="Z694" s="146"/>
      <c r="AA694" s="146"/>
      <c r="AB694" s="146"/>
      <c r="AC694" s="146"/>
      <c r="AD694" s="146"/>
      <c r="AE694" s="146"/>
      <c r="AF694" s="146"/>
      <c r="AG694" s="146"/>
    </row>
    <row r="695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  <c r="Y695" s="146"/>
      <c r="Z695" s="146"/>
      <c r="AA695" s="146"/>
      <c r="AB695" s="146"/>
      <c r="AC695" s="146"/>
      <c r="AD695" s="146"/>
      <c r="AE695" s="146"/>
      <c r="AF695" s="146"/>
      <c r="AG695" s="146"/>
    </row>
    <row r="696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  <c r="Y696" s="146"/>
      <c r="Z696" s="146"/>
      <c r="AA696" s="146"/>
      <c r="AB696" s="146"/>
      <c r="AC696" s="146"/>
      <c r="AD696" s="146"/>
      <c r="AE696" s="146"/>
      <c r="AF696" s="146"/>
      <c r="AG696" s="146"/>
    </row>
    <row r="697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  <c r="Y697" s="146"/>
      <c r="Z697" s="146"/>
      <c r="AA697" s="146"/>
      <c r="AB697" s="146"/>
      <c r="AC697" s="146"/>
      <c r="AD697" s="146"/>
      <c r="AE697" s="146"/>
      <c r="AF697" s="146"/>
      <c r="AG697" s="146"/>
    </row>
    <row r="698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  <c r="Y698" s="146"/>
      <c r="Z698" s="146"/>
      <c r="AA698" s="146"/>
      <c r="AB698" s="146"/>
      <c r="AC698" s="146"/>
      <c r="AD698" s="146"/>
      <c r="AE698" s="146"/>
      <c r="AF698" s="146"/>
      <c r="AG698" s="146"/>
    </row>
    <row r="699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  <c r="Y699" s="146"/>
      <c r="Z699" s="146"/>
      <c r="AA699" s="146"/>
      <c r="AB699" s="146"/>
      <c r="AC699" s="146"/>
      <c r="AD699" s="146"/>
      <c r="AE699" s="146"/>
      <c r="AF699" s="146"/>
      <c r="AG699" s="146"/>
    </row>
    <row r="700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  <c r="Y700" s="146"/>
      <c r="Z700" s="146"/>
      <c r="AA700" s="146"/>
      <c r="AB700" s="146"/>
      <c r="AC700" s="146"/>
      <c r="AD700" s="146"/>
      <c r="AE700" s="146"/>
      <c r="AF700" s="146"/>
      <c r="AG700" s="146"/>
    </row>
    <row r="701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  <c r="Y701" s="146"/>
      <c r="Z701" s="146"/>
      <c r="AA701" s="146"/>
      <c r="AB701" s="146"/>
      <c r="AC701" s="146"/>
      <c r="AD701" s="146"/>
      <c r="AE701" s="146"/>
      <c r="AF701" s="146"/>
      <c r="AG701" s="146"/>
    </row>
    <row r="702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  <c r="Y702" s="146"/>
      <c r="Z702" s="146"/>
      <c r="AA702" s="146"/>
      <c r="AB702" s="146"/>
      <c r="AC702" s="146"/>
      <c r="AD702" s="146"/>
      <c r="AE702" s="146"/>
      <c r="AF702" s="146"/>
      <c r="AG702" s="146"/>
    </row>
    <row r="703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  <c r="Y703" s="146"/>
      <c r="Z703" s="146"/>
      <c r="AA703" s="146"/>
      <c r="AB703" s="146"/>
      <c r="AC703" s="146"/>
      <c r="AD703" s="146"/>
      <c r="AE703" s="146"/>
      <c r="AF703" s="146"/>
      <c r="AG703" s="146"/>
    </row>
    <row r="704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  <c r="Y704" s="146"/>
      <c r="Z704" s="146"/>
      <c r="AA704" s="146"/>
      <c r="AB704" s="146"/>
      <c r="AC704" s="146"/>
      <c r="AD704" s="146"/>
      <c r="AE704" s="146"/>
      <c r="AF704" s="146"/>
      <c r="AG704" s="146"/>
    </row>
    <row r="705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  <c r="Y705" s="146"/>
      <c r="Z705" s="146"/>
      <c r="AA705" s="146"/>
      <c r="AB705" s="146"/>
      <c r="AC705" s="146"/>
      <c r="AD705" s="146"/>
      <c r="AE705" s="146"/>
      <c r="AF705" s="146"/>
      <c r="AG705" s="146"/>
    </row>
    <row r="706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  <c r="Y706" s="146"/>
      <c r="Z706" s="146"/>
      <c r="AA706" s="146"/>
      <c r="AB706" s="146"/>
      <c r="AC706" s="146"/>
      <c r="AD706" s="146"/>
      <c r="AE706" s="146"/>
      <c r="AF706" s="146"/>
      <c r="AG706" s="146"/>
    </row>
    <row r="707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  <c r="Y707" s="146"/>
      <c r="Z707" s="146"/>
      <c r="AA707" s="146"/>
      <c r="AB707" s="146"/>
      <c r="AC707" s="146"/>
      <c r="AD707" s="146"/>
      <c r="AE707" s="146"/>
      <c r="AF707" s="146"/>
      <c r="AG707" s="146"/>
    </row>
    <row r="708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  <c r="Y708" s="146"/>
      <c r="Z708" s="146"/>
      <c r="AA708" s="146"/>
      <c r="AB708" s="146"/>
      <c r="AC708" s="146"/>
      <c r="AD708" s="146"/>
      <c r="AE708" s="146"/>
      <c r="AF708" s="146"/>
      <c r="AG708" s="146"/>
    </row>
    <row r="709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  <c r="Y709" s="146"/>
      <c r="Z709" s="146"/>
      <c r="AA709" s="146"/>
      <c r="AB709" s="146"/>
      <c r="AC709" s="146"/>
      <c r="AD709" s="146"/>
      <c r="AE709" s="146"/>
      <c r="AF709" s="146"/>
      <c r="AG709" s="146"/>
    </row>
    <row r="710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  <c r="Y710" s="146"/>
      <c r="Z710" s="146"/>
      <c r="AA710" s="146"/>
      <c r="AB710" s="146"/>
      <c r="AC710" s="146"/>
      <c r="AD710" s="146"/>
      <c r="AE710" s="146"/>
      <c r="AF710" s="146"/>
      <c r="AG710" s="146"/>
    </row>
    <row r="711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  <c r="Y711" s="146"/>
      <c r="Z711" s="146"/>
      <c r="AA711" s="146"/>
      <c r="AB711" s="146"/>
      <c r="AC711" s="146"/>
      <c r="AD711" s="146"/>
      <c r="AE711" s="146"/>
      <c r="AF711" s="146"/>
      <c r="AG711" s="146"/>
    </row>
    <row r="712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  <c r="Y712" s="146"/>
      <c r="Z712" s="146"/>
      <c r="AA712" s="146"/>
      <c r="AB712" s="146"/>
      <c r="AC712" s="146"/>
      <c r="AD712" s="146"/>
      <c r="AE712" s="146"/>
      <c r="AF712" s="146"/>
      <c r="AG712" s="146"/>
    </row>
    <row r="713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  <c r="Y713" s="146"/>
      <c r="Z713" s="146"/>
      <c r="AA713" s="146"/>
      <c r="AB713" s="146"/>
      <c r="AC713" s="146"/>
      <c r="AD713" s="146"/>
      <c r="AE713" s="146"/>
      <c r="AF713" s="146"/>
      <c r="AG713" s="146"/>
    </row>
    <row r="714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  <c r="Y714" s="146"/>
      <c r="Z714" s="146"/>
      <c r="AA714" s="146"/>
      <c r="AB714" s="146"/>
      <c r="AC714" s="146"/>
      <c r="AD714" s="146"/>
      <c r="AE714" s="146"/>
      <c r="AF714" s="146"/>
      <c r="AG714" s="146"/>
    </row>
    <row r="715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  <c r="Y715" s="146"/>
      <c r="Z715" s="146"/>
      <c r="AA715" s="146"/>
      <c r="AB715" s="146"/>
      <c r="AC715" s="146"/>
      <c r="AD715" s="146"/>
      <c r="AE715" s="146"/>
      <c r="AF715" s="146"/>
      <c r="AG715" s="146"/>
    </row>
    <row r="716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  <c r="Y716" s="146"/>
      <c r="Z716" s="146"/>
      <c r="AA716" s="146"/>
      <c r="AB716" s="146"/>
      <c r="AC716" s="146"/>
      <c r="AD716" s="146"/>
      <c r="AE716" s="146"/>
      <c r="AF716" s="146"/>
      <c r="AG716" s="146"/>
    </row>
    <row r="717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  <c r="Y717" s="146"/>
      <c r="Z717" s="146"/>
      <c r="AA717" s="146"/>
      <c r="AB717" s="146"/>
      <c r="AC717" s="146"/>
      <c r="AD717" s="146"/>
      <c r="AE717" s="146"/>
      <c r="AF717" s="146"/>
      <c r="AG717" s="146"/>
    </row>
    <row r="718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  <c r="Y718" s="146"/>
      <c r="Z718" s="146"/>
      <c r="AA718" s="146"/>
      <c r="AB718" s="146"/>
      <c r="AC718" s="146"/>
      <c r="AD718" s="146"/>
      <c r="AE718" s="146"/>
      <c r="AF718" s="146"/>
      <c r="AG718" s="146"/>
    </row>
    <row r="719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  <c r="Y719" s="146"/>
      <c r="Z719" s="146"/>
      <c r="AA719" s="146"/>
      <c r="AB719" s="146"/>
      <c r="AC719" s="146"/>
      <c r="AD719" s="146"/>
      <c r="AE719" s="146"/>
      <c r="AF719" s="146"/>
      <c r="AG719" s="146"/>
    </row>
    <row r="720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  <c r="Y720" s="146"/>
      <c r="Z720" s="146"/>
      <c r="AA720" s="146"/>
      <c r="AB720" s="146"/>
      <c r="AC720" s="146"/>
      <c r="AD720" s="146"/>
      <c r="AE720" s="146"/>
      <c r="AF720" s="146"/>
      <c r="AG720" s="146"/>
    </row>
    <row r="721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  <c r="Y721" s="146"/>
      <c r="Z721" s="146"/>
      <c r="AA721" s="146"/>
      <c r="AB721" s="146"/>
      <c r="AC721" s="146"/>
      <c r="AD721" s="146"/>
      <c r="AE721" s="146"/>
      <c r="AF721" s="146"/>
      <c r="AG721" s="146"/>
    </row>
    <row r="722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  <c r="Y722" s="146"/>
      <c r="Z722" s="146"/>
      <c r="AA722" s="146"/>
      <c r="AB722" s="146"/>
      <c r="AC722" s="146"/>
      <c r="AD722" s="146"/>
      <c r="AE722" s="146"/>
      <c r="AF722" s="146"/>
      <c r="AG722" s="146"/>
    </row>
    <row r="723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  <c r="Y723" s="146"/>
      <c r="Z723" s="146"/>
      <c r="AA723" s="146"/>
      <c r="AB723" s="146"/>
      <c r="AC723" s="146"/>
      <c r="AD723" s="146"/>
      <c r="AE723" s="146"/>
      <c r="AF723" s="146"/>
      <c r="AG723" s="146"/>
    </row>
    <row r="724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  <c r="Y724" s="146"/>
      <c r="Z724" s="146"/>
      <c r="AA724" s="146"/>
      <c r="AB724" s="146"/>
      <c r="AC724" s="146"/>
      <c r="AD724" s="146"/>
      <c r="AE724" s="146"/>
      <c r="AF724" s="146"/>
      <c r="AG724" s="146"/>
    </row>
    <row r="725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  <c r="Y725" s="146"/>
      <c r="Z725" s="146"/>
      <c r="AA725" s="146"/>
      <c r="AB725" s="146"/>
      <c r="AC725" s="146"/>
      <c r="AD725" s="146"/>
      <c r="AE725" s="146"/>
      <c r="AF725" s="146"/>
      <c r="AG725" s="146"/>
    </row>
    <row r="726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  <c r="Y726" s="146"/>
      <c r="Z726" s="146"/>
      <c r="AA726" s="146"/>
      <c r="AB726" s="146"/>
      <c r="AC726" s="146"/>
      <c r="AD726" s="146"/>
      <c r="AE726" s="146"/>
      <c r="AF726" s="146"/>
      <c r="AG726" s="146"/>
    </row>
    <row r="727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  <c r="Y727" s="146"/>
      <c r="Z727" s="146"/>
      <c r="AA727" s="146"/>
      <c r="AB727" s="146"/>
      <c r="AC727" s="146"/>
      <c r="AD727" s="146"/>
      <c r="AE727" s="146"/>
      <c r="AF727" s="146"/>
      <c r="AG727" s="146"/>
    </row>
    <row r="728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  <c r="Y728" s="146"/>
      <c r="Z728" s="146"/>
      <c r="AA728" s="146"/>
      <c r="AB728" s="146"/>
      <c r="AC728" s="146"/>
      <c r="AD728" s="146"/>
      <c r="AE728" s="146"/>
      <c r="AF728" s="146"/>
      <c r="AG728" s="146"/>
    </row>
    <row r="729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  <c r="Y729" s="146"/>
      <c r="Z729" s="146"/>
      <c r="AA729" s="146"/>
      <c r="AB729" s="146"/>
      <c r="AC729" s="146"/>
      <c r="AD729" s="146"/>
      <c r="AE729" s="146"/>
      <c r="AF729" s="146"/>
      <c r="AG729" s="146"/>
    </row>
    <row r="730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  <c r="Y730" s="146"/>
      <c r="Z730" s="146"/>
      <c r="AA730" s="146"/>
      <c r="AB730" s="146"/>
      <c r="AC730" s="146"/>
      <c r="AD730" s="146"/>
      <c r="AE730" s="146"/>
      <c r="AF730" s="146"/>
      <c r="AG730" s="146"/>
    </row>
    <row r="731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  <c r="Y731" s="146"/>
      <c r="Z731" s="146"/>
      <c r="AA731" s="146"/>
      <c r="AB731" s="146"/>
      <c r="AC731" s="146"/>
      <c r="AD731" s="146"/>
      <c r="AE731" s="146"/>
      <c r="AF731" s="146"/>
      <c r="AG731" s="146"/>
    </row>
    <row r="732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  <c r="Y732" s="146"/>
      <c r="Z732" s="146"/>
      <c r="AA732" s="146"/>
      <c r="AB732" s="146"/>
      <c r="AC732" s="146"/>
      <c r="AD732" s="146"/>
      <c r="AE732" s="146"/>
      <c r="AF732" s="146"/>
      <c r="AG732" s="146"/>
    </row>
    <row r="733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  <c r="Y733" s="146"/>
      <c r="Z733" s="146"/>
      <c r="AA733" s="146"/>
      <c r="AB733" s="146"/>
      <c r="AC733" s="146"/>
      <c r="AD733" s="146"/>
      <c r="AE733" s="146"/>
      <c r="AF733" s="146"/>
      <c r="AG733" s="146"/>
    </row>
    <row r="734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  <c r="Y734" s="146"/>
      <c r="Z734" s="146"/>
      <c r="AA734" s="146"/>
      <c r="AB734" s="146"/>
      <c r="AC734" s="146"/>
      <c r="AD734" s="146"/>
      <c r="AE734" s="146"/>
      <c r="AF734" s="146"/>
      <c r="AG734" s="146"/>
    </row>
    <row r="735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  <c r="Y735" s="146"/>
      <c r="Z735" s="146"/>
      <c r="AA735" s="146"/>
      <c r="AB735" s="146"/>
      <c r="AC735" s="146"/>
      <c r="AD735" s="146"/>
      <c r="AE735" s="146"/>
      <c r="AF735" s="146"/>
      <c r="AG735" s="146"/>
    </row>
    <row r="736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  <c r="Y736" s="146"/>
      <c r="Z736" s="146"/>
      <c r="AA736" s="146"/>
      <c r="AB736" s="146"/>
      <c r="AC736" s="146"/>
      <c r="AD736" s="146"/>
      <c r="AE736" s="146"/>
      <c r="AF736" s="146"/>
      <c r="AG736" s="146"/>
    </row>
    <row r="737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  <c r="Y737" s="146"/>
      <c r="Z737" s="146"/>
      <c r="AA737" s="146"/>
      <c r="AB737" s="146"/>
      <c r="AC737" s="146"/>
      <c r="AD737" s="146"/>
      <c r="AE737" s="146"/>
      <c r="AF737" s="146"/>
      <c r="AG737" s="146"/>
    </row>
    <row r="738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  <c r="Y738" s="146"/>
      <c r="Z738" s="146"/>
      <c r="AA738" s="146"/>
      <c r="AB738" s="146"/>
      <c r="AC738" s="146"/>
      <c r="AD738" s="146"/>
      <c r="AE738" s="146"/>
      <c r="AF738" s="146"/>
      <c r="AG738" s="146"/>
    </row>
    <row r="739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  <c r="Y739" s="146"/>
      <c r="Z739" s="146"/>
      <c r="AA739" s="146"/>
      <c r="AB739" s="146"/>
      <c r="AC739" s="146"/>
      <c r="AD739" s="146"/>
      <c r="AE739" s="146"/>
      <c r="AF739" s="146"/>
      <c r="AG739" s="146"/>
    </row>
    <row r="740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  <c r="Y740" s="146"/>
      <c r="Z740" s="146"/>
      <c r="AA740" s="146"/>
      <c r="AB740" s="146"/>
      <c r="AC740" s="146"/>
      <c r="AD740" s="146"/>
      <c r="AE740" s="146"/>
      <c r="AF740" s="146"/>
      <c r="AG740" s="146"/>
    </row>
    <row r="741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  <c r="Y741" s="146"/>
      <c r="Z741" s="146"/>
      <c r="AA741" s="146"/>
      <c r="AB741" s="146"/>
      <c r="AC741" s="146"/>
      <c r="AD741" s="146"/>
      <c r="AE741" s="146"/>
      <c r="AF741" s="146"/>
      <c r="AG741" s="146"/>
    </row>
    <row r="742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  <c r="Y742" s="146"/>
      <c r="Z742" s="146"/>
      <c r="AA742" s="146"/>
      <c r="AB742" s="146"/>
      <c r="AC742" s="146"/>
      <c r="AD742" s="146"/>
      <c r="AE742" s="146"/>
      <c r="AF742" s="146"/>
      <c r="AG742" s="146"/>
    </row>
    <row r="743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  <c r="Y743" s="146"/>
      <c r="Z743" s="146"/>
      <c r="AA743" s="146"/>
      <c r="AB743" s="146"/>
      <c r="AC743" s="146"/>
      <c r="AD743" s="146"/>
      <c r="AE743" s="146"/>
      <c r="AF743" s="146"/>
      <c r="AG743" s="146"/>
    </row>
    <row r="744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  <c r="Y744" s="146"/>
      <c r="Z744" s="146"/>
      <c r="AA744" s="146"/>
      <c r="AB744" s="146"/>
      <c r="AC744" s="146"/>
      <c r="AD744" s="146"/>
      <c r="AE744" s="146"/>
      <c r="AF744" s="146"/>
      <c r="AG744" s="146"/>
    </row>
    <row r="745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  <c r="Y745" s="146"/>
      <c r="Z745" s="146"/>
      <c r="AA745" s="146"/>
      <c r="AB745" s="146"/>
      <c r="AC745" s="146"/>
      <c r="AD745" s="146"/>
      <c r="AE745" s="146"/>
      <c r="AF745" s="146"/>
      <c r="AG745" s="146"/>
    </row>
    <row r="746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  <c r="Y746" s="146"/>
      <c r="Z746" s="146"/>
      <c r="AA746" s="146"/>
      <c r="AB746" s="146"/>
      <c r="AC746" s="146"/>
      <c r="AD746" s="146"/>
      <c r="AE746" s="146"/>
      <c r="AF746" s="146"/>
      <c r="AG746" s="146"/>
    </row>
    <row r="747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  <c r="Y747" s="146"/>
      <c r="Z747" s="146"/>
      <c r="AA747" s="146"/>
      <c r="AB747" s="146"/>
      <c r="AC747" s="146"/>
      <c r="AD747" s="146"/>
      <c r="AE747" s="146"/>
      <c r="AF747" s="146"/>
      <c r="AG747" s="146"/>
    </row>
    <row r="748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  <c r="Y748" s="146"/>
      <c r="Z748" s="146"/>
      <c r="AA748" s="146"/>
      <c r="AB748" s="146"/>
      <c r="AC748" s="146"/>
      <c r="AD748" s="146"/>
      <c r="AE748" s="146"/>
      <c r="AF748" s="146"/>
      <c r="AG748" s="146"/>
    </row>
    <row r="749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  <c r="Y749" s="146"/>
      <c r="Z749" s="146"/>
      <c r="AA749" s="146"/>
      <c r="AB749" s="146"/>
      <c r="AC749" s="146"/>
      <c r="AD749" s="146"/>
      <c r="AE749" s="146"/>
      <c r="AF749" s="146"/>
      <c r="AG749" s="146"/>
    </row>
    <row r="750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  <c r="Y750" s="146"/>
      <c r="Z750" s="146"/>
      <c r="AA750" s="146"/>
      <c r="AB750" s="146"/>
      <c r="AC750" s="146"/>
      <c r="AD750" s="146"/>
      <c r="AE750" s="146"/>
      <c r="AF750" s="146"/>
      <c r="AG750" s="146"/>
    </row>
    <row r="751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  <c r="Y751" s="146"/>
      <c r="Z751" s="146"/>
      <c r="AA751" s="146"/>
      <c r="AB751" s="146"/>
      <c r="AC751" s="146"/>
      <c r="AD751" s="146"/>
      <c r="AE751" s="146"/>
      <c r="AF751" s="146"/>
      <c r="AG751" s="146"/>
    </row>
    <row r="752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  <c r="Y752" s="146"/>
      <c r="Z752" s="146"/>
      <c r="AA752" s="146"/>
      <c r="AB752" s="146"/>
      <c r="AC752" s="146"/>
      <c r="AD752" s="146"/>
      <c r="AE752" s="146"/>
      <c r="AF752" s="146"/>
      <c r="AG752" s="146"/>
    </row>
    <row r="753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  <c r="Y753" s="146"/>
      <c r="Z753" s="146"/>
      <c r="AA753" s="146"/>
      <c r="AB753" s="146"/>
      <c r="AC753" s="146"/>
      <c r="AD753" s="146"/>
      <c r="AE753" s="146"/>
      <c r="AF753" s="146"/>
      <c r="AG753" s="146"/>
    </row>
    <row r="754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  <c r="Y754" s="146"/>
      <c r="Z754" s="146"/>
      <c r="AA754" s="146"/>
      <c r="AB754" s="146"/>
      <c r="AC754" s="146"/>
      <c r="AD754" s="146"/>
      <c r="AE754" s="146"/>
      <c r="AF754" s="146"/>
      <c r="AG754" s="146"/>
    </row>
    <row r="755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  <c r="Y755" s="146"/>
      <c r="Z755" s="146"/>
      <c r="AA755" s="146"/>
      <c r="AB755" s="146"/>
      <c r="AC755" s="146"/>
      <c r="AD755" s="146"/>
      <c r="AE755" s="146"/>
      <c r="AF755" s="146"/>
      <c r="AG755" s="146"/>
    </row>
    <row r="756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  <c r="Y756" s="146"/>
      <c r="Z756" s="146"/>
      <c r="AA756" s="146"/>
      <c r="AB756" s="146"/>
      <c r="AC756" s="146"/>
      <c r="AD756" s="146"/>
      <c r="AE756" s="146"/>
      <c r="AF756" s="146"/>
      <c r="AG756" s="146"/>
    </row>
    <row r="757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  <c r="Y757" s="146"/>
      <c r="Z757" s="146"/>
      <c r="AA757" s="146"/>
      <c r="AB757" s="146"/>
      <c r="AC757" s="146"/>
      <c r="AD757" s="146"/>
      <c r="AE757" s="146"/>
      <c r="AF757" s="146"/>
      <c r="AG757" s="146"/>
    </row>
    <row r="758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  <c r="Y758" s="146"/>
      <c r="Z758" s="146"/>
      <c r="AA758" s="146"/>
      <c r="AB758" s="146"/>
      <c r="AC758" s="146"/>
      <c r="AD758" s="146"/>
      <c r="AE758" s="146"/>
      <c r="AF758" s="146"/>
      <c r="AG758" s="146"/>
    </row>
    <row r="759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  <c r="Y759" s="146"/>
      <c r="Z759" s="146"/>
      <c r="AA759" s="146"/>
      <c r="AB759" s="146"/>
      <c r="AC759" s="146"/>
      <c r="AD759" s="146"/>
      <c r="AE759" s="146"/>
      <c r="AF759" s="146"/>
      <c r="AG759" s="146"/>
    </row>
    <row r="760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  <c r="Y760" s="146"/>
      <c r="Z760" s="146"/>
      <c r="AA760" s="146"/>
      <c r="AB760" s="146"/>
      <c r="AC760" s="146"/>
      <c r="AD760" s="146"/>
      <c r="AE760" s="146"/>
      <c r="AF760" s="146"/>
      <c r="AG760" s="146"/>
    </row>
    <row r="761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  <c r="Y761" s="146"/>
      <c r="Z761" s="146"/>
      <c r="AA761" s="146"/>
      <c r="AB761" s="146"/>
      <c r="AC761" s="146"/>
      <c r="AD761" s="146"/>
      <c r="AE761" s="146"/>
      <c r="AF761" s="146"/>
      <c r="AG761" s="146"/>
    </row>
    <row r="762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  <c r="Y762" s="146"/>
      <c r="Z762" s="146"/>
      <c r="AA762" s="146"/>
      <c r="AB762" s="146"/>
      <c r="AC762" s="146"/>
      <c r="AD762" s="146"/>
      <c r="AE762" s="146"/>
      <c r="AF762" s="146"/>
      <c r="AG762" s="146"/>
    </row>
    <row r="763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  <c r="Y763" s="146"/>
      <c r="Z763" s="146"/>
      <c r="AA763" s="146"/>
      <c r="AB763" s="146"/>
      <c r="AC763" s="146"/>
      <c r="AD763" s="146"/>
      <c r="AE763" s="146"/>
      <c r="AF763" s="146"/>
      <c r="AG763" s="146"/>
    </row>
    <row r="764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  <c r="Y764" s="146"/>
      <c r="Z764" s="146"/>
      <c r="AA764" s="146"/>
      <c r="AB764" s="146"/>
      <c r="AC764" s="146"/>
      <c r="AD764" s="146"/>
      <c r="AE764" s="146"/>
      <c r="AF764" s="146"/>
      <c r="AG764" s="146"/>
    </row>
    <row r="765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  <c r="Y765" s="146"/>
      <c r="Z765" s="146"/>
      <c r="AA765" s="146"/>
      <c r="AB765" s="146"/>
      <c r="AC765" s="146"/>
      <c r="AD765" s="146"/>
      <c r="AE765" s="146"/>
      <c r="AF765" s="146"/>
      <c r="AG765" s="146"/>
    </row>
    <row r="766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  <c r="Y766" s="146"/>
      <c r="Z766" s="146"/>
      <c r="AA766" s="146"/>
      <c r="AB766" s="146"/>
      <c r="AC766" s="146"/>
      <c r="AD766" s="146"/>
      <c r="AE766" s="146"/>
      <c r="AF766" s="146"/>
      <c r="AG766" s="146"/>
    </row>
    <row r="767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  <c r="Y767" s="146"/>
      <c r="Z767" s="146"/>
      <c r="AA767" s="146"/>
      <c r="AB767" s="146"/>
      <c r="AC767" s="146"/>
      <c r="AD767" s="146"/>
      <c r="AE767" s="146"/>
      <c r="AF767" s="146"/>
      <c r="AG767" s="146"/>
    </row>
    <row r="768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  <c r="Y768" s="146"/>
      <c r="Z768" s="146"/>
      <c r="AA768" s="146"/>
      <c r="AB768" s="146"/>
      <c r="AC768" s="146"/>
      <c r="AD768" s="146"/>
      <c r="AE768" s="146"/>
      <c r="AF768" s="146"/>
      <c r="AG768" s="146"/>
    </row>
    <row r="769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  <c r="Y769" s="146"/>
      <c r="Z769" s="146"/>
      <c r="AA769" s="146"/>
      <c r="AB769" s="146"/>
      <c r="AC769" s="146"/>
      <c r="AD769" s="146"/>
      <c r="AE769" s="146"/>
      <c r="AF769" s="146"/>
      <c r="AG769" s="146"/>
    </row>
    <row r="770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  <c r="Y770" s="146"/>
      <c r="Z770" s="146"/>
      <c r="AA770" s="146"/>
      <c r="AB770" s="146"/>
      <c r="AC770" s="146"/>
      <c r="AD770" s="146"/>
      <c r="AE770" s="146"/>
      <c r="AF770" s="146"/>
      <c r="AG770" s="146"/>
    </row>
    <row r="771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  <c r="Y771" s="146"/>
      <c r="Z771" s="146"/>
      <c r="AA771" s="146"/>
      <c r="AB771" s="146"/>
      <c r="AC771" s="146"/>
      <c r="AD771" s="146"/>
      <c r="AE771" s="146"/>
      <c r="AF771" s="146"/>
      <c r="AG771" s="146"/>
    </row>
    <row r="772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  <c r="Y772" s="146"/>
      <c r="Z772" s="146"/>
      <c r="AA772" s="146"/>
      <c r="AB772" s="146"/>
      <c r="AC772" s="146"/>
      <c r="AD772" s="146"/>
      <c r="AE772" s="146"/>
      <c r="AF772" s="146"/>
      <c r="AG772" s="146"/>
    </row>
    <row r="773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  <c r="Y773" s="146"/>
      <c r="Z773" s="146"/>
      <c r="AA773" s="146"/>
      <c r="AB773" s="146"/>
      <c r="AC773" s="146"/>
      <c r="AD773" s="146"/>
      <c r="AE773" s="146"/>
      <c r="AF773" s="146"/>
      <c r="AG773" s="146"/>
    </row>
    <row r="774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  <c r="Y774" s="146"/>
      <c r="Z774" s="146"/>
      <c r="AA774" s="146"/>
      <c r="AB774" s="146"/>
      <c r="AC774" s="146"/>
      <c r="AD774" s="146"/>
      <c r="AE774" s="146"/>
      <c r="AF774" s="146"/>
      <c r="AG774" s="146"/>
    </row>
    <row r="775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  <c r="Y775" s="146"/>
      <c r="Z775" s="146"/>
      <c r="AA775" s="146"/>
      <c r="AB775" s="146"/>
      <c r="AC775" s="146"/>
      <c r="AD775" s="146"/>
      <c r="AE775" s="146"/>
      <c r="AF775" s="146"/>
      <c r="AG775" s="146"/>
    </row>
    <row r="776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  <c r="Y776" s="146"/>
      <c r="Z776" s="146"/>
      <c r="AA776" s="146"/>
      <c r="AB776" s="146"/>
      <c r="AC776" s="146"/>
      <c r="AD776" s="146"/>
      <c r="AE776" s="146"/>
      <c r="AF776" s="146"/>
      <c r="AG776" s="146"/>
    </row>
    <row r="777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  <c r="Y777" s="146"/>
      <c r="Z777" s="146"/>
      <c r="AA777" s="146"/>
      <c r="AB777" s="146"/>
      <c r="AC777" s="146"/>
      <c r="AD777" s="146"/>
      <c r="AE777" s="146"/>
      <c r="AF777" s="146"/>
      <c r="AG777" s="146"/>
    </row>
    <row r="778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  <c r="Y778" s="146"/>
      <c r="Z778" s="146"/>
      <c r="AA778" s="146"/>
      <c r="AB778" s="146"/>
      <c r="AC778" s="146"/>
      <c r="AD778" s="146"/>
      <c r="AE778" s="146"/>
      <c r="AF778" s="146"/>
      <c r="AG778" s="146"/>
    </row>
    <row r="779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  <c r="Y779" s="146"/>
      <c r="Z779" s="146"/>
      <c r="AA779" s="146"/>
      <c r="AB779" s="146"/>
      <c r="AC779" s="146"/>
      <c r="AD779" s="146"/>
      <c r="AE779" s="146"/>
      <c r="AF779" s="146"/>
      <c r="AG779" s="146"/>
    </row>
    <row r="780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  <c r="Y780" s="146"/>
      <c r="Z780" s="146"/>
      <c r="AA780" s="146"/>
      <c r="AB780" s="146"/>
      <c r="AC780" s="146"/>
      <c r="AD780" s="146"/>
      <c r="AE780" s="146"/>
      <c r="AF780" s="146"/>
      <c r="AG780" s="146"/>
    </row>
    <row r="781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  <c r="Y781" s="146"/>
      <c r="Z781" s="146"/>
      <c r="AA781" s="146"/>
      <c r="AB781" s="146"/>
      <c r="AC781" s="146"/>
      <c r="AD781" s="146"/>
      <c r="AE781" s="146"/>
      <c r="AF781" s="146"/>
      <c r="AG781" s="146"/>
    </row>
    <row r="782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  <c r="Y782" s="146"/>
      <c r="Z782" s="146"/>
      <c r="AA782" s="146"/>
      <c r="AB782" s="146"/>
      <c r="AC782" s="146"/>
      <c r="AD782" s="146"/>
      <c r="AE782" s="146"/>
      <c r="AF782" s="146"/>
      <c r="AG782" s="146"/>
    </row>
    <row r="783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  <c r="Y783" s="146"/>
      <c r="Z783" s="146"/>
      <c r="AA783" s="146"/>
      <c r="AB783" s="146"/>
      <c r="AC783" s="146"/>
      <c r="AD783" s="146"/>
      <c r="AE783" s="146"/>
      <c r="AF783" s="146"/>
      <c r="AG783" s="146"/>
    </row>
    <row r="784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  <c r="Y784" s="146"/>
      <c r="Z784" s="146"/>
      <c r="AA784" s="146"/>
      <c r="AB784" s="146"/>
      <c r="AC784" s="146"/>
      <c r="AD784" s="146"/>
      <c r="AE784" s="146"/>
      <c r="AF784" s="146"/>
      <c r="AG784" s="146"/>
    </row>
    <row r="785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  <c r="Y785" s="146"/>
      <c r="Z785" s="146"/>
      <c r="AA785" s="146"/>
      <c r="AB785" s="146"/>
      <c r="AC785" s="146"/>
      <c r="AD785" s="146"/>
      <c r="AE785" s="146"/>
      <c r="AF785" s="146"/>
      <c r="AG785" s="146"/>
    </row>
    <row r="786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  <c r="Y786" s="146"/>
      <c r="Z786" s="146"/>
      <c r="AA786" s="146"/>
      <c r="AB786" s="146"/>
      <c r="AC786" s="146"/>
      <c r="AD786" s="146"/>
      <c r="AE786" s="146"/>
      <c r="AF786" s="146"/>
      <c r="AG786" s="146"/>
    </row>
    <row r="787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  <c r="Y787" s="146"/>
      <c r="Z787" s="146"/>
      <c r="AA787" s="146"/>
      <c r="AB787" s="146"/>
      <c r="AC787" s="146"/>
      <c r="AD787" s="146"/>
      <c r="AE787" s="146"/>
      <c r="AF787" s="146"/>
      <c r="AG787" s="146"/>
    </row>
    <row r="788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  <c r="Y788" s="146"/>
      <c r="Z788" s="146"/>
      <c r="AA788" s="146"/>
      <c r="AB788" s="146"/>
      <c r="AC788" s="146"/>
      <c r="AD788" s="146"/>
      <c r="AE788" s="146"/>
      <c r="AF788" s="146"/>
      <c r="AG788" s="146"/>
    </row>
    <row r="789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  <c r="Y789" s="146"/>
      <c r="Z789" s="146"/>
      <c r="AA789" s="146"/>
      <c r="AB789" s="146"/>
      <c r="AC789" s="146"/>
      <c r="AD789" s="146"/>
      <c r="AE789" s="146"/>
      <c r="AF789" s="146"/>
      <c r="AG789" s="146"/>
    </row>
    <row r="790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  <c r="Y790" s="146"/>
      <c r="Z790" s="146"/>
      <c r="AA790" s="146"/>
      <c r="AB790" s="146"/>
      <c r="AC790" s="146"/>
      <c r="AD790" s="146"/>
      <c r="AE790" s="146"/>
      <c r="AF790" s="146"/>
      <c r="AG790" s="146"/>
    </row>
    <row r="791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  <c r="Y791" s="146"/>
      <c r="Z791" s="146"/>
      <c r="AA791" s="146"/>
      <c r="AB791" s="146"/>
      <c r="AC791" s="146"/>
      <c r="AD791" s="146"/>
      <c r="AE791" s="146"/>
      <c r="AF791" s="146"/>
      <c r="AG791" s="146"/>
    </row>
    <row r="792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  <c r="Y792" s="146"/>
      <c r="Z792" s="146"/>
      <c r="AA792" s="146"/>
      <c r="AB792" s="146"/>
      <c r="AC792" s="146"/>
      <c r="AD792" s="146"/>
      <c r="AE792" s="146"/>
      <c r="AF792" s="146"/>
      <c r="AG792" s="146"/>
    </row>
    <row r="793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  <c r="Y793" s="146"/>
      <c r="Z793" s="146"/>
      <c r="AA793" s="146"/>
      <c r="AB793" s="146"/>
      <c r="AC793" s="146"/>
      <c r="AD793" s="146"/>
      <c r="AE793" s="146"/>
      <c r="AF793" s="146"/>
      <c r="AG793" s="146"/>
    </row>
    <row r="794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  <c r="Y794" s="146"/>
      <c r="Z794" s="146"/>
      <c r="AA794" s="146"/>
      <c r="AB794" s="146"/>
      <c r="AC794" s="146"/>
      <c r="AD794" s="146"/>
      <c r="AE794" s="146"/>
      <c r="AF794" s="146"/>
      <c r="AG794" s="146"/>
    </row>
    <row r="795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  <c r="Y795" s="146"/>
      <c r="Z795" s="146"/>
      <c r="AA795" s="146"/>
      <c r="AB795" s="146"/>
      <c r="AC795" s="146"/>
      <c r="AD795" s="146"/>
      <c r="AE795" s="146"/>
      <c r="AF795" s="146"/>
      <c r="AG795" s="146"/>
    </row>
    <row r="796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  <c r="Y796" s="146"/>
      <c r="Z796" s="146"/>
      <c r="AA796" s="146"/>
      <c r="AB796" s="146"/>
      <c r="AC796" s="146"/>
      <c r="AD796" s="146"/>
      <c r="AE796" s="146"/>
      <c r="AF796" s="146"/>
      <c r="AG796" s="146"/>
    </row>
    <row r="797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  <c r="Y797" s="146"/>
      <c r="Z797" s="146"/>
      <c r="AA797" s="146"/>
      <c r="AB797" s="146"/>
      <c r="AC797" s="146"/>
      <c r="AD797" s="146"/>
      <c r="AE797" s="146"/>
      <c r="AF797" s="146"/>
      <c r="AG797" s="146"/>
    </row>
    <row r="798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  <c r="Y798" s="146"/>
      <c r="Z798" s="146"/>
      <c r="AA798" s="146"/>
      <c r="AB798" s="146"/>
      <c r="AC798" s="146"/>
      <c r="AD798" s="146"/>
      <c r="AE798" s="146"/>
      <c r="AF798" s="146"/>
      <c r="AG798" s="146"/>
    </row>
    <row r="799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  <c r="Y799" s="146"/>
      <c r="Z799" s="146"/>
      <c r="AA799" s="146"/>
      <c r="AB799" s="146"/>
      <c r="AC799" s="146"/>
      <c r="AD799" s="146"/>
      <c r="AE799" s="146"/>
      <c r="AF799" s="146"/>
      <c r="AG799" s="146"/>
    </row>
    <row r="800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  <c r="Y800" s="146"/>
      <c r="Z800" s="146"/>
      <c r="AA800" s="146"/>
      <c r="AB800" s="146"/>
      <c r="AC800" s="146"/>
      <c r="AD800" s="146"/>
      <c r="AE800" s="146"/>
      <c r="AF800" s="146"/>
      <c r="AG800" s="146"/>
    </row>
    <row r="801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  <c r="Y801" s="146"/>
      <c r="Z801" s="146"/>
      <c r="AA801" s="146"/>
      <c r="AB801" s="146"/>
      <c r="AC801" s="146"/>
      <c r="AD801" s="146"/>
      <c r="AE801" s="146"/>
      <c r="AF801" s="146"/>
      <c r="AG801" s="146"/>
    </row>
    <row r="802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  <c r="Y802" s="146"/>
      <c r="Z802" s="146"/>
      <c r="AA802" s="146"/>
      <c r="AB802" s="146"/>
      <c r="AC802" s="146"/>
      <c r="AD802" s="146"/>
      <c r="AE802" s="146"/>
      <c r="AF802" s="146"/>
      <c r="AG802" s="146"/>
    </row>
    <row r="803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  <c r="Y803" s="146"/>
      <c r="Z803" s="146"/>
      <c r="AA803" s="146"/>
      <c r="AB803" s="146"/>
      <c r="AC803" s="146"/>
      <c r="AD803" s="146"/>
      <c r="AE803" s="146"/>
      <c r="AF803" s="146"/>
      <c r="AG803" s="146"/>
    </row>
    <row r="804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  <c r="Y804" s="146"/>
      <c r="Z804" s="146"/>
      <c r="AA804" s="146"/>
      <c r="AB804" s="146"/>
      <c r="AC804" s="146"/>
      <c r="AD804" s="146"/>
      <c r="AE804" s="146"/>
      <c r="AF804" s="146"/>
      <c r="AG804" s="146"/>
    </row>
    <row r="805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  <c r="Y805" s="146"/>
      <c r="Z805" s="146"/>
      <c r="AA805" s="146"/>
      <c r="AB805" s="146"/>
      <c r="AC805" s="146"/>
      <c r="AD805" s="146"/>
      <c r="AE805" s="146"/>
      <c r="AF805" s="146"/>
      <c r="AG805" s="146"/>
    </row>
    <row r="806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  <c r="Y806" s="146"/>
      <c r="Z806" s="146"/>
      <c r="AA806" s="146"/>
      <c r="AB806" s="146"/>
      <c r="AC806" s="146"/>
      <c r="AD806" s="146"/>
      <c r="AE806" s="146"/>
      <c r="AF806" s="146"/>
      <c r="AG806" s="146"/>
    </row>
    <row r="807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  <c r="Y807" s="146"/>
      <c r="Z807" s="146"/>
      <c r="AA807" s="146"/>
      <c r="AB807" s="146"/>
      <c r="AC807" s="146"/>
      <c r="AD807" s="146"/>
      <c r="AE807" s="146"/>
      <c r="AF807" s="146"/>
      <c r="AG807" s="146"/>
    </row>
    <row r="808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  <c r="Y808" s="146"/>
      <c r="Z808" s="146"/>
      <c r="AA808" s="146"/>
      <c r="AB808" s="146"/>
      <c r="AC808" s="146"/>
      <c r="AD808" s="146"/>
      <c r="AE808" s="146"/>
      <c r="AF808" s="146"/>
      <c r="AG808" s="146"/>
    </row>
    <row r="809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  <c r="Y809" s="146"/>
      <c r="Z809" s="146"/>
      <c r="AA809" s="146"/>
      <c r="AB809" s="146"/>
      <c r="AC809" s="146"/>
      <c r="AD809" s="146"/>
      <c r="AE809" s="146"/>
      <c r="AF809" s="146"/>
      <c r="AG809" s="146"/>
    </row>
    <row r="810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  <c r="Y810" s="146"/>
      <c r="Z810" s="146"/>
      <c r="AA810" s="146"/>
      <c r="AB810" s="146"/>
      <c r="AC810" s="146"/>
      <c r="AD810" s="146"/>
      <c r="AE810" s="146"/>
      <c r="AF810" s="146"/>
      <c r="AG810" s="146"/>
    </row>
    <row r="811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  <c r="Y811" s="146"/>
      <c r="Z811" s="146"/>
      <c r="AA811" s="146"/>
      <c r="AB811" s="146"/>
      <c r="AC811" s="146"/>
      <c r="AD811" s="146"/>
      <c r="AE811" s="146"/>
      <c r="AF811" s="146"/>
      <c r="AG811" s="146"/>
    </row>
    <row r="812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  <c r="Y812" s="146"/>
      <c r="Z812" s="146"/>
      <c r="AA812" s="146"/>
      <c r="AB812" s="146"/>
      <c r="AC812" s="146"/>
      <c r="AD812" s="146"/>
      <c r="AE812" s="146"/>
      <c r="AF812" s="146"/>
      <c r="AG812" s="146"/>
    </row>
    <row r="813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  <c r="Y813" s="146"/>
      <c r="Z813" s="146"/>
      <c r="AA813" s="146"/>
      <c r="AB813" s="146"/>
      <c r="AC813" s="146"/>
      <c r="AD813" s="146"/>
      <c r="AE813" s="146"/>
      <c r="AF813" s="146"/>
      <c r="AG813" s="146"/>
    </row>
    <row r="814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  <c r="Y814" s="146"/>
      <c r="Z814" s="146"/>
      <c r="AA814" s="146"/>
      <c r="AB814" s="146"/>
      <c r="AC814" s="146"/>
      <c r="AD814" s="146"/>
      <c r="AE814" s="146"/>
      <c r="AF814" s="146"/>
      <c r="AG814" s="146"/>
    </row>
    <row r="815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  <c r="Y815" s="146"/>
      <c r="Z815" s="146"/>
      <c r="AA815" s="146"/>
      <c r="AB815" s="146"/>
      <c r="AC815" s="146"/>
      <c r="AD815" s="146"/>
      <c r="AE815" s="146"/>
      <c r="AF815" s="146"/>
      <c r="AG815" s="146"/>
    </row>
    <row r="816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  <c r="Y816" s="146"/>
      <c r="Z816" s="146"/>
      <c r="AA816" s="146"/>
      <c r="AB816" s="146"/>
      <c r="AC816" s="146"/>
      <c r="AD816" s="146"/>
      <c r="AE816" s="146"/>
      <c r="AF816" s="146"/>
      <c r="AG816" s="146"/>
    </row>
    <row r="817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  <c r="Y817" s="146"/>
      <c r="Z817" s="146"/>
      <c r="AA817" s="146"/>
      <c r="AB817" s="146"/>
      <c r="AC817" s="146"/>
      <c r="AD817" s="146"/>
      <c r="AE817" s="146"/>
      <c r="AF817" s="146"/>
      <c r="AG817" s="146"/>
    </row>
    <row r="818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  <c r="Y818" s="146"/>
      <c r="Z818" s="146"/>
      <c r="AA818" s="146"/>
      <c r="AB818" s="146"/>
      <c r="AC818" s="146"/>
      <c r="AD818" s="146"/>
      <c r="AE818" s="146"/>
      <c r="AF818" s="146"/>
      <c r="AG818" s="146"/>
    </row>
    <row r="819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  <c r="Y819" s="146"/>
      <c r="Z819" s="146"/>
      <c r="AA819" s="146"/>
      <c r="AB819" s="146"/>
      <c r="AC819" s="146"/>
      <c r="AD819" s="146"/>
      <c r="AE819" s="146"/>
      <c r="AF819" s="146"/>
      <c r="AG819" s="146"/>
    </row>
    <row r="820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  <c r="Y820" s="146"/>
      <c r="Z820" s="146"/>
      <c r="AA820" s="146"/>
      <c r="AB820" s="146"/>
      <c r="AC820" s="146"/>
      <c r="AD820" s="146"/>
      <c r="AE820" s="146"/>
      <c r="AF820" s="146"/>
      <c r="AG820" s="146"/>
    </row>
    <row r="821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  <c r="Y821" s="146"/>
      <c r="Z821" s="146"/>
      <c r="AA821" s="146"/>
      <c r="AB821" s="146"/>
      <c r="AC821" s="146"/>
      <c r="AD821" s="146"/>
      <c r="AE821" s="146"/>
      <c r="AF821" s="146"/>
      <c r="AG821" s="146"/>
    </row>
    <row r="822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  <c r="Y822" s="146"/>
      <c r="Z822" s="146"/>
      <c r="AA822" s="146"/>
      <c r="AB822" s="146"/>
      <c r="AC822" s="146"/>
      <c r="AD822" s="146"/>
      <c r="AE822" s="146"/>
      <c r="AF822" s="146"/>
      <c r="AG822" s="146"/>
    </row>
    <row r="823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  <c r="Y823" s="146"/>
      <c r="Z823" s="146"/>
      <c r="AA823" s="146"/>
      <c r="AB823" s="146"/>
      <c r="AC823" s="146"/>
      <c r="AD823" s="146"/>
      <c r="AE823" s="146"/>
      <c r="AF823" s="146"/>
      <c r="AG823" s="146"/>
    </row>
    <row r="824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  <c r="Y824" s="146"/>
      <c r="Z824" s="146"/>
      <c r="AA824" s="146"/>
      <c r="AB824" s="146"/>
      <c r="AC824" s="146"/>
      <c r="AD824" s="146"/>
      <c r="AE824" s="146"/>
      <c r="AF824" s="146"/>
      <c r="AG824" s="146"/>
    </row>
    <row r="825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  <c r="Y825" s="146"/>
      <c r="Z825" s="146"/>
      <c r="AA825" s="146"/>
      <c r="AB825" s="146"/>
      <c r="AC825" s="146"/>
      <c r="AD825" s="146"/>
      <c r="AE825" s="146"/>
      <c r="AF825" s="146"/>
      <c r="AG825" s="146"/>
    </row>
    <row r="826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  <c r="Y826" s="146"/>
      <c r="Z826" s="146"/>
      <c r="AA826" s="146"/>
      <c r="AB826" s="146"/>
      <c r="AC826" s="146"/>
      <c r="AD826" s="146"/>
      <c r="AE826" s="146"/>
      <c r="AF826" s="146"/>
      <c r="AG826" s="146"/>
    </row>
    <row r="827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  <c r="Y827" s="146"/>
      <c r="Z827" s="146"/>
      <c r="AA827" s="146"/>
      <c r="AB827" s="146"/>
      <c r="AC827" s="146"/>
      <c r="AD827" s="146"/>
      <c r="AE827" s="146"/>
      <c r="AF827" s="146"/>
      <c r="AG827" s="146"/>
    </row>
    <row r="828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  <c r="Y828" s="146"/>
      <c r="Z828" s="146"/>
      <c r="AA828" s="146"/>
      <c r="AB828" s="146"/>
      <c r="AC828" s="146"/>
      <c r="AD828" s="146"/>
      <c r="AE828" s="146"/>
      <c r="AF828" s="146"/>
      <c r="AG828" s="146"/>
    </row>
    <row r="829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  <c r="Y829" s="146"/>
      <c r="Z829" s="146"/>
      <c r="AA829" s="146"/>
      <c r="AB829" s="146"/>
      <c r="AC829" s="146"/>
      <c r="AD829" s="146"/>
      <c r="AE829" s="146"/>
      <c r="AF829" s="146"/>
      <c r="AG829" s="146"/>
    </row>
    <row r="830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  <c r="Y830" s="146"/>
      <c r="Z830" s="146"/>
      <c r="AA830" s="146"/>
      <c r="AB830" s="146"/>
      <c r="AC830" s="146"/>
      <c r="AD830" s="146"/>
      <c r="AE830" s="146"/>
      <c r="AF830" s="146"/>
      <c r="AG830" s="146"/>
    </row>
    <row r="831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  <c r="Y831" s="146"/>
      <c r="Z831" s="146"/>
      <c r="AA831" s="146"/>
      <c r="AB831" s="146"/>
      <c r="AC831" s="146"/>
      <c r="AD831" s="146"/>
      <c r="AE831" s="146"/>
      <c r="AF831" s="146"/>
      <c r="AG831" s="146"/>
    </row>
    <row r="832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  <c r="Y832" s="146"/>
      <c r="Z832" s="146"/>
      <c r="AA832" s="146"/>
      <c r="AB832" s="146"/>
      <c r="AC832" s="146"/>
      <c r="AD832" s="146"/>
      <c r="AE832" s="146"/>
      <c r="AF832" s="146"/>
      <c r="AG832" s="146"/>
    </row>
    <row r="833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  <c r="Y833" s="146"/>
      <c r="Z833" s="146"/>
      <c r="AA833" s="146"/>
      <c r="AB833" s="146"/>
      <c r="AC833" s="146"/>
      <c r="AD833" s="146"/>
      <c r="AE833" s="146"/>
      <c r="AF833" s="146"/>
      <c r="AG833" s="146"/>
    </row>
    <row r="834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  <c r="Y834" s="146"/>
      <c r="Z834" s="146"/>
      <c r="AA834" s="146"/>
      <c r="AB834" s="146"/>
      <c r="AC834" s="146"/>
      <c r="AD834" s="146"/>
      <c r="AE834" s="146"/>
      <c r="AF834" s="146"/>
      <c r="AG834" s="146"/>
    </row>
    <row r="835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  <c r="Y835" s="146"/>
      <c r="Z835" s="146"/>
      <c r="AA835" s="146"/>
      <c r="AB835" s="146"/>
      <c r="AC835" s="146"/>
      <c r="AD835" s="146"/>
      <c r="AE835" s="146"/>
      <c r="AF835" s="146"/>
      <c r="AG835" s="146"/>
    </row>
    <row r="836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  <c r="Y836" s="146"/>
      <c r="Z836" s="146"/>
      <c r="AA836" s="146"/>
      <c r="AB836" s="146"/>
      <c r="AC836" s="146"/>
      <c r="AD836" s="146"/>
      <c r="AE836" s="146"/>
      <c r="AF836" s="146"/>
      <c r="AG836" s="146"/>
    </row>
    <row r="837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  <c r="Y837" s="146"/>
      <c r="Z837" s="146"/>
      <c r="AA837" s="146"/>
      <c r="AB837" s="146"/>
      <c r="AC837" s="146"/>
      <c r="AD837" s="146"/>
      <c r="AE837" s="146"/>
      <c r="AF837" s="146"/>
      <c r="AG837" s="146"/>
    </row>
    <row r="838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  <c r="Y838" s="146"/>
      <c r="Z838" s="146"/>
      <c r="AA838" s="146"/>
      <c r="AB838" s="146"/>
      <c r="AC838" s="146"/>
      <c r="AD838" s="146"/>
      <c r="AE838" s="146"/>
      <c r="AF838" s="146"/>
      <c r="AG838" s="146"/>
    </row>
    <row r="839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  <c r="Y839" s="146"/>
      <c r="Z839" s="146"/>
      <c r="AA839" s="146"/>
      <c r="AB839" s="146"/>
      <c r="AC839" s="146"/>
      <c r="AD839" s="146"/>
      <c r="AE839" s="146"/>
      <c r="AF839" s="146"/>
      <c r="AG839" s="146"/>
    </row>
    <row r="840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  <c r="Y840" s="146"/>
      <c r="Z840" s="146"/>
      <c r="AA840" s="146"/>
      <c r="AB840" s="146"/>
      <c r="AC840" s="146"/>
      <c r="AD840" s="146"/>
      <c r="AE840" s="146"/>
      <c r="AF840" s="146"/>
      <c r="AG840" s="146"/>
    </row>
    <row r="841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  <c r="Y841" s="146"/>
      <c r="Z841" s="146"/>
      <c r="AA841" s="146"/>
      <c r="AB841" s="146"/>
      <c r="AC841" s="146"/>
      <c r="AD841" s="146"/>
      <c r="AE841" s="146"/>
      <c r="AF841" s="146"/>
      <c r="AG841" s="146"/>
    </row>
    <row r="842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  <c r="Y842" s="146"/>
      <c r="Z842" s="146"/>
      <c r="AA842" s="146"/>
      <c r="AB842" s="146"/>
      <c r="AC842" s="146"/>
      <c r="AD842" s="146"/>
      <c r="AE842" s="146"/>
      <c r="AF842" s="146"/>
      <c r="AG842" s="146"/>
    </row>
    <row r="843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  <c r="Y843" s="146"/>
      <c r="Z843" s="146"/>
      <c r="AA843" s="146"/>
      <c r="AB843" s="146"/>
      <c r="AC843" s="146"/>
      <c r="AD843" s="146"/>
      <c r="AE843" s="146"/>
      <c r="AF843" s="146"/>
      <c r="AG843" s="146"/>
    </row>
    <row r="844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  <c r="Y844" s="146"/>
      <c r="Z844" s="146"/>
      <c r="AA844" s="146"/>
      <c r="AB844" s="146"/>
      <c r="AC844" s="146"/>
      <c r="AD844" s="146"/>
      <c r="AE844" s="146"/>
      <c r="AF844" s="146"/>
      <c r="AG844" s="146"/>
    </row>
    <row r="845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  <c r="Y845" s="146"/>
      <c r="Z845" s="146"/>
      <c r="AA845" s="146"/>
      <c r="AB845" s="146"/>
      <c r="AC845" s="146"/>
      <c r="AD845" s="146"/>
      <c r="AE845" s="146"/>
      <c r="AF845" s="146"/>
      <c r="AG845" s="146"/>
    </row>
    <row r="846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  <c r="Y846" s="146"/>
      <c r="Z846" s="146"/>
      <c r="AA846" s="146"/>
      <c r="AB846" s="146"/>
      <c r="AC846" s="146"/>
      <c r="AD846" s="146"/>
      <c r="AE846" s="146"/>
      <c r="AF846" s="146"/>
      <c r="AG846" s="146"/>
    </row>
    <row r="847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  <c r="Y847" s="146"/>
      <c r="Z847" s="146"/>
      <c r="AA847" s="146"/>
      <c r="AB847" s="146"/>
      <c r="AC847" s="146"/>
      <c r="AD847" s="146"/>
      <c r="AE847" s="146"/>
      <c r="AF847" s="146"/>
      <c r="AG847" s="146"/>
    </row>
    <row r="848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  <c r="Y848" s="146"/>
      <c r="Z848" s="146"/>
      <c r="AA848" s="146"/>
      <c r="AB848" s="146"/>
      <c r="AC848" s="146"/>
      <c r="AD848" s="146"/>
      <c r="AE848" s="146"/>
      <c r="AF848" s="146"/>
      <c r="AG848" s="146"/>
    </row>
    <row r="849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  <c r="Y849" s="146"/>
      <c r="Z849" s="146"/>
      <c r="AA849" s="146"/>
      <c r="AB849" s="146"/>
      <c r="AC849" s="146"/>
      <c r="AD849" s="146"/>
      <c r="AE849" s="146"/>
      <c r="AF849" s="146"/>
      <c r="AG849" s="146"/>
    </row>
    <row r="850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  <c r="Y850" s="146"/>
      <c r="Z850" s="146"/>
      <c r="AA850" s="146"/>
      <c r="AB850" s="146"/>
      <c r="AC850" s="146"/>
      <c r="AD850" s="146"/>
      <c r="AE850" s="146"/>
      <c r="AF850" s="146"/>
      <c r="AG850" s="146"/>
    </row>
    <row r="851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  <c r="Y851" s="146"/>
      <c r="Z851" s="146"/>
      <c r="AA851" s="146"/>
      <c r="AB851" s="146"/>
      <c r="AC851" s="146"/>
      <c r="AD851" s="146"/>
      <c r="AE851" s="146"/>
      <c r="AF851" s="146"/>
      <c r="AG851" s="146"/>
    </row>
    <row r="852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  <c r="Y852" s="146"/>
      <c r="Z852" s="146"/>
      <c r="AA852" s="146"/>
      <c r="AB852" s="146"/>
      <c r="AC852" s="146"/>
      <c r="AD852" s="146"/>
      <c r="AE852" s="146"/>
      <c r="AF852" s="146"/>
      <c r="AG852" s="146"/>
    </row>
    <row r="853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  <c r="Y853" s="146"/>
      <c r="Z853" s="146"/>
      <c r="AA853" s="146"/>
      <c r="AB853" s="146"/>
      <c r="AC853" s="146"/>
      <c r="AD853" s="146"/>
      <c r="AE853" s="146"/>
      <c r="AF853" s="146"/>
      <c r="AG853" s="146"/>
    </row>
    <row r="854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  <c r="Y854" s="146"/>
      <c r="Z854" s="146"/>
      <c r="AA854" s="146"/>
      <c r="AB854" s="146"/>
      <c r="AC854" s="146"/>
      <c r="AD854" s="146"/>
      <c r="AE854" s="146"/>
      <c r="AF854" s="146"/>
      <c r="AG854" s="146"/>
    </row>
    <row r="855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  <c r="Y855" s="146"/>
      <c r="Z855" s="146"/>
      <c r="AA855" s="146"/>
      <c r="AB855" s="146"/>
      <c r="AC855" s="146"/>
      <c r="AD855" s="146"/>
      <c r="AE855" s="146"/>
      <c r="AF855" s="146"/>
      <c r="AG855" s="146"/>
    </row>
    <row r="856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  <c r="Y856" s="146"/>
      <c r="Z856" s="146"/>
      <c r="AA856" s="146"/>
      <c r="AB856" s="146"/>
      <c r="AC856" s="146"/>
      <c r="AD856" s="146"/>
      <c r="AE856" s="146"/>
      <c r="AF856" s="146"/>
      <c r="AG856" s="146"/>
    </row>
    <row r="857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  <c r="Y857" s="146"/>
      <c r="Z857" s="146"/>
      <c r="AA857" s="146"/>
      <c r="AB857" s="146"/>
      <c r="AC857" s="146"/>
      <c r="AD857" s="146"/>
      <c r="AE857" s="146"/>
      <c r="AF857" s="146"/>
      <c r="AG857" s="146"/>
    </row>
    <row r="858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  <c r="Y858" s="146"/>
      <c r="Z858" s="146"/>
      <c r="AA858" s="146"/>
      <c r="AB858" s="146"/>
      <c r="AC858" s="146"/>
      <c r="AD858" s="146"/>
      <c r="AE858" s="146"/>
      <c r="AF858" s="146"/>
      <c r="AG858" s="146"/>
    </row>
    <row r="859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  <c r="Y859" s="146"/>
      <c r="Z859" s="146"/>
      <c r="AA859" s="146"/>
      <c r="AB859" s="146"/>
      <c r="AC859" s="146"/>
      <c r="AD859" s="146"/>
      <c r="AE859" s="146"/>
      <c r="AF859" s="146"/>
      <c r="AG859" s="146"/>
    </row>
    <row r="860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  <c r="Y860" s="146"/>
      <c r="Z860" s="146"/>
      <c r="AA860" s="146"/>
      <c r="AB860" s="146"/>
      <c r="AC860" s="146"/>
      <c r="AD860" s="146"/>
      <c r="AE860" s="146"/>
      <c r="AF860" s="146"/>
      <c r="AG860" s="146"/>
    </row>
    <row r="861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  <c r="Y861" s="146"/>
      <c r="Z861" s="146"/>
      <c r="AA861" s="146"/>
      <c r="AB861" s="146"/>
      <c r="AC861" s="146"/>
      <c r="AD861" s="146"/>
      <c r="AE861" s="146"/>
      <c r="AF861" s="146"/>
      <c r="AG861" s="146"/>
    </row>
    <row r="862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  <c r="Y862" s="146"/>
      <c r="Z862" s="146"/>
      <c r="AA862" s="146"/>
      <c r="AB862" s="146"/>
      <c r="AC862" s="146"/>
      <c r="AD862" s="146"/>
      <c r="AE862" s="146"/>
      <c r="AF862" s="146"/>
      <c r="AG862" s="146"/>
    </row>
    <row r="863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  <c r="Y863" s="146"/>
      <c r="Z863" s="146"/>
      <c r="AA863" s="146"/>
      <c r="AB863" s="146"/>
      <c r="AC863" s="146"/>
      <c r="AD863" s="146"/>
      <c r="AE863" s="146"/>
      <c r="AF863" s="146"/>
      <c r="AG863" s="146"/>
    </row>
    <row r="864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  <c r="Y864" s="146"/>
      <c r="Z864" s="146"/>
      <c r="AA864" s="146"/>
      <c r="AB864" s="146"/>
      <c r="AC864" s="146"/>
      <c r="AD864" s="146"/>
      <c r="AE864" s="146"/>
      <c r="AF864" s="146"/>
      <c r="AG864" s="146"/>
    </row>
    <row r="865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  <c r="Y865" s="146"/>
      <c r="Z865" s="146"/>
      <c r="AA865" s="146"/>
      <c r="AB865" s="146"/>
      <c r="AC865" s="146"/>
      <c r="AD865" s="146"/>
      <c r="AE865" s="146"/>
      <c r="AF865" s="146"/>
      <c r="AG865" s="146"/>
    </row>
    <row r="866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  <c r="Y866" s="146"/>
      <c r="Z866" s="146"/>
      <c r="AA866" s="146"/>
      <c r="AB866" s="146"/>
      <c r="AC866" s="146"/>
      <c r="AD866" s="146"/>
      <c r="AE866" s="146"/>
      <c r="AF866" s="146"/>
      <c r="AG866" s="146"/>
    </row>
    <row r="867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  <c r="Y867" s="146"/>
      <c r="Z867" s="146"/>
      <c r="AA867" s="146"/>
      <c r="AB867" s="146"/>
      <c r="AC867" s="146"/>
      <c r="AD867" s="146"/>
      <c r="AE867" s="146"/>
      <c r="AF867" s="146"/>
      <c r="AG867" s="146"/>
    </row>
    <row r="868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  <c r="Y868" s="146"/>
      <c r="Z868" s="146"/>
      <c r="AA868" s="146"/>
      <c r="AB868" s="146"/>
      <c r="AC868" s="146"/>
      <c r="AD868" s="146"/>
      <c r="AE868" s="146"/>
      <c r="AF868" s="146"/>
      <c r="AG868" s="146"/>
    </row>
    <row r="869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  <c r="Y869" s="146"/>
      <c r="Z869" s="146"/>
      <c r="AA869" s="146"/>
      <c r="AB869" s="146"/>
      <c r="AC869" s="146"/>
      <c r="AD869" s="146"/>
      <c r="AE869" s="146"/>
      <c r="AF869" s="146"/>
      <c r="AG869" s="146"/>
    </row>
    <row r="870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  <c r="Y870" s="146"/>
      <c r="Z870" s="146"/>
      <c r="AA870" s="146"/>
      <c r="AB870" s="146"/>
      <c r="AC870" s="146"/>
      <c r="AD870" s="146"/>
      <c r="AE870" s="146"/>
      <c r="AF870" s="146"/>
      <c r="AG870" s="146"/>
    </row>
    <row r="871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  <c r="Y871" s="146"/>
      <c r="Z871" s="146"/>
      <c r="AA871" s="146"/>
      <c r="AB871" s="146"/>
      <c r="AC871" s="146"/>
      <c r="AD871" s="146"/>
      <c r="AE871" s="146"/>
      <c r="AF871" s="146"/>
      <c r="AG871" s="146"/>
    </row>
    <row r="872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  <c r="Y872" s="146"/>
      <c r="Z872" s="146"/>
      <c r="AA872" s="146"/>
      <c r="AB872" s="146"/>
      <c r="AC872" s="146"/>
      <c r="AD872" s="146"/>
      <c r="AE872" s="146"/>
      <c r="AF872" s="146"/>
      <c r="AG872" s="146"/>
    </row>
    <row r="873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  <c r="Y873" s="146"/>
      <c r="Z873" s="146"/>
      <c r="AA873" s="146"/>
      <c r="AB873" s="146"/>
      <c r="AC873" s="146"/>
      <c r="AD873" s="146"/>
      <c r="AE873" s="146"/>
      <c r="AF873" s="146"/>
      <c r="AG873" s="146"/>
    </row>
    <row r="874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  <c r="Y874" s="146"/>
      <c r="Z874" s="146"/>
      <c r="AA874" s="146"/>
      <c r="AB874" s="146"/>
      <c r="AC874" s="146"/>
      <c r="AD874" s="146"/>
      <c r="AE874" s="146"/>
      <c r="AF874" s="146"/>
      <c r="AG874" s="146"/>
    </row>
    <row r="875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  <c r="Y875" s="146"/>
      <c r="Z875" s="146"/>
      <c r="AA875" s="146"/>
      <c r="AB875" s="146"/>
      <c r="AC875" s="146"/>
      <c r="AD875" s="146"/>
      <c r="AE875" s="146"/>
      <c r="AF875" s="146"/>
      <c r="AG875" s="146"/>
    </row>
    <row r="876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  <c r="Y876" s="146"/>
      <c r="Z876" s="146"/>
      <c r="AA876" s="146"/>
      <c r="AB876" s="146"/>
      <c r="AC876" s="146"/>
      <c r="AD876" s="146"/>
      <c r="AE876" s="146"/>
      <c r="AF876" s="146"/>
      <c r="AG876" s="146"/>
    </row>
    <row r="877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  <c r="Y877" s="146"/>
      <c r="Z877" s="146"/>
      <c r="AA877" s="146"/>
      <c r="AB877" s="146"/>
      <c r="AC877" s="146"/>
      <c r="AD877" s="146"/>
      <c r="AE877" s="146"/>
      <c r="AF877" s="146"/>
      <c r="AG877" s="146"/>
    </row>
    <row r="878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  <c r="Y878" s="146"/>
      <c r="Z878" s="146"/>
      <c r="AA878" s="146"/>
      <c r="AB878" s="146"/>
      <c r="AC878" s="146"/>
      <c r="AD878" s="146"/>
      <c r="AE878" s="146"/>
      <c r="AF878" s="146"/>
      <c r="AG878" s="146"/>
    </row>
    <row r="879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  <c r="Y879" s="146"/>
      <c r="Z879" s="146"/>
      <c r="AA879" s="146"/>
      <c r="AB879" s="146"/>
      <c r="AC879" s="146"/>
      <c r="AD879" s="146"/>
      <c r="AE879" s="146"/>
      <c r="AF879" s="146"/>
      <c r="AG879" s="146"/>
    </row>
    <row r="880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  <c r="Y880" s="146"/>
      <c r="Z880" s="146"/>
      <c r="AA880" s="146"/>
      <c r="AB880" s="146"/>
      <c r="AC880" s="146"/>
      <c r="AD880" s="146"/>
      <c r="AE880" s="146"/>
      <c r="AF880" s="146"/>
      <c r="AG880" s="146"/>
    </row>
    <row r="881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  <c r="Y881" s="146"/>
      <c r="Z881" s="146"/>
      <c r="AA881" s="146"/>
      <c r="AB881" s="146"/>
      <c r="AC881" s="146"/>
      <c r="AD881" s="146"/>
      <c r="AE881" s="146"/>
      <c r="AF881" s="146"/>
      <c r="AG881" s="146"/>
    </row>
    <row r="882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  <c r="Y882" s="146"/>
      <c r="Z882" s="146"/>
      <c r="AA882" s="146"/>
      <c r="AB882" s="146"/>
      <c r="AC882" s="146"/>
      <c r="AD882" s="146"/>
      <c r="AE882" s="146"/>
      <c r="AF882" s="146"/>
      <c r="AG882" s="146"/>
    </row>
    <row r="883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  <c r="Y883" s="146"/>
      <c r="Z883" s="146"/>
      <c r="AA883" s="146"/>
      <c r="AB883" s="146"/>
      <c r="AC883" s="146"/>
      <c r="AD883" s="146"/>
      <c r="AE883" s="146"/>
      <c r="AF883" s="146"/>
      <c r="AG883" s="146"/>
    </row>
    <row r="884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  <c r="Y884" s="146"/>
      <c r="Z884" s="146"/>
      <c r="AA884" s="146"/>
      <c r="AB884" s="146"/>
      <c r="AC884" s="146"/>
      <c r="AD884" s="146"/>
      <c r="AE884" s="146"/>
      <c r="AF884" s="146"/>
      <c r="AG884" s="146"/>
    </row>
    <row r="885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  <c r="Y885" s="146"/>
      <c r="Z885" s="146"/>
      <c r="AA885" s="146"/>
      <c r="AB885" s="146"/>
      <c r="AC885" s="146"/>
      <c r="AD885" s="146"/>
      <c r="AE885" s="146"/>
      <c r="AF885" s="146"/>
      <c r="AG885" s="146"/>
    </row>
    <row r="886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  <c r="Y886" s="146"/>
      <c r="Z886" s="146"/>
      <c r="AA886" s="146"/>
      <c r="AB886" s="146"/>
      <c r="AC886" s="146"/>
      <c r="AD886" s="146"/>
      <c r="AE886" s="146"/>
      <c r="AF886" s="146"/>
      <c r="AG886" s="146"/>
    </row>
    <row r="887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  <c r="Y887" s="146"/>
      <c r="Z887" s="146"/>
      <c r="AA887" s="146"/>
      <c r="AB887" s="146"/>
      <c r="AC887" s="146"/>
      <c r="AD887" s="146"/>
      <c r="AE887" s="146"/>
      <c r="AF887" s="146"/>
      <c r="AG887" s="146"/>
    </row>
    <row r="888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  <c r="Y888" s="146"/>
      <c r="Z888" s="146"/>
      <c r="AA888" s="146"/>
      <c r="AB888" s="146"/>
      <c r="AC888" s="146"/>
      <c r="AD888" s="146"/>
      <c r="AE888" s="146"/>
      <c r="AF888" s="146"/>
      <c r="AG888" s="146"/>
    </row>
    <row r="889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  <c r="Y889" s="146"/>
      <c r="Z889" s="146"/>
      <c r="AA889" s="146"/>
      <c r="AB889" s="146"/>
      <c r="AC889" s="146"/>
      <c r="AD889" s="146"/>
      <c r="AE889" s="146"/>
      <c r="AF889" s="146"/>
      <c r="AG889" s="146"/>
    </row>
    <row r="890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  <c r="Y890" s="146"/>
      <c r="Z890" s="146"/>
      <c r="AA890" s="146"/>
      <c r="AB890" s="146"/>
      <c r="AC890" s="146"/>
      <c r="AD890" s="146"/>
      <c r="AE890" s="146"/>
      <c r="AF890" s="146"/>
      <c r="AG890" s="146"/>
    </row>
    <row r="891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  <c r="Y891" s="146"/>
      <c r="Z891" s="146"/>
      <c r="AA891" s="146"/>
      <c r="AB891" s="146"/>
      <c r="AC891" s="146"/>
      <c r="AD891" s="146"/>
      <c r="AE891" s="146"/>
      <c r="AF891" s="146"/>
      <c r="AG891" s="146"/>
    </row>
    <row r="892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  <c r="Y892" s="146"/>
      <c r="Z892" s="146"/>
      <c r="AA892" s="146"/>
      <c r="AB892" s="146"/>
      <c r="AC892" s="146"/>
      <c r="AD892" s="146"/>
      <c r="AE892" s="146"/>
      <c r="AF892" s="146"/>
      <c r="AG892" s="146"/>
    </row>
    <row r="893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  <c r="Y893" s="146"/>
      <c r="Z893" s="146"/>
      <c r="AA893" s="146"/>
      <c r="AB893" s="146"/>
      <c r="AC893" s="146"/>
      <c r="AD893" s="146"/>
      <c r="AE893" s="146"/>
      <c r="AF893" s="146"/>
      <c r="AG893" s="146"/>
    </row>
    <row r="894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  <c r="Y894" s="146"/>
      <c r="Z894" s="146"/>
      <c r="AA894" s="146"/>
      <c r="AB894" s="146"/>
      <c r="AC894" s="146"/>
      <c r="AD894" s="146"/>
      <c r="AE894" s="146"/>
      <c r="AF894" s="146"/>
      <c r="AG894" s="146"/>
    </row>
    <row r="895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  <c r="Y895" s="146"/>
      <c r="Z895" s="146"/>
      <c r="AA895" s="146"/>
      <c r="AB895" s="146"/>
      <c r="AC895" s="146"/>
      <c r="AD895" s="146"/>
      <c r="AE895" s="146"/>
      <c r="AF895" s="146"/>
      <c r="AG895" s="146"/>
    </row>
    <row r="896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  <c r="Y896" s="146"/>
      <c r="Z896" s="146"/>
      <c r="AA896" s="146"/>
      <c r="AB896" s="146"/>
      <c r="AC896" s="146"/>
      <c r="AD896" s="146"/>
      <c r="AE896" s="146"/>
      <c r="AF896" s="146"/>
      <c r="AG896" s="146"/>
    </row>
    <row r="897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  <c r="Y897" s="146"/>
      <c r="Z897" s="146"/>
      <c r="AA897" s="146"/>
      <c r="AB897" s="146"/>
      <c r="AC897" s="146"/>
      <c r="AD897" s="146"/>
      <c r="AE897" s="146"/>
      <c r="AF897" s="146"/>
      <c r="AG897" s="146"/>
    </row>
    <row r="898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  <c r="Y898" s="146"/>
      <c r="Z898" s="146"/>
      <c r="AA898" s="146"/>
      <c r="AB898" s="146"/>
      <c r="AC898" s="146"/>
      <c r="AD898" s="146"/>
      <c r="AE898" s="146"/>
      <c r="AF898" s="146"/>
      <c r="AG898" s="146"/>
    </row>
    <row r="899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  <c r="Y899" s="146"/>
      <c r="Z899" s="146"/>
      <c r="AA899" s="146"/>
      <c r="AB899" s="146"/>
      <c r="AC899" s="146"/>
      <c r="AD899" s="146"/>
      <c r="AE899" s="146"/>
      <c r="AF899" s="146"/>
      <c r="AG899" s="146"/>
    </row>
    <row r="900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  <c r="Y900" s="146"/>
      <c r="Z900" s="146"/>
      <c r="AA900" s="146"/>
      <c r="AB900" s="146"/>
      <c r="AC900" s="146"/>
      <c r="AD900" s="146"/>
      <c r="AE900" s="146"/>
      <c r="AF900" s="146"/>
      <c r="AG900" s="146"/>
    </row>
    <row r="901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  <c r="Y901" s="146"/>
      <c r="Z901" s="146"/>
      <c r="AA901" s="146"/>
      <c r="AB901" s="146"/>
      <c r="AC901" s="146"/>
      <c r="AD901" s="146"/>
      <c r="AE901" s="146"/>
      <c r="AF901" s="146"/>
      <c r="AG901" s="146"/>
    </row>
    <row r="902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  <c r="Y902" s="146"/>
      <c r="Z902" s="146"/>
      <c r="AA902" s="146"/>
      <c r="AB902" s="146"/>
      <c r="AC902" s="146"/>
      <c r="AD902" s="146"/>
      <c r="AE902" s="146"/>
      <c r="AF902" s="146"/>
      <c r="AG902" s="146"/>
    </row>
    <row r="903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  <c r="Y903" s="146"/>
      <c r="Z903" s="146"/>
      <c r="AA903" s="146"/>
      <c r="AB903" s="146"/>
      <c r="AC903" s="146"/>
      <c r="AD903" s="146"/>
      <c r="AE903" s="146"/>
      <c r="AF903" s="146"/>
      <c r="AG903" s="146"/>
    </row>
    <row r="904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  <c r="Y904" s="146"/>
      <c r="Z904" s="146"/>
      <c r="AA904" s="146"/>
      <c r="AB904" s="146"/>
      <c r="AC904" s="146"/>
      <c r="AD904" s="146"/>
      <c r="AE904" s="146"/>
      <c r="AF904" s="146"/>
      <c r="AG904" s="146"/>
    </row>
    <row r="905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  <c r="Y905" s="146"/>
      <c r="Z905" s="146"/>
      <c r="AA905" s="146"/>
      <c r="AB905" s="146"/>
      <c r="AC905" s="146"/>
      <c r="AD905" s="146"/>
      <c r="AE905" s="146"/>
      <c r="AF905" s="146"/>
      <c r="AG905" s="146"/>
    </row>
    <row r="906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  <c r="Y906" s="146"/>
      <c r="Z906" s="146"/>
      <c r="AA906" s="146"/>
      <c r="AB906" s="146"/>
      <c r="AC906" s="146"/>
      <c r="AD906" s="146"/>
      <c r="AE906" s="146"/>
      <c r="AF906" s="146"/>
      <c r="AG906" s="146"/>
    </row>
    <row r="907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  <c r="Y907" s="146"/>
      <c r="Z907" s="146"/>
      <c r="AA907" s="146"/>
      <c r="AB907" s="146"/>
      <c r="AC907" s="146"/>
      <c r="AD907" s="146"/>
      <c r="AE907" s="146"/>
      <c r="AF907" s="146"/>
      <c r="AG907" s="146"/>
    </row>
    <row r="908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  <c r="Y908" s="146"/>
      <c r="Z908" s="146"/>
      <c r="AA908" s="146"/>
      <c r="AB908" s="146"/>
      <c r="AC908" s="146"/>
      <c r="AD908" s="146"/>
      <c r="AE908" s="146"/>
      <c r="AF908" s="146"/>
      <c r="AG908" s="146"/>
    </row>
    <row r="909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  <c r="Y909" s="146"/>
      <c r="Z909" s="146"/>
      <c r="AA909" s="146"/>
      <c r="AB909" s="146"/>
      <c r="AC909" s="146"/>
      <c r="AD909" s="146"/>
      <c r="AE909" s="146"/>
      <c r="AF909" s="146"/>
      <c r="AG909" s="146"/>
    </row>
    <row r="910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  <c r="Y910" s="146"/>
      <c r="Z910" s="146"/>
      <c r="AA910" s="146"/>
      <c r="AB910" s="146"/>
      <c r="AC910" s="146"/>
      <c r="AD910" s="146"/>
      <c r="AE910" s="146"/>
      <c r="AF910" s="146"/>
      <c r="AG910" s="146"/>
    </row>
    <row r="911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  <c r="Y911" s="146"/>
      <c r="Z911" s="146"/>
      <c r="AA911" s="146"/>
      <c r="AB911" s="146"/>
      <c r="AC911" s="146"/>
      <c r="AD911" s="146"/>
      <c r="AE911" s="146"/>
      <c r="AF911" s="146"/>
      <c r="AG911" s="146"/>
    </row>
    <row r="912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  <c r="Y912" s="146"/>
      <c r="Z912" s="146"/>
      <c r="AA912" s="146"/>
      <c r="AB912" s="146"/>
      <c r="AC912" s="146"/>
      <c r="AD912" s="146"/>
      <c r="AE912" s="146"/>
      <c r="AF912" s="146"/>
      <c r="AG912" s="146"/>
    </row>
    <row r="913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  <c r="Y913" s="146"/>
      <c r="Z913" s="146"/>
      <c r="AA913" s="146"/>
      <c r="AB913" s="146"/>
      <c r="AC913" s="146"/>
      <c r="AD913" s="146"/>
      <c r="AE913" s="146"/>
      <c r="AF913" s="146"/>
      <c r="AG913" s="146"/>
    </row>
    <row r="914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  <c r="Y914" s="146"/>
      <c r="Z914" s="146"/>
      <c r="AA914" s="146"/>
      <c r="AB914" s="146"/>
      <c r="AC914" s="146"/>
      <c r="AD914" s="146"/>
      <c r="AE914" s="146"/>
      <c r="AF914" s="146"/>
      <c r="AG914" s="146"/>
    </row>
    <row r="915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  <c r="Y915" s="146"/>
      <c r="Z915" s="146"/>
      <c r="AA915" s="146"/>
      <c r="AB915" s="146"/>
      <c r="AC915" s="146"/>
      <c r="AD915" s="146"/>
      <c r="AE915" s="146"/>
      <c r="AF915" s="146"/>
      <c r="AG915" s="146"/>
    </row>
    <row r="916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  <c r="Y916" s="146"/>
      <c r="Z916" s="146"/>
      <c r="AA916" s="146"/>
      <c r="AB916" s="146"/>
      <c r="AC916" s="146"/>
      <c r="AD916" s="146"/>
      <c r="AE916" s="146"/>
      <c r="AF916" s="146"/>
      <c r="AG916" s="146"/>
    </row>
    <row r="917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  <c r="Y917" s="146"/>
      <c r="Z917" s="146"/>
      <c r="AA917" s="146"/>
      <c r="AB917" s="146"/>
      <c r="AC917" s="146"/>
      <c r="AD917" s="146"/>
      <c r="AE917" s="146"/>
      <c r="AF917" s="146"/>
      <c r="AG917" s="146"/>
    </row>
    <row r="918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  <c r="Y918" s="146"/>
      <c r="Z918" s="146"/>
      <c r="AA918" s="146"/>
      <c r="AB918" s="146"/>
      <c r="AC918" s="146"/>
      <c r="AD918" s="146"/>
      <c r="AE918" s="146"/>
      <c r="AF918" s="146"/>
      <c r="AG918" s="146"/>
    </row>
    <row r="919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  <c r="Y919" s="146"/>
      <c r="Z919" s="146"/>
      <c r="AA919" s="146"/>
      <c r="AB919" s="146"/>
      <c r="AC919" s="146"/>
      <c r="AD919" s="146"/>
      <c r="AE919" s="146"/>
      <c r="AF919" s="146"/>
      <c r="AG919" s="146"/>
    </row>
    <row r="920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  <c r="Y920" s="146"/>
      <c r="Z920" s="146"/>
      <c r="AA920" s="146"/>
      <c r="AB920" s="146"/>
      <c r="AC920" s="146"/>
      <c r="AD920" s="146"/>
      <c r="AE920" s="146"/>
      <c r="AF920" s="146"/>
      <c r="AG920" s="146"/>
    </row>
    <row r="921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  <c r="Y921" s="146"/>
      <c r="Z921" s="146"/>
      <c r="AA921" s="146"/>
      <c r="AB921" s="146"/>
      <c r="AC921" s="146"/>
      <c r="AD921" s="146"/>
      <c r="AE921" s="146"/>
      <c r="AF921" s="146"/>
      <c r="AG921" s="146"/>
    </row>
    <row r="922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  <c r="Y922" s="146"/>
      <c r="Z922" s="146"/>
      <c r="AA922" s="146"/>
      <c r="AB922" s="146"/>
      <c r="AC922" s="146"/>
      <c r="AD922" s="146"/>
      <c r="AE922" s="146"/>
      <c r="AF922" s="146"/>
      <c r="AG922" s="146"/>
    </row>
    <row r="923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  <c r="Y923" s="146"/>
      <c r="Z923" s="146"/>
      <c r="AA923" s="146"/>
      <c r="AB923" s="146"/>
      <c r="AC923" s="146"/>
      <c r="AD923" s="146"/>
      <c r="AE923" s="146"/>
      <c r="AF923" s="146"/>
      <c r="AG923" s="146"/>
    </row>
    <row r="924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  <c r="Y924" s="146"/>
      <c r="Z924" s="146"/>
      <c r="AA924" s="146"/>
      <c r="AB924" s="146"/>
      <c r="AC924" s="146"/>
      <c r="AD924" s="146"/>
      <c r="AE924" s="146"/>
      <c r="AF924" s="146"/>
      <c r="AG924" s="146"/>
    </row>
    <row r="925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  <c r="Y925" s="146"/>
      <c r="Z925" s="146"/>
      <c r="AA925" s="146"/>
      <c r="AB925" s="146"/>
      <c r="AC925" s="146"/>
      <c r="AD925" s="146"/>
      <c r="AE925" s="146"/>
      <c r="AF925" s="146"/>
      <c r="AG925" s="146"/>
    </row>
    <row r="926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  <c r="Y926" s="146"/>
      <c r="Z926" s="146"/>
      <c r="AA926" s="146"/>
      <c r="AB926" s="146"/>
      <c r="AC926" s="146"/>
      <c r="AD926" s="146"/>
      <c r="AE926" s="146"/>
      <c r="AF926" s="146"/>
      <c r="AG926" s="146"/>
    </row>
    <row r="927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  <c r="Y927" s="146"/>
      <c r="Z927" s="146"/>
      <c r="AA927" s="146"/>
      <c r="AB927" s="146"/>
      <c r="AC927" s="146"/>
      <c r="AD927" s="146"/>
      <c r="AE927" s="146"/>
      <c r="AF927" s="146"/>
      <c r="AG927" s="146"/>
    </row>
    <row r="928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  <c r="Y928" s="146"/>
      <c r="Z928" s="146"/>
      <c r="AA928" s="146"/>
      <c r="AB928" s="146"/>
      <c r="AC928" s="146"/>
      <c r="AD928" s="146"/>
      <c r="AE928" s="146"/>
      <c r="AF928" s="146"/>
      <c r="AG928" s="146"/>
    </row>
    <row r="929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  <c r="Y929" s="146"/>
      <c r="Z929" s="146"/>
      <c r="AA929" s="146"/>
      <c r="AB929" s="146"/>
      <c r="AC929" s="146"/>
      <c r="AD929" s="146"/>
      <c r="AE929" s="146"/>
      <c r="AF929" s="146"/>
      <c r="AG929" s="146"/>
    </row>
    <row r="930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  <c r="Y930" s="146"/>
      <c r="Z930" s="146"/>
      <c r="AA930" s="146"/>
      <c r="AB930" s="146"/>
      <c r="AC930" s="146"/>
      <c r="AD930" s="146"/>
      <c r="AE930" s="146"/>
      <c r="AF930" s="146"/>
      <c r="AG930" s="146"/>
    </row>
    <row r="931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  <c r="Y931" s="146"/>
      <c r="Z931" s="146"/>
      <c r="AA931" s="146"/>
      <c r="AB931" s="146"/>
      <c r="AC931" s="146"/>
      <c r="AD931" s="146"/>
      <c r="AE931" s="146"/>
      <c r="AF931" s="146"/>
      <c r="AG931" s="146"/>
    </row>
    <row r="932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  <c r="Y932" s="146"/>
      <c r="Z932" s="146"/>
      <c r="AA932" s="146"/>
      <c r="AB932" s="146"/>
      <c r="AC932" s="146"/>
      <c r="AD932" s="146"/>
      <c r="AE932" s="146"/>
      <c r="AF932" s="146"/>
      <c r="AG932" s="146"/>
    </row>
    <row r="933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  <c r="Y933" s="146"/>
      <c r="Z933" s="146"/>
      <c r="AA933" s="146"/>
      <c r="AB933" s="146"/>
      <c r="AC933" s="146"/>
      <c r="AD933" s="146"/>
      <c r="AE933" s="146"/>
      <c r="AF933" s="146"/>
      <c r="AG933" s="146"/>
    </row>
    <row r="934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  <c r="Y934" s="146"/>
      <c r="Z934" s="146"/>
      <c r="AA934" s="146"/>
      <c r="AB934" s="146"/>
      <c r="AC934" s="146"/>
      <c r="AD934" s="146"/>
      <c r="AE934" s="146"/>
      <c r="AF934" s="146"/>
      <c r="AG934" s="146"/>
    </row>
    <row r="935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  <c r="Y935" s="146"/>
      <c r="Z935" s="146"/>
      <c r="AA935" s="146"/>
      <c r="AB935" s="146"/>
      <c r="AC935" s="146"/>
      <c r="AD935" s="146"/>
      <c r="AE935" s="146"/>
      <c r="AF935" s="146"/>
      <c r="AG935" s="146"/>
    </row>
    <row r="936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  <c r="Y936" s="146"/>
      <c r="Z936" s="146"/>
      <c r="AA936" s="146"/>
      <c r="AB936" s="146"/>
      <c r="AC936" s="146"/>
      <c r="AD936" s="146"/>
      <c r="AE936" s="146"/>
      <c r="AF936" s="146"/>
      <c r="AG936" s="146"/>
    </row>
    <row r="937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  <c r="Y937" s="146"/>
      <c r="Z937" s="146"/>
      <c r="AA937" s="146"/>
      <c r="AB937" s="146"/>
      <c r="AC937" s="146"/>
      <c r="AD937" s="146"/>
      <c r="AE937" s="146"/>
      <c r="AF937" s="146"/>
      <c r="AG937" s="146"/>
    </row>
    <row r="938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  <c r="Y938" s="146"/>
      <c r="Z938" s="146"/>
      <c r="AA938" s="146"/>
      <c r="AB938" s="146"/>
      <c r="AC938" s="146"/>
      <c r="AD938" s="146"/>
      <c r="AE938" s="146"/>
      <c r="AF938" s="146"/>
      <c r="AG938" s="146"/>
    </row>
    <row r="939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  <c r="Y939" s="146"/>
      <c r="Z939" s="146"/>
      <c r="AA939" s="146"/>
      <c r="AB939" s="146"/>
      <c r="AC939" s="146"/>
      <c r="AD939" s="146"/>
      <c r="AE939" s="146"/>
      <c r="AF939" s="146"/>
      <c r="AG939" s="146"/>
    </row>
    <row r="940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  <c r="Y940" s="146"/>
      <c r="Z940" s="146"/>
      <c r="AA940" s="146"/>
      <c r="AB940" s="146"/>
      <c r="AC940" s="146"/>
      <c r="AD940" s="146"/>
      <c r="AE940" s="146"/>
      <c r="AF940" s="146"/>
      <c r="AG940" s="146"/>
    </row>
    <row r="941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  <c r="Y941" s="146"/>
      <c r="Z941" s="146"/>
      <c r="AA941" s="146"/>
      <c r="AB941" s="146"/>
      <c r="AC941" s="146"/>
      <c r="AD941" s="146"/>
      <c r="AE941" s="146"/>
      <c r="AF941" s="146"/>
      <c r="AG941" s="146"/>
    </row>
    <row r="942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  <c r="Y942" s="146"/>
      <c r="Z942" s="146"/>
      <c r="AA942" s="146"/>
      <c r="AB942" s="146"/>
      <c r="AC942" s="146"/>
      <c r="AD942" s="146"/>
      <c r="AE942" s="146"/>
      <c r="AF942" s="146"/>
      <c r="AG942" s="146"/>
    </row>
    <row r="943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  <c r="Y943" s="146"/>
      <c r="Z943" s="146"/>
      <c r="AA943" s="146"/>
      <c r="AB943" s="146"/>
      <c r="AC943" s="146"/>
      <c r="AD943" s="146"/>
      <c r="AE943" s="146"/>
      <c r="AF943" s="146"/>
      <c r="AG943" s="146"/>
    </row>
    <row r="944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  <c r="Y944" s="146"/>
      <c r="Z944" s="146"/>
      <c r="AA944" s="146"/>
      <c r="AB944" s="146"/>
      <c r="AC944" s="146"/>
      <c r="AD944" s="146"/>
      <c r="AE944" s="146"/>
      <c r="AF944" s="146"/>
      <c r="AG944" s="146"/>
    </row>
    <row r="945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  <c r="Y945" s="146"/>
      <c r="Z945" s="146"/>
      <c r="AA945" s="146"/>
      <c r="AB945" s="146"/>
      <c r="AC945" s="146"/>
      <c r="AD945" s="146"/>
      <c r="AE945" s="146"/>
      <c r="AF945" s="146"/>
      <c r="AG945" s="146"/>
    </row>
    <row r="946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  <c r="Y946" s="146"/>
      <c r="Z946" s="146"/>
      <c r="AA946" s="146"/>
      <c r="AB946" s="146"/>
      <c r="AC946" s="146"/>
      <c r="AD946" s="146"/>
      <c r="AE946" s="146"/>
      <c r="AF946" s="146"/>
      <c r="AG946" s="146"/>
    </row>
    <row r="947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  <c r="Y947" s="146"/>
      <c r="Z947" s="146"/>
      <c r="AA947" s="146"/>
      <c r="AB947" s="146"/>
      <c r="AC947" s="146"/>
      <c r="AD947" s="146"/>
      <c r="AE947" s="146"/>
      <c r="AF947" s="146"/>
      <c r="AG947" s="146"/>
    </row>
    <row r="948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  <c r="Y948" s="146"/>
      <c r="Z948" s="146"/>
      <c r="AA948" s="146"/>
      <c r="AB948" s="146"/>
      <c r="AC948" s="146"/>
      <c r="AD948" s="146"/>
      <c r="AE948" s="146"/>
      <c r="AF948" s="146"/>
      <c r="AG948" s="146"/>
    </row>
    <row r="949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  <c r="Y949" s="146"/>
      <c r="Z949" s="146"/>
      <c r="AA949" s="146"/>
      <c r="AB949" s="146"/>
      <c r="AC949" s="146"/>
      <c r="AD949" s="146"/>
      <c r="AE949" s="146"/>
      <c r="AF949" s="146"/>
      <c r="AG949" s="146"/>
    </row>
    <row r="950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  <c r="Y950" s="146"/>
      <c r="Z950" s="146"/>
      <c r="AA950" s="146"/>
      <c r="AB950" s="146"/>
      <c r="AC950" s="146"/>
      <c r="AD950" s="146"/>
      <c r="AE950" s="146"/>
      <c r="AF950" s="146"/>
      <c r="AG950" s="146"/>
    </row>
    <row r="951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  <c r="Y951" s="146"/>
      <c r="Z951" s="146"/>
      <c r="AA951" s="146"/>
      <c r="AB951" s="146"/>
      <c r="AC951" s="146"/>
      <c r="AD951" s="146"/>
      <c r="AE951" s="146"/>
      <c r="AF951" s="146"/>
      <c r="AG951" s="146"/>
    </row>
    <row r="952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  <c r="Y952" s="146"/>
      <c r="Z952" s="146"/>
      <c r="AA952" s="146"/>
      <c r="AB952" s="146"/>
      <c r="AC952" s="146"/>
      <c r="AD952" s="146"/>
      <c r="AE952" s="146"/>
      <c r="AF952" s="146"/>
      <c r="AG952" s="146"/>
    </row>
    <row r="953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  <c r="Y953" s="146"/>
      <c r="Z953" s="146"/>
      <c r="AA953" s="146"/>
      <c r="AB953" s="146"/>
      <c r="AC953" s="146"/>
      <c r="AD953" s="146"/>
      <c r="AE953" s="146"/>
      <c r="AF953" s="146"/>
      <c r="AG953" s="146"/>
    </row>
    <row r="954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  <c r="Y954" s="146"/>
      <c r="Z954" s="146"/>
      <c r="AA954" s="146"/>
      <c r="AB954" s="146"/>
      <c r="AC954" s="146"/>
      <c r="AD954" s="146"/>
      <c r="AE954" s="146"/>
      <c r="AF954" s="146"/>
      <c r="AG954" s="146"/>
    </row>
    <row r="955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  <c r="Y955" s="146"/>
      <c r="Z955" s="146"/>
      <c r="AA955" s="146"/>
      <c r="AB955" s="146"/>
      <c r="AC955" s="146"/>
      <c r="AD955" s="146"/>
      <c r="AE955" s="146"/>
      <c r="AF955" s="146"/>
      <c r="AG955" s="146"/>
    </row>
    <row r="956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  <c r="Y956" s="146"/>
      <c r="Z956" s="146"/>
      <c r="AA956" s="146"/>
      <c r="AB956" s="146"/>
      <c r="AC956" s="146"/>
      <c r="AD956" s="146"/>
      <c r="AE956" s="146"/>
      <c r="AF956" s="146"/>
      <c r="AG956" s="146"/>
    </row>
    <row r="957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  <c r="Y957" s="146"/>
      <c r="Z957" s="146"/>
      <c r="AA957" s="146"/>
      <c r="AB957" s="146"/>
      <c r="AC957" s="146"/>
      <c r="AD957" s="146"/>
      <c r="AE957" s="146"/>
      <c r="AF957" s="146"/>
      <c r="AG957" s="146"/>
    </row>
    <row r="958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  <c r="Y958" s="146"/>
      <c r="Z958" s="146"/>
      <c r="AA958" s="146"/>
      <c r="AB958" s="146"/>
      <c r="AC958" s="146"/>
      <c r="AD958" s="146"/>
      <c r="AE958" s="146"/>
      <c r="AF958" s="146"/>
      <c r="AG958" s="146"/>
    </row>
    <row r="959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  <c r="Y959" s="146"/>
      <c r="Z959" s="146"/>
      <c r="AA959" s="146"/>
      <c r="AB959" s="146"/>
      <c r="AC959" s="146"/>
      <c r="AD959" s="146"/>
      <c r="AE959" s="146"/>
      <c r="AF959" s="146"/>
      <c r="AG959" s="146"/>
    </row>
    <row r="960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  <c r="Y960" s="146"/>
      <c r="Z960" s="146"/>
      <c r="AA960" s="146"/>
      <c r="AB960" s="146"/>
      <c r="AC960" s="146"/>
      <c r="AD960" s="146"/>
      <c r="AE960" s="146"/>
      <c r="AF960" s="146"/>
      <c r="AG960" s="146"/>
    </row>
    <row r="961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  <c r="Y961" s="146"/>
      <c r="Z961" s="146"/>
      <c r="AA961" s="146"/>
      <c r="AB961" s="146"/>
      <c r="AC961" s="146"/>
      <c r="AD961" s="146"/>
      <c r="AE961" s="146"/>
      <c r="AF961" s="146"/>
      <c r="AG961" s="146"/>
    </row>
    <row r="962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  <c r="Y962" s="146"/>
      <c r="Z962" s="146"/>
      <c r="AA962" s="146"/>
      <c r="AB962" s="146"/>
      <c r="AC962" s="146"/>
      <c r="AD962" s="146"/>
      <c r="AE962" s="146"/>
      <c r="AF962" s="146"/>
      <c r="AG962" s="146"/>
    </row>
    <row r="963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  <c r="Y963" s="146"/>
      <c r="Z963" s="146"/>
      <c r="AA963" s="146"/>
      <c r="AB963" s="146"/>
      <c r="AC963" s="146"/>
      <c r="AD963" s="146"/>
      <c r="AE963" s="146"/>
      <c r="AF963" s="146"/>
      <c r="AG963" s="146"/>
    </row>
    <row r="964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  <c r="Y964" s="146"/>
      <c r="Z964" s="146"/>
      <c r="AA964" s="146"/>
      <c r="AB964" s="146"/>
      <c r="AC964" s="146"/>
      <c r="AD964" s="146"/>
      <c r="AE964" s="146"/>
      <c r="AF964" s="146"/>
      <c r="AG964" s="146"/>
    </row>
    <row r="965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  <c r="Y965" s="146"/>
      <c r="Z965" s="146"/>
      <c r="AA965" s="146"/>
      <c r="AB965" s="146"/>
      <c r="AC965" s="146"/>
      <c r="AD965" s="146"/>
      <c r="AE965" s="146"/>
      <c r="AF965" s="146"/>
      <c r="AG965" s="146"/>
    </row>
    <row r="966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  <c r="Y966" s="146"/>
      <c r="Z966" s="146"/>
      <c r="AA966" s="146"/>
      <c r="AB966" s="146"/>
      <c r="AC966" s="146"/>
      <c r="AD966" s="146"/>
      <c r="AE966" s="146"/>
      <c r="AF966" s="146"/>
      <c r="AG966" s="146"/>
    </row>
    <row r="967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  <c r="Y967" s="146"/>
      <c r="Z967" s="146"/>
      <c r="AA967" s="146"/>
      <c r="AB967" s="146"/>
      <c r="AC967" s="146"/>
      <c r="AD967" s="146"/>
      <c r="AE967" s="146"/>
      <c r="AF967" s="146"/>
      <c r="AG967" s="146"/>
    </row>
    <row r="968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  <c r="Y968" s="146"/>
      <c r="Z968" s="146"/>
      <c r="AA968" s="146"/>
      <c r="AB968" s="146"/>
      <c r="AC968" s="146"/>
      <c r="AD968" s="146"/>
      <c r="AE968" s="146"/>
      <c r="AF968" s="146"/>
      <c r="AG968" s="146"/>
    </row>
    <row r="969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  <c r="Y969" s="146"/>
      <c r="Z969" s="146"/>
      <c r="AA969" s="146"/>
      <c r="AB969" s="146"/>
      <c r="AC969" s="146"/>
      <c r="AD969" s="146"/>
      <c r="AE969" s="146"/>
      <c r="AF969" s="146"/>
      <c r="AG969" s="146"/>
    </row>
    <row r="970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  <c r="Y970" s="146"/>
      <c r="Z970" s="146"/>
      <c r="AA970" s="146"/>
      <c r="AB970" s="146"/>
      <c r="AC970" s="146"/>
      <c r="AD970" s="146"/>
      <c r="AE970" s="146"/>
      <c r="AF970" s="146"/>
      <c r="AG970" s="146"/>
    </row>
    <row r="971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  <c r="Y971" s="146"/>
      <c r="Z971" s="146"/>
      <c r="AA971" s="146"/>
      <c r="AB971" s="146"/>
      <c r="AC971" s="146"/>
      <c r="AD971" s="146"/>
      <c r="AE971" s="146"/>
      <c r="AF971" s="146"/>
      <c r="AG971" s="146"/>
    </row>
    <row r="972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  <c r="Y972" s="146"/>
      <c r="Z972" s="146"/>
      <c r="AA972" s="146"/>
      <c r="AB972" s="146"/>
      <c r="AC972" s="146"/>
      <c r="AD972" s="146"/>
      <c r="AE972" s="146"/>
      <c r="AF972" s="146"/>
      <c r="AG972" s="146"/>
    </row>
    <row r="973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  <c r="Y973" s="146"/>
      <c r="Z973" s="146"/>
      <c r="AA973" s="146"/>
      <c r="AB973" s="146"/>
      <c r="AC973" s="146"/>
      <c r="AD973" s="146"/>
      <c r="AE973" s="146"/>
      <c r="AF973" s="146"/>
      <c r="AG973" s="146"/>
    </row>
    <row r="974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  <c r="Y974" s="146"/>
      <c r="Z974" s="146"/>
      <c r="AA974" s="146"/>
      <c r="AB974" s="146"/>
      <c r="AC974" s="146"/>
      <c r="AD974" s="146"/>
      <c r="AE974" s="146"/>
      <c r="AF974" s="146"/>
      <c r="AG974" s="146"/>
    </row>
    <row r="975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  <c r="Y975" s="146"/>
      <c r="Z975" s="146"/>
      <c r="AA975" s="146"/>
      <c r="AB975" s="146"/>
      <c r="AC975" s="146"/>
      <c r="AD975" s="146"/>
      <c r="AE975" s="146"/>
      <c r="AF975" s="146"/>
      <c r="AG975" s="146"/>
    </row>
    <row r="976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  <c r="Y976" s="146"/>
      <c r="Z976" s="146"/>
      <c r="AA976" s="146"/>
      <c r="AB976" s="146"/>
      <c r="AC976" s="146"/>
      <c r="AD976" s="146"/>
      <c r="AE976" s="146"/>
      <c r="AF976" s="146"/>
      <c r="AG976" s="146"/>
    </row>
    <row r="977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  <c r="Y977" s="146"/>
      <c r="Z977" s="146"/>
      <c r="AA977" s="146"/>
      <c r="AB977" s="146"/>
      <c r="AC977" s="146"/>
      <c r="AD977" s="146"/>
      <c r="AE977" s="146"/>
      <c r="AF977" s="146"/>
      <c r="AG977" s="146"/>
    </row>
    <row r="978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  <c r="Y978" s="146"/>
      <c r="Z978" s="146"/>
      <c r="AA978" s="146"/>
      <c r="AB978" s="146"/>
      <c r="AC978" s="146"/>
      <c r="AD978" s="146"/>
      <c r="AE978" s="146"/>
      <c r="AF978" s="146"/>
      <c r="AG978" s="146"/>
    </row>
    <row r="979">
      <c r="A979" s="146"/>
      <c r="B979" s="146"/>
      <c r="C979" s="146"/>
      <c r="D979" s="146"/>
      <c r="E979" s="146"/>
      <c r="F979" s="146"/>
      <c r="G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  <c r="Y979" s="146"/>
      <c r="Z979" s="146"/>
      <c r="AA979" s="146"/>
      <c r="AB979" s="146"/>
      <c r="AC979" s="146"/>
      <c r="AD979" s="146"/>
      <c r="AE979" s="146"/>
      <c r="AF979" s="146"/>
      <c r="AG979" s="146"/>
    </row>
    <row r="980">
      <c r="A980" s="146"/>
      <c r="B980" s="146"/>
      <c r="C980" s="146"/>
      <c r="D980" s="146"/>
      <c r="E980" s="146"/>
      <c r="F980" s="146"/>
      <c r="G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  <c r="Y980" s="146"/>
      <c r="Z980" s="146"/>
      <c r="AA980" s="146"/>
      <c r="AB980" s="146"/>
      <c r="AC980" s="146"/>
      <c r="AD980" s="146"/>
      <c r="AE980" s="146"/>
      <c r="AF980" s="146"/>
      <c r="AG980" s="146"/>
    </row>
    <row r="981">
      <c r="A981" s="146"/>
      <c r="B981" s="146"/>
      <c r="C981" s="146"/>
      <c r="D981" s="146"/>
      <c r="E981" s="146"/>
      <c r="F981" s="146"/>
      <c r="G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  <c r="Y981" s="146"/>
      <c r="Z981" s="146"/>
      <c r="AA981" s="146"/>
      <c r="AB981" s="146"/>
      <c r="AC981" s="146"/>
      <c r="AD981" s="146"/>
      <c r="AE981" s="146"/>
      <c r="AF981" s="146"/>
      <c r="AG981" s="146"/>
    </row>
    <row r="982">
      <c r="A982" s="146"/>
      <c r="B982" s="146"/>
      <c r="C982" s="146"/>
      <c r="D982" s="146"/>
      <c r="E982" s="146"/>
      <c r="F982" s="146"/>
      <c r="G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  <c r="Y982" s="146"/>
      <c r="Z982" s="146"/>
      <c r="AA982" s="146"/>
      <c r="AB982" s="146"/>
      <c r="AC982" s="146"/>
      <c r="AD982" s="146"/>
      <c r="AE982" s="146"/>
      <c r="AF982" s="146"/>
      <c r="AG982" s="146"/>
    </row>
    <row r="983">
      <c r="A983" s="146"/>
      <c r="B983" s="146"/>
      <c r="C983" s="146"/>
      <c r="D983" s="146"/>
      <c r="E983" s="146"/>
      <c r="F983" s="146"/>
      <c r="G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  <c r="Y983" s="146"/>
      <c r="Z983" s="146"/>
      <c r="AA983" s="146"/>
      <c r="AB983" s="146"/>
      <c r="AC983" s="146"/>
      <c r="AD983" s="146"/>
      <c r="AE983" s="146"/>
      <c r="AF983" s="146"/>
      <c r="AG983" s="146"/>
    </row>
    <row r="984">
      <c r="A984" s="146"/>
      <c r="B984" s="146"/>
      <c r="C984" s="146"/>
      <c r="D984" s="146"/>
      <c r="E984" s="146"/>
      <c r="F984" s="146"/>
      <c r="G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  <c r="Y984" s="146"/>
      <c r="Z984" s="146"/>
      <c r="AA984" s="146"/>
      <c r="AB984" s="146"/>
      <c r="AC984" s="146"/>
      <c r="AD984" s="146"/>
      <c r="AE984" s="146"/>
      <c r="AF984" s="146"/>
      <c r="AG984" s="146"/>
    </row>
    <row r="985">
      <c r="A985" s="146"/>
      <c r="B985" s="146"/>
      <c r="C985" s="146"/>
      <c r="D985" s="146"/>
      <c r="E985" s="146"/>
      <c r="F985" s="146"/>
      <c r="G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  <c r="Y985" s="146"/>
      <c r="Z985" s="146"/>
      <c r="AA985" s="146"/>
      <c r="AB985" s="146"/>
      <c r="AC985" s="146"/>
      <c r="AD985" s="146"/>
      <c r="AE985" s="146"/>
      <c r="AF985" s="146"/>
      <c r="AG985" s="146"/>
    </row>
    <row r="986">
      <c r="A986" s="146"/>
      <c r="B986" s="146"/>
      <c r="C986" s="146"/>
      <c r="D986" s="146"/>
      <c r="E986" s="146"/>
      <c r="F986" s="146"/>
      <c r="G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  <c r="Y986" s="146"/>
      <c r="Z986" s="146"/>
      <c r="AA986" s="146"/>
      <c r="AB986" s="146"/>
      <c r="AC986" s="146"/>
      <c r="AD986" s="146"/>
      <c r="AE986" s="146"/>
      <c r="AF986" s="146"/>
      <c r="AG986" s="146"/>
    </row>
    <row r="987">
      <c r="A987" s="146"/>
      <c r="B987" s="146"/>
      <c r="C987" s="146"/>
      <c r="D987" s="146"/>
      <c r="E987" s="146"/>
      <c r="F987" s="146"/>
      <c r="G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  <c r="Y987" s="146"/>
      <c r="Z987" s="146"/>
      <c r="AA987" s="146"/>
      <c r="AB987" s="146"/>
      <c r="AC987" s="146"/>
      <c r="AD987" s="146"/>
      <c r="AE987" s="146"/>
      <c r="AF987" s="146"/>
      <c r="AG987" s="146"/>
    </row>
    <row r="988">
      <c r="A988" s="146"/>
      <c r="B988" s="146"/>
      <c r="C988" s="146"/>
      <c r="D988" s="146"/>
      <c r="E988" s="146"/>
      <c r="F988" s="146"/>
      <c r="G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  <c r="Y988" s="146"/>
      <c r="Z988" s="146"/>
      <c r="AA988" s="146"/>
      <c r="AB988" s="146"/>
      <c r="AC988" s="146"/>
      <c r="AD988" s="146"/>
      <c r="AE988" s="146"/>
      <c r="AF988" s="146"/>
      <c r="AG988" s="146"/>
    </row>
    <row r="989">
      <c r="A989" s="146"/>
      <c r="B989" s="146"/>
      <c r="C989" s="146"/>
      <c r="D989" s="146"/>
      <c r="E989" s="146"/>
      <c r="F989" s="146"/>
      <c r="G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  <c r="Y989" s="146"/>
      <c r="Z989" s="146"/>
      <c r="AA989" s="146"/>
      <c r="AB989" s="146"/>
      <c r="AC989" s="146"/>
      <c r="AD989" s="146"/>
      <c r="AE989" s="146"/>
      <c r="AF989" s="146"/>
      <c r="AG989" s="146"/>
    </row>
    <row r="990">
      <c r="A990" s="146"/>
      <c r="B990" s="146"/>
      <c r="C990" s="146"/>
      <c r="D990" s="146"/>
      <c r="E990" s="146"/>
      <c r="F990" s="146"/>
      <c r="G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  <c r="Y990" s="146"/>
      <c r="Z990" s="146"/>
      <c r="AA990" s="146"/>
      <c r="AB990" s="146"/>
      <c r="AC990" s="146"/>
      <c r="AD990" s="146"/>
      <c r="AE990" s="146"/>
      <c r="AF990" s="146"/>
      <c r="AG990" s="146"/>
    </row>
    <row r="991">
      <c r="A991" s="146"/>
      <c r="B991" s="146"/>
      <c r="C991" s="146"/>
      <c r="D991" s="146"/>
      <c r="E991" s="146"/>
      <c r="F991" s="146"/>
      <c r="G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  <c r="Y991" s="146"/>
      <c r="Z991" s="146"/>
      <c r="AA991" s="146"/>
      <c r="AB991" s="146"/>
      <c r="AC991" s="146"/>
      <c r="AD991" s="146"/>
      <c r="AE991" s="146"/>
      <c r="AF991" s="146"/>
      <c r="AG991" s="146"/>
    </row>
    <row r="992">
      <c r="A992" s="146"/>
      <c r="B992" s="146"/>
      <c r="C992" s="146"/>
      <c r="D992" s="146"/>
      <c r="E992" s="146"/>
      <c r="F992" s="146"/>
      <c r="G992" s="146"/>
      <c r="H992" s="146"/>
      <c r="I992" s="146"/>
      <c r="J992" s="146"/>
      <c r="K992" s="146"/>
      <c r="L992" s="146"/>
      <c r="M992" s="146"/>
      <c r="N992" s="146"/>
      <c r="O992" s="146"/>
      <c r="P992" s="146"/>
      <c r="Q992" s="146"/>
      <c r="R992" s="146"/>
      <c r="S992" s="146"/>
      <c r="T992" s="146"/>
      <c r="U992" s="146"/>
      <c r="V992" s="146"/>
      <c r="W992" s="146"/>
      <c r="X992" s="146"/>
      <c r="Y992" s="146"/>
      <c r="Z992" s="146"/>
      <c r="AA992" s="146"/>
      <c r="AB992" s="146"/>
      <c r="AC992" s="146"/>
      <c r="AD992" s="146"/>
      <c r="AE992" s="146"/>
      <c r="AF992" s="146"/>
      <c r="AG992" s="146"/>
    </row>
    <row r="993">
      <c r="A993" s="146"/>
      <c r="B993" s="146"/>
      <c r="C993" s="146"/>
      <c r="D993" s="146"/>
      <c r="E993" s="146"/>
      <c r="F993" s="146"/>
      <c r="G993" s="146"/>
      <c r="H993" s="146"/>
      <c r="I993" s="146"/>
      <c r="J993" s="146"/>
      <c r="K993" s="146"/>
      <c r="L993" s="146"/>
      <c r="M993" s="146"/>
      <c r="N993" s="146"/>
      <c r="O993" s="146"/>
      <c r="P993" s="146"/>
      <c r="Q993" s="146"/>
      <c r="R993" s="146"/>
      <c r="S993" s="146"/>
      <c r="T993" s="146"/>
      <c r="U993" s="146"/>
      <c r="V993" s="146"/>
      <c r="W993" s="146"/>
      <c r="X993" s="146"/>
      <c r="Y993" s="146"/>
      <c r="Z993" s="146"/>
      <c r="AA993" s="146"/>
      <c r="AB993" s="146"/>
      <c r="AC993" s="146"/>
      <c r="AD993" s="146"/>
      <c r="AE993" s="146"/>
      <c r="AF993" s="146"/>
      <c r="AG993" s="146"/>
    </row>
    <row r="994">
      <c r="A994" s="146"/>
      <c r="B994" s="146"/>
      <c r="C994" s="146"/>
      <c r="D994" s="146"/>
      <c r="E994" s="146"/>
      <c r="F994" s="146"/>
      <c r="G994" s="146"/>
      <c r="H994" s="146"/>
      <c r="I994" s="146"/>
      <c r="J994" s="146"/>
      <c r="K994" s="146"/>
      <c r="L994" s="146"/>
      <c r="M994" s="146"/>
      <c r="N994" s="146"/>
      <c r="O994" s="146"/>
      <c r="P994" s="146"/>
      <c r="Q994" s="146"/>
      <c r="R994" s="146"/>
      <c r="S994" s="146"/>
      <c r="T994" s="146"/>
      <c r="U994" s="146"/>
      <c r="V994" s="146"/>
      <c r="W994" s="146"/>
      <c r="X994" s="146"/>
      <c r="Y994" s="146"/>
      <c r="Z994" s="146"/>
      <c r="AA994" s="146"/>
      <c r="AB994" s="146"/>
      <c r="AC994" s="146"/>
      <c r="AD994" s="146"/>
      <c r="AE994" s="146"/>
      <c r="AF994" s="146"/>
      <c r="AG994" s="146"/>
    </row>
    <row r="995">
      <c r="A995" s="146"/>
      <c r="B995" s="146"/>
      <c r="C995" s="146"/>
      <c r="D995" s="146"/>
      <c r="E995" s="146"/>
      <c r="F995" s="146"/>
      <c r="G995" s="146"/>
      <c r="H995" s="146"/>
      <c r="I995" s="146"/>
      <c r="J995" s="146"/>
      <c r="K995" s="146"/>
      <c r="L995" s="146"/>
      <c r="M995" s="146"/>
      <c r="N995" s="146"/>
      <c r="O995" s="146"/>
      <c r="P995" s="146"/>
      <c r="Q995" s="146"/>
      <c r="R995" s="146"/>
      <c r="S995" s="146"/>
      <c r="T995" s="146"/>
      <c r="U995" s="146"/>
      <c r="V995" s="146"/>
      <c r="W995" s="146"/>
      <c r="X995" s="146"/>
      <c r="Y995" s="146"/>
      <c r="Z995" s="146"/>
      <c r="AA995" s="146"/>
      <c r="AB995" s="146"/>
      <c r="AC995" s="146"/>
      <c r="AD995" s="146"/>
      <c r="AE995" s="146"/>
      <c r="AF995" s="146"/>
      <c r="AG995" s="146"/>
    </row>
    <row r="996">
      <c r="A996" s="146"/>
      <c r="B996" s="146"/>
      <c r="C996" s="146"/>
      <c r="D996" s="146"/>
      <c r="E996" s="146"/>
      <c r="F996" s="146"/>
      <c r="G996" s="146"/>
      <c r="H996" s="146"/>
      <c r="I996" s="146"/>
      <c r="J996" s="146"/>
      <c r="K996" s="146"/>
      <c r="L996" s="146"/>
      <c r="M996" s="146"/>
      <c r="N996" s="146"/>
      <c r="O996" s="146"/>
      <c r="P996" s="146"/>
      <c r="Q996" s="146"/>
      <c r="R996" s="146"/>
      <c r="S996" s="146"/>
      <c r="T996" s="146"/>
      <c r="U996" s="146"/>
      <c r="V996" s="146"/>
      <c r="W996" s="146"/>
      <c r="X996" s="146"/>
      <c r="Y996" s="146"/>
      <c r="Z996" s="146"/>
      <c r="AA996" s="146"/>
      <c r="AB996" s="146"/>
      <c r="AC996" s="146"/>
      <c r="AD996" s="146"/>
      <c r="AE996" s="146"/>
      <c r="AF996" s="146"/>
      <c r="AG996" s="146"/>
    </row>
    <row r="997">
      <c r="A997" s="146"/>
      <c r="B997" s="146"/>
      <c r="C997" s="146"/>
      <c r="D997" s="146"/>
      <c r="E997" s="146"/>
      <c r="F997" s="146"/>
      <c r="G997" s="146"/>
      <c r="H997" s="146"/>
      <c r="I997" s="146"/>
      <c r="J997" s="146"/>
      <c r="K997" s="146"/>
      <c r="L997" s="146"/>
      <c r="M997" s="146"/>
      <c r="N997" s="146"/>
      <c r="O997" s="146"/>
      <c r="P997" s="146"/>
      <c r="Q997" s="146"/>
      <c r="R997" s="146"/>
      <c r="S997" s="146"/>
      <c r="T997" s="146"/>
      <c r="U997" s="146"/>
      <c r="V997" s="146"/>
      <c r="W997" s="146"/>
      <c r="X997" s="146"/>
      <c r="Y997" s="146"/>
      <c r="Z997" s="146"/>
      <c r="AA997" s="146"/>
      <c r="AB997" s="146"/>
      <c r="AC997" s="146"/>
      <c r="AD997" s="146"/>
      <c r="AE997" s="146"/>
      <c r="AF997" s="146"/>
      <c r="AG997" s="146"/>
    </row>
    <row r="998">
      <c r="A998" s="146"/>
      <c r="B998" s="146"/>
      <c r="C998" s="146"/>
      <c r="D998" s="146"/>
      <c r="E998" s="146"/>
      <c r="F998" s="146"/>
      <c r="G998" s="146"/>
      <c r="H998" s="146"/>
      <c r="I998" s="146"/>
      <c r="J998" s="146"/>
      <c r="K998" s="146"/>
      <c r="L998" s="146"/>
      <c r="M998" s="146"/>
      <c r="N998" s="146"/>
      <c r="O998" s="146"/>
      <c r="P998" s="146"/>
      <c r="Q998" s="146"/>
      <c r="R998" s="146"/>
      <c r="S998" s="146"/>
      <c r="T998" s="146"/>
      <c r="U998" s="146"/>
      <c r="V998" s="146"/>
      <c r="W998" s="146"/>
      <c r="X998" s="146"/>
      <c r="Y998" s="146"/>
      <c r="Z998" s="146"/>
      <c r="AA998" s="146"/>
      <c r="AB998" s="146"/>
      <c r="AC998" s="146"/>
      <c r="AD998" s="146"/>
      <c r="AE998" s="146"/>
      <c r="AF998" s="146"/>
      <c r="AG998" s="146"/>
    </row>
    <row r="999">
      <c r="A999" s="146"/>
      <c r="B999" s="146"/>
      <c r="C999" s="146"/>
      <c r="D999" s="146"/>
      <c r="E999" s="146"/>
      <c r="F999" s="146"/>
      <c r="G999" s="146"/>
      <c r="H999" s="146"/>
      <c r="I999" s="146"/>
      <c r="J999" s="146"/>
      <c r="K999" s="146"/>
      <c r="L999" s="146"/>
      <c r="M999" s="146"/>
      <c r="N999" s="146"/>
      <c r="O999" s="146"/>
      <c r="P999" s="146"/>
      <c r="Q999" s="146"/>
      <c r="R999" s="146"/>
      <c r="S999" s="146"/>
      <c r="T999" s="146"/>
      <c r="U999" s="146"/>
      <c r="V999" s="146"/>
      <c r="W999" s="146"/>
      <c r="X999" s="146"/>
      <c r="Y999" s="146"/>
      <c r="Z999" s="146"/>
      <c r="AA999" s="146"/>
      <c r="AB999" s="146"/>
      <c r="AC999" s="146"/>
      <c r="AD999" s="146"/>
      <c r="AE999" s="146"/>
      <c r="AF999" s="146"/>
      <c r="AG999" s="146"/>
    </row>
    <row r="1000">
      <c r="A1000" s="146"/>
      <c r="B1000" s="146"/>
      <c r="C1000" s="146"/>
      <c r="D1000" s="146"/>
      <c r="E1000" s="146"/>
      <c r="F1000" s="146"/>
      <c r="G1000" s="146"/>
      <c r="H1000" s="146"/>
      <c r="I1000" s="146"/>
      <c r="J1000" s="146"/>
      <c r="K1000" s="146"/>
      <c r="L1000" s="146"/>
      <c r="M1000" s="146"/>
      <c r="N1000" s="146"/>
      <c r="O1000" s="146"/>
      <c r="P1000" s="146"/>
      <c r="Q1000" s="146"/>
      <c r="R1000" s="146"/>
      <c r="S1000" s="146"/>
      <c r="T1000" s="146"/>
      <c r="U1000" s="146"/>
      <c r="V1000" s="146"/>
      <c r="W1000" s="146"/>
      <c r="X1000" s="146"/>
      <c r="Y1000" s="146"/>
      <c r="Z1000" s="146"/>
      <c r="AA1000" s="146"/>
      <c r="AB1000" s="146"/>
      <c r="AC1000" s="146"/>
      <c r="AD1000" s="146"/>
      <c r="AE1000" s="146"/>
      <c r="AF1000" s="146"/>
      <c r="AG1000" s="146"/>
    </row>
    <row r="1001">
      <c r="A1001" s="146"/>
      <c r="B1001" s="146"/>
      <c r="C1001" s="146"/>
      <c r="D1001" s="146"/>
      <c r="E1001" s="146"/>
      <c r="F1001" s="146"/>
      <c r="G1001" s="146"/>
      <c r="H1001" s="146"/>
      <c r="I1001" s="146"/>
      <c r="J1001" s="146"/>
      <c r="K1001" s="146"/>
      <c r="L1001" s="146"/>
      <c r="M1001" s="146"/>
      <c r="N1001" s="146"/>
      <c r="O1001" s="146"/>
      <c r="P1001" s="146"/>
      <c r="Q1001" s="146"/>
      <c r="R1001" s="146"/>
      <c r="S1001" s="146"/>
      <c r="T1001" s="146"/>
      <c r="U1001" s="146"/>
      <c r="V1001" s="146"/>
      <c r="W1001" s="146"/>
      <c r="X1001" s="146"/>
      <c r="Y1001" s="146"/>
      <c r="Z1001" s="146"/>
      <c r="AA1001" s="146"/>
      <c r="AB1001" s="146"/>
      <c r="AC1001" s="146"/>
      <c r="AD1001" s="146"/>
      <c r="AE1001" s="146"/>
      <c r="AF1001" s="146"/>
      <c r="AG1001" s="146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20" t="s">
        <v>245</v>
      </c>
    </row>
    <row r="2">
      <c r="B2" s="146"/>
      <c r="C2" s="181" t="s">
        <v>246</v>
      </c>
      <c r="E2" s="182"/>
      <c r="F2" s="102" t="s">
        <v>247</v>
      </c>
      <c r="H2" s="182"/>
    </row>
    <row r="3">
      <c r="B3" s="121" t="s">
        <v>248</v>
      </c>
      <c r="C3" s="183" t="s">
        <v>249</v>
      </c>
      <c r="D3" s="121" t="s">
        <v>250</v>
      </c>
      <c r="E3" s="184" t="s">
        <v>105</v>
      </c>
      <c r="F3" s="121" t="s">
        <v>251</v>
      </c>
      <c r="G3" s="121" t="s">
        <v>252</v>
      </c>
      <c r="H3" s="121" t="s">
        <v>253</v>
      </c>
    </row>
    <row r="4">
      <c r="B4" s="185" t="s">
        <v>254</v>
      </c>
      <c r="C4" s="186" t="s">
        <v>255</v>
      </c>
      <c r="D4" s="122" t="s">
        <v>256</v>
      </c>
      <c r="E4" s="187" t="s">
        <v>257</v>
      </c>
      <c r="F4" s="188" t="s">
        <v>258</v>
      </c>
      <c r="G4" s="188" t="s">
        <v>259</v>
      </c>
      <c r="H4" s="122"/>
    </row>
    <row r="5">
      <c r="B5" s="185" t="s">
        <v>260</v>
      </c>
      <c r="C5" s="189" t="s">
        <v>261</v>
      </c>
      <c r="D5" s="141"/>
      <c r="E5" s="187" t="s">
        <v>257</v>
      </c>
      <c r="F5" s="190" t="s">
        <v>262</v>
      </c>
      <c r="G5" s="191" t="s">
        <v>263</v>
      </c>
      <c r="H5" s="122"/>
    </row>
    <row r="6">
      <c r="B6" s="185" t="s">
        <v>264</v>
      </c>
      <c r="C6" s="186" t="s">
        <v>255</v>
      </c>
      <c r="D6" s="122" t="s">
        <v>265</v>
      </c>
      <c r="E6" s="187" t="s">
        <v>257</v>
      </c>
      <c r="F6" s="122" t="s">
        <v>242</v>
      </c>
      <c r="G6" s="122"/>
      <c r="H6" s="122"/>
    </row>
    <row r="7">
      <c r="B7" s="122" t="s">
        <v>17</v>
      </c>
      <c r="C7" s="192" t="s">
        <v>266</v>
      </c>
      <c r="D7" s="122"/>
      <c r="E7" s="193" t="s">
        <v>267</v>
      </c>
      <c r="F7" s="186" t="s">
        <v>268</v>
      </c>
      <c r="G7" s="122"/>
      <c r="H7" s="122" t="s">
        <v>269</v>
      </c>
    </row>
    <row r="8">
      <c r="B8" s="194" t="s">
        <v>270</v>
      </c>
      <c r="C8" s="195" t="s">
        <v>271</v>
      </c>
      <c r="D8" s="196"/>
      <c r="E8" s="194" t="s">
        <v>272</v>
      </c>
      <c r="F8" s="197" t="s">
        <v>273</v>
      </c>
      <c r="G8" s="198" t="s">
        <v>274</v>
      </c>
      <c r="H8" s="196"/>
    </row>
    <row r="9">
      <c r="B9" s="16" t="s">
        <v>275</v>
      </c>
      <c r="C9" s="199" t="s">
        <v>271</v>
      </c>
      <c r="D9" s="75"/>
      <c r="E9" s="75"/>
      <c r="F9" s="162"/>
      <c r="G9" s="75"/>
      <c r="H9" s="75"/>
    </row>
    <row r="10">
      <c r="B10" s="16" t="s">
        <v>276</v>
      </c>
      <c r="C10" s="162"/>
      <c r="D10" s="75"/>
      <c r="E10" s="75"/>
      <c r="F10" s="162"/>
      <c r="G10" s="188" t="s">
        <v>259</v>
      </c>
      <c r="H10" s="75"/>
    </row>
    <row r="11">
      <c r="B11" s="16" t="s">
        <v>277</v>
      </c>
      <c r="C11" s="162"/>
      <c r="D11" s="75"/>
      <c r="E11" s="75"/>
      <c r="F11" s="162"/>
      <c r="G11" s="200" t="s">
        <v>278</v>
      </c>
      <c r="H11" s="16"/>
    </row>
  </sheetData>
  <mergeCells count="2">
    <mergeCell ref="C2:E2"/>
    <mergeCell ref="F2:H2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0" t="s">
        <v>279</v>
      </c>
      <c r="C4" s="30"/>
    </row>
    <row r="5">
      <c r="C5" s="20" t="s">
        <v>280</v>
      </c>
    </row>
    <row r="7">
      <c r="C7" s="20" t="s">
        <v>281</v>
      </c>
    </row>
    <row r="8">
      <c r="D8" s="30"/>
    </row>
    <row r="9">
      <c r="B9" s="30" t="s">
        <v>282</v>
      </c>
    </row>
    <row r="10">
      <c r="C10" s="20" t="s">
        <v>283</v>
      </c>
    </row>
    <row r="13">
      <c r="D13" s="51" t="s">
        <v>284</v>
      </c>
    </row>
    <row r="14">
      <c r="D14" s="20" t="s">
        <v>285</v>
      </c>
    </row>
    <row r="16">
      <c r="D16" s="20" t="s">
        <v>286</v>
      </c>
    </row>
    <row r="20">
      <c r="B20" s="30" t="s">
        <v>287</v>
      </c>
    </row>
    <row r="21">
      <c r="B21" s="20" t="s">
        <v>288</v>
      </c>
    </row>
    <row r="22">
      <c r="B22" s="20" t="s">
        <v>289</v>
      </c>
    </row>
    <row r="23">
      <c r="C23" s="20" t="s">
        <v>290</v>
      </c>
    </row>
    <row r="26">
      <c r="L26" s="20" t="s">
        <v>291</v>
      </c>
      <c r="M26" s="20" t="s">
        <v>292</v>
      </c>
      <c r="N26" s="20" t="s">
        <v>43</v>
      </c>
      <c r="O26" s="20" t="s">
        <v>293</v>
      </c>
      <c r="P26" s="20" t="s">
        <v>294</v>
      </c>
      <c r="Q26" s="20" t="s">
        <v>179</v>
      </c>
      <c r="R26" s="20" t="s">
        <v>208</v>
      </c>
      <c r="S26" s="20" t="s">
        <v>201</v>
      </c>
      <c r="T26" s="20" t="s">
        <v>295</v>
      </c>
      <c r="U26" s="20" t="s">
        <v>9</v>
      </c>
      <c r="V26" s="20" t="s">
        <v>296</v>
      </c>
    </row>
    <row r="27">
      <c r="K27" s="20">
        <v>1.0</v>
      </c>
      <c r="M27" s="20" t="s">
        <v>297</v>
      </c>
      <c r="N27" s="20">
        <v>10.0</v>
      </c>
      <c r="O27" s="20">
        <v>0.0</v>
      </c>
      <c r="P27" s="20">
        <v>10.0</v>
      </c>
      <c r="Q27" s="20">
        <v>34.17</v>
      </c>
      <c r="R27" s="20">
        <v>1.42</v>
      </c>
      <c r="S27" s="20">
        <v>12.6</v>
      </c>
      <c r="T27" s="20">
        <v>0.53</v>
      </c>
      <c r="U27" s="20">
        <v>2.42</v>
      </c>
      <c r="V27" s="20">
        <v>29.44</v>
      </c>
    </row>
    <row r="28">
      <c r="K28" s="20">
        <v>0.0</v>
      </c>
      <c r="M28" s="20" t="s">
        <v>297</v>
      </c>
      <c r="N28" s="20">
        <v>10.0</v>
      </c>
      <c r="O28" s="20">
        <v>0.0</v>
      </c>
      <c r="P28" s="20">
        <v>1.0</v>
      </c>
      <c r="Q28" s="201">
        <v>18.98</v>
      </c>
      <c r="R28" s="20">
        <v>2.71</v>
      </c>
      <c r="S28" s="20">
        <v>-3.01</v>
      </c>
      <c r="T28" s="20">
        <v>-0.43</v>
      </c>
      <c r="U28" s="202">
        <v>5.39</v>
      </c>
      <c r="V28" s="20">
        <v>16.35</v>
      </c>
    </row>
    <row r="29">
      <c r="K29" s="20">
        <v>2.0</v>
      </c>
      <c r="M29" s="20" t="s">
        <v>297</v>
      </c>
      <c r="N29" s="20">
        <v>10.0</v>
      </c>
      <c r="O29" s="20">
        <v>0.0</v>
      </c>
      <c r="P29" s="20">
        <v>1.0</v>
      </c>
      <c r="Q29" s="20">
        <v>62.92</v>
      </c>
      <c r="R29" s="20">
        <v>2.33</v>
      </c>
      <c r="S29" s="20">
        <v>22.15</v>
      </c>
      <c r="T29" s="20">
        <v>0.82</v>
      </c>
      <c r="U29" s="20">
        <v>4.84</v>
      </c>
      <c r="V29" s="20">
        <v>54.21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203"/>
      <c r="B1" s="103" t="s">
        <v>38</v>
      </c>
      <c r="C1" s="204"/>
      <c r="D1" s="203"/>
      <c r="E1" s="203"/>
      <c r="F1" s="203"/>
      <c r="G1" s="204"/>
      <c r="H1" s="204"/>
      <c r="I1" s="204"/>
      <c r="J1" s="204"/>
      <c r="K1" s="204"/>
      <c r="L1" s="204"/>
      <c r="M1" s="204"/>
      <c r="N1" s="204"/>
      <c r="O1" s="204"/>
      <c r="P1" s="103" t="s">
        <v>37</v>
      </c>
      <c r="Q1" s="204"/>
      <c r="R1" s="204"/>
      <c r="S1" s="103"/>
      <c r="T1" s="103"/>
      <c r="U1" s="103"/>
      <c r="V1" s="103"/>
      <c r="W1" s="103"/>
      <c r="X1" s="205"/>
      <c r="Y1" s="205" t="s">
        <v>298</v>
      </c>
      <c r="Z1" s="103"/>
      <c r="AA1" s="103"/>
      <c r="AB1" s="103"/>
      <c r="AC1" s="103"/>
      <c r="AD1" s="103"/>
      <c r="AE1" s="103" t="s">
        <v>28</v>
      </c>
      <c r="AF1" s="204"/>
      <c r="AG1" s="204"/>
      <c r="AH1" s="204"/>
      <c r="AI1" s="204"/>
      <c r="AJ1" s="204"/>
      <c r="AK1" s="204"/>
      <c r="AL1" s="204"/>
      <c r="AM1" s="204"/>
      <c r="AN1" s="204"/>
      <c r="AO1" s="204"/>
      <c r="AP1" s="204"/>
      <c r="AQ1" s="204"/>
      <c r="AR1" s="204"/>
      <c r="AS1" s="204"/>
      <c r="AT1" s="103" t="s">
        <v>29</v>
      </c>
      <c r="AU1" s="204"/>
      <c r="AV1" s="204"/>
      <c r="AW1" s="204"/>
      <c r="AX1" s="206"/>
      <c r="AY1" s="206"/>
      <c r="AZ1" s="206"/>
      <c r="BA1" s="206"/>
      <c r="BB1" s="204"/>
      <c r="BC1" s="204"/>
      <c r="BD1" s="204"/>
      <c r="BE1" s="204"/>
      <c r="BF1" s="204"/>
      <c r="BG1" s="204"/>
      <c r="BH1" s="204"/>
      <c r="BI1" s="204"/>
      <c r="BJ1" s="103" t="s">
        <v>25</v>
      </c>
      <c r="BK1" s="204"/>
      <c r="BL1" s="203"/>
      <c r="BM1" s="203"/>
      <c r="BN1" s="203"/>
      <c r="BO1" s="203"/>
      <c r="BP1" s="203"/>
      <c r="BQ1" s="203"/>
      <c r="BR1" s="203"/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7" t="s">
        <v>299</v>
      </c>
      <c r="CF1" s="208" t="s">
        <v>300</v>
      </c>
      <c r="CG1" s="208" t="s">
        <v>52</v>
      </c>
      <c r="CH1" s="208" t="s">
        <v>31</v>
      </c>
      <c r="CI1" s="208" t="s">
        <v>179</v>
      </c>
      <c r="CJ1" s="209"/>
      <c r="CK1" s="209"/>
      <c r="CL1" s="209"/>
      <c r="CM1" s="209"/>
      <c r="CN1" s="209"/>
    </row>
    <row r="2">
      <c r="A2" s="178"/>
      <c r="B2" s="210" t="s">
        <v>301</v>
      </c>
      <c r="E2" s="210"/>
      <c r="F2" s="211" t="s">
        <v>302</v>
      </c>
      <c r="G2" s="211" t="s">
        <v>302</v>
      </c>
      <c r="H2" s="211"/>
      <c r="I2" s="211" t="s">
        <v>302</v>
      </c>
      <c r="J2" s="212" t="s">
        <v>303</v>
      </c>
      <c r="N2" s="83" t="s">
        <v>304</v>
      </c>
      <c r="O2" s="84"/>
      <c r="P2" s="210" t="s">
        <v>301</v>
      </c>
      <c r="S2" s="212" t="s">
        <v>303</v>
      </c>
      <c r="W2" s="213" t="s">
        <v>304</v>
      </c>
      <c r="X2" s="210"/>
      <c r="Y2" s="210" t="s">
        <v>305</v>
      </c>
      <c r="Z2" s="83" t="s">
        <v>304</v>
      </c>
      <c r="AA2" s="211" t="s">
        <v>302</v>
      </c>
      <c r="AB2" s="211"/>
      <c r="AC2" s="211"/>
      <c r="AD2" s="211"/>
      <c r="AE2" s="210" t="s">
        <v>301</v>
      </c>
      <c r="AH2" s="212" t="s">
        <v>303</v>
      </c>
      <c r="AL2" s="83" t="s">
        <v>304</v>
      </c>
      <c r="AM2" s="84"/>
      <c r="AN2" s="210"/>
      <c r="AO2" s="83" t="s">
        <v>304</v>
      </c>
      <c r="AP2" s="211" t="s">
        <v>302</v>
      </c>
      <c r="AQ2" s="84"/>
      <c r="AR2" s="84"/>
      <c r="AS2" s="84"/>
      <c r="AT2" s="210" t="s">
        <v>301</v>
      </c>
      <c r="AW2" s="212" t="s">
        <v>303</v>
      </c>
      <c r="BB2" s="83" t="s">
        <v>304</v>
      </c>
      <c r="BC2" s="83"/>
      <c r="BD2" s="210"/>
      <c r="BE2" s="83" t="s">
        <v>304</v>
      </c>
      <c r="BF2" s="84"/>
      <c r="BG2" s="84"/>
      <c r="BH2" s="84"/>
      <c r="BI2" s="84"/>
      <c r="BJ2" s="210" t="s">
        <v>301</v>
      </c>
      <c r="BN2" s="212" t="s">
        <v>303</v>
      </c>
      <c r="BS2" s="214"/>
      <c r="BT2" s="83" t="s">
        <v>304</v>
      </c>
      <c r="BU2" s="83"/>
      <c r="BV2" s="210"/>
      <c r="BW2" s="83" t="s">
        <v>304</v>
      </c>
      <c r="BX2" s="211" t="s">
        <v>302</v>
      </c>
      <c r="BY2" s="214"/>
      <c r="BZ2" s="214"/>
      <c r="CA2" s="214"/>
      <c r="CB2" s="214"/>
      <c r="CC2" s="214"/>
      <c r="CD2" s="214"/>
      <c r="CE2" s="215" t="s">
        <v>24</v>
      </c>
      <c r="CF2" s="216">
        <v>-0.72106</v>
      </c>
      <c r="CG2" s="216">
        <v>-0.55562</v>
      </c>
      <c r="CH2" s="216">
        <v>-0.27038</v>
      </c>
      <c r="CI2" s="216">
        <v>-0.63511</v>
      </c>
      <c r="CJ2" s="217"/>
      <c r="CK2" s="217"/>
      <c r="CL2" s="217"/>
      <c r="CM2" s="217"/>
      <c r="CN2" s="217"/>
    </row>
    <row r="3">
      <c r="A3" s="178"/>
      <c r="B3" s="211" t="s">
        <v>306</v>
      </c>
      <c r="C3" s="211" t="s">
        <v>307</v>
      </c>
      <c r="D3" s="214" t="s">
        <v>308</v>
      </c>
      <c r="E3" s="218" t="s">
        <v>309</v>
      </c>
      <c r="F3" s="218" t="s">
        <v>310</v>
      </c>
      <c r="G3" s="218" t="s">
        <v>311</v>
      </c>
      <c r="H3" s="219" t="s">
        <v>312</v>
      </c>
      <c r="I3" s="220" t="s">
        <v>313</v>
      </c>
      <c r="J3" s="83" t="s">
        <v>314</v>
      </c>
      <c r="K3" s="83" t="s">
        <v>314</v>
      </c>
      <c r="L3" s="213" t="s">
        <v>315</v>
      </c>
      <c r="M3" s="221" t="s">
        <v>316</v>
      </c>
      <c r="N3" s="211" t="s">
        <v>317</v>
      </c>
      <c r="O3" s="84"/>
      <c r="P3" s="211" t="s">
        <v>306</v>
      </c>
      <c r="Q3" s="211" t="s">
        <v>307</v>
      </c>
      <c r="R3" s="214" t="s">
        <v>308</v>
      </c>
      <c r="S3" s="83" t="s">
        <v>314</v>
      </c>
      <c r="T3" s="83" t="s">
        <v>314</v>
      </c>
      <c r="U3" s="83" t="s">
        <v>315</v>
      </c>
      <c r="V3" s="222" t="s">
        <v>316</v>
      </c>
      <c r="W3" s="223" t="s">
        <v>317</v>
      </c>
      <c r="X3" s="224"/>
      <c r="Y3" s="218" t="s">
        <v>309</v>
      </c>
      <c r="Z3" s="211" t="s">
        <v>317</v>
      </c>
      <c r="AA3" s="218" t="s">
        <v>310</v>
      </c>
      <c r="AB3" s="220" t="s">
        <v>313</v>
      </c>
      <c r="AC3" s="83" t="s">
        <v>318</v>
      </c>
      <c r="AD3" s="211"/>
      <c r="AE3" s="211" t="s">
        <v>306</v>
      </c>
      <c r="AF3" s="211" t="s">
        <v>307</v>
      </c>
      <c r="AG3" s="214" t="s">
        <v>308</v>
      </c>
      <c r="AH3" s="213" t="s">
        <v>314</v>
      </c>
      <c r="AI3" s="83" t="s">
        <v>314</v>
      </c>
      <c r="AJ3" s="83" t="s">
        <v>315</v>
      </c>
      <c r="AK3" s="221" t="s">
        <v>316</v>
      </c>
      <c r="AL3" s="211" t="s">
        <v>317</v>
      </c>
      <c r="AM3" s="84"/>
      <c r="AN3" s="218" t="s">
        <v>309</v>
      </c>
      <c r="AO3" s="211" t="s">
        <v>317</v>
      </c>
      <c r="AP3" s="218" t="s">
        <v>310</v>
      </c>
      <c r="AQ3" s="220" t="s">
        <v>313</v>
      </c>
      <c r="AR3" s="83" t="s">
        <v>318</v>
      </c>
      <c r="AS3" s="84"/>
      <c r="AT3" s="211" t="s">
        <v>306</v>
      </c>
      <c r="AU3" s="211" t="s">
        <v>307</v>
      </c>
      <c r="AV3" s="214" t="s">
        <v>308</v>
      </c>
      <c r="AW3" s="213" t="s">
        <v>314</v>
      </c>
      <c r="AX3" s="213" t="s">
        <v>314</v>
      </c>
      <c r="AY3" s="83"/>
      <c r="AZ3" s="83" t="s">
        <v>315</v>
      </c>
      <c r="BA3" s="222" t="s">
        <v>316</v>
      </c>
      <c r="BB3" s="211" t="s">
        <v>317</v>
      </c>
      <c r="BC3" s="211"/>
      <c r="BD3" s="218" t="s">
        <v>309</v>
      </c>
      <c r="BE3" s="211" t="s">
        <v>317</v>
      </c>
      <c r="BF3" s="220" t="s">
        <v>313</v>
      </c>
      <c r="BG3" s="83" t="s">
        <v>318</v>
      </c>
      <c r="BH3" s="84"/>
      <c r="BI3" s="84"/>
      <c r="BJ3" s="211" t="s">
        <v>306</v>
      </c>
      <c r="BK3" s="211" t="s">
        <v>307</v>
      </c>
      <c r="BL3" s="225" t="s">
        <v>319</v>
      </c>
      <c r="BM3" s="214" t="s">
        <v>308</v>
      </c>
      <c r="BN3" s="83" t="s">
        <v>314</v>
      </c>
      <c r="BO3" s="83" t="s">
        <v>314</v>
      </c>
      <c r="BP3" s="83"/>
      <c r="BQ3" s="83" t="s">
        <v>315</v>
      </c>
      <c r="BR3" s="222" t="s">
        <v>316</v>
      </c>
      <c r="BS3" s="214" t="s">
        <v>320</v>
      </c>
      <c r="BT3" s="211" t="s">
        <v>317</v>
      </c>
      <c r="BU3" s="211"/>
      <c r="BV3" s="218" t="s">
        <v>309</v>
      </c>
      <c r="BW3" s="211" t="s">
        <v>317</v>
      </c>
      <c r="BX3" s="218" t="s">
        <v>310</v>
      </c>
      <c r="BY3" s="220" t="s">
        <v>313</v>
      </c>
      <c r="BZ3" s="83" t="s">
        <v>318</v>
      </c>
      <c r="CA3" s="214"/>
      <c r="CB3" s="214"/>
      <c r="CC3" s="214"/>
      <c r="CD3" s="214"/>
      <c r="CE3" s="215" t="s">
        <v>321</v>
      </c>
      <c r="CF3" s="226">
        <v>-0.2884</v>
      </c>
      <c r="CG3" s="226">
        <v>-0.16526</v>
      </c>
      <c r="CH3" s="226">
        <v>0.022587</v>
      </c>
      <c r="CI3" s="226">
        <v>-0.20427</v>
      </c>
      <c r="CJ3" s="214"/>
      <c r="CK3" s="214"/>
      <c r="CL3" s="214"/>
      <c r="CM3" s="214"/>
      <c r="CN3" s="214"/>
    </row>
    <row r="4">
      <c r="A4" s="178"/>
      <c r="B4" s="83" t="s">
        <v>322</v>
      </c>
      <c r="C4" s="83" t="s">
        <v>323</v>
      </c>
      <c r="D4" s="61" t="s">
        <v>324</v>
      </c>
      <c r="E4" s="227" t="s">
        <v>325</v>
      </c>
      <c r="F4" s="83" t="s">
        <v>326</v>
      </c>
      <c r="G4" s="83" t="s">
        <v>327</v>
      </c>
      <c r="H4" s="83" t="s">
        <v>328</v>
      </c>
      <c r="I4" s="61" t="s">
        <v>329</v>
      </c>
      <c r="J4" s="228" t="s">
        <v>330</v>
      </c>
      <c r="K4" s="228" t="s">
        <v>331</v>
      </c>
      <c r="L4" s="229" t="s">
        <v>332</v>
      </c>
      <c r="M4" s="230" t="s">
        <v>333</v>
      </c>
      <c r="N4" s="83" t="s">
        <v>334</v>
      </c>
      <c r="O4" s="84"/>
      <c r="P4" s="83" t="s">
        <v>335</v>
      </c>
      <c r="Q4" s="83" t="s">
        <v>336</v>
      </c>
      <c r="R4" s="83" t="s">
        <v>337</v>
      </c>
      <c r="S4" s="228" t="s">
        <v>330</v>
      </c>
      <c r="T4" s="228" t="s">
        <v>331</v>
      </c>
      <c r="U4" s="229" t="s">
        <v>332</v>
      </c>
      <c r="V4" s="230" t="s">
        <v>338</v>
      </c>
      <c r="W4" s="213" t="s">
        <v>334</v>
      </c>
      <c r="X4" s="83"/>
      <c r="Y4" s="220" t="s">
        <v>339</v>
      </c>
      <c r="Z4" s="83" t="s">
        <v>334</v>
      </c>
      <c r="AA4" s="83" t="s">
        <v>326</v>
      </c>
      <c r="AB4" s="61" t="s">
        <v>329</v>
      </c>
      <c r="AC4" s="61" t="s">
        <v>328</v>
      </c>
      <c r="AD4" s="83"/>
      <c r="AE4" s="83" t="s">
        <v>340</v>
      </c>
      <c r="AF4" s="83" t="s">
        <v>340</v>
      </c>
      <c r="AG4" s="83" t="s">
        <v>341</v>
      </c>
      <c r="AH4" s="228" t="s">
        <v>330</v>
      </c>
      <c r="AI4" s="228" t="s">
        <v>331</v>
      </c>
      <c r="AJ4" s="229" t="s">
        <v>342</v>
      </c>
      <c r="AK4" s="230" t="s">
        <v>343</v>
      </c>
      <c r="AL4" s="83" t="s">
        <v>334</v>
      </c>
      <c r="AM4" s="84"/>
      <c r="AN4" s="220" t="s">
        <v>344</v>
      </c>
      <c r="AO4" s="83" t="s">
        <v>334</v>
      </c>
      <c r="AP4" s="83" t="s">
        <v>326</v>
      </c>
      <c r="AQ4" s="61" t="s">
        <v>329</v>
      </c>
      <c r="AR4" s="61" t="s">
        <v>328</v>
      </c>
      <c r="AS4" s="84"/>
      <c r="AT4" s="83" t="s">
        <v>345</v>
      </c>
      <c r="AU4" s="83" t="s">
        <v>336</v>
      </c>
      <c r="AV4" s="83" t="s">
        <v>346</v>
      </c>
      <c r="AW4" s="231" t="s">
        <v>330</v>
      </c>
      <c r="AX4" s="231" t="s">
        <v>331</v>
      </c>
      <c r="AY4" s="61" t="s">
        <v>347</v>
      </c>
      <c r="AZ4" s="229" t="s">
        <v>348</v>
      </c>
      <c r="BA4" s="230" t="s">
        <v>349</v>
      </c>
      <c r="BB4" s="83" t="s">
        <v>334</v>
      </c>
      <c r="BC4" s="83"/>
      <c r="BD4" s="220" t="s">
        <v>350</v>
      </c>
      <c r="BE4" s="83" t="s">
        <v>334</v>
      </c>
      <c r="BF4" s="61" t="s">
        <v>329</v>
      </c>
      <c r="BG4" s="61" t="s">
        <v>328</v>
      </c>
      <c r="BH4" s="84"/>
      <c r="BI4" s="84"/>
      <c r="BJ4" s="211" t="s">
        <v>351</v>
      </c>
      <c r="BK4" s="211" t="s">
        <v>352</v>
      </c>
      <c r="BL4" s="225" t="s">
        <v>353</v>
      </c>
      <c r="BM4" s="214" t="s">
        <v>354</v>
      </c>
      <c r="BN4" s="228" t="s">
        <v>330</v>
      </c>
      <c r="BO4" s="228" t="s">
        <v>331</v>
      </c>
      <c r="BP4" s="61" t="s">
        <v>355</v>
      </c>
      <c r="BQ4" s="229" t="s">
        <v>356</v>
      </c>
      <c r="BR4" s="232" t="s">
        <v>357</v>
      </c>
      <c r="BS4" s="232" t="s">
        <v>358</v>
      </c>
      <c r="BT4" s="83" t="s">
        <v>334</v>
      </c>
      <c r="BU4" s="83"/>
      <c r="BV4" s="222" t="s">
        <v>359</v>
      </c>
      <c r="BW4" s="83" t="s">
        <v>334</v>
      </c>
      <c r="BX4" s="83" t="s">
        <v>326</v>
      </c>
      <c r="BY4" s="61" t="s">
        <v>329</v>
      </c>
      <c r="BZ4" s="61" t="s">
        <v>328</v>
      </c>
      <c r="CA4" s="61"/>
      <c r="CB4" s="61"/>
      <c r="CC4" s="61"/>
      <c r="CD4" s="61"/>
      <c r="CE4" s="207" t="s">
        <v>360</v>
      </c>
      <c r="CF4" s="233">
        <v>-0.456028563</v>
      </c>
      <c r="CG4" s="233">
        <v>-0.28873597</v>
      </c>
      <c r="CH4" s="233">
        <v>-0.160923078</v>
      </c>
      <c r="CI4" s="233">
        <v>-0.22411403</v>
      </c>
      <c r="CJ4" s="61"/>
      <c r="CK4" s="61"/>
      <c r="CL4" s="61"/>
      <c r="CM4" s="61"/>
      <c r="CN4" s="61"/>
    </row>
    <row r="5">
      <c r="A5" s="234" t="s">
        <v>361</v>
      </c>
      <c r="B5" s="235">
        <f t="shared" ref="B5:N5" si="1">AVERAGE(B7:B26)</f>
        <v>3.398</v>
      </c>
      <c r="C5" s="235">
        <f t="shared" si="1"/>
        <v>1.9915</v>
      </c>
      <c r="D5" s="235">
        <f t="shared" si="1"/>
        <v>2.7805</v>
      </c>
      <c r="E5" s="235">
        <f t="shared" si="1"/>
        <v>4.428</v>
      </c>
      <c r="F5" s="236">
        <f t="shared" si="1"/>
        <v>3.961</v>
      </c>
      <c r="G5" s="236">
        <f t="shared" si="1"/>
        <v>3.271111111</v>
      </c>
      <c r="H5" s="236">
        <f t="shared" si="1"/>
        <v>4.0455</v>
      </c>
      <c r="I5" s="236">
        <f t="shared" si="1"/>
        <v>3.589</v>
      </c>
      <c r="J5" s="235">
        <f t="shared" si="1"/>
        <v>4.753</v>
      </c>
      <c r="K5" s="235">
        <f t="shared" si="1"/>
        <v>4.794</v>
      </c>
      <c r="L5" s="237">
        <f t="shared" si="1"/>
        <v>5.1425</v>
      </c>
      <c r="M5" s="237">
        <f t="shared" si="1"/>
        <v>5.148</v>
      </c>
      <c r="N5" s="235">
        <f t="shared" si="1"/>
        <v>2.212</v>
      </c>
      <c r="P5" s="235">
        <f t="shared" ref="P5:W5" si="2">AVERAGE(P7:P26)</f>
        <v>-8.158</v>
      </c>
      <c r="Q5" s="235">
        <f t="shared" si="2"/>
        <v>-10.9185</v>
      </c>
      <c r="R5" s="235">
        <f t="shared" si="2"/>
        <v>-8.707</v>
      </c>
      <c r="S5" s="235">
        <f t="shared" si="2"/>
        <v>-8.829</v>
      </c>
      <c r="T5" s="235">
        <f t="shared" si="2"/>
        <v>-9.1645</v>
      </c>
      <c r="U5" s="235">
        <f t="shared" si="2"/>
        <v>-8.655</v>
      </c>
      <c r="V5" s="235">
        <f t="shared" si="2"/>
        <v>-8.7705</v>
      </c>
      <c r="W5" s="237">
        <f t="shared" si="2"/>
        <v>-6.315</v>
      </c>
      <c r="X5" s="235"/>
      <c r="Y5" s="235">
        <f t="shared" ref="Y5:AC5" si="3">AVERAGE(Y7:Y26)</f>
        <v>-15.732</v>
      </c>
      <c r="Z5" s="237">
        <f t="shared" si="3"/>
        <v>-10.197</v>
      </c>
      <c r="AA5" s="235">
        <f t="shared" si="3"/>
        <v>-14.672</v>
      </c>
      <c r="AB5" s="235">
        <f t="shared" si="3"/>
        <v>-12.72</v>
      </c>
      <c r="AC5" s="235">
        <f t="shared" si="3"/>
        <v>-10.339</v>
      </c>
      <c r="AD5" s="235"/>
      <c r="AE5" s="235">
        <f t="shared" ref="AE5:AL5" si="4">AVERAGE(AE7:AE26)</f>
        <v>4.8415</v>
      </c>
      <c r="AF5" s="235">
        <f t="shared" si="4"/>
        <v>4.8415</v>
      </c>
      <c r="AG5" s="235">
        <f t="shared" si="4"/>
        <v>9.382</v>
      </c>
      <c r="AH5" s="237">
        <f t="shared" si="4"/>
        <v>13.462</v>
      </c>
      <c r="AI5" s="235">
        <f t="shared" si="4"/>
        <v>9.2985</v>
      </c>
      <c r="AJ5" s="235">
        <f t="shared" si="4"/>
        <v>12.4525</v>
      </c>
      <c r="AK5" s="237">
        <f t="shared" si="4"/>
        <v>13.307</v>
      </c>
      <c r="AL5" s="235">
        <f t="shared" si="4"/>
        <v>11.1705</v>
      </c>
      <c r="AN5" s="235">
        <f t="shared" ref="AN5:AR5" si="5">AVERAGE(AN7:AN26)</f>
        <v>-9.6785</v>
      </c>
      <c r="AO5" s="235">
        <f t="shared" si="5"/>
        <v>-2.638</v>
      </c>
      <c r="AP5" s="235">
        <f t="shared" si="5"/>
        <v>-4.056</v>
      </c>
      <c r="AQ5" s="235">
        <f t="shared" si="5"/>
        <v>-4.157</v>
      </c>
      <c r="AR5" s="237">
        <f t="shared" si="5"/>
        <v>4.276</v>
      </c>
      <c r="AT5" s="235">
        <f t="shared" ref="AT5:BB5" si="6">AVERAGE(AT7:AT26)</f>
        <v>5.3195</v>
      </c>
      <c r="AU5" s="235">
        <f t="shared" si="6"/>
        <v>4.796</v>
      </c>
      <c r="AV5" s="235">
        <f t="shared" si="6"/>
        <v>6.309</v>
      </c>
      <c r="AW5" s="238">
        <f t="shared" si="6"/>
        <v>7.104</v>
      </c>
      <c r="AX5" s="238">
        <f t="shared" si="6"/>
        <v>7.126</v>
      </c>
      <c r="AY5" s="235">
        <f t="shared" si="6"/>
        <v>4.5005</v>
      </c>
      <c r="AZ5" s="237">
        <f t="shared" si="6"/>
        <v>6.8285</v>
      </c>
      <c r="BA5" s="235">
        <f t="shared" si="6"/>
        <v>6.0595</v>
      </c>
      <c r="BB5" s="235">
        <f t="shared" si="6"/>
        <v>4.9205</v>
      </c>
      <c r="BC5" s="235"/>
      <c r="BD5" s="235">
        <f t="shared" ref="BD5:BH5" si="7">AVERAGE(BD7:BD26)</f>
        <v>12.331</v>
      </c>
      <c r="BE5" s="235">
        <f t="shared" si="7"/>
        <v>11.9455</v>
      </c>
      <c r="BF5" s="235">
        <f t="shared" si="7"/>
        <v>11.9335</v>
      </c>
      <c r="BG5" s="235">
        <f t="shared" si="7"/>
        <v>9.6705</v>
      </c>
      <c r="BH5" s="235">
        <f t="shared" si="7"/>
        <v>11.4995</v>
      </c>
      <c r="BJ5" s="235">
        <f t="shared" ref="BJ5:BT5" si="8">AVERAGE(BJ7:BJ26)</f>
        <v>11.582</v>
      </c>
      <c r="BK5" s="235">
        <f t="shared" si="8"/>
        <v>13.931</v>
      </c>
      <c r="BL5" s="238">
        <f t="shared" si="8"/>
        <v>19.261</v>
      </c>
      <c r="BM5" s="235">
        <f t="shared" si="8"/>
        <v>17.1135</v>
      </c>
      <c r="BN5" s="235">
        <f t="shared" si="8"/>
        <v>12.7565</v>
      </c>
      <c r="BO5" s="235">
        <f t="shared" si="8"/>
        <v>11.1805</v>
      </c>
      <c r="BP5" s="235">
        <f t="shared" si="8"/>
        <v>6.218</v>
      </c>
      <c r="BQ5" s="235">
        <f t="shared" si="8"/>
        <v>10.122</v>
      </c>
      <c r="BR5" s="235">
        <f t="shared" si="8"/>
        <v>9.324</v>
      </c>
      <c r="BS5" s="235">
        <f t="shared" si="8"/>
        <v>10.772</v>
      </c>
      <c r="BT5" s="237">
        <f t="shared" si="8"/>
        <v>15.445</v>
      </c>
      <c r="BU5" s="235"/>
      <c r="BV5" s="235">
        <f t="shared" ref="BV5:BW5" si="9">AVERAGE(BV7:BV26)</f>
        <v>17.4875</v>
      </c>
      <c r="BW5" s="237">
        <f t="shared" si="9"/>
        <v>8.906</v>
      </c>
      <c r="BX5" s="237"/>
      <c r="BY5" s="235">
        <f t="shared" ref="BY5:CA5" si="10">AVERAGE(BY7:BY26)</f>
        <v>8.0635</v>
      </c>
      <c r="BZ5" s="235">
        <f t="shared" si="10"/>
        <v>8.121</v>
      </c>
      <c r="CA5" s="235">
        <f t="shared" si="10"/>
        <v>5.778823529</v>
      </c>
      <c r="CB5" s="235"/>
      <c r="CC5" s="235"/>
      <c r="CD5" s="235"/>
      <c r="CE5" s="239" t="s">
        <v>362</v>
      </c>
      <c r="CF5" s="240">
        <v>-0.57020319</v>
      </c>
      <c r="CG5" s="240">
        <v>-0.51799341</v>
      </c>
      <c r="CH5" s="240">
        <v>-0.257172646</v>
      </c>
      <c r="CI5" s="240">
        <v>-0.496837681</v>
      </c>
      <c r="CJ5" s="235"/>
      <c r="CK5" s="235"/>
      <c r="CL5" s="235"/>
      <c r="CM5" s="235"/>
      <c r="CN5" s="235"/>
    </row>
    <row r="6">
      <c r="A6" s="234" t="s">
        <v>363</v>
      </c>
      <c r="B6" s="235">
        <f t="shared" ref="B6:N6" si="11">STDEV(B7:B26)</f>
        <v>8.348570379</v>
      </c>
      <c r="C6" s="235">
        <f t="shared" si="11"/>
        <v>3.293637047</v>
      </c>
      <c r="D6" s="235">
        <f t="shared" si="11"/>
        <v>3.286939826</v>
      </c>
      <c r="E6" s="235">
        <f t="shared" si="11"/>
        <v>8.675786389</v>
      </c>
      <c r="F6" s="241">
        <f t="shared" si="11"/>
        <v>7.696992509</v>
      </c>
      <c r="G6" s="241">
        <f t="shared" si="11"/>
        <v>5.907693776</v>
      </c>
      <c r="H6" s="241">
        <f t="shared" si="11"/>
        <v>8.330772047</v>
      </c>
      <c r="I6" s="241">
        <f t="shared" si="11"/>
        <v>7.752735952</v>
      </c>
      <c r="J6" s="235">
        <f t="shared" si="11"/>
        <v>7.431140098</v>
      </c>
      <c r="K6" s="235">
        <f t="shared" si="11"/>
        <v>8.101062568</v>
      </c>
      <c r="L6" s="235">
        <f t="shared" si="11"/>
        <v>7.963398425</v>
      </c>
      <c r="M6" s="235">
        <f t="shared" si="11"/>
        <v>7.984826795</v>
      </c>
      <c r="N6" s="235">
        <f t="shared" si="11"/>
        <v>3.249546689</v>
      </c>
      <c r="P6" s="235">
        <f t="shared" ref="P6:W6" si="12">STDEV(P7:P26)</f>
        <v>5.450201928</v>
      </c>
      <c r="Q6" s="235">
        <f t="shared" si="12"/>
        <v>4.446619384</v>
      </c>
      <c r="R6" s="235">
        <f t="shared" si="12"/>
        <v>4.087328429</v>
      </c>
      <c r="S6" s="235">
        <f t="shared" si="12"/>
        <v>4.551707488</v>
      </c>
      <c r="T6" s="235">
        <f t="shared" si="12"/>
        <v>2.927534395</v>
      </c>
      <c r="U6" s="235">
        <f t="shared" si="12"/>
        <v>4.360286688</v>
      </c>
      <c r="V6" s="235">
        <f t="shared" si="12"/>
        <v>6.629887254</v>
      </c>
      <c r="W6" s="235">
        <f t="shared" si="12"/>
        <v>5.4861294</v>
      </c>
      <c r="X6" s="235"/>
      <c r="Y6" s="235">
        <f t="shared" ref="Y6:AC6" si="13">STDEV(Y7:Y26)</f>
        <v>4.28276792</v>
      </c>
      <c r="Z6" s="235">
        <f t="shared" si="13"/>
        <v>8.449440405</v>
      </c>
      <c r="AA6" s="235">
        <f t="shared" si="13"/>
        <v>5.923020744</v>
      </c>
      <c r="AB6" s="235">
        <f t="shared" si="13"/>
        <v>5.817309923</v>
      </c>
      <c r="AC6" s="235">
        <f t="shared" si="13"/>
        <v>9.303112043</v>
      </c>
      <c r="AD6" s="235"/>
      <c r="AE6" s="235">
        <f t="shared" ref="AE6:AL6" si="14">STDEV(AE7:AE26)</f>
        <v>14.00958554</v>
      </c>
      <c r="AF6" s="235">
        <f t="shared" si="14"/>
        <v>14.00958554</v>
      </c>
      <c r="AG6" s="235">
        <f t="shared" si="14"/>
        <v>11.10474939</v>
      </c>
      <c r="AH6" s="235">
        <f t="shared" si="14"/>
        <v>12.33857605</v>
      </c>
      <c r="AI6" s="235">
        <f t="shared" si="14"/>
        <v>12.37909072</v>
      </c>
      <c r="AJ6" s="235">
        <f t="shared" si="14"/>
        <v>12.89900399</v>
      </c>
      <c r="AK6" s="235">
        <f t="shared" si="14"/>
        <v>18.45972147</v>
      </c>
      <c r="AL6" s="235">
        <f t="shared" si="14"/>
        <v>14.24647268</v>
      </c>
      <c r="AN6" s="235">
        <f t="shared" ref="AN6:AR6" si="15">STDEV(AN7:AN26)</f>
        <v>8.918618181</v>
      </c>
      <c r="AO6" s="235">
        <f t="shared" si="15"/>
        <v>10.84585907</v>
      </c>
      <c r="AP6" s="235">
        <f t="shared" si="15"/>
        <v>11.24808681</v>
      </c>
      <c r="AQ6" s="235">
        <f t="shared" si="15"/>
        <v>11.23053783</v>
      </c>
      <c r="AR6" s="235">
        <f t="shared" si="15"/>
        <v>11.4587399</v>
      </c>
      <c r="AT6" s="235">
        <f t="shared" ref="AT6:BB6" si="16">STDEV(AT7:AT26)</f>
        <v>7.068022485</v>
      </c>
      <c r="AU6" s="235">
        <f t="shared" si="16"/>
        <v>7.217143625</v>
      </c>
      <c r="AV6" s="235">
        <f t="shared" si="16"/>
        <v>5.955498919</v>
      </c>
      <c r="AW6" s="235">
        <f t="shared" si="16"/>
        <v>5.162436593</v>
      </c>
      <c r="AX6" s="235">
        <f t="shared" si="16"/>
        <v>2.929234497</v>
      </c>
      <c r="AY6" s="235">
        <f t="shared" si="16"/>
        <v>5.845869865</v>
      </c>
      <c r="AZ6" s="235">
        <f t="shared" si="16"/>
        <v>3.957236243</v>
      </c>
      <c r="BA6" s="235">
        <f t="shared" si="16"/>
        <v>6.748946487</v>
      </c>
      <c r="BB6" s="235">
        <f t="shared" si="16"/>
        <v>7.310474443</v>
      </c>
      <c r="BC6" s="235"/>
      <c r="BD6" s="235">
        <f t="shared" ref="BD6:BH6" si="17">STDEV(BD7:BD26)</f>
        <v>7.473357521</v>
      </c>
      <c r="BE6" s="235">
        <f t="shared" si="17"/>
        <v>7.650189867</v>
      </c>
      <c r="BF6" s="235">
        <f t="shared" si="17"/>
        <v>8.269325865</v>
      </c>
      <c r="BG6" s="235">
        <f t="shared" si="17"/>
        <v>8.155915177</v>
      </c>
      <c r="BH6" s="235">
        <f t="shared" si="17"/>
        <v>7.739683439</v>
      </c>
      <c r="BJ6" s="235">
        <f t="shared" ref="BJ6:BT6" si="18">STDEV(BJ7:BJ26)</f>
        <v>10.41549483</v>
      </c>
      <c r="BK6" s="235">
        <f t="shared" si="18"/>
        <v>12.96820927</v>
      </c>
      <c r="BL6" s="235">
        <f t="shared" si="18"/>
        <v>14.25319019</v>
      </c>
      <c r="BM6" s="235">
        <f t="shared" si="18"/>
        <v>16.03501572</v>
      </c>
      <c r="BN6" s="235">
        <f t="shared" si="18"/>
        <v>13.62926043</v>
      </c>
      <c r="BO6" s="235">
        <f t="shared" si="18"/>
        <v>10.34896205</v>
      </c>
      <c r="BP6" s="235">
        <f t="shared" si="18"/>
        <v>8.405775333</v>
      </c>
      <c r="BQ6" s="235">
        <f t="shared" si="18"/>
        <v>11.20796925</v>
      </c>
      <c r="BR6" s="235">
        <f t="shared" si="18"/>
        <v>11.43661221</v>
      </c>
      <c r="BS6" s="235">
        <f t="shared" si="18"/>
        <v>10.28812632</v>
      </c>
      <c r="BT6" s="235">
        <f t="shared" si="18"/>
        <v>14.97311679</v>
      </c>
      <c r="BU6" s="235"/>
      <c r="BV6" s="235">
        <f t="shared" ref="BV6:BW6" si="19">STDEV(BV7:BV26)</f>
        <v>14.13301058</v>
      </c>
      <c r="BW6" s="235">
        <f t="shared" si="19"/>
        <v>16.16411177</v>
      </c>
      <c r="BX6" s="235"/>
      <c r="BY6" s="235">
        <f t="shared" ref="BY6:CA6" si="20">STDEV(BY7:BY26)</f>
        <v>17.92534938</v>
      </c>
      <c r="BZ6" s="235">
        <f t="shared" si="20"/>
        <v>15.86651552</v>
      </c>
      <c r="CA6" s="235">
        <f t="shared" si="20"/>
        <v>16.65517483</v>
      </c>
      <c r="CB6" s="235"/>
      <c r="CC6" s="235"/>
      <c r="CD6" s="235"/>
      <c r="CE6" s="239" t="s">
        <v>364</v>
      </c>
      <c r="CF6" s="240">
        <v>-0.221394985</v>
      </c>
      <c r="CG6" s="240">
        <v>-0.24963855</v>
      </c>
      <c r="CH6" s="240">
        <v>-0.127997414</v>
      </c>
      <c r="CI6" s="240">
        <v>-0.208036147</v>
      </c>
      <c r="CJ6" s="235"/>
      <c r="CK6" s="235"/>
      <c r="CL6" s="235"/>
      <c r="CM6" s="235"/>
      <c r="CN6" s="235"/>
    </row>
    <row r="7">
      <c r="A7" s="13"/>
      <c r="B7" s="20">
        <v>4.43</v>
      </c>
      <c r="C7" s="20">
        <v>1.1</v>
      </c>
      <c r="D7" s="242">
        <v>5.52</v>
      </c>
      <c r="E7" s="242">
        <v>33.5</v>
      </c>
      <c r="F7" s="242">
        <v>-3.72</v>
      </c>
      <c r="G7" s="20">
        <v>1.1</v>
      </c>
      <c r="H7" s="20">
        <v>4.12</v>
      </c>
      <c r="I7" s="20">
        <v>1.1</v>
      </c>
      <c r="J7" s="20">
        <v>4.43</v>
      </c>
      <c r="K7" s="20">
        <v>33.5</v>
      </c>
      <c r="L7" s="20">
        <v>33.5</v>
      </c>
      <c r="M7" s="20">
        <v>33.5</v>
      </c>
      <c r="N7" s="20">
        <v>4.43</v>
      </c>
      <c r="P7" s="20">
        <v>-6.53</v>
      </c>
      <c r="Q7" s="20">
        <v>-15.02</v>
      </c>
      <c r="R7" s="45">
        <v>-6.53</v>
      </c>
      <c r="S7" s="20">
        <v>-15.09</v>
      </c>
      <c r="T7" s="20">
        <v>-9.17</v>
      </c>
      <c r="U7" s="20">
        <v>-9.17</v>
      </c>
      <c r="V7" s="20">
        <v>-7.67</v>
      </c>
      <c r="W7" s="20">
        <v>-6.38</v>
      </c>
      <c r="X7" s="20"/>
      <c r="Y7" s="45">
        <v>-19.22</v>
      </c>
      <c r="Z7" s="20">
        <v>-13.08</v>
      </c>
      <c r="AA7" s="20">
        <v>-23.67</v>
      </c>
      <c r="AB7" s="20">
        <v>-19.11</v>
      </c>
      <c r="AC7" s="20">
        <v>-19.16</v>
      </c>
      <c r="AD7" s="20"/>
      <c r="AE7" s="20">
        <v>13.2</v>
      </c>
      <c r="AF7" s="20">
        <v>13.2</v>
      </c>
      <c r="AG7" s="20">
        <v>13.2</v>
      </c>
      <c r="AH7" s="20">
        <v>22.68</v>
      </c>
      <c r="AI7" s="20">
        <v>22.39</v>
      </c>
      <c r="AJ7" s="20">
        <v>11.73</v>
      </c>
      <c r="AK7" s="20">
        <v>-4.36</v>
      </c>
      <c r="AL7" s="20">
        <v>-4.36</v>
      </c>
      <c r="AN7" s="20">
        <v>-6.72</v>
      </c>
      <c r="AO7" s="20">
        <v>-3.06</v>
      </c>
      <c r="AP7" s="20">
        <v>-12.89</v>
      </c>
      <c r="AQ7" s="20">
        <v>-6.72</v>
      </c>
      <c r="AR7" s="20">
        <v>12.39</v>
      </c>
      <c r="AT7" s="20">
        <v>5.89</v>
      </c>
      <c r="AU7" s="20">
        <v>16.19</v>
      </c>
      <c r="AV7" s="20">
        <v>5.89</v>
      </c>
      <c r="AW7" s="20">
        <v>5.75</v>
      </c>
      <c r="AX7" s="20">
        <v>5.75</v>
      </c>
      <c r="AY7" s="20">
        <v>16.24</v>
      </c>
      <c r="AZ7" s="20">
        <v>5.75</v>
      </c>
      <c r="BA7" s="20">
        <v>5.89</v>
      </c>
      <c r="BB7" s="20">
        <v>7.53</v>
      </c>
      <c r="BC7" s="20"/>
      <c r="BD7" s="20">
        <v>12.07</v>
      </c>
      <c r="BE7" s="20">
        <v>14.51</v>
      </c>
      <c r="BF7" s="20">
        <v>16.44</v>
      </c>
      <c r="BG7" s="20">
        <v>14.51</v>
      </c>
      <c r="BH7" s="243">
        <v>14.08</v>
      </c>
      <c r="BJ7" s="21">
        <v>9.62</v>
      </c>
      <c r="BK7" s="20">
        <v>39.03</v>
      </c>
      <c r="BL7" s="13">
        <v>9.17</v>
      </c>
      <c r="BM7" s="13">
        <v>-2.79</v>
      </c>
      <c r="BN7" s="13">
        <v>13.3</v>
      </c>
      <c r="BO7" s="13">
        <v>14.98</v>
      </c>
      <c r="BP7" s="13">
        <v>9.62</v>
      </c>
      <c r="BQ7" s="13">
        <v>7.38</v>
      </c>
      <c r="BR7" s="13">
        <v>0.02</v>
      </c>
      <c r="BS7" s="13">
        <v>7.38</v>
      </c>
      <c r="BT7" s="13">
        <v>1.03</v>
      </c>
      <c r="BU7" s="13"/>
      <c r="BV7" s="13">
        <v>3.78</v>
      </c>
      <c r="BW7" s="13">
        <v>-5.33</v>
      </c>
      <c r="BX7" s="13"/>
      <c r="BY7" s="13">
        <v>2.69</v>
      </c>
      <c r="BZ7" s="13">
        <v>1.33</v>
      </c>
      <c r="CA7" s="13">
        <v>1.33</v>
      </c>
      <c r="CB7" s="13"/>
      <c r="CC7" s="13"/>
      <c r="CD7" s="13"/>
      <c r="CE7" s="244" t="s">
        <v>361</v>
      </c>
      <c r="CF7" s="245">
        <f t="shared" ref="CF7:CI7" si="21">AVERAGE(CF2:CF6)</f>
        <v>-0.4514173476</v>
      </c>
      <c r="CG7" s="245">
        <f t="shared" si="21"/>
        <v>-0.355449586</v>
      </c>
      <c r="CH7" s="245">
        <f t="shared" si="21"/>
        <v>-0.1587772276</v>
      </c>
      <c r="CI7" s="245">
        <f t="shared" si="21"/>
        <v>-0.3536735716</v>
      </c>
      <c r="CJ7" s="13"/>
      <c r="CK7" s="13"/>
      <c r="CL7" s="13"/>
      <c r="CM7" s="13"/>
      <c r="CN7" s="13"/>
    </row>
    <row r="8">
      <c r="A8" s="66"/>
      <c r="B8" s="20">
        <v>5.52</v>
      </c>
      <c r="C8" s="20">
        <v>3.7</v>
      </c>
      <c r="D8" s="242">
        <v>4.43</v>
      </c>
      <c r="E8" s="242">
        <v>6.4</v>
      </c>
      <c r="F8" s="242">
        <v>1.1</v>
      </c>
      <c r="G8" s="20">
        <v>-1.13</v>
      </c>
      <c r="H8" s="20">
        <v>4.43</v>
      </c>
      <c r="I8" s="20">
        <v>4.43</v>
      </c>
      <c r="J8" s="20">
        <v>33.5</v>
      </c>
      <c r="K8" s="20">
        <v>4.43</v>
      </c>
      <c r="L8" s="20">
        <v>6.4</v>
      </c>
      <c r="M8" s="20">
        <v>4.43</v>
      </c>
      <c r="N8" s="20">
        <v>-2.98</v>
      </c>
      <c r="P8" s="20">
        <v>3.72</v>
      </c>
      <c r="Q8" s="20">
        <v>-7.67</v>
      </c>
      <c r="R8" s="20">
        <v>-6.84</v>
      </c>
      <c r="S8" s="20">
        <v>0.71</v>
      </c>
      <c r="T8" s="100">
        <v>-16.36</v>
      </c>
      <c r="U8" s="20">
        <v>-0.65</v>
      </c>
      <c r="V8" s="20">
        <v>-15.02</v>
      </c>
      <c r="W8" s="100">
        <v>-15.49</v>
      </c>
      <c r="X8" s="20"/>
      <c r="Y8" s="20">
        <v>-11.93</v>
      </c>
      <c r="Z8" s="100">
        <v>-18.75</v>
      </c>
      <c r="AA8" s="20">
        <v>-18.06</v>
      </c>
      <c r="AB8" s="20">
        <v>-14.47</v>
      </c>
      <c r="AC8" s="20">
        <v>2.69</v>
      </c>
      <c r="AD8" s="20"/>
      <c r="AE8" s="20">
        <v>2.38</v>
      </c>
      <c r="AF8" s="20">
        <v>2.38</v>
      </c>
      <c r="AG8" s="20">
        <v>2.68</v>
      </c>
      <c r="AH8" s="20">
        <v>-4.36</v>
      </c>
      <c r="AI8" s="20">
        <v>37.15</v>
      </c>
      <c r="AJ8" s="20">
        <v>5.9</v>
      </c>
      <c r="AK8" s="20">
        <v>21.97</v>
      </c>
      <c r="AL8" s="20">
        <v>13.2</v>
      </c>
      <c r="AN8" s="20">
        <v>-9.78</v>
      </c>
      <c r="AO8" s="20">
        <v>-6.72</v>
      </c>
      <c r="AP8" s="20">
        <v>-6.72</v>
      </c>
      <c r="AQ8" s="20">
        <v>1.62</v>
      </c>
      <c r="AR8" s="20">
        <v>12.11</v>
      </c>
      <c r="AT8" s="20">
        <v>16.19</v>
      </c>
      <c r="AU8" s="20">
        <v>8.74</v>
      </c>
      <c r="AV8" s="20">
        <v>8.74</v>
      </c>
      <c r="AW8" s="20">
        <v>5.89</v>
      </c>
      <c r="AX8" s="20">
        <v>3.56</v>
      </c>
      <c r="AY8" s="20">
        <v>7.53</v>
      </c>
      <c r="AZ8" s="20">
        <v>16.24</v>
      </c>
      <c r="BA8" s="20">
        <v>5.75</v>
      </c>
      <c r="BB8" s="20">
        <v>5.89</v>
      </c>
      <c r="BC8" s="20"/>
      <c r="BD8" s="20">
        <v>24.97</v>
      </c>
      <c r="BE8" s="20">
        <v>12.07</v>
      </c>
      <c r="BF8" s="20">
        <v>15.4</v>
      </c>
      <c r="BG8" s="20">
        <v>23.85</v>
      </c>
      <c r="BH8" s="243">
        <v>16.44</v>
      </c>
      <c r="BJ8" s="246">
        <v>-8.78</v>
      </c>
      <c r="BK8" s="20">
        <v>21.48</v>
      </c>
      <c r="BL8" s="13">
        <v>23.14</v>
      </c>
      <c r="BM8" s="13">
        <v>9.62</v>
      </c>
      <c r="BN8" s="13">
        <v>14.98</v>
      </c>
      <c r="BO8" s="13">
        <v>13.3</v>
      </c>
      <c r="BP8" s="13">
        <v>7.38</v>
      </c>
      <c r="BQ8" s="13">
        <v>14.98</v>
      </c>
      <c r="BR8" s="13">
        <v>-2.13</v>
      </c>
      <c r="BS8" s="13">
        <v>9.62</v>
      </c>
      <c r="BT8" s="13">
        <v>8.01</v>
      </c>
      <c r="BU8" s="13"/>
      <c r="BV8" s="13">
        <v>55.86</v>
      </c>
      <c r="BW8" s="13">
        <v>1.33</v>
      </c>
      <c r="BX8" s="13"/>
      <c r="BY8" s="13">
        <v>-0.85</v>
      </c>
      <c r="BZ8" s="13">
        <v>2.69</v>
      </c>
      <c r="CA8" s="13">
        <v>15.84</v>
      </c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</row>
    <row r="9">
      <c r="A9" s="66"/>
      <c r="B9" s="20">
        <v>4.4</v>
      </c>
      <c r="C9" s="20">
        <v>2.88</v>
      </c>
      <c r="D9" s="242">
        <v>4.12</v>
      </c>
      <c r="E9" s="242">
        <v>4.43</v>
      </c>
      <c r="F9" s="242">
        <v>4.43</v>
      </c>
      <c r="G9" s="20">
        <v>3.7</v>
      </c>
      <c r="H9" s="20">
        <v>-2.59</v>
      </c>
      <c r="I9" s="20">
        <v>-2.98</v>
      </c>
      <c r="J9" s="20">
        <v>5.52</v>
      </c>
      <c r="K9" s="20">
        <v>-2.98</v>
      </c>
      <c r="L9" s="20">
        <v>4.43</v>
      </c>
      <c r="M9" s="20">
        <v>5.52</v>
      </c>
      <c r="N9" s="20">
        <v>5.52</v>
      </c>
      <c r="P9" s="20">
        <v>-15.33</v>
      </c>
      <c r="Q9" s="100">
        <v>-17.74</v>
      </c>
      <c r="R9" s="20">
        <v>-8.92</v>
      </c>
      <c r="S9" s="20">
        <v>-9.09</v>
      </c>
      <c r="T9" s="20">
        <v>-8.91</v>
      </c>
      <c r="U9" s="20">
        <v>-9.01</v>
      </c>
      <c r="V9" s="20">
        <v>-7.38</v>
      </c>
      <c r="W9" s="20">
        <v>-6.91</v>
      </c>
      <c r="X9" s="20"/>
      <c r="Y9" s="20">
        <v>-11.4</v>
      </c>
      <c r="Z9" s="20">
        <v>-19.16</v>
      </c>
      <c r="AA9" s="20">
        <v>-3.79</v>
      </c>
      <c r="AB9" s="20">
        <v>-13.66</v>
      </c>
      <c r="AC9" s="20">
        <v>-13.08</v>
      </c>
      <c r="AD9" s="20"/>
      <c r="AE9" s="20">
        <v>23.91</v>
      </c>
      <c r="AF9" s="20">
        <v>23.91</v>
      </c>
      <c r="AG9" s="20">
        <v>23.91</v>
      </c>
      <c r="AH9" s="20">
        <v>22.39</v>
      </c>
      <c r="AI9" s="20">
        <v>11.31</v>
      </c>
      <c r="AJ9" s="20">
        <v>15.16</v>
      </c>
      <c r="AK9" s="20">
        <v>2.38</v>
      </c>
      <c r="AL9" s="20">
        <v>4.57</v>
      </c>
      <c r="AN9" s="20">
        <v>-20.18</v>
      </c>
      <c r="AO9" s="20">
        <v>-16.12</v>
      </c>
      <c r="AP9" s="20">
        <v>-10.61</v>
      </c>
      <c r="AQ9" s="20">
        <v>-3.06</v>
      </c>
      <c r="AR9" s="20">
        <v>-3.06</v>
      </c>
      <c r="AT9" s="20">
        <v>8.15</v>
      </c>
      <c r="AU9" s="20">
        <v>5.89</v>
      </c>
      <c r="AV9" s="20">
        <v>6.85</v>
      </c>
      <c r="AW9" s="20">
        <v>8.87</v>
      </c>
      <c r="AX9" s="20">
        <v>4.24</v>
      </c>
      <c r="AY9" s="20">
        <v>4.24</v>
      </c>
      <c r="AZ9" s="20">
        <v>9.83</v>
      </c>
      <c r="BA9" s="20">
        <v>8.42</v>
      </c>
      <c r="BB9" s="20">
        <v>8.15</v>
      </c>
      <c r="BC9" s="20"/>
      <c r="BD9" s="20">
        <v>16.44</v>
      </c>
      <c r="BE9" s="20">
        <v>14.08</v>
      </c>
      <c r="BF9" s="20">
        <v>14.08</v>
      </c>
      <c r="BG9" s="20">
        <v>12.07</v>
      </c>
      <c r="BH9" s="20">
        <v>15.4</v>
      </c>
      <c r="BJ9" s="21">
        <v>-2.79</v>
      </c>
      <c r="BK9" s="20">
        <v>24.77</v>
      </c>
      <c r="BL9" s="13">
        <v>44.25</v>
      </c>
      <c r="BM9" s="13">
        <v>44.25</v>
      </c>
      <c r="BN9" s="13">
        <v>7.38</v>
      </c>
      <c r="BO9" s="13">
        <v>7.38</v>
      </c>
      <c r="BP9" s="13">
        <v>-0.2</v>
      </c>
      <c r="BQ9" s="13">
        <v>10.47</v>
      </c>
      <c r="BR9" s="13">
        <v>13.3</v>
      </c>
      <c r="BS9" s="13">
        <v>21.73</v>
      </c>
      <c r="BT9" s="13">
        <v>8.9</v>
      </c>
      <c r="BU9" s="13"/>
      <c r="BV9" s="13">
        <v>5.17</v>
      </c>
      <c r="BW9" s="13">
        <v>2.69</v>
      </c>
      <c r="BX9" s="13"/>
      <c r="BY9" s="13">
        <v>-4.16</v>
      </c>
      <c r="BZ9" s="13">
        <v>0.0</v>
      </c>
      <c r="CA9" s="13">
        <v>-6.62</v>
      </c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</row>
    <row r="10">
      <c r="A10" s="66"/>
      <c r="B10" s="20">
        <v>-2.98</v>
      </c>
      <c r="C10" s="20">
        <v>4.43</v>
      </c>
      <c r="D10" s="242">
        <v>4.4</v>
      </c>
      <c r="E10" s="242">
        <v>5.2</v>
      </c>
      <c r="F10" s="242">
        <v>5.52</v>
      </c>
      <c r="G10" s="20">
        <v>5.38</v>
      </c>
      <c r="H10" s="20">
        <v>3.97</v>
      </c>
      <c r="I10" s="100">
        <v>-3.72</v>
      </c>
      <c r="J10" s="20">
        <v>-2.98</v>
      </c>
      <c r="K10" s="20">
        <v>5.52</v>
      </c>
      <c r="L10" s="20">
        <v>5.2</v>
      </c>
      <c r="M10" s="20">
        <v>-2.98</v>
      </c>
      <c r="N10" s="20">
        <v>4.4</v>
      </c>
      <c r="P10" s="20">
        <v>-4.7</v>
      </c>
      <c r="Q10" s="20">
        <v>-9.45</v>
      </c>
      <c r="R10" s="20">
        <v>-6.38</v>
      </c>
      <c r="S10" s="20">
        <v>-8.84</v>
      </c>
      <c r="T10" s="20">
        <v>-0.65</v>
      </c>
      <c r="U10" s="20">
        <v>-9.45</v>
      </c>
      <c r="V10" s="20">
        <v>-10.22</v>
      </c>
      <c r="W10" s="20">
        <v>-8.31</v>
      </c>
      <c r="X10" s="20"/>
      <c r="Y10" s="20">
        <v>-12.32</v>
      </c>
      <c r="Z10" s="20">
        <v>-12.75</v>
      </c>
      <c r="AA10" s="20">
        <v>-12.75</v>
      </c>
      <c r="AB10" s="20">
        <v>-12.75</v>
      </c>
      <c r="AC10" s="20">
        <v>-19.2</v>
      </c>
      <c r="AD10" s="20"/>
      <c r="AE10" s="20">
        <v>-4.36</v>
      </c>
      <c r="AF10" s="20">
        <v>-4.36</v>
      </c>
      <c r="AG10" s="20">
        <v>4.57</v>
      </c>
      <c r="AH10" s="20">
        <v>37.15</v>
      </c>
      <c r="AI10" s="20">
        <v>22.68</v>
      </c>
      <c r="AJ10" s="20">
        <v>15.61</v>
      </c>
      <c r="AK10" s="20">
        <v>25.94</v>
      </c>
      <c r="AL10" s="20">
        <v>23.91</v>
      </c>
      <c r="AN10" s="20">
        <v>-8.93</v>
      </c>
      <c r="AO10" s="20">
        <v>1.62</v>
      </c>
      <c r="AP10" s="20">
        <v>-21.97</v>
      </c>
      <c r="AQ10" s="20">
        <v>-14.73</v>
      </c>
      <c r="AR10" s="20">
        <v>-8.59</v>
      </c>
      <c r="AT10" s="20">
        <v>8.74</v>
      </c>
      <c r="AU10" s="20">
        <v>6.85</v>
      </c>
      <c r="AV10" s="20">
        <v>8.15</v>
      </c>
      <c r="AW10" s="20">
        <v>8.42</v>
      </c>
      <c r="AX10" s="20">
        <v>16.24</v>
      </c>
      <c r="AY10" s="20">
        <v>8.88</v>
      </c>
      <c r="AZ10" s="20">
        <v>5.89</v>
      </c>
      <c r="BA10" s="20">
        <v>8.87</v>
      </c>
      <c r="BB10" s="20">
        <v>8.74</v>
      </c>
      <c r="BC10" s="20"/>
      <c r="BD10" s="20">
        <v>15.71</v>
      </c>
      <c r="BE10" s="20">
        <v>16.44</v>
      </c>
      <c r="BF10" s="20">
        <v>10.88</v>
      </c>
      <c r="BG10" s="20">
        <v>0.83</v>
      </c>
      <c r="BH10" s="20">
        <v>12.07</v>
      </c>
      <c r="BJ10" s="21">
        <v>17.91</v>
      </c>
      <c r="BK10" s="20">
        <v>9.62</v>
      </c>
      <c r="BL10" s="13">
        <v>20.17</v>
      </c>
      <c r="BM10" s="13">
        <v>7.38</v>
      </c>
      <c r="BN10" s="13">
        <v>5.35</v>
      </c>
      <c r="BO10" s="13">
        <v>13.27</v>
      </c>
      <c r="BP10" s="13">
        <v>-2.79</v>
      </c>
      <c r="BQ10" s="13">
        <v>13.27</v>
      </c>
      <c r="BR10" s="247">
        <v>26.47</v>
      </c>
      <c r="BS10" s="13">
        <v>5.35</v>
      </c>
      <c r="BT10" s="13">
        <v>-1.41</v>
      </c>
      <c r="BU10" s="13"/>
      <c r="BV10" s="13">
        <v>16.26</v>
      </c>
      <c r="BW10" s="13">
        <v>-8.01</v>
      </c>
      <c r="BX10" s="13"/>
      <c r="BY10" s="13">
        <v>1.33</v>
      </c>
      <c r="BZ10" s="13">
        <v>6.23</v>
      </c>
      <c r="CA10" s="13">
        <v>-5.33</v>
      </c>
      <c r="CB10" s="13"/>
      <c r="CC10" s="13"/>
      <c r="CD10" s="13"/>
      <c r="CE10" s="13"/>
      <c r="CF10" s="13"/>
      <c r="CG10" s="13"/>
      <c r="CH10" s="13"/>
      <c r="CI10" s="13"/>
      <c r="CJ10" s="13"/>
      <c r="CK10" s="13"/>
      <c r="CL10" s="13"/>
      <c r="CM10" s="13"/>
      <c r="CN10" s="13"/>
    </row>
    <row r="11">
      <c r="A11" s="66"/>
      <c r="B11" s="20">
        <v>4.24</v>
      </c>
      <c r="C11" s="20">
        <v>4.4</v>
      </c>
      <c r="D11" s="242">
        <v>5.82</v>
      </c>
      <c r="E11" s="242">
        <v>5.57</v>
      </c>
      <c r="F11" s="242">
        <v>4.4</v>
      </c>
      <c r="G11" s="20">
        <v>-3.73</v>
      </c>
      <c r="H11" s="20">
        <v>5.2</v>
      </c>
      <c r="I11" s="20">
        <v>4.56</v>
      </c>
      <c r="J11" s="20">
        <v>4.4</v>
      </c>
      <c r="K11" s="100">
        <v>-3.72</v>
      </c>
      <c r="L11" s="20">
        <v>5.57</v>
      </c>
      <c r="M11" s="100">
        <v>-3.72</v>
      </c>
      <c r="N11" s="20">
        <v>-2.59</v>
      </c>
      <c r="P11" s="20">
        <v>-6.84</v>
      </c>
      <c r="Q11" s="20">
        <v>-7.38</v>
      </c>
      <c r="R11" s="20">
        <v>-6.21</v>
      </c>
      <c r="S11" s="20">
        <v>0.67</v>
      </c>
      <c r="T11" s="20">
        <v>-9.01</v>
      </c>
      <c r="U11" s="20">
        <v>-8.62</v>
      </c>
      <c r="V11" s="20">
        <v>-8.08</v>
      </c>
      <c r="W11" s="20">
        <v>-8.92</v>
      </c>
      <c r="X11" s="20"/>
      <c r="Y11" s="20">
        <v>-13.1</v>
      </c>
      <c r="Z11" s="20">
        <v>-12.32</v>
      </c>
      <c r="AA11" s="20">
        <v>-12.23</v>
      </c>
      <c r="AB11" s="20">
        <v>-3.79</v>
      </c>
      <c r="AC11" s="20">
        <v>-8.12</v>
      </c>
      <c r="AD11" s="20"/>
      <c r="AE11" s="20">
        <v>2.68</v>
      </c>
      <c r="AF11" s="20">
        <v>2.68</v>
      </c>
      <c r="AG11" s="20">
        <v>12.33</v>
      </c>
      <c r="AH11" s="20">
        <v>20.87</v>
      </c>
      <c r="AI11" s="20">
        <v>-6.48</v>
      </c>
      <c r="AJ11" s="20">
        <v>-10.82</v>
      </c>
      <c r="AK11" s="100">
        <v>-12.65</v>
      </c>
      <c r="AL11" s="20">
        <v>2.38</v>
      </c>
      <c r="AN11" s="20">
        <v>-31.35</v>
      </c>
      <c r="AO11" s="20">
        <v>-9.78</v>
      </c>
      <c r="AP11" s="20">
        <v>-7.75</v>
      </c>
      <c r="AQ11" s="20">
        <v>-9.11</v>
      </c>
      <c r="AR11" s="20">
        <v>1.62</v>
      </c>
      <c r="AT11" s="20">
        <v>8.81</v>
      </c>
      <c r="AU11" s="20">
        <v>8.87</v>
      </c>
      <c r="AV11" s="20">
        <v>8.87</v>
      </c>
      <c r="AW11" s="20">
        <v>16.24</v>
      </c>
      <c r="AX11" s="20">
        <v>7.81</v>
      </c>
      <c r="AY11" s="20">
        <v>5.89</v>
      </c>
      <c r="AZ11" s="20">
        <v>7.53</v>
      </c>
      <c r="BA11" s="20">
        <v>8.81</v>
      </c>
      <c r="BB11" s="20">
        <v>8.07</v>
      </c>
      <c r="BC11" s="20"/>
      <c r="BD11" s="20">
        <v>14.08</v>
      </c>
      <c r="BE11" s="20">
        <v>15.4</v>
      </c>
      <c r="BF11" s="20">
        <v>15.42</v>
      </c>
      <c r="BG11" s="20">
        <v>14.09</v>
      </c>
      <c r="BH11" s="20">
        <v>2.77</v>
      </c>
      <c r="BJ11" s="21">
        <v>7.38</v>
      </c>
      <c r="BK11" s="20">
        <v>21.53</v>
      </c>
      <c r="BL11" s="248">
        <v>-2.79</v>
      </c>
      <c r="BM11" s="13">
        <v>41.2</v>
      </c>
      <c r="BN11" s="13">
        <v>-2.13</v>
      </c>
      <c r="BO11" s="13">
        <v>5.35</v>
      </c>
      <c r="BP11" s="13">
        <v>5.35</v>
      </c>
      <c r="BQ11" s="13">
        <v>5.35</v>
      </c>
      <c r="BR11" s="13">
        <v>-10.7</v>
      </c>
      <c r="BS11" s="13">
        <v>10.47</v>
      </c>
      <c r="BT11" s="13">
        <v>-7.59</v>
      </c>
      <c r="BU11" s="13"/>
      <c r="BV11" s="13">
        <v>14.56</v>
      </c>
      <c r="BW11" s="13">
        <v>-13.38</v>
      </c>
      <c r="BX11" s="13"/>
      <c r="BY11" s="13">
        <v>-5.33</v>
      </c>
      <c r="BZ11" s="13">
        <v>-13.38</v>
      </c>
      <c r="CA11" s="13">
        <v>51.66</v>
      </c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</row>
    <row r="12">
      <c r="A12" s="66"/>
      <c r="B12" s="20">
        <v>4.12</v>
      </c>
      <c r="C12" s="20">
        <v>-2.98</v>
      </c>
      <c r="D12" s="242">
        <v>0.0</v>
      </c>
      <c r="E12" s="242">
        <v>4.39</v>
      </c>
      <c r="F12" s="242">
        <v>4.56</v>
      </c>
      <c r="G12" s="20">
        <v>2.88</v>
      </c>
      <c r="H12" s="20">
        <v>3.79</v>
      </c>
      <c r="I12" s="20">
        <v>-2.46</v>
      </c>
      <c r="J12" s="20">
        <v>4.12</v>
      </c>
      <c r="K12" s="20">
        <v>6.4</v>
      </c>
      <c r="L12" s="20">
        <v>4.39</v>
      </c>
      <c r="M12" s="20">
        <v>4.4</v>
      </c>
      <c r="N12" s="20">
        <v>-2.81</v>
      </c>
      <c r="P12" s="20">
        <v>-17.2</v>
      </c>
      <c r="Q12" s="20">
        <v>-8.13</v>
      </c>
      <c r="R12" s="20">
        <v>-7.38</v>
      </c>
      <c r="S12" s="20">
        <v>-8.31</v>
      </c>
      <c r="T12" s="20">
        <v>-15.09</v>
      </c>
      <c r="U12" s="20">
        <v>-9.4</v>
      </c>
      <c r="V12" s="20">
        <v>-15.49</v>
      </c>
      <c r="W12" s="20">
        <v>-4.81</v>
      </c>
      <c r="X12" s="20"/>
      <c r="Y12" s="20">
        <v>-20.58</v>
      </c>
      <c r="Z12" s="20">
        <v>-8.12</v>
      </c>
      <c r="AA12" s="20">
        <v>-11.59</v>
      </c>
      <c r="AB12" s="20">
        <v>-12.23</v>
      </c>
      <c r="AC12" s="20">
        <v>-11.93</v>
      </c>
      <c r="AD12" s="20"/>
      <c r="AE12" s="100">
        <v>-15.47</v>
      </c>
      <c r="AF12" s="100">
        <v>-15.47</v>
      </c>
      <c r="AG12" s="20">
        <v>14.15</v>
      </c>
      <c r="AH12" s="20">
        <v>24.27</v>
      </c>
      <c r="AI12" s="20">
        <v>4.93</v>
      </c>
      <c r="AJ12" s="20">
        <v>25.94</v>
      </c>
      <c r="AK12" s="20">
        <v>4.57</v>
      </c>
      <c r="AL12" s="20">
        <v>34.69</v>
      </c>
      <c r="AN12" s="20">
        <v>11.21</v>
      </c>
      <c r="AO12" s="20">
        <v>11.21</v>
      </c>
      <c r="AP12" s="20">
        <v>-10.24</v>
      </c>
      <c r="AQ12" s="20">
        <v>-10.28</v>
      </c>
      <c r="AR12" s="20">
        <v>18.14</v>
      </c>
      <c r="AT12" s="20">
        <v>8.87</v>
      </c>
      <c r="AU12" s="20">
        <v>8.15</v>
      </c>
      <c r="AV12" s="20">
        <v>8.07</v>
      </c>
      <c r="AW12" s="20">
        <v>7.6</v>
      </c>
      <c r="AX12" s="20">
        <v>8.88</v>
      </c>
      <c r="AY12" s="20">
        <v>-4.26</v>
      </c>
      <c r="AZ12" s="20">
        <v>8.88</v>
      </c>
      <c r="BA12" s="20">
        <v>7.6</v>
      </c>
      <c r="BB12" s="20">
        <v>8.28</v>
      </c>
      <c r="BC12" s="20"/>
      <c r="BD12" s="20">
        <v>15.12</v>
      </c>
      <c r="BE12" s="20">
        <v>16.59</v>
      </c>
      <c r="BF12" s="20">
        <v>24.97</v>
      </c>
      <c r="BG12" s="20">
        <v>11.43</v>
      </c>
      <c r="BH12" s="20">
        <v>14.63</v>
      </c>
      <c r="BJ12" s="21">
        <v>9.81</v>
      </c>
      <c r="BK12" s="20">
        <v>17.03</v>
      </c>
      <c r="BL12" s="13">
        <v>21.92</v>
      </c>
      <c r="BM12" s="13">
        <v>5.35</v>
      </c>
      <c r="BN12" s="13">
        <v>13.27</v>
      </c>
      <c r="BO12" s="13">
        <v>-2.13</v>
      </c>
      <c r="BP12" s="13">
        <v>1.32</v>
      </c>
      <c r="BQ12" s="13">
        <v>13.3</v>
      </c>
      <c r="BR12" s="13">
        <v>-1.41</v>
      </c>
      <c r="BS12" s="13">
        <v>7.15</v>
      </c>
      <c r="BT12" s="13">
        <v>23.9</v>
      </c>
      <c r="BU12" s="13"/>
      <c r="BV12" s="13">
        <v>15.88</v>
      </c>
      <c r="BW12" s="13">
        <v>15.84</v>
      </c>
      <c r="BX12" s="13"/>
      <c r="BY12" s="13">
        <v>3.1</v>
      </c>
      <c r="BZ12" s="13">
        <v>-5.33</v>
      </c>
      <c r="CA12" s="13">
        <v>15.05</v>
      </c>
      <c r="CB12" s="66"/>
      <c r="CC12" s="66"/>
      <c r="CD12" s="66"/>
      <c r="CE12" s="66"/>
      <c r="CF12" s="66"/>
      <c r="CG12" s="66"/>
      <c r="CH12" s="66"/>
      <c r="CI12" s="66"/>
      <c r="CJ12" s="66"/>
      <c r="CK12" s="66"/>
      <c r="CL12" s="66"/>
      <c r="CM12" s="66"/>
      <c r="CN12" s="66"/>
    </row>
    <row r="13">
      <c r="A13" s="66"/>
      <c r="B13" s="20">
        <v>33.5</v>
      </c>
      <c r="C13" s="20">
        <v>-1.13</v>
      </c>
      <c r="D13" s="249">
        <v>-3.72</v>
      </c>
      <c r="E13" s="242">
        <v>4.77</v>
      </c>
      <c r="F13" s="242">
        <v>5.38</v>
      </c>
      <c r="G13" s="45">
        <v>15.14</v>
      </c>
      <c r="H13" s="45">
        <v>4.28</v>
      </c>
      <c r="I13" s="20">
        <v>3.7</v>
      </c>
      <c r="J13" s="100">
        <v>-3.72</v>
      </c>
      <c r="K13" s="20">
        <v>5.57</v>
      </c>
      <c r="L13" s="20">
        <v>4.77</v>
      </c>
      <c r="M13" s="20">
        <v>4.12</v>
      </c>
      <c r="N13" s="20">
        <v>3.33</v>
      </c>
      <c r="P13" s="20">
        <v>-5.95</v>
      </c>
      <c r="Q13" s="20">
        <v>-6.84</v>
      </c>
      <c r="R13" s="20">
        <v>-6.91</v>
      </c>
      <c r="S13" s="20">
        <v>-8.99</v>
      </c>
      <c r="T13" s="20">
        <v>-8.84</v>
      </c>
      <c r="U13" s="20">
        <v>-15.09</v>
      </c>
      <c r="V13" s="20">
        <v>-16.17</v>
      </c>
      <c r="W13" s="20">
        <v>-3.58</v>
      </c>
      <c r="X13" s="20"/>
      <c r="Y13" s="20">
        <v>-13.08</v>
      </c>
      <c r="Z13" s="20">
        <v>4.06</v>
      </c>
      <c r="AA13" s="20">
        <v>-9.25</v>
      </c>
      <c r="AB13" s="20">
        <v>-12.23</v>
      </c>
      <c r="AC13" s="20">
        <v>2.38</v>
      </c>
      <c r="AD13" s="20"/>
      <c r="AE13" s="20">
        <v>34.69</v>
      </c>
      <c r="AF13" s="20">
        <v>34.69</v>
      </c>
      <c r="AG13" s="20">
        <v>8.02</v>
      </c>
      <c r="AH13" s="20">
        <v>23.58</v>
      </c>
      <c r="AI13" s="20">
        <v>-3.11</v>
      </c>
      <c r="AJ13" s="20">
        <v>-0.09</v>
      </c>
      <c r="AK13" s="20">
        <v>-12.13</v>
      </c>
      <c r="AL13" s="20">
        <v>-0.09</v>
      </c>
      <c r="AN13" s="20">
        <v>-12.83</v>
      </c>
      <c r="AO13" s="20">
        <v>-10.28</v>
      </c>
      <c r="AP13" s="20">
        <v>-17.59</v>
      </c>
      <c r="AQ13" s="20">
        <v>11.21</v>
      </c>
      <c r="AR13" s="20">
        <v>11.84</v>
      </c>
      <c r="AT13" s="100">
        <v>-11.7</v>
      </c>
      <c r="AU13" s="100">
        <v>-11.45</v>
      </c>
      <c r="AV13" s="20">
        <v>16.19</v>
      </c>
      <c r="AW13" s="20">
        <v>3.56</v>
      </c>
      <c r="AX13" s="20">
        <v>8.87</v>
      </c>
      <c r="AY13" s="20">
        <v>8.41</v>
      </c>
      <c r="AZ13" s="100">
        <v>-4.26</v>
      </c>
      <c r="BA13" s="100">
        <v>-11.45</v>
      </c>
      <c r="BB13" s="20">
        <v>8.81</v>
      </c>
      <c r="BC13" s="20"/>
      <c r="BD13" s="20">
        <v>15.8</v>
      </c>
      <c r="BE13" s="20">
        <v>15.71</v>
      </c>
      <c r="BF13" s="20">
        <v>16.59</v>
      </c>
      <c r="BG13" s="20">
        <v>16.21</v>
      </c>
      <c r="BH13" s="20">
        <v>3.34</v>
      </c>
      <c r="BJ13" s="21">
        <v>9.48</v>
      </c>
      <c r="BK13" s="20">
        <v>6.73</v>
      </c>
      <c r="BL13" s="13">
        <v>17.28</v>
      </c>
      <c r="BM13" s="13">
        <v>-2.13</v>
      </c>
      <c r="BN13" s="13">
        <v>15.7</v>
      </c>
      <c r="BO13" s="13">
        <v>10.47</v>
      </c>
      <c r="BP13" s="13">
        <v>1.66</v>
      </c>
      <c r="BQ13" s="13">
        <v>26.47</v>
      </c>
      <c r="BR13" s="13">
        <v>7.38</v>
      </c>
      <c r="BS13" s="13">
        <v>5.76</v>
      </c>
      <c r="BT13" s="13">
        <v>10.16</v>
      </c>
      <c r="BU13" s="13"/>
      <c r="BV13" s="13">
        <v>51.66</v>
      </c>
      <c r="BW13" s="13">
        <v>3.1</v>
      </c>
      <c r="BX13" s="13"/>
      <c r="BY13" s="13">
        <v>3.21</v>
      </c>
      <c r="BZ13" s="13">
        <v>-9.08</v>
      </c>
      <c r="CA13" s="13">
        <v>-5.87</v>
      </c>
      <c r="CB13" s="66"/>
      <c r="CC13" s="66"/>
      <c r="CD13" s="66"/>
      <c r="CE13" s="66"/>
      <c r="CF13" s="66"/>
      <c r="CG13" s="66"/>
      <c r="CH13" s="66"/>
      <c r="CI13" s="66"/>
      <c r="CJ13" s="66"/>
      <c r="CK13" s="66"/>
      <c r="CL13" s="66"/>
      <c r="CM13" s="66"/>
      <c r="CN13" s="66"/>
    </row>
    <row r="14">
      <c r="A14" s="66"/>
      <c r="B14" s="20">
        <v>7.8</v>
      </c>
      <c r="C14" s="20">
        <v>4.56</v>
      </c>
      <c r="D14" s="242">
        <v>-2.59</v>
      </c>
      <c r="E14" s="249">
        <v>-2.98</v>
      </c>
      <c r="F14" s="242">
        <v>2.97</v>
      </c>
      <c r="G14" s="20">
        <v>-0.59</v>
      </c>
      <c r="H14" s="20">
        <v>-10.24</v>
      </c>
      <c r="I14" s="20">
        <v>33.5</v>
      </c>
      <c r="J14" s="20">
        <v>5.57</v>
      </c>
      <c r="K14" s="20">
        <v>5.02</v>
      </c>
      <c r="L14" s="20">
        <v>-2.98</v>
      </c>
      <c r="M14" s="20">
        <v>5.57</v>
      </c>
      <c r="N14" s="100">
        <v>-3.72</v>
      </c>
      <c r="P14" s="20">
        <v>-4.81</v>
      </c>
      <c r="Q14" s="20">
        <v>-6.53</v>
      </c>
      <c r="R14" s="20">
        <v>-6.11</v>
      </c>
      <c r="S14" s="20">
        <v>-15.49</v>
      </c>
      <c r="T14" s="20">
        <v>-8.18</v>
      </c>
      <c r="U14" s="20">
        <v>-8.91</v>
      </c>
      <c r="V14" s="20">
        <v>-4.7</v>
      </c>
      <c r="W14" s="20">
        <v>-15.02</v>
      </c>
      <c r="X14" s="20"/>
      <c r="Y14" s="20">
        <v>-11.44</v>
      </c>
      <c r="Z14" s="20">
        <v>-19.11</v>
      </c>
      <c r="AA14" s="20">
        <v>-4.66</v>
      </c>
      <c r="AB14" s="20">
        <v>-12.48</v>
      </c>
      <c r="AC14" s="20">
        <v>-9.73</v>
      </c>
      <c r="AD14" s="20"/>
      <c r="AE14" s="20">
        <v>-11.63</v>
      </c>
      <c r="AF14" s="20">
        <v>-11.63</v>
      </c>
      <c r="AG14" s="20">
        <v>1.27</v>
      </c>
      <c r="AH14" s="20">
        <v>4.57</v>
      </c>
      <c r="AI14" s="20">
        <v>24.27</v>
      </c>
      <c r="AJ14" s="20">
        <v>34.69</v>
      </c>
      <c r="AK14" s="20">
        <v>22.68</v>
      </c>
      <c r="AL14" s="20">
        <v>25.94</v>
      </c>
      <c r="AN14" s="20">
        <v>-6.53</v>
      </c>
      <c r="AO14" s="20">
        <v>13.71</v>
      </c>
      <c r="AP14" s="20">
        <v>-10.79</v>
      </c>
      <c r="AQ14" s="20">
        <v>-17.59</v>
      </c>
      <c r="AR14" s="20">
        <v>0.85</v>
      </c>
      <c r="AT14" s="20">
        <v>-11.45</v>
      </c>
      <c r="AU14" s="20">
        <v>-11.7</v>
      </c>
      <c r="AV14" s="20">
        <v>8.52</v>
      </c>
      <c r="AW14" s="20">
        <v>8.88</v>
      </c>
      <c r="AX14" s="20">
        <v>8.27</v>
      </c>
      <c r="AY14" s="20">
        <v>9.04</v>
      </c>
      <c r="AZ14" s="20">
        <v>8.58</v>
      </c>
      <c r="BA14" s="45">
        <v>16.24</v>
      </c>
      <c r="BB14" s="20">
        <v>8.87</v>
      </c>
      <c r="BC14" s="20"/>
      <c r="BD14" s="20">
        <v>16.59</v>
      </c>
      <c r="BE14" s="20">
        <v>15.12</v>
      </c>
      <c r="BF14" s="20">
        <v>1.61</v>
      </c>
      <c r="BG14" s="20">
        <v>16.1</v>
      </c>
      <c r="BH14" s="20">
        <v>-9.35</v>
      </c>
      <c r="BJ14" s="21">
        <v>-0.2</v>
      </c>
      <c r="BK14" s="20">
        <v>-8.78</v>
      </c>
      <c r="BL14" s="13">
        <v>41.83</v>
      </c>
      <c r="BM14" s="13">
        <v>9.17</v>
      </c>
      <c r="BN14" s="13">
        <v>31.48</v>
      </c>
      <c r="BO14" s="13">
        <v>9.62</v>
      </c>
      <c r="BP14" s="13">
        <v>23.32</v>
      </c>
      <c r="BQ14" s="13">
        <v>0.02</v>
      </c>
      <c r="BR14" s="13">
        <v>6.21</v>
      </c>
      <c r="BS14" s="13">
        <v>-0.93</v>
      </c>
      <c r="BT14" s="13">
        <v>46.12</v>
      </c>
      <c r="BU14" s="13"/>
      <c r="BV14" s="13">
        <v>18.08</v>
      </c>
      <c r="BW14" s="13">
        <v>34.72</v>
      </c>
      <c r="BX14" s="13"/>
      <c r="BY14" s="13">
        <v>-3.0</v>
      </c>
      <c r="BZ14" s="13">
        <v>5.17</v>
      </c>
      <c r="CA14" s="13">
        <v>3.1</v>
      </c>
      <c r="CB14" s="66"/>
      <c r="CC14" s="66"/>
      <c r="CD14" s="66"/>
      <c r="CE14" s="66"/>
      <c r="CF14" s="66"/>
      <c r="CG14" s="66"/>
      <c r="CH14" s="66"/>
      <c r="CI14" s="66"/>
      <c r="CJ14" s="66"/>
      <c r="CK14" s="66"/>
      <c r="CL14" s="66"/>
      <c r="CM14" s="66"/>
      <c r="CN14" s="66"/>
    </row>
    <row r="15">
      <c r="A15" s="66"/>
      <c r="B15" s="20">
        <v>1.1</v>
      </c>
      <c r="C15" s="20">
        <v>5.52</v>
      </c>
      <c r="D15" s="242">
        <v>4.63</v>
      </c>
      <c r="E15" s="242">
        <v>5.02</v>
      </c>
      <c r="F15" s="242">
        <v>3.7</v>
      </c>
      <c r="G15" s="20">
        <v>-3.72</v>
      </c>
      <c r="H15" s="20">
        <v>-2.89</v>
      </c>
      <c r="I15" s="20">
        <v>5.52</v>
      </c>
      <c r="J15" s="20">
        <v>5.51</v>
      </c>
      <c r="K15" s="20">
        <v>4.77</v>
      </c>
      <c r="L15" s="20">
        <v>5.02</v>
      </c>
      <c r="M15" s="20">
        <v>5.02</v>
      </c>
      <c r="N15" s="20">
        <v>4.87</v>
      </c>
      <c r="P15" s="20">
        <v>-6.38</v>
      </c>
      <c r="Q15" s="20">
        <v>-4.7</v>
      </c>
      <c r="R15" s="100">
        <v>-15.14</v>
      </c>
      <c r="S15" s="20">
        <v>-8.91</v>
      </c>
      <c r="T15" s="20">
        <v>-9.45</v>
      </c>
      <c r="U15" s="20">
        <v>-8.18</v>
      </c>
      <c r="V15" s="100">
        <v>-17.74</v>
      </c>
      <c r="W15" s="20">
        <v>-6.84</v>
      </c>
      <c r="X15" s="20"/>
      <c r="Y15" s="100">
        <v>-7.45</v>
      </c>
      <c r="Z15" s="20">
        <v>-11.93</v>
      </c>
      <c r="AA15" s="20">
        <v>-12.64</v>
      </c>
      <c r="AB15" s="20">
        <v>-18.75</v>
      </c>
      <c r="AC15" s="20">
        <v>-19.22</v>
      </c>
      <c r="AD15" s="20"/>
      <c r="AE15" s="20">
        <v>14.85</v>
      </c>
      <c r="AF15" s="20">
        <v>14.85</v>
      </c>
      <c r="AG15" s="100">
        <v>-4.36</v>
      </c>
      <c r="AH15" s="20">
        <v>25.94</v>
      </c>
      <c r="AI15" s="20">
        <v>-5.57</v>
      </c>
      <c r="AJ15" s="20">
        <v>15.27</v>
      </c>
      <c r="AK15" s="45">
        <v>41.1</v>
      </c>
      <c r="AL15" s="20">
        <v>2.68</v>
      </c>
      <c r="AN15" s="100">
        <v>-14.73</v>
      </c>
      <c r="AO15" s="20">
        <v>-9.11</v>
      </c>
      <c r="AP15" s="20">
        <v>-8.93</v>
      </c>
      <c r="AQ15" s="20">
        <v>25.19</v>
      </c>
      <c r="AR15" s="20">
        <v>11.5</v>
      </c>
      <c r="AT15" s="20">
        <v>8.07</v>
      </c>
      <c r="AU15" s="20">
        <v>8.07</v>
      </c>
      <c r="AV15" s="20">
        <v>7.19</v>
      </c>
      <c r="AW15" s="20">
        <v>4.24</v>
      </c>
      <c r="AX15" s="20">
        <v>7.6</v>
      </c>
      <c r="AY15" s="20">
        <v>5.87</v>
      </c>
      <c r="AZ15" s="20">
        <v>4.24</v>
      </c>
      <c r="BA15" s="20">
        <v>9.83</v>
      </c>
      <c r="BB15" s="20">
        <v>7.83</v>
      </c>
      <c r="BC15" s="20"/>
      <c r="BD15" s="20">
        <v>15.24</v>
      </c>
      <c r="BE15" s="20">
        <v>15.05</v>
      </c>
      <c r="BF15" s="20">
        <v>15.28</v>
      </c>
      <c r="BG15" s="20">
        <v>16.37</v>
      </c>
      <c r="BH15" s="20">
        <v>15.71</v>
      </c>
      <c r="BJ15" s="21">
        <v>21.53</v>
      </c>
      <c r="BK15" s="20">
        <v>31.96</v>
      </c>
      <c r="BL15" s="13">
        <v>5.22</v>
      </c>
      <c r="BM15" s="13">
        <v>22.99</v>
      </c>
      <c r="BN15" s="13">
        <v>9.62</v>
      </c>
      <c r="BO15" s="13">
        <v>12.5</v>
      </c>
      <c r="BP15" s="13">
        <v>-2.13</v>
      </c>
      <c r="BQ15" s="13">
        <v>-2.13</v>
      </c>
      <c r="BR15" s="13">
        <v>12.5</v>
      </c>
      <c r="BS15" s="13">
        <v>38.1</v>
      </c>
      <c r="BT15" s="13">
        <v>40.64</v>
      </c>
      <c r="BU15" s="13"/>
      <c r="BV15" s="13">
        <v>2.69</v>
      </c>
      <c r="BW15" s="13">
        <v>51.66</v>
      </c>
      <c r="BX15" s="13"/>
      <c r="BY15" s="13">
        <v>5.17</v>
      </c>
      <c r="BZ15" s="13">
        <v>4.33</v>
      </c>
      <c r="CA15" s="13">
        <v>34.72</v>
      </c>
      <c r="CB15" s="66"/>
      <c r="CC15" s="66"/>
      <c r="CD15" s="66"/>
      <c r="CE15" s="66"/>
      <c r="CF15" s="66"/>
      <c r="CG15" s="66"/>
      <c r="CH15" s="66"/>
      <c r="CI15" s="66"/>
      <c r="CJ15" s="66"/>
      <c r="CK15" s="66"/>
      <c r="CL15" s="66"/>
      <c r="CM15" s="66"/>
      <c r="CN15" s="66"/>
    </row>
    <row r="16">
      <c r="A16" s="66"/>
      <c r="B16" s="20">
        <v>5.51</v>
      </c>
      <c r="C16" s="100">
        <v>-3.72</v>
      </c>
      <c r="D16" s="242">
        <v>5.38</v>
      </c>
      <c r="E16" s="242">
        <v>5.4</v>
      </c>
      <c r="F16" s="242">
        <v>4.78</v>
      </c>
      <c r="G16" s="45">
        <v>16.18</v>
      </c>
      <c r="H16" s="45">
        <v>4.3</v>
      </c>
      <c r="I16" s="20">
        <v>4.4</v>
      </c>
      <c r="J16" s="20">
        <v>4.81</v>
      </c>
      <c r="K16" s="20">
        <v>4.12</v>
      </c>
      <c r="L16" s="20">
        <v>5.4</v>
      </c>
      <c r="M16" s="20">
        <v>4.77</v>
      </c>
      <c r="N16" s="20">
        <v>5.38</v>
      </c>
      <c r="P16" s="20">
        <v>-6.21</v>
      </c>
      <c r="Q16" s="20">
        <v>-6.21</v>
      </c>
      <c r="R16" s="20">
        <v>-7.14</v>
      </c>
      <c r="S16" s="20">
        <v>-8.33</v>
      </c>
      <c r="T16" s="20">
        <v>-8.99</v>
      </c>
      <c r="U16" s="20">
        <v>-16.36</v>
      </c>
      <c r="V16" s="45">
        <v>8.73</v>
      </c>
      <c r="W16" s="20">
        <v>-8.67</v>
      </c>
      <c r="X16" s="20"/>
      <c r="Y16" s="20">
        <v>-19.11</v>
      </c>
      <c r="Z16" s="20">
        <v>-13.66</v>
      </c>
      <c r="AA16" s="20">
        <v>-13.29</v>
      </c>
      <c r="AB16" s="20">
        <v>-13.0</v>
      </c>
      <c r="AC16" s="20">
        <v>3.52</v>
      </c>
      <c r="AD16" s="20"/>
      <c r="AE16" s="20">
        <v>23.6</v>
      </c>
      <c r="AF16" s="20">
        <v>23.6</v>
      </c>
      <c r="AG16" s="20">
        <v>23.69</v>
      </c>
      <c r="AH16" s="20">
        <v>4.93</v>
      </c>
      <c r="AI16" s="20">
        <v>-5.66</v>
      </c>
      <c r="AJ16" s="20">
        <v>20.87</v>
      </c>
      <c r="AK16" s="20">
        <v>-3.61</v>
      </c>
      <c r="AL16" s="20">
        <v>41.1</v>
      </c>
      <c r="AN16" s="20">
        <v>-9.11</v>
      </c>
      <c r="AO16" s="20">
        <v>15.59</v>
      </c>
      <c r="AP16" s="20">
        <v>13.56</v>
      </c>
      <c r="AQ16" s="20">
        <v>-16.3</v>
      </c>
      <c r="AR16" s="20">
        <v>13.71</v>
      </c>
      <c r="AT16" s="20">
        <v>8.28</v>
      </c>
      <c r="AU16" s="20">
        <v>8.42</v>
      </c>
      <c r="AV16" s="20">
        <v>7.83</v>
      </c>
      <c r="AW16" s="20">
        <v>9.83</v>
      </c>
      <c r="AX16" s="20">
        <v>4.39</v>
      </c>
      <c r="AY16" s="20">
        <v>7.83</v>
      </c>
      <c r="AZ16" s="20">
        <v>8.87</v>
      </c>
      <c r="BA16" s="20">
        <v>5.42</v>
      </c>
      <c r="BB16" s="20">
        <v>8.33</v>
      </c>
      <c r="BC16" s="20"/>
      <c r="BD16" s="20">
        <v>15.4</v>
      </c>
      <c r="BE16" s="20">
        <v>15.42</v>
      </c>
      <c r="BF16" s="20">
        <v>16.04</v>
      </c>
      <c r="BG16" s="20">
        <v>11.99</v>
      </c>
      <c r="BH16" s="20">
        <v>24.97</v>
      </c>
      <c r="BJ16" s="21">
        <v>9.25</v>
      </c>
      <c r="BK16" s="20">
        <v>22.74</v>
      </c>
      <c r="BL16" s="13">
        <v>22.99</v>
      </c>
      <c r="BM16" s="248">
        <v>-8.78</v>
      </c>
      <c r="BN16" s="13">
        <v>41.2</v>
      </c>
      <c r="BO16" s="13">
        <v>26.47</v>
      </c>
      <c r="BP16" s="13">
        <v>8.1</v>
      </c>
      <c r="BQ16" s="13">
        <v>12.5</v>
      </c>
      <c r="BR16" s="13">
        <v>5.35</v>
      </c>
      <c r="BS16" s="13">
        <v>24.61</v>
      </c>
      <c r="BT16" s="13">
        <v>-0.01</v>
      </c>
      <c r="BU16" s="13"/>
      <c r="BV16" s="248">
        <v>11.9</v>
      </c>
      <c r="BW16" s="13">
        <v>-7.05</v>
      </c>
      <c r="BX16" s="13"/>
      <c r="BY16" s="13">
        <v>15.84</v>
      </c>
      <c r="BZ16" s="13">
        <v>6.33</v>
      </c>
      <c r="CA16" s="13">
        <v>-0.85</v>
      </c>
      <c r="CB16" s="66"/>
      <c r="CC16" s="66"/>
      <c r="CD16" s="66"/>
      <c r="CE16" s="66"/>
      <c r="CF16" s="66"/>
      <c r="CG16" s="66"/>
      <c r="CH16" s="66"/>
      <c r="CI16" s="66"/>
      <c r="CJ16" s="66"/>
      <c r="CK16" s="66"/>
      <c r="CL16" s="66"/>
      <c r="CM16" s="66"/>
      <c r="CN16" s="66"/>
    </row>
    <row r="17">
      <c r="A17" s="66"/>
      <c r="B17" s="20">
        <v>-2.59</v>
      </c>
      <c r="C17" s="20">
        <v>-3.73</v>
      </c>
      <c r="D17" s="242">
        <v>-2.98</v>
      </c>
      <c r="E17" s="242">
        <v>-0.95</v>
      </c>
      <c r="F17" s="242">
        <v>5.49</v>
      </c>
      <c r="G17" s="45">
        <v>10.04</v>
      </c>
      <c r="H17" s="45">
        <v>7.8</v>
      </c>
      <c r="I17" s="20">
        <v>2.97</v>
      </c>
      <c r="J17" s="20">
        <v>4.77</v>
      </c>
      <c r="K17" s="20">
        <v>4.39</v>
      </c>
      <c r="L17" s="20">
        <v>5.52</v>
      </c>
      <c r="M17" s="20">
        <v>4.81</v>
      </c>
      <c r="N17" s="20">
        <v>2.22</v>
      </c>
      <c r="P17" s="20">
        <v>-4.01</v>
      </c>
      <c r="Q17" s="20">
        <v>-10.22</v>
      </c>
      <c r="R17" s="20">
        <v>-15.49</v>
      </c>
      <c r="S17" s="20">
        <v>-8.62</v>
      </c>
      <c r="T17" s="20">
        <v>-8.62</v>
      </c>
      <c r="U17" s="20">
        <v>-8.63</v>
      </c>
      <c r="V17" s="20">
        <v>3.72</v>
      </c>
      <c r="W17" s="20">
        <v>-2.68</v>
      </c>
      <c r="X17" s="20"/>
      <c r="Y17" s="20">
        <v>-13.45</v>
      </c>
      <c r="Z17" s="20">
        <v>5.02</v>
      </c>
      <c r="AA17" s="20">
        <v>-20.14</v>
      </c>
      <c r="AB17" s="20">
        <v>-11.7</v>
      </c>
      <c r="AC17" s="20">
        <v>-12.32</v>
      </c>
      <c r="AD17" s="20"/>
      <c r="AE17" s="20">
        <v>4.57</v>
      </c>
      <c r="AF17" s="20">
        <v>4.57</v>
      </c>
      <c r="AG17" s="20">
        <v>1.64</v>
      </c>
      <c r="AH17" s="20">
        <v>2.15</v>
      </c>
      <c r="AI17" s="20">
        <v>6.2</v>
      </c>
      <c r="AJ17" s="20">
        <v>4.57</v>
      </c>
      <c r="AK17" s="20">
        <v>20.87</v>
      </c>
      <c r="AL17" s="100">
        <v>-15.47</v>
      </c>
      <c r="AN17" s="20">
        <v>0.63</v>
      </c>
      <c r="AO17" s="100">
        <v>-14.73</v>
      </c>
      <c r="AP17" s="20">
        <v>-1.36</v>
      </c>
      <c r="AQ17" s="20">
        <v>-7.29</v>
      </c>
      <c r="AR17" s="20">
        <v>31.91</v>
      </c>
      <c r="AT17" s="20">
        <v>8.42</v>
      </c>
      <c r="AU17" s="20">
        <v>8.81</v>
      </c>
      <c r="AV17" s="20">
        <v>9.46</v>
      </c>
      <c r="AW17" s="20">
        <v>7.81</v>
      </c>
      <c r="AX17" s="20">
        <v>4.26</v>
      </c>
      <c r="AY17" s="20">
        <v>4.26</v>
      </c>
      <c r="AZ17" s="20">
        <v>6.66</v>
      </c>
      <c r="BA17" s="20">
        <v>-4.47</v>
      </c>
      <c r="BB17" s="20">
        <v>-4.34</v>
      </c>
      <c r="BC17" s="20"/>
      <c r="BD17" s="20">
        <v>15.05</v>
      </c>
      <c r="BE17" s="20">
        <v>1.61</v>
      </c>
      <c r="BF17" s="20">
        <v>14.51</v>
      </c>
      <c r="BG17" s="20">
        <v>1.26</v>
      </c>
      <c r="BH17" s="20">
        <v>15.28</v>
      </c>
      <c r="BJ17" s="21">
        <v>9.17</v>
      </c>
      <c r="BK17" s="20">
        <v>20.39</v>
      </c>
      <c r="BL17" s="13">
        <v>12.29</v>
      </c>
      <c r="BM17" s="13">
        <v>9.23</v>
      </c>
      <c r="BN17" s="13">
        <v>10.47</v>
      </c>
      <c r="BO17" s="13">
        <v>5.76</v>
      </c>
      <c r="BP17" s="13">
        <v>-8.78</v>
      </c>
      <c r="BQ17" s="13">
        <v>-10.7</v>
      </c>
      <c r="BR17" s="13">
        <v>14.98</v>
      </c>
      <c r="BS17" s="13">
        <v>8.97</v>
      </c>
      <c r="BT17" s="13">
        <v>9.63</v>
      </c>
      <c r="BU17" s="13"/>
      <c r="BV17" s="13">
        <v>25.24</v>
      </c>
      <c r="BW17" s="13">
        <v>1.72</v>
      </c>
      <c r="BX17" s="13"/>
      <c r="BY17" s="13">
        <v>51.66</v>
      </c>
      <c r="BZ17" s="13">
        <v>14.48</v>
      </c>
      <c r="CA17" s="13">
        <v>14.18</v>
      </c>
      <c r="CB17" s="66"/>
      <c r="CC17" s="66"/>
      <c r="CD17" s="66"/>
      <c r="CE17" s="66"/>
      <c r="CF17" s="66"/>
      <c r="CG17" s="66"/>
      <c r="CH17" s="66"/>
      <c r="CI17" s="66"/>
      <c r="CJ17" s="66"/>
      <c r="CK17" s="66"/>
      <c r="CL17" s="66"/>
      <c r="CM17" s="66"/>
      <c r="CN17" s="66"/>
    </row>
    <row r="18">
      <c r="A18" s="66"/>
      <c r="B18" s="20">
        <v>4.56</v>
      </c>
      <c r="C18" s="20">
        <v>3.51</v>
      </c>
      <c r="D18" s="242">
        <v>0.47</v>
      </c>
      <c r="E18" s="242">
        <v>5.52</v>
      </c>
      <c r="F18" s="242">
        <v>-2.98</v>
      </c>
      <c r="G18" s="20">
        <v>-0.06</v>
      </c>
      <c r="H18" s="20">
        <v>33.5</v>
      </c>
      <c r="I18" s="20">
        <v>4.35</v>
      </c>
      <c r="J18" s="20">
        <v>3.33</v>
      </c>
      <c r="K18" s="20">
        <v>5.4</v>
      </c>
      <c r="L18" s="20">
        <v>-0.95</v>
      </c>
      <c r="M18" s="20">
        <v>6.4</v>
      </c>
      <c r="N18" s="20">
        <v>4.28</v>
      </c>
      <c r="P18" s="20">
        <v>-6.91</v>
      </c>
      <c r="Q18" s="20">
        <v>-15.68</v>
      </c>
      <c r="R18" s="20">
        <v>-15.02</v>
      </c>
      <c r="S18" s="20">
        <v>-8.74</v>
      </c>
      <c r="T18" s="20">
        <v>-8.62</v>
      </c>
      <c r="U18" s="20">
        <v>-9.01</v>
      </c>
      <c r="V18" s="20">
        <v>-6.53</v>
      </c>
      <c r="W18" s="20">
        <v>-4.7</v>
      </c>
      <c r="X18" s="20"/>
      <c r="Y18" s="20">
        <v>-18.75</v>
      </c>
      <c r="Z18" s="20">
        <v>-7.45</v>
      </c>
      <c r="AA18" s="20">
        <v>-19.11</v>
      </c>
      <c r="AB18" s="20">
        <v>-3.44</v>
      </c>
      <c r="AC18" s="20">
        <v>1.65</v>
      </c>
      <c r="AD18" s="20"/>
      <c r="AE18" s="20">
        <v>12.33</v>
      </c>
      <c r="AF18" s="20">
        <v>12.33</v>
      </c>
      <c r="AG18" s="20">
        <v>1.18</v>
      </c>
      <c r="AH18" s="20">
        <v>11.73</v>
      </c>
      <c r="AI18" s="20">
        <v>9.54</v>
      </c>
      <c r="AJ18" s="20">
        <v>22.45</v>
      </c>
      <c r="AK18" s="20">
        <v>11.73</v>
      </c>
      <c r="AL18" s="20">
        <v>-12.13</v>
      </c>
      <c r="AN18" s="20">
        <v>-17.59</v>
      </c>
      <c r="AO18" s="20">
        <v>-10.85</v>
      </c>
      <c r="AP18" s="20">
        <v>-9.11</v>
      </c>
      <c r="AQ18" s="20">
        <v>-8.49</v>
      </c>
      <c r="AR18" s="20">
        <v>-4.35</v>
      </c>
      <c r="AT18" s="20">
        <v>6.85</v>
      </c>
      <c r="AU18" s="20">
        <v>8.28</v>
      </c>
      <c r="AV18" s="20">
        <v>-4.34</v>
      </c>
      <c r="AW18" s="100">
        <v>-4.47</v>
      </c>
      <c r="AX18" s="20">
        <v>8.87</v>
      </c>
      <c r="AY18" s="20">
        <v>3.56</v>
      </c>
      <c r="AZ18" s="20">
        <v>7.46</v>
      </c>
      <c r="BA18" s="20">
        <v>8.28</v>
      </c>
      <c r="BB18" s="20">
        <v>3.91</v>
      </c>
      <c r="BC18" s="20"/>
      <c r="BD18" s="20">
        <v>14.18</v>
      </c>
      <c r="BE18" s="20">
        <v>10.88</v>
      </c>
      <c r="BF18" s="20">
        <v>15.12</v>
      </c>
      <c r="BG18" s="20">
        <v>15.05</v>
      </c>
      <c r="BH18" s="20">
        <v>16.59</v>
      </c>
      <c r="BJ18" s="21">
        <v>21.73</v>
      </c>
      <c r="BK18" s="20">
        <v>20.12</v>
      </c>
      <c r="BL18" s="13">
        <v>7.38</v>
      </c>
      <c r="BM18" s="13">
        <v>23.32</v>
      </c>
      <c r="BN18" s="13">
        <v>13.02</v>
      </c>
      <c r="BO18" s="13">
        <v>-1.88</v>
      </c>
      <c r="BP18" s="13">
        <v>21.73</v>
      </c>
      <c r="BQ18" s="13">
        <v>21.73</v>
      </c>
      <c r="BR18" s="13">
        <v>10.47</v>
      </c>
      <c r="BS18" s="13">
        <v>22.55</v>
      </c>
      <c r="BT18" s="13">
        <v>0.2</v>
      </c>
      <c r="BU18" s="13"/>
      <c r="BV18" s="13">
        <v>4.82</v>
      </c>
      <c r="BW18" s="13">
        <v>-6.62</v>
      </c>
      <c r="BX18" s="13"/>
      <c r="BY18" s="13">
        <v>17.47</v>
      </c>
      <c r="BZ18" s="13">
        <v>15.94</v>
      </c>
      <c r="CA18" s="13">
        <v>-13.38</v>
      </c>
      <c r="CB18" s="66"/>
      <c r="CC18" s="66"/>
      <c r="CD18" s="66"/>
      <c r="CE18" s="66"/>
      <c r="CF18" s="66"/>
      <c r="CG18" s="66"/>
      <c r="CH18" s="66"/>
      <c r="CI18" s="66"/>
      <c r="CJ18" s="66"/>
      <c r="CK18" s="66"/>
      <c r="CL18" s="66"/>
      <c r="CM18" s="66"/>
      <c r="CN18" s="66"/>
    </row>
    <row r="19">
      <c r="A19" s="66"/>
      <c r="B19" s="20">
        <v>3.33</v>
      </c>
      <c r="C19" s="20">
        <v>4.24</v>
      </c>
      <c r="D19" s="242">
        <v>4.48</v>
      </c>
      <c r="E19" s="242">
        <v>16.07</v>
      </c>
      <c r="F19" s="242">
        <v>5.55</v>
      </c>
      <c r="G19" s="20">
        <v>4.43</v>
      </c>
      <c r="H19" s="20">
        <v>5.52</v>
      </c>
      <c r="I19" s="20">
        <v>2.88</v>
      </c>
      <c r="J19" s="20">
        <v>5.02</v>
      </c>
      <c r="K19" s="20">
        <v>4.4</v>
      </c>
      <c r="L19" s="20">
        <v>16.07</v>
      </c>
      <c r="M19" s="20">
        <v>5.4</v>
      </c>
      <c r="N19" s="20">
        <v>-2.89</v>
      </c>
      <c r="P19" s="20">
        <v>-6.11</v>
      </c>
      <c r="Q19" s="20">
        <v>-15.49</v>
      </c>
      <c r="R19" s="20">
        <v>-5.95</v>
      </c>
      <c r="S19" s="20">
        <v>-5.26</v>
      </c>
      <c r="T19" s="20">
        <v>-8.38</v>
      </c>
      <c r="U19" s="20">
        <v>-9.3</v>
      </c>
      <c r="V19" s="20">
        <v>-8.13</v>
      </c>
      <c r="W19" s="20">
        <v>-6.53</v>
      </c>
      <c r="X19" s="20"/>
      <c r="Y19" s="20">
        <v>-19.2</v>
      </c>
      <c r="Z19" s="20">
        <v>-19.22</v>
      </c>
      <c r="AA19" s="20">
        <v>-8.99</v>
      </c>
      <c r="AB19" s="20">
        <v>-20.56</v>
      </c>
      <c r="AC19" s="20">
        <v>0.02</v>
      </c>
      <c r="AD19" s="20"/>
      <c r="AE19" s="20">
        <v>13.7</v>
      </c>
      <c r="AF19" s="20">
        <v>13.7</v>
      </c>
      <c r="AG19" s="20">
        <v>4.84</v>
      </c>
      <c r="AH19" s="20">
        <v>8.62</v>
      </c>
      <c r="AI19" s="20">
        <v>3.54</v>
      </c>
      <c r="AJ19" s="20">
        <v>10.02</v>
      </c>
      <c r="AK19" s="20">
        <v>23.58</v>
      </c>
      <c r="AL19" s="20">
        <v>15.61</v>
      </c>
      <c r="AN19" s="20">
        <v>-8.49</v>
      </c>
      <c r="AO19" s="20">
        <v>4.42</v>
      </c>
      <c r="AP19" s="20">
        <v>9.29</v>
      </c>
      <c r="AQ19" s="20">
        <v>-16.12</v>
      </c>
      <c r="AR19" s="20">
        <v>-16.12</v>
      </c>
      <c r="AT19" s="20">
        <v>7.83</v>
      </c>
      <c r="AU19" s="20">
        <v>-4.34</v>
      </c>
      <c r="AV19" s="100">
        <v>-11.7</v>
      </c>
      <c r="AW19" s="20">
        <v>17.37</v>
      </c>
      <c r="AX19" s="20">
        <v>8.84</v>
      </c>
      <c r="AY19" s="20">
        <v>7.81</v>
      </c>
      <c r="AZ19" s="20">
        <v>7.6</v>
      </c>
      <c r="BA19" s="20">
        <v>7.53</v>
      </c>
      <c r="BB19" s="20">
        <v>-5.86</v>
      </c>
      <c r="BC19" s="20"/>
      <c r="BD19" s="100">
        <v>-4.53</v>
      </c>
      <c r="BE19" s="20">
        <v>0.35</v>
      </c>
      <c r="BF19" s="20">
        <v>16.42</v>
      </c>
      <c r="BG19" s="20">
        <v>2.21</v>
      </c>
      <c r="BH19" s="20">
        <v>14.51</v>
      </c>
      <c r="BJ19" s="21">
        <v>12.1</v>
      </c>
      <c r="BK19" s="100">
        <v>-10.88</v>
      </c>
      <c r="BL19" s="13">
        <v>-1.24</v>
      </c>
      <c r="BM19" s="13">
        <v>15.7</v>
      </c>
      <c r="BN19" s="13">
        <v>5.76</v>
      </c>
      <c r="BO19" s="13">
        <v>24.61</v>
      </c>
      <c r="BP19" s="13">
        <v>6.73</v>
      </c>
      <c r="BQ19" s="13">
        <v>9.62</v>
      </c>
      <c r="BR19" s="13">
        <v>13.27</v>
      </c>
      <c r="BS19" s="13">
        <v>-1.24</v>
      </c>
      <c r="BT19" s="13">
        <v>26.41</v>
      </c>
      <c r="BU19" s="13"/>
      <c r="BV19" s="13">
        <v>6.75</v>
      </c>
      <c r="BW19" s="13">
        <v>18.3</v>
      </c>
      <c r="BX19" s="13"/>
      <c r="BY19" s="13">
        <v>3.16</v>
      </c>
      <c r="BZ19" s="13">
        <v>2.45</v>
      </c>
      <c r="CA19" s="13">
        <v>6.14</v>
      </c>
      <c r="CB19" s="66"/>
      <c r="CC19" s="66"/>
      <c r="CD19" s="66"/>
      <c r="CE19" s="66"/>
      <c r="CF19" s="66"/>
      <c r="CG19" s="66"/>
      <c r="CH19" s="66"/>
      <c r="CI19" s="66"/>
      <c r="CJ19" s="66"/>
      <c r="CK19" s="66"/>
      <c r="CL19" s="66"/>
      <c r="CM19" s="66"/>
      <c r="CN19" s="66"/>
    </row>
    <row r="20">
      <c r="A20" s="66"/>
      <c r="B20" s="100">
        <v>-10.29</v>
      </c>
      <c r="C20" s="20">
        <v>2.97</v>
      </c>
      <c r="D20" s="242">
        <v>5.57</v>
      </c>
      <c r="E20" s="242">
        <v>4.12</v>
      </c>
      <c r="F20" s="242">
        <v>-1.13</v>
      </c>
      <c r="G20" s="20">
        <v>3.51</v>
      </c>
      <c r="H20" s="20">
        <v>4.75</v>
      </c>
      <c r="I20" s="20">
        <v>5.38</v>
      </c>
      <c r="J20" s="20">
        <v>-1.79</v>
      </c>
      <c r="K20" s="20">
        <v>4.81</v>
      </c>
      <c r="L20" s="20">
        <v>4.12</v>
      </c>
      <c r="M20" s="20">
        <v>4.39</v>
      </c>
      <c r="N20" s="20">
        <v>2.95</v>
      </c>
      <c r="P20" s="20">
        <v>-5.6</v>
      </c>
      <c r="Q20" s="20">
        <v>-15.91</v>
      </c>
      <c r="R20" s="20">
        <v>-4.81</v>
      </c>
      <c r="S20" s="20">
        <v>-8.92</v>
      </c>
      <c r="T20" s="20">
        <v>-9.4</v>
      </c>
      <c r="U20" s="20">
        <v>-8.62</v>
      </c>
      <c r="V20" s="20">
        <v>-6.21</v>
      </c>
      <c r="W20" s="20">
        <v>-6.21</v>
      </c>
      <c r="X20" s="20"/>
      <c r="Y20" s="20">
        <v>-11.94</v>
      </c>
      <c r="Z20" s="20">
        <v>-11.4</v>
      </c>
      <c r="AA20" s="20">
        <v>-26.99</v>
      </c>
      <c r="AB20" s="20">
        <v>-11.69</v>
      </c>
      <c r="AC20" s="20">
        <v>-9.23</v>
      </c>
      <c r="AD20" s="20"/>
      <c r="AE20" s="20">
        <v>-0.01</v>
      </c>
      <c r="AF20" s="20">
        <v>-0.01</v>
      </c>
      <c r="AG20" s="20">
        <v>34.69</v>
      </c>
      <c r="AH20" s="20">
        <v>23.91</v>
      </c>
      <c r="AI20" s="20">
        <v>13.2</v>
      </c>
      <c r="AJ20" s="20">
        <v>-4.36</v>
      </c>
      <c r="AK20" s="20">
        <v>1.65</v>
      </c>
      <c r="AL20" s="20">
        <v>9.54</v>
      </c>
      <c r="AN20" s="20">
        <v>-7.75</v>
      </c>
      <c r="AO20" s="20">
        <v>-8.93</v>
      </c>
      <c r="AP20" s="20">
        <v>-0.35</v>
      </c>
      <c r="AQ20" s="20">
        <v>0.74</v>
      </c>
      <c r="AR20" s="20">
        <v>-4.99</v>
      </c>
      <c r="AT20" s="20">
        <v>7.6</v>
      </c>
      <c r="AU20" s="20">
        <v>-1.71</v>
      </c>
      <c r="AV20" s="20">
        <v>8.28</v>
      </c>
      <c r="AW20" s="20">
        <v>8.87</v>
      </c>
      <c r="AX20" s="20">
        <v>8.67</v>
      </c>
      <c r="AY20" s="20">
        <v>-4.01</v>
      </c>
      <c r="AZ20" s="20">
        <v>8.87</v>
      </c>
      <c r="BA20" s="20">
        <v>9.15</v>
      </c>
      <c r="BB20" s="20">
        <v>16.19</v>
      </c>
      <c r="BC20" s="20"/>
      <c r="BD20" s="20">
        <v>-4.7</v>
      </c>
      <c r="BE20" s="20">
        <v>24.97</v>
      </c>
      <c r="BF20" s="20">
        <v>15.05</v>
      </c>
      <c r="BG20" s="20">
        <v>1.28</v>
      </c>
      <c r="BH20" s="20">
        <v>0.35</v>
      </c>
      <c r="BJ20" s="21">
        <v>39.03</v>
      </c>
      <c r="BK20" s="20">
        <v>9.81</v>
      </c>
      <c r="BL20" s="13">
        <v>20.16</v>
      </c>
      <c r="BM20" s="13">
        <v>-1.24</v>
      </c>
      <c r="BN20" s="13">
        <v>-2.79</v>
      </c>
      <c r="BO20" s="13">
        <v>21.73</v>
      </c>
      <c r="BP20" s="13">
        <v>15.7</v>
      </c>
      <c r="BQ20" s="13">
        <v>-1.41</v>
      </c>
      <c r="BR20" s="13">
        <v>-0.46</v>
      </c>
      <c r="BS20" s="13">
        <v>-0.2</v>
      </c>
      <c r="BT20" s="13">
        <v>23.92</v>
      </c>
      <c r="BU20" s="13"/>
      <c r="BV20" s="13">
        <v>13.25</v>
      </c>
      <c r="BW20" s="13">
        <v>16.25</v>
      </c>
      <c r="BX20" s="13"/>
      <c r="BY20" s="13">
        <v>-5.87</v>
      </c>
      <c r="BZ20" s="13">
        <v>34.72</v>
      </c>
      <c r="CA20" s="13">
        <v>0.42</v>
      </c>
      <c r="CB20" s="66"/>
      <c r="CC20" s="66"/>
      <c r="CD20" s="66"/>
      <c r="CE20" s="66"/>
      <c r="CF20" s="66"/>
      <c r="CG20" s="66"/>
      <c r="CH20" s="66"/>
      <c r="CI20" s="66"/>
      <c r="CJ20" s="66"/>
      <c r="CK20" s="66"/>
      <c r="CL20" s="66"/>
      <c r="CM20" s="66"/>
      <c r="CN20" s="66"/>
    </row>
    <row r="21">
      <c r="A21" s="66"/>
      <c r="B21" s="20">
        <v>-1.13</v>
      </c>
      <c r="C21" s="20">
        <v>-1.86</v>
      </c>
      <c r="D21" s="242">
        <v>4.56</v>
      </c>
      <c r="E21" s="242">
        <v>4.67</v>
      </c>
      <c r="F21" s="242">
        <v>-2.81</v>
      </c>
      <c r="G21" s="20">
        <v>4.35</v>
      </c>
      <c r="H21" s="20">
        <v>-2.98</v>
      </c>
      <c r="I21" s="20">
        <v>4.24</v>
      </c>
      <c r="J21" s="20">
        <v>4.24</v>
      </c>
      <c r="K21" s="20">
        <v>-1.5</v>
      </c>
      <c r="L21" s="20">
        <v>4.67</v>
      </c>
      <c r="M21" s="20">
        <v>5.51</v>
      </c>
      <c r="N21" s="20">
        <v>4.07</v>
      </c>
      <c r="P21" s="20">
        <v>-7.14</v>
      </c>
      <c r="Q21" s="20">
        <v>-8.92</v>
      </c>
      <c r="R21" s="20">
        <v>-4.7</v>
      </c>
      <c r="S21" s="20">
        <v>-15.15</v>
      </c>
      <c r="T21" s="20">
        <v>-9.09</v>
      </c>
      <c r="U21" s="20">
        <v>0.13</v>
      </c>
      <c r="V21" s="20">
        <v>-6.84</v>
      </c>
      <c r="W21" s="20">
        <v>-7.67</v>
      </c>
      <c r="X21" s="20"/>
      <c r="Y21" s="20">
        <v>-11.83</v>
      </c>
      <c r="Z21" s="20">
        <v>-20.58</v>
      </c>
      <c r="AA21" s="20">
        <v>-12.19</v>
      </c>
      <c r="AB21" s="20">
        <v>-2.68</v>
      </c>
      <c r="AC21" s="20">
        <v>-2.6</v>
      </c>
      <c r="AD21" s="20"/>
      <c r="AE21" s="20">
        <v>4.84</v>
      </c>
      <c r="AF21" s="20">
        <v>4.84</v>
      </c>
      <c r="AG21" s="20">
        <v>22.22</v>
      </c>
      <c r="AH21" s="20">
        <v>-4.45</v>
      </c>
      <c r="AI21" s="20">
        <v>21.24</v>
      </c>
      <c r="AJ21" s="20">
        <v>7.34</v>
      </c>
      <c r="AK21" s="20">
        <v>22.03</v>
      </c>
      <c r="AL21" s="20">
        <v>14.15</v>
      </c>
      <c r="AN21" s="20">
        <v>-3.06</v>
      </c>
      <c r="AO21" s="20">
        <v>-7.29</v>
      </c>
      <c r="AP21" s="20">
        <v>-16.12</v>
      </c>
      <c r="AQ21" s="20">
        <v>-10.24</v>
      </c>
      <c r="AR21" s="20">
        <v>-0.21</v>
      </c>
      <c r="AT21" s="20">
        <v>8.9</v>
      </c>
      <c r="AU21" s="20">
        <v>8.52</v>
      </c>
      <c r="AV21" s="20">
        <v>7.6</v>
      </c>
      <c r="AW21" s="20">
        <v>7.83</v>
      </c>
      <c r="AX21" s="20">
        <v>4.37</v>
      </c>
      <c r="AY21" s="100">
        <v>-5.63</v>
      </c>
      <c r="AZ21" s="20">
        <v>3.56</v>
      </c>
      <c r="BA21" s="20">
        <v>8.25</v>
      </c>
      <c r="BB21" s="20">
        <v>6.85</v>
      </c>
      <c r="BC21" s="20"/>
      <c r="BD21" s="20">
        <v>16.42</v>
      </c>
      <c r="BE21" s="20">
        <v>14.18</v>
      </c>
      <c r="BF21" s="20">
        <v>11.99</v>
      </c>
      <c r="BG21" s="20">
        <v>10.88</v>
      </c>
      <c r="BH21" s="20">
        <v>13.01</v>
      </c>
      <c r="BJ21" s="21">
        <v>20.39</v>
      </c>
      <c r="BK21" s="20">
        <v>-0.2</v>
      </c>
      <c r="BL21" s="13">
        <v>16.62</v>
      </c>
      <c r="BM21" s="13">
        <v>36.62</v>
      </c>
      <c r="BN21" s="248">
        <v>-8.78</v>
      </c>
      <c r="BO21" s="13">
        <v>0.02</v>
      </c>
      <c r="BP21" s="13">
        <v>-2.38</v>
      </c>
      <c r="BQ21" s="13">
        <v>22.55</v>
      </c>
      <c r="BR21" s="247">
        <v>22.55</v>
      </c>
      <c r="BS21" s="13">
        <v>-2.13</v>
      </c>
      <c r="BT21" s="13">
        <v>25.66</v>
      </c>
      <c r="BU21" s="13"/>
      <c r="BV21" s="13">
        <v>14.52</v>
      </c>
      <c r="BW21" s="13">
        <v>18.1</v>
      </c>
      <c r="BX21" s="13"/>
      <c r="BY21" s="13">
        <v>16.25</v>
      </c>
      <c r="BZ21" s="13">
        <v>15.53</v>
      </c>
      <c r="CA21" s="13">
        <v>-7.05</v>
      </c>
      <c r="CB21" s="66"/>
      <c r="CC21" s="66"/>
      <c r="CD21" s="66"/>
      <c r="CE21" s="66"/>
      <c r="CF21" s="66"/>
      <c r="CG21" s="66"/>
      <c r="CH21" s="66"/>
      <c r="CI21" s="66"/>
      <c r="CJ21" s="66"/>
      <c r="CK21" s="66"/>
      <c r="CL21" s="66"/>
      <c r="CM21" s="66"/>
      <c r="CN21" s="66"/>
    </row>
    <row r="22">
      <c r="A22" s="66"/>
      <c r="B22" s="20">
        <v>4.24</v>
      </c>
      <c r="C22" s="20">
        <v>-2.46</v>
      </c>
      <c r="D22" s="242">
        <v>1.1</v>
      </c>
      <c r="E22" s="242">
        <v>-1.79</v>
      </c>
      <c r="F22" s="242">
        <v>-1.86</v>
      </c>
      <c r="G22" s="20">
        <v>-2.46</v>
      </c>
      <c r="H22" s="20">
        <v>3.7</v>
      </c>
      <c r="I22" s="20">
        <v>4.26</v>
      </c>
      <c r="J22" s="20">
        <v>5.4</v>
      </c>
      <c r="K22" s="20">
        <v>4.05</v>
      </c>
      <c r="L22" s="20">
        <v>-1.63</v>
      </c>
      <c r="M22" s="20">
        <v>-1.79</v>
      </c>
      <c r="N22" s="20">
        <v>4.36</v>
      </c>
      <c r="P22" s="20">
        <v>-15.49</v>
      </c>
      <c r="Q22" s="20">
        <v>-17.2</v>
      </c>
      <c r="R22" s="20">
        <v>-7.67</v>
      </c>
      <c r="S22" s="20">
        <v>-9.76</v>
      </c>
      <c r="T22" s="20">
        <v>-8.63</v>
      </c>
      <c r="U22" s="20">
        <v>-9.15</v>
      </c>
      <c r="V22" s="20">
        <v>-17.2</v>
      </c>
      <c r="W22" s="20">
        <v>-2.97</v>
      </c>
      <c r="X22" s="20"/>
      <c r="Y22" s="20">
        <v>-20.44</v>
      </c>
      <c r="Z22" s="20">
        <v>4.72</v>
      </c>
      <c r="AA22" s="20">
        <v>-13.0</v>
      </c>
      <c r="AB22" s="20">
        <v>-23.67</v>
      </c>
      <c r="AC22" s="20">
        <v>-30.85</v>
      </c>
      <c r="AD22" s="20"/>
      <c r="AE22" s="20">
        <v>14.15</v>
      </c>
      <c r="AF22" s="20">
        <v>14.15</v>
      </c>
      <c r="AG22" s="20">
        <v>12.07</v>
      </c>
      <c r="AH22" s="20">
        <v>11.31</v>
      </c>
      <c r="AI22" s="20">
        <v>-4.95</v>
      </c>
      <c r="AJ22" s="20">
        <v>16.39</v>
      </c>
      <c r="AK22" s="45">
        <v>46.33</v>
      </c>
      <c r="AL22" s="20">
        <v>4.84</v>
      </c>
      <c r="AN22" s="20">
        <v>-9.65</v>
      </c>
      <c r="AO22" s="20">
        <v>-6.53</v>
      </c>
      <c r="AP22" s="20">
        <v>10.92</v>
      </c>
      <c r="AQ22" s="20">
        <v>-17.33</v>
      </c>
      <c r="AR22" s="20">
        <v>-4.67</v>
      </c>
      <c r="AT22" s="20">
        <v>-4.34</v>
      </c>
      <c r="AU22" s="20">
        <v>6.89</v>
      </c>
      <c r="AV22" s="20">
        <v>8.09</v>
      </c>
      <c r="AW22" s="20">
        <v>-4.08</v>
      </c>
      <c r="AX22" s="20">
        <v>5.81</v>
      </c>
      <c r="AY22" s="20">
        <v>7.61</v>
      </c>
      <c r="AZ22" s="20">
        <v>7.59</v>
      </c>
      <c r="BA22" s="20">
        <v>-0.64</v>
      </c>
      <c r="BB22" s="20">
        <v>8.9</v>
      </c>
      <c r="BC22" s="20"/>
      <c r="BD22" s="20">
        <v>14.63</v>
      </c>
      <c r="BE22" s="20">
        <v>16.42</v>
      </c>
      <c r="BF22" s="20">
        <v>-10.61</v>
      </c>
      <c r="BG22" s="20">
        <v>-10.99</v>
      </c>
      <c r="BH22" s="20">
        <v>10.88</v>
      </c>
      <c r="BJ22" s="21">
        <v>8.97</v>
      </c>
      <c r="BK22" s="20">
        <v>9.17</v>
      </c>
      <c r="BL22" s="13">
        <v>9.62</v>
      </c>
      <c r="BM22" s="13">
        <v>41.83</v>
      </c>
      <c r="BN22" s="13">
        <v>-1.88</v>
      </c>
      <c r="BO22" s="13">
        <v>13.02</v>
      </c>
      <c r="BP22" s="13">
        <v>0.02</v>
      </c>
      <c r="BQ22" s="13">
        <v>7.15</v>
      </c>
      <c r="BR22" s="13">
        <v>6.43</v>
      </c>
      <c r="BS22" s="13">
        <v>12.5</v>
      </c>
      <c r="BT22" s="13">
        <v>21.73</v>
      </c>
      <c r="BU22" s="13"/>
      <c r="BV22" s="13">
        <v>15.17</v>
      </c>
      <c r="BW22" s="13">
        <v>13.94</v>
      </c>
      <c r="BX22" s="13"/>
      <c r="BY22" s="13">
        <v>55.86</v>
      </c>
      <c r="BZ22" s="13">
        <v>36.74</v>
      </c>
      <c r="CA22" s="13">
        <v>-7.79</v>
      </c>
      <c r="CB22" s="66"/>
      <c r="CC22" s="66"/>
      <c r="CD22" s="66"/>
      <c r="CE22" s="66"/>
      <c r="CF22" s="66"/>
      <c r="CG22" s="66"/>
      <c r="CH22" s="66"/>
      <c r="CI22" s="66"/>
      <c r="CJ22" s="66"/>
      <c r="CK22" s="66"/>
      <c r="CL22" s="66"/>
      <c r="CM22" s="66"/>
      <c r="CN22" s="66"/>
    </row>
    <row r="23">
      <c r="A23" s="66"/>
      <c r="B23" s="20">
        <v>4.87</v>
      </c>
      <c r="C23" s="20">
        <v>5.38</v>
      </c>
      <c r="D23" s="242">
        <v>5.45</v>
      </c>
      <c r="E23" s="242">
        <v>-1.63</v>
      </c>
      <c r="F23" s="242">
        <v>4.26</v>
      </c>
      <c r="G23" s="20">
        <v>-2.98</v>
      </c>
      <c r="H23" s="20">
        <v>2.22</v>
      </c>
      <c r="I23" s="20">
        <v>-1.86</v>
      </c>
      <c r="J23" s="20">
        <v>4.39</v>
      </c>
      <c r="K23" s="20">
        <v>-1.79</v>
      </c>
      <c r="L23" s="20">
        <v>-1.79</v>
      </c>
      <c r="M23" s="20">
        <v>-1.5</v>
      </c>
      <c r="N23" s="20">
        <v>4.44</v>
      </c>
      <c r="P23" s="20">
        <v>-13.82</v>
      </c>
      <c r="Q23" s="20">
        <v>-8.08</v>
      </c>
      <c r="R23" s="20">
        <v>-4.01</v>
      </c>
      <c r="S23" s="100">
        <v>-16.36</v>
      </c>
      <c r="T23" s="20">
        <v>-8.92</v>
      </c>
      <c r="U23" s="20">
        <v>-15.74</v>
      </c>
      <c r="V23" s="20">
        <v>-14.87</v>
      </c>
      <c r="W23" s="20">
        <v>1.46</v>
      </c>
      <c r="X23" s="20"/>
      <c r="Y23" s="20">
        <v>-18.86</v>
      </c>
      <c r="Z23" s="20">
        <v>-2.22</v>
      </c>
      <c r="AA23" s="20">
        <v>-17.31</v>
      </c>
      <c r="AB23" s="20">
        <v>-12.37</v>
      </c>
      <c r="AC23" s="20">
        <v>-18.66</v>
      </c>
      <c r="AD23" s="20"/>
      <c r="AE23" s="20">
        <v>1.27</v>
      </c>
      <c r="AF23" s="20">
        <v>1.27</v>
      </c>
      <c r="AG23" s="20">
        <v>1.47</v>
      </c>
      <c r="AH23" s="20">
        <v>13.2</v>
      </c>
      <c r="AI23" s="20">
        <v>5.18</v>
      </c>
      <c r="AJ23" s="20">
        <v>-14.44</v>
      </c>
      <c r="AK23" s="45">
        <v>42.87</v>
      </c>
      <c r="AL23" s="20">
        <v>12.33</v>
      </c>
      <c r="AN23" s="20">
        <v>2.48</v>
      </c>
      <c r="AO23" s="20">
        <v>-10.24</v>
      </c>
      <c r="AP23" s="20">
        <v>21.66</v>
      </c>
      <c r="AQ23" s="20">
        <v>12.11</v>
      </c>
      <c r="AR23" s="20">
        <v>-7.29</v>
      </c>
      <c r="AT23" s="20">
        <v>8.52</v>
      </c>
      <c r="AU23" s="20">
        <v>7.83</v>
      </c>
      <c r="AV23" s="20">
        <v>8.42</v>
      </c>
      <c r="AW23" s="20">
        <v>7.46</v>
      </c>
      <c r="AX23" s="100">
        <v>3.28</v>
      </c>
      <c r="AY23" s="20">
        <v>8.67</v>
      </c>
      <c r="AZ23" s="20">
        <v>8.42</v>
      </c>
      <c r="BA23" s="45">
        <v>17.37</v>
      </c>
      <c r="BB23" s="20">
        <v>8.52</v>
      </c>
      <c r="BC23" s="20"/>
      <c r="BD23" s="20">
        <v>13.92</v>
      </c>
      <c r="BE23" s="20">
        <v>15.28</v>
      </c>
      <c r="BF23" s="20">
        <v>14.79</v>
      </c>
      <c r="BG23" s="20">
        <v>16.35</v>
      </c>
      <c r="BH23" s="20">
        <v>2.63</v>
      </c>
      <c r="BJ23" s="21">
        <v>4.82</v>
      </c>
      <c r="BK23" s="20">
        <v>7.38</v>
      </c>
      <c r="BL23" s="13">
        <v>31.06</v>
      </c>
      <c r="BM23" s="13">
        <v>21.73</v>
      </c>
      <c r="BN23" s="13">
        <v>41.64</v>
      </c>
      <c r="BO23" s="13">
        <v>-0.93</v>
      </c>
      <c r="BP23" s="13">
        <v>6.21</v>
      </c>
      <c r="BQ23" s="13">
        <v>38.1</v>
      </c>
      <c r="BR23" s="13">
        <v>5.22</v>
      </c>
      <c r="BS23" s="13">
        <v>12.1</v>
      </c>
      <c r="BT23" s="13">
        <v>33.24</v>
      </c>
      <c r="BU23" s="13"/>
      <c r="BV23" s="13">
        <v>17.48</v>
      </c>
      <c r="BW23" s="13">
        <v>23.61</v>
      </c>
      <c r="BX23" s="13"/>
      <c r="BY23" s="13">
        <v>-8.05</v>
      </c>
      <c r="BZ23" s="13">
        <v>-8.01</v>
      </c>
      <c r="CA23" s="13">
        <v>2.69</v>
      </c>
      <c r="CB23" s="66"/>
      <c r="CC23" s="66"/>
      <c r="CD23" s="66"/>
      <c r="CE23" s="66"/>
      <c r="CF23" s="66"/>
      <c r="CG23" s="66"/>
      <c r="CH23" s="66"/>
      <c r="CI23" s="66"/>
      <c r="CJ23" s="66"/>
      <c r="CK23" s="66"/>
      <c r="CL23" s="66"/>
      <c r="CM23" s="66"/>
      <c r="CN23" s="66"/>
    </row>
    <row r="24">
      <c r="A24" s="66"/>
      <c r="B24" s="20">
        <v>4.09</v>
      </c>
      <c r="C24" s="20">
        <v>4.36</v>
      </c>
      <c r="D24" s="242">
        <v>-1.35</v>
      </c>
      <c r="E24" s="242">
        <v>4.81</v>
      </c>
      <c r="F24" s="242">
        <v>6.08</v>
      </c>
      <c r="G24" s="20">
        <v>6.84</v>
      </c>
      <c r="H24" s="20">
        <v>4.79</v>
      </c>
      <c r="I24" s="20">
        <v>-1.13</v>
      </c>
      <c r="J24" s="20">
        <v>3.64</v>
      </c>
      <c r="K24" s="20">
        <v>16.07</v>
      </c>
      <c r="L24" s="100">
        <v>-3.72</v>
      </c>
      <c r="M24" s="20">
        <v>4.67</v>
      </c>
      <c r="N24" s="20">
        <v>3.7</v>
      </c>
      <c r="P24" s="100">
        <v>-16.12</v>
      </c>
      <c r="Q24" s="20">
        <v>-6.38</v>
      </c>
      <c r="R24" s="20">
        <v>-16.12</v>
      </c>
      <c r="S24" s="20">
        <v>-4.67</v>
      </c>
      <c r="T24" s="20">
        <v>-9.25</v>
      </c>
      <c r="U24" s="20">
        <v>-8.43</v>
      </c>
      <c r="V24" s="20">
        <v>-9.45</v>
      </c>
      <c r="W24" s="20">
        <v>-14.65</v>
      </c>
      <c r="X24" s="20"/>
      <c r="Y24" s="20">
        <v>-19.16</v>
      </c>
      <c r="Z24" s="20">
        <v>-18.41</v>
      </c>
      <c r="AA24" s="20">
        <v>-20.56</v>
      </c>
      <c r="AB24" s="20">
        <v>-4.66</v>
      </c>
      <c r="AC24" s="20">
        <v>-17.55</v>
      </c>
      <c r="AD24" s="20"/>
      <c r="AE24" s="20">
        <v>-12.13</v>
      </c>
      <c r="AF24" s="20">
        <v>-12.13</v>
      </c>
      <c r="AG24" s="20">
        <v>13.7</v>
      </c>
      <c r="AH24" s="100">
        <v>-10.82</v>
      </c>
      <c r="AI24" s="20">
        <v>2.15</v>
      </c>
      <c r="AJ24" s="20">
        <v>22.22</v>
      </c>
      <c r="AK24" s="20">
        <v>-2.06</v>
      </c>
      <c r="AL24" s="20">
        <v>21.97</v>
      </c>
      <c r="AN24" s="20">
        <v>-13.62</v>
      </c>
      <c r="AO24" s="20">
        <v>22.46</v>
      </c>
      <c r="AP24" s="20">
        <v>-6.53</v>
      </c>
      <c r="AQ24" s="20">
        <v>0.01</v>
      </c>
      <c r="AR24" s="20">
        <v>-2.78</v>
      </c>
      <c r="AT24" s="20">
        <v>6.14</v>
      </c>
      <c r="AU24" s="20">
        <v>6.14</v>
      </c>
      <c r="AV24" s="20">
        <v>-2.62</v>
      </c>
      <c r="AW24" s="20">
        <v>4.26</v>
      </c>
      <c r="AX24" s="20">
        <v>7.46</v>
      </c>
      <c r="AY24" s="20">
        <v>5.75</v>
      </c>
      <c r="AZ24" s="20">
        <v>2.43</v>
      </c>
      <c r="BA24" s="20">
        <v>7.83</v>
      </c>
      <c r="BB24" s="20">
        <v>6.89</v>
      </c>
      <c r="BC24" s="20"/>
      <c r="BD24" s="20">
        <v>1.61</v>
      </c>
      <c r="BE24" s="20">
        <v>14.06</v>
      </c>
      <c r="BF24" s="20">
        <v>3.65</v>
      </c>
      <c r="BG24" s="20">
        <v>13.58</v>
      </c>
      <c r="BH24" s="20">
        <v>15.05</v>
      </c>
      <c r="BJ24" s="21">
        <v>15.7</v>
      </c>
      <c r="BK24" s="20">
        <v>17.59</v>
      </c>
      <c r="BL24" s="13">
        <v>39.03</v>
      </c>
      <c r="BM24" s="13">
        <v>12.1</v>
      </c>
      <c r="BN24" s="13">
        <v>18.11</v>
      </c>
      <c r="BO24" s="13">
        <v>4.82</v>
      </c>
      <c r="BP24" s="13">
        <v>13.3</v>
      </c>
      <c r="BQ24" s="13">
        <v>8.34</v>
      </c>
      <c r="BR24" s="13">
        <v>-1.24</v>
      </c>
      <c r="BS24" s="13">
        <v>21.32</v>
      </c>
      <c r="BT24" s="13">
        <v>0.48</v>
      </c>
      <c r="BU24" s="13"/>
      <c r="BV24" s="13">
        <v>11.36</v>
      </c>
      <c r="BW24" s="13">
        <v>-5.87</v>
      </c>
      <c r="BX24" s="13"/>
      <c r="BY24" s="13">
        <v>7.87</v>
      </c>
      <c r="BZ24" s="13">
        <v>3.21</v>
      </c>
      <c r="CA24" s="66"/>
      <c r="CB24" s="66"/>
      <c r="CC24" s="66"/>
      <c r="CD24" s="66"/>
      <c r="CE24" s="66"/>
      <c r="CF24" s="66"/>
      <c r="CG24" s="66"/>
      <c r="CH24" s="66"/>
      <c r="CI24" s="66"/>
      <c r="CJ24" s="66"/>
      <c r="CK24" s="66"/>
      <c r="CL24" s="66"/>
      <c r="CM24" s="66"/>
      <c r="CN24" s="66"/>
    </row>
    <row r="25">
      <c r="A25" s="66"/>
      <c r="B25" s="20">
        <v>-3.72</v>
      </c>
      <c r="C25" s="20">
        <v>4.31</v>
      </c>
      <c r="D25" s="242">
        <v>4.24</v>
      </c>
      <c r="E25" s="242">
        <v>-10.24</v>
      </c>
      <c r="F25" s="242">
        <v>0.0</v>
      </c>
      <c r="G25" s="20"/>
      <c r="H25" s="20">
        <v>-2.81</v>
      </c>
      <c r="I25" s="20">
        <v>5.45</v>
      </c>
      <c r="J25" s="20">
        <v>-1.5</v>
      </c>
      <c r="K25" s="20">
        <v>-1.63</v>
      </c>
      <c r="L25" s="20">
        <v>4.81</v>
      </c>
      <c r="M25" s="20">
        <v>-1.63</v>
      </c>
      <c r="N25" s="20">
        <v>1.1</v>
      </c>
      <c r="P25" s="20">
        <v>-14.78</v>
      </c>
      <c r="Q25" s="20">
        <v>-14.65</v>
      </c>
      <c r="R25" s="20">
        <v>-14.91</v>
      </c>
      <c r="S25" s="20">
        <v>-9.25</v>
      </c>
      <c r="T25" s="20">
        <v>-9.3</v>
      </c>
      <c r="U25" s="20">
        <v>-8.99</v>
      </c>
      <c r="V25" s="20">
        <v>-9.78</v>
      </c>
      <c r="W25" s="20">
        <v>-6.15</v>
      </c>
      <c r="X25" s="20"/>
      <c r="Y25" s="20">
        <v>-18.85</v>
      </c>
      <c r="Z25" s="20">
        <v>-9.25</v>
      </c>
      <c r="AA25" s="20">
        <v>-18.75</v>
      </c>
      <c r="AB25" s="20">
        <v>-11.73</v>
      </c>
      <c r="AC25" s="20">
        <v>-13.45</v>
      </c>
      <c r="AD25" s="20"/>
      <c r="AE25" s="20">
        <v>-12.43</v>
      </c>
      <c r="AF25" s="20">
        <v>-12.43</v>
      </c>
      <c r="AG25" s="20">
        <v>9.68</v>
      </c>
      <c r="AH25" s="20">
        <v>9.54</v>
      </c>
      <c r="AI25" s="20">
        <v>4.63</v>
      </c>
      <c r="AJ25" s="20">
        <v>23.66</v>
      </c>
      <c r="AK25" s="20">
        <v>23.91</v>
      </c>
      <c r="AL25" s="20">
        <v>13.7</v>
      </c>
      <c r="AN25" s="20">
        <v>-17.33</v>
      </c>
      <c r="AO25" s="20">
        <v>0.63</v>
      </c>
      <c r="AP25" s="20">
        <v>2.02</v>
      </c>
      <c r="AQ25" s="20">
        <v>0.85</v>
      </c>
      <c r="AR25" s="20">
        <v>13.04</v>
      </c>
      <c r="AT25" s="20">
        <v>8.33</v>
      </c>
      <c r="AU25" s="20">
        <v>-1.99</v>
      </c>
      <c r="AV25" s="20">
        <v>8.33</v>
      </c>
      <c r="AW25" s="20">
        <v>9.08</v>
      </c>
      <c r="AX25" s="20">
        <v>7.74</v>
      </c>
      <c r="AY25" s="20">
        <v>-4.49</v>
      </c>
      <c r="AZ25" s="20">
        <v>3.28</v>
      </c>
      <c r="BA25" s="20">
        <v>6.85</v>
      </c>
      <c r="BB25" s="100">
        <v>-11.7</v>
      </c>
      <c r="BC25" s="100"/>
      <c r="BD25" s="20">
        <v>3.34</v>
      </c>
      <c r="BE25" s="100">
        <v>-4.7</v>
      </c>
      <c r="BF25" s="20">
        <v>15.74</v>
      </c>
      <c r="BG25" s="20">
        <v>3.23</v>
      </c>
      <c r="BH25" s="20">
        <v>16.21</v>
      </c>
      <c r="BJ25" s="21">
        <v>20.76</v>
      </c>
      <c r="BK25" s="20">
        <v>21.92</v>
      </c>
      <c r="BL25" s="13">
        <v>5.92</v>
      </c>
      <c r="BM25" s="13">
        <v>25.66</v>
      </c>
      <c r="BN25" s="13">
        <v>4.82</v>
      </c>
      <c r="BO25" s="13">
        <v>38.1</v>
      </c>
      <c r="BP25" s="13">
        <v>5.22</v>
      </c>
      <c r="BQ25" s="13">
        <v>6.43</v>
      </c>
      <c r="BR25" s="13">
        <v>20.17</v>
      </c>
      <c r="BS25" s="13">
        <v>4.82</v>
      </c>
      <c r="BT25" s="13">
        <v>13.56</v>
      </c>
      <c r="BU25" s="13"/>
      <c r="BV25" s="13">
        <v>15.84</v>
      </c>
      <c r="BW25" s="13">
        <v>6.14</v>
      </c>
      <c r="BX25" s="13"/>
      <c r="BY25" s="13">
        <v>-13.38</v>
      </c>
      <c r="BZ25" s="13">
        <v>48.35</v>
      </c>
      <c r="CA25" s="66"/>
      <c r="CB25" s="66"/>
      <c r="CC25" s="66"/>
      <c r="CD25" s="66"/>
      <c r="CE25" s="66"/>
      <c r="CF25" s="66"/>
      <c r="CG25" s="66"/>
      <c r="CH25" s="66"/>
      <c r="CI25" s="66"/>
      <c r="CJ25" s="66"/>
      <c r="CK25" s="66"/>
      <c r="CL25" s="66"/>
      <c r="CM25" s="66"/>
      <c r="CN25" s="66"/>
    </row>
    <row r="26">
      <c r="A26" s="66"/>
      <c r="B26" s="20">
        <v>-3.04</v>
      </c>
      <c r="C26" s="20">
        <v>4.35</v>
      </c>
      <c r="D26" s="242">
        <v>6.08</v>
      </c>
      <c r="E26" s="242">
        <v>-3.72</v>
      </c>
      <c r="F26" s="250">
        <v>33.5</v>
      </c>
      <c r="H26" s="20">
        <v>10.05</v>
      </c>
      <c r="I26" s="20">
        <v>-2.81</v>
      </c>
      <c r="J26" s="20">
        <v>6.4</v>
      </c>
      <c r="K26" s="20">
        <v>-0.95</v>
      </c>
      <c r="L26" s="20">
        <v>4.05</v>
      </c>
      <c r="M26" s="20">
        <v>16.07</v>
      </c>
      <c r="N26" s="20">
        <v>4.18</v>
      </c>
      <c r="P26" s="20">
        <v>-2.95</v>
      </c>
      <c r="Q26" s="20">
        <v>-16.17</v>
      </c>
      <c r="R26" s="20">
        <v>-7.9</v>
      </c>
      <c r="S26" s="20">
        <v>-8.18</v>
      </c>
      <c r="T26" s="20">
        <v>-8.43</v>
      </c>
      <c r="U26" s="20">
        <v>-0.52</v>
      </c>
      <c r="V26" s="20">
        <v>-6.38</v>
      </c>
      <c r="W26" s="20">
        <v>8.73</v>
      </c>
      <c r="X26" s="20"/>
      <c r="Y26" s="20">
        <v>-22.53</v>
      </c>
      <c r="Z26" s="20">
        <v>-0.33</v>
      </c>
      <c r="AA26" s="20">
        <v>-14.47</v>
      </c>
      <c r="AB26" s="20">
        <v>-19.43</v>
      </c>
      <c r="AC26" s="20">
        <v>-11.94</v>
      </c>
      <c r="AD26" s="20"/>
      <c r="AE26" s="20">
        <v>-13.31</v>
      </c>
      <c r="AF26" s="20">
        <v>-13.31</v>
      </c>
      <c r="AG26" s="20">
        <v>-13.31</v>
      </c>
      <c r="AH26" s="20">
        <v>22.03</v>
      </c>
      <c r="AI26" s="20">
        <v>23.33</v>
      </c>
      <c r="AJ26" s="20">
        <v>26.94</v>
      </c>
      <c r="AK26" s="20">
        <v>-10.66</v>
      </c>
      <c r="AL26" s="20">
        <v>14.85</v>
      </c>
      <c r="AN26" s="20">
        <v>-10.24</v>
      </c>
      <c r="AO26" s="20">
        <v>-8.76</v>
      </c>
      <c r="AP26" s="20">
        <v>2.39</v>
      </c>
      <c r="AQ26" s="20">
        <v>2.39</v>
      </c>
      <c r="AR26" s="20">
        <v>10.47</v>
      </c>
      <c r="AT26" s="20">
        <v>-1.71</v>
      </c>
      <c r="AU26" s="20">
        <v>9.46</v>
      </c>
      <c r="AV26" s="20">
        <v>8.36</v>
      </c>
      <c r="AW26" s="20">
        <v>8.67</v>
      </c>
      <c r="AX26" s="20">
        <v>7.61</v>
      </c>
      <c r="AY26" s="20">
        <v>-3.19</v>
      </c>
      <c r="AZ26" s="20">
        <v>9.15</v>
      </c>
      <c r="BA26" s="20">
        <v>-4.34</v>
      </c>
      <c r="BB26" s="100">
        <v>-11.45</v>
      </c>
      <c r="BC26" s="100"/>
      <c r="BD26" s="20">
        <v>15.28</v>
      </c>
      <c r="BE26" s="100">
        <v>-4.53</v>
      </c>
      <c r="BF26" s="20">
        <v>-4.7</v>
      </c>
      <c r="BG26" s="20">
        <v>3.11</v>
      </c>
      <c r="BH26" s="20">
        <v>15.42</v>
      </c>
      <c r="BJ26" s="21">
        <v>5.76</v>
      </c>
      <c r="BK26" s="20">
        <v>-2.79</v>
      </c>
      <c r="BL26" s="13">
        <v>41.2</v>
      </c>
      <c r="BM26" s="13">
        <v>31.06</v>
      </c>
      <c r="BN26" s="13">
        <v>24.61</v>
      </c>
      <c r="BO26" s="13">
        <v>7.15</v>
      </c>
      <c r="BP26" s="13">
        <v>14.98</v>
      </c>
      <c r="BQ26" s="13">
        <v>-0.98</v>
      </c>
      <c r="BR26" s="13">
        <v>38.1</v>
      </c>
      <c r="BS26" s="13">
        <v>7.51</v>
      </c>
      <c r="BT26" s="13">
        <v>24.32</v>
      </c>
      <c r="BU26" s="13"/>
      <c r="BV26" s="13">
        <v>29.48</v>
      </c>
      <c r="BW26" s="13">
        <v>16.98</v>
      </c>
      <c r="BX26" s="13"/>
      <c r="BY26" s="13">
        <v>18.3</v>
      </c>
      <c r="BZ26" s="13">
        <v>0.72</v>
      </c>
      <c r="CA26" s="66"/>
      <c r="CB26" s="66"/>
      <c r="CC26" s="66"/>
      <c r="CD26" s="66"/>
      <c r="CE26" s="66"/>
      <c r="CF26" s="66"/>
      <c r="CG26" s="66"/>
      <c r="CH26" s="66"/>
      <c r="CI26" s="66"/>
      <c r="CJ26" s="66"/>
      <c r="CK26" s="66"/>
      <c r="CL26" s="66"/>
      <c r="CM26" s="66"/>
      <c r="CN26" s="66"/>
    </row>
    <row r="27">
      <c r="A27" s="66"/>
      <c r="D27" s="66"/>
      <c r="E27" s="66"/>
      <c r="F27" s="66"/>
      <c r="AT27" s="17"/>
    </row>
    <row r="28">
      <c r="A28" s="66"/>
      <c r="B28" s="66"/>
      <c r="C28" s="66"/>
      <c r="D28" s="66"/>
      <c r="E28" s="66"/>
      <c r="F28" s="66"/>
    </row>
    <row r="29">
      <c r="A29" s="66"/>
      <c r="B29" s="13" t="s">
        <v>365</v>
      </c>
      <c r="C29" s="66"/>
      <c r="D29" s="66"/>
      <c r="E29" s="66"/>
      <c r="P29" s="13" t="s">
        <v>365</v>
      </c>
      <c r="U29" s="13"/>
      <c r="V29" s="13"/>
      <c r="W29" s="13"/>
      <c r="Z29" s="13"/>
      <c r="AA29" s="13"/>
      <c r="AB29" s="13"/>
      <c r="AC29" s="13"/>
      <c r="AD29" s="13"/>
      <c r="AE29" s="13" t="s">
        <v>365</v>
      </c>
      <c r="AT29" s="13" t="s">
        <v>365</v>
      </c>
      <c r="BJ29" s="13" t="s">
        <v>365</v>
      </c>
    </row>
    <row r="30">
      <c r="A30" s="66"/>
      <c r="B30" s="247">
        <v>342.0</v>
      </c>
      <c r="C30" s="13" t="s">
        <v>366</v>
      </c>
      <c r="D30" s="66"/>
      <c r="E30" s="66"/>
      <c r="F30" s="20" t="s">
        <v>367</v>
      </c>
      <c r="P30" s="20">
        <v>912.0</v>
      </c>
      <c r="AE30" s="20">
        <v>882.0</v>
      </c>
      <c r="AT30" s="20">
        <v>979.0</v>
      </c>
      <c r="AU30" s="20" t="s">
        <v>368</v>
      </c>
      <c r="BJ30" s="45">
        <v>1117.0</v>
      </c>
      <c r="BK30" s="20" t="s">
        <v>369</v>
      </c>
    </row>
    <row r="31">
      <c r="A31" s="66"/>
      <c r="B31" s="251">
        <v>1071.0</v>
      </c>
      <c r="C31" s="13" t="s">
        <v>370</v>
      </c>
      <c r="D31" s="66"/>
      <c r="E31" s="66"/>
      <c r="F31" s="20">
        <v>342.0</v>
      </c>
      <c r="P31" s="20">
        <v>834.0</v>
      </c>
      <c r="Q31" s="20" t="s">
        <v>371</v>
      </c>
      <c r="AE31" s="45">
        <v>899.0</v>
      </c>
      <c r="AF31" s="20" t="s">
        <v>372</v>
      </c>
      <c r="BJ31" s="20">
        <v>1093.0</v>
      </c>
      <c r="BK31" s="20" t="s">
        <v>373</v>
      </c>
    </row>
    <row r="32">
      <c r="A32" s="66"/>
      <c r="D32" s="66"/>
      <c r="E32" s="66"/>
      <c r="F32" s="20">
        <v>35.0</v>
      </c>
      <c r="P32" s="45">
        <v>1134.0</v>
      </c>
      <c r="Q32" s="20" t="s">
        <v>374</v>
      </c>
      <c r="AE32" s="20">
        <v>372.0</v>
      </c>
      <c r="AT32" s="20">
        <v>223.0</v>
      </c>
      <c r="AU32" s="20" t="s">
        <v>375</v>
      </c>
      <c r="BJ32" s="20">
        <v>261.0</v>
      </c>
      <c r="BK32" s="20" t="s">
        <v>373</v>
      </c>
    </row>
    <row r="33">
      <c r="A33" s="66"/>
      <c r="C33" s="66"/>
      <c r="D33" s="66"/>
      <c r="E33" s="66"/>
      <c r="F33" s="20">
        <v>1129.0</v>
      </c>
      <c r="P33" s="20">
        <v>1129.0</v>
      </c>
      <c r="Q33" s="20" t="s">
        <v>376</v>
      </c>
      <c r="AE33" s="20">
        <v>544.0</v>
      </c>
      <c r="AF33" s="20" t="s">
        <v>377</v>
      </c>
    </row>
    <row r="34">
      <c r="A34" s="66"/>
      <c r="B34" s="66"/>
      <c r="C34" s="66"/>
      <c r="D34" s="66"/>
      <c r="E34" s="66"/>
      <c r="F34" s="20">
        <v>282.0</v>
      </c>
    </row>
    <row r="35">
      <c r="A35" s="66"/>
      <c r="C35" s="30"/>
    </row>
    <row r="36">
      <c r="A36" s="66"/>
    </row>
    <row r="37">
      <c r="A37" s="66"/>
      <c r="C37" s="201" t="s">
        <v>378</v>
      </c>
    </row>
    <row r="38">
      <c r="A38" s="66"/>
      <c r="C38" s="252" t="s">
        <v>379</v>
      </c>
      <c r="BJ38" s="20"/>
    </row>
    <row r="39">
      <c r="A39" s="66"/>
    </row>
    <row r="40">
      <c r="A40" s="66"/>
    </row>
    <row r="41">
      <c r="A41" s="66"/>
    </row>
    <row r="42">
      <c r="A42" s="66"/>
      <c r="C42" s="51" t="s">
        <v>380</v>
      </c>
    </row>
    <row r="43">
      <c r="A43" s="66"/>
      <c r="B43" s="66"/>
      <c r="D43" s="66"/>
      <c r="E43" s="66"/>
      <c r="F43" s="66"/>
    </row>
    <row r="44">
      <c r="A44" s="66"/>
      <c r="B44" s="66"/>
      <c r="C44" s="253" t="s">
        <v>381</v>
      </c>
      <c r="D44" s="254"/>
      <c r="E44" s="254"/>
      <c r="F44" s="254"/>
      <c r="G44" s="255"/>
      <c r="H44" s="255"/>
      <c r="I44" s="255"/>
      <c r="J44" s="255"/>
      <c r="K44" s="255"/>
      <c r="L44" s="255"/>
      <c r="M44" s="255"/>
      <c r="N44" s="255"/>
      <c r="O44" s="255"/>
      <c r="P44" s="255"/>
      <c r="Q44" s="255"/>
      <c r="R44" s="255"/>
      <c r="S44" s="255"/>
      <c r="T44" s="255"/>
      <c r="U44" s="255"/>
      <c r="V44" s="255"/>
      <c r="W44" s="255"/>
      <c r="X44" s="255"/>
      <c r="Y44" s="255"/>
      <c r="Z44" s="255"/>
      <c r="AA44" s="255"/>
      <c r="AB44" s="255"/>
      <c r="AC44" s="255"/>
      <c r="AD44" s="255"/>
      <c r="AE44" s="255"/>
      <c r="AF44" s="255"/>
      <c r="AG44" s="255"/>
      <c r="AH44" s="255"/>
      <c r="AI44" s="255"/>
      <c r="AJ44" s="255"/>
      <c r="AK44" s="255"/>
      <c r="AL44" s="255"/>
      <c r="AM44" s="255"/>
      <c r="AN44" s="255"/>
      <c r="AO44" s="255"/>
      <c r="AP44" s="255"/>
      <c r="AQ44" s="255"/>
      <c r="AR44" s="255"/>
      <c r="AS44" s="255"/>
      <c r="AT44" s="255"/>
      <c r="AU44" s="255"/>
      <c r="AV44" s="255"/>
      <c r="AW44" s="255"/>
      <c r="AX44" s="255"/>
      <c r="AY44" s="255"/>
      <c r="AZ44" s="255"/>
      <c r="BA44" s="255"/>
      <c r="BB44" s="255"/>
      <c r="BC44" s="255"/>
      <c r="BD44" s="255"/>
      <c r="BE44" s="255"/>
      <c r="BF44" s="255"/>
      <c r="BG44" s="255"/>
      <c r="BH44" s="255"/>
      <c r="BI44" s="255"/>
      <c r="BJ44" s="255"/>
      <c r="BK44" s="255"/>
      <c r="BL44" s="255"/>
      <c r="BM44" s="255"/>
      <c r="BN44" s="255"/>
      <c r="BO44" s="255"/>
      <c r="BP44" s="255"/>
      <c r="BQ44" s="255"/>
      <c r="BR44" s="255"/>
      <c r="BS44" s="255"/>
      <c r="BT44" s="255"/>
      <c r="BU44" s="255"/>
      <c r="BV44" s="255"/>
      <c r="BW44" s="255"/>
      <c r="BX44" s="255"/>
      <c r="BY44" s="255"/>
      <c r="BZ44" s="255"/>
      <c r="CA44" s="255"/>
      <c r="CB44" s="255"/>
      <c r="CC44" s="255"/>
      <c r="CD44" s="255"/>
      <c r="CE44" s="255"/>
      <c r="CF44" s="255"/>
      <c r="CG44" s="255"/>
      <c r="CH44" s="255"/>
      <c r="CI44" s="255"/>
      <c r="CJ44" s="255"/>
      <c r="CK44" s="255"/>
      <c r="CL44" s="255"/>
      <c r="CM44" s="255"/>
      <c r="CN44" s="255"/>
    </row>
    <row r="45">
      <c r="A45" s="66"/>
      <c r="B45" s="66"/>
      <c r="C45" s="66"/>
      <c r="D45" s="13" t="s">
        <v>24</v>
      </c>
      <c r="E45" s="13">
        <v>342.0</v>
      </c>
      <c r="F45" s="13"/>
    </row>
    <row r="46">
      <c r="A46" s="66"/>
      <c r="B46" s="66"/>
      <c r="C46" s="66"/>
      <c r="D46" s="13" t="s">
        <v>321</v>
      </c>
      <c r="E46" s="66"/>
      <c r="F46" s="66"/>
    </row>
    <row r="47">
      <c r="A47" s="66"/>
      <c r="B47" s="66"/>
      <c r="C47" s="66"/>
      <c r="D47" s="13" t="s">
        <v>360</v>
      </c>
      <c r="E47" s="66"/>
      <c r="F47" s="66"/>
    </row>
    <row r="48">
      <c r="A48" s="66"/>
      <c r="B48" s="66"/>
      <c r="C48" s="66"/>
      <c r="D48" s="13" t="s">
        <v>362</v>
      </c>
      <c r="E48" s="66"/>
      <c r="F48" s="66"/>
    </row>
    <row r="49">
      <c r="A49" s="66"/>
      <c r="B49" s="66"/>
      <c r="C49" s="66"/>
      <c r="D49" s="13" t="s">
        <v>364</v>
      </c>
      <c r="E49" s="66"/>
      <c r="F49" s="66"/>
    </row>
    <row r="50">
      <c r="A50" s="66"/>
      <c r="B50" s="66"/>
      <c r="C50" s="66"/>
      <c r="D50" s="66"/>
      <c r="E50" s="66"/>
      <c r="F50" s="66"/>
    </row>
    <row r="51">
      <c r="A51" s="66"/>
      <c r="B51" s="66"/>
      <c r="C51" s="66"/>
      <c r="D51" s="66"/>
      <c r="E51" s="66"/>
      <c r="F51" s="66"/>
    </row>
    <row r="52">
      <c r="A52" s="66"/>
      <c r="B52" s="66"/>
      <c r="C52" s="66"/>
      <c r="D52" s="66"/>
      <c r="E52" s="66"/>
      <c r="F52" s="66"/>
    </row>
    <row r="53">
      <c r="A53" s="66"/>
      <c r="B53" s="66"/>
      <c r="C53" s="66"/>
      <c r="D53" s="66"/>
      <c r="E53" s="66"/>
      <c r="F53" s="66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19" t="s">
        <v>16</v>
      </c>
      <c r="G2" s="30" t="s">
        <v>382</v>
      </c>
    </row>
    <row r="3">
      <c r="C3" s="19" t="s">
        <v>18</v>
      </c>
      <c r="D3" s="20">
        <v>800.0</v>
      </c>
      <c r="G3" s="20" t="s">
        <v>383</v>
      </c>
      <c r="K3" s="256"/>
    </row>
    <row r="4">
      <c r="C4" s="16" t="s">
        <v>19</v>
      </c>
      <c r="G4" s="20" t="s">
        <v>384</v>
      </c>
      <c r="K4" s="256"/>
    </row>
    <row r="5">
      <c r="C5" s="16" t="s">
        <v>20</v>
      </c>
      <c r="G5" s="20" t="s">
        <v>385</v>
      </c>
      <c r="K5" s="256"/>
    </row>
    <row r="6">
      <c r="C6" s="16" t="s">
        <v>21</v>
      </c>
      <c r="G6" s="20" t="s">
        <v>386</v>
      </c>
    </row>
    <row r="7">
      <c r="G7" s="20" t="s">
        <v>387</v>
      </c>
    </row>
    <row r="12">
      <c r="D12" s="257" t="s">
        <v>388</v>
      </c>
      <c r="F12" s="21"/>
    </row>
    <row r="13">
      <c r="C13" s="30" t="s">
        <v>389</v>
      </c>
      <c r="D13" s="30" t="s">
        <v>390</v>
      </c>
      <c r="F13" s="21"/>
    </row>
    <row r="14">
      <c r="C14" s="20" t="s">
        <v>391</v>
      </c>
      <c r="D14" s="40">
        <v>1070.0</v>
      </c>
      <c r="E14" s="20">
        <v>458.0</v>
      </c>
      <c r="F14" s="40">
        <v>426.0</v>
      </c>
      <c r="G14" s="20">
        <v>461.0</v>
      </c>
      <c r="I14" s="40">
        <v>1145.0</v>
      </c>
      <c r="J14" s="258">
        <v>771.0</v>
      </c>
      <c r="K14" s="40">
        <v>375.0</v>
      </c>
      <c r="L14" s="51">
        <v>342.0</v>
      </c>
      <c r="M14" s="259">
        <v>1071.0</v>
      </c>
    </row>
    <row r="15">
      <c r="C15" s="20" t="s">
        <v>392</v>
      </c>
      <c r="D15" s="260">
        <v>800.0</v>
      </c>
      <c r="F15" s="51">
        <v>1134.0</v>
      </c>
      <c r="G15" s="21">
        <v>808.0</v>
      </c>
    </row>
    <row r="16">
      <c r="C16" s="20" t="s">
        <v>392</v>
      </c>
      <c r="D16" s="20">
        <v>766.0</v>
      </c>
      <c r="E16" s="21">
        <v>563.0</v>
      </c>
      <c r="F16" s="40">
        <v>899.0</v>
      </c>
    </row>
    <row r="17">
      <c r="C17" s="20" t="s">
        <v>391</v>
      </c>
      <c r="D17" s="45">
        <v>184.0</v>
      </c>
      <c r="E17" s="20">
        <v>211.0</v>
      </c>
      <c r="F17" s="261"/>
    </row>
    <row r="18">
      <c r="C18" s="20" t="s">
        <v>391</v>
      </c>
      <c r="D18" s="40">
        <v>1135.0</v>
      </c>
      <c r="E18" s="20">
        <v>119.0</v>
      </c>
      <c r="F18" s="20">
        <v>872.0</v>
      </c>
      <c r="G18" s="20">
        <v>112.0</v>
      </c>
    </row>
    <row r="19">
      <c r="D19" s="20" t="s">
        <v>393</v>
      </c>
      <c r="E19" s="20" t="s">
        <v>394</v>
      </c>
      <c r="F19" s="20" t="s">
        <v>395</v>
      </c>
    </row>
    <row r="20">
      <c r="C20" s="17"/>
      <c r="E20" s="17"/>
      <c r="F20" s="17"/>
    </row>
    <row r="21">
      <c r="F21" s="17"/>
    </row>
    <row r="22">
      <c r="D22" s="20" t="s">
        <v>396</v>
      </c>
      <c r="F22" s="17"/>
    </row>
    <row r="25">
      <c r="D25" s="20" t="s">
        <v>397</v>
      </c>
    </row>
    <row r="26">
      <c r="D26" s="20" t="s">
        <v>24</v>
      </c>
      <c r="E26" s="45">
        <v>375.0</v>
      </c>
      <c r="F26" s="20">
        <v>1070.0</v>
      </c>
      <c r="G26" s="20">
        <v>771.0</v>
      </c>
    </row>
    <row r="27">
      <c r="D27" s="20" t="s">
        <v>321</v>
      </c>
      <c r="E27" s="45">
        <v>1092.0</v>
      </c>
      <c r="F27" s="20">
        <v>808.0</v>
      </c>
    </row>
    <row r="28">
      <c r="D28" s="20" t="s">
        <v>360</v>
      </c>
      <c r="E28" s="20">
        <v>563.0</v>
      </c>
      <c r="F28" s="20">
        <v>766.0</v>
      </c>
      <c r="H28" s="20">
        <v>385.0</v>
      </c>
      <c r="L28" s="20">
        <v>900.0</v>
      </c>
      <c r="M28" s="20">
        <v>457.0</v>
      </c>
      <c r="N28" s="20">
        <v>899.0</v>
      </c>
      <c r="O28" s="20">
        <v>424.0</v>
      </c>
    </row>
    <row r="29">
      <c r="D29" s="20" t="s">
        <v>362</v>
      </c>
      <c r="E29" s="20">
        <v>187.0</v>
      </c>
      <c r="F29" s="45">
        <v>211.0</v>
      </c>
      <c r="G29" s="20">
        <v>907.0</v>
      </c>
    </row>
    <row r="30">
      <c r="D30" s="20" t="s">
        <v>364</v>
      </c>
      <c r="E30" s="45">
        <v>546.0</v>
      </c>
    </row>
    <row r="34">
      <c r="D34" s="20" t="s">
        <v>398</v>
      </c>
    </row>
    <row r="35">
      <c r="D35" s="19" t="s">
        <v>16</v>
      </c>
      <c r="E35" s="48">
        <v>506.0</v>
      </c>
      <c r="G35" s="45">
        <v>893.0</v>
      </c>
      <c r="H35" s="20">
        <v>1097.0</v>
      </c>
      <c r="I35" s="20">
        <v>436.0</v>
      </c>
    </row>
    <row r="36">
      <c r="D36" s="19" t="s">
        <v>18</v>
      </c>
      <c r="E36" s="48">
        <v>1083.0</v>
      </c>
      <c r="H36" s="45">
        <v>1140.0</v>
      </c>
      <c r="I36" s="20">
        <v>1092.0</v>
      </c>
    </row>
    <row r="37">
      <c r="D37" s="16" t="s">
        <v>19</v>
      </c>
      <c r="E37" s="48">
        <v>766.0</v>
      </c>
      <c r="G37" s="45">
        <v>563.0</v>
      </c>
      <c r="H37" s="45">
        <v>751.0</v>
      </c>
    </row>
    <row r="38">
      <c r="D38" s="16" t="s">
        <v>20</v>
      </c>
      <c r="G38" s="45">
        <v>112.0</v>
      </c>
      <c r="H38" s="20">
        <v>160.0</v>
      </c>
      <c r="I38" s="48">
        <v>184.0</v>
      </c>
      <c r="J38" s="48">
        <v>907.0</v>
      </c>
    </row>
    <row r="39">
      <c r="D39" s="16" t="s">
        <v>21</v>
      </c>
      <c r="G39" s="45">
        <v>1066.0</v>
      </c>
      <c r="H39" s="20">
        <v>872.0</v>
      </c>
      <c r="I39" s="20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47</v>
      </c>
      <c r="J43" s="4" t="s">
        <v>48</v>
      </c>
      <c r="K43" s="4" t="s">
        <v>49</v>
      </c>
      <c r="L43" s="4" t="s">
        <v>50</v>
      </c>
      <c r="M43" s="181" t="s">
        <v>399</v>
      </c>
      <c r="N43" s="102" t="s">
        <v>400</v>
      </c>
      <c r="O43" s="102" t="s">
        <v>401</v>
      </c>
      <c r="P43" s="102" t="s">
        <v>402</v>
      </c>
      <c r="Q43" s="5" t="s">
        <v>10</v>
      </c>
      <c r="R43" s="6" t="s">
        <v>11</v>
      </c>
      <c r="S43" s="7" t="s">
        <v>12</v>
      </c>
    </row>
    <row r="44">
      <c r="D44" s="8">
        <v>6.0</v>
      </c>
      <c r="E44" s="9" t="s">
        <v>13</v>
      </c>
      <c r="F44" s="10">
        <v>45685.0</v>
      </c>
      <c r="G44" s="11">
        <v>616.0</v>
      </c>
      <c r="H44" s="12" t="s">
        <v>14</v>
      </c>
      <c r="I44" s="13"/>
      <c r="J44" s="13"/>
      <c r="K44" s="13"/>
      <c r="L44" s="13"/>
      <c r="M44" s="262"/>
      <c r="P44" s="146"/>
      <c r="Q44" s="14"/>
      <c r="S44" s="15"/>
    </row>
    <row r="45">
      <c r="D45" s="16">
        <v>167.0</v>
      </c>
      <c r="E45" s="16" t="s">
        <v>15</v>
      </c>
      <c r="F45" s="10"/>
      <c r="G45" s="10"/>
      <c r="H45" s="10"/>
      <c r="I45" s="17"/>
      <c r="J45" s="17"/>
      <c r="K45" s="17"/>
      <c r="L45" s="17"/>
      <c r="M45" s="262"/>
      <c r="P45" s="146"/>
      <c r="Q45" s="14"/>
      <c r="S45" s="15"/>
    </row>
    <row r="46">
      <c r="D46" s="18">
        <v>48.0</v>
      </c>
      <c r="E46" s="19" t="s">
        <v>16</v>
      </c>
      <c r="F46" s="10">
        <v>45739.0</v>
      </c>
      <c r="G46" s="12">
        <v>1070.0</v>
      </c>
      <c r="H46" s="12" t="s">
        <v>14</v>
      </c>
      <c r="I46" s="242">
        <v>5.0</v>
      </c>
      <c r="J46" s="242">
        <v>6.58</v>
      </c>
      <c r="K46" s="242">
        <v>11.42</v>
      </c>
      <c r="L46" s="242">
        <f t="shared" ref="L46:L50" si="1">AVERAGE(I46:K46)</f>
        <v>7.666666667</v>
      </c>
      <c r="M46" s="263">
        <v>5.0</v>
      </c>
      <c r="N46" s="264" t="s">
        <v>403</v>
      </c>
      <c r="O46" s="265" t="s">
        <v>404</v>
      </c>
      <c r="P46" s="4" t="s">
        <v>405</v>
      </c>
      <c r="Q46" s="266">
        <v>-0.959</v>
      </c>
      <c r="R46" s="267">
        <v>-0.941356160637481</v>
      </c>
      <c r="S46" s="24">
        <f t="shared" ref="S46:S50" si="2">(R46-Q46)/Q46</f>
        <v>-0.01839816409</v>
      </c>
    </row>
    <row r="47">
      <c r="D47" s="16">
        <v>55.0</v>
      </c>
      <c r="E47" s="19" t="s">
        <v>18</v>
      </c>
      <c r="F47" s="10">
        <v>45739.0</v>
      </c>
      <c r="G47" s="12">
        <v>1092.0</v>
      </c>
      <c r="H47" s="12" t="s">
        <v>14</v>
      </c>
      <c r="I47" s="242">
        <v>7.11</v>
      </c>
      <c r="J47" s="242">
        <v>5.0</v>
      </c>
      <c r="K47" s="242">
        <v>9.74</v>
      </c>
      <c r="L47" s="242">
        <f t="shared" si="1"/>
        <v>7.283333333</v>
      </c>
      <c r="M47" s="263">
        <v>11.0</v>
      </c>
      <c r="N47" s="264" t="s">
        <v>406</v>
      </c>
      <c r="O47" s="265" t="s">
        <v>407</v>
      </c>
      <c r="P47" s="4">
        <v>49.0</v>
      </c>
      <c r="Q47" s="266">
        <v>-0.983461055390758</v>
      </c>
      <c r="R47" s="267">
        <v>-1.03568863905778</v>
      </c>
      <c r="S47" s="24">
        <f t="shared" si="2"/>
        <v>0.05310589919</v>
      </c>
    </row>
    <row r="48">
      <c r="D48" s="16">
        <v>59.0</v>
      </c>
      <c r="E48" s="16" t="s">
        <v>19</v>
      </c>
      <c r="F48" s="10">
        <v>45739.0</v>
      </c>
      <c r="G48" s="12">
        <v>563.0</v>
      </c>
      <c r="H48" s="12" t="s">
        <v>14</v>
      </c>
      <c r="I48" s="242">
        <v>5.0</v>
      </c>
      <c r="J48" s="242">
        <v>7.11</v>
      </c>
      <c r="K48" s="242">
        <v>8.68</v>
      </c>
      <c r="L48" s="242">
        <f t="shared" si="1"/>
        <v>6.93</v>
      </c>
      <c r="M48" s="263">
        <v>1.0</v>
      </c>
      <c r="N48" s="264" t="s">
        <v>408</v>
      </c>
      <c r="O48" s="265" t="s">
        <v>409</v>
      </c>
      <c r="P48" s="4">
        <v>385.0</v>
      </c>
      <c r="Q48" s="266">
        <v>-1.0062289543877</v>
      </c>
      <c r="R48" s="267">
        <v>-0.97031500407769</v>
      </c>
      <c r="S48" s="24">
        <f t="shared" si="2"/>
        <v>-0.03569162878</v>
      </c>
    </row>
    <row r="49">
      <c r="D49" s="16">
        <v>77.0</v>
      </c>
      <c r="E49" s="16" t="s">
        <v>20</v>
      </c>
      <c r="F49" s="10">
        <v>45739.0</v>
      </c>
      <c r="G49" s="12">
        <v>184.0</v>
      </c>
      <c r="H49" s="12" t="s">
        <v>14</v>
      </c>
      <c r="I49" s="242">
        <v>6.05</v>
      </c>
      <c r="J49" s="242">
        <v>12.89</v>
      </c>
      <c r="K49" s="242">
        <v>8.68</v>
      </c>
      <c r="L49" s="242">
        <f t="shared" si="1"/>
        <v>9.206666667</v>
      </c>
      <c r="M49" s="263">
        <v>2.0</v>
      </c>
      <c r="N49" s="264" t="s">
        <v>410</v>
      </c>
      <c r="O49" s="268"/>
      <c r="P49" s="4">
        <v>211.0</v>
      </c>
      <c r="Q49" s="266">
        <v>-0.920368837543479</v>
      </c>
      <c r="R49" s="267">
        <v>-1.00954296359786</v>
      </c>
      <c r="S49" s="24">
        <f t="shared" si="2"/>
        <v>0.09688955386</v>
      </c>
    </row>
    <row r="50">
      <c r="D50" s="16">
        <v>148.0</v>
      </c>
      <c r="E50" s="16" t="s">
        <v>21</v>
      </c>
      <c r="F50" s="10">
        <v>45740.0</v>
      </c>
      <c r="G50" s="12">
        <v>546.0</v>
      </c>
      <c r="H50" s="12" t="s">
        <v>14</v>
      </c>
      <c r="I50" s="242">
        <v>5.0</v>
      </c>
      <c r="J50" s="242">
        <v>15.0</v>
      </c>
      <c r="K50" s="242">
        <v>5.0</v>
      </c>
      <c r="L50" s="242">
        <f t="shared" si="1"/>
        <v>8.333333333</v>
      </c>
      <c r="M50" s="263">
        <v>11.0</v>
      </c>
      <c r="N50" s="264" t="s">
        <v>411</v>
      </c>
      <c r="O50" s="265"/>
      <c r="P50" s="4" t="s">
        <v>412</v>
      </c>
      <c r="Q50" s="266">
        <v>-1.0182155187786</v>
      </c>
      <c r="R50" s="267">
        <v>-0.866421412348542</v>
      </c>
      <c r="S50" s="24">
        <f t="shared" si="2"/>
        <v>-0.1490785631</v>
      </c>
    </row>
    <row r="60">
      <c r="D60" s="30" t="s">
        <v>413</v>
      </c>
    </row>
    <row r="62">
      <c r="D62" s="19" t="s">
        <v>16</v>
      </c>
      <c r="E62" s="20">
        <v>506.0</v>
      </c>
      <c r="F62" s="20">
        <v>0.0</v>
      </c>
      <c r="G62" s="20">
        <v>3.75</v>
      </c>
      <c r="H62" s="20">
        <v>10.5</v>
      </c>
    </row>
    <row r="63">
      <c r="D63" s="19" t="s">
        <v>18</v>
      </c>
      <c r="E63" s="20">
        <v>1092.0</v>
      </c>
      <c r="F63" s="20">
        <v>2.25</v>
      </c>
      <c r="G63" s="20">
        <v>0.0</v>
      </c>
      <c r="H63" s="20">
        <v>6.75</v>
      </c>
    </row>
    <row r="64">
      <c r="D64" s="16" t="s">
        <v>19</v>
      </c>
      <c r="E64" s="20">
        <v>900.0</v>
      </c>
      <c r="F64" s="20">
        <v>1.19</v>
      </c>
      <c r="G64" s="20">
        <v>6.89</v>
      </c>
      <c r="H64" s="20">
        <v>17.34</v>
      </c>
    </row>
    <row r="65">
      <c r="D65" s="16" t="s">
        <v>20</v>
      </c>
      <c r="E65" s="20">
        <v>184.0</v>
      </c>
      <c r="F65" s="20">
        <v>3.75</v>
      </c>
      <c r="G65" s="20">
        <v>10.5</v>
      </c>
      <c r="H65" s="20">
        <v>4.5</v>
      </c>
    </row>
    <row r="66">
      <c r="D66" s="16" t="s">
        <v>21</v>
      </c>
      <c r="E66" s="20">
        <v>1135.0</v>
      </c>
      <c r="F66" s="20">
        <v>0.0</v>
      </c>
      <c r="G66" s="20">
        <v>9.0</v>
      </c>
      <c r="H66" s="20">
        <v>0.0</v>
      </c>
    </row>
    <row r="69">
      <c r="D69" s="30" t="s">
        <v>414</v>
      </c>
    </row>
    <row r="70">
      <c r="D70" s="20" t="s">
        <v>415</v>
      </c>
    </row>
    <row r="71">
      <c r="D71" s="20" t="s">
        <v>416</v>
      </c>
      <c r="F71" s="17"/>
      <c r="G71" s="17"/>
      <c r="H71" s="17"/>
      <c r="I71" s="17"/>
    </row>
    <row r="72">
      <c r="D72" s="20" t="s">
        <v>417</v>
      </c>
      <c r="F72" s="17"/>
      <c r="G72" s="17"/>
      <c r="H72" s="17"/>
      <c r="I72" s="17"/>
    </row>
    <row r="73">
      <c r="F73" s="17"/>
      <c r="G73" s="17"/>
      <c r="H73" s="17"/>
      <c r="I73" s="17"/>
    </row>
    <row r="74">
      <c r="D74" s="30" t="s">
        <v>418</v>
      </c>
    </row>
    <row r="75">
      <c r="D75" s="20" t="s">
        <v>419</v>
      </c>
    </row>
    <row r="76">
      <c r="D76" s="20" t="s">
        <v>420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3" t="s">
        <v>38</v>
      </c>
      <c r="C1" s="204"/>
      <c r="D1" s="204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37</v>
      </c>
      <c r="T1" s="204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204"/>
      <c r="AJ1" s="103" t="s">
        <v>28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3" t="s">
        <v>29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3" t="s">
        <v>25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8"/>
      <c r="B2" s="102" t="s">
        <v>179</v>
      </c>
      <c r="C2" s="102" t="s">
        <v>31</v>
      </c>
      <c r="D2" s="269" t="s">
        <v>201</v>
      </c>
      <c r="E2" s="102" t="s">
        <v>32</v>
      </c>
      <c r="F2" s="102" t="s">
        <v>421</v>
      </c>
      <c r="G2" s="102" t="s">
        <v>422</v>
      </c>
      <c r="H2" s="102" t="s">
        <v>423</v>
      </c>
      <c r="I2" s="269" t="s">
        <v>391</v>
      </c>
      <c r="J2" s="269" t="s">
        <v>392</v>
      </c>
      <c r="K2" s="102" t="s">
        <v>424</v>
      </c>
      <c r="L2" s="269" t="s">
        <v>425</v>
      </c>
      <c r="M2" s="102" t="s">
        <v>426</v>
      </c>
      <c r="N2" s="102" t="s">
        <v>427</v>
      </c>
      <c r="O2" s="269" t="s">
        <v>428</v>
      </c>
      <c r="P2" s="102" t="s">
        <v>429</v>
      </c>
      <c r="Q2" s="269" t="s">
        <v>430</v>
      </c>
      <c r="R2" s="211"/>
      <c r="S2" s="102" t="s">
        <v>179</v>
      </c>
      <c r="T2" s="102" t="s">
        <v>31</v>
      </c>
      <c r="U2" s="102" t="s">
        <v>201</v>
      </c>
      <c r="V2" s="102" t="s">
        <v>32</v>
      </c>
      <c r="W2" s="269" t="s">
        <v>421</v>
      </c>
      <c r="X2" s="102" t="s">
        <v>422</v>
      </c>
      <c r="Y2" s="102" t="s">
        <v>423</v>
      </c>
      <c r="Z2" s="102" t="s">
        <v>391</v>
      </c>
      <c r="AA2" s="102" t="s">
        <v>392</v>
      </c>
      <c r="AB2" s="102" t="s">
        <v>424</v>
      </c>
      <c r="AC2" s="102" t="s">
        <v>425</v>
      </c>
      <c r="AD2" s="102" t="s">
        <v>426</v>
      </c>
      <c r="AE2" s="269" t="s">
        <v>427</v>
      </c>
      <c r="AF2" s="102" t="s">
        <v>428</v>
      </c>
      <c r="AG2" s="269" t="s">
        <v>429</v>
      </c>
      <c r="AH2" s="102" t="s">
        <v>430</v>
      </c>
      <c r="AI2" s="84"/>
      <c r="AJ2" s="102" t="s">
        <v>179</v>
      </c>
      <c r="AK2" s="102" t="s">
        <v>31</v>
      </c>
      <c r="AL2" s="102" t="s">
        <v>201</v>
      </c>
      <c r="AM2" s="102" t="s">
        <v>32</v>
      </c>
      <c r="AN2" s="102" t="s">
        <v>421</v>
      </c>
      <c r="AO2" s="102" t="s">
        <v>422</v>
      </c>
      <c r="AP2" s="269" t="s">
        <v>423</v>
      </c>
      <c r="AQ2" s="102" t="s">
        <v>391</v>
      </c>
      <c r="AR2" s="269" t="s">
        <v>392</v>
      </c>
      <c r="AS2" s="102" t="s">
        <v>424</v>
      </c>
      <c r="AT2" s="102" t="s">
        <v>425</v>
      </c>
      <c r="AU2" s="102" t="s">
        <v>426</v>
      </c>
      <c r="AV2" s="102" t="s">
        <v>427</v>
      </c>
      <c r="AW2" s="102" t="s">
        <v>428</v>
      </c>
      <c r="AX2" s="269" t="s">
        <v>429</v>
      </c>
      <c r="AY2" s="102" t="s">
        <v>430</v>
      </c>
      <c r="AZ2" s="102"/>
      <c r="BA2" s="269" t="s">
        <v>179</v>
      </c>
      <c r="BB2" s="102" t="s">
        <v>31</v>
      </c>
      <c r="BC2" s="102" t="s">
        <v>201</v>
      </c>
      <c r="BD2" s="102" t="s">
        <v>32</v>
      </c>
      <c r="BE2" s="102" t="s">
        <v>421</v>
      </c>
      <c r="BF2" s="269" t="s">
        <v>422</v>
      </c>
      <c r="BG2" s="269" t="s">
        <v>423</v>
      </c>
      <c r="BH2" s="102" t="s">
        <v>391</v>
      </c>
      <c r="BI2" s="102" t="s">
        <v>392</v>
      </c>
      <c r="BJ2" s="269" t="s">
        <v>424</v>
      </c>
      <c r="BK2" s="269" t="s">
        <v>425</v>
      </c>
      <c r="BL2" s="102" t="s">
        <v>426</v>
      </c>
      <c r="BM2" s="102" t="s">
        <v>427</v>
      </c>
      <c r="BN2" s="269" t="s">
        <v>428</v>
      </c>
      <c r="BO2" s="102" t="s">
        <v>429</v>
      </c>
      <c r="BP2" s="102" t="s">
        <v>430</v>
      </c>
      <c r="BQ2" s="102"/>
      <c r="BR2" s="102" t="s">
        <v>179</v>
      </c>
      <c r="BS2" s="102" t="s">
        <v>31</v>
      </c>
      <c r="BT2" s="102" t="s">
        <v>201</v>
      </c>
      <c r="BU2" s="102" t="s">
        <v>32</v>
      </c>
      <c r="BV2" s="102" t="s">
        <v>421</v>
      </c>
      <c r="BW2" s="102" t="s">
        <v>422</v>
      </c>
      <c r="BX2" s="102" t="s">
        <v>423</v>
      </c>
      <c r="BY2" s="269" t="s">
        <v>391</v>
      </c>
      <c r="BZ2" s="269" t="s">
        <v>392</v>
      </c>
      <c r="CA2" s="102" t="s">
        <v>424</v>
      </c>
      <c r="CB2" s="102" t="s">
        <v>425</v>
      </c>
      <c r="CC2" s="102" t="s">
        <v>426</v>
      </c>
      <c r="CD2" s="102" t="s">
        <v>427</v>
      </c>
      <c r="CE2" s="102" t="s">
        <v>428</v>
      </c>
      <c r="CF2" s="102" t="s">
        <v>429</v>
      </c>
      <c r="CG2" s="102" t="s">
        <v>430</v>
      </c>
      <c r="CH2" s="102"/>
      <c r="CI2" s="102"/>
    </row>
    <row r="3">
      <c r="A3" s="234" t="s">
        <v>431</v>
      </c>
      <c r="B3" s="235">
        <f t="shared" ref="B3:Q3" si="1">AVERAGE(B5:B24)</f>
        <v>7.6005</v>
      </c>
      <c r="C3" s="235">
        <f t="shared" si="1"/>
        <v>10.9185</v>
      </c>
      <c r="D3" s="235">
        <f t="shared" si="1"/>
        <v>17.8895</v>
      </c>
      <c r="E3" s="235">
        <f t="shared" si="1"/>
        <v>15.57</v>
      </c>
      <c r="F3" s="235">
        <f t="shared" si="1"/>
        <v>8.2845</v>
      </c>
      <c r="G3" s="235">
        <f t="shared" si="1"/>
        <v>12.0135</v>
      </c>
      <c r="H3" s="235">
        <f t="shared" si="1"/>
        <v>14.199</v>
      </c>
      <c r="I3" s="235">
        <f t="shared" si="1"/>
        <v>18.777</v>
      </c>
      <c r="J3" s="235">
        <f t="shared" si="1"/>
        <v>18.638</v>
      </c>
      <c r="K3" s="235">
        <f t="shared" si="1"/>
        <v>14.9455</v>
      </c>
      <c r="L3" s="235">
        <f t="shared" si="1"/>
        <v>20.682</v>
      </c>
      <c r="M3" s="235">
        <f t="shared" si="1"/>
        <v>12.575</v>
      </c>
      <c r="N3" s="235">
        <f t="shared" si="1"/>
        <v>15.05</v>
      </c>
      <c r="O3" s="235">
        <f t="shared" si="1"/>
        <v>19.708</v>
      </c>
      <c r="P3" s="235">
        <f t="shared" si="1"/>
        <v>9.821</v>
      </c>
      <c r="Q3" s="235">
        <f t="shared" si="1"/>
        <v>17.916</v>
      </c>
      <c r="R3" s="235"/>
      <c r="S3" s="235">
        <f t="shared" ref="S3:AH3" si="2">AVERAGE(S5:S24)</f>
        <v>-6.686</v>
      </c>
      <c r="T3" s="235">
        <f t="shared" si="2"/>
        <v>-11.556</v>
      </c>
      <c r="U3" s="235">
        <f t="shared" si="2"/>
        <v>-7.3065</v>
      </c>
      <c r="V3" s="235">
        <f t="shared" si="2"/>
        <v>-5.383</v>
      </c>
      <c r="W3" s="235">
        <f t="shared" si="2"/>
        <v>0.223</v>
      </c>
      <c r="X3" s="235">
        <f t="shared" si="2"/>
        <v>-3.991</v>
      </c>
      <c r="Y3" s="235">
        <f t="shared" si="2"/>
        <v>-4.078</v>
      </c>
      <c r="Z3" s="235">
        <f t="shared" si="2"/>
        <v>-8.5645</v>
      </c>
      <c r="AA3" s="235">
        <f t="shared" si="2"/>
        <v>-4.9165</v>
      </c>
      <c r="AB3" s="235">
        <f t="shared" si="2"/>
        <v>-3.9645</v>
      </c>
      <c r="AC3" s="235">
        <f t="shared" si="2"/>
        <v>-4.0285</v>
      </c>
      <c r="AD3" s="235">
        <f t="shared" si="2"/>
        <v>-4.825</v>
      </c>
      <c r="AE3" s="235">
        <f t="shared" si="2"/>
        <v>1.039</v>
      </c>
      <c r="AF3" s="235">
        <f t="shared" si="2"/>
        <v>-8.99</v>
      </c>
      <c r="AG3" s="235">
        <f t="shared" si="2"/>
        <v>1.5255</v>
      </c>
      <c r="AH3" s="235">
        <f t="shared" si="2"/>
        <v>-7.5305</v>
      </c>
      <c r="AJ3" s="235">
        <f t="shared" ref="AJ3:AY3" si="3">AVERAGE(AJ5:AJ24)</f>
        <v>-17.0175</v>
      </c>
      <c r="AK3" s="235">
        <f t="shared" si="3"/>
        <v>-9.2555</v>
      </c>
      <c r="AL3" s="235">
        <f t="shared" si="3"/>
        <v>-3.371</v>
      </c>
      <c r="AM3" s="235">
        <f t="shared" si="3"/>
        <v>-3.434</v>
      </c>
      <c r="AN3" s="235">
        <f t="shared" si="3"/>
        <v>-1.7255</v>
      </c>
      <c r="AO3" s="235">
        <f t="shared" si="3"/>
        <v>1.475</v>
      </c>
      <c r="AP3" s="235">
        <f t="shared" si="3"/>
        <v>7.411</v>
      </c>
      <c r="AQ3" s="235">
        <f t="shared" si="3"/>
        <v>-20.6155</v>
      </c>
      <c r="AR3" s="235">
        <f t="shared" si="3"/>
        <v>7.5315</v>
      </c>
      <c r="AS3" s="235">
        <f t="shared" si="3"/>
        <v>-4.279</v>
      </c>
      <c r="AT3" s="235">
        <f t="shared" si="3"/>
        <v>-21.1405</v>
      </c>
      <c r="AU3" s="235">
        <f t="shared" si="3"/>
        <v>-6.4655</v>
      </c>
      <c r="AV3" s="235">
        <f t="shared" si="3"/>
        <v>-1.406</v>
      </c>
      <c r="AW3" s="235">
        <f t="shared" si="3"/>
        <v>-26.958</v>
      </c>
      <c r="AX3" s="235">
        <f t="shared" si="3"/>
        <v>6.5565</v>
      </c>
      <c r="AY3" s="235">
        <f t="shared" si="3"/>
        <v>-0.874</v>
      </c>
      <c r="AZ3" s="235"/>
      <c r="BA3" s="235">
        <f t="shared" ref="BA3:BP3" si="4">AVERAGE(BA5:BA24)</f>
        <v>-14.935</v>
      </c>
      <c r="BB3" s="235">
        <f t="shared" si="4"/>
        <v>-19.5555</v>
      </c>
      <c r="BC3" s="235">
        <f t="shared" si="4"/>
        <v>-17.8795</v>
      </c>
      <c r="BD3" s="235">
        <f t="shared" si="4"/>
        <v>-19.584</v>
      </c>
      <c r="BE3" s="235">
        <f t="shared" si="4"/>
        <v>-19.266</v>
      </c>
      <c r="BF3" s="235">
        <f t="shared" si="4"/>
        <v>-14.4365</v>
      </c>
      <c r="BG3" s="235">
        <f t="shared" si="4"/>
        <v>-15.8495</v>
      </c>
      <c r="BH3" s="235">
        <f t="shared" si="4"/>
        <v>-16.996</v>
      </c>
      <c r="BI3" s="235">
        <f t="shared" si="4"/>
        <v>-21.489</v>
      </c>
      <c r="BJ3" s="235">
        <f t="shared" si="4"/>
        <v>-14.2945</v>
      </c>
      <c r="BK3" s="235">
        <f t="shared" si="4"/>
        <v>-13.973</v>
      </c>
      <c r="BL3" s="235">
        <f t="shared" si="4"/>
        <v>-21.2015</v>
      </c>
      <c r="BM3" s="235">
        <f t="shared" si="4"/>
        <v>-24.153</v>
      </c>
      <c r="BN3" s="235">
        <f t="shared" si="4"/>
        <v>-9.3005</v>
      </c>
      <c r="BO3" s="235">
        <f t="shared" si="4"/>
        <v>-29.364</v>
      </c>
      <c r="BP3" s="235">
        <f t="shared" si="4"/>
        <v>-21.378</v>
      </c>
      <c r="BQ3" s="235"/>
      <c r="BR3" s="235">
        <f t="shared" ref="BR3:CG3" si="5">AVERAGE(BR5:BR24)</f>
        <v>-4.778</v>
      </c>
      <c r="BS3" s="235">
        <f t="shared" si="5"/>
        <v>-1.8045</v>
      </c>
      <c r="BT3" s="235">
        <f t="shared" si="5"/>
        <v>-3.1355</v>
      </c>
      <c r="BU3" s="235">
        <f t="shared" si="5"/>
        <v>-0.532</v>
      </c>
      <c r="BV3" s="235">
        <f t="shared" si="5"/>
        <v>0.5815</v>
      </c>
      <c r="BW3" s="235">
        <f t="shared" si="5"/>
        <v>-0.0745</v>
      </c>
      <c r="BX3" s="235">
        <f t="shared" si="5"/>
        <v>1.555</v>
      </c>
      <c r="BY3" s="235">
        <f t="shared" si="5"/>
        <v>3.7885</v>
      </c>
      <c r="BZ3" s="235">
        <f t="shared" si="5"/>
        <v>4.334</v>
      </c>
      <c r="CA3" s="235">
        <f t="shared" si="5"/>
        <v>1.204</v>
      </c>
      <c r="CB3" s="235">
        <f t="shared" si="5"/>
        <v>-4.729</v>
      </c>
      <c r="CC3" s="235">
        <f t="shared" si="5"/>
        <v>-8.059</v>
      </c>
      <c r="CD3" s="235">
        <f t="shared" si="5"/>
        <v>1.6905</v>
      </c>
      <c r="CE3" s="235">
        <f t="shared" si="5"/>
        <v>-6.0185</v>
      </c>
      <c r="CF3" s="235">
        <f t="shared" si="5"/>
        <v>20.016</v>
      </c>
      <c r="CG3" s="235">
        <f t="shared" si="5"/>
        <v>2.7825</v>
      </c>
      <c r="CH3" s="235"/>
      <c r="CI3" s="235"/>
    </row>
    <row r="4">
      <c r="A4" s="234" t="s">
        <v>432</v>
      </c>
      <c r="B4" s="235">
        <f t="shared" ref="B4:Q4" si="6">STDEV(B5:B24)</f>
        <v>11.24865114</v>
      </c>
      <c r="C4" s="235">
        <f t="shared" si="6"/>
        <v>14.90392893</v>
      </c>
      <c r="D4" s="235">
        <f t="shared" si="6"/>
        <v>14.15806093</v>
      </c>
      <c r="E4" s="235">
        <f t="shared" si="6"/>
        <v>4.244615165</v>
      </c>
      <c r="F4" s="235">
        <f t="shared" si="6"/>
        <v>13.171811</v>
      </c>
      <c r="G4" s="235">
        <f t="shared" si="6"/>
        <v>9.603319752</v>
      </c>
      <c r="H4" s="235">
        <f t="shared" si="6"/>
        <v>12.91828891</v>
      </c>
      <c r="I4" s="235">
        <f t="shared" si="6"/>
        <v>19.77128729</v>
      </c>
      <c r="J4" s="235">
        <f t="shared" si="6"/>
        <v>7.005575674</v>
      </c>
      <c r="K4" s="235">
        <f t="shared" si="6"/>
        <v>16.41624019</v>
      </c>
      <c r="L4" s="235">
        <f t="shared" si="6"/>
        <v>14.68100728</v>
      </c>
      <c r="M4" s="235">
        <f t="shared" si="6"/>
        <v>10.60836785</v>
      </c>
      <c r="N4" s="235">
        <f t="shared" si="6"/>
        <v>9.093052872</v>
      </c>
      <c r="O4" s="235">
        <f t="shared" si="6"/>
        <v>19.51728535</v>
      </c>
      <c r="P4" s="235">
        <f t="shared" si="6"/>
        <v>11.53703871</v>
      </c>
      <c r="Q4" s="235">
        <f t="shared" si="6"/>
        <v>17.44795551</v>
      </c>
      <c r="R4" s="235"/>
      <c r="S4" s="235">
        <f t="shared" ref="S4:AH4" si="7">STDEV(S5:S24)</f>
        <v>12.16595872</v>
      </c>
      <c r="T4" s="235">
        <f t="shared" si="7"/>
        <v>5.76882949</v>
      </c>
      <c r="U4" s="235">
        <f t="shared" si="7"/>
        <v>10.61155937</v>
      </c>
      <c r="V4" s="235">
        <f t="shared" si="7"/>
        <v>9.7094019</v>
      </c>
      <c r="W4" s="235">
        <f t="shared" si="7"/>
        <v>10.47576858</v>
      </c>
      <c r="X4" s="235">
        <f t="shared" si="7"/>
        <v>8.30784721</v>
      </c>
      <c r="Y4" s="235">
        <f t="shared" si="7"/>
        <v>11.58869849</v>
      </c>
      <c r="Z4" s="235">
        <f t="shared" si="7"/>
        <v>10.91598947</v>
      </c>
      <c r="AA4" s="235">
        <f t="shared" si="7"/>
        <v>14.06734452</v>
      </c>
      <c r="AB4" s="235">
        <f t="shared" si="7"/>
        <v>12.49473383</v>
      </c>
      <c r="AC4" s="235">
        <f t="shared" si="7"/>
        <v>8.328032734</v>
      </c>
      <c r="AD4" s="235">
        <f t="shared" si="7"/>
        <v>13.2394051</v>
      </c>
      <c r="AE4" s="235">
        <f t="shared" si="7"/>
        <v>5.389534596</v>
      </c>
      <c r="AF4" s="235">
        <f t="shared" si="7"/>
        <v>11.44017758</v>
      </c>
      <c r="AG4" s="235">
        <f t="shared" si="7"/>
        <v>10.72535534</v>
      </c>
      <c r="AH4" s="235">
        <f t="shared" si="7"/>
        <v>11.60475559</v>
      </c>
      <c r="AJ4" s="235">
        <f t="shared" ref="AJ4:AY4" si="8">STDEV(AJ5:AJ24)</f>
        <v>20.00643078</v>
      </c>
      <c r="AK4" s="235">
        <f t="shared" si="8"/>
        <v>14.752809</v>
      </c>
      <c r="AL4" s="235">
        <f t="shared" si="8"/>
        <v>19.59506971</v>
      </c>
      <c r="AM4" s="235">
        <f t="shared" si="8"/>
        <v>15.96013336</v>
      </c>
      <c r="AN4" s="235">
        <f t="shared" si="8"/>
        <v>20.42408601</v>
      </c>
      <c r="AO4" s="235">
        <f t="shared" si="8"/>
        <v>11.58277919</v>
      </c>
      <c r="AP4" s="235">
        <f t="shared" si="8"/>
        <v>16.54100452</v>
      </c>
      <c r="AQ4" s="235">
        <f t="shared" si="8"/>
        <v>18.65730603</v>
      </c>
      <c r="AR4" s="235">
        <f t="shared" si="8"/>
        <v>18.35986678</v>
      </c>
      <c r="AS4" s="235">
        <f t="shared" si="8"/>
        <v>19.01378749</v>
      </c>
      <c r="AT4" s="235">
        <f t="shared" si="8"/>
        <v>20.1797727</v>
      </c>
      <c r="AU4" s="235">
        <f t="shared" si="8"/>
        <v>19.84381396</v>
      </c>
      <c r="AV4" s="235">
        <f t="shared" si="8"/>
        <v>12.78425281</v>
      </c>
      <c r="AW4" s="235">
        <f t="shared" si="8"/>
        <v>17.26944018</v>
      </c>
      <c r="AX4" s="235">
        <f t="shared" si="8"/>
        <v>19.01144621</v>
      </c>
      <c r="AY4" s="235">
        <f t="shared" si="8"/>
        <v>19.76694354</v>
      </c>
      <c r="AZ4" s="235"/>
      <c r="BA4" s="235">
        <f t="shared" ref="BA4:BP4" si="9">STDEV(BA5:BA24)</f>
        <v>16.05554487</v>
      </c>
      <c r="BB4" s="235">
        <f t="shared" si="9"/>
        <v>10.38132964</v>
      </c>
      <c r="BC4" s="235">
        <f t="shared" si="9"/>
        <v>9.056197921</v>
      </c>
      <c r="BD4" s="235">
        <f t="shared" si="9"/>
        <v>9.484603812</v>
      </c>
      <c r="BE4" s="235">
        <f t="shared" si="9"/>
        <v>12.37173196</v>
      </c>
      <c r="BF4" s="235">
        <f t="shared" si="9"/>
        <v>4.58076904</v>
      </c>
      <c r="BG4" s="235">
        <f t="shared" si="9"/>
        <v>7.544278051</v>
      </c>
      <c r="BH4" s="235">
        <f t="shared" si="9"/>
        <v>13.80792236</v>
      </c>
      <c r="BI4" s="235">
        <f t="shared" si="9"/>
        <v>8.078848863</v>
      </c>
      <c r="BJ4" s="235">
        <f t="shared" si="9"/>
        <v>11.83131504</v>
      </c>
      <c r="BK4" s="235">
        <f t="shared" si="9"/>
        <v>18.10876586</v>
      </c>
      <c r="BL4" s="235">
        <f t="shared" si="9"/>
        <v>7.777545462</v>
      </c>
      <c r="BM4" s="235">
        <f t="shared" si="9"/>
        <v>10.12215397</v>
      </c>
      <c r="BN4" s="235">
        <f t="shared" si="9"/>
        <v>21.77640913</v>
      </c>
      <c r="BO4" s="235">
        <f t="shared" si="9"/>
        <v>3.8566544</v>
      </c>
      <c r="BP4" s="235">
        <f t="shared" si="9"/>
        <v>7.438211868</v>
      </c>
      <c r="BQ4" s="235"/>
      <c r="BR4" s="235">
        <f t="shared" ref="BR4:CG4" si="10">STDEV(BR5:BR24)</f>
        <v>20.60835487</v>
      </c>
      <c r="BS4" s="235">
        <f t="shared" si="10"/>
        <v>18.76144913</v>
      </c>
      <c r="BT4" s="235">
        <f t="shared" si="10"/>
        <v>21.21806987</v>
      </c>
      <c r="BU4" s="235">
        <f t="shared" si="10"/>
        <v>18.29579002</v>
      </c>
      <c r="BV4" s="235">
        <f t="shared" si="10"/>
        <v>19.77379586</v>
      </c>
      <c r="BW4" s="235">
        <f t="shared" si="10"/>
        <v>17.49121237</v>
      </c>
      <c r="BX4" s="235">
        <f t="shared" si="10"/>
        <v>22.33867958</v>
      </c>
      <c r="BY4" s="235">
        <f t="shared" si="10"/>
        <v>29.5411054</v>
      </c>
      <c r="BZ4" s="235">
        <f t="shared" si="10"/>
        <v>17.41722723</v>
      </c>
      <c r="CA4" s="235">
        <f t="shared" si="10"/>
        <v>22.60224591</v>
      </c>
      <c r="CB4" s="235">
        <f t="shared" si="10"/>
        <v>26.77032271</v>
      </c>
      <c r="CC4" s="235">
        <f t="shared" si="10"/>
        <v>18.67476003</v>
      </c>
      <c r="CD4" s="235">
        <f t="shared" si="10"/>
        <v>10.25258503</v>
      </c>
      <c r="CE4" s="235">
        <f t="shared" si="10"/>
        <v>25.51063313</v>
      </c>
      <c r="CF4" s="235">
        <f t="shared" si="10"/>
        <v>22.19362531</v>
      </c>
      <c r="CG4" s="235">
        <f t="shared" si="10"/>
        <v>23.58607191</v>
      </c>
      <c r="CH4" s="235"/>
      <c r="CI4" s="235"/>
    </row>
    <row r="5">
      <c r="A5" s="13"/>
      <c r="B5" s="20">
        <v>16.15</v>
      </c>
      <c r="C5" s="20">
        <v>-8.78</v>
      </c>
      <c r="D5" s="20">
        <v>13.78</v>
      </c>
      <c r="E5" s="20">
        <v>16.15</v>
      </c>
      <c r="F5" s="20">
        <v>21.13</v>
      </c>
      <c r="G5" s="20">
        <v>21.13</v>
      </c>
      <c r="H5" s="20">
        <v>15.63</v>
      </c>
      <c r="I5" s="20">
        <v>-8.78</v>
      </c>
      <c r="J5" s="20">
        <v>16.15</v>
      </c>
      <c r="K5" s="20">
        <v>-5.43</v>
      </c>
      <c r="L5" s="20">
        <v>-8.78</v>
      </c>
      <c r="M5" s="20">
        <v>33.38</v>
      </c>
      <c r="N5" s="20">
        <v>18.63</v>
      </c>
      <c r="O5" s="20">
        <v>3.17</v>
      </c>
      <c r="P5" s="20">
        <v>-16.31</v>
      </c>
      <c r="Q5" s="20">
        <v>9.83</v>
      </c>
      <c r="R5" s="20"/>
      <c r="S5" s="20">
        <v>-11.15</v>
      </c>
      <c r="T5" s="20">
        <v>-11.15</v>
      </c>
      <c r="U5" s="20">
        <v>16.02</v>
      </c>
      <c r="V5" s="20">
        <v>-18.26</v>
      </c>
      <c r="W5" s="20">
        <v>5.22</v>
      </c>
      <c r="X5" s="20">
        <v>-0.93</v>
      </c>
      <c r="Y5" s="20">
        <v>0.43</v>
      </c>
      <c r="Z5" s="20">
        <v>0.19</v>
      </c>
      <c r="AA5" s="20">
        <v>-11.15</v>
      </c>
      <c r="AB5" s="20">
        <v>18.29</v>
      </c>
      <c r="AC5" s="20">
        <v>0.19</v>
      </c>
      <c r="AD5" s="20">
        <v>0.19</v>
      </c>
      <c r="AE5" s="20">
        <v>10.31</v>
      </c>
      <c r="AF5" s="20">
        <v>-14.06</v>
      </c>
      <c r="AG5" s="20">
        <v>-6.63</v>
      </c>
      <c r="AH5" s="20">
        <v>16.02</v>
      </c>
      <c r="AJ5" s="20">
        <v>-24.95</v>
      </c>
      <c r="AK5" s="20">
        <v>8.19</v>
      </c>
      <c r="AL5" s="21">
        <v>-3.43</v>
      </c>
      <c r="AM5" s="21">
        <v>8.19</v>
      </c>
      <c r="AN5" s="20">
        <v>-18.04</v>
      </c>
      <c r="AO5" s="13">
        <v>-10.61</v>
      </c>
      <c r="AP5" s="13">
        <v>19.89</v>
      </c>
      <c r="AQ5" s="13">
        <v>-24.95</v>
      </c>
      <c r="AR5" s="13">
        <v>17.71</v>
      </c>
      <c r="AS5" s="13">
        <v>8.19</v>
      </c>
      <c r="AT5" s="13">
        <v>-30.71</v>
      </c>
      <c r="AU5" s="13">
        <v>0.68</v>
      </c>
      <c r="AV5" s="13">
        <v>18.96</v>
      </c>
      <c r="AW5" s="13">
        <v>-47.08</v>
      </c>
      <c r="AX5" s="13">
        <v>32.84</v>
      </c>
      <c r="AY5" s="13">
        <v>-3.43</v>
      </c>
      <c r="AZ5" s="13"/>
      <c r="BA5" s="13">
        <v>0.23</v>
      </c>
      <c r="BB5" s="13">
        <v>-33.82</v>
      </c>
      <c r="BC5" s="13">
        <v>-10.27</v>
      </c>
      <c r="BD5" s="13">
        <v>-13.15</v>
      </c>
      <c r="BE5" s="13">
        <v>-13.15</v>
      </c>
      <c r="BF5" s="13">
        <v>-20.81</v>
      </c>
      <c r="BG5" s="13">
        <v>-13.15</v>
      </c>
      <c r="BH5" s="13">
        <v>-23.35</v>
      </c>
      <c r="BI5" s="13">
        <v>-31.32</v>
      </c>
      <c r="BJ5" s="13">
        <v>-13.15</v>
      </c>
      <c r="BK5" s="13">
        <v>-6.88</v>
      </c>
      <c r="BL5" s="13">
        <v>-31.32</v>
      </c>
      <c r="BM5" s="13">
        <v>-28.36</v>
      </c>
      <c r="BN5" s="13">
        <v>-1.65</v>
      </c>
      <c r="BO5" s="13">
        <v>-34.41</v>
      </c>
      <c r="BP5" s="13">
        <v>-10.27</v>
      </c>
      <c r="BQ5" s="13"/>
      <c r="BR5" s="13">
        <v>-26.23</v>
      </c>
      <c r="BS5" s="13">
        <v>49.32</v>
      </c>
      <c r="BT5" s="13">
        <v>-26.23</v>
      </c>
      <c r="BU5" s="13">
        <v>49.32</v>
      </c>
      <c r="BV5" s="13">
        <v>-5.47</v>
      </c>
      <c r="BW5" s="13">
        <v>-9.77</v>
      </c>
      <c r="BX5" s="13">
        <v>-10.62</v>
      </c>
      <c r="BY5" s="13">
        <v>-26.23</v>
      </c>
      <c r="BZ5" s="13">
        <v>-0.74</v>
      </c>
      <c r="CA5" s="13">
        <v>11.16</v>
      </c>
      <c r="CB5" s="13">
        <v>-26.23</v>
      </c>
      <c r="CC5" s="13">
        <v>-11.94</v>
      </c>
      <c r="CD5" s="13">
        <v>-8.15</v>
      </c>
      <c r="CE5" s="13">
        <v>89.78</v>
      </c>
      <c r="CF5" s="13">
        <v>59.57</v>
      </c>
      <c r="CG5" s="13">
        <v>-26.23</v>
      </c>
      <c r="CH5" s="13"/>
      <c r="CI5" s="13"/>
    </row>
    <row r="6">
      <c r="A6" s="66"/>
      <c r="B6" s="20">
        <v>16.33</v>
      </c>
      <c r="C6" s="20">
        <v>16.15</v>
      </c>
      <c r="D6" s="20">
        <v>23.66</v>
      </c>
      <c r="E6" s="20">
        <v>16.33</v>
      </c>
      <c r="F6" s="20">
        <v>-27.16</v>
      </c>
      <c r="G6" s="20">
        <v>13.85</v>
      </c>
      <c r="H6" s="20">
        <v>10.45</v>
      </c>
      <c r="I6" s="20">
        <v>35.03</v>
      </c>
      <c r="J6" s="20">
        <v>13.2</v>
      </c>
      <c r="K6" s="20">
        <v>23.66</v>
      </c>
      <c r="L6" s="20">
        <v>35.03</v>
      </c>
      <c r="M6" s="20">
        <v>16.15</v>
      </c>
      <c r="N6" s="20">
        <v>13.66</v>
      </c>
      <c r="O6" s="20">
        <v>24.2</v>
      </c>
      <c r="P6" s="20">
        <v>21.07</v>
      </c>
      <c r="Q6" s="20">
        <v>46.89</v>
      </c>
      <c r="R6" s="20"/>
      <c r="S6" s="20">
        <v>0.19</v>
      </c>
      <c r="T6" s="20">
        <v>-7.32</v>
      </c>
      <c r="U6" s="20">
        <v>-8.95</v>
      </c>
      <c r="V6" s="20">
        <v>-11.16</v>
      </c>
      <c r="W6" s="20">
        <v>4.95</v>
      </c>
      <c r="X6" s="20">
        <v>-2.63</v>
      </c>
      <c r="Y6" s="20">
        <v>16.02</v>
      </c>
      <c r="Z6" s="20">
        <v>-11.15</v>
      </c>
      <c r="AA6" s="20">
        <v>17.37</v>
      </c>
      <c r="AB6" s="20">
        <v>-9.54</v>
      </c>
      <c r="AC6" s="20">
        <v>-7.32</v>
      </c>
      <c r="AD6" s="20">
        <v>-12.61</v>
      </c>
      <c r="AE6" s="20">
        <v>-1.19</v>
      </c>
      <c r="AF6" s="20">
        <v>-27.1</v>
      </c>
      <c r="AG6" s="20">
        <v>-8.95</v>
      </c>
      <c r="AH6" s="20">
        <v>-25.61</v>
      </c>
      <c r="AJ6" s="20">
        <v>-4.03</v>
      </c>
      <c r="AK6" s="20">
        <v>-4.03</v>
      </c>
      <c r="AL6" s="21">
        <v>-3.9</v>
      </c>
      <c r="AM6" s="21">
        <v>15.74</v>
      </c>
      <c r="AN6" s="20">
        <v>-4.15</v>
      </c>
      <c r="AO6" s="13">
        <v>-5.21</v>
      </c>
      <c r="AP6" s="13">
        <v>8.19</v>
      </c>
      <c r="AQ6" s="13">
        <v>8.19</v>
      </c>
      <c r="AR6" s="13">
        <v>32.84</v>
      </c>
      <c r="AS6" s="13">
        <v>-3.43</v>
      </c>
      <c r="AT6" s="13">
        <v>-55.24</v>
      </c>
      <c r="AU6" s="13">
        <v>-24.95</v>
      </c>
      <c r="AV6" s="13">
        <v>15.58</v>
      </c>
      <c r="AW6" s="13">
        <v>-24.95</v>
      </c>
      <c r="AX6" s="13">
        <v>55.03</v>
      </c>
      <c r="AY6" s="13">
        <v>-3.9</v>
      </c>
      <c r="AZ6" s="13"/>
      <c r="BA6" s="13">
        <v>-33.82</v>
      </c>
      <c r="BB6" s="13">
        <v>0.23</v>
      </c>
      <c r="BC6" s="13">
        <v>-15.96</v>
      </c>
      <c r="BD6" s="13">
        <v>-25.1</v>
      </c>
      <c r="BE6" s="13">
        <v>-9.76</v>
      </c>
      <c r="BF6" s="13">
        <v>-10.27</v>
      </c>
      <c r="BG6" s="13">
        <v>-20.69</v>
      </c>
      <c r="BH6" s="13">
        <v>-33.82</v>
      </c>
      <c r="BI6" s="13">
        <v>-20.47</v>
      </c>
      <c r="BJ6" s="13">
        <v>-8.05</v>
      </c>
      <c r="BK6" s="13">
        <v>-23.35</v>
      </c>
      <c r="BL6" s="13">
        <v>-30.7</v>
      </c>
      <c r="BM6" s="13">
        <v>9.82</v>
      </c>
      <c r="BN6" s="13">
        <v>-4.73</v>
      </c>
      <c r="BO6" s="13">
        <v>-32.59</v>
      </c>
      <c r="BP6" s="13">
        <v>-20.04</v>
      </c>
      <c r="BQ6" s="13"/>
      <c r="BR6" s="13">
        <v>-11.3</v>
      </c>
      <c r="BS6" s="13">
        <v>-11.3</v>
      </c>
      <c r="BT6" s="13">
        <v>-27.55</v>
      </c>
      <c r="BU6" s="13">
        <v>-11.3</v>
      </c>
      <c r="BV6" s="13">
        <v>-19.06</v>
      </c>
      <c r="BW6" s="13">
        <v>-19.22</v>
      </c>
      <c r="BX6" s="13">
        <v>11.16</v>
      </c>
      <c r="BY6" s="13">
        <v>23.16</v>
      </c>
      <c r="BZ6" s="13">
        <v>-13.43</v>
      </c>
      <c r="CA6" s="13">
        <v>-19.22</v>
      </c>
      <c r="CB6" s="13">
        <v>-22.63</v>
      </c>
      <c r="CC6" s="20">
        <v>-13.43</v>
      </c>
      <c r="CD6" s="13">
        <v>4.34</v>
      </c>
      <c r="CE6" s="13">
        <v>-20.94</v>
      </c>
      <c r="CF6" s="13">
        <v>79.24</v>
      </c>
      <c r="CG6" s="13">
        <v>-5.37</v>
      </c>
      <c r="CH6" s="13"/>
      <c r="CI6" s="13"/>
    </row>
    <row r="7">
      <c r="A7" s="66"/>
      <c r="B7" s="20">
        <v>8.06</v>
      </c>
      <c r="C7" s="20">
        <v>-5.43</v>
      </c>
      <c r="D7" s="20">
        <v>31.17</v>
      </c>
      <c r="E7" s="20">
        <v>14.26</v>
      </c>
      <c r="F7" s="20">
        <v>14.2</v>
      </c>
      <c r="G7" s="20">
        <v>13.09</v>
      </c>
      <c r="H7" s="20">
        <v>24.79</v>
      </c>
      <c r="I7" s="20">
        <v>-23.7</v>
      </c>
      <c r="J7" s="20">
        <v>11.03</v>
      </c>
      <c r="K7" s="20">
        <v>-27.16</v>
      </c>
      <c r="L7" s="20">
        <v>13.2</v>
      </c>
      <c r="M7" s="20">
        <v>8.06</v>
      </c>
      <c r="N7" s="20">
        <v>14.23</v>
      </c>
      <c r="O7" s="20">
        <v>5.56</v>
      </c>
      <c r="P7" s="20">
        <v>12.64</v>
      </c>
      <c r="Q7" s="20">
        <v>55.61</v>
      </c>
      <c r="R7" s="20"/>
      <c r="S7" s="20">
        <v>-15.29</v>
      </c>
      <c r="T7" s="20">
        <v>-18.26</v>
      </c>
      <c r="U7" s="20">
        <v>-25.61</v>
      </c>
      <c r="V7" s="20">
        <v>-8.1</v>
      </c>
      <c r="W7" s="20">
        <v>5.08</v>
      </c>
      <c r="X7" s="20">
        <v>-1.34</v>
      </c>
      <c r="Y7" s="20">
        <v>-25.9</v>
      </c>
      <c r="Z7" s="20">
        <v>-7.32</v>
      </c>
      <c r="AA7" s="20">
        <v>-17.4</v>
      </c>
      <c r="AB7" s="20">
        <v>-15.29</v>
      </c>
      <c r="AC7" s="20">
        <v>-11.15</v>
      </c>
      <c r="AD7" s="20">
        <v>-11.15</v>
      </c>
      <c r="AE7" s="20">
        <v>-0.79</v>
      </c>
      <c r="AF7" s="20">
        <v>-31.57</v>
      </c>
      <c r="AG7" s="20">
        <v>27.55</v>
      </c>
      <c r="AH7" s="20">
        <v>-16.1</v>
      </c>
      <c r="AJ7" s="20">
        <v>8.19</v>
      </c>
      <c r="AK7" s="20">
        <v>5.33</v>
      </c>
      <c r="AL7" s="21">
        <v>19.02</v>
      </c>
      <c r="AM7" s="21">
        <v>-4.03</v>
      </c>
      <c r="AN7" s="20">
        <v>27.73</v>
      </c>
      <c r="AO7" s="13">
        <v>-9.24</v>
      </c>
      <c r="AP7" s="13">
        <v>4.81</v>
      </c>
      <c r="AQ7" s="13">
        <v>-30.71</v>
      </c>
      <c r="AR7" s="13">
        <v>15.74</v>
      </c>
      <c r="AS7" s="13">
        <v>-23.17</v>
      </c>
      <c r="AT7" s="13">
        <v>-24.95</v>
      </c>
      <c r="AU7" s="13">
        <v>-4.03</v>
      </c>
      <c r="AV7" s="13">
        <v>5.19</v>
      </c>
      <c r="AW7" s="13">
        <v>-42.89</v>
      </c>
      <c r="AX7" s="13">
        <v>-26.14</v>
      </c>
      <c r="AY7" s="13">
        <v>-7.27</v>
      </c>
      <c r="AZ7" s="13"/>
      <c r="BA7" s="13">
        <v>-13.15</v>
      </c>
      <c r="BB7" s="13">
        <v>-28.85</v>
      </c>
      <c r="BC7" s="13">
        <v>-22.51</v>
      </c>
      <c r="BD7" s="13">
        <v>-27.91</v>
      </c>
      <c r="BE7" s="13">
        <v>-31.32</v>
      </c>
      <c r="BF7" s="13">
        <v>-9.35</v>
      </c>
      <c r="BG7" s="13">
        <v>2.7</v>
      </c>
      <c r="BH7" s="13">
        <v>0.23</v>
      </c>
      <c r="BI7" s="13">
        <v>-20.42</v>
      </c>
      <c r="BJ7" s="13">
        <v>2.7</v>
      </c>
      <c r="BK7" s="13">
        <v>0.23</v>
      </c>
      <c r="BL7" s="13">
        <v>-9.79</v>
      </c>
      <c r="BM7" s="13">
        <v>-31.41</v>
      </c>
      <c r="BN7" s="13">
        <v>60.49</v>
      </c>
      <c r="BO7" s="13">
        <v>-34.62</v>
      </c>
      <c r="BP7" s="13">
        <v>-15.96</v>
      </c>
      <c r="BQ7" s="13"/>
      <c r="BR7" s="13">
        <v>-11.68</v>
      </c>
      <c r="BS7" s="13">
        <v>-26.23</v>
      </c>
      <c r="BT7" s="13">
        <v>-25.7</v>
      </c>
      <c r="BU7" s="13">
        <v>-26.23</v>
      </c>
      <c r="BV7" s="13">
        <v>-29.25</v>
      </c>
      <c r="BW7" s="13">
        <v>5.46</v>
      </c>
      <c r="BX7" s="13">
        <v>49.32</v>
      </c>
      <c r="BY7" s="13">
        <v>14.63</v>
      </c>
      <c r="BZ7" s="13">
        <v>8.05</v>
      </c>
      <c r="CA7" s="13">
        <v>-21.01</v>
      </c>
      <c r="CB7" s="13">
        <v>-36.27</v>
      </c>
      <c r="CC7" s="13">
        <v>-19.83</v>
      </c>
      <c r="CD7" s="13">
        <v>-18.58</v>
      </c>
      <c r="CE7" s="13">
        <v>-2.38</v>
      </c>
      <c r="CF7" s="13">
        <v>40.44</v>
      </c>
      <c r="CG7" s="13">
        <v>-2.38</v>
      </c>
      <c r="CH7" s="13"/>
      <c r="CI7" s="13"/>
    </row>
    <row r="8">
      <c r="A8" s="66"/>
      <c r="B8" s="20">
        <v>15.76</v>
      </c>
      <c r="C8" s="20">
        <v>3.29</v>
      </c>
      <c r="D8" s="20">
        <v>24.84</v>
      </c>
      <c r="E8" s="20">
        <v>13.53</v>
      </c>
      <c r="F8" s="20">
        <v>13.85</v>
      </c>
      <c r="G8" s="20">
        <v>2.28</v>
      </c>
      <c r="H8" s="20">
        <v>-5.43</v>
      </c>
      <c r="I8" s="20">
        <v>12.96</v>
      </c>
      <c r="J8" s="20">
        <v>18.21</v>
      </c>
      <c r="K8" s="20">
        <v>15.63</v>
      </c>
      <c r="L8" s="20">
        <v>39.55</v>
      </c>
      <c r="M8" s="20">
        <v>13.82</v>
      </c>
      <c r="N8" s="20">
        <v>5.57</v>
      </c>
      <c r="O8" s="20">
        <v>9.03</v>
      </c>
      <c r="P8" s="20">
        <v>6.87</v>
      </c>
      <c r="Q8" s="20">
        <v>0.2</v>
      </c>
      <c r="R8" s="20"/>
      <c r="S8" s="20">
        <v>-7.16</v>
      </c>
      <c r="T8" s="20">
        <v>0.19</v>
      </c>
      <c r="U8" s="20">
        <v>-6.88</v>
      </c>
      <c r="V8" s="20">
        <v>-1.65</v>
      </c>
      <c r="W8" s="20">
        <v>18.14</v>
      </c>
      <c r="X8" s="20">
        <v>-25.23</v>
      </c>
      <c r="Y8" s="20">
        <v>-11.51</v>
      </c>
      <c r="Z8" s="20">
        <v>-13.79</v>
      </c>
      <c r="AA8" s="20">
        <v>-5.28</v>
      </c>
      <c r="AB8" s="20">
        <v>-25.9</v>
      </c>
      <c r="AC8" s="20">
        <v>-11.18</v>
      </c>
      <c r="AD8" s="20">
        <v>-39.04</v>
      </c>
      <c r="AE8" s="20">
        <v>-0.31</v>
      </c>
      <c r="AF8" s="20">
        <v>-4.02</v>
      </c>
      <c r="AG8" s="20">
        <v>4.84</v>
      </c>
      <c r="AH8" s="20">
        <v>-2.75</v>
      </c>
      <c r="AJ8" s="20">
        <v>-29.97</v>
      </c>
      <c r="AK8" s="20">
        <v>-24.95</v>
      </c>
      <c r="AL8" s="21">
        <v>-26.58</v>
      </c>
      <c r="AM8" s="21">
        <v>5.33</v>
      </c>
      <c r="AN8" s="20">
        <v>-21.72</v>
      </c>
      <c r="AO8" s="13">
        <v>-3.58</v>
      </c>
      <c r="AP8" s="13">
        <v>4.26</v>
      </c>
      <c r="AQ8" s="13">
        <v>-55.24</v>
      </c>
      <c r="AR8" s="13">
        <v>-4.03</v>
      </c>
      <c r="AS8" s="13">
        <v>5.27</v>
      </c>
      <c r="AT8" s="13">
        <v>-32.32</v>
      </c>
      <c r="AU8" s="13">
        <v>-13.64</v>
      </c>
      <c r="AV8" s="13">
        <v>-26.58</v>
      </c>
      <c r="AW8" s="13">
        <v>-17.01</v>
      </c>
      <c r="AX8" s="13">
        <v>-0.23</v>
      </c>
      <c r="AY8" s="13">
        <v>-3.51</v>
      </c>
      <c r="AZ8" s="13"/>
      <c r="BA8" s="13">
        <v>-8.05</v>
      </c>
      <c r="BB8" s="13">
        <v>-8.05</v>
      </c>
      <c r="BC8" s="13">
        <v>-15.96</v>
      </c>
      <c r="BD8" s="13">
        <v>0.23</v>
      </c>
      <c r="BE8" s="13">
        <v>-6.77</v>
      </c>
      <c r="BF8" s="13">
        <v>-9.76</v>
      </c>
      <c r="BG8" s="13">
        <v>-9.76</v>
      </c>
      <c r="BH8" s="13">
        <v>-6.88</v>
      </c>
      <c r="BI8" s="13">
        <v>-20.14</v>
      </c>
      <c r="BJ8" s="13">
        <v>-38.8</v>
      </c>
      <c r="BK8" s="13">
        <v>-28.57</v>
      </c>
      <c r="BL8" s="13">
        <v>-24.12</v>
      </c>
      <c r="BM8" s="13">
        <v>-30.47</v>
      </c>
      <c r="BN8" s="13">
        <v>-17.95</v>
      </c>
      <c r="BO8" s="13">
        <v>-32.18</v>
      </c>
      <c r="BP8" s="13">
        <v>-22.51</v>
      </c>
      <c r="BQ8" s="13"/>
      <c r="BR8" s="13">
        <v>-13.43</v>
      </c>
      <c r="BS8" s="13">
        <v>14.63</v>
      </c>
      <c r="BT8" s="13">
        <v>-2.38</v>
      </c>
      <c r="BU8" s="13">
        <v>-30.84</v>
      </c>
      <c r="BV8" s="13">
        <v>15.97</v>
      </c>
      <c r="BW8" s="13">
        <v>6.3</v>
      </c>
      <c r="BX8" s="13">
        <v>-11.32</v>
      </c>
      <c r="BY8" s="13">
        <v>3.35</v>
      </c>
      <c r="BZ8" s="13">
        <v>-14.54</v>
      </c>
      <c r="CA8" s="13">
        <v>-11.98</v>
      </c>
      <c r="CB8" s="13">
        <v>-9.35</v>
      </c>
      <c r="CC8" s="13">
        <v>42.21</v>
      </c>
      <c r="CD8" s="13">
        <v>4.27</v>
      </c>
      <c r="CE8" s="13">
        <v>10.75</v>
      </c>
      <c r="CF8" s="13">
        <v>-1.87</v>
      </c>
      <c r="CG8" s="13">
        <v>-25.7</v>
      </c>
      <c r="CH8" s="13"/>
      <c r="CI8" s="13"/>
    </row>
    <row r="9">
      <c r="A9" s="66"/>
      <c r="B9" s="20">
        <v>13.82</v>
      </c>
      <c r="C9" s="20">
        <v>13.09</v>
      </c>
      <c r="D9" s="20">
        <v>46.89</v>
      </c>
      <c r="E9" s="20">
        <v>8.06</v>
      </c>
      <c r="F9" s="20">
        <v>13.97</v>
      </c>
      <c r="G9" s="20">
        <v>4.42</v>
      </c>
      <c r="H9" s="20">
        <v>11.06</v>
      </c>
      <c r="I9" s="20">
        <v>0.64</v>
      </c>
      <c r="J9" s="20">
        <v>26.5</v>
      </c>
      <c r="K9" s="20">
        <v>2.38</v>
      </c>
      <c r="L9" s="20">
        <v>31.17</v>
      </c>
      <c r="M9" s="20">
        <v>15.76</v>
      </c>
      <c r="N9" s="20">
        <v>20.34</v>
      </c>
      <c r="O9" s="20">
        <v>2.15</v>
      </c>
      <c r="P9" s="20">
        <v>4.57</v>
      </c>
      <c r="Q9" s="20">
        <v>28.18</v>
      </c>
      <c r="R9" s="20"/>
      <c r="S9" s="20">
        <v>-15.3</v>
      </c>
      <c r="T9" s="20">
        <v>-15.33</v>
      </c>
      <c r="U9" s="20">
        <v>-11.87</v>
      </c>
      <c r="V9" s="20">
        <v>-10.19</v>
      </c>
      <c r="W9" s="20">
        <v>-7.54</v>
      </c>
      <c r="X9" s="20">
        <v>-2.04</v>
      </c>
      <c r="Y9" s="20">
        <v>2.62</v>
      </c>
      <c r="Z9" s="20">
        <v>-15.33</v>
      </c>
      <c r="AA9" s="20">
        <v>-16.18</v>
      </c>
      <c r="AB9" s="20">
        <v>16.02</v>
      </c>
      <c r="AC9" s="20">
        <v>-13.79</v>
      </c>
      <c r="AD9" s="20">
        <v>-13.66</v>
      </c>
      <c r="AE9" s="20">
        <v>0.42</v>
      </c>
      <c r="AF9" s="20">
        <v>-15.33</v>
      </c>
      <c r="AG9" s="20">
        <v>5.22</v>
      </c>
      <c r="AH9" s="20">
        <v>1.78</v>
      </c>
      <c r="AJ9" s="20">
        <v>-30.71</v>
      </c>
      <c r="AK9" s="20">
        <v>-8.62</v>
      </c>
      <c r="AL9" s="21">
        <v>-2.32</v>
      </c>
      <c r="AM9" s="21">
        <v>-8.93</v>
      </c>
      <c r="AN9" s="20">
        <v>2.65</v>
      </c>
      <c r="AO9" s="13">
        <v>0.43</v>
      </c>
      <c r="AP9" s="13">
        <v>5.14</v>
      </c>
      <c r="AQ9" s="13">
        <v>25.91</v>
      </c>
      <c r="AR9" s="13">
        <v>-0.23</v>
      </c>
      <c r="AS9" s="13">
        <v>-0.39</v>
      </c>
      <c r="AT9" s="13">
        <v>25.91</v>
      </c>
      <c r="AU9" s="13">
        <v>14.12</v>
      </c>
      <c r="AV9" s="13">
        <v>-9.76</v>
      </c>
      <c r="AW9" s="13">
        <v>-30.71</v>
      </c>
      <c r="AX9" s="13">
        <v>14.25</v>
      </c>
      <c r="AY9" s="13">
        <v>-2.32</v>
      </c>
      <c r="AZ9" s="66"/>
      <c r="BA9" s="13">
        <v>-7.06</v>
      </c>
      <c r="BB9" s="13">
        <v>-14.42</v>
      </c>
      <c r="BC9" s="13">
        <v>-20.04</v>
      </c>
      <c r="BD9" s="13">
        <v>-33.82</v>
      </c>
      <c r="BE9" s="13">
        <v>-20.14</v>
      </c>
      <c r="BF9" s="13">
        <v>-20.14</v>
      </c>
      <c r="BG9" s="13">
        <v>-20.2</v>
      </c>
      <c r="BH9" s="13">
        <v>-28.57</v>
      </c>
      <c r="BI9" s="13">
        <v>-24.12</v>
      </c>
      <c r="BJ9" s="13">
        <v>1.74</v>
      </c>
      <c r="BK9" s="13">
        <v>-33.82</v>
      </c>
      <c r="BL9" s="13">
        <v>-20.47</v>
      </c>
      <c r="BM9" s="13">
        <v>-25.4</v>
      </c>
      <c r="BN9" s="13">
        <v>21.11</v>
      </c>
      <c r="BO9" s="13">
        <v>-33.96</v>
      </c>
      <c r="BP9" s="13">
        <v>-22.98</v>
      </c>
      <c r="BQ9" s="66"/>
      <c r="BR9" s="13">
        <v>-12.89</v>
      </c>
      <c r="BS9" s="13">
        <v>-13.43</v>
      </c>
      <c r="BT9" s="13">
        <v>-5.37</v>
      </c>
      <c r="BU9" s="13">
        <v>5.96</v>
      </c>
      <c r="BV9" s="13">
        <v>12.57</v>
      </c>
      <c r="BW9" s="13">
        <v>-19.06</v>
      </c>
      <c r="BX9" s="13">
        <v>50.8</v>
      </c>
      <c r="BY9" s="13">
        <v>89.78</v>
      </c>
      <c r="BZ9" s="13">
        <v>26.6</v>
      </c>
      <c r="CA9" s="13">
        <v>-25.7</v>
      </c>
      <c r="CB9" s="13">
        <v>-23.85</v>
      </c>
      <c r="CC9" s="13">
        <v>-12.89</v>
      </c>
      <c r="CD9" s="13">
        <v>4.43</v>
      </c>
      <c r="CE9" s="13">
        <v>-18.03</v>
      </c>
      <c r="CF9" s="13">
        <v>6.82</v>
      </c>
      <c r="CG9" s="13">
        <v>5.46</v>
      </c>
      <c r="CH9" s="66"/>
      <c r="CI9" s="66"/>
    </row>
    <row r="10">
      <c r="A10" s="66"/>
      <c r="B10" s="20">
        <v>-8.78</v>
      </c>
      <c r="C10" s="20">
        <v>35.03</v>
      </c>
      <c r="D10" s="20">
        <v>16.57</v>
      </c>
      <c r="E10" s="20">
        <v>13.89</v>
      </c>
      <c r="F10" s="20">
        <v>-16.31</v>
      </c>
      <c r="G10" s="20">
        <v>13.68</v>
      </c>
      <c r="H10" s="20">
        <v>16.15</v>
      </c>
      <c r="I10" s="20">
        <v>39.17</v>
      </c>
      <c r="J10" s="20">
        <v>15.76</v>
      </c>
      <c r="K10" s="20">
        <v>11.96</v>
      </c>
      <c r="L10" s="20">
        <v>27.56</v>
      </c>
      <c r="M10" s="20">
        <v>16.44</v>
      </c>
      <c r="N10" s="20">
        <v>18.18</v>
      </c>
      <c r="O10" s="20">
        <v>0.64</v>
      </c>
      <c r="P10" s="20">
        <v>-5.07</v>
      </c>
      <c r="Q10" s="20">
        <v>2.89</v>
      </c>
      <c r="R10" s="20"/>
      <c r="S10" s="20">
        <v>-13.66</v>
      </c>
      <c r="T10" s="20">
        <v>-17.14</v>
      </c>
      <c r="U10" s="20">
        <v>-5.03</v>
      </c>
      <c r="V10" s="20">
        <v>2.62</v>
      </c>
      <c r="W10" s="20">
        <v>4.2</v>
      </c>
      <c r="X10" s="20">
        <v>-0.4</v>
      </c>
      <c r="Y10" s="20">
        <v>18.29</v>
      </c>
      <c r="Z10" s="20">
        <v>0.37</v>
      </c>
      <c r="AA10" s="20">
        <v>1.87</v>
      </c>
      <c r="AB10" s="20">
        <v>-13.66</v>
      </c>
      <c r="AC10" s="20">
        <v>-2.0</v>
      </c>
      <c r="AD10" s="20">
        <v>17.37</v>
      </c>
      <c r="AE10" s="20">
        <v>-12.03</v>
      </c>
      <c r="AF10" s="20">
        <v>-24.82</v>
      </c>
      <c r="AG10" s="20">
        <v>19.22</v>
      </c>
      <c r="AH10" s="20">
        <v>14.42</v>
      </c>
      <c r="AJ10" s="20">
        <v>-32.32</v>
      </c>
      <c r="AK10" s="20">
        <v>-27.78</v>
      </c>
      <c r="AL10" s="21">
        <v>-8.24</v>
      </c>
      <c r="AM10" s="21">
        <v>2.67</v>
      </c>
      <c r="AN10" s="20">
        <v>14.12</v>
      </c>
      <c r="AO10" s="13">
        <v>4.89</v>
      </c>
      <c r="AP10" s="13">
        <v>-4.97</v>
      </c>
      <c r="AQ10" s="13">
        <v>-27.78</v>
      </c>
      <c r="AR10" s="13">
        <v>-3.08</v>
      </c>
      <c r="AS10" s="13">
        <v>-3.64</v>
      </c>
      <c r="AT10" s="13">
        <v>-20.89</v>
      </c>
      <c r="AU10" s="13">
        <v>-34.54</v>
      </c>
      <c r="AV10" s="13">
        <v>-12.2</v>
      </c>
      <c r="AW10" s="13">
        <v>-44.69</v>
      </c>
      <c r="AX10" s="13">
        <v>-13.25</v>
      </c>
      <c r="AY10" s="13">
        <v>-22.01</v>
      </c>
      <c r="AZ10" s="66"/>
      <c r="BA10" s="13">
        <v>-28.85</v>
      </c>
      <c r="BB10" s="13">
        <v>-14.38</v>
      </c>
      <c r="BC10" s="13">
        <v>-24.83</v>
      </c>
      <c r="BD10" s="13">
        <v>-16.67</v>
      </c>
      <c r="BE10" s="13">
        <v>-29.36</v>
      </c>
      <c r="BF10" s="13">
        <v>-12.78</v>
      </c>
      <c r="BG10" s="13">
        <v>-11.24</v>
      </c>
      <c r="BH10" s="13">
        <v>21.11</v>
      </c>
      <c r="BI10" s="13">
        <v>-9.79</v>
      </c>
      <c r="BJ10" s="13">
        <v>-20.69</v>
      </c>
      <c r="BK10" s="13">
        <v>-23.81</v>
      </c>
      <c r="BL10" s="13">
        <v>-20.14</v>
      </c>
      <c r="BM10" s="13">
        <v>-28.02</v>
      </c>
      <c r="BN10" s="13">
        <v>-33.32</v>
      </c>
      <c r="BO10" s="13">
        <v>-26.67</v>
      </c>
      <c r="BP10" s="13">
        <v>-24.83</v>
      </c>
      <c r="BQ10" s="66"/>
      <c r="BR10" s="13">
        <v>49.32</v>
      </c>
      <c r="BS10" s="13">
        <v>-12.89</v>
      </c>
      <c r="BT10" s="13">
        <v>5.46</v>
      </c>
      <c r="BU10" s="13">
        <v>-13.43</v>
      </c>
      <c r="BV10" s="13">
        <v>50.8</v>
      </c>
      <c r="BW10" s="13">
        <v>-21.01</v>
      </c>
      <c r="BX10" s="13">
        <v>-31.33</v>
      </c>
      <c r="BY10" s="13">
        <v>-10.36</v>
      </c>
      <c r="BZ10" s="13">
        <v>2.8</v>
      </c>
      <c r="CA10" s="13">
        <v>-10.62</v>
      </c>
      <c r="CB10" s="13">
        <v>23.16</v>
      </c>
      <c r="CC10" s="13">
        <v>-26.23</v>
      </c>
      <c r="CD10" s="13">
        <v>-5.0</v>
      </c>
      <c r="CE10" s="13">
        <v>-12.5</v>
      </c>
      <c r="CF10" s="13">
        <v>24.13</v>
      </c>
      <c r="CG10" s="13">
        <v>-13.37</v>
      </c>
      <c r="CH10" s="66"/>
      <c r="CI10" s="66"/>
    </row>
    <row r="11">
      <c r="A11" s="66"/>
      <c r="B11" s="20">
        <v>13.09</v>
      </c>
      <c r="C11" s="20">
        <v>-9.5</v>
      </c>
      <c r="D11" s="20">
        <v>13.09</v>
      </c>
      <c r="E11" s="20">
        <v>15.76</v>
      </c>
      <c r="F11" s="20">
        <v>-5.07</v>
      </c>
      <c r="G11" s="20">
        <v>7.29</v>
      </c>
      <c r="H11" s="20">
        <v>55.61</v>
      </c>
      <c r="I11" s="20">
        <v>45.72</v>
      </c>
      <c r="J11" s="20">
        <v>16.33</v>
      </c>
      <c r="K11" s="20">
        <v>10.45</v>
      </c>
      <c r="L11" s="20">
        <v>13.09</v>
      </c>
      <c r="M11" s="20">
        <v>2.89</v>
      </c>
      <c r="N11" s="20">
        <v>14.64</v>
      </c>
      <c r="O11" s="20">
        <v>26.95</v>
      </c>
      <c r="P11" s="20">
        <v>13.78</v>
      </c>
      <c r="Q11" s="20">
        <v>3.29</v>
      </c>
      <c r="R11" s="20"/>
      <c r="S11" s="20">
        <v>-9.74</v>
      </c>
      <c r="T11" s="20">
        <v>-17.31</v>
      </c>
      <c r="U11" s="20">
        <v>-1.55</v>
      </c>
      <c r="V11" s="20">
        <v>-11.72</v>
      </c>
      <c r="W11" s="20">
        <v>-4.95</v>
      </c>
      <c r="X11" s="20">
        <v>0.06</v>
      </c>
      <c r="Y11" s="20">
        <v>1.7</v>
      </c>
      <c r="Z11" s="20">
        <v>-18.26</v>
      </c>
      <c r="AA11" s="20">
        <v>-10.19</v>
      </c>
      <c r="AB11" s="20">
        <v>-18.52</v>
      </c>
      <c r="AC11" s="20">
        <v>0.37</v>
      </c>
      <c r="AD11" s="20">
        <v>1.7</v>
      </c>
      <c r="AE11" s="20">
        <v>-0.69</v>
      </c>
      <c r="AF11" s="20">
        <v>0.19</v>
      </c>
      <c r="AG11" s="20">
        <v>-15.29</v>
      </c>
      <c r="AH11" s="20">
        <v>-11.87</v>
      </c>
      <c r="AJ11" s="20">
        <v>0.68</v>
      </c>
      <c r="AK11" s="20">
        <v>-15.09</v>
      </c>
      <c r="AL11" s="21">
        <v>-3.51</v>
      </c>
      <c r="AM11" s="21">
        <v>-8.62</v>
      </c>
      <c r="AN11" s="20">
        <v>-10.18</v>
      </c>
      <c r="AO11" s="13">
        <v>23.28</v>
      </c>
      <c r="AP11" s="13">
        <v>-3.43</v>
      </c>
      <c r="AQ11" s="13">
        <v>-8.62</v>
      </c>
      <c r="AR11" s="13">
        <v>2.38</v>
      </c>
      <c r="AS11" s="13">
        <v>13.94</v>
      </c>
      <c r="AT11" s="13">
        <v>8.19</v>
      </c>
      <c r="AU11" s="13">
        <v>-27.24</v>
      </c>
      <c r="AV11" s="13">
        <v>7.05</v>
      </c>
      <c r="AW11" s="13">
        <v>-23.95</v>
      </c>
      <c r="AX11" s="13">
        <v>2.98</v>
      </c>
      <c r="AY11" s="13">
        <v>19.76</v>
      </c>
      <c r="AZ11" s="66"/>
      <c r="BA11" s="13">
        <v>-12.4</v>
      </c>
      <c r="BB11" s="13">
        <v>-35.41</v>
      </c>
      <c r="BC11" s="13">
        <v>-32.1</v>
      </c>
      <c r="BD11" s="13">
        <v>-20.69</v>
      </c>
      <c r="BE11" s="13">
        <v>-18.11</v>
      </c>
      <c r="BF11" s="13">
        <v>-6.95</v>
      </c>
      <c r="BG11" s="13">
        <v>-11.18</v>
      </c>
      <c r="BH11" s="13">
        <v>-4.73</v>
      </c>
      <c r="BI11" s="13">
        <v>-30.7</v>
      </c>
      <c r="BJ11" s="13">
        <v>-33.32</v>
      </c>
      <c r="BK11" s="13">
        <v>-6.13</v>
      </c>
      <c r="BL11" s="13">
        <v>-20.42</v>
      </c>
      <c r="BM11" s="13">
        <v>-17.38</v>
      </c>
      <c r="BN11" s="13">
        <v>-8.25</v>
      </c>
      <c r="BO11" s="13">
        <v>-31.48</v>
      </c>
      <c r="BP11" s="13">
        <v>-7.11</v>
      </c>
      <c r="BQ11" s="66"/>
      <c r="BR11" s="13">
        <v>11.16</v>
      </c>
      <c r="BS11" s="13">
        <v>10.36</v>
      </c>
      <c r="BT11" s="13">
        <v>-19.22</v>
      </c>
      <c r="BU11" s="13">
        <v>23.16</v>
      </c>
      <c r="BV11" s="13">
        <v>-9.77</v>
      </c>
      <c r="BW11" s="13">
        <v>29.49</v>
      </c>
      <c r="BX11" s="13">
        <v>12.57</v>
      </c>
      <c r="BY11" s="13">
        <v>-1.22</v>
      </c>
      <c r="BZ11" s="13">
        <v>-11.94</v>
      </c>
      <c r="CA11" s="13">
        <v>8.48</v>
      </c>
      <c r="CB11" s="13">
        <v>-12.89</v>
      </c>
      <c r="CC11" s="13">
        <v>-13.03</v>
      </c>
      <c r="CD11" s="13">
        <v>4.03</v>
      </c>
      <c r="CE11" s="13">
        <v>-5.89</v>
      </c>
      <c r="CF11" s="13">
        <v>26.3</v>
      </c>
      <c r="CG11" s="13">
        <v>-27.55</v>
      </c>
      <c r="CH11" s="66"/>
      <c r="CI11" s="66"/>
    </row>
    <row r="12">
      <c r="A12" s="66"/>
      <c r="B12" s="20">
        <v>3.07</v>
      </c>
      <c r="C12" s="20">
        <v>7.29</v>
      </c>
      <c r="D12" s="20">
        <v>7.29</v>
      </c>
      <c r="E12" s="20">
        <v>18.18</v>
      </c>
      <c r="F12" s="20">
        <v>14.74</v>
      </c>
      <c r="G12" s="20">
        <v>16.77</v>
      </c>
      <c r="H12" s="20">
        <v>18.18</v>
      </c>
      <c r="I12" s="20">
        <v>28.18</v>
      </c>
      <c r="J12" s="20">
        <v>13.82</v>
      </c>
      <c r="K12" s="20">
        <v>14.75</v>
      </c>
      <c r="L12" s="20">
        <v>7.1</v>
      </c>
      <c r="M12" s="20">
        <v>11.03</v>
      </c>
      <c r="N12" s="20">
        <v>5.03</v>
      </c>
      <c r="O12" s="20">
        <v>-15.05</v>
      </c>
      <c r="P12" s="20">
        <v>5.52</v>
      </c>
      <c r="Q12" s="20">
        <v>31.17</v>
      </c>
      <c r="R12" s="20"/>
      <c r="S12" s="20">
        <v>-15.33</v>
      </c>
      <c r="T12" s="20">
        <v>-7.16</v>
      </c>
      <c r="U12" s="20">
        <v>-6.59</v>
      </c>
      <c r="V12" s="20">
        <v>-5.27</v>
      </c>
      <c r="W12" s="20">
        <v>4.58</v>
      </c>
      <c r="X12" s="20">
        <v>-1.76</v>
      </c>
      <c r="Y12" s="20">
        <v>4.66</v>
      </c>
      <c r="Z12" s="20">
        <v>-2.0</v>
      </c>
      <c r="AA12" s="20">
        <v>-17.08</v>
      </c>
      <c r="AB12" s="20">
        <v>-16.18</v>
      </c>
      <c r="AC12" s="20">
        <v>-18.26</v>
      </c>
      <c r="AD12" s="20">
        <v>-9.74</v>
      </c>
      <c r="AE12" s="20">
        <v>8.53</v>
      </c>
      <c r="AF12" s="20">
        <v>13.35</v>
      </c>
      <c r="AG12" s="20">
        <v>4.2</v>
      </c>
      <c r="AH12" s="20">
        <v>-25.97</v>
      </c>
      <c r="AJ12" s="20">
        <v>5.33</v>
      </c>
      <c r="AK12" s="20">
        <v>-29.97</v>
      </c>
      <c r="AL12" s="21">
        <v>-33.7</v>
      </c>
      <c r="AM12" s="21">
        <v>-4.86</v>
      </c>
      <c r="AN12" s="20">
        <v>25.91</v>
      </c>
      <c r="AO12" s="13">
        <v>-3.8</v>
      </c>
      <c r="AP12" s="13">
        <v>26.28</v>
      </c>
      <c r="AQ12" s="13">
        <v>-35.65</v>
      </c>
      <c r="AR12" s="13">
        <v>4.7</v>
      </c>
      <c r="AS12" s="13">
        <v>4.26</v>
      </c>
      <c r="AT12" s="13">
        <v>-35.65</v>
      </c>
      <c r="AU12" s="13">
        <v>17.71</v>
      </c>
      <c r="AV12" s="13">
        <v>-9.24</v>
      </c>
      <c r="AW12" s="13">
        <v>-10.75</v>
      </c>
      <c r="AX12" s="13">
        <v>9.7</v>
      </c>
      <c r="AY12" s="13">
        <v>14.41</v>
      </c>
      <c r="AZ12" s="66"/>
      <c r="BA12" s="13">
        <v>1.74</v>
      </c>
      <c r="BB12" s="13">
        <v>-22.98</v>
      </c>
      <c r="BC12" s="13">
        <v>-13.44</v>
      </c>
      <c r="BD12" s="13">
        <v>-7.06</v>
      </c>
      <c r="BE12" s="13">
        <v>-14.63</v>
      </c>
      <c r="BF12" s="13">
        <v>-12.07</v>
      </c>
      <c r="BG12" s="13">
        <v>-10.92</v>
      </c>
      <c r="BH12" s="13">
        <v>-23.81</v>
      </c>
      <c r="BI12" s="13">
        <v>-16.31</v>
      </c>
      <c r="BJ12" s="13">
        <v>-9.76</v>
      </c>
      <c r="BK12" s="13">
        <v>-27.87</v>
      </c>
      <c r="BL12" s="13">
        <v>-16.31</v>
      </c>
      <c r="BM12" s="13">
        <v>-20.04</v>
      </c>
      <c r="BN12" s="13">
        <v>-22.88</v>
      </c>
      <c r="BO12" s="13">
        <v>-23.71</v>
      </c>
      <c r="BP12" s="13">
        <v>-31.92</v>
      </c>
      <c r="BQ12" s="66"/>
      <c r="BR12" s="13">
        <v>14.63</v>
      </c>
      <c r="BS12" s="13">
        <v>-14.54</v>
      </c>
      <c r="BT12" s="13">
        <v>-31.33</v>
      </c>
      <c r="BU12" s="13">
        <v>14.63</v>
      </c>
      <c r="BV12" s="13">
        <v>-30.84</v>
      </c>
      <c r="BW12" s="13">
        <v>-2.38</v>
      </c>
      <c r="BX12" s="13">
        <v>-13.01</v>
      </c>
      <c r="BY12" s="13">
        <v>59.06</v>
      </c>
      <c r="BZ12" s="13">
        <v>-13.03</v>
      </c>
      <c r="CA12" s="13">
        <v>-13.01</v>
      </c>
      <c r="CB12" s="13">
        <v>-1.22</v>
      </c>
      <c r="CC12" s="13">
        <v>-22.96</v>
      </c>
      <c r="CD12" s="13">
        <v>9.19</v>
      </c>
      <c r="CE12" s="13">
        <v>-9.51</v>
      </c>
      <c r="CF12" s="13">
        <v>7.52</v>
      </c>
      <c r="CG12" s="13">
        <v>-13.01</v>
      </c>
      <c r="CH12" s="66"/>
      <c r="CI12" s="66"/>
    </row>
    <row r="13">
      <c r="A13" s="66"/>
      <c r="B13" s="20">
        <v>16.44</v>
      </c>
      <c r="C13" s="20">
        <v>8.06</v>
      </c>
      <c r="D13" s="20">
        <v>14.2</v>
      </c>
      <c r="E13" s="20">
        <v>16.57</v>
      </c>
      <c r="F13" s="20">
        <v>16.77</v>
      </c>
      <c r="G13" s="20">
        <v>-9.5</v>
      </c>
      <c r="H13" s="20">
        <v>20.34</v>
      </c>
      <c r="I13" s="20">
        <v>7.29</v>
      </c>
      <c r="J13" s="20">
        <v>8.06</v>
      </c>
      <c r="K13" s="20">
        <v>11.06</v>
      </c>
      <c r="L13" s="20">
        <v>26.5</v>
      </c>
      <c r="M13" s="20">
        <v>4.09</v>
      </c>
      <c r="N13" s="20">
        <v>6.16</v>
      </c>
      <c r="O13" s="20">
        <v>2.69</v>
      </c>
      <c r="P13" s="20">
        <v>6.76</v>
      </c>
      <c r="Q13" s="20">
        <v>12.64</v>
      </c>
      <c r="R13" s="20"/>
      <c r="S13" s="20">
        <v>-18.26</v>
      </c>
      <c r="T13" s="20">
        <v>-2.0</v>
      </c>
      <c r="U13" s="20">
        <v>-11.82</v>
      </c>
      <c r="V13" s="20">
        <v>-11.15</v>
      </c>
      <c r="W13" s="20">
        <v>19.06</v>
      </c>
      <c r="X13" s="20">
        <v>-11.3</v>
      </c>
      <c r="Y13" s="20">
        <v>-10.19</v>
      </c>
      <c r="Z13" s="20">
        <v>-24.38</v>
      </c>
      <c r="AA13" s="20">
        <v>-39.04</v>
      </c>
      <c r="AB13" s="20">
        <v>-7.16</v>
      </c>
      <c r="AC13" s="20">
        <v>-15.3</v>
      </c>
      <c r="AD13" s="20">
        <v>-15.33</v>
      </c>
      <c r="AE13" s="20">
        <v>-0.44</v>
      </c>
      <c r="AF13" s="20">
        <v>-6.92</v>
      </c>
      <c r="AG13" s="20">
        <v>4.76</v>
      </c>
      <c r="AH13" s="20">
        <v>-6.49</v>
      </c>
      <c r="AJ13" s="20">
        <v>-8.62</v>
      </c>
      <c r="AK13" s="20">
        <v>-14.99</v>
      </c>
      <c r="AL13" s="21">
        <v>-22.01</v>
      </c>
      <c r="AM13" s="21">
        <v>-15.09</v>
      </c>
      <c r="AN13" s="20">
        <v>-2.99</v>
      </c>
      <c r="AO13" s="13">
        <v>-12.15</v>
      </c>
      <c r="AP13" s="13">
        <v>6.14</v>
      </c>
      <c r="AQ13" s="13">
        <v>-20.89</v>
      </c>
      <c r="AR13" s="13">
        <v>28.3</v>
      </c>
      <c r="AS13" s="13">
        <v>6.14</v>
      </c>
      <c r="AT13" s="13">
        <v>-26.44</v>
      </c>
      <c r="AU13" s="13">
        <v>-26.14</v>
      </c>
      <c r="AV13" s="13">
        <v>-2.32</v>
      </c>
      <c r="AW13" s="13">
        <v>14.15</v>
      </c>
      <c r="AX13" s="13">
        <v>-5.52</v>
      </c>
      <c r="AY13" s="13">
        <v>-26.58</v>
      </c>
      <c r="AZ13" s="66"/>
      <c r="BA13" s="13">
        <v>-14.42</v>
      </c>
      <c r="BB13" s="13">
        <v>-12.4</v>
      </c>
      <c r="BC13" s="13">
        <v>-22.61</v>
      </c>
      <c r="BD13" s="13">
        <v>-16.88</v>
      </c>
      <c r="BE13" s="13">
        <v>-38.6</v>
      </c>
      <c r="BF13" s="13">
        <v>-9.18</v>
      </c>
      <c r="BG13" s="13">
        <v>-17.24</v>
      </c>
      <c r="BH13" s="13">
        <v>-13.84</v>
      </c>
      <c r="BI13" s="13">
        <v>-25.1</v>
      </c>
      <c r="BJ13" s="13">
        <v>-7.06</v>
      </c>
      <c r="BK13" s="13">
        <v>-14.38</v>
      </c>
      <c r="BL13" s="13">
        <v>-20.81</v>
      </c>
      <c r="BM13" s="13">
        <v>-30.8</v>
      </c>
      <c r="BN13" s="13">
        <v>-1.44</v>
      </c>
      <c r="BO13" s="13">
        <v>-25.23</v>
      </c>
      <c r="BP13" s="13">
        <v>-14.43</v>
      </c>
      <c r="BQ13" s="66"/>
      <c r="BR13" s="13">
        <v>-30.84</v>
      </c>
      <c r="BS13" s="13">
        <v>5.96</v>
      </c>
      <c r="BT13" s="13">
        <v>33.03</v>
      </c>
      <c r="BU13" s="13">
        <v>-12.89</v>
      </c>
      <c r="BV13" s="13">
        <v>-21.01</v>
      </c>
      <c r="BW13" s="13">
        <v>-8.97</v>
      </c>
      <c r="BX13" s="13">
        <v>8.48</v>
      </c>
      <c r="BY13" s="13">
        <v>-22.63</v>
      </c>
      <c r="BZ13" s="13">
        <v>12.57</v>
      </c>
      <c r="CA13" s="13">
        <v>22.29</v>
      </c>
      <c r="CB13" s="13">
        <v>-13.43</v>
      </c>
      <c r="CC13" s="13">
        <v>-25.98</v>
      </c>
      <c r="CD13" s="13">
        <v>-12.13</v>
      </c>
      <c r="CE13" s="13">
        <v>6.2</v>
      </c>
      <c r="CF13" s="13">
        <v>6.01</v>
      </c>
      <c r="CG13" s="13">
        <v>-9.77</v>
      </c>
      <c r="CH13" s="66"/>
      <c r="CI13" s="66"/>
    </row>
    <row r="14">
      <c r="A14" s="66"/>
      <c r="B14" s="20">
        <v>31.17</v>
      </c>
      <c r="C14" s="20">
        <v>26.5</v>
      </c>
      <c r="D14" s="20">
        <v>9.83</v>
      </c>
      <c r="E14" s="20">
        <v>18.68</v>
      </c>
      <c r="F14" s="20">
        <v>13.09</v>
      </c>
      <c r="G14" s="20">
        <v>15.12</v>
      </c>
      <c r="H14" s="20">
        <v>5.57</v>
      </c>
      <c r="I14" s="20">
        <v>-9.5</v>
      </c>
      <c r="J14" s="20">
        <v>12.65</v>
      </c>
      <c r="K14" s="20">
        <v>28.03</v>
      </c>
      <c r="L14" s="20">
        <v>-9.5</v>
      </c>
      <c r="M14" s="20">
        <v>16.33</v>
      </c>
      <c r="N14" s="20">
        <v>5.08</v>
      </c>
      <c r="O14" s="20">
        <v>26.96</v>
      </c>
      <c r="P14" s="20">
        <v>21.49</v>
      </c>
      <c r="Q14" s="20">
        <v>12.23</v>
      </c>
      <c r="R14" s="20"/>
      <c r="S14" s="20">
        <v>16.7</v>
      </c>
      <c r="T14" s="20">
        <v>-4.95</v>
      </c>
      <c r="U14" s="20">
        <v>-2.75</v>
      </c>
      <c r="V14" s="20">
        <v>12.96</v>
      </c>
      <c r="W14" s="20">
        <v>-23.22</v>
      </c>
      <c r="X14" s="20">
        <v>12.94</v>
      </c>
      <c r="Y14" s="20">
        <v>-13.46</v>
      </c>
      <c r="Z14" s="20">
        <v>-30.84</v>
      </c>
      <c r="AA14" s="20">
        <v>0.29</v>
      </c>
      <c r="AB14" s="20">
        <v>-4.95</v>
      </c>
      <c r="AC14" s="20">
        <v>-17.31</v>
      </c>
      <c r="AD14" s="20">
        <v>-16.18</v>
      </c>
      <c r="AE14" s="20">
        <v>-0.6</v>
      </c>
      <c r="AF14" s="20">
        <v>-2.26</v>
      </c>
      <c r="AG14" s="20">
        <v>3.33</v>
      </c>
      <c r="AH14" s="20">
        <v>-11.82</v>
      </c>
      <c r="AJ14" s="20">
        <v>-27.78</v>
      </c>
      <c r="AK14" s="20">
        <v>-8.93</v>
      </c>
      <c r="AL14" s="21">
        <v>-7.41</v>
      </c>
      <c r="AM14" s="21">
        <v>-29.97</v>
      </c>
      <c r="AN14" s="20">
        <v>15.74</v>
      </c>
      <c r="AO14" s="13">
        <v>9.64</v>
      </c>
      <c r="AP14" s="13">
        <v>-3.64</v>
      </c>
      <c r="AQ14" s="13">
        <v>5.33</v>
      </c>
      <c r="AR14" s="13">
        <v>17.22</v>
      </c>
      <c r="AS14" s="13">
        <v>4.81</v>
      </c>
      <c r="AT14" s="13">
        <v>-8.62</v>
      </c>
      <c r="AU14" s="13">
        <v>-10.13</v>
      </c>
      <c r="AV14" s="13">
        <v>0.43</v>
      </c>
      <c r="AW14" s="13">
        <v>-40.05</v>
      </c>
      <c r="AX14" s="13">
        <v>19.67</v>
      </c>
      <c r="AY14" s="13">
        <v>16.63</v>
      </c>
      <c r="AZ14" s="66"/>
      <c r="BA14" s="13">
        <v>-33.32</v>
      </c>
      <c r="BB14" s="13">
        <v>-31.92</v>
      </c>
      <c r="BC14" s="13">
        <v>-14.99</v>
      </c>
      <c r="BD14" s="13">
        <v>-28.85</v>
      </c>
      <c r="BE14" s="13">
        <v>-12.07</v>
      </c>
      <c r="BF14" s="13">
        <v>-9.78</v>
      </c>
      <c r="BG14" s="13">
        <v>-21.44</v>
      </c>
      <c r="BH14" s="13">
        <v>-18.2</v>
      </c>
      <c r="BI14" s="13">
        <v>-22.66</v>
      </c>
      <c r="BJ14" s="13">
        <v>-10.92</v>
      </c>
      <c r="BK14" s="13">
        <v>37.11</v>
      </c>
      <c r="BL14" s="13">
        <v>-22.66</v>
      </c>
      <c r="BM14" s="13">
        <v>-30.8</v>
      </c>
      <c r="BN14" s="13">
        <v>-13.99</v>
      </c>
      <c r="BO14" s="13">
        <v>-31.11</v>
      </c>
      <c r="BP14" s="13">
        <v>-22.21</v>
      </c>
      <c r="BQ14" s="66"/>
      <c r="BR14" s="13">
        <v>-19.83</v>
      </c>
      <c r="BS14" s="13">
        <v>23.16</v>
      </c>
      <c r="BT14" s="13">
        <v>-21.01</v>
      </c>
      <c r="BU14" s="13">
        <v>-14.54</v>
      </c>
      <c r="BV14" s="13">
        <v>7.04</v>
      </c>
      <c r="BW14" s="13">
        <v>-15.16</v>
      </c>
      <c r="BX14" s="13">
        <v>-11.98</v>
      </c>
      <c r="BY14" s="13">
        <v>-11.68</v>
      </c>
      <c r="BZ14" s="13">
        <v>3.33</v>
      </c>
      <c r="CA14" s="13">
        <v>-9.51</v>
      </c>
      <c r="CB14" s="13">
        <v>-10.73</v>
      </c>
      <c r="CC14" s="13">
        <v>23.85</v>
      </c>
      <c r="CD14" s="13">
        <v>-2.96</v>
      </c>
      <c r="CE14" s="13">
        <v>-29.76</v>
      </c>
      <c r="CF14" s="13">
        <v>5.86</v>
      </c>
      <c r="CG14" s="13">
        <v>42.5</v>
      </c>
      <c r="CH14" s="66"/>
      <c r="CI14" s="66"/>
    </row>
    <row r="15">
      <c r="A15" s="66"/>
      <c r="B15" s="20">
        <v>4.09</v>
      </c>
      <c r="C15" s="20">
        <v>17.61</v>
      </c>
      <c r="D15" s="20">
        <v>14.52</v>
      </c>
      <c r="E15" s="20">
        <v>5.57</v>
      </c>
      <c r="F15" s="20">
        <v>15.12</v>
      </c>
      <c r="G15" s="20">
        <v>13.97</v>
      </c>
      <c r="H15" s="20">
        <v>5.64</v>
      </c>
      <c r="I15" s="20">
        <v>39.55</v>
      </c>
      <c r="J15" s="20">
        <v>14.92</v>
      </c>
      <c r="K15" s="20">
        <v>3.07</v>
      </c>
      <c r="L15" s="20">
        <v>29.14</v>
      </c>
      <c r="M15" s="20">
        <v>28.35</v>
      </c>
      <c r="N15" s="20">
        <v>13.83</v>
      </c>
      <c r="O15" s="20">
        <v>27.7</v>
      </c>
      <c r="P15" s="20">
        <v>8.26</v>
      </c>
      <c r="Q15" s="20">
        <v>33.3</v>
      </c>
      <c r="R15" s="20"/>
      <c r="S15" s="20">
        <v>-16.18</v>
      </c>
      <c r="T15" s="20">
        <v>-11.87</v>
      </c>
      <c r="U15" s="20">
        <v>-7.1</v>
      </c>
      <c r="V15" s="20">
        <v>-17.31</v>
      </c>
      <c r="W15" s="20">
        <v>4.06</v>
      </c>
      <c r="X15" s="20">
        <v>0.23</v>
      </c>
      <c r="Y15" s="20">
        <v>1.65</v>
      </c>
      <c r="Z15" s="20">
        <v>-14.06</v>
      </c>
      <c r="AA15" s="20">
        <v>-9.74</v>
      </c>
      <c r="AB15" s="20">
        <v>3.55</v>
      </c>
      <c r="AC15" s="20">
        <v>11.53</v>
      </c>
      <c r="AD15" s="20">
        <v>-7.16</v>
      </c>
      <c r="AE15" s="20">
        <v>10.5</v>
      </c>
      <c r="AF15" s="20">
        <v>-5.12</v>
      </c>
      <c r="AG15" s="20">
        <v>6.32</v>
      </c>
      <c r="AH15" s="20">
        <v>1.73</v>
      </c>
      <c r="AJ15" s="20">
        <v>-15.09</v>
      </c>
      <c r="AK15" s="20">
        <v>-24.45</v>
      </c>
      <c r="AL15" s="21">
        <v>53.88</v>
      </c>
      <c r="AM15" s="21">
        <v>-3.43</v>
      </c>
      <c r="AN15" s="20">
        <v>-29.97</v>
      </c>
      <c r="AO15" s="13">
        <v>0.25</v>
      </c>
      <c r="AP15" s="13">
        <v>5.27</v>
      </c>
      <c r="AQ15" s="13">
        <v>-32.32</v>
      </c>
      <c r="AR15" s="13">
        <v>21.45</v>
      </c>
      <c r="AS15" s="13">
        <v>19.89</v>
      </c>
      <c r="AT15" s="13">
        <v>5.33</v>
      </c>
      <c r="AU15" s="13">
        <v>-11.66</v>
      </c>
      <c r="AV15" s="13">
        <v>-3.58</v>
      </c>
      <c r="AW15" s="13">
        <v>-35.65</v>
      </c>
      <c r="AX15" s="13">
        <v>-12.82</v>
      </c>
      <c r="AY15" s="13">
        <v>3.26</v>
      </c>
      <c r="AZ15" s="66"/>
      <c r="BA15" s="13">
        <v>-14.38</v>
      </c>
      <c r="BB15" s="13">
        <v>-13.84</v>
      </c>
      <c r="BC15" s="13">
        <v>-12.54</v>
      </c>
      <c r="BD15" s="13">
        <v>-8.05</v>
      </c>
      <c r="BE15" s="13">
        <v>-27.34</v>
      </c>
      <c r="BF15" s="13">
        <v>-15.58</v>
      </c>
      <c r="BG15" s="13">
        <v>-22.28</v>
      </c>
      <c r="BH15" s="13">
        <v>-28.85</v>
      </c>
      <c r="BI15" s="13">
        <v>-29.32</v>
      </c>
      <c r="BJ15" s="13">
        <v>-11.24</v>
      </c>
      <c r="BK15" s="13">
        <v>-17.97</v>
      </c>
      <c r="BL15" s="13">
        <v>-16.88</v>
      </c>
      <c r="BM15" s="13">
        <v>-20.95</v>
      </c>
      <c r="BN15" s="13">
        <v>-28.97</v>
      </c>
      <c r="BO15" s="13">
        <v>-22.78</v>
      </c>
      <c r="BP15" s="13">
        <v>-24.39</v>
      </c>
      <c r="BQ15" s="66"/>
      <c r="BR15" s="13">
        <v>-9.35</v>
      </c>
      <c r="BS15" s="13">
        <v>-9.35</v>
      </c>
      <c r="BT15" s="13">
        <v>-13.01</v>
      </c>
      <c r="BU15" s="13">
        <v>10.36</v>
      </c>
      <c r="BV15" s="13">
        <v>-9.35</v>
      </c>
      <c r="BW15" s="13">
        <v>6.13</v>
      </c>
      <c r="BX15" s="13">
        <v>6.3</v>
      </c>
      <c r="BY15" s="13">
        <v>-2.01</v>
      </c>
      <c r="BZ15" s="13">
        <v>14.63</v>
      </c>
      <c r="CA15" s="13">
        <v>-11.32</v>
      </c>
      <c r="CB15" s="13">
        <v>-29.25</v>
      </c>
      <c r="CC15" s="13">
        <v>-21.45</v>
      </c>
      <c r="CD15" s="13">
        <v>-5.47</v>
      </c>
      <c r="CE15" s="13">
        <v>3.02</v>
      </c>
      <c r="CF15" s="13">
        <v>38.56</v>
      </c>
      <c r="CG15" s="13">
        <v>34.7</v>
      </c>
      <c r="CH15" s="66"/>
      <c r="CI15" s="66"/>
    </row>
    <row r="16">
      <c r="A16" s="66"/>
      <c r="B16" s="20">
        <v>-5.43</v>
      </c>
      <c r="C16" s="20">
        <v>9.12</v>
      </c>
      <c r="D16" s="20">
        <v>55.61</v>
      </c>
      <c r="E16" s="20">
        <v>20.34</v>
      </c>
      <c r="F16" s="20">
        <v>8.09</v>
      </c>
      <c r="G16" s="20">
        <v>15.28</v>
      </c>
      <c r="H16" s="20">
        <v>3.29</v>
      </c>
      <c r="I16" s="20">
        <v>21.59</v>
      </c>
      <c r="J16" s="20">
        <v>28.63</v>
      </c>
      <c r="K16" s="20">
        <v>24.79</v>
      </c>
      <c r="L16" s="20">
        <v>17.61</v>
      </c>
      <c r="M16" s="20">
        <v>7.14</v>
      </c>
      <c r="N16" s="20">
        <v>5.7</v>
      </c>
      <c r="O16" s="20">
        <v>19.6</v>
      </c>
      <c r="P16" s="20">
        <v>13.82</v>
      </c>
      <c r="Q16" s="20">
        <v>28.71</v>
      </c>
      <c r="R16" s="20"/>
      <c r="S16" s="20">
        <v>16.02</v>
      </c>
      <c r="T16" s="20">
        <v>-11.18</v>
      </c>
      <c r="U16" s="20">
        <v>-16.1</v>
      </c>
      <c r="V16" s="20">
        <v>-10.75</v>
      </c>
      <c r="W16" s="20">
        <v>4.04</v>
      </c>
      <c r="X16" s="20">
        <v>-1.05</v>
      </c>
      <c r="Y16" s="20">
        <v>10.85</v>
      </c>
      <c r="Z16" s="20">
        <v>-7.16</v>
      </c>
      <c r="AA16" s="20">
        <v>4.75</v>
      </c>
      <c r="AB16" s="20">
        <v>16.7</v>
      </c>
      <c r="AC16" s="20">
        <v>-1.52</v>
      </c>
      <c r="AD16" s="20">
        <v>-2.14</v>
      </c>
      <c r="AE16" s="20">
        <v>0.32</v>
      </c>
      <c r="AF16" s="20">
        <v>-10.01</v>
      </c>
      <c r="AG16" s="20">
        <v>6.38</v>
      </c>
      <c r="AH16" s="20">
        <v>-24.28</v>
      </c>
      <c r="AJ16" s="20">
        <v>-20.89</v>
      </c>
      <c r="AK16" s="20">
        <v>2.67</v>
      </c>
      <c r="AL16" s="21">
        <v>-7.73</v>
      </c>
      <c r="AM16" s="21">
        <v>-24.95</v>
      </c>
      <c r="AN16" s="20">
        <v>2.5</v>
      </c>
      <c r="AO16" s="13">
        <v>4.63</v>
      </c>
      <c r="AP16" s="13">
        <v>6.5</v>
      </c>
      <c r="AQ16" s="13">
        <v>-4.03</v>
      </c>
      <c r="AR16" s="13">
        <v>55.03</v>
      </c>
      <c r="AS16" s="13">
        <v>-47.08</v>
      </c>
      <c r="AT16" s="13">
        <v>-29.97</v>
      </c>
      <c r="AU16" s="13">
        <v>13.94</v>
      </c>
      <c r="AV16" s="13">
        <v>14.44</v>
      </c>
      <c r="AW16" s="13">
        <v>9.36</v>
      </c>
      <c r="AX16" s="13">
        <v>-2.08</v>
      </c>
      <c r="AY16" s="13">
        <v>-24.16</v>
      </c>
      <c r="AZ16" s="66"/>
      <c r="BA16" s="13">
        <v>-27.91</v>
      </c>
      <c r="BB16" s="13">
        <v>-18.2</v>
      </c>
      <c r="BC16" s="13">
        <v>-24.12</v>
      </c>
      <c r="BD16" s="13">
        <v>-29.32</v>
      </c>
      <c r="BE16" s="13">
        <v>-21.8</v>
      </c>
      <c r="BF16" s="13">
        <v>-16.96</v>
      </c>
      <c r="BG16" s="13">
        <v>-30.11</v>
      </c>
      <c r="BH16" s="13">
        <v>-23.81</v>
      </c>
      <c r="BI16" s="13">
        <v>-12.37</v>
      </c>
      <c r="BJ16" s="13">
        <v>-11.18</v>
      </c>
      <c r="BK16" s="13">
        <v>-23.81</v>
      </c>
      <c r="BL16" s="13">
        <v>-12.43</v>
      </c>
      <c r="BM16" s="13">
        <v>-28.81</v>
      </c>
      <c r="BN16" s="13">
        <v>-25.51</v>
      </c>
      <c r="BO16" s="13">
        <v>-28.9</v>
      </c>
      <c r="BP16" s="13">
        <v>-32.44</v>
      </c>
      <c r="BQ16" s="66"/>
      <c r="BR16" s="13">
        <v>10.36</v>
      </c>
      <c r="BS16" s="13">
        <v>3.35</v>
      </c>
      <c r="BT16" s="13">
        <v>-13.37</v>
      </c>
      <c r="BU16" s="13">
        <v>-9.77</v>
      </c>
      <c r="BV16" s="13">
        <v>10.94</v>
      </c>
      <c r="BW16" s="13">
        <v>8.37</v>
      </c>
      <c r="BX16" s="13">
        <v>9.8</v>
      </c>
      <c r="BY16" s="13">
        <v>-5.37</v>
      </c>
      <c r="BZ16" s="13">
        <v>27.29</v>
      </c>
      <c r="CA16" s="13">
        <v>-18.03</v>
      </c>
      <c r="CB16" s="13">
        <v>14.63</v>
      </c>
      <c r="CC16" s="13">
        <v>-15.83</v>
      </c>
      <c r="CD16" s="13">
        <v>4.9</v>
      </c>
      <c r="CE16" s="13">
        <v>-21.52</v>
      </c>
      <c r="CF16" s="13">
        <v>21.46</v>
      </c>
      <c r="CG16" s="13">
        <v>50.92</v>
      </c>
      <c r="CH16" s="66"/>
      <c r="CI16" s="66"/>
    </row>
    <row r="17">
      <c r="A17" s="66"/>
      <c r="B17" s="20">
        <v>-9.5</v>
      </c>
      <c r="C17" s="20">
        <v>3.64</v>
      </c>
      <c r="D17" s="20">
        <v>28.18</v>
      </c>
      <c r="E17" s="20">
        <v>13.82</v>
      </c>
      <c r="F17" s="20">
        <v>2.89</v>
      </c>
      <c r="G17" s="20">
        <v>31.17</v>
      </c>
      <c r="H17" s="20">
        <v>3.07</v>
      </c>
      <c r="I17" s="20">
        <v>7.36</v>
      </c>
      <c r="J17" s="20">
        <v>19.72</v>
      </c>
      <c r="K17" s="20">
        <v>29.12</v>
      </c>
      <c r="L17" s="20">
        <v>13.84</v>
      </c>
      <c r="M17" s="20">
        <v>9.48</v>
      </c>
      <c r="N17" s="20">
        <v>27.09</v>
      </c>
      <c r="O17" s="20">
        <v>39.05</v>
      </c>
      <c r="P17" s="20">
        <v>-0.81</v>
      </c>
      <c r="Q17" s="20">
        <v>-8.78</v>
      </c>
      <c r="R17" s="20"/>
      <c r="S17" s="20">
        <v>-17.31</v>
      </c>
      <c r="T17" s="20">
        <v>-15.3</v>
      </c>
      <c r="U17" s="20">
        <v>-18.52</v>
      </c>
      <c r="V17" s="20">
        <v>0.54</v>
      </c>
      <c r="W17" s="20">
        <v>-9.74</v>
      </c>
      <c r="X17" s="20">
        <v>-7.3</v>
      </c>
      <c r="Y17" s="20">
        <v>-0.05</v>
      </c>
      <c r="Z17" s="20">
        <v>-4.95</v>
      </c>
      <c r="AA17" s="20">
        <v>17.69</v>
      </c>
      <c r="AB17" s="20">
        <v>-9.98</v>
      </c>
      <c r="AC17" s="20">
        <v>11.0</v>
      </c>
      <c r="AD17" s="20">
        <v>-7.36</v>
      </c>
      <c r="AE17" s="20">
        <v>-0.51</v>
      </c>
      <c r="AF17" s="20">
        <v>-24.66</v>
      </c>
      <c r="AG17" s="20">
        <v>-1.28</v>
      </c>
      <c r="AH17" s="20">
        <v>0.34</v>
      </c>
      <c r="AJ17" s="20">
        <v>-21.72</v>
      </c>
      <c r="AK17" s="20">
        <v>-26.44</v>
      </c>
      <c r="AL17" s="21">
        <v>3.26</v>
      </c>
      <c r="AM17" s="21">
        <v>-14.99</v>
      </c>
      <c r="AN17" s="20">
        <v>-1.9</v>
      </c>
      <c r="AO17" s="13">
        <v>-26.58</v>
      </c>
      <c r="AP17" s="13">
        <v>24.69</v>
      </c>
      <c r="AQ17" s="13">
        <v>-29.66</v>
      </c>
      <c r="AR17" s="13">
        <v>-26.14</v>
      </c>
      <c r="AS17" s="13">
        <v>-24.95</v>
      </c>
      <c r="AT17" s="13">
        <v>-4.03</v>
      </c>
      <c r="AU17" s="13">
        <v>-29.97</v>
      </c>
      <c r="AV17" s="13">
        <v>-2.63</v>
      </c>
      <c r="AW17" s="13">
        <v>-27.15</v>
      </c>
      <c r="AX17" s="13">
        <v>-4.23</v>
      </c>
      <c r="AY17" s="13">
        <v>19.02</v>
      </c>
      <c r="AZ17" s="66"/>
      <c r="BA17" s="13">
        <v>-16.67</v>
      </c>
      <c r="BB17" s="13">
        <v>-13.99</v>
      </c>
      <c r="BC17" s="13">
        <v>-31.92</v>
      </c>
      <c r="BD17" s="13">
        <v>-12.4</v>
      </c>
      <c r="BE17" s="13">
        <v>-7.06</v>
      </c>
      <c r="BF17" s="13">
        <v>-17.43</v>
      </c>
      <c r="BG17" s="13">
        <v>-16.74</v>
      </c>
      <c r="BH17" s="13">
        <v>-13.99</v>
      </c>
      <c r="BI17" s="13">
        <v>-12.43</v>
      </c>
      <c r="BJ17" s="13">
        <v>-19.74</v>
      </c>
      <c r="BK17" s="13">
        <v>-18.44</v>
      </c>
      <c r="BL17" s="13">
        <v>-35.17</v>
      </c>
      <c r="BM17" s="13">
        <v>-28.15</v>
      </c>
      <c r="BN17" s="13">
        <v>-14.7</v>
      </c>
      <c r="BO17" s="13">
        <v>-31.77</v>
      </c>
      <c r="BP17" s="13">
        <v>-14.38</v>
      </c>
      <c r="BQ17" s="66"/>
      <c r="BR17" s="13">
        <v>-29.25</v>
      </c>
      <c r="BS17" s="13">
        <v>-11.68</v>
      </c>
      <c r="BT17" s="13">
        <v>7.25</v>
      </c>
      <c r="BU17" s="13">
        <v>4.89</v>
      </c>
      <c r="BV17" s="13">
        <v>-8.97</v>
      </c>
      <c r="BW17" s="13">
        <v>-5.47</v>
      </c>
      <c r="BX17" s="13">
        <v>-11.3</v>
      </c>
      <c r="BY17" s="13">
        <v>24.0</v>
      </c>
      <c r="BZ17" s="13">
        <v>14.64</v>
      </c>
      <c r="CA17" s="13">
        <v>12.57</v>
      </c>
      <c r="CB17" s="13">
        <v>5.29</v>
      </c>
      <c r="CC17" s="13">
        <v>-13.1</v>
      </c>
      <c r="CD17" s="13">
        <v>5.71</v>
      </c>
      <c r="CE17" s="13">
        <v>-19.81</v>
      </c>
      <c r="CF17" s="13">
        <v>23.53</v>
      </c>
      <c r="CG17" s="13">
        <v>9.31</v>
      </c>
      <c r="CH17" s="66"/>
      <c r="CI17" s="66"/>
    </row>
    <row r="18">
      <c r="A18" s="66"/>
      <c r="B18" s="20">
        <v>14.83</v>
      </c>
      <c r="C18" s="20">
        <v>-23.7</v>
      </c>
      <c r="D18" s="20">
        <v>13.2</v>
      </c>
      <c r="E18" s="20">
        <v>24.84</v>
      </c>
      <c r="F18" s="20">
        <v>24.24</v>
      </c>
      <c r="G18" s="20">
        <v>23.74</v>
      </c>
      <c r="H18" s="20">
        <v>17.39</v>
      </c>
      <c r="I18" s="20">
        <v>19.6</v>
      </c>
      <c r="J18" s="20">
        <v>33.38</v>
      </c>
      <c r="K18" s="20">
        <v>27.71</v>
      </c>
      <c r="L18" s="20">
        <v>29.02</v>
      </c>
      <c r="M18" s="20">
        <v>3.07</v>
      </c>
      <c r="N18" s="20">
        <v>13.68</v>
      </c>
      <c r="O18" s="20">
        <v>70.4</v>
      </c>
      <c r="P18" s="20">
        <v>8.19</v>
      </c>
      <c r="Q18" s="20">
        <v>9.12</v>
      </c>
      <c r="R18" s="20"/>
      <c r="S18" s="20">
        <v>-17.14</v>
      </c>
      <c r="T18" s="20">
        <v>-11.82</v>
      </c>
      <c r="U18" s="20">
        <v>1.78</v>
      </c>
      <c r="V18" s="20">
        <v>19.97</v>
      </c>
      <c r="W18" s="20">
        <v>-1.55</v>
      </c>
      <c r="X18" s="20">
        <v>-0.18</v>
      </c>
      <c r="Y18" s="20">
        <v>-1.68</v>
      </c>
      <c r="Z18" s="20">
        <v>14.42</v>
      </c>
      <c r="AA18" s="20">
        <v>-6.98</v>
      </c>
      <c r="AB18" s="20">
        <v>-14.26</v>
      </c>
      <c r="AC18" s="20">
        <v>-2.31</v>
      </c>
      <c r="AD18" s="20">
        <v>7.57</v>
      </c>
      <c r="AE18" s="20">
        <v>-0.94</v>
      </c>
      <c r="AF18" s="20">
        <v>-1.02</v>
      </c>
      <c r="AG18" s="20">
        <v>3.81</v>
      </c>
      <c r="AH18" s="20">
        <v>-7.1</v>
      </c>
      <c r="AJ18" s="20">
        <v>25.91</v>
      </c>
      <c r="AK18" s="20">
        <v>-4.86</v>
      </c>
      <c r="AL18" s="21">
        <v>-3.8</v>
      </c>
      <c r="AM18" s="21">
        <v>3.38</v>
      </c>
      <c r="AN18" s="20">
        <v>-4.03</v>
      </c>
      <c r="AO18" s="13">
        <v>5.44</v>
      </c>
      <c r="AP18" s="13">
        <v>11.7</v>
      </c>
      <c r="AQ18" s="13">
        <v>-26.44</v>
      </c>
      <c r="AR18" s="13">
        <v>5.33</v>
      </c>
      <c r="AS18" s="13">
        <v>-17.01</v>
      </c>
      <c r="AT18" s="13">
        <v>-42.89</v>
      </c>
      <c r="AU18" s="13">
        <v>32.84</v>
      </c>
      <c r="AV18" s="13">
        <v>0.52</v>
      </c>
      <c r="AW18" s="13">
        <v>-30.71</v>
      </c>
      <c r="AX18" s="13">
        <v>25.13</v>
      </c>
      <c r="AY18" s="13">
        <v>3.39</v>
      </c>
      <c r="AZ18" s="66"/>
      <c r="BA18" s="13">
        <v>-22.1</v>
      </c>
      <c r="BB18" s="13">
        <v>-33.32</v>
      </c>
      <c r="BC18" s="13">
        <v>-6.6</v>
      </c>
      <c r="BD18" s="13">
        <v>-12.07</v>
      </c>
      <c r="BE18" s="13">
        <v>2.7</v>
      </c>
      <c r="BF18" s="13">
        <v>-20.53</v>
      </c>
      <c r="BG18" s="13">
        <v>-19.17</v>
      </c>
      <c r="BH18" s="13">
        <v>-25.51</v>
      </c>
      <c r="BI18" s="13">
        <v>-16.67</v>
      </c>
      <c r="BJ18" s="13">
        <v>-17.24</v>
      </c>
      <c r="BK18" s="13">
        <v>-2.8</v>
      </c>
      <c r="BL18" s="13">
        <v>-13.15</v>
      </c>
      <c r="BM18" s="13">
        <v>-18.35</v>
      </c>
      <c r="BN18" s="13">
        <v>-38.8</v>
      </c>
      <c r="BO18" s="13">
        <v>-30.11</v>
      </c>
      <c r="BP18" s="13">
        <v>-14.99</v>
      </c>
      <c r="BQ18" s="66"/>
      <c r="BR18" s="13">
        <v>17.62</v>
      </c>
      <c r="BS18" s="13">
        <v>17.62</v>
      </c>
      <c r="BT18" s="13">
        <v>-9.77</v>
      </c>
      <c r="BU18" s="13">
        <v>11.96</v>
      </c>
      <c r="BV18" s="13">
        <v>-3.14</v>
      </c>
      <c r="BW18" s="13">
        <v>-18.04</v>
      </c>
      <c r="BX18" s="13">
        <v>16.67</v>
      </c>
      <c r="BY18" s="13">
        <v>-36.27</v>
      </c>
      <c r="BZ18" s="13">
        <v>-23.12</v>
      </c>
      <c r="CA18" s="13">
        <v>-10.36</v>
      </c>
      <c r="CB18" s="13">
        <v>-9.28</v>
      </c>
      <c r="CC18" s="13">
        <v>8.05</v>
      </c>
      <c r="CD18" s="13">
        <v>7.66</v>
      </c>
      <c r="CE18" s="13">
        <v>10.67</v>
      </c>
      <c r="CF18" s="13">
        <v>-2.23</v>
      </c>
      <c r="CG18" s="13">
        <v>-21.01</v>
      </c>
      <c r="CH18" s="66"/>
      <c r="CI18" s="66"/>
    </row>
    <row r="19">
      <c r="A19" s="66"/>
      <c r="B19" s="20">
        <v>3.29</v>
      </c>
      <c r="C19" s="20">
        <v>28.18</v>
      </c>
      <c r="D19" s="20">
        <v>0.2</v>
      </c>
      <c r="E19" s="20">
        <v>14.83</v>
      </c>
      <c r="F19" s="20">
        <v>2.28</v>
      </c>
      <c r="G19" s="20">
        <v>-4.35</v>
      </c>
      <c r="H19" s="20">
        <v>0.2</v>
      </c>
      <c r="I19" s="20">
        <v>26.96</v>
      </c>
      <c r="J19" s="20">
        <v>13.89</v>
      </c>
      <c r="K19" s="20">
        <v>16.15</v>
      </c>
      <c r="L19" s="20">
        <v>7.29</v>
      </c>
      <c r="M19" s="20">
        <v>22.22</v>
      </c>
      <c r="N19" s="20">
        <v>5.28</v>
      </c>
      <c r="O19" s="20">
        <v>38.76</v>
      </c>
      <c r="P19" s="20">
        <v>7.36</v>
      </c>
      <c r="Q19" s="20">
        <v>5.05</v>
      </c>
      <c r="R19" s="20"/>
      <c r="S19" s="20">
        <v>-10.19</v>
      </c>
      <c r="T19" s="20">
        <v>-11.56</v>
      </c>
      <c r="U19" s="20">
        <v>10.43</v>
      </c>
      <c r="V19" s="20">
        <v>0.91</v>
      </c>
      <c r="W19" s="20">
        <v>4.84</v>
      </c>
      <c r="X19" s="20">
        <v>-6.83</v>
      </c>
      <c r="Y19" s="20">
        <v>-5.27</v>
      </c>
      <c r="Z19" s="20">
        <v>-11.18</v>
      </c>
      <c r="AA19" s="20">
        <v>1.34</v>
      </c>
      <c r="AB19" s="20">
        <v>0.43</v>
      </c>
      <c r="AC19" s="20">
        <v>-1.93</v>
      </c>
      <c r="AD19" s="20">
        <v>16.02</v>
      </c>
      <c r="AE19" s="20">
        <v>11.46</v>
      </c>
      <c r="AF19" s="20">
        <v>-6.88</v>
      </c>
      <c r="AG19" s="20">
        <v>-10.15</v>
      </c>
      <c r="AH19" s="20">
        <v>-6.59</v>
      </c>
      <c r="AJ19" s="20">
        <v>-26.44</v>
      </c>
      <c r="AK19" s="20">
        <v>25.91</v>
      </c>
      <c r="AL19" s="21">
        <v>14.41</v>
      </c>
      <c r="AM19" s="21">
        <v>30.86</v>
      </c>
      <c r="AN19" s="20">
        <v>-33.22</v>
      </c>
      <c r="AO19" s="13">
        <v>5.04</v>
      </c>
      <c r="AP19" s="13">
        <v>-13.87</v>
      </c>
      <c r="AQ19" s="13">
        <v>-10.75</v>
      </c>
      <c r="AR19" s="13">
        <v>-15.09</v>
      </c>
      <c r="AS19" s="13">
        <v>26.28</v>
      </c>
      <c r="AT19" s="13">
        <v>-40.93</v>
      </c>
      <c r="AU19" s="13">
        <v>-26.63</v>
      </c>
      <c r="AV19" s="13">
        <v>4.89</v>
      </c>
      <c r="AW19" s="13">
        <v>-55.24</v>
      </c>
      <c r="AX19" s="13">
        <v>28.3</v>
      </c>
      <c r="AY19" s="13">
        <v>-2.45</v>
      </c>
      <c r="AZ19" s="66"/>
      <c r="BA19" s="13">
        <v>-25.1</v>
      </c>
      <c r="BB19" s="13">
        <v>-20.04</v>
      </c>
      <c r="BC19" s="13">
        <v>-7.11</v>
      </c>
      <c r="BD19" s="13">
        <v>-22.66</v>
      </c>
      <c r="BE19" s="13">
        <v>-30.7</v>
      </c>
      <c r="BF19" s="13">
        <v>-21.18</v>
      </c>
      <c r="BG19" s="13">
        <v>-13.13</v>
      </c>
      <c r="BH19" s="13">
        <v>-28.97</v>
      </c>
      <c r="BI19" s="13">
        <v>-27.91</v>
      </c>
      <c r="BJ19" s="13">
        <v>-14.38</v>
      </c>
      <c r="BK19" s="13">
        <v>-10.18</v>
      </c>
      <c r="BL19" s="13">
        <v>-12.37</v>
      </c>
      <c r="BM19" s="13">
        <v>-37.44</v>
      </c>
      <c r="BN19" s="13">
        <v>-13.84</v>
      </c>
      <c r="BO19" s="13">
        <v>-24.62</v>
      </c>
      <c r="BP19" s="13">
        <v>-32.1</v>
      </c>
      <c r="BQ19" s="66"/>
      <c r="BR19" s="13">
        <v>5.96</v>
      </c>
      <c r="BS19" s="13">
        <v>-9.77</v>
      </c>
      <c r="BT19" s="13">
        <v>8.39</v>
      </c>
      <c r="BU19" s="13">
        <v>11.16</v>
      </c>
      <c r="BV19" s="13">
        <v>-9.13</v>
      </c>
      <c r="BW19" s="13">
        <v>23.07</v>
      </c>
      <c r="BX19" s="13">
        <v>-8.05</v>
      </c>
      <c r="BY19" s="13">
        <v>10.61</v>
      </c>
      <c r="BZ19" s="13">
        <v>49.32</v>
      </c>
      <c r="CA19" s="13">
        <v>49.32</v>
      </c>
      <c r="CB19" s="13">
        <v>89.78</v>
      </c>
      <c r="CC19" s="13">
        <v>4.07</v>
      </c>
      <c r="CD19" s="13">
        <v>-9.92</v>
      </c>
      <c r="CE19" s="13">
        <v>-19.22</v>
      </c>
      <c r="CF19" s="13">
        <v>7.37</v>
      </c>
      <c r="CG19" s="13">
        <v>23.07</v>
      </c>
      <c r="CH19" s="66"/>
      <c r="CI19" s="66"/>
    </row>
    <row r="20">
      <c r="A20" s="66"/>
      <c r="B20" s="20">
        <v>2.89</v>
      </c>
      <c r="C20" s="20">
        <v>23.66</v>
      </c>
      <c r="D20" s="20">
        <v>2.89</v>
      </c>
      <c r="E20" s="20">
        <v>13.79</v>
      </c>
      <c r="F20" s="20">
        <v>15.28</v>
      </c>
      <c r="G20" s="20">
        <v>8.09</v>
      </c>
      <c r="H20" s="20">
        <v>29.52</v>
      </c>
      <c r="I20" s="20">
        <v>12.49</v>
      </c>
      <c r="J20" s="20">
        <v>22.22</v>
      </c>
      <c r="K20" s="20">
        <v>7.83</v>
      </c>
      <c r="L20" s="20">
        <v>39.94</v>
      </c>
      <c r="M20" s="20">
        <v>19.86</v>
      </c>
      <c r="N20" s="20">
        <v>42.55</v>
      </c>
      <c r="O20" s="20">
        <v>15.79</v>
      </c>
      <c r="P20" s="20">
        <v>16.38</v>
      </c>
      <c r="Q20" s="20">
        <v>13.78</v>
      </c>
      <c r="R20" s="20"/>
      <c r="S20" s="20">
        <v>-7.54</v>
      </c>
      <c r="T20" s="20">
        <v>-13.79</v>
      </c>
      <c r="U20" s="20">
        <v>-8.91</v>
      </c>
      <c r="V20" s="20">
        <v>-11.76</v>
      </c>
      <c r="W20" s="20">
        <v>-7.65</v>
      </c>
      <c r="X20" s="20">
        <v>-0.63</v>
      </c>
      <c r="Y20" s="20">
        <v>-18.52</v>
      </c>
      <c r="Z20" s="20">
        <v>-2.26</v>
      </c>
      <c r="AA20" s="20">
        <v>16.52</v>
      </c>
      <c r="AB20" s="20">
        <v>-11.51</v>
      </c>
      <c r="AC20" s="20">
        <v>0.91</v>
      </c>
      <c r="AD20" s="20">
        <v>-18.26</v>
      </c>
      <c r="AE20" s="20">
        <v>-0.48</v>
      </c>
      <c r="AF20" s="20">
        <v>-11.15</v>
      </c>
      <c r="AG20" s="20">
        <v>10.43</v>
      </c>
      <c r="AH20" s="20">
        <v>-6.88</v>
      </c>
      <c r="AJ20" s="20">
        <v>-34.54</v>
      </c>
      <c r="AK20" s="20">
        <v>-0.01</v>
      </c>
      <c r="AL20" s="21">
        <v>19.76</v>
      </c>
      <c r="AM20" s="21">
        <v>-36.5</v>
      </c>
      <c r="AN20" s="20">
        <v>-8.77</v>
      </c>
      <c r="AO20" s="13">
        <v>21.7</v>
      </c>
      <c r="AP20" s="13">
        <v>28.98</v>
      </c>
      <c r="AQ20" s="13">
        <v>-27.24</v>
      </c>
      <c r="AR20" s="13">
        <v>3.38</v>
      </c>
      <c r="AS20" s="13">
        <v>-14.78</v>
      </c>
      <c r="AT20" s="13">
        <v>-24.45</v>
      </c>
      <c r="AU20" s="13">
        <v>3.85</v>
      </c>
      <c r="AV20" s="13">
        <v>12.71</v>
      </c>
      <c r="AW20" s="13">
        <v>-24.49</v>
      </c>
      <c r="AX20" s="13">
        <v>-14.39</v>
      </c>
      <c r="AY20" s="13">
        <v>-33.45</v>
      </c>
      <c r="AZ20" s="66"/>
      <c r="BA20" s="13">
        <v>-16.88</v>
      </c>
      <c r="BB20" s="13">
        <v>-25.51</v>
      </c>
      <c r="BC20" s="13">
        <v>5.64</v>
      </c>
      <c r="BD20" s="13">
        <v>-16.93</v>
      </c>
      <c r="BE20" s="13">
        <v>1.74</v>
      </c>
      <c r="BF20" s="13">
        <v>-14.88</v>
      </c>
      <c r="BG20" s="13">
        <v>-16.35</v>
      </c>
      <c r="BH20" s="13">
        <v>-14.38</v>
      </c>
      <c r="BI20" s="13">
        <v>-22.17</v>
      </c>
      <c r="BJ20" s="13">
        <v>-16.88</v>
      </c>
      <c r="BK20" s="13">
        <v>-32.74</v>
      </c>
      <c r="BL20" s="13">
        <v>-22.17</v>
      </c>
      <c r="BM20" s="13">
        <v>-16.35</v>
      </c>
      <c r="BN20" s="13">
        <v>-18.2</v>
      </c>
      <c r="BO20" s="13">
        <v>-24.17</v>
      </c>
      <c r="BP20" s="13">
        <v>-22.78</v>
      </c>
      <c r="BQ20" s="66"/>
      <c r="BR20" s="13">
        <v>-11.98</v>
      </c>
      <c r="BS20" s="13">
        <v>-30.84</v>
      </c>
      <c r="BT20" s="13">
        <v>-18.03</v>
      </c>
      <c r="BU20" s="13">
        <v>3.35</v>
      </c>
      <c r="BV20" s="13">
        <v>6.38</v>
      </c>
      <c r="BW20" s="13">
        <v>11.64</v>
      </c>
      <c r="BX20" s="13">
        <v>22.29</v>
      </c>
      <c r="BY20" s="13">
        <v>5.96</v>
      </c>
      <c r="BZ20" s="13">
        <v>-3.85</v>
      </c>
      <c r="CA20" s="13">
        <v>50.8</v>
      </c>
      <c r="CB20" s="13">
        <v>3.35</v>
      </c>
      <c r="CC20" s="13">
        <v>21.88</v>
      </c>
      <c r="CD20" s="13">
        <v>3.75</v>
      </c>
      <c r="CE20" s="13">
        <v>-27.55</v>
      </c>
      <c r="CF20" s="13">
        <v>35.81</v>
      </c>
      <c r="CG20" s="13">
        <v>7.86</v>
      </c>
      <c r="CH20" s="66"/>
      <c r="CI20" s="66"/>
    </row>
    <row r="21">
      <c r="A21" s="66"/>
      <c r="B21" s="20">
        <v>7.29</v>
      </c>
      <c r="C21" s="20">
        <v>13.2</v>
      </c>
      <c r="D21" s="20">
        <v>5.64</v>
      </c>
      <c r="E21" s="20">
        <v>13.68</v>
      </c>
      <c r="F21" s="20">
        <v>23.07</v>
      </c>
      <c r="G21" s="20">
        <v>24.24</v>
      </c>
      <c r="H21" s="20">
        <v>14.26</v>
      </c>
      <c r="I21" s="20">
        <v>26.5</v>
      </c>
      <c r="J21" s="20">
        <v>17.61</v>
      </c>
      <c r="K21" s="20">
        <v>27.02</v>
      </c>
      <c r="L21" s="20">
        <v>16.33</v>
      </c>
      <c r="M21" s="20">
        <v>5.52</v>
      </c>
      <c r="N21" s="20">
        <v>21.79</v>
      </c>
      <c r="O21" s="20">
        <v>13.26</v>
      </c>
      <c r="P21" s="20">
        <v>41.08</v>
      </c>
      <c r="Q21" s="20">
        <v>45.64</v>
      </c>
      <c r="R21" s="20"/>
      <c r="S21" s="20">
        <v>-11.82</v>
      </c>
      <c r="T21" s="20">
        <v>-24.38</v>
      </c>
      <c r="U21" s="20">
        <v>1.7</v>
      </c>
      <c r="V21" s="20">
        <v>-7.32</v>
      </c>
      <c r="W21" s="20">
        <v>4.75</v>
      </c>
      <c r="X21" s="20">
        <v>-0.95</v>
      </c>
      <c r="Y21" s="20">
        <v>-13.66</v>
      </c>
      <c r="Z21" s="20">
        <v>-11.87</v>
      </c>
      <c r="AA21" s="20">
        <v>4.93</v>
      </c>
      <c r="AB21" s="20">
        <v>2.5</v>
      </c>
      <c r="AC21" s="20">
        <v>-1.64</v>
      </c>
      <c r="AD21" s="20">
        <v>-4.95</v>
      </c>
      <c r="AE21" s="20">
        <v>0.15</v>
      </c>
      <c r="AF21" s="20">
        <v>7.34</v>
      </c>
      <c r="AG21" s="20">
        <v>-3.39</v>
      </c>
      <c r="AH21" s="20">
        <v>-18.52</v>
      </c>
      <c r="AJ21" s="20">
        <v>14.12</v>
      </c>
      <c r="AK21" s="20">
        <v>-24.18</v>
      </c>
      <c r="AL21" s="21">
        <v>-2.8</v>
      </c>
      <c r="AM21" s="21">
        <v>-3.05</v>
      </c>
      <c r="AN21" s="20">
        <v>-36.68</v>
      </c>
      <c r="AO21" s="13">
        <v>2.5</v>
      </c>
      <c r="AP21" s="13">
        <v>48.03</v>
      </c>
      <c r="AQ21" s="13">
        <v>-21.3</v>
      </c>
      <c r="AR21" s="13">
        <v>-2.8</v>
      </c>
      <c r="AS21" s="13">
        <v>-32.32</v>
      </c>
      <c r="AT21" s="13">
        <v>-41.18</v>
      </c>
      <c r="AU21" s="13">
        <v>-15.24</v>
      </c>
      <c r="AV21" s="13">
        <v>-10.61</v>
      </c>
      <c r="AW21" s="13">
        <v>-32.25</v>
      </c>
      <c r="AX21" s="13">
        <v>3.12</v>
      </c>
      <c r="AY21" s="13">
        <v>5.65</v>
      </c>
      <c r="AZ21" s="66"/>
      <c r="BA21" s="13">
        <v>-22.17</v>
      </c>
      <c r="BB21" s="13">
        <v>-8.81</v>
      </c>
      <c r="BC21" s="13">
        <v>-17.23</v>
      </c>
      <c r="BD21" s="13">
        <v>-14.42</v>
      </c>
      <c r="BE21" s="13">
        <v>-13.99</v>
      </c>
      <c r="BF21" s="13">
        <v>-12.5</v>
      </c>
      <c r="BG21" s="13">
        <v>-7.06</v>
      </c>
      <c r="BH21" s="13">
        <v>-1.65</v>
      </c>
      <c r="BI21" s="13">
        <v>-20.81</v>
      </c>
      <c r="BJ21" s="13">
        <v>-30.11</v>
      </c>
      <c r="BK21" s="13">
        <v>21.11</v>
      </c>
      <c r="BL21" s="13">
        <v>-8.81</v>
      </c>
      <c r="BM21" s="13">
        <v>-13.13</v>
      </c>
      <c r="BN21" s="13">
        <v>-9.53</v>
      </c>
      <c r="BO21" s="13">
        <v>-29.01</v>
      </c>
      <c r="BP21" s="13">
        <v>-32.13</v>
      </c>
      <c r="BQ21" s="66"/>
      <c r="BR21" s="13">
        <v>-9.28</v>
      </c>
      <c r="BS21" s="13">
        <v>-10.36</v>
      </c>
      <c r="BT21" s="13">
        <v>32.06</v>
      </c>
      <c r="BU21" s="13">
        <v>-10.36</v>
      </c>
      <c r="BV21" s="13">
        <v>-1.98</v>
      </c>
      <c r="BW21" s="13">
        <v>44.33</v>
      </c>
      <c r="BX21" s="13">
        <v>-25.7</v>
      </c>
      <c r="BY21" s="13">
        <v>-12.89</v>
      </c>
      <c r="BZ21" s="13">
        <v>5.79</v>
      </c>
      <c r="CA21" s="13">
        <v>32.7</v>
      </c>
      <c r="CB21" s="13">
        <v>-11.68</v>
      </c>
      <c r="CC21" s="13">
        <v>-21.19</v>
      </c>
      <c r="CD21" s="13">
        <v>5.07</v>
      </c>
      <c r="CE21" s="13">
        <v>-20.31</v>
      </c>
      <c r="CF21" s="13">
        <v>17.08</v>
      </c>
      <c r="CG21" s="13">
        <v>7.17</v>
      </c>
      <c r="CH21" s="66"/>
      <c r="CI21" s="66"/>
    </row>
    <row r="22">
      <c r="A22" s="66"/>
      <c r="B22" s="20">
        <v>11.96</v>
      </c>
      <c r="C22" s="20">
        <v>13.2</v>
      </c>
      <c r="D22" s="20">
        <v>3.29</v>
      </c>
      <c r="E22" s="20">
        <v>19.72</v>
      </c>
      <c r="F22" s="20">
        <v>-5.24</v>
      </c>
      <c r="G22" s="20">
        <v>8.18</v>
      </c>
      <c r="H22" s="20">
        <v>8.06</v>
      </c>
      <c r="I22" s="20">
        <v>27.56</v>
      </c>
      <c r="J22" s="20">
        <v>28.8</v>
      </c>
      <c r="K22" s="20">
        <v>10.73</v>
      </c>
      <c r="L22" s="20">
        <v>41.22</v>
      </c>
      <c r="M22" s="20">
        <v>19.72</v>
      </c>
      <c r="N22" s="20">
        <v>18.68</v>
      </c>
      <c r="O22" s="20">
        <v>38.46</v>
      </c>
      <c r="P22" s="20">
        <v>18.92</v>
      </c>
      <c r="Q22" s="20">
        <v>14.2</v>
      </c>
      <c r="R22" s="20"/>
      <c r="S22" s="20">
        <v>7.57</v>
      </c>
      <c r="T22" s="20">
        <v>-10.19</v>
      </c>
      <c r="U22" s="20">
        <v>-16.86</v>
      </c>
      <c r="V22" s="20">
        <v>-16.18</v>
      </c>
      <c r="W22" s="20">
        <v>-5.39</v>
      </c>
      <c r="X22" s="20">
        <v>-6.21</v>
      </c>
      <c r="Y22" s="20">
        <v>-9.54</v>
      </c>
      <c r="Z22" s="20">
        <v>-12.57</v>
      </c>
      <c r="AA22" s="20">
        <v>1.87</v>
      </c>
      <c r="AB22" s="20">
        <v>-2.33</v>
      </c>
      <c r="AC22" s="20">
        <v>-1.65</v>
      </c>
      <c r="AD22" s="20">
        <v>4.94</v>
      </c>
      <c r="AE22" s="20">
        <v>-0.46</v>
      </c>
      <c r="AF22" s="20">
        <v>-6.39</v>
      </c>
      <c r="AG22" s="20">
        <v>-9.49</v>
      </c>
      <c r="AH22" s="20">
        <v>-1.08</v>
      </c>
      <c r="AJ22" s="20">
        <v>-35.65</v>
      </c>
      <c r="AK22" s="20">
        <v>-14.68</v>
      </c>
      <c r="AL22" s="21">
        <v>-24.16</v>
      </c>
      <c r="AM22" s="21">
        <v>14.82</v>
      </c>
      <c r="AN22" s="20">
        <v>-6.05</v>
      </c>
      <c r="AO22" s="13">
        <v>0.43</v>
      </c>
      <c r="AP22" s="13">
        <v>-3.76</v>
      </c>
      <c r="AQ22" s="13">
        <v>-41.18</v>
      </c>
      <c r="AR22" s="13">
        <v>13.14</v>
      </c>
      <c r="AS22" s="13">
        <v>-4.97</v>
      </c>
      <c r="AT22" s="13">
        <v>1.61</v>
      </c>
      <c r="AU22" s="13">
        <v>-21.24</v>
      </c>
      <c r="AV22" s="13">
        <v>6.5</v>
      </c>
      <c r="AW22" s="13">
        <v>-13.98</v>
      </c>
      <c r="AX22" s="13">
        <v>2.62</v>
      </c>
      <c r="AY22" s="13">
        <v>28.42</v>
      </c>
      <c r="AZ22" s="66"/>
      <c r="BA22" s="13">
        <v>37.11</v>
      </c>
      <c r="BB22" s="13">
        <v>-28.57</v>
      </c>
      <c r="BC22" s="13">
        <v>-22.21</v>
      </c>
      <c r="BD22" s="13">
        <v>-28.35</v>
      </c>
      <c r="BE22" s="13">
        <v>-38.44</v>
      </c>
      <c r="BF22" s="13">
        <v>-15.35</v>
      </c>
      <c r="BG22" s="13">
        <v>-16.88</v>
      </c>
      <c r="BH22" s="13">
        <v>-33.32</v>
      </c>
      <c r="BI22" s="13">
        <v>-16.88</v>
      </c>
      <c r="BJ22" s="13">
        <v>10.31</v>
      </c>
      <c r="BK22" s="13">
        <v>-28.97</v>
      </c>
      <c r="BL22" s="13">
        <v>-26.43</v>
      </c>
      <c r="BM22" s="13">
        <v>-28.31</v>
      </c>
      <c r="BN22" s="13">
        <v>-22.7</v>
      </c>
      <c r="BO22" s="13">
        <v>-26.5</v>
      </c>
      <c r="BP22" s="13">
        <v>-25.06</v>
      </c>
      <c r="BQ22" s="66"/>
      <c r="BR22" s="13">
        <v>-27.17</v>
      </c>
      <c r="BS22" s="13">
        <v>11.16</v>
      </c>
      <c r="BT22" s="13">
        <v>34.7</v>
      </c>
      <c r="BU22" s="13">
        <v>-11.98</v>
      </c>
      <c r="BV22" s="13">
        <v>8.37</v>
      </c>
      <c r="BW22" s="13">
        <v>-9.39</v>
      </c>
      <c r="BX22" s="13">
        <v>7.25</v>
      </c>
      <c r="BY22" s="13">
        <v>11.16</v>
      </c>
      <c r="BZ22" s="13">
        <v>6.44</v>
      </c>
      <c r="CA22" s="13">
        <v>7.25</v>
      </c>
      <c r="CB22" s="13">
        <v>2.91</v>
      </c>
      <c r="CC22" s="13">
        <v>-23.12</v>
      </c>
      <c r="CD22" s="13">
        <v>15.97</v>
      </c>
      <c r="CE22" s="13">
        <v>-16.69</v>
      </c>
      <c r="CF22" s="13">
        <v>12.13</v>
      </c>
      <c r="CG22" s="13">
        <v>8.39</v>
      </c>
      <c r="CH22" s="66"/>
      <c r="CI22" s="66"/>
    </row>
    <row r="23">
      <c r="A23" s="66"/>
      <c r="B23" s="20">
        <v>13.79</v>
      </c>
      <c r="C23" s="20">
        <v>31.17</v>
      </c>
      <c r="D23" s="20">
        <v>14.26</v>
      </c>
      <c r="E23" s="20">
        <v>19.86</v>
      </c>
      <c r="F23" s="20">
        <v>6.43</v>
      </c>
      <c r="G23" s="20">
        <v>7.5</v>
      </c>
      <c r="H23" s="20">
        <v>13.63</v>
      </c>
      <c r="I23" s="20">
        <v>53.83</v>
      </c>
      <c r="J23" s="20">
        <v>13.53</v>
      </c>
      <c r="K23" s="20">
        <v>11.55</v>
      </c>
      <c r="L23" s="20">
        <v>28.18</v>
      </c>
      <c r="M23" s="20">
        <v>-16.31</v>
      </c>
      <c r="N23" s="20">
        <v>16.57</v>
      </c>
      <c r="O23" s="20">
        <v>5.67</v>
      </c>
      <c r="P23" s="20">
        <v>5.3</v>
      </c>
      <c r="Q23" s="20">
        <v>3.64</v>
      </c>
      <c r="R23" s="20"/>
      <c r="S23" s="20">
        <v>19.97</v>
      </c>
      <c r="T23" s="20">
        <v>-12.5</v>
      </c>
      <c r="U23" s="20">
        <v>-25.97</v>
      </c>
      <c r="V23" s="20">
        <v>-1.67</v>
      </c>
      <c r="W23" s="20">
        <v>4.82</v>
      </c>
      <c r="X23" s="20">
        <v>-1.05</v>
      </c>
      <c r="Y23" s="20">
        <v>-16.18</v>
      </c>
      <c r="Z23" s="20">
        <v>-12.5</v>
      </c>
      <c r="AA23" s="20">
        <v>-18.26</v>
      </c>
      <c r="AB23" s="20">
        <v>4.04</v>
      </c>
      <c r="AC23" s="20">
        <v>-1.35</v>
      </c>
      <c r="AD23" s="20">
        <v>8.99</v>
      </c>
      <c r="AE23" s="20">
        <v>-1.13</v>
      </c>
      <c r="AF23" s="20">
        <v>-0.81</v>
      </c>
      <c r="AG23" s="20">
        <v>-14.67</v>
      </c>
      <c r="AH23" s="20">
        <v>-13.83</v>
      </c>
      <c r="AJ23" s="20">
        <v>-26.63</v>
      </c>
      <c r="AK23" s="20">
        <v>5.2</v>
      </c>
      <c r="AL23" s="21">
        <v>-7.27</v>
      </c>
      <c r="AM23" s="21">
        <v>4.64</v>
      </c>
      <c r="AN23" s="20">
        <v>17.53</v>
      </c>
      <c r="AO23" s="13">
        <v>7.94</v>
      </c>
      <c r="AP23" s="13">
        <v>-27.98</v>
      </c>
      <c r="AQ23" s="13">
        <v>-24.45</v>
      </c>
      <c r="AR23" s="13">
        <v>-5.09</v>
      </c>
      <c r="AS23" s="13">
        <v>-21.3</v>
      </c>
      <c r="AT23" s="13">
        <v>-21.72</v>
      </c>
      <c r="AU23" s="13">
        <v>15.74</v>
      </c>
      <c r="AV23" s="13">
        <v>-27.5</v>
      </c>
      <c r="AW23" s="13">
        <v>-28.8</v>
      </c>
      <c r="AX23" s="13">
        <v>13.77</v>
      </c>
      <c r="AY23" s="13">
        <v>34.76</v>
      </c>
      <c r="AZ23" s="66"/>
      <c r="BA23" s="13">
        <v>-10.18</v>
      </c>
      <c r="BB23" s="13">
        <v>-22.1</v>
      </c>
      <c r="BC23" s="13">
        <v>-23.73</v>
      </c>
      <c r="BD23" s="13">
        <v>-22.17</v>
      </c>
      <c r="BE23" s="13">
        <v>-21.35</v>
      </c>
      <c r="BF23" s="13">
        <v>-12.54</v>
      </c>
      <c r="BG23" s="13">
        <v>-12.33</v>
      </c>
      <c r="BH23" s="13">
        <v>-9.34</v>
      </c>
      <c r="BI23" s="13">
        <v>-41.38</v>
      </c>
      <c r="BJ23" s="13">
        <v>-15.84</v>
      </c>
      <c r="BK23" s="13">
        <v>-28.85</v>
      </c>
      <c r="BL23" s="13">
        <v>-26.67</v>
      </c>
      <c r="BM23" s="13">
        <v>-30.51</v>
      </c>
      <c r="BN23" s="13">
        <v>6.53</v>
      </c>
      <c r="BO23" s="13">
        <v>-29.82</v>
      </c>
      <c r="BP23" s="13">
        <v>-14.42</v>
      </c>
      <c r="BQ23" s="66"/>
      <c r="BR23" s="13">
        <v>23.16</v>
      </c>
      <c r="BS23" s="13">
        <v>-9.28</v>
      </c>
      <c r="BT23" s="13">
        <v>23.07</v>
      </c>
      <c r="BU23" s="13">
        <v>3.33</v>
      </c>
      <c r="BV23" s="13">
        <v>27.69</v>
      </c>
      <c r="BW23" s="13">
        <v>-9.98</v>
      </c>
      <c r="BX23" s="13">
        <v>-21.01</v>
      </c>
      <c r="BY23" s="13">
        <v>-23.85</v>
      </c>
      <c r="BZ23" s="13">
        <v>9.05</v>
      </c>
      <c r="CA23" s="13">
        <v>-8.05</v>
      </c>
      <c r="CB23" s="13">
        <v>-21.52</v>
      </c>
      <c r="CC23" s="13">
        <v>-10.91</v>
      </c>
      <c r="CD23" s="13">
        <v>-0.96</v>
      </c>
      <c r="CE23" s="13">
        <v>-9.26</v>
      </c>
      <c r="CF23" s="13">
        <v>4.91</v>
      </c>
      <c r="CG23" s="13">
        <v>29.88</v>
      </c>
      <c r="CH23" s="66"/>
      <c r="CI23" s="66"/>
    </row>
    <row r="24">
      <c r="A24" s="66"/>
      <c r="B24" s="20">
        <v>-16.31</v>
      </c>
      <c r="C24" s="20">
        <v>16.59</v>
      </c>
      <c r="D24" s="20">
        <v>18.68</v>
      </c>
      <c r="E24" s="20">
        <v>13.54</v>
      </c>
      <c r="F24" s="20">
        <v>14.32</v>
      </c>
      <c r="G24" s="20">
        <v>14.32</v>
      </c>
      <c r="H24" s="20">
        <v>16.57</v>
      </c>
      <c r="I24" s="20">
        <v>13.09</v>
      </c>
      <c r="J24" s="20">
        <v>28.35</v>
      </c>
      <c r="K24" s="20">
        <v>55.61</v>
      </c>
      <c r="L24" s="20">
        <v>16.15</v>
      </c>
      <c r="M24" s="20">
        <v>14.5</v>
      </c>
      <c r="N24" s="20">
        <v>14.31</v>
      </c>
      <c r="O24" s="20">
        <v>39.17</v>
      </c>
      <c r="P24" s="20">
        <v>6.6</v>
      </c>
      <c r="Q24" s="20">
        <v>10.73</v>
      </c>
      <c r="R24" s="20"/>
      <c r="S24" s="20">
        <v>-8.1</v>
      </c>
      <c r="T24" s="20">
        <v>-8.1</v>
      </c>
      <c r="U24" s="20">
        <v>-1.55</v>
      </c>
      <c r="V24" s="20">
        <v>-2.17</v>
      </c>
      <c r="W24" s="20">
        <v>-19.24</v>
      </c>
      <c r="X24" s="20">
        <v>-23.22</v>
      </c>
      <c r="Y24" s="20">
        <v>-11.82</v>
      </c>
      <c r="Z24" s="20">
        <v>13.35</v>
      </c>
      <c r="AA24" s="20">
        <v>-13.66</v>
      </c>
      <c r="AB24" s="20">
        <v>8.46</v>
      </c>
      <c r="AC24" s="20">
        <v>2.14</v>
      </c>
      <c r="AD24" s="20">
        <v>4.3</v>
      </c>
      <c r="AE24" s="20">
        <v>-1.34</v>
      </c>
      <c r="AF24" s="20">
        <v>-8.56</v>
      </c>
      <c r="AG24" s="20">
        <v>4.3</v>
      </c>
      <c r="AH24" s="20">
        <v>-6.01</v>
      </c>
      <c r="AJ24" s="20">
        <v>-55.24</v>
      </c>
      <c r="AK24" s="20">
        <v>-3.43</v>
      </c>
      <c r="AL24" s="21">
        <v>-20.89</v>
      </c>
      <c r="AM24" s="21">
        <v>0.11</v>
      </c>
      <c r="AN24" s="20">
        <v>37.01</v>
      </c>
      <c r="AO24" s="13">
        <v>14.5</v>
      </c>
      <c r="AP24" s="13">
        <v>5.99</v>
      </c>
      <c r="AQ24" s="13">
        <v>-30.53</v>
      </c>
      <c r="AR24" s="13">
        <v>-10.13</v>
      </c>
      <c r="AS24" s="13">
        <v>18.68</v>
      </c>
      <c r="AT24" s="13">
        <v>-23.86</v>
      </c>
      <c r="AU24" s="13">
        <v>17.22</v>
      </c>
      <c r="AV24" s="13">
        <v>-9.97</v>
      </c>
      <c r="AW24" s="13">
        <v>-32.32</v>
      </c>
      <c r="AX24" s="13">
        <v>2.38</v>
      </c>
      <c r="AY24" s="13">
        <v>-33.7</v>
      </c>
      <c r="AZ24" s="66"/>
      <c r="BA24" s="13">
        <v>-31.32</v>
      </c>
      <c r="BB24" s="13">
        <v>-4.73</v>
      </c>
      <c r="BC24" s="13">
        <v>-25.06</v>
      </c>
      <c r="BD24" s="13">
        <v>-35.41</v>
      </c>
      <c r="BE24" s="13">
        <v>-35.17</v>
      </c>
      <c r="BF24" s="13">
        <v>-20.69</v>
      </c>
      <c r="BG24" s="13">
        <v>-29.82</v>
      </c>
      <c r="BH24" s="13">
        <v>-28.24</v>
      </c>
      <c r="BI24" s="13">
        <v>-8.81</v>
      </c>
      <c r="BJ24" s="13">
        <v>-22.28</v>
      </c>
      <c r="BK24" s="13">
        <v>-9.34</v>
      </c>
      <c r="BL24" s="13">
        <v>-33.21</v>
      </c>
      <c r="BM24" s="13">
        <v>-28.2</v>
      </c>
      <c r="BN24" s="13">
        <v>2.32</v>
      </c>
      <c r="BO24" s="13">
        <v>-33.64</v>
      </c>
      <c r="BP24" s="13">
        <v>-22.61</v>
      </c>
      <c r="BQ24" s="66"/>
      <c r="BR24" s="13">
        <v>-14.54</v>
      </c>
      <c r="BS24" s="13">
        <v>-11.98</v>
      </c>
      <c r="BT24" s="13">
        <v>6.3</v>
      </c>
      <c r="BU24" s="13">
        <v>-7.42</v>
      </c>
      <c r="BV24" s="13">
        <v>19.84</v>
      </c>
      <c r="BW24" s="13">
        <v>2.17</v>
      </c>
      <c r="BX24" s="13">
        <v>-19.22</v>
      </c>
      <c r="BY24" s="13">
        <v>-13.43</v>
      </c>
      <c r="BZ24" s="13">
        <v>-13.18</v>
      </c>
      <c r="CA24" s="13">
        <v>-11.68</v>
      </c>
      <c r="CB24" s="13">
        <v>-5.37</v>
      </c>
      <c r="CC24" s="13">
        <v>-9.35</v>
      </c>
      <c r="CD24" s="13">
        <v>27.66</v>
      </c>
      <c r="CE24" s="13">
        <v>-7.42</v>
      </c>
      <c r="CF24" s="13">
        <v>-12.32</v>
      </c>
      <c r="CG24" s="13">
        <v>-19.22</v>
      </c>
      <c r="CH24" s="66"/>
      <c r="CI24" s="66"/>
    </row>
    <row r="25">
      <c r="A25" s="66"/>
      <c r="AJ25" s="17"/>
    </row>
    <row r="26">
      <c r="A26" s="66"/>
      <c r="B26" s="270">
        <v>-4.7780000000000005</v>
      </c>
      <c r="C26" s="270">
        <v>-1.8045000000000002</v>
      </c>
      <c r="D26" s="28">
        <v>-3.1354999999999995</v>
      </c>
      <c r="E26" s="28">
        <v>-0.5320000000000001</v>
      </c>
      <c r="F26" s="28">
        <v>0.5814999999999998</v>
      </c>
      <c r="G26" s="28">
        <v>-0.07449999999999965</v>
      </c>
      <c r="H26" s="28">
        <v>1.5549999999999997</v>
      </c>
      <c r="I26" s="28">
        <v>3.788499999999999</v>
      </c>
      <c r="J26" s="28">
        <v>4.3340000000000005</v>
      </c>
      <c r="K26" s="28">
        <v>1.2039999999999995</v>
      </c>
      <c r="L26" s="28">
        <v>-4.728999999999999</v>
      </c>
      <c r="M26" s="28">
        <v>-8.059</v>
      </c>
      <c r="N26" s="28">
        <v>1.6905000000000001</v>
      </c>
      <c r="O26" s="28">
        <v>-6.0184999999999995</v>
      </c>
      <c r="P26" s="28"/>
      <c r="Q26" s="28"/>
      <c r="R26" s="28"/>
    </row>
    <row r="27">
      <c r="A27" s="66"/>
      <c r="B27" s="66"/>
      <c r="C27" s="66"/>
    </row>
    <row r="28">
      <c r="A28" s="271" t="s">
        <v>433</v>
      </c>
      <c r="B28" s="272" t="s">
        <v>24</v>
      </c>
      <c r="C28" s="272" t="s">
        <v>321</v>
      </c>
      <c r="D28" s="272" t="s">
        <v>360</v>
      </c>
      <c r="E28" s="272" t="s">
        <v>362</v>
      </c>
      <c r="F28" s="272" t="s">
        <v>364</v>
      </c>
      <c r="G28" s="273" t="s">
        <v>189</v>
      </c>
      <c r="J28" s="20" t="s">
        <v>24</v>
      </c>
      <c r="K28" s="20" t="s">
        <v>321</v>
      </c>
      <c r="L28" s="20" t="s">
        <v>360</v>
      </c>
      <c r="M28" s="20" t="s">
        <v>362</v>
      </c>
      <c r="N28" s="20" t="s">
        <v>364</v>
      </c>
      <c r="O28" s="20" t="s">
        <v>189</v>
      </c>
      <c r="Q28" s="274" t="s">
        <v>434</v>
      </c>
      <c r="R28" s="275" t="s">
        <v>24</v>
      </c>
      <c r="S28" s="275" t="s">
        <v>321</v>
      </c>
      <c r="T28" s="275" t="s">
        <v>360</v>
      </c>
      <c r="U28" s="275" t="s">
        <v>362</v>
      </c>
      <c r="V28" s="275" t="s">
        <v>364</v>
      </c>
      <c r="W28" s="275" t="s">
        <v>189</v>
      </c>
      <c r="X28" s="276" t="s">
        <v>363</v>
      </c>
      <c r="AA28" s="20" t="s">
        <v>24</v>
      </c>
      <c r="AB28" s="20" t="s">
        <v>321</v>
      </c>
      <c r="AC28" s="20" t="s">
        <v>360</v>
      </c>
      <c r="AD28" s="20" t="s">
        <v>362</v>
      </c>
      <c r="AE28" s="20" t="s">
        <v>364</v>
      </c>
    </row>
    <row r="29">
      <c r="A29" s="277" t="s">
        <v>429</v>
      </c>
      <c r="B29" s="278">
        <v>9.821</v>
      </c>
      <c r="C29" s="279">
        <v>1.5255</v>
      </c>
      <c r="D29" s="280">
        <v>6.5565000000000015</v>
      </c>
      <c r="E29" s="281">
        <v>-29.363999999999997</v>
      </c>
      <c r="F29" s="282">
        <v>20.0</v>
      </c>
      <c r="G29" s="283">
        <f t="shared" ref="G29:G44" si="13">AVERAGE(B29:F29)</f>
        <v>1.7078</v>
      </c>
      <c r="I29" s="20" t="s">
        <v>429</v>
      </c>
      <c r="J29" s="34">
        <f t="shared" ref="J29:N29" si="11">B$52*B29+B$53</f>
        <v>0.1697435309</v>
      </c>
      <c r="K29" s="34">
        <f t="shared" si="11"/>
        <v>1</v>
      </c>
      <c r="L29" s="34">
        <f t="shared" si="11"/>
        <v>0.9717305267</v>
      </c>
      <c r="M29" s="34">
        <f t="shared" si="11"/>
        <v>0</v>
      </c>
      <c r="N29" s="34">
        <f t="shared" si="11"/>
        <v>1</v>
      </c>
      <c r="O29" s="34">
        <f t="shared" ref="O29:O44" si="15">AVERAGE(J29:N29)</f>
        <v>0.6282948115</v>
      </c>
      <c r="Q29" s="284" t="s">
        <v>392</v>
      </c>
      <c r="R29" s="285">
        <v>0.8437488055651112</v>
      </c>
      <c r="S29" s="286">
        <v>0.507548828498261</v>
      </c>
      <c r="T29" s="287">
        <v>1.0</v>
      </c>
      <c r="U29" s="288">
        <v>0.392503800433623</v>
      </c>
      <c r="V29" s="289">
        <v>0.4416764674436009</v>
      </c>
      <c r="W29" s="287">
        <v>0.6370955803881192</v>
      </c>
      <c r="X29" s="290">
        <f t="shared" ref="X29:X44" si="16">STDEV(R29:V29)</f>
        <v>0.2688871988</v>
      </c>
      <c r="AA29" s="34">
        <f t="shared" ref="AA29:AE29" si="12">R30+R33+R41+R34</f>
        <v>2.002102205</v>
      </c>
      <c r="AB29" s="34">
        <f t="shared" si="12"/>
        <v>2.737262546</v>
      </c>
      <c r="AC29" s="34">
        <f t="shared" si="12"/>
        <v>2.536989519</v>
      </c>
      <c r="AD29" s="34">
        <f t="shared" si="12"/>
        <v>2.003738131</v>
      </c>
      <c r="AE29" s="34">
        <f t="shared" si="12"/>
        <v>1.70474714</v>
      </c>
    </row>
    <row r="30">
      <c r="A30" s="291" t="s">
        <v>392</v>
      </c>
      <c r="B30" s="292">
        <v>18.638</v>
      </c>
      <c r="C30" s="293">
        <v>-4.9165</v>
      </c>
      <c r="D30" s="279">
        <v>7.5314999999999985</v>
      </c>
      <c r="E30" s="294">
        <v>-21.489</v>
      </c>
      <c r="F30" s="295">
        <v>4.3340000000000005</v>
      </c>
      <c r="G30" s="296">
        <f t="shared" si="13"/>
        <v>0.8196</v>
      </c>
      <c r="I30" s="20" t="s">
        <v>392</v>
      </c>
      <c r="J30" s="34">
        <f t="shared" ref="J30:N30" si="14">B$52*B30+B$53</f>
        <v>0.8437488056</v>
      </c>
      <c r="K30" s="34">
        <f t="shared" si="14"/>
        <v>0.5075488285</v>
      </c>
      <c r="L30" s="34">
        <f t="shared" si="14"/>
        <v>1</v>
      </c>
      <c r="M30" s="34">
        <f t="shared" si="14"/>
        <v>0.3925038004</v>
      </c>
      <c r="N30" s="34">
        <f t="shared" si="14"/>
        <v>0.4416764674</v>
      </c>
      <c r="O30" s="34">
        <f t="shared" si="15"/>
        <v>0.6370955804</v>
      </c>
      <c r="Q30" s="284" t="s">
        <v>429</v>
      </c>
      <c r="R30" s="297">
        <v>0.16974353094064143</v>
      </c>
      <c r="S30" s="287">
        <v>1.0</v>
      </c>
      <c r="T30" s="298">
        <v>0.9717305266820337</v>
      </c>
      <c r="U30" s="299">
        <v>-2.220446049250313E-16</v>
      </c>
      <c r="V30" s="287">
        <v>1.0</v>
      </c>
      <c r="W30" s="298">
        <v>0.628294811524535</v>
      </c>
      <c r="X30" s="300">
        <f t="shared" si="16"/>
        <v>0.4998252774</v>
      </c>
      <c r="Z30" s="20" t="s">
        <v>427</v>
      </c>
      <c r="AA30" s="301">
        <f t="shared" ref="AA30:AE30" si="17">R33/AA$29</f>
        <v>0.284435196</v>
      </c>
      <c r="AB30" s="301">
        <f t="shared" si="17"/>
        <v>0.3517419535</v>
      </c>
      <c r="AC30" s="301">
        <f t="shared" si="17"/>
        <v>0.2920245259</v>
      </c>
      <c r="AD30" s="301">
        <f t="shared" si="17"/>
        <v>0.1296204169</v>
      </c>
      <c r="AE30" s="301">
        <f t="shared" si="17"/>
        <v>0.2038215895</v>
      </c>
    </row>
    <row r="31">
      <c r="A31" s="277" t="s">
        <v>423</v>
      </c>
      <c r="B31" s="302">
        <v>14.198999999999998</v>
      </c>
      <c r="C31" s="303">
        <v>-4.078</v>
      </c>
      <c r="D31" s="304">
        <v>7.411000000000001</v>
      </c>
      <c r="E31" s="305">
        <v>-15.849499999999997</v>
      </c>
      <c r="F31" s="306">
        <v>1.5549999999999997</v>
      </c>
      <c r="G31" s="307">
        <f t="shared" si="13"/>
        <v>0.6475</v>
      </c>
      <c r="I31" s="20" t="s">
        <v>423</v>
      </c>
      <c r="J31" s="34">
        <f t="shared" ref="J31:N31" si="18">B$52*B31+B$53</f>
        <v>0.5044146313</v>
      </c>
      <c r="K31" s="34">
        <f t="shared" si="18"/>
        <v>0.5716469824</v>
      </c>
      <c r="L31" s="34">
        <f t="shared" si="18"/>
        <v>0.996506183</v>
      </c>
      <c r="M31" s="34">
        <f t="shared" si="18"/>
        <v>0.6735863633</v>
      </c>
      <c r="N31" s="34">
        <f t="shared" si="18"/>
        <v>0.3426351616</v>
      </c>
      <c r="O31" s="34">
        <f t="shared" si="15"/>
        <v>0.6177578643</v>
      </c>
      <c r="Q31" s="284" t="s">
        <v>423</v>
      </c>
      <c r="R31" s="308">
        <v>0.5044146313496158</v>
      </c>
      <c r="S31" s="309">
        <v>0.5716469823796966</v>
      </c>
      <c r="T31" s="310">
        <v>0.9965061830412154</v>
      </c>
      <c r="U31" s="311">
        <v>0.6735863632965334</v>
      </c>
      <c r="V31" s="312">
        <v>0.3426351616237213</v>
      </c>
      <c r="W31" s="313">
        <v>0.6177578643381565</v>
      </c>
      <c r="X31" s="314">
        <f t="shared" si="16"/>
        <v>0.2435326024</v>
      </c>
      <c r="Z31" s="20" t="s">
        <v>428</v>
      </c>
      <c r="AA31" s="301">
        <f t="shared" ref="AA31:AE31" si="19">R41/AA$29</f>
        <v>0.4622859434</v>
      </c>
      <c r="AB31" s="301">
        <f t="shared" si="19"/>
        <v>0.07166096488</v>
      </c>
      <c r="AC31" s="301">
        <f t="shared" si="19"/>
        <v>0</v>
      </c>
      <c r="AD31" s="301">
        <f t="shared" si="19"/>
        <v>0.4990672106</v>
      </c>
      <c r="AE31" s="301">
        <f t="shared" si="19"/>
        <v>0.04265838795</v>
      </c>
      <c r="AL31" s="20"/>
      <c r="AM31" s="20"/>
    </row>
    <row r="32">
      <c r="A32" s="291" t="s">
        <v>422</v>
      </c>
      <c r="B32" s="315">
        <v>12.013500000000002</v>
      </c>
      <c r="C32" s="316">
        <v>-3.9909999999999997</v>
      </c>
      <c r="D32" s="317">
        <v>1.475</v>
      </c>
      <c r="E32" s="318">
        <v>-14.4365</v>
      </c>
      <c r="F32" s="319">
        <v>-0.07449999999999965</v>
      </c>
      <c r="G32" s="320">
        <f t="shared" si="13"/>
        <v>-1.0027</v>
      </c>
      <c r="I32" s="20" t="s">
        <v>422</v>
      </c>
      <c r="J32" s="34">
        <f t="shared" ref="J32:N32" si="20">B$52*B32+B$53</f>
        <v>0.3373466346</v>
      </c>
      <c r="K32" s="34">
        <f t="shared" si="20"/>
        <v>0.5782975958</v>
      </c>
      <c r="L32" s="34">
        <f t="shared" si="20"/>
        <v>0.8243958306</v>
      </c>
      <c r="M32" s="34">
        <f t="shared" si="20"/>
        <v>0.7440127595</v>
      </c>
      <c r="N32" s="34">
        <f t="shared" si="20"/>
        <v>0.2845611034</v>
      </c>
      <c r="O32" s="34">
        <f t="shared" si="15"/>
        <v>0.5537227848</v>
      </c>
      <c r="Q32" s="321" t="s">
        <v>424</v>
      </c>
      <c r="R32" s="322">
        <v>0.5614799526048238</v>
      </c>
      <c r="S32" s="323">
        <v>0.5803233574131408</v>
      </c>
      <c r="T32" s="324">
        <v>0.657562446541701</v>
      </c>
      <c r="U32" s="325">
        <v>0.7510902883345377</v>
      </c>
      <c r="V32" s="326">
        <v>0.3301258063366477</v>
      </c>
      <c r="W32" s="327">
        <v>0.5761163702461701</v>
      </c>
      <c r="X32" s="328">
        <f t="shared" si="16"/>
        <v>0.1565188618</v>
      </c>
      <c r="Z32" s="20" t="s">
        <v>429</v>
      </c>
      <c r="AA32" s="301">
        <f t="shared" ref="AA32:AE32" si="21">R30/AA$29</f>
        <v>0.0847826502</v>
      </c>
      <c r="AB32" s="301">
        <f t="shared" si="21"/>
        <v>0.3653284926</v>
      </c>
      <c r="AC32" s="301">
        <f t="shared" si="21"/>
        <v>0.3830250459</v>
      </c>
      <c r="AD32" s="301">
        <f t="shared" si="21"/>
        <v>0</v>
      </c>
      <c r="AE32" s="301">
        <f t="shared" si="21"/>
        <v>0.5865972592</v>
      </c>
    </row>
    <row r="33">
      <c r="A33" s="277" t="s">
        <v>424</v>
      </c>
      <c r="B33" s="329">
        <v>14.945500000000001</v>
      </c>
      <c r="C33" s="316">
        <v>-3.9644999999999997</v>
      </c>
      <c r="D33" s="330">
        <v>-4.279000000000001</v>
      </c>
      <c r="E33" s="331">
        <v>-14.2945</v>
      </c>
      <c r="F33" s="332">
        <v>1.2039999999999995</v>
      </c>
      <c r="G33" s="333">
        <f t="shared" si="13"/>
        <v>-1.2777</v>
      </c>
      <c r="I33" s="20" t="s">
        <v>424</v>
      </c>
      <c r="J33" s="34">
        <f t="shared" ref="J33:N33" si="22">B$52*B33+B$53</f>
        <v>0.5614799526</v>
      </c>
      <c r="K33" s="34">
        <f t="shared" si="22"/>
        <v>0.5803233574</v>
      </c>
      <c r="L33" s="34">
        <f t="shared" si="22"/>
        <v>0.6575624465</v>
      </c>
      <c r="M33" s="34">
        <f t="shared" si="22"/>
        <v>0.7510902883</v>
      </c>
      <c r="N33" s="34">
        <f t="shared" si="22"/>
        <v>0.3301258063</v>
      </c>
      <c r="O33" s="34">
        <f t="shared" si="15"/>
        <v>0.5761163702</v>
      </c>
      <c r="Q33" s="334" t="s">
        <v>427</v>
      </c>
      <c r="R33" s="335">
        <v>0.5694683331422234</v>
      </c>
      <c r="S33" s="336">
        <v>0.9628100752971754</v>
      </c>
      <c r="T33" s="337">
        <v>0.7408631612519753</v>
      </c>
      <c r="U33" s="338">
        <v>0.2597253719440773</v>
      </c>
      <c r="V33" s="339">
        <v>0.34746427171317573</v>
      </c>
      <c r="W33" s="327">
        <v>0.5760662426697255</v>
      </c>
      <c r="X33" s="340">
        <f t="shared" si="16"/>
        <v>0.2868373914</v>
      </c>
      <c r="Z33" s="51" t="s">
        <v>422</v>
      </c>
      <c r="AA33" s="301">
        <f t="shared" ref="AA33:AE33" si="23">R34/AA$29</f>
        <v>0.1684962105</v>
      </c>
      <c r="AB33" s="301">
        <f t="shared" si="23"/>
        <v>0.211268589</v>
      </c>
      <c r="AC33" s="301">
        <f t="shared" si="23"/>
        <v>0.3249504283</v>
      </c>
      <c r="AD33" s="301">
        <f t="shared" si="23"/>
        <v>0.3713123725</v>
      </c>
      <c r="AE33" s="301">
        <f t="shared" si="23"/>
        <v>0.1669227633</v>
      </c>
    </row>
    <row r="34">
      <c r="A34" s="291" t="s">
        <v>427</v>
      </c>
      <c r="B34" s="341">
        <v>15.049999999999997</v>
      </c>
      <c r="C34" s="342">
        <v>1.0390000000000001</v>
      </c>
      <c r="D34" s="343">
        <v>-1.406</v>
      </c>
      <c r="E34" s="344">
        <v>-24.153</v>
      </c>
      <c r="F34" s="345">
        <v>1.6905000000000001</v>
      </c>
      <c r="G34" s="346">
        <f t="shared" si="13"/>
        <v>-1.5559</v>
      </c>
      <c r="I34" s="20" t="s">
        <v>427</v>
      </c>
      <c r="J34" s="34">
        <f t="shared" ref="J34:N34" si="24">B$52*B34+B$53</f>
        <v>0.5694683331</v>
      </c>
      <c r="K34" s="34">
        <f t="shared" si="24"/>
        <v>0.9628100753</v>
      </c>
      <c r="L34" s="34">
        <f t="shared" si="24"/>
        <v>0.7408631613</v>
      </c>
      <c r="M34" s="34">
        <f t="shared" si="24"/>
        <v>0.2597253719</v>
      </c>
      <c r="N34" s="34">
        <f t="shared" si="24"/>
        <v>0.3474642717</v>
      </c>
      <c r="O34" s="34">
        <f t="shared" si="15"/>
        <v>0.5760662427</v>
      </c>
      <c r="Q34" s="347" t="s">
        <v>422</v>
      </c>
      <c r="R34" s="348">
        <v>0.33734663456025715</v>
      </c>
      <c r="S34" s="323">
        <v>0.5782975958414556</v>
      </c>
      <c r="T34" s="349">
        <v>0.8243958306151147</v>
      </c>
      <c r="U34" s="350">
        <v>0.7440127594886234</v>
      </c>
      <c r="V34" s="351">
        <v>0.2845611033892868</v>
      </c>
      <c r="W34" s="352">
        <v>0.5537227847789475</v>
      </c>
      <c r="X34" s="353">
        <f t="shared" si="16"/>
        <v>0.239449756</v>
      </c>
    </row>
    <row r="35">
      <c r="A35" s="277" t="s">
        <v>430</v>
      </c>
      <c r="B35" s="354">
        <v>17.915999999999997</v>
      </c>
      <c r="C35" s="355">
        <v>-7.530500000000001</v>
      </c>
      <c r="D35" s="356">
        <v>-0.8740000000000002</v>
      </c>
      <c r="E35" s="357">
        <v>-21.378000000000004</v>
      </c>
      <c r="F35" s="358">
        <v>2.8</v>
      </c>
      <c r="G35" s="359">
        <f t="shared" si="13"/>
        <v>-1.8133</v>
      </c>
      <c r="I35" s="20" t="s">
        <v>430</v>
      </c>
      <c r="J35" s="34">
        <f t="shared" ref="J35:N35" si="25">B$52*B35+B$53</f>
        <v>0.7885563582</v>
      </c>
      <c r="K35" s="34">
        <f t="shared" si="25"/>
        <v>0.3077246493</v>
      </c>
      <c r="L35" s="34">
        <f t="shared" si="25"/>
        <v>0.7562881457</v>
      </c>
      <c r="M35" s="34">
        <f t="shared" si="25"/>
        <v>0.398036235</v>
      </c>
      <c r="N35" s="34">
        <f t="shared" si="25"/>
        <v>0.3870059517</v>
      </c>
      <c r="O35" s="34">
        <f t="shared" si="15"/>
        <v>0.527522268</v>
      </c>
      <c r="Q35" s="334" t="s">
        <v>430</v>
      </c>
      <c r="R35" s="360">
        <v>0.7885563582158006</v>
      </c>
      <c r="S35" s="361">
        <v>0.30772464931391663</v>
      </c>
      <c r="T35" s="362">
        <v>0.756288145667522</v>
      </c>
      <c r="U35" s="363">
        <v>0.3980362349540205</v>
      </c>
      <c r="V35" s="288">
        <v>0.3870059517445382</v>
      </c>
      <c r="W35" s="364">
        <v>0.5275222679791596</v>
      </c>
      <c r="X35" s="365">
        <f t="shared" si="16"/>
        <v>0.2265475028</v>
      </c>
    </row>
    <row r="36">
      <c r="A36" s="291" t="s">
        <v>421</v>
      </c>
      <c r="B36" s="366">
        <v>8.2845</v>
      </c>
      <c r="C36" s="367">
        <v>0.22299999999999986</v>
      </c>
      <c r="D36" s="368">
        <v>-1.7254999999999998</v>
      </c>
      <c r="E36" s="369">
        <v>-19.266000000000002</v>
      </c>
      <c r="F36" s="355">
        <v>0.5814999999999998</v>
      </c>
      <c r="G36" s="370">
        <f t="shared" si="13"/>
        <v>-2.3805</v>
      </c>
      <c r="I36" s="20" t="s">
        <v>421</v>
      </c>
      <c r="J36" s="34">
        <f t="shared" ref="J36:N36" si="26">B$52*B36+B$53</f>
        <v>0.0522875817</v>
      </c>
      <c r="K36" s="34">
        <f t="shared" si="26"/>
        <v>0.9004319077</v>
      </c>
      <c r="L36" s="34">
        <f t="shared" si="26"/>
        <v>0.7315994723</v>
      </c>
      <c r="M36" s="34">
        <f t="shared" si="26"/>
        <v>0.5033020161</v>
      </c>
      <c r="N36" s="34">
        <f t="shared" si="26"/>
        <v>0.3079404113</v>
      </c>
      <c r="O36" s="34">
        <f t="shared" si="15"/>
        <v>0.4991122778</v>
      </c>
      <c r="Q36" s="321" t="s">
        <v>425</v>
      </c>
      <c r="R36" s="287">
        <v>1.0</v>
      </c>
      <c r="S36" s="371">
        <v>0.5754309521079387</v>
      </c>
      <c r="T36" s="297">
        <v>0.16867452413053263</v>
      </c>
      <c r="U36" s="372">
        <v>0.7671144117427168</v>
      </c>
      <c r="V36" s="373">
        <v>0.11867849887736548</v>
      </c>
      <c r="W36" s="311">
        <v>0.5259796773717106</v>
      </c>
      <c r="X36" s="374">
        <f t="shared" si="16"/>
        <v>0.3804102645</v>
      </c>
      <c r="Z36" s="51" t="s">
        <v>435</v>
      </c>
    </row>
    <row r="37">
      <c r="A37" s="277" t="s">
        <v>32</v>
      </c>
      <c r="B37" s="375">
        <v>15.570000000000002</v>
      </c>
      <c r="C37" s="376">
        <v>-5.383000000000001</v>
      </c>
      <c r="D37" s="377">
        <v>-3.434</v>
      </c>
      <c r="E37" s="378">
        <v>-19.584000000000003</v>
      </c>
      <c r="F37" s="379">
        <v>-0.5320000000000001</v>
      </c>
      <c r="G37" s="380">
        <f t="shared" si="13"/>
        <v>-2.6726</v>
      </c>
      <c r="I37" s="20" t="s">
        <v>32</v>
      </c>
      <c r="J37" s="34">
        <f t="shared" ref="J37:N37" si="27">B$52*B37+B$53</f>
        <v>0.6092191262</v>
      </c>
      <c r="K37" s="34">
        <f t="shared" si="27"/>
        <v>0.4718877805</v>
      </c>
      <c r="L37" s="34">
        <f t="shared" si="27"/>
        <v>0.6820626568</v>
      </c>
      <c r="M37" s="34">
        <f t="shared" si="27"/>
        <v>0.4874523388</v>
      </c>
      <c r="N37" s="34">
        <f t="shared" si="27"/>
        <v>0.2682561745</v>
      </c>
      <c r="O37" s="34">
        <f t="shared" si="15"/>
        <v>0.5037756154</v>
      </c>
      <c r="P37" s="255"/>
      <c r="Q37" s="334" t="s">
        <v>201</v>
      </c>
      <c r="R37" s="360">
        <v>0.7865305966441156</v>
      </c>
      <c r="S37" s="381">
        <v>0.3248480678821237</v>
      </c>
      <c r="T37" s="382">
        <v>0.68388929964192</v>
      </c>
      <c r="U37" s="309">
        <v>0.5724076058514214</v>
      </c>
      <c r="V37" s="383">
        <v>0.17546954631312583</v>
      </c>
      <c r="W37" s="384">
        <v>0.5086290232665414</v>
      </c>
      <c r="X37" s="385">
        <f t="shared" si="16"/>
        <v>0.2533692134</v>
      </c>
      <c r="Y37" s="255"/>
      <c r="Z37" s="255"/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291" t="s">
        <v>201</v>
      </c>
      <c r="B38" s="354">
        <v>17.889499999999998</v>
      </c>
      <c r="C38" s="386">
        <v>-7.3065</v>
      </c>
      <c r="D38" s="387">
        <v>-3.3709999999999996</v>
      </c>
      <c r="E38" s="303">
        <v>-17.879500000000004</v>
      </c>
      <c r="F38" s="388">
        <v>-3.1354999999999995</v>
      </c>
      <c r="G38" s="389">
        <f t="shared" si="13"/>
        <v>-2.7606</v>
      </c>
      <c r="I38" s="20" t="s">
        <v>201</v>
      </c>
      <c r="J38" s="34">
        <f t="shared" ref="J38:N38" si="28">B$52*B38+B$53</f>
        <v>0.7865305966</v>
      </c>
      <c r="K38" s="34">
        <f t="shared" si="28"/>
        <v>0.3248480679</v>
      </c>
      <c r="L38" s="34">
        <f t="shared" si="28"/>
        <v>0.6838892996</v>
      </c>
      <c r="M38" s="34">
        <f t="shared" si="28"/>
        <v>0.5724076059</v>
      </c>
      <c r="N38" s="34">
        <f t="shared" si="28"/>
        <v>0.1754695463</v>
      </c>
      <c r="O38" s="34">
        <f t="shared" si="15"/>
        <v>0.5086290233</v>
      </c>
      <c r="Q38" s="390" t="s">
        <v>32</v>
      </c>
      <c r="R38" s="391">
        <v>0.6092191262469902</v>
      </c>
      <c r="S38" s="392">
        <v>0.4718877804533119</v>
      </c>
      <c r="T38" s="393">
        <v>0.6820626567506052</v>
      </c>
      <c r="U38" s="394">
        <v>0.48745233882423267</v>
      </c>
      <c r="V38" s="395">
        <v>0.26825617448946854</v>
      </c>
      <c r="W38" s="391">
        <v>0.5037756153529217</v>
      </c>
      <c r="X38" s="328">
        <f t="shared" si="16"/>
        <v>0.1578427172</v>
      </c>
    </row>
    <row r="39">
      <c r="A39" s="277" t="s">
        <v>425</v>
      </c>
      <c r="B39" s="279">
        <v>20.682000000000002</v>
      </c>
      <c r="C39" s="396">
        <v>-4.0285</v>
      </c>
      <c r="D39" s="278">
        <v>-21.140499999999996</v>
      </c>
      <c r="E39" s="397">
        <v>-13.972999999999999</v>
      </c>
      <c r="F39" s="398">
        <v>-4.728999999999999</v>
      </c>
      <c r="G39" s="399">
        <f t="shared" si="13"/>
        <v>-4.6378</v>
      </c>
      <c r="I39" s="20" t="s">
        <v>425</v>
      </c>
      <c r="J39" s="34">
        <f t="shared" ref="J39:N39" si="29">B$52*B39+B$53</f>
        <v>1</v>
      </c>
      <c r="K39" s="34">
        <f t="shared" si="29"/>
        <v>0.5754309521</v>
      </c>
      <c r="L39" s="34">
        <f t="shared" si="29"/>
        <v>0.1686745241</v>
      </c>
      <c r="M39" s="34">
        <f t="shared" si="29"/>
        <v>0.7671144117</v>
      </c>
      <c r="N39" s="34">
        <f t="shared" si="29"/>
        <v>0.1186784989</v>
      </c>
      <c r="O39" s="34">
        <f t="shared" si="15"/>
        <v>0.5259796774</v>
      </c>
      <c r="Q39" s="400" t="s">
        <v>421</v>
      </c>
      <c r="R39" s="401">
        <v>0.05228758169934655</v>
      </c>
      <c r="S39" s="402">
        <v>0.9004319076558499</v>
      </c>
      <c r="T39" s="403">
        <v>0.7315994723031647</v>
      </c>
      <c r="U39" s="404">
        <v>0.5033020160988857</v>
      </c>
      <c r="V39" s="361">
        <v>0.3079404112762393</v>
      </c>
      <c r="W39" s="405">
        <v>0.49911227780669715</v>
      </c>
      <c r="X39" s="406">
        <f t="shared" si="16"/>
        <v>0.3359033665</v>
      </c>
    </row>
    <row r="40">
      <c r="A40" s="291" t="s">
        <v>391</v>
      </c>
      <c r="B40" s="407">
        <v>18.777</v>
      </c>
      <c r="C40" s="408">
        <v>-8.564499999999999</v>
      </c>
      <c r="D40" s="409">
        <v>-20.615500000000004</v>
      </c>
      <c r="E40" s="410">
        <v>-16.996</v>
      </c>
      <c r="F40" s="411">
        <v>3.788499999999999</v>
      </c>
      <c r="G40" s="412">
        <f t="shared" si="13"/>
        <v>-4.7221</v>
      </c>
      <c r="I40" s="20" t="s">
        <v>391</v>
      </c>
      <c r="J40" s="34">
        <f t="shared" ref="J40:N40" si="30">B$52*B40+B$53</f>
        <v>0.8543744983</v>
      </c>
      <c r="K40" s="34">
        <f t="shared" si="30"/>
        <v>0.2286817261</v>
      </c>
      <c r="L40" s="34">
        <f t="shared" si="30"/>
        <v>0.1838965482</v>
      </c>
      <c r="M40" s="34">
        <f t="shared" si="30"/>
        <v>0.6164427941</v>
      </c>
      <c r="N40" s="34">
        <f t="shared" si="30"/>
        <v>0.4222352899</v>
      </c>
      <c r="O40" s="34">
        <f t="shared" si="15"/>
        <v>0.4611261713</v>
      </c>
      <c r="Q40" s="321" t="s">
        <v>391</v>
      </c>
      <c r="R40" s="413">
        <v>0.8543744983373467</v>
      </c>
      <c r="S40" s="414">
        <v>0.22868172610174686</v>
      </c>
      <c r="T40" s="415">
        <v>0.18389654822482193</v>
      </c>
      <c r="U40" s="416">
        <v>0.6164427941286414</v>
      </c>
      <c r="V40" s="417">
        <v>0.4222352899248012</v>
      </c>
      <c r="W40" s="418">
        <v>0.46112617134347167</v>
      </c>
      <c r="X40" s="419">
        <f t="shared" si="16"/>
        <v>0.2789115831</v>
      </c>
    </row>
    <row r="41">
      <c r="A41" s="277" t="s">
        <v>426</v>
      </c>
      <c r="B41" s="420">
        <v>12.574999999999998</v>
      </c>
      <c r="C41" s="421">
        <v>-4.825000000000001</v>
      </c>
      <c r="D41" s="422">
        <v>-6.465499999999999</v>
      </c>
      <c r="E41" s="423">
        <v>-21.201500000000003</v>
      </c>
      <c r="F41" s="281">
        <v>-8.059</v>
      </c>
      <c r="G41" s="424">
        <f t="shared" si="13"/>
        <v>-5.5952</v>
      </c>
      <c r="I41" s="20" t="s">
        <v>426</v>
      </c>
      <c r="J41" s="34">
        <f t="shared" ref="J41:N41" si="31">B$52*B41+B$53</f>
        <v>0.3802698467</v>
      </c>
      <c r="K41" s="34">
        <f t="shared" si="31"/>
        <v>0.5145434392</v>
      </c>
      <c r="L41" s="34">
        <f t="shared" si="31"/>
        <v>0.5941663405</v>
      </c>
      <c r="M41" s="34">
        <f t="shared" si="31"/>
        <v>0.4068333043</v>
      </c>
      <c r="N41" s="34">
        <f t="shared" si="31"/>
        <v>0</v>
      </c>
      <c r="O41" s="34">
        <f t="shared" si="15"/>
        <v>0.3791625861</v>
      </c>
      <c r="Q41" s="400" t="s">
        <v>428</v>
      </c>
      <c r="R41" s="425">
        <v>0.9255437067614574</v>
      </c>
      <c r="S41" s="426">
        <v>0.19615487520544272</v>
      </c>
      <c r="T41" s="299">
        <v>0.0</v>
      </c>
      <c r="U41" s="310">
        <v>0.9999999999999999</v>
      </c>
      <c r="V41" s="427">
        <v>0.07272176485263188</v>
      </c>
      <c r="W41" s="417">
        <v>0.43888406936390634</v>
      </c>
      <c r="X41" s="428">
        <f t="shared" si="16"/>
        <v>0.4840713304</v>
      </c>
    </row>
    <row r="42">
      <c r="A42" s="429" t="s">
        <v>31</v>
      </c>
      <c r="B42" s="430">
        <v>10.918499999999998</v>
      </c>
      <c r="C42" s="281">
        <v>-11.556000000000001</v>
      </c>
      <c r="D42" s="421">
        <v>-9.255500000000001</v>
      </c>
      <c r="E42" s="431">
        <v>-19.555500000000002</v>
      </c>
      <c r="F42" s="432">
        <v>-1.8045000000000002</v>
      </c>
      <c r="G42" s="433">
        <f t="shared" si="13"/>
        <v>-6.2506</v>
      </c>
      <c r="I42" s="20" t="s">
        <v>31</v>
      </c>
      <c r="J42" s="34">
        <f t="shared" ref="J42:N42" si="32">B$52*B42+B$53</f>
        <v>0.2536406375</v>
      </c>
      <c r="K42" s="34">
        <f t="shared" si="32"/>
        <v>0</v>
      </c>
      <c r="L42" s="34">
        <f t="shared" si="32"/>
        <v>0.5132721553</v>
      </c>
      <c r="M42" s="34">
        <f t="shared" si="32"/>
        <v>0.4888728288</v>
      </c>
      <c r="N42" s="34">
        <f t="shared" si="32"/>
        <v>0.2229053067</v>
      </c>
      <c r="O42" s="34">
        <f t="shared" si="15"/>
        <v>0.2957381857</v>
      </c>
      <c r="Q42" s="321" t="s">
        <v>426</v>
      </c>
      <c r="R42" s="434">
        <v>0.3802698467301149</v>
      </c>
      <c r="S42" s="435">
        <v>0.5145434392080419</v>
      </c>
      <c r="T42" s="436">
        <v>0.594166340480436</v>
      </c>
      <c r="U42" s="437">
        <v>0.40683330425897735</v>
      </c>
      <c r="V42" s="299">
        <v>-5.551115123125783E-17</v>
      </c>
      <c r="W42" s="438">
        <v>0.379162586135514</v>
      </c>
      <c r="X42" s="439">
        <f t="shared" si="16"/>
        <v>0.2286294771</v>
      </c>
    </row>
    <row r="43">
      <c r="A43" s="440" t="s">
        <v>428</v>
      </c>
      <c r="B43" s="441">
        <v>19.708000000000006</v>
      </c>
      <c r="C43" s="442">
        <v>-8.990000000000002</v>
      </c>
      <c r="D43" s="281">
        <v>-26.958</v>
      </c>
      <c r="E43" s="279">
        <v>-9.3005</v>
      </c>
      <c r="F43" s="443">
        <v>-6.0184999999999995</v>
      </c>
      <c r="G43" s="444">
        <f t="shared" si="13"/>
        <v>-6.3118</v>
      </c>
      <c r="I43" s="20" t="s">
        <v>428</v>
      </c>
      <c r="J43" s="34">
        <f t="shared" ref="J43:N43" si="33">B$52*B43+B$53</f>
        <v>0.9255437068</v>
      </c>
      <c r="K43" s="34">
        <f t="shared" si="33"/>
        <v>0.1961548752</v>
      </c>
      <c r="L43" s="34">
        <f t="shared" si="33"/>
        <v>0</v>
      </c>
      <c r="M43" s="34">
        <f t="shared" si="33"/>
        <v>1</v>
      </c>
      <c r="N43" s="34">
        <f t="shared" si="33"/>
        <v>0.07272176485</v>
      </c>
      <c r="O43" s="34">
        <f t="shared" si="15"/>
        <v>0.4388840694</v>
      </c>
      <c r="Q43" s="400" t="s">
        <v>179</v>
      </c>
      <c r="R43" s="299">
        <v>1.1102230246251565E-16</v>
      </c>
      <c r="S43" s="445">
        <v>0.37228146619271507</v>
      </c>
      <c r="T43" s="446">
        <v>0.2882181533510198</v>
      </c>
      <c r="U43" s="447">
        <v>0.7191666458992697</v>
      </c>
      <c r="V43" s="448">
        <v>0.11693217862361441</v>
      </c>
      <c r="W43" s="449">
        <v>0.2993196888133238</v>
      </c>
      <c r="X43" s="450">
        <f t="shared" si="16"/>
        <v>0.2759418473</v>
      </c>
    </row>
    <row r="44">
      <c r="A44" s="429" t="s">
        <v>179</v>
      </c>
      <c r="B44" s="451">
        <v>7.6004999999999985</v>
      </c>
      <c r="C44" s="452">
        <v>-6.685999999999998</v>
      </c>
      <c r="D44" s="453">
        <v>-17.017500000000002</v>
      </c>
      <c r="E44" s="454">
        <v>-14.934999999999999</v>
      </c>
      <c r="F44" s="455">
        <v>-4.7780000000000005</v>
      </c>
      <c r="G44" s="456">
        <f t="shared" si="13"/>
        <v>-7.1632</v>
      </c>
      <c r="I44" s="20" t="s">
        <v>179</v>
      </c>
      <c r="J44" s="34">
        <f t="shared" ref="J44:N44" si="34">B$52*B44+B$53</f>
        <v>0</v>
      </c>
      <c r="K44" s="34">
        <f t="shared" si="34"/>
        <v>0.3722814662</v>
      </c>
      <c r="L44" s="34">
        <f t="shared" si="34"/>
        <v>0.2882181534</v>
      </c>
      <c r="M44" s="34">
        <f t="shared" si="34"/>
        <v>0.7191666459</v>
      </c>
      <c r="N44" s="34">
        <f t="shared" si="34"/>
        <v>0.1169321786</v>
      </c>
      <c r="O44" s="34">
        <f t="shared" si="15"/>
        <v>0.2993196888</v>
      </c>
      <c r="Q44" s="457" t="s">
        <v>31</v>
      </c>
      <c r="R44" s="458">
        <v>0.2536406375415663</v>
      </c>
      <c r="S44" s="459">
        <v>0.0</v>
      </c>
      <c r="T44" s="460">
        <v>0.5132721552936401</v>
      </c>
      <c r="U44" s="461">
        <v>0.48887282876865923</v>
      </c>
      <c r="V44" s="462">
        <v>0.22290530667521996</v>
      </c>
      <c r="W44" s="459">
        <v>0.2957381856558171</v>
      </c>
      <c r="X44" s="463">
        <f t="shared" si="16"/>
        <v>0.2116364362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436</v>
      </c>
      <c r="B47" s="28">
        <f>MIN(Table1[eng])</f>
        <v>7.6005</v>
      </c>
      <c r="C47" s="28">
        <f>MIN(Table1[fra])</f>
        <v>-11.556</v>
      </c>
      <c r="D47" s="28">
        <f>MIN(Table1[ger])</f>
        <v>-26.958</v>
      </c>
      <c r="E47" s="28">
        <f>MIN(Table1[ita])</f>
        <v>-29.364</v>
      </c>
      <c r="F47" s="34">
        <f>MIN(Table1[spa])</f>
        <v>-8.059</v>
      </c>
      <c r="Q47" s="20" t="s">
        <v>437</v>
      </c>
    </row>
    <row r="48">
      <c r="A48" s="20" t="s">
        <v>438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439</v>
      </c>
      <c r="B49" s="28">
        <f>MAX(Table1[eng])</f>
        <v>20.682</v>
      </c>
      <c r="C49" s="28">
        <f>MAX(Table1[fra])</f>
        <v>1.5255</v>
      </c>
      <c r="D49" s="28">
        <f>MAX(Table1[ger])</f>
        <v>7.5315</v>
      </c>
      <c r="E49" s="28">
        <f>MAX(Table1[ita])</f>
        <v>-9.3005</v>
      </c>
      <c r="F49" s="34">
        <f>MAX(Table1[spa])</f>
        <v>20</v>
      </c>
    </row>
    <row r="50">
      <c r="A50" s="20" t="s">
        <v>440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4">
        <f t="shared" ref="B52:F52" si="35">(B50-B48)/(B49-B47)</f>
        <v>0.07644383289</v>
      </c>
      <c r="C52" s="34">
        <f t="shared" si="35"/>
        <v>0.07644383289</v>
      </c>
      <c r="D52" s="34">
        <f t="shared" si="35"/>
        <v>0.02899433161</v>
      </c>
      <c r="E52" s="34">
        <f t="shared" si="35"/>
        <v>0.04984175244</v>
      </c>
      <c r="F52" s="34">
        <f t="shared" si="35"/>
        <v>0.03563918885</v>
      </c>
    </row>
    <row r="53">
      <c r="A53" s="20" t="s">
        <v>293</v>
      </c>
      <c r="B53" s="34">
        <f t="shared" ref="B53:F53" si="36">B50-B52*B49</f>
        <v>-0.5810113519</v>
      </c>
      <c r="C53" s="34">
        <f t="shared" si="36"/>
        <v>0.8833849329</v>
      </c>
      <c r="D53" s="34">
        <f t="shared" si="36"/>
        <v>0.7816291915</v>
      </c>
      <c r="E53" s="34">
        <f t="shared" si="36"/>
        <v>1.463553219</v>
      </c>
      <c r="F53" s="34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203"/>
      <c r="B1" s="103" t="s">
        <v>38</v>
      </c>
      <c r="C1" s="204"/>
      <c r="D1" s="204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 t="s">
        <v>37</v>
      </c>
      <c r="T1" s="204"/>
      <c r="U1" s="103"/>
      <c r="V1" s="103"/>
      <c r="W1" s="103"/>
      <c r="X1" s="103"/>
      <c r="Y1" s="103"/>
      <c r="Z1" s="103"/>
      <c r="AA1" s="103"/>
      <c r="AB1" s="103"/>
      <c r="AC1" s="103"/>
      <c r="AD1" s="103"/>
      <c r="AE1" s="103"/>
      <c r="AF1" s="103"/>
      <c r="AH1" s="204"/>
      <c r="AJ1" s="103" t="s">
        <v>28</v>
      </c>
      <c r="AK1" s="204"/>
      <c r="AN1" s="204"/>
      <c r="AO1" s="209"/>
      <c r="AP1" s="209"/>
      <c r="AQ1" s="209"/>
      <c r="AR1" s="209"/>
      <c r="AS1" s="209"/>
      <c r="AT1" s="209"/>
      <c r="AU1" s="209"/>
      <c r="AX1" s="209"/>
      <c r="AY1" s="209"/>
      <c r="AZ1" s="209"/>
      <c r="BA1" s="103" t="s">
        <v>29</v>
      </c>
      <c r="BB1" s="209"/>
      <c r="BC1" s="209"/>
      <c r="BD1" s="209"/>
      <c r="BE1" s="209"/>
      <c r="BF1" s="209"/>
      <c r="BG1" s="209"/>
      <c r="BH1" s="209"/>
      <c r="BI1" s="209"/>
      <c r="BJ1" s="209"/>
      <c r="BK1" s="209"/>
      <c r="BL1" s="209"/>
      <c r="BM1" s="209"/>
      <c r="BN1" s="209"/>
      <c r="BO1" s="209"/>
      <c r="BP1" s="209"/>
      <c r="BQ1" s="209"/>
      <c r="BR1" s="103" t="s">
        <v>25</v>
      </c>
      <c r="BS1" s="209"/>
      <c r="BT1" s="209"/>
      <c r="BU1" s="209"/>
      <c r="BV1" s="209"/>
      <c r="BW1" s="209"/>
      <c r="BX1" s="209"/>
      <c r="BY1" s="209"/>
      <c r="BZ1" s="209"/>
      <c r="CA1" s="209"/>
      <c r="CB1" s="209"/>
      <c r="CC1" s="209"/>
      <c r="CD1" s="209"/>
      <c r="CE1" s="209"/>
      <c r="CF1" s="209"/>
      <c r="CG1" s="209"/>
      <c r="CH1" s="209"/>
      <c r="CI1" s="209"/>
    </row>
    <row r="2">
      <c r="A2" s="178"/>
      <c r="B2" s="102" t="s">
        <v>179</v>
      </c>
      <c r="C2" s="102" t="s">
        <v>31</v>
      </c>
      <c r="D2" s="269" t="s">
        <v>201</v>
      </c>
      <c r="E2" s="102" t="s">
        <v>32</v>
      </c>
      <c r="F2" s="102" t="s">
        <v>421</v>
      </c>
      <c r="G2" s="102" t="s">
        <v>422</v>
      </c>
      <c r="H2" s="102" t="s">
        <v>423</v>
      </c>
      <c r="I2" s="269" t="s">
        <v>391</v>
      </c>
      <c r="J2" s="269" t="s">
        <v>392</v>
      </c>
      <c r="K2" s="102" t="s">
        <v>424</v>
      </c>
      <c r="L2" s="269" t="s">
        <v>425</v>
      </c>
      <c r="M2" s="102" t="s">
        <v>426</v>
      </c>
      <c r="N2" s="102" t="s">
        <v>427</v>
      </c>
      <c r="O2" s="269" t="s">
        <v>428</v>
      </c>
      <c r="P2" s="102" t="s">
        <v>429</v>
      </c>
      <c r="Q2" s="269" t="s">
        <v>430</v>
      </c>
      <c r="R2" s="211"/>
      <c r="S2" s="102" t="s">
        <v>179</v>
      </c>
      <c r="T2" s="102" t="s">
        <v>31</v>
      </c>
      <c r="U2" s="102" t="s">
        <v>201</v>
      </c>
      <c r="V2" s="102" t="s">
        <v>32</v>
      </c>
      <c r="W2" s="269" t="s">
        <v>421</v>
      </c>
      <c r="X2" s="102" t="s">
        <v>422</v>
      </c>
      <c r="Y2" s="102" t="s">
        <v>423</v>
      </c>
      <c r="Z2" s="102" t="s">
        <v>391</v>
      </c>
      <c r="AA2" s="102" t="s">
        <v>392</v>
      </c>
      <c r="AB2" s="102" t="s">
        <v>424</v>
      </c>
      <c r="AC2" s="102" t="s">
        <v>425</v>
      </c>
      <c r="AD2" s="102" t="s">
        <v>426</v>
      </c>
      <c r="AE2" s="269" t="s">
        <v>427</v>
      </c>
      <c r="AF2" s="102" t="s">
        <v>428</v>
      </c>
      <c r="AG2" s="269" t="s">
        <v>429</v>
      </c>
      <c r="AH2" s="102" t="s">
        <v>430</v>
      </c>
      <c r="AI2" s="84"/>
      <c r="AJ2" s="102" t="s">
        <v>179</v>
      </c>
      <c r="AK2" s="102" t="s">
        <v>31</v>
      </c>
      <c r="AL2" s="102" t="s">
        <v>201</v>
      </c>
      <c r="AM2" s="102" t="s">
        <v>32</v>
      </c>
      <c r="AN2" s="102" t="s">
        <v>421</v>
      </c>
      <c r="AO2" s="102" t="s">
        <v>422</v>
      </c>
      <c r="AP2" s="269" t="s">
        <v>423</v>
      </c>
      <c r="AQ2" s="102" t="s">
        <v>391</v>
      </c>
      <c r="AR2" s="269" t="s">
        <v>392</v>
      </c>
      <c r="AS2" s="102" t="s">
        <v>424</v>
      </c>
      <c r="AT2" s="102" t="s">
        <v>425</v>
      </c>
      <c r="AU2" s="102" t="s">
        <v>426</v>
      </c>
      <c r="AV2" s="102" t="s">
        <v>427</v>
      </c>
      <c r="AW2" s="102" t="s">
        <v>428</v>
      </c>
      <c r="AX2" s="269" t="s">
        <v>429</v>
      </c>
      <c r="AY2" s="102" t="s">
        <v>430</v>
      </c>
      <c r="AZ2" s="102"/>
      <c r="BA2" s="269" t="s">
        <v>179</v>
      </c>
      <c r="BB2" s="102" t="s">
        <v>31</v>
      </c>
      <c r="BC2" s="102" t="s">
        <v>201</v>
      </c>
      <c r="BD2" s="102" t="s">
        <v>32</v>
      </c>
      <c r="BE2" s="102" t="s">
        <v>421</v>
      </c>
      <c r="BF2" s="269" t="s">
        <v>422</v>
      </c>
      <c r="BG2" s="269" t="s">
        <v>423</v>
      </c>
      <c r="BH2" s="102" t="s">
        <v>391</v>
      </c>
      <c r="BI2" s="102" t="s">
        <v>392</v>
      </c>
      <c r="BJ2" s="269" t="s">
        <v>424</v>
      </c>
      <c r="BK2" s="269" t="s">
        <v>425</v>
      </c>
      <c r="BL2" s="102" t="s">
        <v>426</v>
      </c>
      <c r="BM2" s="102" t="s">
        <v>427</v>
      </c>
      <c r="BN2" s="269" t="s">
        <v>428</v>
      </c>
      <c r="BO2" s="102" t="s">
        <v>429</v>
      </c>
      <c r="BP2" s="102" t="s">
        <v>430</v>
      </c>
      <c r="BQ2" s="102"/>
      <c r="BR2" s="102" t="s">
        <v>179</v>
      </c>
      <c r="BS2" s="102" t="s">
        <v>31</v>
      </c>
      <c r="BT2" s="102" t="s">
        <v>201</v>
      </c>
      <c r="BU2" s="102" t="s">
        <v>32</v>
      </c>
      <c r="BV2" s="102" t="s">
        <v>421</v>
      </c>
      <c r="BW2" s="102" t="s">
        <v>422</v>
      </c>
      <c r="BX2" s="102" t="s">
        <v>423</v>
      </c>
      <c r="BY2" s="269" t="s">
        <v>391</v>
      </c>
      <c r="BZ2" s="269" t="s">
        <v>392</v>
      </c>
      <c r="CA2" s="102" t="s">
        <v>424</v>
      </c>
      <c r="CB2" s="102" t="s">
        <v>425</v>
      </c>
      <c r="CC2" s="102" t="s">
        <v>426</v>
      </c>
      <c r="CD2" s="102" t="s">
        <v>427</v>
      </c>
      <c r="CE2" s="102" t="s">
        <v>428</v>
      </c>
      <c r="CF2" s="102" t="s">
        <v>429</v>
      </c>
      <c r="CG2" s="102" t="s">
        <v>430</v>
      </c>
      <c r="CH2" s="102"/>
      <c r="CI2" s="102"/>
    </row>
    <row r="3">
      <c r="A3" s="234" t="s">
        <v>441</v>
      </c>
      <c r="B3" s="235">
        <f t="shared" ref="B3:Q3" si="1">AVERAGE(B5:B24)</f>
        <v>43.3825</v>
      </c>
      <c r="C3" s="235">
        <f t="shared" si="1"/>
        <v>45.8475</v>
      </c>
      <c r="D3" s="235">
        <f t="shared" si="1"/>
        <v>46.6455</v>
      </c>
      <c r="E3" s="235">
        <f t="shared" si="1"/>
        <v>44.675</v>
      </c>
      <c r="F3" s="235">
        <f t="shared" si="1"/>
        <v>44.7335</v>
      </c>
      <c r="G3" s="235">
        <f t="shared" si="1"/>
        <v>45.0135</v>
      </c>
      <c r="H3" s="235">
        <f t="shared" si="1"/>
        <v>46.7155</v>
      </c>
      <c r="I3" s="235">
        <f t="shared" si="1"/>
        <v>49.5395</v>
      </c>
      <c r="J3" s="235">
        <f t="shared" si="1"/>
        <v>46.989</v>
      </c>
      <c r="K3" s="235">
        <f t="shared" si="1"/>
        <v>47.93</v>
      </c>
      <c r="L3" s="235">
        <f t="shared" si="1"/>
        <v>48.8755</v>
      </c>
      <c r="M3" s="235">
        <f t="shared" si="1"/>
        <v>44.628</v>
      </c>
      <c r="N3" s="235">
        <f t="shared" si="1"/>
        <v>45.142</v>
      </c>
      <c r="O3" s="235">
        <f t="shared" si="1"/>
        <v>49.9815</v>
      </c>
      <c r="P3" s="235">
        <f t="shared" si="1"/>
        <v>44.039</v>
      </c>
      <c r="Q3" s="235">
        <f t="shared" si="1"/>
        <v>47.897</v>
      </c>
      <c r="R3" s="235"/>
      <c r="S3" s="235">
        <f t="shared" ref="S3:AH3" si="2">AVERAGE(S5:S24)</f>
        <v>37.665</v>
      </c>
      <c r="T3" s="235">
        <f t="shared" si="2"/>
        <v>36.732</v>
      </c>
      <c r="U3" s="235">
        <f t="shared" si="2"/>
        <v>37.9485</v>
      </c>
      <c r="V3" s="235">
        <f t="shared" si="2"/>
        <v>37.477</v>
      </c>
      <c r="W3" s="235">
        <f t="shared" si="2"/>
        <v>38.437</v>
      </c>
      <c r="X3" s="235">
        <f t="shared" si="2"/>
        <v>38.2215</v>
      </c>
      <c r="Y3" s="235">
        <f t="shared" si="2"/>
        <v>38.2205</v>
      </c>
      <c r="Z3" s="235">
        <f t="shared" si="2"/>
        <v>37.6485</v>
      </c>
      <c r="AA3" s="235">
        <f t="shared" si="2"/>
        <v>37.2155</v>
      </c>
      <c r="AB3" s="235">
        <f t="shared" si="2"/>
        <v>37.914</v>
      </c>
      <c r="AC3" s="235">
        <f t="shared" si="2"/>
        <v>38.443</v>
      </c>
      <c r="AD3" s="235">
        <f t="shared" si="2"/>
        <v>37.9065</v>
      </c>
      <c r="AE3" s="235">
        <f t="shared" si="2"/>
        <v>39.5915</v>
      </c>
      <c r="AF3" s="235">
        <f t="shared" si="2"/>
        <v>38.8065</v>
      </c>
      <c r="AG3" s="235">
        <f t="shared" si="2"/>
        <v>38.6575</v>
      </c>
      <c r="AH3" s="235">
        <f t="shared" si="2"/>
        <v>38.054</v>
      </c>
      <c r="AJ3" s="235">
        <f t="shared" ref="AJ3:AY3" si="3">AVERAGE(AJ5:AJ24)</f>
        <v>36.4675</v>
      </c>
      <c r="AK3" s="235">
        <f t="shared" si="3"/>
        <v>40.2245</v>
      </c>
      <c r="AL3" s="235">
        <f t="shared" si="3"/>
        <v>41.493</v>
      </c>
      <c r="AM3" s="235">
        <f t="shared" si="3"/>
        <v>41.615</v>
      </c>
      <c r="AN3" s="235">
        <f t="shared" si="3"/>
        <v>41.733</v>
      </c>
      <c r="AO3" s="235">
        <f t="shared" si="3"/>
        <v>41.758</v>
      </c>
      <c r="AP3" s="235">
        <f t="shared" si="3"/>
        <v>44.9875</v>
      </c>
      <c r="AQ3" s="235">
        <f t="shared" si="3"/>
        <v>35.6675</v>
      </c>
      <c r="AR3" s="235">
        <f t="shared" si="3"/>
        <v>43.6815</v>
      </c>
      <c r="AS3" s="235">
        <f t="shared" si="3"/>
        <v>40.967</v>
      </c>
      <c r="AT3" s="235">
        <f t="shared" si="3"/>
        <v>35.503</v>
      </c>
      <c r="AU3" s="235">
        <f t="shared" si="3"/>
        <v>38.6825</v>
      </c>
      <c r="AV3" s="235">
        <f t="shared" si="3"/>
        <v>40.4025</v>
      </c>
      <c r="AW3" s="235">
        <f t="shared" si="3"/>
        <v>32.3265</v>
      </c>
      <c r="AX3" s="235">
        <f t="shared" si="3"/>
        <v>43.3255</v>
      </c>
      <c r="AY3" s="235">
        <f t="shared" si="3"/>
        <v>42.79</v>
      </c>
      <c r="AZ3" s="235"/>
      <c r="BA3" s="235">
        <f t="shared" ref="BA3:BP3" si="4">AVERAGE(BA5:BA24)</f>
        <v>41.4005</v>
      </c>
      <c r="BB3" s="235">
        <f t="shared" si="4"/>
        <v>39.1235</v>
      </c>
      <c r="BC3" s="235">
        <f t="shared" si="4"/>
        <v>39.624</v>
      </c>
      <c r="BD3" s="235">
        <f t="shared" si="4"/>
        <v>39.631</v>
      </c>
      <c r="BE3" s="235">
        <f t="shared" si="4"/>
        <v>40.391</v>
      </c>
      <c r="BF3" s="235">
        <f t="shared" si="4"/>
        <v>42.9255</v>
      </c>
      <c r="BG3" s="235">
        <f t="shared" si="4"/>
        <v>41.785</v>
      </c>
      <c r="BH3" s="235">
        <f t="shared" si="4"/>
        <v>39.5765</v>
      </c>
      <c r="BI3" s="235">
        <f t="shared" si="4"/>
        <v>39.117</v>
      </c>
      <c r="BJ3" s="235">
        <f t="shared" si="4"/>
        <v>41.7855</v>
      </c>
      <c r="BK3" s="235">
        <f t="shared" si="4"/>
        <v>39.932</v>
      </c>
      <c r="BL3" s="235">
        <f t="shared" si="4"/>
        <v>39.3955</v>
      </c>
      <c r="BM3" s="235">
        <f t="shared" si="4"/>
        <v>35.66</v>
      </c>
      <c r="BN3" s="235">
        <f t="shared" si="4"/>
        <v>41.7035</v>
      </c>
      <c r="BO3" s="235">
        <f t="shared" si="4"/>
        <v>32.4215</v>
      </c>
      <c r="BP3" s="235">
        <f t="shared" si="4"/>
        <v>38.253</v>
      </c>
      <c r="BQ3" s="235"/>
      <c r="BR3" s="235">
        <f t="shared" ref="BR3:CG3" si="5">AVERAGE(BR5:BR24)</f>
        <v>42.417</v>
      </c>
      <c r="BS3" s="235">
        <f t="shared" si="5"/>
        <v>42.9755</v>
      </c>
      <c r="BT3" s="235">
        <f t="shared" si="5"/>
        <v>42.928</v>
      </c>
      <c r="BU3" s="235">
        <f t="shared" si="5"/>
        <v>42.8075</v>
      </c>
      <c r="BV3" s="235">
        <f t="shared" si="5"/>
        <v>42.173</v>
      </c>
      <c r="BW3" s="235">
        <f t="shared" si="5"/>
        <v>44.4</v>
      </c>
      <c r="BX3" s="235">
        <f t="shared" si="5"/>
        <v>43.9905</v>
      </c>
      <c r="BY3" s="235">
        <f t="shared" si="5"/>
        <v>43.114</v>
      </c>
      <c r="BZ3" s="235">
        <f t="shared" si="5"/>
        <v>43.4975</v>
      </c>
      <c r="CA3" s="235">
        <f t="shared" si="5"/>
        <v>44.456</v>
      </c>
      <c r="CB3" s="235">
        <f t="shared" si="5"/>
        <v>42.3295</v>
      </c>
      <c r="CC3" s="235">
        <f t="shared" si="5"/>
        <v>40.398</v>
      </c>
      <c r="CD3" s="235">
        <f t="shared" si="5"/>
        <v>41.48</v>
      </c>
      <c r="CE3" s="235">
        <f t="shared" si="5"/>
        <v>43.546</v>
      </c>
      <c r="CF3" s="235">
        <f t="shared" si="5"/>
        <v>45.374</v>
      </c>
      <c r="CG3" s="235">
        <f t="shared" si="5"/>
        <v>44.6675</v>
      </c>
      <c r="CH3" s="235"/>
      <c r="CI3" s="235"/>
    </row>
    <row r="4">
      <c r="A4" s="234" t="s">
        <v>442</v>
      </c>
      <c r="B4" s="235">
        <f t="shared" ref="B4:Q4" si="6">STDEV(B5:B24)</f>
        <v>2.968015241</v>
      </c>
      <c r="C4" s="235">
        <f t="shared" si="6"/>
        <v>5.726364581</v>
      </c>
      <c r="D4" s="235">
        <f t="shared" si="6"/>
        <v>5.924186353</v>
      </c>
      <c r="E4" s="235">
        <f t="shared" si="6"/>
        <v>2.72939843</v>
      </c>
      <c r="F4" s="235">
        <f t="shared" si="6"/>
        <v>4.714963052</v>
      </c>
      <c r="G4" s="235">
        <f t="shared" si="6"/>
        <v>4.048031718</v>
      </c>
      <c r="H4" s="235">
        <f t="shared" si="6"/>
        <v>5.707104045</v>
      </c>
      <c r="I4" s="235">
        <f t="shared" si="6"/>
        <v>6.625286866</v>
      </c>
      <c r="J4" s="235">
        <f t="shared" si="6"/>
        <v>4.517973346</v>
      </c>
      <c r="K4" s="235">
        <f t="shared" si="6"/>
        <v>6.615624249</v>
      </c>
      <c r="L4" s="235">
        <f t="shared" si="6"/>
        <v>5.636170289</v>
      </c>
      <c r="M4" s="235">
        <f t="shared" si="6"/>
        <v>4.04906305</v>
      </c>
      <c r="N4" s="235">
        <f t="shared" si="6"/>
        <v>4.33302204</v>
      </c>
      <c r="O4" s="235">
        <f t="shared" si="6"/>
        <v>5.978670223</v>
      </c>
      <c r="P4" s="235">
        <f t="shared" si="6"/>
        <v>4.226429251</v>
      </c>
      <c r="Q4" s="235">
        <f t="shared" si="6"/>
        <v>7.051294842</v>
      </c>
      <c r="R4" s="235"/>
      <c r="S4" s="235">
        <f t="shared" ref="S4:AH4" si="7">STDEV(S5:S24)</f>
        <v>5.594145906</v>
      </c>
      <c r="T4" s="235">
        <f t="shared" si="7"/>
        <v>5.126386436</v>
      </c>
      <c r="U4" s="235">
        <f t="shared" si="7"/>
        <v>4.424363499</v>
      </c>
      <c r="V4" s="235">
        <f t="shared" si="7"/>
        <v>3.039040881</v>
      </c>
      <c r="W4" s="235">
        <f t="shared" si="7"/>
        <v>2.251519019</v>
      </c>
      <c r="X4" s="235">
        <f t="shared" si="7"/>
        <v>2.604595685</v>
      </c>
      <c r="Y4" s="235">
        <f t="shared" si="7"/>
        <v>4.37867016</v>
      </c>
      <c r="Z4" s="235">
        <f t="shared" si="7"/>
        <v>5.733953605</v>
      </c>
      <c r="AA4" s="235">
        <f t="shared" si="7"/>
        <v>4.734908964</v>
      </c>
      <c r="AB4" s="235">
        <f t="shared" si="7"/>
        <v>4.563109974</v>
      </c>
      <c r="AC4" s="235">
        <f t="shared" si="7"/>
        <v>5.145361836</v>
      </c>
      <c r="AD4" s="235">
        <f t="shared" si="7"/>
        <v>6.154515907</v>
      </c>
      <c r="AE4" s="235">
        <f t="shared" si="7"/>
        <v>1.398214181</v>
      </c>
      <c r="AF4" s="235">
        <f t="shared" si="7"/>
        <v>6.776156553</v>
      </c>
      <c r="AG4" s="235">
        <f t="shared" si="7"/>
        <v>3.230450311</v>
      </c>
      <c r="AH4" s="235">
        <f t="shared" si="7"/>
        <v>4.601674066</v>
      </c>
      <c r="AJ4" s="235">
        <f t="shared" ref="AJ4:AY4" si="8">STDEV(AJ5:AJ24)</f>
        <v>6.93567655</v>
      </c>
      <c r="AK4" s="235">
        <f t="shared" si="8"/>
        <v>5.01167844</v>
      </c>
      <c r="AL4" s="235">
        <f t="shared" si="8"/>
        <v>6.341604562</v>
      </c>
      <c r="AM4" s="235">
        <f t="shared" si="8"/>
        <v>6.173934598</v>
      </c>
      <c r="AN4" s="235">
        <f t="shared" si="8"/>
        <v>6.506409876</v>
      </c>
      <c r="AO4" s="235">
        <f t="shared" si="8"/>
        <v>5.139006252</v>
      </c>
      <c r="AP4" s="235">
        <f t="shared" si="8"/>
        <v>6.488031795</v>
      </c>
      <c r="AQ4" s="235">
        <f t="shared" si="8"/>
        <v>6.906270892</v>
      </c>
      <c r="AR4" s="235">
        <f t="shared" si="8"/>
        <v>7.142872248</v>
      </c>
      <c r="AS4" s="235">
        <f t="shared" si="8"/>
        <v>7.716063286</v>
      </c>
      <c r="AT4" s="235">
        <f t="shared" si="8"/>
        <v>7.926632058</v>
      </c>
      <c r="AU4" s="235">
        <f t="shared" si="8"/>
        <v>7.107730317</v>
      </c>
      <c r="AV4" s="235">
        <f t="shared" si="8"/>
        <v>5.497049807</v>
      </c>
      <c r="AW4" s="235">
        <f t="shared" si="8"/>
        <v>6.858171672</v>
      </c>
      <c r="AX4" s="235">
        <f t="shared" si="8"/>
        <v>7.761632679</v>
      </c>
      <c r="AY4" s="235">
        <f t="shared" si="8"/>
        <v>7.428149164</v>
      </c>
      <c r="AZ4" s="235"/>
      <c r="BA4" s="235">
        <f t="shared" ref="BA4:BP4" si="9">STDEV(BA5:BA24)</f>
        <v>5.71962317</v>
      </c>
      <c r="BB4" s="235">
        <f t="shared" si="9"/>
        <v>4.822592964</v>
      </c>
      <c r="BC4" s="235">
        <f t="shared" si="9"/>
        <v>4.59562538</v>
      </c>
      <c r="BD4" s="235">
        <f t="shared" si="9"/>
        <v>5.036136677</v>
      </c>
      <c r="BE4" s="235">
        <f t="shared" si="9"/>
        <v>6.067325692</v>
      </c>
      <c r="BF4" s="235">
        <f t="shared" si="9"/>
        <v>2.964087638</v>
      </c>
      <c r="BG4" s="235">
        <f t="shared" si="9"/>
        <v>3.973356661</v>
      </c>
      <c r="BH4" s="235">
        <f t="shared" si="9"/>
        <v>5.037061879</v>
      </c>
      <c r="BI4" s="235">
        <f t="shared" si="9"/>
        <v>4.478440871</v>
      </c>
      <c r="BJ4" s="235">
        <f t="shared" si="9"/>
        <v>5.445309401</v>
      </c>
      <c r="BK4" s="235">
        <f t="shared" si="9"/>
        <v>6.571584444</v>
      </c>
      <c r="BL4" s="235">
        <f t="shared" si="9"/>
        <v>4.631061575</v>
      </c>
      <c r="BM4" s="235">
        <f t="shared" si="9"/>
        <v>5.452722159</v>
      </c>
      <c r="BN4" s="235">
        <f t="shared" si="9"/>
        <v>6.014023327</v>
      </c>
      <c r="BO4" s="235">
        <f t="shared" si="9"/>
        <v>2.368291134</v>
      </c>
      <c r="BP4" s="235">
        <f t="shared" si="9"/>
        <v>4.732135492</v>
      </c>
      <c r="BQ4" s="235"/>
      <c r="BR4" s="235">
        <f t="shared" ref="BR4:CG4" si="10">STDEV(BR5:BR24)</f>
        <v>5.982043393</v>
      </c>
      <c r="BS4" s="235">
        <f t="shared" si="10"/>
        <v>5.527389671</v>
      </c>
      <c r="BT4" s="235">
        <f t="shared" si="10"/>
        <v>6.600068261</v>
      </c>
      <c r="BU4" s="235">
        <f t="shared" si="10"/>
        <v>5.617175611</v>
      </c>
      <c r="BV4" s="235">
        <f t="shared" si="10"/>
        <v>5.01065927</v>
      </c>
      <c r="BW4" s="235">
        <f t="shared" si="10"/>
        <v>5.471967798</v>
      </c>
      <c r="BX4" s="235">
        <f t="shared" si="10"/>
        <v>6.466176349</v>
      </c>
      <c r="BY4" s="235">
        <f t="shared" si="10"/>
        <v>5.847211121</v>
      </c>
      <c r="BZ4" s="235">
        <f t="shared" si="10"/>
        <v>4.646655702</v>
      </c>
      <c r="CA4" s="235">
        <f t="shared" si="10"/>
        <v>6.106457669</v>
      </c>
      <c r="CB4" s="235">
        <f t="shared" si="10"/>
        <v>5.075944791</v>
      </c>
      <c r="CC4" s="235">
        <f t="shared" si="10"/>
        <v>3.085312575</v>
      </c>
      <c r="CD4" s="235">
        <f t="shared" si="10"/>
        <v>2.271435901</v>
      </c>
      <c r="CE4" s="235">
        <f t="shared" si="10"/>
        <v>3.760392477</v>
      </c>
      <c r="CF4" s="235">
        <f t="shared" si="10"/>
        <v>5.14200391</v>
      </c>
      <c r="CG4" s="235">
        <f t="shared" si="10"/>
        <v>7.400918773</v>
      </c>
      <c r="CH4" s="235"/>
      <c r="CI4" s="235"/>
    </row>
    <row r="5">
      <c r="A5" s="13"/>
      <c r="B5" s="20">
        <v>43.83</v>
      </c>
      <c r="C5" s="20">
        <v>42.59</v>
      </c>
      <c r="D5" s="20">
        <v>43.73</v>
      </c>
      <c r="E5" s="20">
        <v>43.83</v>
      </c>
      <c r="F5" s="20">
        <v>54.02</v>
      </c>
      <c r="G5" s="20">
        <v>54.02</v>
      </c>
      <c r="H5" s="20">
        <v>49.28</v>
      </c>
      <c r="I5" s="20">
        <v>42.59</v>
      </c>
      <c r="J5" s="20">
        <v>43.83</v>
      </c>
      <c r="K5" s="20">
        <v>39.87</v>
      </c>
      <c r="L5" s="20">
        <v>42.59</v>
      </c>
      <c r="M5" s="20">
        <v>53.91</v>
      </c>
      <c r="N5" s="20">
        <v>43.73</v>
      </c>
      <c r="O5" s="20">
        <v>44.69</v>
      </c>
      <c r="P5" s="20">
        <v>40.79</v>
      </c>
      <c r="Q5" s="20">
        <v>42.24</v>
      </c>
      <c r="S5" s="20">
        <v>32.35</v>
      </c>
      <c r="T5" s="20">
        <v>32.35</v>
      </c>
      <c r="U5" s="20">
        <v>42.75</v>
      </c>
      <c r="V5" s="20">
        <v>31.52</v>
      </c>
      <c r="W5" s="20">
        <v>40.26</v>
      </c>
      <c r="X5" s="20">
        <v>38.99</v>
      </c>
      <c r="Y5" s="20">
        <v>41.27</v>
      </c>
      <c r="Z5" s="20">
        <v>56.43</v>
      </c>
      <c r="AA5" s="20">
        <v>32.35</v>
      </c>
      <c r="AB5" s="20">
        <v>46.03</v>
      </c>
      <c r="AC5" s="20">
        <v>56.43</v>
      </c>
      <c r="AD5" s="20">
        <v>56.43</v>
      </c>
      <c r="AE5" s="20">
        <v>42.24</v>
      </c>
      <c r="AF5" s="20">
        <v>34.21</v>
      </c>
      <c r="AG5" s="20">
        <v>38.1</v>
      </c>
      <c r="AH5" s="20">
        <v>42.75</v>
      </c>
      <c r="AJ5" s="20">
        <v>35.13</v>
      </c>
      <c r="AK5" s="20">
        <v>46.4</v>
      </c>
      <c r="AL5" s="21">
        <v>42.85</v>
      </c>
      <c r="AM5" s="21">
        <v>46.4</v>
      </c>
      <c r="AN5" s="20">
        <v>38.99</v>
      </c>
      <c r="AO5" s="13">
        <v>41.52</v>
      </c>
      <c r="AP5" s="13">
        <v>42.51</v>
      </c>
      <c r="AQ5" s="13">
        <v>35.13</v>
      </c>
      <c r="AR5" s="13">
        <v>47.52</v>
      </c>
      <c r="AS5" s="13">
        <v>46.4</v>
      </c>
      <c r="AT5" s="13">
        <v>34.13</v>
      </c>
      <c r="AU5" s="13">
        <v>37.61</v>
      </c>
      <c r="AV5" s="13">
        <v>51.62</v>
      </c>
      <c r="AW5" s="13">
        <v>20.44</v>
      </c>
      <c r="AX5" s="13">
        <v>51.06</v>
      </c>
      <c r="AY5" s="13">
        <v>42.85</v>
      </c>
      <c r="AZ5" s="13"/>
      <c r="BA5" s="13">
        <v>46.79</v>
      </c>
      <c r="BB5" s="13">
        <v>31.99</v>
      </c>
      <c r="BC5" s="13">
        <v>42.76</v>
      </c>
      <c r="BD5" s="13">
        <v>45.63</v>
      </c>
      <c r="BE5" s="13">
        <v>45.63</v>
      </c>
      <c r="BF5" s="13">
        <v>36.2</v>
      </c>
      <c r="BG5" s="13">
        <v>45.63</v>
      </c>
      <c r="BH5" s="13">
        <v>37.48</v>
      </c>
      <c r="BI5" s="13">
        <v>37.46</v>
      </c>
      <c r="BJ5" s="13">
        <v>45.63</v>
      </c>
      <c r="BK5" s="13">
        <v>40.12</v>
      </c>
      <c r="BL5" s="13">
        <v>37.46</v>
      </c>
      <c r="BM5" s="13">
        <v>32.7</v>
      </c>
      <c r="BN5" s="13">
        <v>40.15</v>
      </c>
      <c r="BO5" s="13">
        <v>30.0</v>
      </c>
      <c r="BP5" s="13">
        <v>42.76</v>
      </c>
      <c r="BQ5" s="13"/>
      <c r="BR5" s="13">
        <v>36.0</v>
      </c>
      <c r="BS5" s="13">
        <v>55.08</v>
      </c>
      <c r="BT5" s="13">
        <v>36.0</v>
      </c>
      <c r="BU5" s="13">
        <v>55.08</v>
      </c>
      <c r="BV5" s="13">
        <v>44.66</v>
      </c>
      <c r="BW5" s="13">
        <v>39.73</v>
      </c>
      <c r="BX5" s="13">
        <v>39.56</v>
      </c>
      <c r="BY5" s="13">
        <v>36.0</v>
      </c>
      <c r="BZ5" s="13">
        <v>39.56</v>
      </c>
      <c r="CA5" s="13">
        <v>49.21</v>
      </c>
      <c r="CB5" s="13">
        <v>36.0</v>
      </c>
      <c r="CC5" s="13">
        <v>40.66</v>
      </c>
      <c r="CD5" s="13">
        <v>44.39</v>
      </c>
      <c r="CE5" s="13">
        <v>48.57</v>
      </c>
      <c r="CF5" s="13">
        <v>49.78</v>
      </c>
      <c r="CG5" s="13">
        <v>36.0</v>
      </c>
      <c r="CH5" s="13"/>
      <c r="CI5" s="13"/>
    </row>
    <row r="6">
      <c r="A6" s="66"/>
      <c r="B6" s="20">
        <v>43.73</v>
      </c>
      <c r="C6" s="20">
        <v>43.83</v>
      </c>
      <c r="D6" s="20">
        <v>46.1</v>
      </c>
      <c r="E6" s="20">
        <v>43.73</v>
      </c>
      <c r="F6" s="20">
        <v>33.33</v>
      </c>
      <c r="G6" s="20">
        <v>44.87</v>
      </c>
      <c r="H6" s="20">
        <v>50.92</v>
      </c>
      <c r="I6" s="20">
        <v>54.72</v>
      </c>
      <c r="J6" s="20">
        <v>43.83</v>
      </c>
      <c r="K6" s="20">
        <v>55.95</v>
      </c>
      <c r="L6" s="20">
        <v>54.72</v>
      </c>
      <c r="M6" s="20">
        <v>43.83</v>
      </c>
      <c r="N6" s="20">
        <v>43.73</v>
      </c>
      <c r="O6" s="20">
        <v>51.6</v>
      </c>
      <c r="P6" s="20">
        <v>50.64</v>
      </c>
      <c r="Q6" s="20">
        <v>60.49</v>
      </c>
      <c r="S6" s="20">
        <v>56.43</v>
      </c>
      <c r="T6" s="20">
        <v>35.71</v>
      </c>
      <c r="U6" s="20">
        <v>36.06</v>
      </c>
      <c r="V6" s="20">
        <v>35.67</v>
      </c>
      <c r="W6" s="20">
        <v>40.83</v>
      </c>
      <c r="X6" s="20">
        <v>38.57</v>
      </c>
      <c r="Y6" s="20">
        <v>42.75</v>
      </c>
      <c r="Z6" s="20">
        <v>32.35</v>
      </c>
      <c r="AA6" s="20">
        <v>43.06</v>
      </c>
      <c r="AB6" s="20">
        <v>34.44</v>
      </c>
      <c r="AC6" s="20">
        <v>35.71</v>
      </c>
      <c r="AD6" s="20">
        <v>35.38</v>
      </c>
      <c r="AE6" s="20">
        <v>38.99</v>
      </c>
      <c r="AF6" s="20">
        <v>27.45</v>
      </c>
      <c r="AG6" s="20">
        <v>36.06</v>
      </c>
      <c r="AH6" s="20">
        <v>32.05</v>
      </c>
      <c r="AJ6" s="20">
        <v>36.59</v>
      </c>
      <c r="AK6" s="20">
        <v>36.59</v>
      </c>
      <c r="AL6" s="21">
        <v>42.55</v>
      </c>
      <c r="AM6" s="21">
        <v>48.29</v>
      </c>
      <c r="AN6" s="20">
        <v>37.18</v>
      </c>
      <c r="AO6" s="13">
        <v>37.63</v>
      </c>
      <c r="AP6" s="13">
        <v>46.4</v>
      </c>
      <c r="AQ6" s="13">
        <v>46.4</v>
      </c>
      <c r="AR6" s="13">
        <v>51.06</v>
      </c>
      <c r="AS6" s="13">
        <v>42.85</v>
      </c>
      <c r="AT6" s="13">
        <v>19.38</v>
      </c>
      <c r="AU6" s="13">
        <v>35.13</v>
      </c>
      <c r="AV6" s="13">
        <v>50.79</v>
      </c>
      <c r="AW6" s="13">
        <v>35.13</v>
      </c>
      <c r="AX6" s="13">
        <v>53.71</v>
      </c>
      <c r="AY6" s="13">
        <v>42.55</v>
      </c>
      <c r="AZ6" s="13"/>
      <c r="BA6" s="13">
        <v>31.99</v>
      </c>
      <c r="BB6" s="13">
        <v>46.79</v>
      </c>
      <c r="BC6" s="13">
        <v>40.46</v>
      </c>
      <c r="BD6" s="13">
        <v>37.79</v>
      </c>
      <c r="BE6" s="13">
        <v>45.59</v>
      </c>
      <c r="BF6" s="13">
        <v>42.76</v>
      </c>
      <c r="BG6" s="13">
        <v>39.91</v>
      </c>
      <c r="BH6" s="13">
        <v>31.99</v>
      </c>
      <c r="BI6" s="13">
        <v>39.54</v>
      </c>
      <c r="BJ6" s="13">
        <v>43.13</v>
      </c>
      <c r="BK6" s="13">
        <v>37.48</v>
      </c>
      <c r="BL6" s="13">
        <v>32.7</v>
      </c>
      <c r="BM6" s="13">
        <v>50.56</v>
      </c>
      <c r="BN6" s="13">
        <v>43.98</v>
      </c>
      <c r="BO6" s="13">
        <v>30.0</v>
      </c>
      <c r="BP6" s="13">
        <v>40.05</v>
      </c>
      <c r="BQ6" s="13"/>
      <c r="BR6" s="13">
        <v>41.77</v>
      </c>
      <c r="BS6" s="13">
        <v>41.77</v>
      </c>
      <c r="BT6" s="13">
        <v>37.46</v>
      </c>
      <c r="BU6" s="13">
        <v>41.77</v>
      </c>
      <c r="BV6" s="13">
        <v>37.68</v>
      </c>
      <c r="BW6" s="13">
        <v>42.81</v>
      </c>
      <c r="BX6" s="13">
        <v>49.21</v>
      </c>
      <c r="BY6" s="13">
        <v>49.94</v>
      </c>
      <c r="BZ6" s="13">
        <v>39.73</v>
      </c>
      <c r="CA6" s="13">
        <v>42.81</v>
      </c>
      <c r="CB6" s="13">
        <v>36.85</v>
      </c>
      <c r="CC6" s="13">
        <v>39.73</v>
      </c>
      <c r="CD6" s="13">
        <v>42.51</v>
      </c>
      <c r="CE6" s="13">
        <v>44.44</v>
      </c>
      <c r="CF6" s="13">
        <v>60.32</v>
      </c>
      <c r="CG6" s="13">
        <v>38.8</v>
      </c>
      <c r="CH6" s="13"/>
      <c r="CI6" s="13"/>
    </row>
    <row r="7">
      <c r="A7" s="66"/>
      <c r="B7" s="20">
        <v>41.2</v>
      </c>
      <c r="C7" s="20">
        <v>39.87</v>
      </c>
      <c r="D7" s="20">
        <v>53.09</v>
      </c>
      <c r="E7" s="20">
        <v>43.83</v>
      </c>
      <c r="F7" s="20">
        <v>43.83</v>
      </c>
      <c r="G7" s="20">
        <v>44.7</v>
      </c>
      <c r="H7" s="20">
        <v>53.09</v>
      </c>
      <c r="I7" s="20">
        <v>37.02</v>
      </c>
      <c r="J7" s="20">
        <v>42.31</v>
      </c>
      <c r="K7" s="20">
        <v>33.33</v>
      </c>
      <c r="L7" s="20">
        <v>44.71</v>
      </c>
      <c r="M7" s="20">
        <v>41.2</v>
      </c>
      <c r="N7" s="20">
        <v>43.73</v>
      </c>
      <c r="O7" s="20">
        <v>47.22</v>
      </c>
      <c r="P7" s="20">
        <v>43.83</v>
      </c>
      <c r="Q7" s="20">
        <v>62.01</v>
      </c>
      <c r="S7" s="20">
        <v>34.21</v>
      </c>
      <c r="T7" s="20">
        <v>31.52</v>
      </c>
      <c r="U7" s="20">
        <v>32.05</v>
      </c>
      <c r="V7" s="20">
        <v>35.67</v>
      </c>
      <c r="W7" s="20">
        <v>39.86</v>
      </c>
      <c r="X7" s="20">
        <v>38.99</v>
      </c>
      <c r="Y7" s="20">
        <v>28.43</v>
      </c>
      <c r="Z7" s="20">
        <v>35.71</v>
      </c>
      <c r="AA7" s="20">
        <v>33.33</v>
      </c>
      <c r="AB7" s="20">
        <v>34.21</v>
      </c>
      <c r="AC7" s="20">
        <v>32.35</v>
      </c>
      <c r="AD7" s="20">
        <v>32.35</v>
      </c>
      <c r="AE7" s="20">
        <v>40.26</v>
      </c>
      <c r="AF7" s="20">
        <v>30.2</v>
      </c>
      <c r="AG7" s="20">
        <v>48.05</v>
      </c>
      <c r="AH7" s="20">
        <v>31.81</v>
      </c>
      <c r="AJ7" s="20">
        <v>46.4</v>
      </c>
      <c r="AK7" s="20">
        <v>45.11</v>
      </c>
      <c r="AL7" s="21">
        <v>48.18</v>
      </c>
      <c r="AM7" s="21">
        <v>36.59</v>
      </c>
      <c r="AN7" s="20">
        <v>50.89</v>
      </c>
      <c r="AO7" s="13">
        <v>34.78</v>
      </c>
      <c r="AP7" s="13">
        <v>47.78</v>
      </c>
      <c r="AQ7" s="13">
        <v>34.13</v>
      </c>
      <c r="AR7" s="13">
        <v>48.29</v>
      </c>
      <c r="AS7" s="13">
        <v>32.91</v>
      </c>
      <c r="AT7" s="13">
        <v>35.13</v>
      </c>
      <c r="AU7" s="13">
        <v>36.59</v>
      </c>
      <c r="AV7" s="13">
        <v>39.73</v>
      </c>
      <c r="AW7" s="13">
        <v>21.51</v>
      </c>
      <c r="AX7" s="13">
        <v>28.4</v>
      </c>
      <c r="AY7" s="13">
        <v>41.93</v>
      </c>
      <c r="AZ7" s="13"/>
      <c r="BA7" s="13">
        <v>45.63</v>
      </c>
      <c r="BB7" s="13">
        <v>34.44</v>
      </c>
      <c r="BC7" s="13">
        <v>37.79</v>
      </c>
      <c r="BD7" s="13">
        <v>33.63</v>
      </c>
      <c r="BE7" s="13">
        <v>37.46</v>
      </c>
      <c r="BF7" s="13">
        <v>44.95</v>
      </c>
      <c r="BG7" s="13">
        <v>47.72</v>
      </c>
      <c r="BH7" s="13">
        <v>46.79</v>
      </c>
      <c r="BI7" s="13">
        <v>34.94</v>
      </c>
      <c r="BJ7" s="13">
        <v>47.72</v>
      </c>
      <c r="BK7" s="13">
        <v>46.79</v>
      </c>
      <c r="BL7" s="13">
        <v>45.39</v>
      </c>
      <c r="BM7" s="13">
        <v>31.48</v>
      </c>
      <c r="BN7" s="13">
        <v>49.52</v>
      </c>
      <c r="BO7" s="13">
        <v>30.0</v>
      </c>
      <c r="BP7" s="13">
        <v>40.46</v>
      </c>
      <c r="BQ7" s="13"/>
      <c r="BR7" s="13">
        <v>41.55</v>
      </c>
      <c r="BS7" s="13">
        <v>36.0</v>
      </c>
      <c r="BT7" s="13">
        <v>36.8</v>
      </c>
      <c r="BU7" s="13">
        <v>36.0</v>
      </c>
      <c r="BV7" s="13">
        <v>35.05</v>
      </c>
      <c r="BW7" s="13">
        <v>39.88</v>
      </c>
      <c r="BX7" s="13">
        <v>55.08</v>
      </c>
      <c r="BY7" s="13">
        <v>49.59</v>
      </c>
      <c r="BZ7" s="13">
        <v>42.51</v>
      </c>
      <c r="CA7" s="13">
        <v>43.41</v>
      </c>
      <c r="CB7" s="13">
        <v>32.99</v>
      </c>
      <c r="CC7" s="13">
        <v>37.0</v>
      </c>
      <c r="CD7" s="13">
        <v>35.34</v>
      </c>
      <c r="CE7" s="13">
        <v>46.02</v>
      </c>
      <c r="CF7" s="13">
        <v>47.45</v>
      </c>
      <c r="CG7" s="13">
        <v>46.02</v>
      </c>
      <c r="CH7" s="13"/>
      <c r="CI7" s="13"/>
    </row>
    <row r="8">
      <c r="A8" s="66"/>
      <c r="B8" s="20">
        <v>43.83</v>
      </c>
      <c r="C8" s="20">
        <v>42.31</v>
      </c>
      <c r="D8" s="20">
        <v>46.12</v>
      </c>
      <c r="E8" s="20">
        <v>43.83</v>
      </c>
      <c r="F8" s="20">
        <v>44.87</v>
      </c>
      <c r="G8" s="20">
        <v>47.42</v>
      </c>
      <c r="H8" s="20">
        <v>39.87</v>
      </c>
      <c r="I8" s="20">
        <v>46.94</v>
      </c>
      <c r="J8" s="20">
        <v>49.38</v>
      </c>
      <c r="K8" s="20">
        <v>49.28</v>
      </c>
      <c r="L8" s="20">
        <v>55.95</v>
      </c>
      <c r="M8" s="20">
        <v>43.83</v>
      </c>
      <c r="N8" s="20">
        <v>41.36</v>
      </c>
      <c r="O8" s="20">
        <v>46.94</v>
      </c>
      <c r="P8" s="20">
        <v>41.36</v>
      </c>
      <c r="Q8" s="20">
        <v>48.15</v>
      </c>
      <c r="S8" s="20">
        <v>39.77</v>
      </c>
      <c r="T8" s="20">
        <v>56.43</v>
      </c>
      <c r="U8" s="20">
        <v>48.72</v>
      </c>
      <c r="V8" s="20">
        <v>39.86</v>
      </c>
      <c r="W8" s="20">
        <v>41.67</v>
      </c>
      <c r="X8" s="20">
        <v>30.95</v>
      </c>
      <c r="Y8" s="20">
        <v>35.32</v>
      </c>
      <c r="Z8" s="20">
        <v>34.44</v>
      </c>
      <c r="AA8" s="20">
        <v>37.78</v>
      </c>
      <c r="AB8" s="20">
        <v>28.43</v>
      </c>
      <c r="AC8" s="20">
        <v>36.6</v>
      </c>
      <c r="AD8" s="20">
        <v>24.26</v>
      </c>
      <c r="AE8" s="20">
        <v>39.86</v>
      </c>
      <c r="AF8" s="20">
        <v>38.1</v>
      </c>
      <c r="AG8" s="20">
        <v>37.61</v>
      </c>
      <c r="AH8" s="20">
        <v>41.35</v>
      </c>
      <c r="AJ8" s="20">
        <v>31.04</v>
      </c>
      <c r="AK8" s="20">
        <v>35.13</v>
      </c>
      <c r="AL8" s="21">
        <v>31.82</v>
      </c>
      <c r="AM8" s="21">
        <v>45.11</v>
      </c>
      <c r="AN8" s="20">
        <v>35.83</v>
      </c>
      <c r="AO8" s="13">
        <v>36.84</v>
      </c>
      <c r="AP8" s="13">
        <v>47.84</v>
      </c>
      <c r="AQ8" s="13">
        <v>19.38</v>
      </c>
      <c r="AR8" s="13">
        <v>36.59</v>
      </c>
      <c r="AS8" s="13">
        <v>47.99</v>
      </c>
      <c r="AT8" s="13">
        <v>30.95</v>
      </c>
      <c r="AU8" s="13">
        <v>33.95</v>
      </c>
      <c r="AV8" s="13">
        <v>31.82</v>
      </c>
      <c r="AW8" s="13">
        <v>35.71</v>
      </c>
      <c r="AX8" s="13">
        <v>36.42</v>
      </c>
      <c r="AY8" s="13">
        <v>41.77</v>
      </c>
      <c r="AZ8" s="13"/>
      <c r="BA8" s="13">
        <v>43.13</v>
      </c>
      <c r="BB8" s="13">
        <v>43.13</v>
      </c>
      <c r="BC8" s="13">
        <v>39.81</v>
      </c>
      <c r="BD8" s="13">
        <v>46.79</v>
      </c>
      <c r="BE8" s="13">
        <v>43.8</v>
      </c>
      <c r="BF8" s="13">
        <v>45.59</v>
      </c>
      <c r="BG8" s="13">
        <v>45.59</v>
      </c>
      <c r="BH8" s="13">
        <v>40.12</v>
      </c>
      <c r="BI8" s="13">
        <v>40.46</v>
      </c>
      <c r="BJ8" s="13">
        <v>29.24</v>
      </c>
      <c r="BK8" s="13">
        <v>34.85</v>
      </c>
      <c r="BL8" s="13">
        <v>39.49</v>
      </c>
      <c r="BM8" s="13">
        <v>31.48</v>
      </c>
      <c r="BN8" s="13">
        <v>36.19</v>
      </c>
      <c r="BO8" s="13">
        <v>30.0</v>
      </c>
      <c r="BP8" s="13">
        <v>37.79</v>
      </c>
      <c r="BQ8" s="13"/>
      <c r="BR8" s="13">
        <v>39.73</v>
      </c>
      <c r="BS8" s="13">
        <v>49.59</v>
      </c>
      <c r="BT8" s="13">
        <v>46.02</v>
      </c>
      <c r="BU8" s="13">
        <v>33.89</v>
      </c>
      <c r="BV8" s="13">
        <v>43.37</v>
      </c>
      <c r="BW8" s="13">
        <v>46.36</v>
      </c>
      <c r="BX8" s="13">
        <v>38.96</v>
      </c>
      <c r="BY8" s="13">
        <v>40.48</v>
      </c>
      <c r="BZ8" s="13">
        <v>37.95</v>
      </c>
      <c r="CA8" s="13">
        <v>36.59</v>
      </c>
      <c r="CB8" s="13">
        <v>44.66</v>
      </c>
      <c r="CC8" s="13">
        <v>43.27</v>
      </c>
      <c r="CD8" s="13">
        <v>42.51</v>
      </c>
      <c r="CE8" s="13">
        <v>44.44</v>
      </c>
      <c r="CF8" s="13">
        <v>40.8</v>
      </c>
      <c r="CG8" s="13">
        <v>36.8</v>
      </c>
      <c r="CH8" s="13"/>
      <c r="CI8" s="13"/>
    </row>
    <row r="9">
      <c r="A9" s="66"/>
      <c r="B9" s="20">
        <v>43.83</v>
      </c>
      <c r="C9" s="20">
        <v>44.7</v>
      </c>
      <c r="D9" s="20">
        <v>60.49</v>
      </c>
      <c r="E9" s="20">
        <v>41.2</v>
      </c>
      <c r="F9" s="20">
        <v>43.83</v>
      </c>
      <c r="G9" s="20">
        <v>41.88</v>
      </c>
      <c r="H9" s="20">
        <v>41.01</v>
      </c>
      <c r="I9" s="20">
        <v>44.69</v>
      </c>
      <c r="J9" s="20">
        <v>53.09</v>
      </c>
      <c r="K9" s="20">
        <v>48.94</v>
      </c>
      <c r="L9" s="20">
        <v>53.09</v>
      </c>
      <c r="M9" s="20">
        <v>43.83</v>
      </c>
      <c r="N9" s="20">
        <v>50.57</v>
      </c>
      <c r="O9" s="20">
        <v>44.79</v>
      </c>
      <c r="P9" s="20">
        <v>41.51</v>
      </c>
      <c r="Q9" s="20">
        <v>53.21</v>
      </c>
      <c r="S9" s="20">
        <v>34.44</v>
      </c>
      <c r="T9" s="20">
        <v>34.21</v>
      </c>
      <c r="U9" s="20">
        <v>35.71</v>
      </c>
      <c r="V9" s="20">
        <v>36.6</v>
      </c>
      <c r="W9" s="20">
        <v>37.15</v>
      </c>
      <c r="X9" s="20">
        <v>38.99</v>
      </c>
      <c r="Y9" s="20">
        <v>40.0</v>
      </c>
      <c r="Z9" s="20">
        <v>34.21</v>
      </c>
      <c r="AA9" s="20">
        <v>35.57</v>
      </c>
      <c r="AB9" s="20">
        <v>42.75</v>
      </c>
      <c r="AC9" s="20">
        <v>34.44</v>
      </c>
      <c r="AD9" s="20">
        <v>33.33</v>
      </c>
      <c r="AE9" s="20">
        <v>38.99</v>
      </c>
      <c r="AF9" s="20">
        <v>34.21</v>
      </c>
      <c r="AG9" s="20">
        <v>40.26</v>
      </c>
      <c r="AH9" s="20">
        <v>41.27</v>
      </c>
      <c r="AJ9" s="20">
        <v>34.13</v>
      </c>
      <c r="AK9" s="20">
        <v>41.6</v>
      </c>
      <c r="AL9" s="21">
        <v>39.34</v>
      </c>
      <c r="AM9" s="21">
        <v>41.17</v>
      </c>
      <c r="AN9" s="20">
        <v>44.96</v>
      </c>
      <c r="AO9" s="13">
        <v>44.64</v>
      </c>
      <c r="AP9" s="13">
        <v>39.56</v>
      </c>
      <c r="AQ9" s="13">
        <v>51.21</v>
      </c>
      <c r="AR9" s="13">
        <v>36.42</v>
      </c>
      <c r="AS9" s="13">
        <v>38.88</v>
      </c>
      <c r="AT9" s="13">
        <v>51.21</v>
      </c>
      <c r="AU9" s="13">
        <v>44.59</v>
      </c>
      <c r="AV9" s="13">
        <v>36.0</v>
      </c>
      <c r="AW9" s="13">
        <v>34.13</v>
      </c>
      <c r="AX9" s="13">
        <v>48.41</v>
      </c>
      <c r="AY9" s="13">
        <v>39.34</v>
      </c>
      <c r="AZ9" s="66"/>
      <c r="BA9" s="13">
        <v>44.69</v>
      </c>
      <c r="BB9" s="13">
        <v>43.5</v>
      </c>
      <c r="BC9" s="13">
        <v>40.05</v>
      </c>
      <c r="BD9" s="13">
        <v>31.99</v>
      </c>
      <c r="BE9" s="13">
        <v>40.46</v>
      </c>
      <c r="BF9" s="13">
        <v>40.46</v>
      </c>
      <c r="BG9" s="13">
        <v>39.54</v>
      </c>
      <c r="BH9" s="13">
        <v>34.85</v>
      </c>
      <c r="BI9" s="13">
        <v>39.49</v>
      </c>
      <c r="BJ9" s="13">
        <v>48.96</v>
      </c>
      <c r="BK9" s="13">
        <v>31.99</v>
      </c>
      <c r="BL9" s="13">
        <v>39.54</v>
      </c>
      <c r="BM9" s="13">
        <v>34.35</v>
      </c>
      <c r="BN9" s="13">
        <v>51.85</v>
      </c>
      <c r="BO9" s="13">
        <v>30.0</v>
      </c>
      <c r="BP9" s="13">
        <v>38.89</v>
      </c>
      <c r="BQ9" s="66"/>
      <c r="BR9" s="13">
        <v>42.85</v>
      </c>
      <c r="BS9" s="13">
        <v>39.73</v>
      </c>
      <c r="BT9" s="13">
        <v>38.8</v>
      </c>
      <c r="BU9" s="13">
        <v>42.51</v>
      </c>
      <c r="BV9" s="13">
        <v>41.99</v>
      </c>
      <c r="BW9" s="13">
        <v>37.68</v>
      </c>
      <c r="BX9" s="13">
        <v>59.08</v>
      </c>
      <c r="BY9" s="13">
        <v>48.57</v>
      </c>
      <c r="BZ9" s="13">
        <v>45.02</v>
      </c>
      <c r="CA9" s="13">
        <v>36.8</v>
      </c>
      <c r="CB9" s="13">
        <v>37.68</v>
      </c>
      <c r="CC9" s="13">
        <v>42.85</v>
      </c>
      <c r="CD9" s="13">
        <v>42.51</v>
      </c>
      <c r="CE9" s="13">
        <v>40.61</v>
      </c>
      <c r="CF9" s="13">
        <v>42.51</v>
      </c>
      <c r="CG9" s="13">
        <v>39.88</v>
      </c>
      <c r="CH9" s="66"/>
      <c r="CI9" s="66"/>
    </row>
    <row r="10">
      <c r="A10" s="66"/>
      <c r="B10" s="20">
        <v>42.59</v>
      </c>
      <c r="C10" s="20">
        <v>54.72</v>
      </c>
      <c r="D10" s="20">
        <v>43.83</v>
      </c>
      <c r="E10" s="20">
        <v>43.73</v>
      </c>
      <c r="F10" s="20">
        <v>40.79</v>
      </c>
      <c r="G10" s="20">
        <v>43.83</v>
      </c>
      <c r="H10" s="20">
        <v>43.83</v>
      </c>
      <c r="I10" s="20">
        <v>56.35</v>
      </c>
      <c r="J10" s="20">
        <v>43.83</v>
      </c>
      <c r="K10" s="20">
        <v>48.21</v>
      </c>
      <c r="L10" s="20">
        <v>53.04</v>
      </c>
      <c r="M10" s="20">
        <v>43.83</v>
      </c>
      <c r="N10" s="20">
        <v>50.64</v>
      </c>
      <c r="O10" s="20">
        <v>44.69</v>
      </c>
      <c r="P10" s="20">
        <v>41.54</v>
      </c>
      <c r="Q10" s="20">
        <v>41.51</v>
      </c>
      <c r="S10" s="20">
        <v>33.33</v>
      </c>
      <c r="T10" s="20">
        <v>35.71</v>
      </c>
      <c r="U10" s="20">
        <v>37.15</v>
      </c>
      <c r="V10" s="20">
        <v>40.0</v>
      </c>
      <c r="W10" s="20">
        <v>38.89</v>
      </c>
      <c r="X10" s="20">
        <v>40.26</v>
      </c>
      <c r="Y10" s="20">
        <v>46.03</v>
      </c>
      <c r="Z10" s="20">
        <v>38.99</v>
      </c>
      <c r="AA10" s="20">
        <v>40.0</v>
      </c>
      <c r="AB10" s="20">
        <v>33.33</v>
      </c>
      <c r="AC10" s="20">
        <v>38.57</v>
      </c>
      <c r="AD10" s="20">
        <v>43.06</v>
      </c>
      <c r="AE10" s="20">
        <v>36.6</v>
      </c>
      <c r="AF10" s="20">
        <v>34.85</v>
      </c>
      <c r="AG10" s="20">
        <v>41.67</v>
      </c>
      <c r="AH10" s="20">
        <v>42.24</v>
      </c>
      <c r="AJ10" s="20">
        <v>30.95</v>
      </c>
      <c r="AK10" s="20">
        <v>33.87</v>
      </c>
      <c r="AL10" s="21">
        <v>41.93</v>
      </c>
      <c r="AM10" s="21">
        <v>44.44</v>
      </c>
      <c r="AN10" s="20">
        <v>44.59</v>
      </c>
      <c r="AO10" s="13">
        <v>44.5</v>
      </c>
      <c r="AP10" s="13">
        <v>44.6</v>
      </c>
      <c r="AQ10" s="13">
        <v>33.87</v>
      </c>
      <c r="AR10" s="13">
        <v>37.21</v>
      </c>
      <c r="AS10" s="13">
        <v>36.85</v>
      </c>
      <c r="AT10" s="13">
        <v>35.25</v>
      </c>
      <c r="AU10" s="13">
        <v>31.94</v>
      </c>
      <c r="AV10" s="13">
        <v>34.78</v>
      </c>
      <c r="AW10" s="13">
        <v>28.33</v>
      </c>
      <c r="AX10" s="13">
        <v>35.33</v>
      </c>
      <c r="AY10" s="13">
        <v>35.1</v>
      </c>
      <c r="AZ10" s="66"/>
      <c r="BA10" s="13">
        <v>34.44</v>
      </c>
      <c r="BB10" s="13">
        <v>42.95</v>
      </c>
      <c r="BC10" s="13">
        <v>38.1</v>
      </c>
      <c r="BD10" s="13">
        <v>42.86</v>
      </c>
      <c r="BE10" s="13">
        <v>33.93</v>
      </c>
      <c r="BF10" s="13">
        <v>45.59</v>
      </c>
      <c r="BG10" s="13">
        <v>45.46</v>
      </c>
      <c r="BH10" s="13">
        <v>51.85</v>
      </c>
      <c r="BI10" s="13">
        <v>45.39</v>
      </c>
      <c r="BJ10" s="13">
        <v>39.91</v>
      </c>
      <c r="BK10" s="13">
        <v>37.84</v>
      </c>
      <c r="BL10" s="13">
        <v>40.46</v>
      </c>
      <c r="BM10" s="13">
        <v>32.76</v>
      </c>
      <c r="BN10" s="13">
        <v>32.43</v>
      </c>
      <c r="BO10" s="13">
        <v>32.7</v>
      </c>
      <c r="BP10" s="13">
        <v>38.1</v>
      </c>
      <c r="BQ10" s="66"/>
      <c r="BR10" s="13">
        <v>55.08</v>
      </c>
      <c r="BS10" s="13">
        <v>42.85</v>
      </c>
      <c r="BT10" s="13">
        <v>39.88</v>
      </c>
      <c r="BU10" s="13">
        <v>39.73</v>
      </c>
      <c r="BV10" s="13">
        <v>59.08</v>
      </c>
      <c r="BW10" s="13">
        <v>43.41</v>
      </c>
      <c r="BX10" s="13">
        <v>31.87</v>
      </c>
      <c r="BY10" s="13">
        <v>40.51</v>
      </c>
      <c r="BZ10" s="13">
        <v>47.14</v>
      </c>
      <c r="CA10" s="13">
        <v>39.56</v>
      </c>
      <c r="CB10" s="13">
        <v>49.94</v>
      </c>
      <c r="CC10" s="13">
        <v>36.0</v>
      </c>
      <c r="CD10" s="13">
        <v>39.96</v>
      </c>
      <c r="CE10" s="13">
        <v>42.52</v>
      </c>
      <c r="CF10" s="13">
        <v>45.09</v>
      </c>
      <c r="CG10" s="13">
        <v>34.85</v>
      </c>
      <c r="CH10" s="66"/>
      <c r="CI10" s="66"/>
    </row>
    <row r="11">
      <c r="A11" s="66"/>
      <c r="B11" s="20">
        <v>44.7</v>
      </c>
      <c r="C11" s="20">
        <v>39.77</v>
      </c>
      <c r="D11" s="20">
        <v>44.7</v>
      </c>
      <c r="E11" s="20">
        <v>43.83</v>
      </c>
      <c r="F11" s="20">
        <v>41.54</v>
      </c>
      <c r="G11" s="20">
        <v>43.18</v>
      </c>
      <c r="H11" s="20">
        <v>62.01</v>
      </c>
      <c r="I11" s="20">
        <v>60.1</v>
      </c>
      <c r="J11" s="20">
        <v>43.73</v>
      </c>
      <c r="K11" s="20">
        <v>50.92</v>
      </c>
      <c r="L11" s="20">
        <v>44.7</v>
      </c>
      <c r="M11" s="20">
        <v>41.51</v>
      </c>
      <c r="N11" s="20">
        <v>43.73</v>
      </c>
      <c r="O11" s="20">
        <v>51.62</v>
      </c>
      <c r="P11" s="20">
        <v>43.73</v>
      </c>
      <c r="Q11" s="20">
        <v>42.31</v>
      </c>
      <c r="S11" s="20">
        <v>36.6</v>
      </c>
      <c r="T11" s="20">
        <v>34.43</v>
      </c>
      <c r="U11" s="20">
        <v>38.99</v>
      </c>
      <c r="V11" s="20">
        <v>37.88</v>
      </c>
      <c r="W11" s="20">
        <v>37.88</v>
      </c>
      <c r="X11" s="20">
        <v>40.0</v>
      </c>
      <c r="Y11" s="20">
        <v>39.61</v>
      </c>
      <c r="Z11" s="20">
        <v>31.52</v>
      </c>
      <c r="AA11" s="20">
        <v>36.6</v>
      </c>
      <c r="AB11" s="20">
        <v>32.59</v>
      </c>
      <c r="AC11" s="20">
        <v>38.99</v>
      </c>
      <c r="AD11" s="20">
        <v>39.61</v>
      </c>
      <c r="AE11" s="20">
        <v>38.99</v>
      </c>
      <c r="AF11" s="20">
        <v>56.43</v>
      </c>
      <c r="AG11" s="20">
        <v>34.21</v>
      </c>
      <c r="AH11" s="20">
        <v>35.71</v>
      </c>
      <c r="AJ11" s="20">
        <v>37.61</v>
      </c>
      <c r="AK11" s="20">
        <v>38.89</v>
      </c>
      <c r="AL11" s="21">
        <v>41.77</v>
      </c>
      <c r="AM11" s="21">
        <v>41.6</v>
      </c>
      <c r="AN11" s="20">
        <v>42.26</v>
      </c>
      <c r="AO11" s="13">
        <v>51.03</v>
      </c>
      <c r="AP11" s="13">
        <v>42.85</v>
      </c>
      <c r="AQ11" s="13">
        <v>41.6</v>
      </c>
      <c r="AR11" s="13">
        <v>44.36</v>
      </c>
      <c r="AS11" s="13">
        <v>47.84</v>
      </c>
      <c r="AT11" s="13">
        <v>46.4</v>
      </c>
      <c r="AU11" s="13">
        <v>29.33</v>
      </c>
      <c r="AV11" s="13">
        <v>40.89</v>
      </c>
      <c r="AW11" s="13">
        <v>33.24</v>
      </c>
      <c r="AX11" s="13">
        <v>44.36</v>
      </c>
      <c r="AY11" s="13">
        <v>51.01</v>
      </c>
      <c r="AZ11" s="66"/>
      <c r="BA11" s="13">
        <v>41.67</v>
      </c>
      <c r="BB11" s="13">
        <v>31.99</v>
      </c>
      <c r="BC11" s="13">
        <v>30.7</v>
      </c>
      <c r="BD11" s="13">
        <v>39.91</v>
      </c>
      <c r="BE11" s="13">
        <v>40.87</v>
      </c>
      <c r="BF11" s="13">
        <v>48.21</v>
      </c>
      <c r="BG11" s="13">
        <v>42.26</v>
      </c>
      <c r="BH11" s="13">
        <v>43.98</v>
      </c>
      <c r="BI11" s="13">
        <v>32.7</v>
      </c>
      <c r="BJ11" s="13">
        <v>32.43</v>
      </c>
      <c r="BK11" s="13">
        <v>41.46</v>
      </c>
      <c r="BL11" s="13">
        <v>34.94</v>
      </c>
      <c r="BM11" s="13">
        <v>40.46</v>
      </c>
      <c r="BN11" s="13">
        <v>44.75</v>
      </c>
      <c r="BO11" s="13">
        <v>30.0</v>
      </c>
      <c r="BP11" s="13">
        <v>44.29</v>
      </c>
      <c r="BQ11" s="66"/>
      <c r="BR11" s="13">
        <v>49.21</v>
      </c>
      <c r="BS11" s="13">
        <v>41.43</v>
      </c>
      <c r="BT11" s="13">
        <v>42.81</v>
      </c>
      <c r="BU11" s="13">
        <v>49.94</v>
      </c>
      <c r="BV11" s="13">
        <v>39.73</v>
      </c>
      <c r="BW11" s="13">
        <v>51.99</v>
      </c>
      <c r="BX11" s="13">
        <v>41.99</v>
      </c>
      <c r="BY11" s="13">
        <v>46.02</v>
      </c>
      <c r="BZ11" s="13">
        <v>40.66</v>
      </c>
      <c r="CA11" s="13">
        <v>47.05</v>
      </c>
      <c r="CB11" s="13">
        <v>42.85</v>
      </c>
      <c r="CC11" s="13">
        <v>39.88</v>
      </c>
      <c r="CD11" s="13">
        <v>42.52</v>
      </c>
      <c r="CE11" s="13">
        <v>47.62</v>
      </c>
      <c r="CF11" s="13">
        <v>44.98</v>
      </c>
      <c r="CG11" s="13">
        <v>37.46</v>
      </c>
      <c r="CH11" s="66"/>
      <c r="CI11" s="66"/>
    </row>
    <row r="12">
      <c r="A12" s="66"/>
      <c r="B12" s="20">
        <v>42.31</v>
      </c>
      <c r="C12" s="20">
        <v>43.18</v>
      </c>
      <c r="D12" s="20">
        <v>43.18</v>
      </c>
      <c r="E12" s="20">
        <v>50.64</v>
      </c>
      <c r="F12" s="20">
        <v>50.92</v>
      </c>
      <c r="G12" s="20">
        <v>44.7</v>
      </c>
      <c r="H12" s="20">
        <v>50.64</v>
      </c>
      <c r="I12" s="20">
        <v>53.21</v>
      </c>
      <c r="J12" s="20">
        <v>43.83</v>
      </c>
      <c r="K12" s="20">
        <v>52.09</v>
      </c>
      <c r="L12" s="20">
        <v>41.36</v>
      </c>
      <c r="M12" s="20">
        <v>42.31</v>
      </c>
      <c r="N12" s="20">
        <v>41.36</v>
      </c>
      <c r="O12" s="20">
        <v>40.0</v>
      </c>
      <c r="P12" s="20">
        <v>42.31</v>
      </c>
      <c r="Q12" s="20">
        <v>53.09</v>
      </c>
      <c r="S12" s="20">
        <v>34.21</v>
      </c>
      <c r="T12" s="20">
        <v>39.77</v>
      </c>
      <c r="U12" s="20">
        <v>39.05</v>
      </c>
      <c r="V12" s="20">
        <v>38.1</v>
      </c>
      <c r="W12" s="20">
        <v>37.61</v>
      </c>
      <c r="X12" s="20">
        <v>38.99</v>
      </c>
      <c r="Y12" s="20">
        <v>45.64</v>
      </c>
      <c r="Z12" s="20">
        <v>38.57</v>
      </c>
      <c r="AA12" s="20">
        <v>34.29</v>
      </c>
      <c r="AB12" s="20">
        <v>35.57</v>
      </c>
      <c r="AC12" s="20">
        <v>31.52</v>
      </c>
      <c r="AD12" s="20">
        <v>36.6</v>
      </c>
      <c r="AE12" s="20">
        <v>40.67</v>
      </c>
      <c r="AF12" s="20">
        <v>43.7</v>
      </c>
      <c r="AG12" s="20">
        <v>38.89</v>
      </c>
      <c r="AH12" s="20">
        <v>30.95</v>
      </c>
      <c r="AJ12" s="20">
        <v>45.11</v>
      </c>
      <c r="AK12" s="20">
        <v>31.04</v>
      </c>
      <c r="AL12" s="21">
        <v>32.82</v>
      </c>
      <c r="AM12" s="21">
        <v>41.52</v>
      </c>
      <c r="AN12" s="20">
        <v>51.21</v>
      </c>
      <c r="AO12" s="13">
        <v>40.26</v>
      </c>
      <c r="AP12" s="13">
        <v>51.49</v>
      </c>
      <c r="AQ12" s="13">
        <v>32.64</v>
      </c>
      <c r="AR12" s="13">
        <v>41.27</v>
      </c>
      <c r="AS12" s="13">
        <v>47.84</v>
      </c>
      <c r="AT12" s="13">
        <v>32.64</v>
      </c>
      <c r="AU12" s="13">
        <v>47.52</v>
      </c>
      <c r="AV12" s="13">
        <v>34.78</v>
      </c>
      <c r="AW12" s="13">
        <v>38.63</v>
      </c>
      <c r="AX12" s="13">
        <v>40.4</v>
      </c>
      <c r="AY12" s="13">
        <v>47.58</v>
      </c>
      <c r="AZ12" s="66"/>
      <c r="BA12" s="13">
        <v>48.96</v>
      </c>
      <c r="BB12" s="13">
        <v>38.89</v>
      </c>
      <c r="BC12" s="13">
        <v>40.87</v>
      </c>
      <c r="BD12" s="13">
        <v>44.69</v>
      </c>
      <c r="BE12" s="13">
        <v>45.97</v>
      </c>
      <c r="BF12" s="13">
        <v>45.59</v>
      </c>
      <c r="BG12" s="13">
        <v>42.26</v>
      </c>
      <c r="BH12" s="13">
        <v>37.84</v>
      </c>
      <c r="BI12" s="13">
        <v>43.33</v>
      </c>
      <c r="BJ12" s="13">
        <v>45.59</v>
      </c>
      <c r="BK12" s="13">
        <v>32.21</v>
      </c>
      <c r="BL12" s="13">
        <v>43.33</v>
      </c>
      <c r="BM12" s="13">
        <v>40.85</v>
      </c>
      <c r="BN12" s="13">
        <v>39.15</v>
      </c>
      <c r="BO12" s="13">
        <v>35.44</v>
      </c>
      <c r="BP12" s="13">
        <v>30.7</v>
      </c>
      <c r="BQ12" s="66"/>
      <c r="BR12" s="13">
        <v>49.59</v>
      </c>
      <c r="BS12" s="13">
        <v>37.95</v>
      </c>
      <c r="BT12" s="13">
        <v>31.87</v>
      </c>
      <c r="BU12" s="13">
        <v>49.59</v>
      </c>
      <c r="BV12" s="13">
        <v>33.89</v>
      </c>
      <c r="BW12" s="13">
        <v>46.02</v>
      </c>
      <c r="BX12" s="13">
        <v>44.06</v>
      </c>
      <c r="BY12" s="13">
        <v>57.72</v>
      </c>
      <c r="BZ12" s="13">
        <v>39.88</v>
      </c>
      <c r="CA12" s="13">
        <v>44.06</v>
      </c>
      <c r="CB12" s="13">
        <v>46.02</v>
      </c>
      <c r="CC12" s="13">
        <v>38.6</v>
      </c>
      <c r="CD12" s="13">
        <v>40.8</v>
      </c>
      <c r="CE12" s="13">
        <v>46.07</v>
      </c>
      <c r="CF12" s="13">
        <v>42.51</v>
      </c>
      <c r="CG12" s="13">
        <v>44.06</v>
      </c>
      <c r="CH12" s="66"/>
      <c r="CI12" s="66"/>
    </row>
    <row r="13">
      <c r="A13" s="66"/>
      <c r="B13" s="20">
        <v>43.83</v>
      </c>
      <c r="C13" s="20">
        <v>41.2</v>
      </c>
      <c r="D13" s="20">
        <v>43.83</v>
      </c>
      <c r="E13" s="20">
        <v>43.83</v>
      </c>
      <c r="F13" s="20">
        <v>44.7</v>
      </c>
      <c r="G13" s="20">
        <v>39.77</v>
      </c>
      <c r="H13" s="20">
        <v>50.57</v>
      </c>
      <c r="I13" s="20">
        <v>43.18</v>
      </c>
      <c r="J13" s="20">
        <v>41.2</v>
      </c>
      <c r="K13" s="20">
        <v>41.01</v>
      </c>
      <c r="L13" s="20">
        <v>53.09</v>
      </c>
      <c r="M13" s="20">
        <v>41.51</v>
      </c>
      <c r="N13" s="20">
        <v>41.51</v>
      </c>
      <c r="O13" s="20">
        <v>40.38</v>
      </c>
      <c r="P13" s="20">
        <v>41.36</v>
      </c>
      <c r="Q13" s="20">
        <v>44.7</v>
      </c>
      <c r="S13" s="20">
        <v>31.52</v>
      </c>
      <c r="T13" s="20">
        <v>38.57</v>
      </c>
      <c r="U13" s="20">
        <v>36.59</v>
      </c>
      <c r="V13" s="20">
        <v>32.35</v>
      </c>
      <c r="W13" s="20">
        <v>40.67</v>
      </c>
      <c r="X13" s="20">
        <v>35.5</v>
      </c>
      <c r="Y13" s="20">
        <v>36.6</v>
      </c>
      <c r="Z13" s="20">
        <v>31.83</v>
      </c>
      <c r="AA13" s="20">
        <v>24.26</v>
      </c>
      <c r="AB13" s="20">
        <v>39.77</v>
      </c>
      <c r="AC13" s="20">
        <v>34.44</v>
      </c>
      <c r="AD13" s="20">
        <v>34.21</v>
      </c>
      <c r="AE13" s="20">
        <v>40.26</v>
      </c>
      <c r="AF13" s="20">
        <v>38.47</v>
      </c>
      <c r="AG13" s="20">
        <v>39.86</v>
      </c>
      <c r="AH13" s="20">
        <v>38.1</v>
      </c>
      <c r="AJ13" s="20">
        <v>41.6</v>
      </c>
      <c r="AK13" s="20">
        <v>38.89</v>
      </c>
      <c r="AL13" s="21">
        <v>35.1</v>
      </c>
      <c r="AM13" s="21">
        <v>38.89</v>
      </c>
      <c r="AN13" s="20">
        <v>41.59</v>
      </c>
      <c r="AO13" s="13">
        <v>36.44</v>
      </c>
      <c r="AP13" s="13">
        <v>41.37</v>
      </c>
      <c r="AQ13" s="13">
        <v>35.25</v>
      </c>
      <c r="AR13" s="13">
        <v>55.56</v>
      </c>
      <c r="AS13" s="13">
        <v>41.37</v>
      </c>
      <c r="AT13" s="13">
        <v>35.07</v>
      </c>
      <c r="AU13" s="13">
        <v>28.4</v>
      </c>
      <c r="AV13" s="13">
        <v>39.34</v>
      </c>
      <c r="AW13" s="13">
        <v>48.02</v>
      </c>
      <c r="AX13" s="13">
        <v>42.43</v>
      </c>
      <c r="AY13" s="13">
        <v>31.82</v>
      </c>
      <c r="AZ13" s="66"/>
      <c r="BA13" s="13">
        <v>43.5</v>
      </c>
      <c r="BB13" s="13">
        <v>41.67</v>
      </c>
      <c r="BC13" s="13">
        <v>36.79</v>
      </c>
      <c r="BD13" s="13">
        <v>43.33</v>
      </c>
      <c r="BE13" s="13">
        <v>30.56</v>
      </c>
      <c r="BF13" s="13">
        <v>44.95</v>
      </c>
      <c r="BG13" s="13">
        <v>39.91</v>
      </c>
      <c r="BH13" s="13">
        <v>40.69</v>
      </c>
      <c r="BI13" s="13">
        <v>37.79</v>
      </c>
      <c r="BJ13" s="13">
        <v>44.69</v>
      </c>
      <c r="BK13" s="13">
        <v>42.95</v>
      </c>
      <c r="BL13" s="13">
        <v>36.2</v>
      </c>
      <c r="BM13" s="13">
        <v>32.76</v>
      </c>
      <c r="BN13" s="13">
        <v>44.25</v>
      </c>
      <c r="BO13" s="13">
        <v>35.13</v>
      </c>
      <c r="BP13" s="13">
        <v>43.33</v>
      </c>
      <c r="BQ13" s="66"/>
      <c r="BR13" s="13">
        <v>33.89</v>
      </c>
      <c r="BS13" s="13">
        <v>42.51</v>
      </c>
      <c r="BT13" s="13">
        <v>50.0</v>
      </c>
      <c r="BU13" s="13">
        <v>42.85</v>
      </c>
      <c r="BV13" s="13">
        <v>43.41</v>
      </c>
      <c r="BW13" s="13">
        <v>40.0</v>
      </c>
      <c r="BX13" s="13">
        <v>47.05</v>
      </c>
      <c r="BY13" s="13">
        <v>36.85</v>
      </c>
      <c r="BZ13" s="13">
        <v>49.59</v>
      </c>
      <c r="CA13" s="13">
        <v>42.04</v>
      </c>
      <c r="CB13" s="13">
        <v>39.73</v>
      </c>
      <c r="CC13" s="13">
        <v>37.68</v>
      </c>
      <c r="CD13" s="13">
        <v>38.96</v>
      </c>
      <c r="CE13" s="13">
        <v>48.29</v>
      </c>
      <c r="CF13" s="13">
        <v>43.37</v>
      </c>
      <c r="CG13" s="13">
        <v>39.73</v>
      </c>
      <c r="CH13" s="66"/>
      <c r="CI13" s="66"/>
    </row>
    <row r="14">
      <c r="A14" s="66"/>
      <c r="B14" s="20">
        <v>53.09</v>
      </c>
      <c r="C14" s="20">
        <v>53.09</v>
      </c>
      <c r="D14" s="20">
        <v>42.24</v>
      </c>
      <c r="E14" s="20">
        <v>43.73</v>
      </c>
      <c r="F14" s="20">
        <v>44.7</v>
      </c>
      <c r="G14" s="20">
        <v>43.83</v>
      </c>
      <c r="H14" s="20">
        <v>41.36</v>
      </c>
      <c r="I14" s="20">
        <v>39.77</v>
      </c>
      <c r="J14" s="20">
        <v>50.97</v>
      </c>
      <c r="K14" s="20">
        <v>42.85</v>
      </c>
      <c r="L14" s="20">
        <v>39.77</v>
      </c>
      <c r="M14" s="20">
        <v>43.73</v>
      </c>
      <c r="N14" s="20">
        <v>41.51</v>
      </c>
      <c r="O14" s="20">
        <v>52.07</v>
      </c>
      <c r="P14" s="20">
        <v>50.64</v>
      </c>
      <c r="Q14" s="20">
        <v>43.83</v>
      </c>
      <c r="S14" s="20">
        <v>44.44</v>
      </c>
      <c r="T14" s="20">
        <v>36.67</v>
      </c>
      <c r="U14" s="20">
        <v>41.35</v>
      </c>
      <c r="V14" s="20">
        <v>43.29</v>
      </c>
      <c r="W14" s="20">
        <v>32.93</v>
      </c>
      <c r="X14" s="20">
        <v>42.24</v>
      </c>
      <c r="Y14" s="20">
        <v>36.59</v>
      </c>
      <c r="Z14" s="20">
        <v>30.2</v>
      </c>
      <c r="AA14" s="20">
        <v>40.26</v>
      </c>
      <c r="AB14" s="20">
        <v>36.67</v>
      </c>
      <c r="AC14" s="20">
        <v>34.43</v>
      </c>
      <c r="AD14" s="20">
        <v>35.57</v>
      </c>
      <c r="AE14" s="20">
        <v>38.99</v>
      </c>
      <c r="AF14" s="20">
        <v>38.38</v>
      </c>
      <c r="AG14" s="20">
        <v>37.61</v>
      </c>
      <c r="AH14" s="20">
        <v>36.59</v>
      </c>
      <c r="AJ14" s="20">
        <v>33.87</v>
      </c>
      <c r="AK14" s="20">
        <v>41.17</v>
      </c>
      <c r="AL14" s="21">
        <v>41.4</v>
      </c>
      <c r="AM14" s="21">
        <v>31.04</v>
      </c>
      <c r="AN14" s="20">
        <v>48.29</v>
      </c>
      <c r="AO14" s="13">
        <v>39.52</v>
      </c>
      <c r="AP14" s="13">
        <v>36.85</v>
      </c>
      <c r="AQ14" s="13">
        <v>45.11</v>
      </c>
      <c r="AR14" s="13">
        <v>47.58</v>
      </c>
      <c r="AS14" s="13">
        <v>47.78</v>
      </c>
      <c r="AT14" s="13">
        <v>41.6</v>
      </c>
      <c r="AU14" s="13">
        <v>35.33</v>
      </c>
      <c r="AV14" s="13">
        <v>44.64</v>
      </c>
      <c r="AW14" s="13">
        <v>29.54</v>
      </c>
      <c r="AX14" s="13">
        <v>56.06</v>
      </c>
      <c r="AY14" s="13">
        <v>48.29</v>
      </c>
      <c r="AZ14" s="66"/>
      <c r="BA14" s="13">
        <v>32.43</v>
      </c>
      <c r="BB14" s="13">
        <v>30.7</v>
      </c>
      <c r="BC14" s="13">
        <v>43.5</v>
      </c>
      <c r="BD14" s="13">
        <v>34.44</v>
      </c>
      <c r="BE14" s="13">
        <v>45.59</v>
      </c>
      <c r="BF14" s="13">
        <v>44.95</v>
      </c>
      <c r="BG14" s="13">
        <v>39.91</v>
      </c>
      <c r="BH14" s="13">
        <v>39.87</v>
      </c>
      <c r="BI14" s="13">
        <v>37.48</v>
      </c>
      <c r="BJ14" s="13">
        <v>42.26</v>
      </c>
      <c r="BK14" s="13">
        <v>54.55</v>
      </c>
      <c r="BL14" s="13">
        <v>37.48</v>
      </c>
      <c r="BM14" s="13">
        <v>30.7</v>
      </c>
      <c r="BN14" s="13">
        <v>44.28</v>
      </c>
      <c r="BO14" s="13">
        <v>30.7</v>
      </c>
      <c r="BP14" s="13">
        <v>39.52</v>
      </c>
      <c r="BQ14" s="66"/>
      <c r="BR14" s="13">
        <v>37.0</v>
      </c>
      <c r="BS14" s="13">
        <v>49.94</v>
      </c>
      <c r="BT14" s="13">
        <v>43.41</v>
      </c>
      <c r="BU14" s="13">
        <v>37.95</v>
      </c>
      <c r="BV14" s="13">
        <v>42.51</v>
      </c>
      <c r="BW14" s="13">
        <v>42.5</v>
      </c>
      <c r="BX14" s="13">
        <v>36.59</v>
      </c>
      <c r="BY14" s="13">
        <v>41.55</v>
      </c>
      <c r="BZ14" s="13">
        <v>42.74</v>
      </c>
      <c r="CA14" s="13">
        <v>46.07</v>
      </c>
      <c r="CB14" s="13">
        <v>44.66</v>
      </c>
      <c r="CC14" s="13">
        <v>42.04</v>
      </c>
      <c r="CD14" s="13">
        <v>40.8</v>
      </c>
      <c r="CE14" s="13">
        <v>36.36</v>
      </c>
      <c r="CF14" s="13">
        <v>42.51</v>
      </c>
      <c r="CG14" s="13">
        <v>60.03</v>
      </c>
      <c r="CH14" s="66"/>
      <c r="CI14" s="66"/>
    </row>
    <row r="15">
      <c r="A15" s="66"/>
      <c r="B15" s="20">
        <v>41.51</v>
      </c>
      <c r="C15" s="20">
        <v>49.38</v>
      </c>
      <c r="D15" s="20">
        <v>43.83</v>
      </c>
      <c r="E15" s="20">
        <v>41.36</v>
      </c>
      <c r="F15" s="20">
        <v>43.83</v>
      </c>
      <c r="G15" s="20">
        <v>43.83</v>
      </c>
      <c r="H15" s="20">
        <v>42.31</v>
      </c>
      <c r="I15" s="20">
        <v>55.95</v>
      </c>
      <c r="J15" s="20">
        <v>44.71</v>
      </c>
      <c r="K15" s="20">
        <v>42.31</v>
      </c>
      <c r="L15" s="20">
        <v>53.04</v>
      </c>
      <c r="M15" s="20">
        <v>53.42</v>
      </c>
      <c r="N15" s="20">
        <v>43.83</v>
      </c>
      <c r="O15" s="20">
        <v>54.29</v>
      </c>
      <c r="P15" s="20">
        <v>42.31</v>
      </c>
      <c r="Q15" s="20">
        <v>54.68</v>
      </c>
      <c r="S15" s="20">
        <v>35.57</v>
      </c>
      <c r="T15" s="20">
        <v>37.61</v>
      </c>
      <c r="U15" s="20">
        <v>39.05</v>
      </c>
      <c r="V15" s="20">
        <v>34.43</v>
      </c>
      <c r="W15" s="20">
        <v>39.86</v>
      </c>
      <c r="X15" s="20">
        <v>38.99</v>
      </c>
      <c r="Y15" s="20">
        <v>40.0</v>
      </c>
      <c r="Z15" s="20">
        <v>34.21</v>
      </c>
      <c r="AA15" s="20">
        <v>36.6</v>
      </c>
      <c r="AB15" s="20">
        <v>42.22</v>
      </c>
      <c r="AC15" s="20">
        <v>42.24</v>
      </c>
      <c r="AD15" s="20">
        <v>39.77</v>
      </c>
      <c r="AE15" s="20">
        <v>42.24</v>
      </c>
      <c r="AF15" s="20">
        <v>38.1</v>
      </c>
      <c r="AG15" s="20">
        <v>37.61</v>
      </c>
      <c r="AH15" s="20">
        <v>41.27</v>
      </c>
      <c r="AJ15" s="20">
        <v>38.89</v>
      </c>
      <c r="AK15" s="20">
        <v>35.82</v>
      </c>
      <c r="AL15" s="21">
        <v>58.1</v>
      </c>
      <c r="AM15" s="21">
        <v>42.85</v>
      </c>
      <c r="AN15" s="20">
        <v>31.04</v>
      </c>
      <c r="AO15" s="13">
        <v>44.76</v>
      </c>
      <c r="AP15" s="13">
        <v>47.99</v>
      </c>
      <c r="AQ15" s="13">
        <v>30.95</v>
      </c>
      <c r="AR15" s="13">
        <v>51.03</v>
      </c>
      <c r="AS15" s="13">
        <v>42.51</v>
      </c>
      <c r="AT15" s="13">
        <v>45.11</v>
      </c>
      <c r="AU15" s="13">
        <v>38.56</v>
      </c>
      <c r="AV15" s="13">
        <v>36.84</v>
      </c>
      <c r="AW15" s="13">
        <v>32.64</v>
      </c>
      <c r="AX15" s="13">
        <v>33.86</v>
      </c>
      <c r="AY15" s="13">
        <v>42.24</v>
      </c>
      <c r="AZ15" s="66"/>
      <c r="BA15" s="13">
        <v>42.95</v>
      </c>
      <c r="BB15" s="13">
        <v>40.69</v>
      </c>
      <c r="BC15" s="13">
        <v>45.59</v>
      </c>
      <c r="BD15" s="13">
        <v>43.13</v>
      </c>
      <c r="BE15" s="13">
        <v>37.88</v>
      </c>
      <c r="BF15" s="13">
        <v>37.91</v>
      </c>
      <c r="BG15" s="13">
        <v>39.54</v>
      </c>
      <c r="BH15" s="13">
        <v>34.44</v>
      </c>
      <c r="BI15" s="13">
        <v>34.1</v>
      </c>
      <c r="BJ15" s="13">
        <v>45.46</v>
      </c>
      <c r="BK15" s="13">
        <v>37.0</v>
      </c>
      <c r="BL15" s="13">
        <v>43.33</v>
      </c>
      <c r="BM15" s="13">
        <v>35.33</v>
      </c>
      <c r="BN15" s="13">
        <v>36.11</v>
      </c>
      <c r="BO15" s="13">
        <v>35.44</v>
      </c>
      <c r="BP15" s="13">
        <v>39.34</v>
      </c>
      <c r="BQ15" s="66"/>
      <c r="BR15" s="13">
        <v>44.66</v>
      </c>
      <c r="BS15" s="13">
        <v>44.66</v>
      </c>
      <c r="BT15" s="13">
        <v>44.06</v>
      </c>
      <c r="BU15" s="13">
        <v>41.43</v>
      </c>
      <c r="BV15" s="13">
        <v>44.66</v>
      </c>
      <c r="BW15" s="13">
        <v>45.17</v>
      </c>
      <c r="BX15" s="13">
        <v>46.36</v>
      </c>
      <c r="BY15" s="13">
        <v>44.73</v>
      </c>
      <c r="BZ15" s="13">
        <v>49.59</v>
      </c>
      <c r="CA15" s="13">
        <v>38.96</v>
      </c>
      <c r="CB15" s="13">
        <v>35.05</v>
      </c>
      <c r="CC15" s="13">
        <v>34.85</v>
      </c>
      <c r="CD15" s="13">
        <v>40.8</v>
      </c>
      <c r="CE15" s="13">
        <v>47.65</v>
      </c>
      <c r="CF15" s="13">
        <v>47.45</v>
      </c>
      <c r="CG15" s="13">
        <v>59.55</v>
      </c>
      <c r="CH15" s="66"/>
      <c r="CI15" s="66"/>
    </row>
    <row r="16">
      <c r="A16" s="66"/>
      <c r="B16" s="20">
        <v>39.87</v>
      </c>
      <c r="C16" s="20">
        <v>41.36</v>
      </c>
      <c r="D16" s="20">
        <v>62.01</v>
      </c>
      <c r="E16" s="20">
        <v>50.57</v>
      </c>
      <c r="F16" s="20">
        <v>44.21</v>
      </c>
      <c r="G16" s="20">
        <v>43.83</v>
      </c>
      <c r="H16" s="20">
        <v>42.31</v>
      </c>
      <c r="I16" s="20">
        <v>50.03</v>
      </c>
      <c r="J16" s="20">
        <v>53.09</v>
      </c>
      <c r="K16" s="20">
        <v>53.09</v>
      </c>
      <c r="L16" s="20">
        <v>49.38</v>
      </c>
      <c r="M16" s="20">
        <v>42.31</v>
      </c>
      <c r="N16" s="20">
        <v>41.51</v>
      </c>
      <c r="O16" s="20">
        <v>47.59</v>
      </c>
      <c r="P16" s="20">
        <v>43.83</v>
      </c>
      <c r="Q16" s="20">
        <v>53.04</v>
      </c>
      <c r="S16" s="20">
        <v>42.75</v>
      </c>
      <c r="T16" s="20">
        <v>36.6</v>
      </c>
      <c r="U16" s="20">
        <v>31.81</v>
      </c>
      <c r="V16" s="20">
        <v>35.67</v>
      </c>
      <c r="W16" s="20">
        <v>39.61</v>
      </c>
      <c r="X16" s="20">
        <v>38.99</v>
      </c>
      <c r="Y16" s="20">
        <v>42.24</v>
      </c>
      <c r="Z16" s="20">
        <v>39.77</v>
      </c>
      <c r="AA16" s="20">
        <v>41.27</v>
      </c>
      <c r="AB16" s="20">
        <v>44.44</v>
      </c>
      <c r="AC16" s="20">
        <v>38.57</v>
      </c>
      <c r="AD16" s="20">
        <v>37.61</v>
      </c>
      <c r="AE16" s="20">
        <v>38.99</v>
      </c>
      <c r="AF16" s="20">
        <v>39.05</v>
      </c>
      <c r="AG16" s="20">
        <v>37.61</v>
      </c>
      <c r="AH16" s="20">
        <v>32.05</v>
      </c>
      <c r="AJ16" s="20">
        <v>35.25</v>
      </c>
      <c r="AK16" s="20">
        <v>44.44</v>
      </c>
      <c r="AL16" s="21">
        <v>43.06</v>
      </c>
      <c r="AM16" s="21">
        <v>35.13</v>
      </c>
      <c r="AN16" s="20">
        <v>44.76</v>
      </c>
      <c r="AO16" s="13">
        <v>44.44</v>
      </c>
      <c r="AP16" s="13">
        <v>41.5</v>
      </c>
      <c r="AQ16" s="13">
        <v>36.59</v>
      </c>
      <c r="AR16" s="13">
        <v>53.71</v>
      </c>
      <c r="AS16" s="13">
        <v>20.44</v>
      </c>
      <c r="AT16" s="13">
        <v>31.04</v>
      </c>
      <c r="AU16" s="13">
        <v>47.84</v>
      </c>
      <c r="AV16" s="13">
        <v>42.55</v>
      </c>
      <c r="AW16" s="13">
        <v>40.35</v>
      </c>
      <c r="AX16" s="13">
        <v>36.39</v>
      </c>
      <c r="AY16" s="13">
        <v>35.46</v>
      </c>
      <c r="AZ16" s="66"/>
      <c r="BA16" s="13">
        <v>33.63</v>
      </c>
      <c r="BB16" s="13">
        <v>39.87</v>
      </c>
      <c r="BC16" s="13">
        <v>39.49</v>
      </c>
      <c r="BD16" s="13">
        <v>34.1</v>
      </c>
      <c r="BE16" s="13">
        <v>40.46</v>
      </c>
      <c r="BF16" s="13">
        <v>42.86</v>
      </c>
      <c r="BG16" s="13">
        <v>32.7</v>
      </c>
      <c r="BH16" s="13">
        <v>37.33</v>
      </c>
      <c r="BI16" s="13">
        <v>45.97</v>
      </c>
      <c r="BJ16" s="13">
        <v>42.26</v>
      </c>
      <c r="BK16" s="13">
        <v>37.33</v>
      </c>
      <c r="BL16" s="13">
        <v>45.59</v>
      </c>
      <c r="BM16" s="13">
        <v>32.7</v>
      </c>
      <c r="BN16" s="13">
        <v>37.41</v>
      </c>
      <c r="BO16" s="13">
        <v>33.48</v>
      </c>
      <c r="BP16" s="13">
        <v>31.43</v>
      </c>
      <c r="BQ16" s="66"/>
      <c r="BR16" s="13">
        <v>41.43</v>
      </c>
      <c r="BS16" s="13">
        <v>40.48</v>
      </c>
      <c r="BT16" s="13">
        <v>34.85</v>
      </c>
      <c r="BU16" s="13">
        <v>39.73</v>
      </c>
      <c r="BV16" s="13">
        <v>42.52</v>
      </c>
      <c r="BW16" s="13">
        <v>43.37</v>
      </c>
      <c r="BX16" s="13">
        <v>42.51</v>
      </c>
      <c r="BY16" s="13">
        <v>38.8</v>
      </c>
      <c r="BZ16" s="13">
        <v>45.02</v>
      </c>
      <c r="CA16" s="13">
        <v>40.61</v>
      </c>
      <c r="CB16" s="13">
        <v>49.59</v>
      </c>
      <c r="CC16" s="13">
        <v>37.95</v>
      </c>
      <c r="CD16" s="13">
        <v>42.51</v>
      </c>
      <c r="CE16" s="13">
        <v>41.16</v>
      </c>
      <c r="CF16" s="13">
        <v>42.04</v>
      </c>
      <c r="CG16" s="13">
        <v>55.78</v>
      </c>
      <c r="CH16" s="66"/>
      <c r="CI16" s="66"/>
    </row>
    <row r="17">
      <c r="A17" s="66"/>
      <c r="B17" s="20">
        <v>39.77</v>
      </c>
      <c r="C17" s="20">
        <v>42.31</v>
      </c>
      <c r="D17" s="20">
        <v>53.21</v>
      </c>
      <c r="E17" s="20">
        <v>43.83</v>
      </c>
      <c r="F17" s="20">
        <v>41.51</v>
      </c>
      <c r="G17" s="20">
        <v>53.09</v>
      </c>
      <c r="H17" s="20">
        <v>42.31</v>
      </c>
      <c r="I17" s="20">
        <v>49.01</v>
      </c>
      <c r="J17" s="20">
        <v>43.73</v>
      </c>
      <c r="K17" s="20">
        <v>53.09</v>
      </c>
      <c r="L17" s="20">
        <v>43.83</v>
      </c>
      <c r="M17" s="20">
        <v>42.31</v>
      </c>
      <c r="N17" s="20">
        <v>53.04</v>
      </c>
      <c r="O17" s="20">
        <v>56.24</v>
      </c>
      <c r="P17" s="20">
        <v>40.67</v>
      </c>
      <c r="Q17" s="20">
        <v>42.59</v>
      </c>
      <c r="S17" s="20">
        <v>34.43</v>
      </c>
      <c r="T17" s="20">
        <v>34.44</v>
      </c>
      <c r="U17" s="20">
        <v>32.59</v>
      </c>
      <c r="V17" s="20">
        <v>40.26</v>
      </c>
      <c r="W17" s="20">
        <v>36.6</v>
      </c>
      <c r="X17" s="20">
        <v>36.83</v>
      </c>
      <c r="Y17" s="20">
        <v>40.26</v>
      </c>
      <c r="Z17" s="20">
        <v>38.1</v>
      </c>
      <c r="AA17" s="20">
        <v>43.06</v>
      </c>
      <c r="AB17" s="20">
        <v>34.21</v>
      </c>
      <c r="AC17" s="20">
        <v>42.24</v>
      </c>
      <c r="AD17" s="20">
        <v>39.05</v>
      </c>
      <c r="AE17" s="20">
        <v>38.99</v>
      </c>
      <c r="AF17" s="20">
        <v>32.93</v>
      </c>
      <c r="AG17" s="20">
        <v>38.99</v>
      </c>
      <c r="AH17" s="20">
        <v>40.26</v>
      </c>
      <c r="AJ17" s="20">
        <v>35.83</v>
      </c>
      <c r="AK17" s="20">
        <v>35.07</v>
      </c>
      <c r="AL17" s="21">
        <v>42.24</v>
      </c>
      <c r="AM17" s="21">
        <v>38.89</v>
      </c>
      <c r="AN17" s="20">
        <v>44.64</v>
      </c>
      <c r="AO17" s="13">
        <v>31.82</v>
      </c>
      <c r="AP17" s="13">
        <v>55.07</v>
      </c>
      <c r="AQ17" s="13">
        <v>32.64</v>
      </c>
      <c r="AR17" s="13">
        <v>28.4</v>
      </c>
      <c r="AS17" s="13">
        <v>35.13</v>
      </c>
      <c r="AT17" s="13">
        <v>36.59</v>
      </c>
      <c r="AU17" s="13">
        <v>31.04</v>
      </c>
      <c r="AV17" s="13">
        <v>36.84</v>
      </c>
      <c r="AW17" s="13">
        <v>28.48</v>
      </c>
      <c r="AX17" s="13">
        <v>40.5</v>
      </c>
      <c r="AY17" s="13">
        <v>48.18</v>
      </c>
      <c r="AZ17" s="66"/>
      <c r="BA17" s="13">
        <v>42.86</v>
      </c>
      <c r="BB17" s="13">
        <v>44.28</v>
      </c>
      <c r="BC17" s="13">
        <v>30.7</v>
      </c>
      <c r="BD17" s="13">
        <v>41.67</v>
      </c>
      <c r="BE17" s="13">
        <v>44.69</v>
      </c>
      <c r="BF17" s="13">
        <v>43.33</v>
      </c>
      <c r="BG17" s="13">
        <v>43.33</v>
      </c>
      <c r="BH17" s="13">
        <v>44.28</v>
      </c>
      <c r="BI17" s="13">
        <v>45.59</v>
      </c>
      <c r="BJ17" s="13">
        <v>40.15</v>
      </c>
      <c r="BK17" s="13">
        <v>34.94</v>
      </c>
      <c r="BL17" s="13">
        <v>31.48</v>
      </c>
      <c r="BM17" s="13">
        <v>32.7</v>
      </c>
      <c r="BN17" s="13">
        <v>39.02</v>
      </c>
      <c r="BO17" s="13">
        <v>30.7</v>
      </c>
      <c r="BP17" s="13">
        <v>42.95</v>
      </c>
      <c r="BQ17" s="66"/>
      <c r="BR17" s="13">
        <v>35.05</v>
      </c>
      <c r="BS17" s="13">
        <v>41.55</v>
      </c>
      <c r="BT17" s="13">
        <v>50.52</v>
      </c>
      <c r="BU17" s="13">
        <v>47.05</v>
      </c>
      <c r="BV17" s="13">
        <v>40.0</v>
      </c>
      <c r="BW17" s="13">
        <v>44.66</v>
      </c>
      <c r="BX17" s="13">
        <v>41.77</v>
      </c>
      <c r="BY17" s="13">
        <v>44.04</v>
      </c>
      <c r="BZ17" s="13">
        <v>49.59</v>
      </c>
      <c r="CA17" s="13">
        <v>41.99</v>
      </c>
      <c r="CB17" s="13">
        <v>46.92</v>
      </c>
      <c r="CC17" s="13">
        <v>44.66</v>
      </c>
      <c r="CD17" s="13">
        <v>42.51</v>
      </c>
      <c r="CE17" s="13">
        <v>42.36</v>
      </c>
      <c r="CF17" s="13">
        <v>42.04</v>
      </c>
      <c r="CG17" s="13">
        <v>42.51</v>
      </c>
      <c r="CH17" s="66"/>
      <c r="CI17" s="66"/>
    </row>
    <row r="18">
      <c r="A18" s="66"/>
      <c r="B18" s="20">
        <v>43.73</v>
      </c>
      <c r="C18" s="20">
        <v>37.02</v>
      </c>
      <c r="D18" s="20">
        <v>44.71</v>
      </c>
      <c r="E18" s="20">
        <v>46.12</v>
      </c>
      <c r="F18" s="20">
        <v>53.04</v>
      </c>
      <c r="G18" s="20">
        <v>46.12</v>
      </c>
      <c r="H18" s="20">
        <v>50.92</v>
      </c>
      <c r="I18" s="20">
        <v>47.59</v>
      </c>
      <c r="J18" s="20">
        <v>53.91</v>
      </c>
      <c r="K18" s="20">
        <v>53.04</v>
      </c>
      <c r="L18" s="20">
        <v>53.45</v>
      </c>
      <c r="M18" s="20">
        <v>42.31</v>
      </c>
      <c r="N18" s="20">
        <v>43.83</v>
      </c>
      <c r="O18" s="20">
        <v>63.74</v>
      </c>
      <c r="P18" s="20">
        <v>41.51</v>
      </c>
      <c r="Q18" s="20">
        <v>41.36</v>
      </c>
      <c r="S18" s="20">
        <v>35.71</v>
      </c>
      <c r="T18" s="20">
        <v>36.59</v>
      </c>
      <c r="U18" s="20">
        <v>41.27</v>
      </c>
      <c r="V18" s="20">
        <v>41.67</v>
      </c>
      <c r="W18" s="20">
        <v>40.0</v>
      </c>
      <c r="X18" s="20">
        <v>40.26</v>
      </c>
      <c r="Y18" s="20">
        <v>39.05</v>
      </c>
      <c r="Z18" s="20">
        <v>42.24</v>
      </c>
      <c r="AA18" s="20">
        <v>38.1</v>
      </c>
      <c r="AB18" s="20">
        <v>35.32</v>
      </c>
      <c r="AC18" s="20">
        <v>38.57</v>
      </c>
      <c r="AD18" s="20">
        <v>39.86</v>
      </c>
      <c r="AE18" s="20">
        <v>38.99</v>
      </c>
      <c r="AF18" s="20">
        <v>40.91</v>
      </c>
      <c r="AG18" s="20">
        <v>37.61</v>
      </c>
      <c r="AH18" s="20">
        <v>39.05</v>
      </c>
      <c r="AJ18" s="20">
        <v>51.21</v>
      </c>
      <c r="AK18" s="20">
        <v>41.52</v>
      </c>
      <c r="AL18" s="21">
        <v>40.26</v>
      </c>
      <c r="AM18" s="21">
        <v>48.77</v>
      </c>
      <c r="AN18" s="20">
        <v>36.59</v>
      </c>
      <c r="AO18" s="13">
        <v>39.56</v>
      </c>
      <c r="AP18" s="13">
        <v>47.39</v>
      </c>
      <c r="AQ18" s="13">
        <v>35.07</v>
      </c>
      <c r="AR18" s="13">
        <v>45.11</v>
      </c>
      <c r="AS18" s="13">
        <v>35.71</v>
      </c>
      <c r="AT18" s="13">
        <v>21.51</v>
      </c>
      <c r="AU18" s="13">
        <v>51.06</v>
      </c>
      <c r="AV18" s="13">
        <v>45.15</v>
      </c>
      <c r="AW18" s="13">
        <v>31.87</v>
      </c>
      <c r="AX18" s="13">
        <v>50.79</v>
      </c>
      <c r="AY18" s="13">
        <v>47.84</v>
      </c>
      <c r="AZ18" s="66"/>
      <c r="BA18" s="13">
        <v>40.6</v>
      </c>
      <c r="BB18" s="13">
        <v>32.43</v>
      </c>
      <c r="BC18" s="13">
        <v>40.4</v>
      </c>
      <c r="BD18" s="13">
        <v>45.59</v>
      </c>
      <c r="BE18" s="13">
        <v>47.72</v>
      </c>
      <c r="BF18" s="13">
        <v>40.46</v>
      </c>
      <c r="BG18" s="13">
        <v>39.91</v>
      </c>
      <c r="BH18" s="13">
        <v>37.41</v>
      </c>
      <c r="BI18" s="13">
        <v>42.86</v>
      </c>
      <c r="BJ18" s="13">
        <v>39.91</v>
      </c>
      <c r="BK18" s="13">
        <v>47.48</v>
      </c>
      <c r="BL18" s="13">
        <v>45.63</v>
      </c>
      <c r="BM18" s="13">
        <v>40.15</v>
      </c>
      <c r="BN18" s="13">
        <v>29.24</v>
      </c>
      <c r="BO18" s="13">
        <v>32.7</v>
      </c>
      <c r="BP18" s="13">
        <v>43.5</v>
      </c>
      <c r="BQ18" s="66"/>
      <c r="BR18" s="13">
        <v>50.51</v>
      </c>
      <c r="BS18" s="13">
        <v>50.51</v>
      </c>
      <c r="BT18" s="13">
        <v>39.73</v>
      </c>
      <c r="BU18" s="13">
        <v>50.3</v>
      </c>
      <c r="BV18" s="13">
        <v>40.8</v>
      </c>
      <c r="BW18" s="13">
        <v>38.6</v>
      </c>
      <c r="BX18" s="13">
        <v>49.63</v>
      </c>
      <c r="BY18" s="13">
        <v>32.99</v>
      </c>
      <c r="BZ18" s="13">
        <v>37.68</v>
      </c>
      <c r="CA18" s="13">
        <v>40.51</v>
      </c>
      <c r="CB18" s="13">
        <v>45.53</v>
      </c>
      <c r="CC18" s="13">
        <v>42.51</v>
      </c>
      <c r="CD18" s="13">
        <v>42.52</v>
      </c>
      <c r="CE18" s="13">
        <v>42.99</v>
      </c>
      <c r="CF18" s="13">
        <v>41.72</v>
      </c>
      <c r="CG18" s="13">
        <v>43.41</v>
      </c>
      <c r="CH18" s="66"/>
      <c r="CI18" s="66"/>
    </row>
    <row r="19">
      <c r="A19" s="66"/>
      <c r="B19" s="20">
        <v>42.31</v>
      </c>
      <c r="C19" s="20">
        <v>53.21</v>
      </c>
      <c r="D19" s="20">
        <v>48.15</v>
      </c>
      <c r="E19" s="20">
        <v>43.73</v>
      </c>
      <c r="F19" s="20">
        <v>47.42</v>
      </c>
      <c r="G19" s="20">
        <v>39.5</v>
      </c>
      <c r="H19" s="20">
        <v>48.15</v>
      </c>
      <c r="I19" s="20">
        <v>52.07</v>
      </c>
      <c r="J19" s="20">
        <v>43.73</v>
      </c>
      <c r="K19" s="20">
        <v>43.83</v>
      </c>
      <c r="L19" s="20">
        <v>43.18</v>
      </c>
      <c r="M19" s="20">
        <v>50.59</v>
      </c>
      <c r="N19" s="20">
        <v>41.36</v>
      </c>
      <c r="O19" s="20">
        <v>56.05</v>
      </c>
      <c r="P19" s="20">
        <v>41.36</v>
      </c>
      <c r="Q19" s="20">
        <v>41.51</v>
      </c>
      <c r="S19" s="20">
        <v>36.6</v>
      </c>
      <c r="T19" s="20">
        <v>37.88</v>
      </c>
      <c r="U19" s="20">
        <v>43.06</v>
      </c>
      <c r="V19" s="20">
        <v>40.26</v>
      </c>
      <c r="W19" s="20">
        <v>37.61</v>
      </c>
      <c r="X19" s="20">
        <v>36.83</v>
      </c>
      <c r="Y19" s="20">
        <v>38.1</v>
      </c>
      <c r="Z19" s="20">
        <v>36.6</v>
      </c>
      <c r="AA19" s="20">
        <v>40.0</v>
      </c>
      <c r="AB19" s="20">
        <v>41.27</v>
      </c>
      <c r="AC19" s="20">
        <v>38.57</v>
      </c>
      <c r="AD19" s="20">
        <v>42.75</v>
      </c>
      <c r="AE19" s="20">
        <v>42.24</v>
      </c>
      <c r="AF19" s="20">
        <v>48.72</v>
      </c>
      <c r="AG19" s="20">
        <v>35.65</v>
      </c>
      <c r="AH19" s="20">
        <v>39.05</v>
      </c>
      <c r="AJ19" s="20">
        <v>35.07</v>
      </c>
      <c r="AK19" s="20">
        <v>51.21</v>
      </c>
      <c r="AL19" s="21">
        <v>47.58</v>
      </c>
      <c r="AM19" s="21">
        <v>54.67</v>
      </c>
      <c r="AN19" s="20">
        <v>32.5</v>
      </c>
      <c r="AO19" s="13">
        <v>44.86</v>
      </c>
      <c r="AP19" s="13">
        <v>41.31</v>
      </c>
      <c r="AQ19" s="13">
        <v>38.63</v>
      </c>
      <c r="AR19" s="13">
        <v>38.89</v>
      </c>
      <c r="AS19" s="13">
        <v>51.49</v>
      </c>
      <c r="AT19" s="13">
        <v>29.58</v>
      </c>
      <c r="AU19" s="13">
        <v>32.12</v>
      </c>
      <c r="AV19" s="13">
        <v>44.5</v>
      </c>
      <c r="AW19" s="13">
        <v>19.38</v>
      </c>
      <c r="AX19" s="13">
        <v>55.56</v>
      </c>
      <c r="AY19" s="13">
        <v>41.79</v>
      </c>
      <c r="AZ19" s="66"/>
      <c r="BA19" s="13">
        <v>37.79</v>
      </c>
      <c r="BB19" s="13">
        <v>40.05</v>
      </c>
      <c r="BC19" s="13">
        <v>44.29</v>
      </c>
      <c r="BD19" s="13">
        <v>37.48</v>
      </c>
      <c r="BE19" s="13">
        <v>32.7</v>
      </c>
      <c r="BF19" s="13">
        <v>40.46</v>
      </c>
      <c r="BG19" s="13">
        <v>42.74</v>
      </c>
      <c r="BH19" s="13">
        <v>36.11</v>
      </c>
      <c r="BI19" s="13">
        <v>33.63</v>
      </c>
      <c r="BJ19" s="13">
        <v>42.95</v>
      </c>
      <c r="BK19" s="13">
        <v>43.07</v>
      </c>
      <c r="BL19" s="13">
        <v>45.97</v>
      </c>
      <c r="BM19" s="13">
        <v>29.78</v>
      </c>
      <c r="BN19" s="13">
        <v>40.69</v>
      </c>
      <c r="BO19" s="13">
        <v>33.48</v>
      </c>
      <c r="BP19" s="13">
        <v>30.7</v>
      </c>
      <c r="BQ19" s="66"/>
      <c r="BR19" s="13">
        <v>42.51</v>
      </c>
      <c r="BS19" s="13">
        <v>39.73</v>
      </c>
      <c r="BT19" s="13">
        <v>43.94</v>
      </c>
      <c r="BU19" s="13">
        <v>49.21</v>
      </c>
      <c r="BV19" s="13">
        <v>38.96</v>
      </c>
      <c r="BW19" s="13">
        <v>51.45</v>
      </c>
      <c r="BX19" s="13">
        <v>40.51</v>
      </c>
      <c r="BY19" s="13">
        <v>42.51</v>
      </c>
      <c r="BZ19" s="13">
        <v>55.08</v>
      </c>
      <c r="CA19" s="13">
        <v>55.08</v>
      </c>
      <c r="CB19" s="13">
        <v>48.57</v>
      </c>
      <c r="CC19" s="13">
        <v>42.74</v>
      </c>
      <c r="CD19" s="13">
        <v>37.93</v>
      </c>
      <c r="CE19" s="13">
        <v>42.81</v>
      </c>
      <c r="CF19" s="13">
        <v>42.52</v>
      </c>
      <c r="CG19" s="13">
        <v>51.45</v>
      </c>
      <c r="CH19" s="66"/>
      <c r="CI19" s="66"/>
    </row>
    <row r="20">
      <c r="A20" s="66"/>
      <c r="B20" s="20">
        <v>41.51</v>
      </c>
      <c r="C20" s="20">
        <v>55.95</v>
      </c>
      <c r="D20" s="20">
        <v>41.51</v>
      </c>
      <c r="E20" s="20">
        <v>43.83</v>
      </c>
      <c r="F20" s="20">
        <v>43.83</v>
      </c>
      <c r="G20" s="20">
        <v>44.21</v>
      </c>
      <c r="H20" s="20">
        <v>53.04</v>
      </c>
      <c r="I20" s="20">
        <v>45.15</v>
      </c>
      <c r="J20" s="20">
        <v>50.59</v>
      </c>
      <c r="K20" s="20">
        <v>48.03</v>
      </c>
      <c r="L20" s="20">
        <v>55.42</v>
      </c>
      <c r="M20" s="20">
        <v>50.59</v>
      </c>
      <c r="N20" s="20">
        <v>55.42</v>
      </c>
      <c r="O20" s="20">
        <v>49.23</v>
      </c>
      <c r="P20" s="20">
        <v>43.73</v>
      </c>
      <c r="Q20" s="20">
        <v>43.73</v>
      </c>
      <c r="S20" s="20">
        <v>37.15</v>
      </c>
      <c r="T20" s="20">
        <v>34.44</v>
      </c>
      <c r="U20" s="20">
        <v>37.78</v>
      </c>
      <c r="V20" s="20">
        <v>36.6</v>
      </c>
      <c r="W20" s="20">
        <v>38.1</v>
      </c>
      <c r="X20" s="20">
        <v>40.26</v>
      </c>
      <c r="Y20" s="20">
        <v>32.59</v>
      </c>
      <c r="Z20" s="20">
        <v>41.27</v>
      </c>
      <c r="AA20" s="20">
        <v>43.06</v>
      </c>
      <c r="AB20" s="20">
        <v>35.32</v>
      </c>
      <c r="AC20" s="20">
        <v>40.26</v>
      </c>
      <c r="AD20" s="20">
        <v>31.52</v>
      </c>
      <c r="AE20" s="20">
        <v>38.99</v>
      </c>
      <c r="AF20" s="20">
        <v>32.35</v>
      </c>
      <c r="AG20" s="20">
        <v>43.06</v>
      </c>
      <c r="AH20" s="20">
        <v>48.72</v>
      </c>
      <c r="AJ20" s="20">
        <v>31.94</v>
      </c>
      <c r="AK20" s="20">
        <v>44.77</v>
      </c>
      <c r="AL20" s="21">
        <v>51.01</v>
      </c>
      <c r="AM20" s="21">
        <v>29.89</v>
      </c>
      <c r="AN20" s="20">
        <v>40.89</v>
      </c>
      <c r="AO20" s="13">
        <v>50.79</v>
      </c>
      <c r="AP20" s="13">
        <v>54.24</v>
      </c>
      <c r="AQ20" s="13">
        <v>29.33</v>
      </c>
      <c r="AR20" s="13">
        <v>48.77</v>
      </c>
      <c r="AS20" s="13">
        <v>38.41</v>
      </c>
      <c r="AT20" s="13">
        <v>35.82</v>
      </c>
      <c r="AU20" s="13">
        <v>44.34</v>
      </c>
      <c r="AV20" s="13">
        <v>42.22</v>
      </c>
      <c r="AW20" s="13">
        <v>35.56</v>
      </c>
      <c r="AX20" s="13">
        <v>39.23</v>
      </c>
      <c r="AY20" s="13">
        <v>28.48</v>
      </c>
      <c r="AZ20" s="66"/>
      <c r="BA20" s="13">
        <v>43.33</v>
      </c>
      <c r="BB20" s="13">
        <v>37.41</v>
      </c>
      <c r="BC20" s="13">
        <v>49.3</v>
      </c>
      <c r="BD20" s="13">
        <v>42.86</v>
      </c>
      <c r="BE20" s="13">
        <v>48.96</v>
      </c>
      <c r="BF20" s="13">
        <v>42.74</v>
      </c>
      <c r="BG20" s="13">
        <v>42.6</v>
      </c>
      <c r="BH20" s="13">
        <v>42.95</v>
      </c>
      <c r="BI20" s="13">
        <v>38.54</v>
      </c>
      <c r="BJ20" s="13">
        <v>43.33</v>
      </c>
      <c r="BK20" s="13">
        <v>31.43</v>
      </c>
      <c r="BL20" s="13">
        <v>38.54</v>
      </c>
      <c r="BM20" s="13">
        <v>43.33</v>
      </c>
      <c r="BN20" s="13">
        <v>39.87</v>
      </c>
      <c r="BO20" s="13">
        <v>35.44</v>
      </c>
      <c r="BP20" s="13">
        <v>37.48</v>
      </c>
      <c r="BQ20" s="66"/>
      <c r="BR20" s="13">
        <v>36.59</v>
      </c>
      <c r="BS20" s="13">
        <v>33.89</v>
      </c>
      <c r="BT20" s="13">
        <v>40.61</v>
      </c>
      <c r="BU20" s="13">
        <v>40.48</v>
      </c>
      <c r="BV20" s="13">
        <v>42.52</v>
      </c>
      <c r="BW20" s="13">
        <v>49.96</v>
      </c>
      <c r="BX20" s="13">
        <v>42.04</v>
      </c>
      <c r="BY20" s="13">
        <v>42.51</v>
      </c>
      <c r="BZ20" s="13">
        <v>40.8</v>
      </c>
      <c r="CA20" s="13">
        <v>59.08</v>
      </c>
      <c r="CB20" s="13">
        <v>40.48</v>
      </c>
      <c r="CC20" s="13">
        <v>42.99</v>
      </c>
      <c r="CD20" s="13">
        <v>42.51</v>
      </c>
      <c r="CE20" s="13">
        <v>37.46</v>
      </c>
      <c r="CF20" s="13">
        <v>55.43</v>
      </c>
      <c r="CG20" s="13">
        <v>43.37</v>
      </c>
      <c r="CH20" s="66"/>
      <c r="CI20" s="66"/>
    </row>
    <row r="21">
      <c r="A21" s="66"/>
      <c r="B21" s="20">
        <v>43.18</v>
      </c>
      <c r="C21" s="20">
        <v>43.83</v>
      </c>
      <c r="D21" s="20">
        <v>42.31</v>
      </c>
      <c r="E21" s="20">
        <v>43.83</v>
      </c>
      <c r="F21" s="20">
        <v>50.64</v>
      </c>
      <c r="G21" s="20">
        <v>53.04</v>
      </c>
      <c r="H21" s="20">
        <v>43.83</v>
      </c>
      <c r="I21" s="20">
        <v>53.09</v>
      </c>
      <c r="J21" s="20">
        <v>43.73</v>
      </c>
      <c r="K21" s="20">
        <v>53.09</v>
      </c>
      <c r="L21" s="20">
        <v>43.73</v>
      </c>
      <c r="M21" s="20">
        <v>42.31</v>
      </c>
      <c r="N21" s="20">
        <v>50.59</v>
      </c>
      <c r="O21" s="20">
        <v>49.23</v>
      </c>
      <c r="P21" s="20">
        <v>55.42</v>
      </c>
      <c r="Q21" s="20">
        <v>59.52</v>
      </c>
      <c r="S21" s="20">
        <v>36.59</v>
      </c>
      <c r="T21" s="20">
        <v>31.83</v>
      </c>
      <c r="U21" s="20">
        <v>39.61</v>
      </c>
      <c r="V21" s="20">
        <v>35.71</v>
      </c>
      <c r="W21" s="20">
        <v>38.89</v>
      </c>
      <c r="X21" s="20">
        <v>38.99</v>
      </c>
      <c r="Y21" s="20">
        <v>33.33</v>
      </c>
      <c r="Z21" s="20">
        <v>37.61</v>
      </c>
      <c r="AA21" s="20">
        <v>39.61</v>
      </c>
      <c r="AB21" s="20">
        <v>40.83</v>
      </c>
      <c r="AC21" s="20">
        <v>37.61</v>
      </c>
      <c r="AD21" s="20">
        <v>37.88</v>
      </c>
      <c r="AE21" s="20">
        <v>38.99</v>
      </c>
      <c r="AF21" s="20">
        <v>40.91</v>
      </c>
      <c r="AG21" s="20">
        <v>40.4</v>
      </c>
      <c r="AH21" s="20">
        <v>32.59</v>
      </c>
      <c r="AJ21" s="20">
        <v>44.59</v>
      </c>
      <c r="AK21" s="20">
        <v>36.98</v>
      </c>
      <c r="AL21" s="21">
        <v>37.21</v>
      </c>
      <c r="AM21" s="21">
        <v>38.49</v>
      </c>
      <c r="AN21" s="20">
        <v>29.16</v>
      </c>
      <c r="AO21" s="13">
        <v>44.82</v>
      </c>
      <c r="AP21" s="13">
        <v>57.49</v>
      </c>
      <c r="AQ21" s="13">
        <v>38.47</v>
      </c>
      <c r="AR21" s="13">
        <v>37.21</v>
      </c>
      <c r="AS21" s="13">
        <v>30.95</v>
      </c>
      <c r="AT21" s="13">
        <v>29.32</v>
      </c>
      <c r="AU21" s="13">
        <v>37.27</v>
      </c>
      <c r="AV21" s="13">
        <v>41.52</v>
      </c>
      <c r="AW21" s="13">
        <v>33.15</v>
      </c>
      <c r="AX21" s="13">
        <v>44.44</v>
      </c>
      <c r="AY21" s="13">
        <v>47.81</v>
      </c>
      <c r="AZ21" s="66"/>
      <c r="BA21" s="13">
        <v>38.54</v>
      </c>
      <c r="BB21" s="13">
        <v>42.26</v>
      </c>
      <c r="BC21" s="13">
        <v>41.84</v>
      </c>
      <c r="BD21" s="13">
        <v>43.5</v>
      </c>
      <c r="BE21" s="13">
        <v>44.28</v>
      </c>
      <c r="BF21" s="13">
        <v>42.58</v>
      </c>
      <c r="BG21" s="13">
        <v>44.69</v>
      </c>
      <c r="BH21" s="13">
        <v>40.15</v>
      </c>
      <c r="BI21" s="13">
        <v>36.2</v>
      </c>
      <c r="BJ21" s="13">
        <v>32.7</v>
      </c>
      <c r="BK21" s="13">
        <v>51.85</v>
      </c>
      <c r="BL21" s="13">
        <v>42.26</v>
      </c>
      <c r="BM21" s="13">
        <v>42.74</v>
      </c>
      <c r="BN21" s="13">
        <v>47.37</v>
      </c>
      <c r="BO21" s="13">
        <v>33.48</v>
      </c>
      <c r="BP21" s="13">
        <v>30.0</v>
      </c>
      <c r="BQ21" s="66"/>
      <c r="BR21" s="13">
        <v>45.53</v>
      </c>
      <c r="BS21" s="13">
        <v>40.51</v>
      </c>
      <c r="BT21" s="13">
        <v>44.44</v>
      </c>
      <c r="BU21" s="13">
        <v>40.51</v>
      </c>
      <c r="BV21" s="13">
        <v>40.8</v>
      </c>
      <c r="BW21" s="13">
        <v>60.11</v>
      </c>
      <c r="BX21" s="13">
        <v>36.8</v>
      </c>
      <c r="BY21" s="13">
        <v>42.85</v>
      </c>
      <c r="BZ21" s="13">
        <v>43.43</v>
      </c>
      <c r="CA21" s="13">
        <v>52.71</v>
      </c>
      <c r="CB21" s="13">
        <v>41.55</v>
      </c>
      <c r="CC21" s="13">
        <v>37.68</v>
      </c>
      <c r="CD21" s="13">
        <v>42.52</v>
      </c>
      <c r="CE21" s="13">
        <v>37.0</v>
      </c>
      <c r="CF21" s="13">
        <v>44.98</v>
      </c>
      <c r="CG21" s="13">
        <v>47.05</v>
      </c>
      <c r="CH21" s="66"/>
      <c r="CI21" s="66"/>
    </row>
    <row r="22">
      <c r="A22" s="66"/>
      <c r="B22" s="20">
        <v>48.21</v>
      </c>
      <c r="C22" s="20">
        <v>44.71</v>
      </c>
      <c r="D22" s="20">
        <v>42.31</v>
      </c>
      <c r="E22" s="20">
        <v>43.73</v>
      </c>
      <c r="F22" s="20">
        <v>42.32</v>
      </c>
      <c r="G22" s="20">
        <v>42.31</v>
      </c>
      <c r="H22" s="20">
        <v>41.2</v>
      </c>
      <c r="I22" s="20">
        <v>53.04</v>
      </c>
      <c r="J22" s="20">
        <v>53.04</v>
      </c>
      <c r="K22" s="20">
        <v>43.83</v>
      </c>
      <c r="L22" s="20">
        <v>55.42</v>
      </c>
      <c r="M22" s="20">
        <v>43.73</v>
      </c>
      <c r="N22" s="20">
        <v>43.73</v>
      </c>
      <c r="O22" s="20">
        <v>56.05</v>
      </c>
      <c r="P22" s="20">
        <v>50.64</v>
      </c>
      <c r="Q22" s="20">
        <v>43.83</v>
      </c>
      <c r="S22" s="20">
        <v>39.86</v>
      </c>
      <c r="T22" s="20">
        <v>36.6</v>
      </c>
      <c r="U22" s="20">
        <v>34.43</v>
      </c>
      <c r="V22" s="20">
        <v>35.57</v>
      </c>
      <c r="W22" s="20">
        <v>38.1</v>
      </c>
      <c r="X22" s="20">
        <v>37.88</v>
      </c>
      <c r="Y22" s="20">
        <v>34.44</v>
      </c>
      <c r="Z22" s="20">
        <v>37.61</v>
      </c>
      <c r="AA22" s="20">
        <v>40.26</v>
      </c>
      <c r="AB22" s="20">
        <v>39.05</v>
      </c>
      <c r="AC22" s="20">
        <v>39.86</v>
      </c>
      <c r="AD22" s="20">
        <v>39.63</v>
      </c>
      <c r="AE22" s="20">
        <v>38.99</v>
      </c>
      <c r="AF22" s="20">
        <v>48.15</v>
      </c>
      <c r="AG22" s="20">
        <v>37.04</v>
      </c>
      <c r="AH22" s="20">
        <v>40.0</v>
      </c>
      <c r="AJ22" s="20">
        <v>32.64</v>
      </c>
      <c r="AK22" s="20">
        <v>38.64</v>
      </c>
      <c r="AL22" s="21">
        <v>35.46</v>
      </c>
      <c r="AM22" s="21">
        <v>47.7</v>
      </c>
      <c r="AN22" s="20">
        <v>41.77</v>
      </c>
      <c r="AO22" s="13">
        <v>37.21</v>
      </c>
      <c r="AP22" s="13">
        <v>37.21</v>
      </c>
      <c r="AQ22" s="13">
        <v>29.32</v>
      </c>
      <c r="AR22" s="13">
        <v>47.73</v>
      </c>
      <c r="AS22" s="13">
        <v>44.6</v>
      </c>
      <c r="AT22" s="13">
        <v>46.18</v>
      </c>
      <c r="AU22" s="13">
        <v>35.16</v>
      </c>
      <c r="AV22" s="13">
        <v>41.5</v>
      </c>
      <c r="AW22" s="13">
        <v>38.64</v>
      </c>
      <c r="AX22" s="13">
        <v>36.39</v>
      </c>
      <c r="AY22" s="13">
        <v>51.11</v>
      </c>
      <c r="AZ22" s="66"/>
      <c r="BA22" s="13">
        <v>54.55</v>
      </c>
      <c r="BB22" s="13">
        <v>34.85</v>
      </c>
      <c r="BC22" s="13">
        <v>39.52</v>
      </c>
      <c r="BD22" s="13">
        <v>32.7</v>
      </c>
      <c r="BE22" s="13">
        <v>29.33</v>
      </c>
      <c r="BF22" s="13">
        <v>43.42</v>
      </c>
      <c r="BG22" s="13">
        <v>43.33</v>
      </c>
      <c r="BH22" s="13">
        <v>32.43</v>
      </c>
      <c r="BI22" s="13">
        <v>43.33</v>
      </c>
      <c r="BJ22" s="13">
        <v>50.29</v>
      </c>
      <c r="BK22" s="13">
        <v>36.11</v>
      </c>
      <c r="BL22" s="13">
        <v>38.1</v>
      </c>
      <c r="BM22" s="13">
        <v>32.7</v>
      </c>
      <c r="BN22" s="13">
        <v>39.59</v>
      </c>
      <c r="BO22" s="13">
        <v>37.04</v>
      </c>
      <c r="BP22" s="13">
        <v>33.48</v>
      </c>
      <c r="BQ22" s="66"/>
      <c r="BR22" s="13">
        <v>37.5</v>
      </c>
      <c r="BS22" s="13">
        <v>49.21</v>
      </c>
      <c r="BT22" s="13">
        <v>59.55</v>
      </c>
      <c r="BU22" s="13">
        <v>36.59</v>
      </c>
      <c r="BV22" s="13">
        <v>43.37</v>
      </c>
      <c r="BW22" s="13">
        <v>40.89</v>
      </c>
      <c r="BX22" s="13">
        <v>50.52</v>
      </c>
      <c r="BY22" s="13">
        <v>49.21</v>
      </c>
      <c r="BZ22" s="13">
        <v>42.51</v>
      </c>
      <c r="CA22" s="13">
        <v>50.52</v>
      </c>
      <c r="CB22" s="13">
        <v>47.56</v>
      </c>
      <c r="CC22" s="13">
        <v>37.68</v>
      </c>
      <c r="CD22" s="13">
        <v>43.37</v>
      </c>
      <c r="CE22" s="13">
        <v>41.38</v>
      </c>
      <c r="CF22" s="13">
        <v>49.59</v>
      </c>
      <c r="CG22" s="13">
        <v>43.94</v>
      </c>
      <c r="CH22" s="66"/>
      <c r="CI22" s="66"/>
    </row>
    <row r="23">
      <c r="A23" s="66"/>
      <c r="B23" s="20">
        <v>43.83</v>
      </c>
      <c r="C23" s="20">
        <v>53.09</v>
      </c>
      <c r="D23" s="20">
        <v>43.83</v>
      </c>
      <c r="E23" s="20">
        <v>50.59</v>
      </c>
      <c r="F23" s="20">
        <v>41.51</v>
      </c>
      <c r="G23" s="20">
        <v>42.31</v>
      </c>
      <c r="H23" s="20">
        <v>43.83</v>
      </c>
      <c r="I23" s="20">
        <v>61.59</v>
      </c>
      <c r="J23" s="20">
        <v>43.83</v>
      </c>
      <c r="K23" s="20">
        <v>43.83</v>
      </c>
      <c r="L23" s="20">
        <v>53.21</v>
      </c>
      <c r="M23" s="20">
        <v>40.79</v>
      </c>
      <c r="N23" s="20">
        <v>43.83</v>
      </c>
      <c r="O23" s="20">
        <v>46.86</v>
      </c>
      <c r="P23" s="20">
        <v>41.36</v>
      </c>
      <c r="Q23" s="20">
        <v>42.31</v>
      </c>
      <c r="S23" s="20">
        <v>41.67</v>
      </c>
      <c r="T23" s="20">
        <v>37.61</v>
      </c>
      <c r="U23" s="20">
        <v>30.95</v>
      </c>
      <c r="V23" s="20">
        <v>39.86</v>
      </c>
      <c r="W23" s="20">
        <v>38.89</v>
      </c>
      <c r="X23" s="20">
        <v>38.99</v>
      </c>
      <c r="Y23" s="20">
        <v>35.57</v>
      </c>
      <c r="Z23" s="20">
        <v>37.61</v>
      </c>
      <c r="AA23" s="20">
        <v>31.52</v>
      </c>
      <c r="AB23" s="20">
        <v>39.61</v>
      </c>
      <c r="AC23" s="20">
        <v>38.57</v>
      </c>
      <c r="AD23" s="20">
        <v>39.63</v>
      </c>
      <c r="AE23" s="20">
        <v>38.57</v>
      </c>
      <c r="AF23" s="20">
        <v>40.91</v>
      </c>
      <c r="AG23" s="20">
        <v>33.23</v>
      </c>
      <c r="AH23" s="20">
        <v>35.71</v>
      </c>
      <c r="AJ23" s="20">
        <v>32.12</v>
      </c>
      <c r="AK23" s="20">
        <v>44.5</v>
      </c>
      <c r="AL23" s="21">
        <v>41.93</v>
      </c>
      <c r="AM23" s="21">
        <v>44.44</v>
      </c>
      <c r="AN23" s="20">
        <v>47.26</v>
      </c>
      <c r="AO23" s="13">
        <v>42.22</v>
      </c>
      <c r="AP23" s="13">
        <v>31.75</v>
      </c>
      <c r="AQ23" s="13">
        <v>35.82</v>
      </c>
      <c r="AR23" s="13">
        <v>41.6</v>
      </c>
      <c r="AS23" s="13">
        <v>38.47</v>
      </c>
      <c r="AT23" s="13">
        <v>35.83</v>
      </c>
      <c r="AU23" s="13">
        <v>48.29</v>
      </c>
      <c r="AV23" s="13">
        <v>31.02</v>
      </c>
      <c r="AW23" s="13">
        <v>30.83</v>
      </c>
      <c r="AX23" s="13">
        <v>48.41</v>
      </c>
      <c r="AY23" s="13">
        <v>57.83</v>
      </c>
      <c r="AZ23" s="66"/>
      <c r="BA23" s="13">
        <v>43.07</v>
      </c>
      <c r="BB23" s="13">
        <v>40.6</v>
      </c>
      <c r="BC23" s="13">
        <v>37.04</v>
      </c>
      <c r="BD23" s="13">
        <v>38.54</v>
      </c>
      <c r="BE23" s="13">
        <v>40.46</v>
      </c>
      <c r="BF23" s="13">
        <v>45.59</v>
      </c>
      <c r="BG23" s="13">
        <v>45.97</v>
      </c>
      <c r="BH23" s="13">
        <v>44.75</v>
      </c>
      <c r="BI23" s="13">
        <v>31.28</v>
      </c>
      <c r="BJ23" s="13">
        <v>39.56</v>
      </c>
      <c r="BK23" s="13">
        <v>34.44</v>
      </c>
      <c r="BL23" s="13">
        <v>38.54</v>
      </c>
      <c r="BM23" s="13">
        <v>32.7</v>
      </c>
      <c r="BN23" s="13">
        <v>51.02</v>
      </c>
      <c r="BO23" s="13">
        <v>32.7</v>
      </c>
      <c r="BP23" s="13">
        <v>43.5</v>
      </c>
      <c r="BQ23" s="66"/>
      <c r="BR23" s="13">
        <v>49.94</v>
      </c>
      <c r="BS23" s="13">
        <v>45.53</v>
      </c>
      <c r="BT23" s="13">
        <v>51.45</v>
      </c>
      <c r="BU23" s="13">
        <v>42.74</v>
      </c>
      <c r="BV23" s="13">
        <v>45.02</v>
      </c>
      <c r="BW23" s="13">
        <v>42.52</v>
      </c>
      <c r="BX23" s="13">
        <v>43.41</v>
      </c>
      <c r="BY23" s="13">
        <v>37.68</v>
      </c>
      <c r="BZ23" s="13">
        <v>42.51</v>
      </c>
      <c r="CA23" s="13">
        <v>40.51</v>
      </c>
      <c r="CB23" s="13">
        <v>41.16</v>
      </c>
      <c r="CC23" s="13">
        <v>44.53</v>
      </c>
      <c r="CD23" s="13">
        <v>39.61</v>
      </c>
      <c r="CE23" s="13">
        <v>45.85</v>
      </c>
      <c r="CF23" s="13">
        <v>42.51</v>
      </c>
      <c r="CG23" s="13">
        <v>49.85</v>
      </c>
      <c r="CH23" s="66"/>
      <c r="CI23" s="66"/>
    </row>
    <row r="24">
      <c r="A24" s="66"/>
      <c r="B24" s="20">
        <v>40.79</v>
      </c>
      <c r="C24" s="20">
        <v>50.83</v>
      </c>
      <c r="D24" s="20">
        <v>43.73</v>
      </c>
      <c r="E24" s="20">
        <v>43.73</v>
      </c>
      <c r="F24" s="20">
        <v>43.83</v>
      </c>
      <c r="G24" s="20">
        <v>43.83</v>
      </c>
      <c r="H24" s="20">
        <v>43.83</v>
      </c>
      <c r="I24" s="20">
        <v>44.7</v>
      </c>
      <c r="J24" s="20">
        <v>53.42</v>
      </c>
      <c r="K24" s="20">
        <v>62.01</v>
      </c>
      <c r="L24" s="20">
        <v>43.83</v>
      </c>
      <c r="M24" s="20">
        <v>44.71</v>
      </c>
      <c r="N24" s="20">
        <v>43.83</v>
      </c>
      <c r="O24" s="20">
        <v>56.35</v>
      </c>
      <c r="P24" s="20">
        <v>42.24</v>
      </c>
      <c r="Q24" s="20">
        <v>43.83</v>
      </c>
      <c r="S24" s="20">
        <v>35.67</v>
      </c>
      <c r="T24" s="20">
        <v>35.67</v>
      </c>
      <c r="U24" s="20">
        <v>40.0</v>
      </c>
      <c r="V24" s="20">
        <v>38.57</v>
      </c>
      <c r="W24" s="20">
        <v>33.33</v>
      </c>
      <c r="X24" s="20">
        <v>32.93</v>
      </c>
      <c r="Y24" s="20">
        <v>36.59</v>
      </c>
      <c r="Z24" s="20">
        <v>43.7</v>
      </c>
      <c r="AA24" s="20">
        <v>33.33</v>
      </c>
      <c r="AB24" s="20">
        <v>42.22</v>
      </c>
      <c r="AC24" s="20">
        <v>38.89</v>
      </c>
      <c r="AD24" s="20">
        <v>39.63</v>
      </c>
      <c r="AE24" s="20">
        <v>38.99</v>
      </c>
      <c r="AF24" s="20">
        <v>38.1</v>
      </c>
      <c r="AG24" s="20">
        <v>39.63</v>
      </c>
      <c r="AH24" s="20">
        <v>39.56</v>
      </c>
      <c r="AJ24" s="20">
        <v>19.38</v>
      </c>
      <c r="AK24" s="20">
        <v>42.85</v>
      </c>
      <c r="AL24" s="21">
        <v>35.25</v>
      </c>
      <c r="AM24" s="21">
        <v>36.42</v>
      </c>
      <c r="AN24" s="20">
        <v>50.26</v>
      </c>
      <c r="AO24" s="13">
        <v>47.52</v>
      </c>
      <c r="AP24" s="13">
        <v>44.55</v>
      </c>
      <c r="AQ24" s="13">
        <v>31.81</v>
      </c>
      <c r="AR24" s="13">
        <v>35.32</v>
      </c>
      <c r="AS24" s="13">
        <v>50.92</v>
      </c>
      <c r="AT24" s="13">
        <v>37.32</v>
      </c>
      <c r="AU24" s="13">
        <v>47.58</v>
      </c>
      <c r="AV24" s="13">
        <v>41.52</v>
      </c>
      <c r="AW24" s="13">
        <v>30.95</v>
      </c>
      <c r="AX24" s="13">
        <v>44.36</v>
      </c>
      <c r="AY24" s="13">
        <v>32.82</v>
      </c>
      <c r="AZ24" s="66"/>
      <c r="BA24" s="13">
        <v>37.46</v>
      </c>
      <c r="BB24" s="13">
        <v>43.98</v>
      </c>
      <c r="BC24" s="13">
        <v>33.48</v>
      </c>
      <c r="BD24" s="13">
        <v>31.99</v>
      </c>
      <c r="BE24" s="13">
        <v>31.48</v>
      </c>
      <c r="BF24" s="13">
        <v>39.91</v>
      </c>
      <c r="BG24" s="13">
        <v>32.7</v>
      </c>
      <c r="BH24" s="13">
        <v>36.22</v>
      </c>
      <c r="BI24" s="13">
        <v>42.26</v>
      </c>
      <c r="BJ24" s="13">
        <v>39.54</v>
      </c>
      <c r="BK24" s="13">
        <v>44.75</v>
      </c>
      <c r="BL24" s="13">
        <v>31.48</v>
      </c>
      <c r="BM24" s="13">
        <v>32.97</v>
      </c>
      <c r="BN24" s="13">
        <v>47.2</v>
      </c>
      <c r="BO24" s="13">
        <v>30.0</v>
      </c>
      <c r="BP24" s="13">
        <v>36.79</v>
      </c>
      <c r="BQ24" s="66"/>
      <c r="BR24" s="13">
        <v>37.95</v>
      </c>
      <c r="BS24" s="13">
        <v>36.59</v>
      </c>
      <c r="BT24" s="13">
        <v>46.36</v>
      </c>
      <c r="BU24" s="13">
        <v>38.8</v>
      </c>
      <c r="BV24" s="13">
        <v>43.44</v>
      </c>
      <c r="BW24" s="13">
        <v>40.89</v>
      </c>
      <c r="BX24" s="13">
        <v>42.81</v>
      </c>
      <c r="BY24" s="13">
        <v>39.73</v>
      </c>
      <c r="BZ24" s="13">
        <v>38.96</v>
      </c>
      <c r="CA24" s="13">
        <v>41.55</v>
      </c>
      <c r="CB24" s="13">
        <v>38.8</v>
      </c>
      <c r="CC24" s="13">
        <v>44.66</v>
      </c>
      <c r="CD24" s="13">
        <v>45.02</v>
      </c>
      <c r="CE24" s="13">
        <v>47.32</v>
      </c>
      <c r="CF24" s="13">
        <v>39.88</v>
      </c>
      <c r="CG24" s="13">
        <v>42.81</v>
      </c>
      <c r="CH24" s="66"/>
      <c r="CI24" s="66"/>
    </row>
    <row r="25">
      <c r="A25" s="66"/>
      <c r="AJ25" s="17"/>
    </row>
    <row r="26">
      <c r="A26" s="66"/>
      <c r="B26" s="270">
        <v>42.416999999999994</v>
      </c>
      <c r="C26" s="270">
        <v>42.9755</v>
      </c>
      <c r="D26" s="28">
        <v>42.928000000000004</v>
      </c>
      <c r="E26" s="28">
        <v>42.8075</v>
      </c>
      <c r="F26" s="28">
        <v>42.17299999999999</v>
      </c>
      <c r="G26" s="28">
        <v>44.4</v>
      </c>
      <c r="H26" s="28">
        <v>43.9905</v>
      </c>
      <c r="I26" s="28">
        <v>43.114</v>
      </c>
      <c r="J26" s="28">
        <v>43.4975</v>
      </c>
      <c r="K26" s="28">
        <v>44.456</v>
      </c>
      <c r="L26" s="28">
        <v>42.32949999999999</v>
      </c>
      <c r="M26" s="28">
        <v>40.397999999999996</v>
      </c>
      <c r="N26" s="28">
        <v>41.48</v>
      </c>
      <c r="O26" s="28">
        <v>43.54600000000001</v>
      </c>
      <c r="P26" s="28">
        <v>45.374</v>
      </c>
      <c r="Q26" s="28">
        <v>44.667500000000004</v>
      </c>
      <c r="R26" s="28"/>
    </row>
    <row r="27">
      <c r="A27" s="66"/>
      <c r="B27" s="66"/>
      <c r="C27" s="66"/>
    </row>
    <row r="28">
      <c r="A28" s="271" t="s">
        <v>433</v>
      </c>
      <c r="B28" s="272" t="s">
        <v>24</v>
      </c>
      <c r="C28" s="272" t="s">
        <v>321</v>
      </c>
      <c r="D28" s="272" t="s">
        <v>360</v>
      </c>
      <c r="E28" s="272" t="s">
        <v>362</v>
      </c>
      <c r="F28" s="272" t="s">
        <v>364</v>
      </c>
      <c r="G28" s="273" t="s">
        <v>189</v>
      </c>
      <c r="J28" s="20" t="s">
        <v>24</v>
      </c>
      <c r="K28" s="20" t="s">
        <v>321</v>
      </c>
      <c r="L28" s="20" t="s">
        <v>360</v>
      </c>
      <c r="M28" s="20" t="s">
        <v>362</v>
      </c>
      <c r="N28" s="20" t="s">
        <v>364</v>
      </c>
      <c r="O28" s="20" t="s">
        <v>189</v>
      </c>
      <c r="Q28" s="274" t="s">
        <v>434</v>
      </c>
      <c r="R28" s="275" t="s">
        <v>24</v>
      </c>
      <c r="S28" s="275" t="s">
        <v>321</v>
      </c>
      <c r="T28" s="275" t="s">
        <v>360</v>
      </c>
      <c r="U28" s="275" t="s">
        <v>362</v>
      </c>
      <c r="V28" s="275" t="s">
        <v>364</v>
      </c>
      <c r="W28" s="275" t="s">
        <v>189</v>
      </c>
      <c r="X28" s="276" t="s">
        <v>363</v>
      </c>
    </row>
    <row r="29">
      <c r="A29" s="464" t="s">
        <v>423</v>
      </c>
      <c r="B29" s="465">
        <v>46.715500000000006</v>
      </c>
      <c r="C29" s="465">
        <v>38.2205</v>
      </c>
      <c r="D29" s="465">
        <v>44.9875</v>
      </c>
      <c r="E29" s="465">
        <v>41.78500000000001</v>
      </c>
      <c r="F29" s="465">
        <v>43.9905</v>
      </c>
      <c r="G29" s="283">
        <f t="shared" ref="G29:G44" si="13">AVERAGE(B29:F29)</f>
        <v>43.1398</v>
      </c>
      <c r="I29" s="20" t="s">
        <v>179</v>
      </c>
      <c r="J29" s="34">
        <f t="shared" ref="J29:N29" si="11">B$52*B29+B$53</f>
        <v>0.5050765267</v>
      </c>
      <c r="K29" s="34">
        <f t="shared" si="11"/>
        <v>0.5205455499</v>
      </c>
      <c r="L29" s="34">
        <f t="shared" si="11"/>
        <v>1</v>
      </c>
      <c r="M29" s="34">
        <f t="shared" si="11"/>
        <v>0.8914223153</v>
      </c>
      <c r="N29" s="34">
        <f t="shared" si="11"/>
        <v>0.7219654341</v>
      </c>
      <c r="O29" s="34">
        <f t="shared" ref="O29:O44" si="15">AVERAGE(J29:N29)</f>
        <v>0.7278019652</v>
      </c>
      <c r="Q29" s="466" t="s">
        <v>423</v>
      </c>
      <c r="R29" s="308">
        <v>0.5050765267464783</v>
      </c>
      <c r="S29" s="467">
        <v>0.5205455499213123</v>
      </c>
      <c r="T29" s="287">
        <v>1.0</v>
      </c>
      <c r="U29" s="468">
        <v>0.8914223153084544</v>
      </c>
      <c r="V29" s="469">
        <v>0.7219654340836019</v>
      </c>
      <c r="W29" s="287">
        <v>0.7278019652119694</v>
      </c>
      <c r="X29" s="470">
        <f t="shared" ref="X29:X44" si="16">STDEV(R29:V29)</f>
        <v>0.2199200405</v>
      </c>
      <c r="AA29" s="471">
        <f t="shared" ref="AA29:AE29" si="12">R29+R31+R33+R34</f>
        <v>2.735717533</v>
      </c>
      <c r="AB29" s="471">
        <f t="shared" si="12"/>
        <v>1.877426123</v>
      </c>
      <c r="AC29" s="471">
        <f t="shared" si="12"/>
        <v>2.723284101</v>
      </c>
      <c r="AD29" s="471">
        <f t="shared" si="12"/>
        <v>2.967678979</v>
      </c>
      <c r="AE29" s="471">
        <f t="shared" si="12"/>
        <v>2.83551045</v>
      </c>
    </row>
    <row r="30">
      <c r="A30" s="472" t="s">
        <v>424</v>
      </c>
      <c r="B30" s="473">
        <v>47.93000000000001</v>
      </c>
      <c r="C30" s="473">
        <v>37.914</v>
      </c>
      <c r="D30" s="473">
        <v>40.967000000000006</v>
      </c>
      <c r="E30" s="473">
        <v>41.7855</v>
      </c>
      <c r="F30" s="473">
        <v>44.456</v>
      </c>
      <c r="G30" s="474">
        <f t="shared" si="13"/>
        <v>42.6105</v>
      </c>
      <c r="I30" s="20" t="s">
        <v>31</v>
      </c>
      <c r="J30" s="34">
        <f t="shared" ref="J30:N30" si="14">B$52*B30+B$53</f>
        <v>0.6891195636</v>
      </c>
      <c r="K30" s="34">
        <f t="shared" si="14"/>
        <v>0.4133589788</v>
      </c>
      <c r="L30" s="34">
        <f t="shared" si="14"/>
        <v>0.6824500434</v>
      </c>
      <c r="M30" s="34">
        <f t="shared" si="14"/>
        <v>0.8914699162</v>
      </c>
      <c r="N30" s="34">
        <f t="shared" si="14"/>
        <v>0.8155144695</v>
      </c>
      <c r="O30" s="34">
        <f t="shared" si="15"/>
        <v>0.6983825943</v>
      </c>
      <c r="Q30" s="475" t="s">
        <v>424</v>
      </c>
      <c r="R30" s="476">
        <v>0.6891195635702401</v>
      </c>
      <c r="S30" s="477">
        <v>0.413358978842453</v>
      </c>
      <c r="T30" s="364">
        <v>0.682450043440487</v>
      </c>
      <c r="U30" s="468">
        <v>0.8914699162223907</v>
      </c>
      <c r="V30" s="478">
        <v>0.8155144694533778</v>
      </c>
      <c r="W30" s="479">
        <v>0.6983825943057898</v>
      </c>
      <c r="X30" s="480">
        <f t="shared" si="16"/>
        <v>0.1820581647</v>
      </c>
      <c r="Z30" s="34" t="s">
        <v>423</v>
      </c>
      <c r="AA30" s="301">
        <f t="shared" ref="AA30:AE30" si="17">R29/AA$29</f>
        <v>0.1846230543</v>
      </c>
      <c r="AB30" s="301">
        <f t="shared" si="17"/>
        <v>0.2772655304</v>
      </c>
      <c r="AC30" s="301">
        <f t="shared" si="17"/>
        <v>0.3672037007</v>
      </c>
      <c r="AD30" s="301">
        <f t="shared" si="17"/>
        <v>0.3003769348</v>
      </c>
      <c r="AE30" s="301">
        <f t="shared" si="17"/>
        <v>0.2546156845</v>
      </c>
    </row>
    <row r="31">
      <c r="A31" s="464" t="s">
        <v>422</v>
      </c>
      <c r="B31" s="465">
        <v>45.01349999999999</v>
      </c>
      <c r="C31" s="465">
        <v>38.221500000000006</v>
      </c>
      <c r="D31" s="465">
        <v>41.758</v>
      </c>
      <c r="E31" s="465">
        <v>42.92550000000001</v>
      </c>
      <c r="F31" s="465">
        <v>44.4</v>
      </c>
      <c r="G31" s="481">
        <f t="shared" si="13"/>
        <v>42.4637</v>
      </c>
      <c r="I31" s="20" t="s">
        <v>201</v>
      </c>
      <c r="J31" s="34">
        <f t="shared" ref="J31:N31" si="18">B$52*B31+B$53</f>
        <v>0.2471586604</v>
      </c>
      <c r="K31" s="34">
        <f t="shared" si="18"/>
        <v>0.5208952614</v>
      </c>
      <c r="L31" s="34">
        <f t="shared" si="18"/>
        <v>0.7449253613</v>
      </c>
      <c r="M31" s="34">
        <f t="shared" si="18"/>
        <v>1</v>
      </c>
      <c r="N31" s="34">
        <f t="shared" si="18"/>
        <v>0.8042604502</v>
      </c>
      <c r="O31" s="34">
        <f t="shared" si="15"/>
        <v>0.6634479467</v>
      </c>
      <c r="Q31" s="466" t="s">
        <v>430</v>
      </c>
      <c r="R31" s="382">
        <v>0.6841188058796792</v>
      </c>
      <c r="S31" s="482">
        <v>0.4623185871655888</v>
      </c>
      <c r="T31" s="349">
        <v>0.826435510623174</v>
      </c>
      <c r="U31" s="483">
        <v>0.5551694592536172</v>
      </c>
      <c r="V31" s="484">
        <v>0.8580184887459819</v>
      </c>
      <c r="W31" s="485">
        <v>0.6772121703336083</v>
      </c>
      <c r="X31" s="486">
        <f t="shared" si="16"/>
        <v>0.1703525074</v>
      </c>
      <c r="Z31" s="34" t="s">
        <v>430</v>
      </c>
      <c r="AA31" s="301">
        <f t="shared" ref="AA31:AE31" si="19">R31/AA$29</f>
        <v>0.2500692406</v>
      </c>
      <c r="AB31" s="301">
        <f t="shared" si="19"/>
        <v>0.2462512806</v>
      </c>
      <c r="AC31" s="301">
        <f t="shared" si="19"/>
        <v>0.3034701779</v>
      </c>
      <c r="AD31" s="301">
        <f t="shared" si="19"/>
        <v>0.1870719384</v>
      </c>
      <c r="AE31" s="301">
        <f t="shared" si="19"/>
        <v>0.3025975407</v>
      </c>
      <c r="AL31" s="20"/>
      <c r="AM31" s="20"/>
    </row>
    <row r="32">
      <c r="A32" s="472" t="s">
        <v>430</v>
      </c>
      <c r="B32" s="473">
        <v>47.897</v>
      </c>
      <c r="C32" s="473">
        <v>38.05400000000001</v>
      </c>
      <c r="D32" s="473">
        <v>42.790000000000006</v>
      </c>
      <c r="E32" s="473">
        <v>38.253</v>
      </c>
      <c r="F32" s="473">
        <v>44.667500000000004</v>
      </c>
      <c r="G32" s="487">
        <f t="shared" si="13"/>
        <v>42.3323</v>
      </c>
      <c r="I32" s="20" t="s">
        <v>32</v>
      </c>
      <c r="J32" s="34">
        <f t="shared" ref="J32:N32" si="20">B$52*B32+B$53</f>
        <v>0.6841188059</v>
      </c>
      <c r="K32" s="34">
        <f t="shared" si="20"/>
        <v>0.4623185872</v>
      </c>
      <c r="L32" s="34">
        <f t="shared" si="20"/>
        <v>0.8264355106</v>
      </c>
      <c r="M32" s="34">
        <f t="shared" si="20"/>
        <v>0.5551694593</v>
      </c>
      <c r="N32" s="34">
        <f t="shared" si="20"/>
        <v>0.8580184887</v>
      </c>
      <c r="O32" s="34">
        <f t="shared" si="15"/>
        <v>0.6772121703</v>
      </c>
      <c r="Q32" s="475" t="s">
        <v>422</v>
      </c>
      <c r="R32" s="438">
        <v>0.24715866040309198</v>
      </c>
      <c r="S32" s="467">
        <v>0.5208952614093363</v>
      </c>
      <c r="T32" s="488">
        <v>0.7449253613458655</v>
      </c>
      <c r="U32" s="287">
        <v>1.0</v>
      </c>
      <c r="V32" s="489">
        <v>0.804260450160772</v>
      </c>
      <c r="W32" s="490">
        <v>0.6634479466638131</v>
      </c>
      <c r="X32" s="491">
        <f t="shared" si="16"/>
        <v>0.2886832402</v>
      </c>
      <c r="Z32" s="34" t="s">
        <v>428</v>
      </c>
      <c r="AA32" s="301">
        <f t="shared" ref="AA32:AE32" si="21">R33/AA$29</f>
        <v>0.3655348142</v>
      </c>
      <c r="AB32" s="301">
        <f t="shared" si="21"/>
        <v>0.3864207879</v>
      </c>
      <c r="AC32" s="301">
        <f t="shared" si="21"/>
        <v>0</v>
      </c>
      <c r="AD32" s="301">
        <f t="shared" si="21"/>
        <v>0.2977624509</v>
      </c>
      <c r="AE32" s="301">
        <f t="shared" si="21"/>
        <v>0.2231120876</v>
      </c>
    </row>
    <row r="33">
      <c r="A33" s="464" t="s">
        <v>392</v>
      </c>
      <c r="B33" s="465">
        <v>46.989</v>
      </c>
      <c r="C33" s="465">
        <v>37.2155</v>
      </c>
      <c r="D33" s="465">
        <v>43.68150000000001</v>
      </c>
      <c r="E33" s="465">
        <v>39.117000000000004</v>
      </c>
      <c r="F33" s="465">
        <v>43.4975</v>
      </c>
      <c r="G33" s="492">
        <f t="shared" si="13"/>
        <v>42.1001</v>
      </c>
      <c r="I33" s="20" t="s">
        <v>421</v>
      </c>
      <c r="J33" s="34">
        <f t="shared" ref="J33:N33" si="22">B$52*B33+B$53</f>
        <v>0.5465222003</v>
      </c>
      <c r="K33" s="34">
        <f t="shared" si="22"/>
        <v>0.1690855045</v>
      </c>
      <c r="L33" s="34">
        <f t="shared" si="22"/>
        <v>0.8968485902</v>
      </c>
      <c r="M33" s="34">
        <f t="shared" si="22"/>
        <v>0.6374238385</v>
      </c>
      <c r="N33" s="34">
        <f t="shared" si="22"/>
        <v>0.6228898714</v>
      </c>
      <c r="O33" s="34">
        <f t="shared" si="15"/>
        <v>0.574554001</v>
      </c>
      <c r="Q33" s="466" t="s">
        <v>428</v>
      </c>
      <c r="R33" s="287">
        <v>1.0</v>
      </c>
      <c r="S33" s="469">
        <v>0.725476481902426</v>
      </c>
      <c r="T33" s="299">
        <v>0.0</v>
      </c>
      <c r="U33" s="493">
        <v>0.8836633663366338</v>
      </c>
      <c r="V33" s="494">
        <v>0.6326366559485557</v>
      </c>
      <c r="W33" s="360">
        <v>0.6483553008375231</v>
      </c>
      <c r="X33" s="495">
        <f t="shared" si="16"/>
        <v>0.3890961413</v>
      </c>
      <c r="Z33" s="34" t="s">
        <v>392</v>
      </c>
      <c r="AA33" s="301">
        <f t="shared" ref="AA33:AE33" si="23">R34/AA$29</f>
        <v>0.1997728909</v>
      </c>
      <c r="AB33" s="301">
        <f t="shared" si="23"/>
        <v>0.09006240104</v>
      </c>
      <c r="AC33" s="301">
        <f t="shared" si="23"/>
        <v>0.3293261213</v>
      </c>
      <c r="AD33" s="301">
        <f t="shared" si="23"/>
        <v>0.2147886759</v>
      </c>
      <c r="AE33" s="301">
        <f t="shared" si="23"/>
        <v>0.2196746873</v>
      </c>
    </row>
    <row r="34">
      <c r="A34" s="472" t="s">
        <v>201</v>
      </c>
      <c r="B34" s="473">
        <v>46.6455</v>
      </c>
      <c r="C34" s="473">
        <v>37.9485</v>
      </c>
      <c r="D34" s="473">
        <v>41.493</v>
      </c>
      <c r="E34" s="473">
        <v>39.624</v>
      </c>
      <c r="F34" s="473">
        <v>42.928000000000004</v>
      </c>
      <c r="G34" s="496">
        <f t="shared" si="13"/>
        <v>41.7278</v>
      </c>
      <c r="I34" s="20" t="s">
        <v>422</v>
      </c>
      <c r="J34" s="34">
        <f t="shared" ref="J34:N34" si="24">B$52*B34+B$53</f>
        <v>0.4944688589</v>
      </c>
      <c r="K34" s="34">
        <f t="shared" si="24"/>
        <v>0.4254240252</v>
      </c>
      <c r="L34" s="34">
        <f t="shared" si="24"/>
        <v>0.7239949451</v>
      </c>
      <c r="M34" s="34">
        <f t="shared" si="24"/>
        <v>0.6856911653</v>
      </c>
      <c r="N34" s="34">
        <f t="shared" si="24"/>
        <v>0.5084405145</v>
      </c>
      <c r="O34" s="34">
        <f t="shared" si="15"/>
        <v>0.5676039018</v>
      </c>
      <c r="Q34" s="466" t="s">
        <v>392</v>
      </c>
      <c r="R34" s="497">
        <v>0.5465222003333841</v>
      </c>
      <c r="S34" s="297">
        <v>0.16908550445881865</v>
      </c>
      <c r="T34" s="498">
        <v>0.896848590158756</v>
      </c>
      <c r="U34" s="499">
        <v>0.6374238385376998</v>
      </c>
      <c r="V34" s="384">
        <v>0.6228898713826378</v>
      </c>
      <c r="W34" s="436">
        <v>0.5745540009742592</v>
      </c>
      <c r="X34" s="500">
        <f t="shared" si="16"/>
        <v>0.2623705674</v>
      </c>
    </row>
    <row r="35">
      <c r="A35" s="464" t="s">
        <v>421</v>
      </c>
      <c r="B35" s="465">
        <v>44.73350000000001</v>
      </c>
      <c r="C35" s="465">
        <v>38.43700000000001</v>
      </c>
      <c r="D35" s="465">
        <v>41.733</v>
      </c>
      <c r="E35" s="465">
        <v>40.391000000000005</v>
      </c>
      <c r="F35" s="465">
        <v>42.17299999999999</v>
      </c>
      <c r="G35" s="501">
        <f t="shared" si="13"/>
        <v>41.4935</v>
      </c>
      <c r="I35" s="20" t="s">
        <v>423</v>
      </c>
      <c r="J35" s="34">
        <f t="shared" ref="J35:N35" si="25">B$52*B35+B$53</f>
        <v>0.2047279891</v>
      </c>
      <c r="K35" s="34">
        <f t="shared" si="25"/>
        <v>0.5962580871</v>
      </c>
      <c r="L35" s="34">
        <f t="shared" si="25"/>
        <v>0.7429507938</v>
      </c>
      <c r="M35" s="34">
        <f t="shared" si="25"/>
        <v>0.7587109673</v>
      </c>
      <c r="N35" s="34">
        <f t="shared" si="25"/>
        <v>0.3567122186</v>
      </c>
      <c r="O35" s="34">
        <f t="shared" si="15"/>
        <v>0.5318720112</v>
      </c>
      <c r="Q35" s="502" t="s">
        <v>201</v>
      </c>
      <c r="R35" s="503">
        <v>0.49446885891801884</v>
      </c>
      <c r="S35" s="504">
        <v>0.4254240251792254</v>
      </c>
      <c r="T35" s="469">
        <v>0.7239949451070218</v>
      </c>
      <c r="U35" s="476">
        <v>0.6856911652703728</v>
      </c>
      <c r="V35" s="286">
        <v>0.5084405144694557</v>
      </c>
      <c r="W35" s="309">
        <v>0.5676039017888189</v>
      </c>
      <c r="X35" s="328">
        <f t="shared" si="16"/>
        <v>0.1298719739</v>
      </c>
    </row>
    <row r="36">
      <c r="A36" s="472" t="s">
        <v>428</v>
      </c>
      <c r="B36" s="473">
        <v>49.9815</v>
      </c>
      <c r="C36" s="473">
        <v>38.8065</v>
      </c>
      <c r="D36" s="473">
        <v>32.3265</v>
      </c>
      <c r="E36" s="473">
        <v>41.703500000000005</v>
      </c>
      <c r="F36" s="473">
        <v>43.54600000000001</v>
      </c>
      <c r="G36" s="505">
        <f t="shared" si="13"/>
        <v>41.2728</v>
      </c>
      <c r="I36" s="20" t="s">
        <v>391</v>
      </c>
      <c r="J36" s="34">
        <f t="shared" ref="J36:N36" si="26">B$52*B36+B$53</f>
        <v>1</v>
      </c>
      <c r="K36" s="34">
        <f t="shared" si="26"/>
        <v>0.7254764819</v>
      </c>
      <c r="L36" s="34">
        <f t="shared" si="26"/>
        <v>0</v>
      </c>
      <c r="M36" s="34">
        <f t="shared" si="26"/>
        <v>0.8836633663</v>
      </c>
      <c r="N36" s="34">
        <f t="shared" si="26"/>
        <v>0.6326366559</v>
      </c>
      <c r="O36" s="34">
        <f t="shared" si="15"/>
        <v>0.6483553008</v>
      </c>
      <c r="Q36" s="475" t="s">
        <v>425</v>
      </c>
      <c r="R36" s="506">
        <v>0.8323988483103513</v>
      </c>
      <c r="S36" s="507">
        <v>0.5983563560062937</v>
      </c>
      <c r="T36" s="508">
        <v>0.2508885554063669</v>
      </c>
      <c r="U36" s="509">
        <v>0.7150133282559015</v>
      </c>
      <c r="V36" s="288">
        <v>0.3881631832797421</v>
      </c>
      <c r="W36" s="510">
        <v>0.5569640542517311</v>
      </c>
      <c r="X36" s="511">
        <f t="shared" si="16"/>
        <v>0.2370301492</v>
      </c>
      <c r="Z36" s="20" t="s">
        <v>443</v>
      </c>
    </row>
    <row r="37">
      <c r="A37" s="464" t="s">
        <v>32</v>
      </c>
      <c r="B37" s="465">
        <v>44.67500000000001</v>
      </c>
      <c r="C37" s="465">
        <v>37.47700000000001</v>
      </c>
      <c r="D37" s="465">
        <v>41.615</v>
      </c>
      <c r="E37" s="465">
        <v>39.63100000000001</v>
      </c>
      <c r="F37" s="465">
        <v>42.8075</v>
      </c>
      <c r="G37" s="512">
        <f t="shared" si="13"/>
        <v>41.2411</v>
      </c>
      <c r="I37" s="20" t="s">
        <v>392</v>
      </c>
      <c r="J37" s="34">
        <f t="shared" ref="J37:N37" si="27">B$52*B37+B$53</f>
        <v>0.1958630095</v>
      </c>
      <c r="K37" s="34">
        <f t="shared" si="27"/>
        <v>0.2605350586</v>
      </c>
      <c r="L37" s="34">
        <f t="shared" si="27"/>
        <v>0.7336308348</v>
      </c>
      <c r="M37" s="34">
        <f t="shared" si="27"/>
        <v>0.6863575781</v>
      </c>
      <c r="N37" s="34">
        <f t="shared" si="27"/>
        <v>0.4842242765</v>
      </c>
      <c r="O37" s="34">
        <f t="shared" si="15"/>
        <v>0.4721221515</v>
      </c>
      <c r="P37" s="255"/>
      <c r="Q37" s="502" t="s">
        <v>391</v>
      </c>
      <c r="R37" s="513">
        <v>0.9330201545688759</v>
      </c>
      <c r="S37" s="514">
        <v>0.32051057877250955</v>
      </c>
      <c r="T37" s="515">
        <v>0.26388121001500675</v>
      </c>
      <c r="U37" s="364">
        <v>0.6811690784463051</v>
      </c>
      <c r="V37" s="497">
        <v>0.545819935691318</v>
      </c>
      <c r="W37" s="516">
        <v>0.5488801914988031</v>
      </c>
      <c r="X37" s="517">
        <f t="shared" si="16"/>
        <v>0.2731530365</v>
      </c>
      <c r="Y37" s="255"/>
      <c r="Z37" s="518" t="s">
        <v>444</v>
      </c>
      <c r="AA37" s="255"/>
      <c r="AB37" s="255"/>
      <c r="AC37" s="255"/>
      <c r="AD37" s="255"/>
      <c r="AE37" s="255"/>
      <c r="AF37" s="255"/>
      <c r="AG37" s="255"/>
      <c r="AH37" s="255"/>
      <c r="AI37" s="255"/>
      <c r="AJ37" s="255"/>
      <c r="AK37" s="255"/>
      <c r="AL37" s="255"/>
      <c r="AM37" s="255"/>
      <c r="AN37" s="255"/>
      <c r="AO37" s="255"/>
      <c r="AP37" s="255"/>
      <c r="AQ37" s="255"/>
      <c r="AR37" s="255"/>
      <c r="AS37" s="255"/>
      <c r="AT37" s="255"/>
      <c r="AU37" s="255"/>
      <c r="AV37" s="255"/>
      <c r="AW37" s="255"/>
      <c r="AX37" s="255"/>
      <c r="AY37" s="255"/>
      <c r="AZ37" s="255"/>
      <c r="BA37" s="255"/>
      <c r="BB37" s="255"/>
      <c r="BC37" s="255"/>
      <c r="BD37" s="255"/>
      <c r="BE37" s="255"/>
      <c r="BF37" s="255"/>
      <c r="BG37" s="255"/>
      <c r="BH37" s="255"/>
      <c r="BI37" s="255"/>
      <c r="BJ37" s="255"/>
      <c r="BK37" s="255"/>
      <c r="BL37" s="255"/>
      <c r="BM37" s="255"/>
      <c r="BN37" s="255"/>
      <c r="BO37" s="255"/>
      <c r="BP37" s="255"/>
      <c r="BQ37" s="255"/>
      <c r="BR37" s="255"/>
      <c r="BS37" s="255"/>
      <c r="BT37" s="255"/>
      <c r="BU37" s="255"/>
      <c r="BV37" s="255"/>
      <c r="BW37" s="255"/>
      <c r="BX37" s="255"/>
      <c r="BY37" s="255"/>
      <c r="BZ37" s="255"/>
      <c r="CA37" s="255"/>
      <c r="CB37" s="255"/>
      <c r="CC37" s="255"/>
      <c r="CD37" s="255"/>
      <c r="CE37" s="255"/>
      <c r="CF37" s="255"/>
      <c r="CG37" s="255"/>
      <c r="CH37" s="255"/>
      <c r="CI37" s="255"/>
    </row>
    <row r="38">
      <c r="A38" s="472" t="s">
        <v>391</v>
      </c>
      <c r="B38" s="473">
        <v>49.539500000000004</v>
      </c>
      <c r="C38" s="473">
        <v>37.6485</v>
      </c>
      <c r="D38" s="473">
        <v>35.667500000000004</v>
      </c>
      <c r="E38" s="473">
        <v>39.576499999999996</v>
      </c>
      <c r="F38" s="473">
        <v>43.114</v>
      </c>
      <c r="G38" s="519">
        <f t="shared" si="13"/>
        <v>41.1092</v>
      </c>
      <c r="I38" s="20" t="s">
        <v>424</v>
      </c>
      <c r="J38" s="34">
        <f t="shared" ref="J38:N38" si="28">B$52*B38+B$53</f>
        <v>0.9330201546</v>
      </c>
      <c r="K38" s="34">
        <f t="shared" si="28"/>
        <v>0.3205105788</v>
      </c>
      <c r="L38" s="34">
        <f t="shared" si="28"/>
        <v>0.26388121</v>
      </c>
      <c r="M38" s="34">
        <f t="shared" si="28"/>
        <v>0.6811690784</v>
      </c>
      <c r="N38" s="34">
        <f t="shared" si="28"/>
        <v>0.5458199357</v>
      </c>
      <c r="O38" s="34">
        <f t="shared" si="15"/>
        <v>0.5488801915</v>
      </c>
      <c r="Q38" s="475" t="s">
        <v>421</v>
      </c>
      <c r="R38" s="520">
        <v>0.2047279890892586</v>
      </c>
      <c r="S38" s="405">
        <v>0.5962580870781604</v>
      </c>
      <c r="T38" s="337">
        <v>0.742950793776163</v>
      </c>
      <c r="U38" s="362">
        <v>0.7587109672505714</v>
      </c>
      <c r="V38" s="521">
        <v>0.3567122186495162</v>
      </c>
      <c r="W38" s="522">
        <v>0.531872011168734</v>
      </c>
      <c r="X38" s="419">
        <f t="shared" si="16"/>
        <v>0.2438544111</v>
      </c>
    </row>
    <row r="39">
      <c r="A39" s="464" t="s">
        <v>425</v>
      </c>
      <c r="B39" s="465">
        <v>48.8755</v>
      </c>
      <c r="C39" s="465">
        <v>38.443000000000005</v>
      </c>
      <c r="D39" s="465">
        <v>35.503000000000014</v>
      </c>
      <c r="E39" s="465">
        <v>39.931999999999995</v>
      </c>
      <c r="F39" s="465">
        <v>42.32949999999999</v>
      </c>
      <c r="G39" s="412">
        <f t="shared" si="13"/>
        <v>41.0166</v>
      </c>
      <c r="I39" s="20" t="s">
        <v>425</v>
      </c>
      <c r="J39" s="34">
        <f t="shared" ref="J39:N39" si="29">B$52*B39+B$53</f>
        <v>0.8323988483</v>
      </c>
      <c r="K39" s="34">
        <f t="shared" si="29"/>
        <v>0.598356356</v>
      </c>
      <c r="L39" s="34">
        <f t="shared" si="29"/>
        <v>0.2508885554</v>
      </c>
      <c r="M39" s="34">
        <f t="shared" si="29"/>
        <v>0.7150133283</v>
      </c>
      <c r="N39" s="34">
        <f t="shared" si="29"/>
        <v>0.3881631833</v>
      </c>
      <c r="O39" s="34">
        <f t="shared" si="15"/>
        <v>0.5569640543</v>
      </c>
      <c r="Q39" s="502" t="s">
        <v>429</v>
      </c>
      <c r="R39" s="523">
        <v>0.09948477041976211</v>
      </c>
      <c r="S39" s="311">
        <v>0.6733694701870885</v>
      </c>
      <c r="T39" s="524">
        <v>0.8687307479661959</v>
      </c>
      <c r="U39" s="299">
        <v>0.0</v>
      </c>
      <c r="V39" s="287">
        <v>1.0</v>
      </c>
      <c r="W39" s="525">
        <v>0.5283169977146093</v>
      </c>
      <c r="X39" s="300">
        <f t="shared" si="16"/>
        <v>0.4534375715</v>
      </c>
    </row>
    <row r="40">
      <c r="A40" s="472" t="s">
        <v>31</v>
      </c>
      <c r="B40" s="526">
        <v>45.84750000000001</v>
      </c>
      <c r="C40" s="526">
        <v>36.732000000000006</v>
      </c>
      <c r="D40" s="526">
        <v>40.224500000000006</v>
      </c>
      <c r="E40" s="526">
        <v>39.12349999999999</v>
      </c>
      <c r="F40" s="526">
        <v>42.9755</v>
      </c>
      <c r="G40" s="527">
        <f t="shared" si="13"/>
        <v>40.9806</v>
      </c>
      <c r="I40" s="20" t="s">
        <v>426</v>
      </c>
      <c r="J40" s="34">
        <f t="shared" ref="J40:N40" si="30">B$52*B40+B$53</f>
        <v>0.3735414457</v>
      </c>
      <c r="K40" s="34">
        <f t="shared" si="30"/>
        <v>0</v>
      </c>
      <c r="L40" s="34">
        <f t="shared" si="30"/>
        <v>0.6238053866</v>
      </c>
      <c r="M40" s="34">
        <f t="shared" si="30"/>
        <v>0.6380426504</v>
      </c>
      <c r="N40" s="34">
        <f t="shared" si="30"/>
        <v>0.5179863344</v>
      </c>
      <c r="O40" s="34">
        <f t="shared" si="15"/>
        <v>0.4306751634</v>
      </c>
      <c r="Q40" s="475" t="s">
        <v>427</v>
      </c>
      <c r="R40" s="528">
        <v>0.266631307773908</v>
      </c>
      <c r="S40" s="287">
        <v>1.0</v>
      </c>
      <c r="T40" s="499">
        <v>0.63786430771661</v>
      </c>
      <c r="U40" s="361">
        <v>0.3083111195734958</v>
      </c>
      <c r="V40" s="529">
        <v>0.21744372990353789</v>
      </c>
      <c r="W40" s="521">
        <v>0.4860500929935103</v>
      </c>
      <c r="X40" s="530">
        <f t="shared" si="16"/>
        <v>0.3313144982</v>
      </c>
    </row>
    <row r="41">
      <c r="A41" s="464" t="s">
        <v>429</v>
      </c>
      <c r="B41" s="465">
        <v>44.039</v>
      </c>
      <c r="C41" s="465">
        <v>38.65749999999999</v>
      </c>
      <c r="D41" s="465">
        <v>43.325500000000005</v>
      </c>
      <c r="E41" s="465">
        <v>32.4215</v>
      </c>
      <c r="F41" s="465">
        <v>45.374</v>
      </c>
      <c r="G41" s="531">
        <f t="shared" si="13"/>
        <v>40.7635</v>
      </c>
      <c r="I41" s="20" t="s">
        <v>427</v>
      </c>
      <c r="J41" s="34">
        <f t="shared" ref="J41:N41" si="31">B$52*B41+B$53</f>
        <v>0.09948477042</v>
      </c>
      <c r="K41" s="34">
        <f t="shared" si="31"/>
        <v>0.6733694702</v>
      </c>
      <c r="L41" s="34">
        <f t="shared" si="31"/>
        <v>0.868730748</v>
      </c>
      <c r="M41" s="34">
        <f t="shared" si="31"/>
        <v>0</v>
      </c>
      <c r="N41" s="34">
        <f t="shared" si="31"/>
        <v>1</v>
      </c>
      <c r="O41" s="34">
        <f t="shared" si="15"/>
        <v>0.5283169977</v>
      </c>
      <c r="Q41" s="502" t="s">
        <v>32</v>
      </c>
      <c r="R41" s="426">
        <v>0.19586300954690383</v>
      </c>
      <c r="S41" s="338">
        <v>0.260535058576675</v>
      </c>
      <c r="T41" s="532">
        <v>0.7336308348471685</v>
      </c>
      <c r="U41" s="476">
        <v>0.6863575780654991</v>
      </c>
      <c r="V41" s="418">
        <v>0.4842242765273319</v>
      </c>
      <c r="W41" s="514">
        <v>0.4721221515127157</v>
      </c>
      <c r="X41" s="450">
        <f t="shared" si="16"/>
        <v>0.2426511293</v>
      </c>
    </row>
    <row r="42">
      <c r="A42" s="472" t="s">
        <v>427</v>
      </c>
      <c r="B42" s="473">
        <v>45.14200000000001</v>
      </c>
      <c r="C42" s="473">
        <v>39.59150000000001</v>
      </c>
      <c r="D42" s="473">
        <v>40.402499999999996</v>
      </c>
      <c r="E42" s="473">
        <v>35.660000000000004</v>
      </c>
      <c r="F42" s="473">
        <v>41.48</v>
      </c>
      <c r="G42" s="533">
        <f t="shared" si="13"/>
        <v>40.4552</v>
      </c>
      <c r="I42" s="20" t="s">
        <v>428</v>
      </c>
      <c r="J42" s="34">
        <f t="shared" ref="J42:N42" si="32">B$52*B42+B$53</f>
        <v>0.2666313078</v>
      </c>
      <c r="K42" s="34">
        <f t="shared" si="32"/>
        <v>1</v>
      </c>
      <c r="L42" s="34">
        <f t="shared" si="32"/>
        <v>0.6378643077</v>
      </c>
      <c r="M42" s="34">
        <f t="shared" si="32"/>
        <v>0.3083111196</v>
      </c>
      <c r="N42" s="34">
        <f t="shared" si="32"/>
        <v>0.2174437299</v>
      </c>
      <c r="O42" s="34">
        <f t="shared" si="15"/>
        <v>0.486050093</v>
      </c>
      <c r="Q42" s="475" t="s">
        <v>31</v>
      </c>
      <c r="R42" s="445">
        <v>0.37354144567358993</v>
      </c>
      <c r="S42" s="299">
        <v>0.0</v>
      </c>
      <c r="T42" s="384">
        <v>0.6238053866203308</v>
      </c>
      <c r="U42" s="499">
        <v>0.6380426504188867</v>
      </c>
      <c r="V42" s="467">
        <v>0.5179863344051441</v>
      </c>
      <c r="W42" s="534">
        <v>0.4306751634235903</v>
      </c>
      <c r="X42" s="500">
        <f t="shared" si="16"/>
        <v>0.2629967473</v>
      </c>
    </row>
    <row r="43">
      <c r="A43" s="464" t="s">
        <v>179</v>
      </c>
      <c r="B43" s="281">
        <v>43.38249999999999</v>
      </c>
      <c r="C43" s="281">
        <v>37.665</v>
      </c>
      <c r="D43" s="281">
        <v>36.46750000000001</v>
      </c>
      <c r="E43" s="281">
        <v>41.4005</v>
      </c>
      <c r="F43" s="281">
        <v>42.416999999999994</v>
      </c>
      <c r="G43" s="535">
        <f t="shared" si="13"/>
        <v>40.2665</v>
      </c>
      <c r="I43" s="20" t="s">
        <v>429</v>
      </c>
      <c r="J43" s="34">
        <f t="shared" ref="J43:N43" si="33">B$52*B43+B$53</f>
        <v>0</v>
      </c>
      <c r="K43" s="34">
        <f t="shared" si="33"/>
        <v>0.3262808183</v>
      </c>
      <c r="L43" s="34">
        <f t="shared" si="33"/>
        <v>0.3270673722</v>
      </c>
      <c r="M43" s="34">
        <f t="shared" si="33"/>
        <v>0.8548172125</v>
      </c>
      <c r="N43" s="34">
        <f t="shared" si="33"/>
        <v>0.4057475884</v>
      </c>
      <c r="O43" s="34">
        <f t="shared" si="15"/>
        <v>0.3827825983</v>
      </c>
      <c r="Q43" s="536" t="s">
        <v>179</v>
      </c>
      <c r="R43" s="537">
        <v>0.0</v>
      </c>
      <c r="S43" s="538">
        <v>0.32628081832487865</v>
      </c>
      <c r="T43" s="538">
        <v>0.3270673722454789</v>
      </c>
      <c r="U43" s="539">
        <v>0.8548172124904796</v>
      </c>
      <c r="V43" s="540">
        <v>0.4057475884244379</v>
      </c>
      <c r="W43" s="541">
        <v>0.382782598297055</v>
      </c>
      <c r="X43" s="542">
        <f t="shared" si="16"/>
        <v>0.3066607339</v>
      </c>
    </row>
    <row r="44">
      <c r="A44" s="543" t="s">
        <v>426</v>
      </c>
      <c r="B44" s="544">
        <v>44.628</v>
      </c>
      <c r="C44" s="544">
        <v>37.9065</v>
      </c>
      <c r="D44" s="544">
        <v>38.6825</v>
      </c>
      <c r="E44" s="544">
        <v>39.3955</v>
      </c>
      <c r="F44" s="544">
        <v>40.397999999999996</v>
      </c>
      <c r="G44" s="456">
        <f t="shared" si="13"/>
        <v>40.2021</v>
      </c>
      <c r="I44" s="20" t="s">
        <v>430</v>
      </c>
      <c r="J44" s="34">
        <f t="shared" ref="J44:N44" si="34">B$52*B44+B$53</f>
        <v>0.1887407183</v>
      </c>
      <c r="K44" s="34">
        <f t="shared" si="34"/>
        <v>0.4107361427</v>
      </c>
      <c r="L44" s="34">
        <f t="shared" si="34"/>
        <v>0.5020140589</v>
      </c>
      <c r="M44" s="34">
        <f t="shared" si="34"/>
        <v>0.6639375476</v>
      </c>
      <c r="N44" s="34">
        <f t="shared" si="34"/>
        <v>0</v>
      </c>
      <c r="O44" s="34">
        <f t="shared" si="15"/>
        <v>0.3530856935</v>
      </c>
      <c r="Q44" s="545" t="s">
        <v>426</v>
      </c>
      <c r="R44" s="546">
        <v>0.1887407182906511</v>
      </c>
      <c r="S44" s="547">
        <v>0.41073614268228376</v>
      </c>
      <c r="T44" s="548">
        <v>0.502014058921096</v>
      </c>
      <c r="U44" s="549">
        <v>0.6639375476009133</v>
      </c>
      <c r="V44" s="459">
        <v>0.0</v>
      </c>
      <c r="W44" s="459">
        <v>0.35308569349898883</v>
      </c>
      <c r="X44" s="550">
        <f t="shared" si="16"/>
        <v>0.2616347097</v>
      </c>
    </row>
    <row r="45">
      <c r="A45" s="66"/>
      <c r="B45" s="66"/>
      <c r="C45" s="66"/>
    </row>
    <row r="46">
      <c r="A46" s="66"/>
      <c r="B46" s="66"/>
      <c r="C46" s="66"/>
    </row>
    <row r="47">
      <c r="A47" s="20" t="s">
        <v>436</v>
      </c>
      <c r="B47" s="28">
        <f>MIN(Table1_2[eng])</f>
        <v>43.3825</v>
      </c>
      <c r="C47" s="28">
        <f>MIN(Table1_2[fra])</f>
        <v>36.732</v>
      </c>
      <c r="D47" s="28">
        <f>MIN(Table1_2[ger])</f>
        <v>32.3265</v>
      </c>
      <c r="E47" s="28">
        <f>MIN(Table1_2[ita])</f>
        <v>32.4215</v>
      </c>
      <c r="F47" s="28">
        <f>MIN(Table1_2[spa])</f>
        <v>40.398</v>
      </c>
      <c r="Q47" s="20" t="s">
        <v>437</v>
      </c>
    </row>
    <row r="48">
      <c r="A48" s="20" t="s">
        <v>438</v>
      </c>
      <c r="B48" s="20">
        <v>0.0</v>
      </c>
      <c r="C48" s="20">
        <v>0.0</v>
      </c>
      <c r="D48" s="20">
        <v>0.0</v>
      </c>
      <c r="E48" s="20">
        <v>0.0</v>
      </c>
      <c r="F48" s="20">
        <v>0.0</v>
      </c>
    </row>
    <row r="49">
      <c r="A49" s="20" t="s">
        <v>439</v>
      </c>
      <c r="B49" s="28">
        <f>MAX(Table1_2[eng])</f>
        <v>49.9815</v>
      </c>
      <c r="C49" s="28">
        <f>MAX(Table1_2[fra])</f>
        <v>39.5915</v>
      </c>
      <c r="D49" s="28">
        <f>MAX(Table1_2[ger])</f>
        <v>44.9875</v>
      </c>
      <c r="E49" s="28">
        <f>MAX(Table1_2[ita])</f>
        <v>42.9255</v>
      </c>
      <c r="F49" s="28">
        <f>MAX(Table1_2[spa])</f>
        <v>45.374</v>
      </c>
    </row>
    <row r="50">
      <c r="A50" s="20" t="s">
        <v>440</v>
      </c>
      <c r="B50" s="20">
        <v>1.0</v>
      </c>
      <c r="C50" s="20">
        <v>1.0</v>
      </c>
      <c r="D50" s="20">
        <v>1.0</v>
      </c>
      <c r="E50" s="20">
        <v>1.0</v>
      </c>
      <c r="F50" s="20">
        <v>1.0</v>
      </c>
    </row>
    <row r="52">
      <c r="A52" s="20" t="s">
        <v>43</v>
      </c>
      <c r="B52" s="34">
        <f t="shared" ref="B52:F52" si="35">(B50-B48)/(B49-B47)</f>
        <v>0.1515381118</v>
      </c>
      <c r="C52" s="34">
        <f t="shared" si="35"/>
        <v>0.349711488</v>
      </c>
      <c r="D52" s="34">
        <f t="shared" si="35"/>
        <v>0.07898270279</v>
      </c>
      <c r="E52" s="34">
        <f t="shared" si="35"/>
        <v>0.09520182788</v>
      </c>
      <c r="F52" s="34">
        <f t="shared" si="35"/>
        <v>0.2009646302</v>
      </c>
    </row>
    <row r="53">
      <c r="A53" s="20" t="s">
        <v>293</v>
      </c>
      <c r="B53" s="34">
        <f t="shared" ref="B53:F53" si="36">B50-B52*B49</f>
        <v>-6.574102137</v>
      </c>
      <c r="C53" s="34">
        <f t="shared" si="36"/>
        <v>-12.84560238</v>
      </c>
      <c r="D53" s="34">
        <f t="shared" si="36"/>
        <v>-2.553234342</v>
      </c>
      <c r="E53" s="34">
        <f t="shared" si="36"/>
        <v>-3.086586062</v>
      </c>
      <c r="F53" s="34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445</v>
      </c>
      <c r="L1" s="84"/>
    </row>
    <row r="2">
      <c r="L2" s="84"/>
    </row>
    <row r="3">
      <c r="A3" s="20" t="s">
        <v>446</v>
      </c>
      <c r="L3" s="84"/>
    </row>
    <row r="4">
      <c r="B4" s="20" t="s">
        <v>447</v>
      </c>
      <c r="G4" s="20" t="s">
        <v>297</v>
      </c>
      <c r="L4" s="84"/>
    </row>
    <row r="5">
      <c r="A5" s="19" t="s">
        <v>16</v>
      </c>
      <c r="B5" s="115">
        <v>0.664848456</v>
      </c>
      <c r="C5" s="256"/>
      <c r="D5" s="256"/>
      <c r="E5" s="256"/>
      <c r="F5" s="256"/>
      <c r="G5" s="115">
        <v>0.740484599</v>
      </c>
      <c r="H5" s="101">
        <f t="shared" ref="H5:H9" si="1">(G5-B5)/B5</f>
        <v>0.1137644862</v>
      </c>
      <c r="L5" s="84"/>
    </row>
    <row r="6">
      <c r="A6" s="19" t="s">
        <v>18</v>
      </c>
      <c r="B6" s="115">
        <v>0.664304152</v>
      </c>
      <c r="C6" s="256"/>
      <c r="D6" s="256"/>
      <c r="E6" s="256"/>
      <c r="F6" s="256"/>
      <c r="G6" s="115">
        <v>0.734990728</v>
      </c>
      <c r="H6" s="101">
        <f t="shared" si="1"/>
        <v>0.106406946</v>
      </c>
      <c r="L6" s="84"/>
    </row>
    <row r="7">
      <c r="A7" s="16" t="s">
        <v>19</v>
      </c>
      <c r="B7" s="115">
        <v>0.67680879</v>
      </c>
      <c r="C7" s="256"/>
      <c r="D7" s="256"/>
      <c r="E7" s="256"/>
      <c r="F7" s="256"/>
      <c r="G7" s="115">
        <v>0.798889936</v>
      </c>
      <c r="H7" s="101">
        <f t="shared" si="1"/>
        <v>0.1803776012</v>
      </c>
      <c r="L7" s="84"/>
    </row>
    <row r="8">
      <c r="A8" s="16" t="s">
        <v>20</v>
      </c>
      <c r="B8" s="115">
        <v>0.317632128</v>
      </c>
      <c r="C8" s="256"/>
      <c r="D8" s="256"/>
      <c r="E8" s="256"/>
      <c r="F8" s="256"/>
      <c r="G8" s="115">
        <v>0.384549825</v>
      </c>
      <c r="H8" s="101">
        <f t="shared" si="1"/>
        <v>0.2106767266</v>
      </c>
      <c r="L8" s="84"/>
    </row>
    <row r="9">
      <c r="A9" s="16" t="s">
        <v>21</v>
      </c>
      <c r="B9" s="115">
        <v>0.598124706</v>
      </c>
      <c r="C9" s="256"/>
      <c r="D9" s="256"/>
      <c r="E9" s="256"/>
      <c r="F9" s="256"/>
      <c r="G9" s="115">
        <v>0.636406505</v>
      </c>
      <c r="H9" s="101">
        <f t="shared" si="1"/>
        <v>0.06400303919</v>
      </c>
      <c r="L9" s="84"/>
    </row>
    <row r="11">
      <c r="A11" s="551" t="s">
        <v>448</v>
      </c>
    </row>
    <row r="13">
      <c r="A13" s="30" t="s">
        <v>449</v>
      </c>
    </row>
    <row r="14">
      <c r="A14" s="20" t="s">
        <v>450</v>
      </c>
    </row>
    <row r="15">
      <c r="B15" s="551" t="s">
        <v>451</v>
      </c>
    </row>
    <row r="18">
      <c r="A18" s="30" t="s">
        <v>452</v>
      </c>
    </row>
    <row r="19">
      <c r="B19" s="20" t="s">
        <v>453</v>
      </c>
      <c r="F19" s="85"/>
    </row>
    <row r="20">
      <c r="B20" s="30" t="s">
        <v>454</v>
      </c>
      <c r="C20" s="32"/>
      <c r="D20" s="32"/>
      <c r="E20" s="32"/>
      <c r="F20" s="32"/>
      <c r="G20" s="30" t="s">
        <v>455</v>
      </c>
      <c r="H20" s="30" t="s">
        <v>321</v>
      </c>
      <c r="I20" s="30" t="s">
        <v>360</v>
      </c>
      <c r="J20" s="30" t="s">
        <v>362</v>
      </c>
      <c r="K20" s="30" t="s">
        <v>364</v>
      </c>
    </row>
    <row r="21">
      <c r="B21" s="30" t="s">
        <v>456</v>
      </c>
      <c r="G21" s="34">
        <v>2.575</v>
      </c>
    </row>
    <row r="23">
      <c r="K23" s="30" t="s">
        <v>457</v>
      </c>
    </row>
    <row r="24">
      <c r="A24" s="20" t="s">
        <v>458</v>
      </c>
      <c r="H24" s="20" t="s">
        <v>179</v>
      </c>
      <c r="I24" s="20" t="s">
        <v>459</v>
      </c>
      <c r="K24" s="20" t="s">
        <v>460</v>
      </c>
      <c r="L24" s="20" t="s">
        <v>461</v>
      </c>
      <c r="M24" s="20" t="s">
        <v>462</v>
      </c>
    </row>
    <row r="25">
      <c r="A25" s="20">
        <v>0.0</v>
      </c>
      <c r="B25" s="20">
        <v>0.0</v>
      </c>
      <c r="H25" s="34" t="str">
        <f t="shared" ref="H25:I25" si="2">AVERAGE(#REF!)</f>
        <v>#REF!</v>
      </c>
      <c r="I25" s="34" t="str">
        <f t="shared" si="2"/>
        <v>#REF!</v>
      </c>
      <c r="K25" s="20" t="s">
        <v>463</v>
      </c>
    </row>
    <row r="26">
      <c r="A26" s="20">
        <v>4.52</v>
      </c>
      <c r="B26" s="20">
        <v>1.19</v>
      </c>
      <c r="K26" s="20" t="s">
        <v>464</v>
      </c>
    </row>
    <row r="27">
      <c r="A27" s="20">
        <v>12.04</v>
      </c>
      <c r="B27" s="20">
        <v>2.19</v>
      </c>
      <c r="K27" s="20" t="s">
        <v>465</v>
      </c>
    </row>
    <row r="28">
      <c r="A28" s="20">
        <v>0.63</v>
      </c>
      <c r="B28" s="20">
        <v>0.05</v>
      </c>
      <c r="K28" s="20" t="s">
        <v>466</v>
      </c>
    </row>
    <row r="29">
      <c r="A29" s="20">
        <v>1.46</v>
      </c>
      <c r="B29" s="20">
        <v>0.35</v>
      </c>
    </row>
    <row r="30">
      <c r="A30" s="20">
        <v>7.88</v>
      </c>
      <c r="B30" s="20">
        <v>6.42</v>
      </c>
      <c r="K30" s="51" t="s">
        <v>467</v>
      </c>
    </row>
    <row r="31">
      <c r="A31" s="20">
        <v>0.67</v>
      </c>
      <c r="B31" s="20">
        <v>0.03</v>
      </c>
      <c r="K31" s="2" t="s">
        <v>1</v>
      </c>
      <c r="L31" s="3" t="s">
        <v>3</v>
      </c>
      <c r="M31" s="20" t="s">
        <v>43</v>
      </c>
    </row>
    <row r="32">
      <c r="A32" s="20">
        <v>0.0</v>
      </c>
      <c r="B32" s="20">
        <v>0.0</v>
      </c>
      <c r="K32" s="19" t="s">
        <v>16</v>
      </c>
      <c r="L32" s="12">
        <v>6293.0</v>
      </c>
      <c r="M32" s="36">
        <v>20.0</v>
      </c>
    </row>
    <row r="33">
      <c r="A33" s="20">
        <v>2.31</v>
      </c>
      <c r="B33" s="20">
        <v>0.58</v>
      </c>
      <c r="K33" s="19" t="s">
        <v>18</v>
      </c>
      <c r="L33" s="12">
        <v>3960.0</v>
      </c>
      <c r="M33" s="36">
        <v>60.0</v>
      </c>
    </row>
    <row r="34">
      <c r="A34" s="20">
        <v>3.8</v>
      </c>
      <c r="B34" s="20">
        <v>0.77</v>
      </c>
      <c r="K34" s="16" t="s">
        <v>19</v>
      </c>
      <c r="L34" s="12">
        <v>3032.0</v>
      </c>
      <c r="M34" s="36">
        <v>10.0</v>
      </c>
    </row>
    <row r="35">
      <c r="A35" s="20">
        <v>0.0</v>
      </c>
      <c r="B35" s="20">
        <v>0.0</v>
      </c>
      <c r="K35" s="16" t="s">
        <v>20</v>
      </c>
      <c r="L35" s="12">
        <v>2114.0</v>
      </c>
      <c r="M35" s="36">
        <v>40.0</v>
      </c>
    </row>
    <row r="36">
      <c r="A36" s="20">
        <v>5.86</v>
      </c>
      <c r="B36" s="20">
        <v>2.53</v>
      </c>
      <c r="K36" s="16" t="s">
        <v>21</v>
      </c>
      <c r="L36" s="12">
        <v>2232.0</v>
      </c>
      <c r="M36" s="36">
        <v>10.0</v>
      </c>
    </row>
    <row r="37">
      <c r="A37" s="20">
        <v>0.0</v>
      </c>
      <c r="B37" s="20">
        <v>0.0</v>
      </c>
    </row>
    <row r="38">
      <c r="A38" s="20">
        <v>4.13</v>
      </c>
      <c r="B38" s="20">
        <v>0.78</v>
      </c>
    </row>
    <row r="39">
      <c r="A39" s="20">
        <v>5.89</v>
      </c>
      <c r="B39" s="20">
        <v>1.0</v>
      </c>
    </row>
    <row r="40">
      <c r="A40" s="20">
        <v>7.23</v>
      </c>
      <c r="B40" s="20">
        <v>3.9</v>
      </c>
    </row>
    <row r="41">
      <c r="A41" s="20">
        <v>3.39</v>
      </c>
      <c r="B41" s="20">
        <v>0.61</v>
      </c>
      <c r="K41" s="30" t="s">
        <v>468</v>
      </c>
    </row>
    <row r="42">
      <c r="A42" s="20">
        <v>2.18</v>
      </c>
      <c r="B42" s="20">
        <v>0.69</v>
      </c>
      <c r="K42" s="20" t="s">
        <v>460</v>
      </c>
      <c r="L42" s="20" t="s">
        <v>461</v>
      </c>
      <c r="M42" s="20" t="s">
        <v>462</v>
      </c>
    </row>
    <row r="43">
      <c r="A43" s="20">
        <v>8.47</v>
      </c>
      <c r="B43" s="20">
        <v>4.59</v>
      </c>
      <c r="K43" s="20">
        <v>0.8</v>
      </c>
      <c r="L43" s="34">
        <v>5.276900000000001</v>
      </c>
      <c r="M43" s="34">
        <v>-3.314500000000001</v>
      </c>
    </row>
    <row r="44">
      <c r="A44" s="20">
        <v>1.59</v>
      </c>
      <c r="B44" s="20">
        <v>0.24</v>
      </c>
      <c r="K44" s="20">
        <v>0.7</v>
      </c>
    </row>
    <row r="45">
      <c r="A45" s="20">
        <v>0.0</v>
      </c>
      <c r="B45" s="20">
        <v>0.0</v>
      </c>
      <c r="K45" s="20">
        <v>0.5</v>
      </c>
      <c r="L45" s="34">
        <v>4.023500000000001</v>
      </c>
      <c r="M45" s="34">
        <v>-0.9597</v>
      </c>
    </row>
    <row r="46">
      <c r="A46" s="20">
        <v>0.0</v>
      </c>
      <c r="B46" s="20">
        <v>0.0</v>
      </c>
      <c r="K46" s="20">
        <v>0.4</v>
      </c>
      <c r="L46" s="34">
        <v>3.2705</v>
      </c>
      <c r="M46" s="34">
        <v>0.5869999999999999</v>
      </c>
    </row>
    <row r="47">
      <c r="A47" s="20">
        <v>0.0</v>
      </c>
      <c r="B47" s="20">
        <v>0.0</v>
      </c>
      <c r="K47" s="20">
        <v>0.3</v>
      </c>
      <c r="L47" s="34">
        <v>2.568899999999999</v>
      </c>
      <c r="M47" s="34">
        <v>1.3571999999999995</v>
      </c>
    </row>
    <row r="48">
      <c r="A48" s="20">
        <v>6.91</v>
      </c>
      <c r="B48" s="20">
        <v>2.88</v>
      </c>
      <c r="K48" s="20">
        <v>0.2</v>
      </c>
      <c r="L48" s="34">
        <v>2.434199999999999</v>
      </c>
      <c r="M48" s="34">
        <v>1.5152999999999996</v>
      </c>
    </row>
    <row r="49">
      <c r="A49" s="20">
        <v>1.49</v>
      </c>
      <c r="B49" s="20">
        <v>0.05</v>
      </c>
      <c r="K49" s="20">
        <v>0.1</v>
      </c>
      <c r="L49" s="34">
        <v>2.067100000000001</v>
      </c>
      <c r="M49" s="34">
        <v>1.6288</v>
      </c>
    </row>
    <row r="50">
      <c r="A50" s="20">
        <v>0.63</v>
      </c>
      <c r="B50" s="20">
        <v>0.01</v>
      </c>
    </row>
    <row r="51">
      <c r="A51" s="20">
        <v>0.0</v>
      </c>
      <c r="B51" s="20">
        <v>0.0</v>
      </c>
      <c r="K51" s="20" t="s">
        <v>469</v>
      </c>
    </row>
    <row r="52">
      <c r="A52" s="20">
        <v>0.0</v>
      </c>
      <c r="B52" s="20">
        <v>0.0</v>
      </c>
    </row>
    <row r="53">
      <c r="A53" s="20">
        <v>0.0</v>
      </c>
      <c r="B53" s="20">
        <v>0.0</v>
      </c>
    </row>
    <row r="54">
      <c r="A54" s="20">
        <v>1.18</v>
      </c>
      <c r="B54" s="20">
        <v>0.17</v>
      </c>
      <c r="K54" s="75"/>
      <c r="L54" s="552" t="s">
        <v>470</v>
      </c>
      <c r="M54" s="553"/>
      <c r="N54" s="80" t="s">
        <v>43</v>
      </c>
      <c r="O54" s="80" t="s">
        <v>471</v>
      </c>
      <c r="P54" s="80" t="s">
        <v>472</v>
      </c>
      <c r="R54" s="21" t="s">
        <v>115</v>
      </c>
      <c r="S54" s="85">
        <v>0.15</v>
      </c>
    </row>
    <row r="55">
      <c r="A55" s="20">
        <v>0.64</v>
      </c>
      <c r="B55" s="20">
        <v>-0.12</v>
      </c>
      <c r="K55" s="16" t="s">
        <v>24</v>
      </c>
      <c r="L55" s="554">
        <v>0.76</v>
      </c>
      <c r="M55" s="75"/>
      <c r="N55" s="16">
        <v>10.0</v>
      </c>
      <c r="O55" s="16">
        <f t="shared" ref="O55:O71" si="3">N55*L55*$S$54</f>
        <v>1.14</v>
      </c>
      <c r="P55" s="16">
        <v>-0.25</v>
      </c>
      <c r="S55" s="43"/>
    </row>
    <row r="56">
      <c r="A56" s="20">
        <v>1.64</v>
      </c>
      <c r="B56" s="20">
        <v>0.44</v>
      </c>
      <c r="K56" s="75"/>
      <c r="L56" s="554">
        <v>0.63</v>
      </c>
      <c r="M56" s="75"/>
      <c r="N56" s="16">
        <v>10.0</v>
      </c>
      <c r="O56" s="16">
        <f t="shared" si="3"/>
        <v>0.945</v>
      </c>
      <c r="P56" s="16">
        <v>-2.81</v>
      </c>
    </row>
    <row r="57">
      <c r="A57" s="20">
        <v>0.0</v>
      </c>
      <c r="B57" s="20">
        <v>0.0</v>
      </c>
      <c r="K57" s="75"/>
      <c r="L57" s="554">
        <v>0.56</v>
      </c>
      <c r="M57" s="75"/>
      <c r="N57" s="16">
        <v>10.0</v>
      </c>
      <c r="O57" s="16">
        <f t="shared" si="3"/>
        <v>0.84</v>
      </c>
      <c r="P57" s="16">
        <f>6.7-O57</f>
        <v>5.86</v>
      </c>
      <c r="R57" s="20" t="s">
        <v>473</v>
      </c>
      <c r="S57" s="34">
        <f>SUM(P55:P74)</f>
        <v>9.42</v>
      </c>
    </row>
    <row r="58">
      <c r="A58" s="20">
        <v>0.0</v>
      </c>
      <c r="B58" s="20">
        <v>0.0</v>
      </c>
      <c r="K58" s="16" t="s">
        <v>364</v>
      </c>
      <c r="L58" s="554">
        <v>0.57</v>
      </c>
      <c r="M58" s="75"/>
      <c r="N58" s="16">
        <v>10.0</v>
      </c>
      <c r="O58" s="16">
        <f t="shared" si="3"/>
        <v>0.855</v>
      </c>
      <c r="P58" s="16" t="s">
        <v>474</v>
      </c>
    </row>
    <row r="59">
      <c r="A59" s="20">
        <v>0.0</v>
      </c>
      <c r="B59" s="20">
        <v>0.0</v>
      </c>
      <c r="K59" s="75"/>
      <c r="L59" s="554">
        <v>0.4</v>
      </c>
      <c r="M59" s="75"/>
      <c r="N59" s="16">
        <v>120.0</v>
      </c>
      <c r="O59" s="16">
        <f t="shared" si="3"/>
        <v>7.2</v>
      </c>
      <c r="P59" s="16">
        <v>-0.8</v>
      </c>
      <c r="R59" s="20"/>
    </row>
    <row r="60">
      <c r="A60" s="20">
        <v>1.38</v>
      </c>
      <c r="B60" s="20">
        <v>0.63</v>
      </c>
      <c r="K60" s="80"/>
      <c r="L60" s="16">
        <v>0.64</v>
      </c>
      <c r="M60" s="75"/>
      <c r="N60" s="16">
        <v>10.0</v>
      </c>
      <c r="O60" s="16">
        <f t="shared" si="3"/>
        <v>0.96</v>
      </c>
      <c r="P60" s="16" t="s">
        <v>475</v>
      </c>
    </row>
    <row r="61">
      <c r="A61" s="20">
        <v>0.65</v>
      </c>
      <c r="B61" s="20">
        <v>0.02</v>
      </c>
      <c r="K61" s="16" t="s">
        <v>362</v>
      </c>
      <c r="L61" s="16">
        <v>0.42</v>
      </c>
      <c r="M61" s="75"/>
      <c r="N61" s="16">
        <v>10.0</v>
      </c>
      <c r="O61" s="16">
        <f t="shared" si="3"/>
        <v>0.63</v>
      </c>
      <c r="P61" s="16">
        <v>0.0</v>
      </c>
    </row>
    <row r="62">
      <c r="A62" s="20">
        <v>0.0</v>
      </c>
      <c r="B62" s="20">
        <v>0.0</v>
      </c>
      <c r="K62" s="75"/>
      <c r="L62" s="16">
        <v>0.62</v>
      </c>
      <c r="M62" s="75"/>
      <c r="N62" s="16">
        <v>80.0</v>
      </c>
      <c r="O62" s="16">
        <f t="shared" si="3"/>
        <v>7.44</v>
      </c>
      <c r="P62" s="75">
        <f>7.11</f>
        <v>7.11</v>
      </c>
    </row>
    <row r="63">
      <c r="A63" s="20">
        <v>3.79</v>
      </c>
      <c r="B63" s="20">
        <v>1.84</v>
      </c>
      <c r="K63" s="75"/>
      <c r="L63" s="16">
        <v>0.8</v>
      </c>
      <c r="M63" s="75"/>
      <c r="N63" s="16">
        <v>10.0</v>
      </c>
      <c r="O63" s="16">
        <f t="shared" si="3"/>
        <v>1.2</v>
      </c>
      <c r="P63" s="16">
        <v>-3.9</v>
      </c>
    </row>
    <row r="64">
      <c r="A64" s="20">
        <v>0.0</v>
      </c>
      <c r="B64" s="20">
        <v>0.0</v>
      </c>
      <c r="K64" s="16" t="s">
        <v>360</v>
      </c>
      <c r="L64" s="16">
        <v>0.42</v>
      </c>
      <c r="M64" s="75"/>
      <c r="N64" s="16">
        <v>80.0</v>
      </c>
      <c r="O64" s="555">
        <f t="shared" si="3"/>
        <v>5.04</v>
      </c>
      <c r="P64" s="16">
        <v>-4.68</v>
      </c>
    </row>
    <row r="65">
      <c r="A65" s="20">
        <v>5.71</v>
      </c>
      <c r="B65" s="20">
        <v>12.05</v>
      </c>
      <c r="K65" s="75"/>
      <c r="L65" s="16">
        <v>0.8</v>
      </c>
      <c r="M65" s="75"/>
      <c r="N65" s="16">
        <v>100.0</v>
      </c>
      <c r="O65" s="555">
        <f t="shared" si="3"/>
        <v>12</v>
      </c>
      <c r="P65" s="75">
        <f>0.9</f>
        <v>0.9</v>
      </c>
    </row>
    <row r="66">
      <c r="A66" s="20">
        <v>0.0</v>
      </c>
      <c r="B66" s="20">
        <v>0.0</v>
      </c>
      <c r="K66" s="75"/>
      <c r="L66" s="16">
        <v>0.7</v>
      </c>
      <c r="M66" s="556"/>
      <c r="N66" s="16">
        <v>5.0</v>
      </c>
      <c r="O66" s="555">
        <f t="shared" si="3"/>
        <v>0.525</v>
      </c>
      <c r="P66" s="75">
        <f>10.7</f>
        <v>10.7</v>
      </c>
    </row>
    <row r="67">
      <c r="A67" s="20">
        <v>0.0</v>
      </c>
      <c r="B67" s="20">
        <v>0.0</v>
      </c>
      <c r="K67" s="75"/>
      <c r="L67" s="16">
        <v>0.75</v>
      </c>
      <c r="M67" s="75"/>
      <c r="N67" s="16">
        <v>5.0</v>
      </c>
      <c r="O67" s="555">
        <f t="shared" si="3"/>
        <v>0.5625</v>
      </c>
      <c r="P67" s="75">
        <f>1.6</f>
        <v>1.6</v>
      </c>
    </row>
    <row r="68">
      <c r="A68" s="20">
        <v>0.0</v>
      </c>
      <c r="B68" s="20">
        <v>0.0</v>
      </c>
      <c r="K68" s="75"/>
      <c r="L68" s="16">
        <v>0.53</v>
      </c>
      <c r="M68" s="75"/>
      <c r="N68" s="16">
        <v>5.0</v>
      </c>
      <c r="O68" s="555">
        <f t="shared" si="3"/>
        <v>0.3975</v>
      </c>
      <c r="P68" s="75">
        <f>2</f>
        <v>2</v>
      </c>
    </row>
    <row r="69">
      <c r="A69" s="20">
        <v>5.44</v>
      </c>
      <c r="B69" s="20">
        <v>6.02</v>
      </c>
      <c r="K69" s="75"/>
      <c r="L69" s="16">
        <v>0.46</v>
      </c>
      <c r="M69" s="75"/>
      <c r="N69" s="16">
        <v>80.0</v>
      </c>
      <c r="O69" s="555">
        <f t="shared" si="3"/>
        <v>5.52</v>
      </c>
      <c r="P69" s="16">
        <v>-4.37</v>
      </c>
    </row>
    <row r="70">
      <c r="A70" s="20">
        <v>0.0</v>
      </c>
      <c r="B70" s="20">
        <v>0.0</v>
      </c>
      <c r="K70" s="16" t="s">
        <v>321</v>
      </c>
      <c r="L70" s="16">
        <v>0.66</v>
      </c>
      <c r="M70" s="75"/>
      <c r="N70" s="16">
        <v>100.0</v>
      </c>
      <c r="O70" s="555">
        <f t="shared" si="3"/>
        <v>9.9</v>
      </c>
      <c r="P70" s="16">
        <v>-0.5</v>
      </c>
    </row>
    <row r="71">
      <c r="A71" s="20">
        <v>2.26</v>
      </c>
      <c r="B71" s="20">
        <v>1.77</v>
      </c>
      <c r="K71" s="75"/>
      <c r="L71" s="16">
        <v>0.5</v>
      </c>
      <c r="M71" s="75"/>
      <c r="N71" s="16">
        <v>5.0</v>
      </c>
      <c r="O71" s="555">
        <f t="shared" si="3"/>
        <v>0.375</v>
      </c>
      <c r="P71" s="16">
        <v>-1.44</v>
      </c>
    </row>
    <row r="72">
      <c r="A72" s="20">
        <v>0.0</v>
      </c>
      <c r="B72" s="20">
        <v>0.0</v>
      </c>
      <c r="L72" s="30"/>
      <c r="O72" s="242"/>
    </row>
    <row r="73">
      <c r="A73" s="20">
        <v>3.71</v>
      </c>
      <c r="B73" s="20">
        <v>2.83</v>
      </c>
    </row>
    <row r="74">
      <c r="A74" s="20">
        <v>4.23</v>
      </c>
      <c r="B74" s="20">
        <v>1.63</v>
      </c>
      <c r="L74" s="30"/>
    </row>
    <row r="75">
      <c r="A75" s="20">
        <v>1.27</v>
      </c>
      <c r="B75" s="20">
        <v>10.76</v>
      </c>
      <c r="L75" s="30"/>
    </row>
    <row r="76">
      <c r="A76" s="20">
        <v>1.58</v>
      </c>
      <c r="B76" s="20">
        <v>0.49</v>
      </c>
      <c r="L76" s="30"/>
    </row>
    <row r="77">
      <c r="A77" s="20">
        <v>1.73</v>
      </c>
      <c r="B77" s="20">
        <v>0.91</v>
      </c>
    </row>
    <row r="78">
      <c r="A78" s="20">
        <v>2.14</v>
      </c>
      <c r="B78" s="20">
        <v>0.97</v>
      </c>
    </row>
    <row r="79">
      <c r="A79" s="20">
        <v>0.0</v>
      </c>
      <c r="B79" s="20">
        <v>0.0</v>
      </c>
    </row>
    <row r="80">
      <c r="A80" s="20">
        <v>0.0</v>
      </c>
      <c r="B80" s="20">
        <v>0.0</v>
      </c>
    </row>
    <row r="81">
      <c r="A81" s="20">
        <v>-0.48</v>
      </c>
      <c r="B81" s="20">
        <v>16.26</v>
      </c>
    </row>
    <row r="82">
      <c r="A82" s="20">
        <v>1.23</v>
      </c>
      <c r="B82" s="20">
        <v>0.1</v>
      </c>
    </row>
    <row r="83">
      <c r="A83" s="20">
        <v>0.0</v>
      </c>
      <c r="B83" s="20">
        <v>0.0</v>
      </c>
    </row>
    <row r="84">
      <c r="A84" s="20">
        <v>0.0</v>
      </c>
      <c r="B84" s="20">
        <v>0.0</v>
      </c>
    </row>
    <row r="85">
      <c r="A85" s="20">
        <v>0.0</v>
      </c>
      <c r="B85" s="20">
        <v>0.0</v>
      </c>
    </row>
    <row r="86">
      <c r="A86" s="20">
        <v>0.0</v>
      </c>
      <c r="B86" s="20">
        <v>0.0</v>
      </c>
    </row>
    <row r="87">
      <c r="A87" s="20">
        <v>3.58</v>
      </c>
      <c r="B87" s="20">
        <v>0.88</v>
      </c>
    </row>
    <row r="88">
      <c r="A88" s="20">
        <v>-0.2</v>
      </c>
      <c r="B88" s="20">
        <v>6.53</v>
      </c>
    </row>
    <row r="89">
      <c r="A89" s="20">
        <v>2.72</v>
      </c>
      <c r="B89" s="20">
        <v>0.66</v>
      </c>
      <c r="K89" s="20" t="s">
        <v>476</v>
      </c>
    </row>
    <row r="90">
      <c r="A90" s="20">
        <v>3.62</v>
      </c>
      <c r="B90" s="20">
        <v>0.95</v>
      </c>
      <c r="K90" s="30" t="s">
        <v>477</v>
      </c>
    </row>
    <row r="91">
      <c r="A91" s="20">
        <v>2.71</v>
      </c>
      <c r="B91" s="20">
        <v>0.77</v>
      </c>
      <c r="K91" s="19" t="s">
        <v>16</v>
      </c>
      <c r="L91" s="20">
        <v>506.0</v>
      </c>
      <c r="M91" s="20">
        <v>1119.0</v>
      </c>
    </row>
    <row r="92">
      <c r="A92" s="20">
        <v>1.85</v>
      </c>
      <c r="B92" s="20">
        <v>0.52</v>
      </c>
      <c r="K92" s="19" t="s">
        <v>18</v>
      </c>
      <c r="L92" s="20">
        <v>918.0</v>
      </c>
      <c r="M92" s="20">
        <v>1083.0</v>
      </c>
    </row>
    <row r="93">
      <c r="A93" s="20">
        <v>4.72</v>
      </c>
      <c r="B93" s="20">
        <v>2.03</v>
      </c>
      <c r="K93" s="16" t="s">
        <v>19</v>
      </c>
      <c r="L93" s="20">
        <v>900.0</v>
      </c>
      <c r="M93" s="20">
        <v>457.0</v>
      </c>
    </row>
    <row r="94">
      <c r="A94" s="20">
        <v>2.49</v>
      </c>
      <c r="B94" s="20">
        <v>0.55</v>
      </c>
      <c r="K94" s="16" t="s">
        <v>20</v>
      </c>
      <c r="L94" s="20">
        <v>112.0</v>
      </c>
    </row>
    <row r="95">
      <c r="A95" s="20">
        <v>4.39</v>
      </c>
      <c r="B95" s="20">
        <v>2.15</v>
      </c>
      <c r="K95" s="16" t="s">
        <v>21</v>
      </c>
      <c r="L95" s="20">
        <v>1135.0</v>
      </c>
    </row>
    <row r="96">
      <c r="A96" s="20">
        <v>3.12</v>
      </c>
      <c r="B96" s="20">
        <v>1.59</v>
      </c>
    </row>
    <row r="97">
      <c r="A97" s="20">
        <v>2.71</v>
      </c>
      <c r="B97" s="20">
        <v>4.19</v>
      </c>
      <c r="G97" s="21"/>
      <c r="H97" s="42"/>
      <c r="I97" s="42"/>
      <c r="J97" s="42"/>
    </row>
    <row r="98">
      <c r="A98" s="20">
        <v>3.74</v>
      </c>
      <c r="B98" s="20">
        <v>3.15</v>
      </c>
      <c r="G98" s="21"/>
      <c r="H98" s="42"/>
      <c r="I98" s="42"/>
      <c r="J98" s="42"/>
    </row>
    <row r="99">
      <c r="A99" s="20">
        <v>1.26</v>
      </c>
      <c r="B99" s="20">
        <v>0.21</v>
      </c>
      <c r="G99" s="21"/>
      <c r="H99" s="42"/>
      <c r="I99" s="42"/>
      <c r="J99" s="42"/>
    </row>
    <row r="100">
      <c r="A100" s="20">
        <v>5.08</v>
      </c>
      <c r="B100" s="20">
        <v>17.28</v>
      </c>
      <c r="G100" s="21"/>
      <c r="H100" s="42"/>
      <c r="I100" s="42"/>
      <c r="J100" s="42"/>
    </row>
    <row r="101">
      <c r="A101" s="20">
        <v>1.23</v>
      </c>
      <c r="B101" s="20">
        <v>0.33</v>
      </c>
      <c r="G101" s="21"/>
      <c r="H101" s="42"/>
      <c r="I101" s="42"/>
      <c r="J101" s="42"/>
    </row>
    <row r="102">
      <c r="A102" s="20">
        <v>4.36</v>
      </c>
      <c r="B102" s="20">
        <v>4.08</v>
      </c>
      <c r="G102" s="21"/>
      <c r="H102" s="42"/>
      <c r="I102" s="42"/>
      <c r="J102" s="42"/>
    </row>
    <row r="103">
      <c r="A103" s="20">
        <v>3.19</v>
      </c>
      <c r="B103" s="20">
        <v>2.93</v>
      </c>
      <c r="G103" s="21"/>
      <c r="H103" s="42"/>
      <c r="I103" s="42"/>
      <c r="J103" s="42"/>
    </row>
    <row r="104">
      <c r="A104" s="20">
        <v>2.77</v>
      </c>
      <c r="B104" s="20">
        <v>2.09</v>
      </c>
      <c r="G104" s="21"/>
      <c r="H104" s="42"/>
      <c r="I104" s="42"/>
      <c r="J104" s="42"/>
    </row>
    <row r="105">
      <c r="A105" s="20">
        <v>2.81</v>
      </c>
      <c r="B105" s="20">
        <v>2.32</v>
      </c>
      <c r="G105" s="21"/>
      <c r="H105" s="42"/>
      <c r="I105" s="42"/>
      <c r="J105" s="42"/>
    </row>
    <row r="106">
      <c r="A106" s="20">
        <v>3.73</v>
      </c>
      <c r="B106" s="20">
        <v>9.35</v>
      </c>
      <c r="G106" s="21"/>
      <c r="H106" s="42"/>
      <c r="I106" s="42"/>
      <c r="J106" s="42"/>
    </row>
    <row r="107">
      <c r="A107" s="20">
        <v>0.58</v>
      </c>
      <c r="B107" s="20">
        <v>0.03</v>
      </c>
      <c r="G107" s="21"/>
      <c r="H107" s="42"/>
      <c r="I107" s="42"/>
      <c r="J107" s="42"/>
    </row>
    <row r="108">
      <c r="A108" s="20">
        <v>3.44</v>
      </c>
      <c r="B108" s="20">
        <v>2.81</v>
      </c>
      <c r="G108" s="21"/>
      <c r="H108" s="42"/>
      <c r="I108" s="42"/>
      <c r="J108" s="42"/>
    </row>
    <row r="109">
      <c r="A109" s="20">
        <v>3.5</v>
      </c>
      <c r="B109" s="20">
        <v>7.09</v>
      </c>
      <c r="G109" s="21"/>
      <c r="H109" s="42"/>
      <c r="I109" s="42"/>
      <c r="J109" s="42"/>
    </row>
    <row r="110">
      <c r="A110" s="20">
        <v>2.31</v>
      </c>
      <c r="B110" s="20">
        <v>0.91</v>
      </c>
      <c r="G110" s="21"/>
      <c r="H110" s="42"/>
      <c r="I110" s="42"/>
      <c r="J110" s="42"/>
    </row>
    <row r="111">
      <c r="A111" s="20">
        <v>0.56</v>
      </c>
      <c r="B111" s="20">
        <v>0.03</v>
      </c>
      <c r="G111" s="21"/>
      <c r="H111" s="42"/>
      <c r="I111" s="42"/>
      <c r="J111" s="42"/>
    </row>
    <row r="112">
      <c r="A112" s="20">
        <v>2.96</v>
      </c>
      <c r="B112" s="20">
        <v>1.07</v>
      </c>
      <c r="G112" s="21"/>
      <c r="H112" s="42"/>
      <c r="I112" s="42"/>
      <c r="J112" s="42"/>
    </row>
    <row r="113">
      <c r="A113" s="20">
        <v>2.4</v>
      </c>
      <c r="B113" s="20">
        <v>0.93</v>
      </c>
      <c r="G113" s="21"/>
      <c r="H113" s="42"/>
      <c r="I113" s="42"/>
      <c r="J113" s="42"/>
    </row>
    <row r="114">
      <c r="A114" s="20">
        <v>1.13</v>
      </c>
      <c r="B114" s="20">
        <v>0.26</v>
      </c>
      <c r="G114" s="21"/>
      <c r="H114" s="42"/>
      <c r="I114" s="42"/>
      <c r="J114" s="42"/>
    </row>
    <row r="115">
      <c r="A115" s="20">
        <v>0.57</v>
      </c>
      <c r="B115" s="20">
        <v>-0.11</v>
      </c>
      <c r="G115" s="21"/>
      <c r="H115" s="42"/>
      <c r="I115" s="42"/>
      <c r="J115" s="42"/>
    </row>
    <row r="116">
      <c r="A116" s="20">
        <v>0.54</v>
      </c>
      <c r="B116" s="20">
        <v>0.06</v>
      </c>
      <c r="G116" s="21"/>
      <c r="H116" s="42"/>
      <c r="I116" s="42"/>
      <c r="J116" s="42"/>
    </row>
    <row r="117">
      <c r="A117" s="20">
        <v>1.09</v>
      </c>
      <c r="B117" s="20">
        <v>0.19</v>
      </c>
      <c r="G117" s="21"/>
      <c r="H117" s="42"/>
      <c r="I117" s="42"/>
      <c r="J117" s="42"/>
    </row>
    <row r="118">
      <c r="A118" s="20">
        <v>1.11</v>
      </c>
      <c r="B118" s="20">
        <v>0.11</v>
      </c>
      <c r="G118" s="21"/>
      <c r="H118" s="42"/>
      <c r="I118" s="42"/>
      <c r="J118" s="42"/>
    </row>
    <row r="119">
      <c r="A119" s="20">
        <v>1.14</v>
      </c>
      <c r="B119" s="20">
        <v>-0.01</v>
      </c>
      <c r="G119" s="21"/>
      <c r="H119" s="42"/>
      <c r="I119" s="42"/>
      <c r="J119" s="42"/>
    </row>
    <row r="120">
      <c r="A120" s="20">
        <v>0.56</v>
      </c>
      <c r="B120" s="20">
        <v>0.03</v>
      </c>
      <c r="G120" s="21"/>
      <c r="H120" s="42"/>
      <c r="I120" s="42"/>
      <c r="J120" s="42"/>
    </row>
    <row r="121">
      <c r="A121" s="20">
        <v>0.52</v>
      </c>
      <c r="B121" s="20">
        <v>0.01</v>
      </c>
      <c r="G121" s="21"/>
      <c r="H121" s="42"/>
      <c r="I121" s="42"/>
      <c r="J121" s="42"/>
    </row>
    <row r="122">
      <c r="A122" s="20">
        <v>1.75</v>
      </c>
      <c r="B122" s="20">
        <v>0.34</v>
      </c>
      <c r="G122" s="21"/>
      <c r="H122" s="42"/>
      <c r="I122" s="42"/>
      <c r="J122" s="42"/>
    </row>
    <row r="123">
      <c r="A123" s="20">
        <v>1.12</v>
      </c>
      <c r="B123" s="20">
        <v>0.22</v>
      </c>
      <c r="G123" s="21"/>
      <c r="H123" s="42"/>
      <c r="I123" s="42"/>
      <c r="J123" s="42"/>
    </row>
    <row r="124">
      <c r="A124" s="20">
        <v>2.37</v>
      </c>
      <c r="B124" s="20">
        <v>0.72</v>
      </c>
      <c r="G124" s="21"/>
      <c r="H124" s="42"/>
      <c r="I124" s="42"/>
      <c r="J124" s="42"/>
    </row>
    <row r="125">
      <c r="H125" s="42"/>
      <c r="I125" s="42"/>
      <c r="J125" s="42"/>
    </row>
    <row r="126">
      <c r="H126" s="42"/>
      <c r="I126" s="42"/>
      <c r="J126" s="42"/>
    </row>
    <row r="127">
      <c r="H127" s="42"/>
      <c r="I127" s="42"/>
      <c r="J127" s="42"/>
    </row>
    <row r="128">
      <c r="H128" s="42"/>
      <c r="I128" s="42"/>
      <c r="J128" s="42"/>
    </row>
    <row r="129">
      <c r="H129" s="42"/>
      <c r="I129" s="42"/>
      <c r="J129" s="42"/>
    </row>
  </sheetData>
  <drawing r:id="rId1"/>
</worksheet>
</file>